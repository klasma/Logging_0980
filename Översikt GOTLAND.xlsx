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46163</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46163</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46163</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46163</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46163</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46163</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46163</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46163</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46163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46163</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46163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46163</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46163</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46163</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46163</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46163</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46163</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46163</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10274-2026</t>
        </is>
      </c>
      <c r="B43" s="1" t="n">
        <v>46076.58261574074</v>
      </c>
      <c r="C43" s="1" t="n">
        <v>46163</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43201-2023</t>
        </is>
      </c>
      <c r="B44" s="1" t="n">
        <v>45183</v>
      </c>
      <c r="C44" s="1" t="n">
        <v>46163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46163</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46163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45248-2024</t>
        </is>
      </c>
      <c r="B47" s="1" t="n">
        <v>45576</v>
      </c>
      <c r="C47" s="1" t="n">
        <v>46163</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1719-2025</t>
        </is>
      </c>
      <c r="B48" s="1" t="n">
        <v>45671</v>
      </c>
      <c r="C48" s="1" t="n">
        <v>46163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46163</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46163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14354-2024</t>
        </is>
      </c>
      <c r="B51" s="1" t="n">
        <v>45393</v>
      </c>
      <c r="C51" s="1" t="n">
        <v>46163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33153-2024</t>
        </is>
      </c>
      <c r="B52" s="1" t="n">
        <v>45518</v>
      </c>
      <c r="C52" s="1" t="n">
        <v>46163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46163</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46163</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46163</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46163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46163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46163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46163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46163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46163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32326-2024</t>
        </is>
      </c>
      <c r="B78" s="1" t="n">
        <v>45512</v>
      </c>
      <c r="C78" s="1" t="n">
        <v>46163</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35293-2025</t>
        </is>
      </c>
      <c r="B79" s="1" t="n">
        <v>45854.39438657407</v>
      </c>
      <c r="C79" s="1" t="n">
        <v>46163</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46163</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46163</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52245-2025</t>
        </is>
      </c>
      <c r="B82" s="1" t="n">
        <v>45953.47115740741</v>
      </c>
      <c r="C82" s="1" t="n">
        <v>46163</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46163</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6839-2026</t>
        </is>
      </c>
      <c r="B84" s="1" t="n">
        <v>46057.41193287037</v>
      </c>
      <c r="C84" s="1" t="n">
        <v>46163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54055-2022</t>
        </is>
      </c>
      <c r="B85" s="1" t="n">
        <v>44881</v>
      </c>
      <c r="C85" s="1" t="n">
        <v>46163</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46163</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46163</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46163</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20833-2024</t>
        </is>
      </c>
      <c r="B90" s="1" t="n">
        <v>45439</v>
      </c>
      <c r="C90" s="1" t="n">
        <v>46163</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2485-2025</t>
        </is>
      </c>
      <c r="B91" s="1" t="n">
        <v>45673</v>
      </c>
      <c r="C91" s="1" t="n">
        <v>46163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46163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46163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46163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13203-2026</t>
        </is>
      </c>
      <c r="B95" s="1" t="n">
        <v>46093</v>
      </c>
      <c r="C95" s="1" t="n">
        <v>46163</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1971-2023</t>
        </is>
      </c>
      <c r="B96" s="1" t="n">
        <v>44939</v>
      </c>
      <c r="C96" s="1" t="n">
        <v>46163</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46163</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46163</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v>
      </c>
      <c r="C99" s="1" t="n">
        <v>46163</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46163</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46163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46163</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46163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13499-2022</t>
        </is>
      </c>
      <c r="B109" s="1" t="n">
        <v>44647.79203703703</v>
      </c>
      <c r="C109" s="1" t="n">
        <v>46163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46163</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46163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46163</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46163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46163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46163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46163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53552-2021</t>
        </is>
      </c>
      <c r="B119" s="1" t="n">
        <v>44468</v>
      </c>
      <c r="C119" s="1" t="n">
        <v>46163</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46163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46163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46163</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46163</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46163</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12914-2025</t>
        </is>
      </c>
      <c r="B128" s="1" t="n">
        <v>45733</v>
      </c>
      <c r="C128" s="1" t="n">
        <v>46163</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63162-2025</t>
        </is>
      </c>
      <c r="B129" s="1" t="n">
        <v>46010.37629629629</v>
      </c>
      <c r="C129" s="1" t="n">
        <v>46163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62760-2025</t>
        </is>
      </c>
      <c r="B130" s="1" t="n">
        <v>46008</v>
      </c>
      <c r="C130" s="1" t="n">
        <v>46163</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54357-2024</t>
        </is>
      </c>
      <c r="B131" s="1" t="n">
        <v>45617.40662037037</v>
      </c>
      <c r="C131" s="1" t="n">
        <v>46163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46163</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46163</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16997-2026</t>
        </is>
      </c>
      <c r="B134" s="1" t="n">
        <v>46114.42539351852</v>
      </c>
      <c r="C134" s="1" t="n">
        <v>46163</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26077-2024</t>
        </is>
      </c>
      <c r="B135" s="1" t="n">
        <v>45467</v>
      </c>
      <c r="C135" s="1" t="n">
        <v>46163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17328-2026</t>
        </is>
      </c>
      <c r="B136" s="1" t="n">
        <v>46119.61216435185</v>
      </c>
      <c r="C136" s="1" t="n">
        <v>46163</v>
      </c>
      <c r="D136" t="inlineStr">
        <is>
          <t>GOTLANDS LÄN</t>
        </is>
      </c>
      <c r="E136" t="inlineStr">
        <is>
          <t>GOTLAND</t>
        </is>
      </c>
      <c r="F136" t="inlineStr">
        <is>
          <t>Kyrkan</t>
        </is>
      </c>
      <c r="G136" t="n">
        <v>4</v>
      </c>
      <c r="H136" t="n">
        <v>1</v>
      </c>
      <c r="I136" t="n">
        <v>0</v>
      </c>
      <c r="J136" t="n">
        <v>2</v>
      </c>
      <c r="K136" t="n">
        <v>0</v>
      </c>
      <c r="L136" t="n">
        <v>0</v>
      </c>
      <c r="M136" t="n">
        <v>0</v>
      </c>
      <c r="N136" t="n">
        <v>0</v>
      </c>
      <c r="O136" t="n">
        <v>2</v>
      </c>
      <c r="P136" t="n">
        <v>0</v>
      </c>
      <c r="Q136" t="n">
        <v>2</v>
      </c>
      <c r="R136" s="2" t="inlineStr">
        <is>
          <t>Backtimjan
Spillkråka</t>
        </is>
      </c>
      <c r="S136">
        <f>HYPERLINK("https://klasma.github.io/Logging_0980/artfynd/A 17328-2026 artfynd.xlsx", "A 17328-2026")</f>
        <v/>
      </c>
      <c r="T136">
        <f>HYPERLINK("https://klasma.github.io/Logging_0980/kartor/A 17328-2026 karta.png", "A 17328-2026")</f>
        <v/>
      </c>
      <c r="V136">
        <f>HYPERLINK("https://klasma.github.io/Logging_0980/klagomål/A 17328-2026 FSC-klagomål.docx", "A 17328-2026")</f>
        <v/>
      </c>
      <c r="W136">
        <f>HYPERLINK("https://klasma.github.io/Logging_0980/klagomålsmail/A 17328-2026 FSC-klagomål mail.docx", "A 17328-2026")</f>
        <v/>
      </c>
      <c r="X136">
        <f>HYPERLINK("https://klasma.github.io/Logging_0980/tillsyn/A 17328-2026 tillsynsbegäran.docx", "A 17328-2026")</f>
        <v/>
      </c>
      <c r="Y136">
        <f>HYPERLINK("https://klasma.github.io/Logging_0980/tillsynsmail/A 17328-2026 tillsynsbegäran mail.docx", "A 17328-2026")</f>
        <v/>
      </c>
      <c r="Z136">
        <f>HYPERLINK("https://klasma.github.io/Logging_0980/fåglar/A 17328-2026 prioriterade fågelarter.docx", "A 17328-2026")</f>
        <v/>
      </c>
    </row>
    <row r="137" ht="15" customHeight="1">
      <c r="A137" t="inlineStr">
        <is>
          <t>A 43219-2023</t>
        </is>
      </c>
      <c r="B137" s="1" t="n">
        <v>45183</v>
      </c>
      <c r="C137" s="1" t="n">
        <v>46163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46163</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46163</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46163</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46163</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46163</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46163</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46163</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9862-2024</t>
        </is>
      </c>
      <c r="B150" s="1" t="n">
        <v>45363</v>
      </c>
      <c r="C150" s="1" t="n">
        <v>46163</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46163</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65927-2021</t>
        </is>
      </c>
      <c r="B152" s="1" t="n">
        <v>44516</v>
      </c>
      <c r="C152" s="1" t="n">
        <v>46163</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46163</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35467-2021</t>
        </is>
      </c>
      <c r="B154" s="1" t="n">
        <v>44385</v>
      </c>
      <c r="C154" s="1" t="n">
        <v>46163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61561-2023</t>
        </is>
      </c>
      <c r="B155" s="1" t="n">
        <v>45265</v>
      </c>
      <c r="C155" s="1" t="n">
        <v>46163</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44619-2025</t>
        </is>
      </c>
      <c r="B156" s="1" t="n">
        <v>45917</v>
      </c>
      <c r="C156" s="1" t="n">
        <v>46163</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12924-2025</t>
        </is>
      </c>
      <c r="B157" s="1" t="n">
        <v>45734</v>
      </c>
      <c r="C157" s="1" t="n">
        <v>46163</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10013-2026</t>
        </is>
      </c>
      <c r="B158" s="1" t="n">
        <v>46073</v>
      </c>
      <c r="C158" s="1" t="n">
        <v>46163</v>
      </c>
      <c r="D158" t="inlineStr">
        <is>
          <t>GOTLANDS LÄN</t>
        </is>
      </c>
      <c r="E158" t="inlineStr">
        <is>
          <t>GOTLAND</t>
        </is>
      </c>
      <c r="G158" t="n">
        <v>10.5</v>
      </c>
      <c r="H158" t="n">
        <v>0</v>
      </c>
      <c r="I158" t="n">
        <v>0</v>
      </c>
      <c r="J158" t="n">
        <v>0</v>
      </c>
      <c r="K158" t="n">
        <v>1</v>
      </c>
      <c r="L158" t="n">
        <v>0</v>
      </c>
      <c r="M158" t="n">
        <v>0</v>
      </c>
      <c r="N158" t="n">
        <v>0</v>
      </c>
      <c r="O158" t="n">
        <v>1</v>
      </c>
      <c r="P158" t="n">
        <v>1</v>
      </c>
      <c r="Q158" t="n">
        <v>1</v>
      </c>
      <c r="R158" s="2" t="inlineStr">
        <is>
          <t>Skogskorn</t>
        </is>
      </c>
      <c r="S158">
        <f>HYPERLINK("https://klasma.github.io/Logging_0980/artfynd/A 10013-2026 artfynd.xlsx", "A 10013-2026")</f>
        <v/>
      </c>
      <c r="T158">
        <f>HYPERLINK("https://klasma.github.io/Logging_0980/kartor/A 10013-2026 karta.png", "A 10013-2026")</f>
        <v/>
      </c>
      <c r="V158">
        <f>HYPERLINK("https://klasma.github.io/Logging_0980/klagomål/A 10013-2026 FSC-klagomål.docx", "A 10013-2026")</f>
        <v/>
      </c>
      <c r="W158">
        <f>HYPERLINK("https://klasma.github.io/Logging_0980/klagomålsmail/A 10013-2026 FSC-klagomål mail.docx", "A 10013-2026")</f>
        <v/>
      </c>
      <c r="X158">
        <f>HYPERLINK("https://klasma.github.io/Logging_0980/tillsyn/A 10013-2026 tillsynsbegäran.docx", "A 10013-2026")</f>
        <v/>
      </c>
      <c r="Y158">
        <f>HYPERLINK("https://klasma.github.io/Logging_0980/tillsynsmail/A 10013-2026 tillsynsbegäran mail.docx", "A 10013-2026")</f>
        <v/>
      </c>
    </row>
    <row r="159" ht="15" customHeight="1">
      <c r="A159" t="inlineStr">
        <is>
          <t>A 17854-2026</t>
        </is>
      </c>
      <c r="B159" s="1" t="n">
        <v>46121</v>
      </c>
      <c r="C159" s="1" t="n">
        <v>46163</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12324-2025</t>
        </is>
      </c>
      <c r="B160" s="1" t="n">
        <v>45730</v>
      </c>
      <c r="C160" s="1" t="n">
        <v>46163</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11708-2026</t>
        </is>
      </c>
      <c r="B161" s="1" t="n">
        <v>46084</v>
      </c>
      <c r="C161" s="1" t="n">
        <v>46163</v>
      </c>
      <c r="D161" t="inlineStr">
        <is>
          <t>GOTLANDS LÄN</t>
        </is>
      </c>
      <c r="E161" t="inlineStr">
        <is>
          <t>GOTLAND</t>
        </is>
      </c>
      <c r="G161" t="n">
        <v>8.4</v>
      </c>
      <c r="H161" t="n">
        <v>1</v>
      </c>
      <c r="I161" t="n">
        <v>0</v>
      </c>
      <c r="J161" t="n">
        <v>1</v>
      </c>
      <c r="K161" t="n">
        <v>0</v>
      </c>
      <c r="L161" t="n">
        <v>0</v>
      </c>
      <c r="M161" t="n">
        <v>0</v>
      </c>
      <c r="N161" t="n">
        <v>0</v>
      </c>
      <c r="O161" t="n">
        <v>1</v>
      </c>
      <c r="P161" t="n">
        <v>0</v>
      </c>
      <c r="Q161" t="n">
        <v>1</v>
      </c>
      <c r="R161" s="2" t="inlineStr">
        <is>
          <t>Bredarun</t>
        </is>
      </c>
      <c r="S161">
        <f>HYPERLINK("https://klasma.github.io/Logging_0980/artfynd/A 11708-2026 artfynd.xlsx", "A 11708-2026")</f>
        <v/>
      </c>
      <c r="T161">
        <f>HYPERLINK("https://klasma.github.io/Logging_0980/kartor/A 11708-2026 karta.png", "A 11708-2026")</f>
        <v/>
      </c>
      <c r="V161">
        <f>HYPERLINK("https://klasma.github.io/Logging_0980/klagomål/A 11708-2026 FSC-klagomål.docx", "A 11708-2026")</f>
        <v/>
      </c>
      <c r="W161">
        <f>HYPERLINK("https://klasma.github.io/Logging_0980/klagomålsmail/A 11708-2026 FSC-klagomål mail.docx", "A 11708-2026")</f>
        <v/>
      </c>
      <c r="X161">
        <f>HYPERLINK("https://klasma.github.io/Logging_0980/tillsyn/A 11708-2026 tillsynsbegäran.docx", "A 11708-2026")</f>
        <v/>
      </c>
      <c r="Y161">
        <f>HYPERLINK("https://klasma.github.io/Logging_0980/tillsynsmail/A 11708-2026 tillsynsbegäran mail.docx", "A 11708-2026")</f>
        <v/>
      </c>
    </row>
    <row r="162" ht="15" customHeight="1">
      <c r="A162" t="inlineStr">
        <is>
          <t>A 18036-2026</t>
        </is>
      </c>
      <c r="B162" s="1" t="n">
        <v>46125.39576388889</v>
      </c>
      <c r="C162" s="1" t="n">
        <v>46163</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49726-2025</t>
        </is>
      </c>
      <c r="B163" s="1" t="n">
        <v>45939.84466435185</v>
      </c>
      <c r="C163" s="1" t="n">
        <v>46163</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2476-2025</t>
        </is>
      </c>
      <c r="B164" s="1" t="n">
        <v>45673</v>
      </c>
      <c r="C164" s="1" t="n">
        <v>46163</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46163</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13482-2026</t>
        </is>
      </c>
      <c r="B166" s="1" t="n">
        <v>46094</v>
      </c>
      <c r="C166" s="1" t="n">
        <v>46163</v>
      </c>
      <c r="D166" t="inlineStr">
        <is>
          <t>GOTLANDS LÄN</t>
        </is>
      </c>
      <c r="E166" t="inlineStr">
        <is>
          <t>GOTLAND</t>
        </is>
      </c>
      <c r="G166" t="n">
        <v>1.7</v>
      </c>
      <c r="H166" t="n">
        <v>1</v>
      </c>
      <c r="I166" t="n">
        <v>0</v>
      </c>
      <c r="J166" t="n">
        <v>1</v>
      </c>
      <c r="K166" t="n">
        <v>0</v>
      </c>
      <c r="L166" t="n">
        <v>0</v>
      </c>
      <c r="M166" t="n">
        <v>0</v>
      </c>
      <c r="N166" t="n">
        <v>0</v>
      </c>
      <c r="O166" t="n">
        <v>1</v>
      </c>
      <c r="P166" t="n">
        <v>0</v>
      </c>
      <c r="Q166" t="n">
        <v>1</v>
      </c>
      <c r="R166" s="2" t="inlineStr">
        <is>
          <t>Spillkråka</t>
        </is>
      </c>
      <c r="S166">
        <f>HYPERLINK("https://klasma.github.io/Logging_0980/artfynd/A 13482-2026 artfynd.xlsx", "A 13482-2026")</f>
        <v/>
      </c>
      <c r="T166">
        <f>HYPERLINK("https://klasma.github.io/Logging_0980/kartor/A 13482-2026 karta.png", "A 13482-2026")</f>
        <v/>
      </c>
      <c r="V166">
        <f>HYPERLINK("https://klasma.github.io/Logging_0980/klagomål/A 13482-2026 FSC-klagomål.docx", "A 13482-2026")</f>
        <v/>
      </c>
      <c r="W166">
        <f>HYPERLINK("https://klasma.github.io/Logging_0980/klagomålsmail/A 13482-2026 FSC-klagomål mail.docx", "A 13482-2026")</f>
        <v/>
      </c>
      <c r="X166">
        <f>HYPERLINK("https://klasma.github.io/Logging_0980/tillsyn/A 13482-2026 tillsynsbegäran.docx", "A 13482-2026")</f>
        <v/>
      </c>
      <c r="Y166">
        <f>HYPERLINK("https://klasma.github.io/Logging_0980/tillsynsmail/A 13482-2026 tillsynsbegäran mail.docx", "A 13482-2026")</f>
        <v/>
      </c>
      <c r="Z166">
        <f>HYPERLINK("https://klasma.github.io/Logging_0980/fåglar/A 13482-2026 prioriterade fågelarter.docx", "A 13482-2026")</f>
        <v/>
      </c>
    </row>
    <row r="167" ht="15" customHeight="1">
      <c r="A167" t="inlineStr">
        <is>
          <t>A 447-2023</t>
        </is>
      </c>
      <c r="B167" s="1" t="n">
        <v>44929</v>
      </c>
      <c r="C167" s="1" t="n">
        <v>46163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46163</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46163</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46163</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46163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46163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63149-2025</t>
        </is>
      </c>
      <c r="B173" s="1" t="n">
        <v>46010</v>
      </c>
      <c r="C173" s="1" t="n">
        <v>46163</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22281-2026</t>
        </is>
      </c>
      <c r="B174" s="1" t="n">
        <v>46154</v>
      </c>
      <c r="C174" s="1" t="n">
        <v>46163</v>
      </c>
      <c r="D174" t="inlineStr">
        <is>
          <t>GOTLANDS LÄN</t>
        </is>
      </c>
      <c r="E174" t="inlineStr">
        <is>
          <t>GOTLAND</t>
        </is>
      </c>
      <c r="G174" t="n">
        <v>8.1</v>
      </c>
      <c r="H174" t="n">
        <v>0</v>
      </c>
      <c r="I174" t="n">
        <v>0</v>
      </c>
      <c r="J174" t="n">
        <v>1</v>
      </c>
      <c r="K174" t="n">
        <v>0</v>
      </c>
      <c r="L174" t="n">
        <v>0</v>
      </c>
      <c r="M174" t="n">
        <v>0</v>
      </c>
      <c r="N174" t="n">
        <v>0</v>
      </c>
      <c r="O174" t="n">
        <v>1</v>
      </c>
      <c r="P174" t="n">
        <v>0</v>
      </c>
      <c r="Q174" t="n">
        <v>1</v>
      </c>
      <c r="R174" s="2" t="inlineStr">
        <is>
          <t>Vasstandad trädbasbagge</t>
        </is>
      </c>
      <c r="S174">
        <f>HYPERLINK("https://klasma.github.io/Logging_0980/artfynd/A 22281-2026 artfynd.xlsx", "A 22281-2026")</f>
        <v/>
      </c>
      <c r="T174">
        <f>HYPERLINK("https://klasma.github.io/Logging_0980/kartor/A 22281-2026 karta.png", "A 22281-2026")</f>
        <v/>
      </c>
      <c r="V174">
        <f>HYPERLINK("https://klasma.github.io/Logging_0980/klagomål/A 22281-2026 FSC-klagomål.docx", "A 22281-2026")</f>
        <v/>
      </c>
      <c r="W174">
        <f>HYPERLINK("https://klasma.github.io/Logging_0980/klagomålsmail/A 22281-2026 FSC-klagomål mail.docx", "A 22281-2026")</f>
        <v/>
      </c>
      <c r="X174">
        <f>HYPERLINK("https://klasma.github.io/Logging_0980/tillsyn/A 22281-2026 tillsynsbegäran.docx", "A 22281-2026")</f>
        <v/>
      </c>
      <c r="Y174">
        <f>HYPERLINK("https://klasma.github.io/Logging_0980/tillsynsmail/A 22281-2026 tillsynsbegäran mail.docx", "A 22281-2026")</f>
        <v/>
      </c>
    </row>
    <row r="175" ht="15" customHeight="1">
      <c r="A175" t="inlineStr">
        <is>
          <t>A 7637-2025</t>
        </is>
      </c>
      <c r="B175" s="1" t="n">
        <v>45705.77181712963</v>
      </c>
      <c r="C175" s="1" t="n">
        <v>46163</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46163</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46163</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46163</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46163</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46163</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46163</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46163</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46163</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46163</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46163</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46163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46163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46163</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36313-2021</t>
        </is>
      </c>
      <c r="B189" s="1" t="n">
        <v>44390</v>
      </c>
      <c r="C189" s="1" t="n">
        <v>46163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46163</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46163</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46163</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46163</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46163</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46163</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46163</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46163</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46163</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46163</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46163</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46163</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46163</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46163</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46163</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46163</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46163</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46163</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46163</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46163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46163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57219-2021</t>
        </is>
      </c>
      <c r="B220" s="1" t="n">
        <v>44483</v>
      </c>
      <c r="C220" s="1" t="n">
        <v>46163</v>
      </c>
      <c r="D220" t="inlineStr">
        <is>
          <t>GOTLANDS LÄN</t>
        </is>
      </c>
      <c r="E220" t="inlineStr">
        <is>
          <t>GOTLAND</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456-2023</t>
        </is>
      </c>
      <c r="B221" s="1" t="n">
        <v>44929.87122685185</v>
      </c>
      <c r="C221" s="1" t="n">
        <v>46163</v>
      </c>
      <c r="D221" t="inlineStr">
        <is>
          <t>GOTLANDS LÄN</t>
        </is>
      </c>
      <c r="E221" t="inlineStr">
        <is>
          <t>GOTLAND</t>
        </is>
      </c>
      <c r="G221" t="n">
        <v>3.2</v>
      </c>
      <c r="H221" t="n">
        <v>0</v>
      </c>
      <c r="I221" t="n">
        <v>0</v>
      </c>
      <c r="J221" t="n">
        <v>0</v>
      </c>
      <c r="K221" t="n">
        <v>0</v>
      </c>
      <c r="L221" t="n">
        <v>0</v>
      </c>
      <c r="M221" t="n">
        <v>0</v>
      </c>
      <c r="N221" t="n">
        <v>0</v>
      </c>
      <c r="O221" t="n">
        <v>0</v>
      </c>
      <c r="P221" t="n">
        <v>0</v>
      </c>
      <c r="Q221" t="n">
        <v>0</v>
      </c>
      <c r="R221" s="2" t="inlineStr"/>
    </row>
    <row r="222" ht="15" customHeight="1">
      <c r="A222" t="inlineStr">
        <is>
          <t>A 58476-2022</t>
        </is>
      </c>
      <c r="B222" s="1" t="n">
        <v>44902</v>
      </c>
      <c r="C222" s="1" t="n">
        <v>46163</v>
      </c>
      <c r="D222" t="inlineStr">
        <is>
          <t>GOTLANDS LÄN</t>
        </is>
      </c>
      <c r="E222" t="inlineStr">
        <is>
          <t>GOTLAND</t>
        </is>
      </c>
      <c r="G222" t="n">
        <v>0.9</v>
      </c>
      <c r="H222" t="n">
        <v>0</v>
      </c>
      <c r="I222" t="n">
        <v>0</v>
      </c>
      <c r="J222" t="n">
        <v>0</v>
      </c>
      <c r="K222" t="n">
        <v>0</v>
      </c>
      <c r="L222" t="n">
        <v>0</v>
      </c>
      <c r="M222" t="n">
        <v>0</v>
      </c>
      <c r="N222" t="n">
        <v>0</v>
      </c>
      <c r="O222" t="n">
        <v>0</v>
      </c>
      <c r="P222" t="n">
        <v>0</v>
      </c>
      <c r="Q222" t="n">
        <v>0</v>
      </c>
      <c r="R222" s="2" t="inlineStr"/>
    </row>
    <row r="223" ht="15" customHeight="1">
      <c r="A223" t="inlineStr">
        <is>
          <t>A 61596-2023</t>
        </is>
      </c>
      <c r="B223" s="1" t="n">
        <v>45265</v>
      </c>
      <c r="C223" s="1" t="n">
        <v>46163</v>
      </c>
      <c r="D223" t="inlineStr">
        <is>
          <t>GOTLANDS LÄN</t>
        </is>
      </c>
      <c r="E223" t="inlineStr">
        <is>
          <t>GOTLAND</t>
        </is>
      </c>
      <c r="G223" t="n">
        <v>1.7</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46163</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63229-2021</t>
        </is>
      </c>
      <c r="B225" s="1" t="n">
        <v>44508.34518518519</v>
      </c>
      <c r="C225" s="1" t="n">
        <v>46163</v>
      </c>
      <c r="D225" t="inlineStr">
        <is>
          <t>GOTLANDS LÄN</t>
        </is>
      </c>
      <c r="E225" t="inlineStr">
        <is>
          <t>GOTLAND</t>
        </is>
      </c>
      <c r="F225" t="inlineStr">
        <is>
          <t>Kyrkan</t>
        </is>
      </c>
      <c r="G225" t="n">
        <v>3.8</v>
      </c>
      <c r="H225" t="n">
        <v>0</v>
      </c>
      <c r="I225" t="n">
        <v>0</v>
      </c>
      <c r="J225" t="n">
        <v>0</v>
      </c>
      <c r="K225" t="n">
        <v>0</v>
      </c>
      <c r="L225" t="n">
        <v>0</v>
      </c>
      <c r="M225" t="n">
        <v>0</v>
      </c>
      <c r="N225" t="n">
        <v>0</v>
      </c>
      <c r="O225" t="n">
        <v>0</v>
      </c>
      <c r="P225" t="n">
        <v>0</v>
      </c>
      <c r="Q225" t="n">
        <v>0</v>
      </c>
      <c r="R225" s="2" t="inlineStr"/>
    </row>
    <row r="226" ht="15" customHeight="1">
      <c r="A226" t="inlineStr">
        <is>
          <t>A 44228-2022</t>
        </is>
      </c>
      <c r="B226" s="1" t="n">
        <v>44839.51599537037</v>
      </c>
      <c r="C226" s="1" t="n">
        <v>46163</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46163</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27593-2023</t>
        </is>
      </c>
      <c r="B228" s="1" t="n">
        <v>45097</v>
      </c>
      <c r="C228" s="1" t="n">
        <v>46163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25129-2023</t>
        </is>
      </c>
      <c r="B229" s="1" t="n">
        <v>45086.44261574074</v>
      </c>
      <c r="C229" s="1" t="n">
        <v>46163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56009-2024</t>
        </is>
      </c>
      <c r="B230" s="1" t="n">
        <v>45623.80864583333</v>
      </c>
      <c r="C230" s="1" t="n">
        <v>46163</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46163</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46163</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46163</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46163</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7026-2023</t>
        </is>
      </c>
      <c r="B235" s="1" t="n">
        <v>44968.30340277778</v>
      </c>
      <c r="C235" s="1" t="n">
        <v>46163</v>
      </c>
      <c r="D235" t="inlineStr">
        <is>
          <t>GOTLANDS LÄN</t>
        </is>
      </c>
      <c r="E235" t="inlineStr">
        <is>
          <t>GOTLAND</t>
        </is>
      </c>
      <c r="G235" t="n">
        <v>2.9</v>
      </c>
      <c r="H235" t="n">
        <v>0</v>
      </c>
      <c r="I235" t="n">
        <v>0</v>
      </c>
      <c r="J235" t="n">
        <v>0</v>
      </c>
      <c r="K235" t="n">
        <v>0</v>
      </c>
      <c r="L235" t="n">
        <v>0</v>
      </c>
      <c r="M235" t="n">
        <v>0</v>
      </c>
      <c r="N235" t="n">
        <v>0</v>
      </c>
      <c r="O235" t="n">
        <v>0</v>
      </c>
      <c r="P235" t="n">
        <v>0</v>
      </c>
      <c r="Q235" t="n">
        <v>0</v>
      </c>
      <c r="R235" s="2" t="inlineStr"/>
    </row>
    <row r="236" ht="15" customHeight="1">
      <c r="A236" t="inlineStr">
        <is>
          <t>A 52892-2021</t>
        </is>
      </c>
      <c r="B236" s="1" t="n">
        <v>44467.49048611111</v>
      </c>
      <c r="C236" s="1" t="n">
        <v>46163</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1351-2025</t>
        </is>
      </c>
      <c r="B237" s="1" t="n">
        <v>45667.62246527777</v>
      </c>
      <c r="C237" s="1" t="n">
        <v>46163</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46163</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49874-2024</t>
        </is>
      </c>
      <c r="B239" s="1" t="n">
        <v>45597.49274305555</v>
      </c>
      <c r="C239" s="1" t="n">
        <v>46163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51782-2023</t>
        </is>
      </c>
      <c r="B240" s="1" t="n">
        <v>45222.80952546297</v>
      </c>
      <c r="C240" s="1" t="n">
        <v>46163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60675-2021</t>
        </is>
      </c>
      <c r="B241" s="1" t="n">
        <v>44496.64855324074</v>
      </c>
      <c r="C241" s="1" t="n">
        <v>46163</v>
      </c>
      <c r="D241" t="inlineStr">
        <is>
          <t>GOTLANDS LÄN</t>
        </is>
      </c>
      <c r="E241" t="inlineStr">
        <is>
          <t>GOTLAND</t>
        </is>
      </c>
      <c r="G241" t="n">
        <v>4.6</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46163</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46163</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46163</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14638-2025</t>
        </is>
      </c>
      <c r="B245" s="1" t="n">
        <v>45742</v>
      </c>
      <c r="C245" s="1" t="n">
        <v>46163</v>
      </c>
      <c r="D245" t="inlineStr">
        <is>
          <t>GOTLANDS LÄN</t>
        </is>
      </c>
      <c r="E245" t="inlineStr">
        <is>
          <t>GOTLAND</t>
        </is>
      </c>
      <c r="G245" t="n">
        <v>13.4</v>
      </c>
      <c r="H245" t="n">
        <v>0</v>
      </c>
      <c r="I245" t="n">
        <v>0</v>
      </c>
      <c r="J245" t="n">
        <v>0</v>
      </c>
      <c r="K245" t="n">
        <v>0</v>
      </c>
      <c r="L245" t="n">
        <v>0</v>
      </c>
      <c r="M245" t="n">
        <v>0</v>
      </c>
      <c r="N245" t="n">
        <v>0</v>
      </c>
      <c r="O245" t="n">
        <v>0</v>
      </c>
      <c r="P245" t="n">
        <v>0</v>
      </c>
      <c r="Q245" t="n">
        <v>0</v>
      </c>
      <c r="R245" s="2" t="inlineStr"/>
    </row>
    <row r="246" ht="15" customHeight="1">
      <c r="A246" t="inlineStr">
        <is>
          <t>A 33876-2024</t>
        </is>
      </c>
      <c r="B246" s="1" t="n">
        <v>45521.87988425926</v>
      </c>
      <c r="C246" s="1" t="n">
        <v>46163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61962-2024</t>
        </is>
      </c>
      <c r="B247" s="1" t="n">
        <v>45653.54340277778</v>
      </c>
      <c r="C247" s="1" t="n">
        <v>46163</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31264-2021</t>
        </is>
      </c>
      <c r="B248" s="1" t="n">
        <v>44368</v>
      </c>
      <c r="C248" s="1" t="n">
        <v>46163</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46163</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46163</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46163</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46163</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46163</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46163</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46163</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46163</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46163</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46163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22031-2024</t>
        </is>
      </c>
      <c r="B260" s="1" t="n">
        <v>45443.60075231481</v>
      </c>
      <c r="C260" s="1" t="n">
        <v>46163</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45418.43575231481</v>
      </c>
      <c r="C261" s="1" t="n">
        <v>46163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27694-2024</t>
        </is>
      </c>
      <c r="B262" s="1" t="n">
        <v>45475</v>
      </c>
      <c r="C262" s="1" t="n">
        <v>46163</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8260-2023</t>
        </is>
      </c>
      <c r="B263" s="1" t="n">
        <v>44974.61608796296</v>
      </c>
      <c r="C263" s="1" t="n">
        <v>46163</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39764-2022</t>
        </is>
      </c>
      <c r="B264" s="1" t="n">
        <v>44819</v>
      </c>
      <c r="C264" s="1" t="n">
        <v>46163</v>
      </c>
      <c r="D264" t="inlineStr">
        <is>
          <t>GOTLANDS LÄN</t>
        </is>
      </c>
      <c r="E264" t="inlineStr">
        <is>
          <t>GOTLAND</t>
        </is>
      </c>
      <c r="F264" t="inlineStr">
        <is>
          <t>Kyrkan</t>
        </is>
      </c>
      <c r="G264" t="n">
        <v>3.7</v>
      </c>
      <c r="H264" t="n">
        <v>0</v>
      </c>
      <c r="I264" t="n">
        <v>0</v>
      </c>
      <c r="J264" t="n">
        <v>0</v>
      </c>
      <c r="K264" t="n">
        <v>0</v>
      </c>
      <c r="L264" t="n">
        <v>0</v>
      </c>
      <c r="M264" t="n">
        <v>0</v>
      </c>
      <c r="N264" t="n">
        <v>0</v>
      </c>
      <c r="O264" t="n">
        <v>0</v>
      </c>
      <c r="P264" t="n">
        <v>0</v>
      </c>
      <c r="Q264" t="n">
        <v>0</v>
      </c>
      <c r="R264" s="2" t="inlineStr"/>
    </row>
    <row r="265" ht="15" customHeight="1">
      <c r="A265" t="inlineStr">
        <is>
          <t>A 22287-2022</t>
        </is>
      </c>
      <c r="B265" s="1" t="n">
        <v>44712</v>
      </c>
      <c r="C265" s="1" t="n">
        <v>46163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6099-2024</t>
        </is>
      </c>
      <c r="B266" s="1" t="n">
        <v>45337</v>
      </c>
      <c r="C266" s="1" t="n">
        <v>46163</v>
      </c>
      <c r="D266" t="inlineStr">
        <is>
          <t>GOTLANDS LÄN</t>
        </is>
      </c>
      <c r="E266" t="inlineStr">
        <is>
          <t>GOTLAND</t>
        </is>
      </c>
      <c r="G266" t="n">
        <v>12.6</v>
      </c>
      <c r="H266" t="n">
        <v>0</v>
      </c>
      <c r="I266" t="n">
        <v>0</v>
      </c>
      <c r="J266" t="n">
        <v>0</v>
      </c>
      <c r="K266" t="n">
        <v>0</v>
      </c>
      <c r="L266" t="n">
        <v>0</v>
      </c>
      <c r="M266" t="n">
        <v>0</v>
      </c>
      <c r="N266" t="n">
        <v>0</v>
      </c>
      <c r="O266" t="n">
        <v>0</v>
      </c>
      <c r="P266" t="n">
        <v>0</v>
      </c>
      <c r="Q266" t="n">
        <v>0</v>
      </c>
      <c r="R266" s="2" t="inlineStr"/>
    </row>
    <row r="267" ht="15" customHeight="1">
      <c r="A267" t="inlineStr">
        <is>
          <t>A 57534-2022</t>
        </is>
      </c>
      <c r="B267" s="1" t="n">
        <v>44896</v>
      </c>
      <c r="C267" s="1" t="n">
        <v>46163</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29207-2025</t>
        </is>
      </c>
      <c r="B268" s="1" t="n">
        <v>45823</v>
      </c>
      <c r="C268" s="1" t="n">
        <v>46163</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29196-2025</t>
        </is>
      </c>
      <c r="B269" s="1" t="n">
        <v>45822</v>
      </c>
      <c r="C269" s="1" t="n">
        <v>46163</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49693-2023</t>
        </is>
      </c>
      <c r="B270" s="1" t="n">
        <v>45212.38138888889</v>
      </c>
      <c r="C270" s="1" t="n">
        <v>46163</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49697-2023</t>
        </is>
      </c>
      <c r="B271" s="1" t="n">
        <v>45212.38909722222</v>
      </c>
      <c r="C271" s="1" t="n">
        <v>46163</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20356-2022</t>
        </is>
      </c>
      <c r="B272" s="1" t="n">
        <v>44699</v>
      </c>
      <c r="C272" s="1" t="n">
        <v>46163</v>
      </c>
      <c r="D272" t="inlineStr">
        <is>
          <t>GOTLANDS LÄN</t>
        </is>
      </c>
      <c r="E272" t="inlineStr">
        <is>
          <t>GOTLAND</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46163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30061-2025</t>
        </is>
      </c>
      <c r="B274" s="1" t="n">
        <v>45826.61488425926</v>
      </c>
      <c r="C274" s="1" t="n">
        <v>46163</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64660-2023</t>
        </is>
      </c>
      <c r="B275" s="1" t="n">
        <v>45281.60122685185</v>
      </c>
      <c r="C275" s="1" t="n">
        <v>46163</v>
      </c>
      <c r="D275" t="inlineStr">
        <is>
          <t>GOTLANDS LÄN</t>
        </is>
      </c>
      <c r="E275" t="inlineStr">
        <is>
          <t>GOTLAND</t>
        </is>
      </c>
      <c r="G275" t="n">
        <v>6.3</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46163</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58160-2024</t>
        </is>
      </c>
      <c r="B277" s="1" t="n">
        <v>45632.44927083333</v>
      </c>
      <c r="C277" s="1" t="n">
        <v>46163</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46163</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7627-2026</t>
        </is>
      </c>
      <c r="B279" s="1" t="n">
        <v>46062.35465277778</v>
      </c>
      <c r="C279" s="1" t="n">
        <v>46163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63105-2025</t>
        </is>
      </c>
      <c r="B280" s="1" t="n">
        <v>46009</v>
      </c>
      <c r="C280" s="1" t="n">
        <v>46163</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46163</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46163</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39849-2025</t>
        </is>
      </c>
      <c r="B283" s="1" t="n">
        <v>45891.58502314815</v>
      </c>
      <c r="C283" s="1" t="n">
        <v>46163</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1000-2024</t>
        </is>
      </c>
      <c r="B284" s="1" t="n">
        <v>45301.63371527778</v>
      </c>
      <c r="C284" s="1" t="n">
        <v>46163</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1010-2024</t>
        </is>
      </c>
      <c r="B285" s="1" t="n">
        <v>45301</v>
      </c>
      <c r="C285" s="1" t="n">
        <v>46163</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65249-2023</t>
        </is>
      </c>
      <c r="B286" s="1" t="n">
        <v>45290</v>
      </c>
      <c r="C286" s="1" t="n">
        <v>46163</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16109-2025</t>
        </is>
      </c>
      <c r="B287" s="1" t="n">
        <v>45750</v>
      </c>
      <c r="C287" s="1" t="n">
        <v>46163</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32467-2025</t>
        </is>
      </c>
      <c r="B288" s="1" t="n">
        <v>45838.42111111111</v>
      </c>
      <c r="C288" s="1" t="n">
        <v>46163</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39814-2025</t>
        </is>
      </c>
      <c r="B289" s="1" t="n">
        <v>45891.52694444444</v>
      </c>
      <c r="C289" s="1" t="n">
        <v>46163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39819-2025</t>
        </is>
      </c>
      <c r="B290" s="1" t="n">
        <v>45891.53418981482</v>
      </c>
      <c r="C290" s="1" t="n">
        <v>46163</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7625-2026</t>
        </is>
      </c>
      <c r="B291" s="1" t="n">
        <v>46062.35135416667</v>
      </c>
      <c r="C291" s="1" t="n">
        <v>46163</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2135-2026</t>
        </is>
      </c>
      <c r="B292" s="1" t="n">
        <v>46036</v>
      </c>
      <c r="C292" s="1" t="n">
        <v>46163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46163</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39752-2025</t>
        </is>
      </c>
      <c r="B294" s="1" t="n">
        <v>45891</v>
      </c>
      <c r="C294" s="1" t="n">
        <v>46163</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46163</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46163</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12596-2023</t>
        </is>
      </c>
      <c r="B297" s="1" t="n">
        <v>45000.43310185185</v>
      </c>
      <c r="C297" s="1" t="n">
        <v>46163</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46163</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32379-2025</t>
        </is>
      </c>
      <c r="B299" s="1" t="n">
        <v>45837</v>
      </c>
      <c r="C299" s="1" t="n">
        <v>46163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8045-2022</t>
        </is>
      </c>
      <c r="B300" s="1" t="n">
        <v>44609</v>
      </c>
      <c r="C300" s="1" t="n">
        <v>46163</v>
      </c>
      <c r="D300" t="inlineStr">
        <is>
          <t>GOTLANDS LÄN</t>
        </is>
      </c>
      <c r="E300" t="inlineStr">
        <is>
          <t>GOTLAND</t>
        </is>
      </c>
      <c r="G300" t="n">
        <v>7</v>
      </c>
      <c r="H300" t="n">
        <v>0</v>
      </c>
      <c r="I300" t="n">
        <v>0</v>
      </c>
      <c r="J300" t="n">
        <v>0</v>
      </c>
      <c r="K300" t="n">
        <v>0</v>
      </c>
      <c r="L300" t="n">
        <v>0</v>
      </c>
      <c r="M300" t="n">
        <v>0</v>
      </c>
      <c r="N300" t="n">
        <v>0</v>
      </c>
      <c r="O300" t="n">
        <v>0</v>
      </c>
      <c r="P300" t="n">
        <v>0</v>
      </c>
      <c r="Q300" t="n">
        <v>0</v>
      </c>
      <c r="R300" s="2" t="inlineStr"/>
    </row>
    <row r="301" ht="15" customHeight="1">
      <c r="A301" t="inlineStr">
        <is>
          <t>A 33007-2025</t>
        </is>
      </c>
      <c r="B301" s="1" t="n">
        <v>45840</v>
      </c>
      <c r="C301" s="1" t="n">
        <v>46163</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46163</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46163</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999-2024</t>
        </is>
      </c>
      <c r="B304" s="1" t="n">
        <v>45301</v>
      </c>
      <c r="C304" s="1" t="n">
        <v>46163</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65901-2021</t>
        </is>
      </c>
      <c r="B305" s="1" t="n">
        <v>44516</v>
      </c>
      <c r="C305" s="1" t="n">
        <v>46163</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2134-2026</t>
        </is>
      </c>
      <c r="B306" s="1" t="n">
        <v>46036</v>
      </c>
      <c r="C306" s="1" t="n">
        <v>46163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47762-2023</t>
        </is>
      </c>
      <c r="B307" s="1" t="n">
        <v>45203.86256944444</v>
      </c>
      <c r="C307" s="1" t="n">
        <v>46163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40294-2022</t>
        </is>
      </c>
      <c r="B308" s="1" t="n">
        <v>44821</v>
      </c>
      <c r="C308" s="1" t="n">
        <v>46163</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27602-2023</t>
        </is>
      </c>
      <c r="B309" s="1" t="n">
        <v>45097</v>
      </c>
      <c r="C309" s="1" t="n">
        <v>46163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46163</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46163</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24192-2023</t>
        </is>
      </c>
      <c r="B312" s="1" t="n">
        <v>45079</v>
      </c>
      <c r="C312" s="1" t="n">
        <v>46163</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30282-2022</t>
        </is>
      </c>
      <c r="B313" s="1" t="n">
        <v>44760</v>
      </c>
      <c r="C313" s="1" t="n">
        <v>46163</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41551-2025</t>
        </is>
      </c>
      <c r="B314" s="1" t="n">
        <v>45901.58854166666</v>
      </c>
      <c r="C314" s="1" t="n">
        <v>46163</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15413-2025</t>
        </is>
      </c>
      <c r="B315" s="1" t="n">
        <v>45747.451875</v>
      </c>
      <c r="C315" s="1" t="n">
        <v>46163</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7835-2024</t>
        </is>
      </c>
      <c r="B316" s="1" t="n">
        <v>45349.83138888889</v>
      </c>
      <c r="C316" s="1" t="n">
        <v>46163</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10650-2022</t>
        </is>
      </c>
      <c r="B317" s="1" t="n">
        <v>44624.57945601852</v>
      </c>
      <c r="C317" s="1" t="n">
        <v>46163</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35096-2025</t>
        </is>
      </c>
      <c r="B318" s="1" t="n">
        <v>45852.54356481481</v>
      </c>
      <c r="C318" s="1" t="n">
        <v>46163</v>
      </c>
      <c r="D318" t="inlineStr">
        <is>
          <t>GOTLANDS LÄN</t>
        </is>
      </c>
      <c r="E318" t="inlineStr">
        <is>
          <t>GOTLAND</t>
        </is>
      </c>
      <c r="F318" t="inlineStr">
        <is>
          <t>Kyrkan</t>
        </is>
      </c>
      <c r="G318" t="n">
        <v>1</v>
      </c>
      <c r="H318" t="n">
        <v>0</v>
      </c>
      <c r="I318" t="n">
        <v>0</v>
      </c>
      <c r="J318" t="n">
        <v>0</v>
      </c>
      <c r="K318" t="n">
        <v>0</v>
      </c>
      <c r="L318" t="n">
        <v>0</v>
      </c>
      <c r="M318" t="n">
        <v>0</v>
      </c>
      <c r="N318" t="n">
        <v>0</v>
      </c>
      <c r="O318" t="n">
        <v>0</v>
      </c>
      <c r="P318" t="n">
        <v>0</v>
      </c>
      <c r="Q318" t="n">
        <v>0</v>
      </c>
      <c r="R318" s="2" t="inlineStr"/>
    </row>
    <row r="319" ht="15" customHeight="1">
      <c r="A319" t="inlineStr">
        <is>
          <t>A 35123-2025</t>
        </is>
      </c>
      <c r="B319" s="1" t="n">
        <v>45852.614375</v>
      </c>
      <c r="C319" s="1" t="n">
        <v>46163</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39278-2025</t>
        </is>
      </c>
      <c r="B320" s="1" t="n">
        <v>45889</v>
      </c>
      <c r="C320" s="1" t="n">
        <v>46163</v>
      </c>
      <c r="D320" t="inlineStr">
        <is>
          <t>GOTLANDS LÄN</t>
        </is>
      </c>
      <c r="E320" t="inlineStr">
        <is>
          <t>GOTLAND</t>
        </is>
      </c>
      <c r="G320" t="n">
        <v>3.7</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46163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35290-2025</t>
        </is>
      </c>
      <c r="B322" s="1" t="n">
        <v>45854.38502314815</v>
      </c>
      <c r="C322" s="1" t="n">
        <v>46163</v>
      </c>
      <c r="D322" t="inlineStr">
        <is>
          <t>GOTLANDS LÄN</t>
        </is>
      </c>
      <c r="E322" t="inlineStr">
        <is>
          <t>GOTLAND</t>
        </is>
      </c>
      <c r="G322" t="n">
        <v>5.4</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46163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30104-2025</t>
        </is>
      </c>
      <c r="B324" s="1" t="n">
        <v>45826.68806712963</v>
      </c>
      <c r="C324" s="1" t="n">
        <v>46163</v>
      </c>
      <c r="D324" t="inlineStr">
        <is>
          <t>GOTLANDS LÄN</t>
        </is>
      </c>
      <c r="E324" t="inlineStr">
        <is>
          <t>GOTLAND</t>
        </is>
      </c>
      <c r="G324" t="n">
        <v>15.4</v>
      </c>
      <c r="H324" t="n">
        <v>0</v>
      </c>
      <c r="I324" t="n">
        <v>0</v>
      </c>
      <c r="J324" t="n">
        <v>0</v>
      </c>
      <c r="K324" t="n">
        <v>0</v>
      </c>
      <c r="L324" t="n">
        <v>0</v>
      </c>
      <c r="M324" t="n">
        <v>0</v>
      </c>
      <c r="N324" t="n">
        <v>0</v>
      </c>
      <c r="O324" t="n">
        <v>0</v>
      </c>
      <c r="P324" t="n">
        <v>0</v>
      </c>
      <c r="Q324" t="n">
        <v>0</v>
      </c>
      <c r="R324" s="2" t="inlineStr"/>
    </row>
    <row r="325" ht="15" customHeight="1">
      <c r="A325" t="inlineStr">
        <is>
          <t>A 32669-2024</t>
        </is>
      </c>
      <c r="B325" s="1" t="n">
        <v>45514</v>
      </c>
      <c r="C325" s="1" t="n">
        <v>46163</v>
      </c>
      <c r="D325" t="inlineStr">
        <is>
          <t>GOTLANDS LÄN</t>
        </is>
      </c>
      <c r="E325" t="inlineStr">
        <is>
          <t>GOTLAND</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28425-2023</t>
        </is>
      </c>
      <c r="B326" s="1" t="n">
        <v>45102</v>
      </c>
      <c r="C326" s="1" t="n">
        <v>46163</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35537-2025</t>
        </is>
      </c>
      <c r="B327" s="1" t="n">
        <v>45856</v>
      </c>
      <c r="C327" s="1" t="n">
        <v>46163</v>
      </c>
      <c r="D327" t="inlineStr">
        <is>
          <t>GOTLANDS LÄN</t>
        </is>
      </c>
      <c r="E327" t="inlineStr">
        <is>
          <t>GOTLAND</t>
        </is>
      </c>
      <c r="G327" t="n">
        <v>16.8</v>
      </c>
      <c r="H327" t="n">
        <v>0</v>
      </c>
      <c r="I327" t="n">
        <v>0</v>
      </c>
      <c r="J327" t="n">
        <v>0</v>
      </c>
      <c r="K327" t="n">
        <v>0</v>
      </c>
      <c r="L327" t="n">
        <v>0</v>
      </c>
      <c r="M327" t="n">
        <v>0</v>
      </c>
      <c r="N327" t="n">
        <v>0</v>
      </c>
      <c r="O327" t="n">
        <v>0</v>
      </c>
      <c r="P327" t="n">
        <v>0</v>
      </c>
      <c r="Q327" t="n">
        <v>0</v>
      </c>
      <c r="R327" s="2" t="inlineStr"/>
    </row>
    <row r="328" ht="15" customHeight="1">
      <c r="A328" t="inlineStr">
        <is>
          <t>A 13037-2025</t>
        </is>
      </c>
      <c r="B328" s="1" t="n">
        <v>45734</v>
      </c>
      <c r="C328" s="1" t="n">
        <v>46163</v>
      </c>
      <c r="D328" t="inlineStr">
        <is>
          <t>GOTLANDS LÄN</t>
        </is>
      </c>
      <c r="E328" t="inlineStr">
        <is>
          <t>GOTLAND</t>
        </is>
      </c>
      <c r="G328" t="n">
        <v>9.5</v>
      </c>
      <c r="H328" t="n">
        <v>0</v>
      </c>
      <c r="I328" t="n">
        <v>0</v>
      </c>
      <c r="J328" t="n">
        <v>0</v>
      </c>
      <c r="K328" t="n">
        <v>0</v>
      </c>
      <c r="L328" t="n">
        <v>0</v>
      </c>
      <c r="M328" t="n">
        <v>0</v>
      </c>
      <c r="N328" t="n">
        <v>0</v>
      </c>
      <c r="O328" t="n">
        <v>0</v>
      </c>
      <c r="P328" t="n">
        <v>0</v>
      </c>
      <c r="Q328" t="n">
        <v>0</v>
      </c>
      <c r="R328" s="2" t="inlineStr"/>
    </row>
    <row r="329" ht="15" customHeight="1">
      <c r="A329" t="inlineStr">
        <is>
          <t>A 42608-2025</t>
        </is>
      </c>
      <c r="B329" s="1" t="n">
        <v>45905</v>
      </c>
      <c r="C329" s="1" t="n">
        <v>46163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16373-2025</t>
        </is>
      </c>
      <c r="B330" s="1" t="n">
        <v>45751</v>
      </c>
      <c r="C330" s="1" t="n">
        <v>46163</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30488-2025</t>
        </is>
      </c>
      <c r="B331" s="1" t="n">
        <v>45830</v>
      </c>
      <c r="C331" s="1" t="n">
        <v>46163</v>
      </c>
      <c r="D331" t="inlineStr">
        <is>
          <t>GOTLANDS LÄN</t>
        </is>
      </c>
      <c r="E331" t="inlineStr">
        <is>
          <t>GOTLAND</t>
        </is>
      </c>
      <c r="F331" t="inlineStr">
        <is>
          <t>Kyrkan</t>
        </is>
      </c>
      <c r="G331" t="n">
        <v>3.9</v>
      </c>
      <c r="H331" t="n">
        <v>0</v>
      </c>
      <c r="I331" t="n">
        <v>0</v>
      </c>
      <c r="J331" t="n">
        <v>0</v>
      </c>
      <c r="K331" t="n">
        <v>0</v>
      </c>
      <c r="L331" t="n">
        <v>0</v>
      </c>
      <c r="M331" t="n">
        <v>0</v>
      </c>
      <c r="N331" t="n">
        <v>0</v>
      </c>
      <c r="O331" t="n">
        <v>0</v>
      </c>
      <c r="P331" t="n">
        <v>0</v>
      </c>
      <c r="Q331" t="n">
        <v>0</v>
      </c>
      <c r="R331" s="2" t="inlineStr"/>
    </row>
    <row r="332" ht="15" customHeight="1">
      <c r="A332" t="inlineStr">
        <is>
          <t>A 15216-2025</t>
        </is>
      </c>
      <c r="B332" s="1" t="n">
        <v>45744</v>
      </c>
      <c r="C332" s="1" t="n">
        <v>46163</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15001-2025</t>
        </is>
      </c>
      <c r="B333" s="1" t="n">
        <v>45743</v>
      </c>
      <c r="C333" s="1" t="n">
        <v>46163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43790-2024</t>
        </is>
      </c>
      <c r="B334" s="1" t="n">
        <v>45571</v>
      </c>
      <c r="C334" s="1" t="n">
        <v>46163</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17847-2025</t>
        </is>
      </c>
      <c r="B335" s="1" t="n">
        <v>45758</v>
      </c>
      <c r="C335" s="1" t="n">
        <v>46163</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10746-2025</t>
        </is>
      </c>
      <c r="B336" s="1" t="n">
        <v>45722.42766203704</v>
      </c>
      <c r="C336" s="1" t="n">
        <v>46163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18742-2025</t>
        </is>
      </c>
      <c r="B337" s="1" t="n">
        <v>45763</v>
      </c>
      <c r="C337" s="1" t="n">
        <v>46163</v>
      </c>
      <c r="D337" t="inlineStr">
        <is>
          <t>GOTLANDS LÄN</t>
        </is>
      </c>
      <c r="E337" t="inlineStr">
        <is>
          <t>GOTLAND</t>
        </is>
      </c>
      <c r="G337" t="n">
        <v>3.4</v>
      </c>
      <c r="H337" t="n">
        <v>0</v>
      </c>
      <c r="I337" t="n">
        <v>0</v>
      </c>
      <c r="J337" t="n">
        <v>0</v>
      </c>
      <c r="K337" t="n">
        <v>0</v>
      </c>
      <c r="L337" t="n">
        <v>0</v>
      </c>
      <c r="M337" t="n">
        <v>0</v>
      </c>
      <c r="N337" t="n">
        <v>0</v>
      </c>
      <c r="O337" t="n">
        <v>0</v>
      </c>
      <c r="P337" t="n">
        <v>0</v>
      </c>
      <c r="Q337" t="n">
        <v>0</v>
      </c>
      <c r="R337" s="2" t="inlineStr"/>
    </row>
    <row r="338" ht="15" customHeight="1">
      <c r="A338" t="inlineStr">
        <is>
          <t>A 35129-2025</t>
        </is>
      </c>
      <c r="B338" s="1" t="n">
        <v>45852.63224537037</v>
      </c>
      <c r="C338" s="1" t="n">
        <v>46163</v>
      </c>
      <c r="D338" t="inlineStr">
        <is>
          <t>GOTLANDS LÄN</t>
        </is>
      </c>
      <c r="E338" t="inlineStr">
        <is>
          <t>GOTLAND</t>
        </is>
      </c>
      <c r="G338" t="n">
        <v>3.2</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46163</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43911-2025</t>
        </is>
      </c>
      <c r="B340" s="1" t="n">
        <v>45914.3881712963</v>
      </c>
      <c r="C340" s="1" t="n">
        <v>46163</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43229-2023</t>
        </is>
      </c>
      <c r="B341" s="1" t="n">
        <v>45183.46704861111</v>
      </c>
      <c r="C341" s="1" t="n">
        <v>46163</v>
      </c>
      <c r="D341" t="inlineStr">
        <is>
          <t>GOTLANDS LÄN</t>
        </is>
      </c>
      <c r="E341" t="inlineStr">
        <is>
          <t>GOTLAND</t>
        </is>
      </c>
      <c r="G341" t="n">
        <v>7.1</v>
      </c>
      <c r="H341" t="n">
        <v>0</v>
      </c>
      <c r="I341" t="n">
        <v>0</v>
      </c>
      <c r="J341" t="n">
        <v>0</v>
      </c>
      <c r="K341" t="n">
        <v>0</v>
      </c>
      <c r="L341" t="n">
        <v>0</v>
      </c>
      <c r="M341" t="n">
        <v>0</v>
      </c>
      <c r="N341" t="n">
        <v>0</v>
      </c>
      <c r="O341" t="n">
        <v>0</v>
      </c>
      <c r="P341" t="n">
        <v>0</v>
      </c>
      <c r="Q341" t="n">
        <v>0</v>
      </c>
      <c r="R341" s="2" t="inlineStr"/>
    </row>
    <row r="342" ht="15" customHeight="1">
      <c r="A342" t="inlineStr">
        <is>
          <t>A 53561-2025</t>
        </is>
      </c>
      <c r="B342" s="1" t="n">
        <v>45960.4059375</v>
      </c>
      <c r="C342" s="1" t="n">
        <v>46163</v>
      </c>
      <c r="D342" t="inlineStr">
        <is>
          <t>GOTLANDS LÄN</t>
        </is>
      </c>
      <c r="E342" t="inlineStr">
        <is>
          <t>GOTLAND</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41038-2023</t>
        </is>
      </c>
      <c r="B343" s="1" t="n">
        <v>45173.60959490741</v>
      </c>
      <c r="C343" s="1" t="n">
        <v>46163</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53587-2025</t>
        </is>
      </c>
      <c r="B344" s="1" t="n">
        <v>45960.43681712963</v>
      </c>
      <c r="C344" s="1" t="n">
        <v>46163</v>
      </c>
      <c r="D344" t="inlineStr">
        <is>
          <t>GOTLANDS LÄN</t>
        </is>
      </c>
      <c r="E344" t="inlineStr">
        <is>
          <t>GOTLAND</t>
        </is>
      </c>
      <c r="F344" t="inlineStr">
        <is>
          <t>Övriga Aktiebolag</t>
        </is>
      </c>
      <c r="G344" t="n">
        <v>1.7</v>
      </c>
      <c r="H344" t="n">
        <v>0</v>
      </c>
      <c r="I344" t="n">
        <v>0</v>
      </c>
      <c r="J344" t="n">
        <v>0</v>
      </c>
      <c r="K344" t="n">
        <v>0</v>
      </c>
      <c r="L344" t="n">
        <v>0</v>
      </c>
      <c r="M344" t="n">
        <v>0</v>
      </c>
      <c r="N344" t="n">
        <v>0</v>
      </c>
      <c r="O344" t="n">
        <v>0</v>
      </c>
      <c r="P344" t="n">
        <v>0</v>
      </c>
      <c r="Q344" t="n">
        <v>0</v>
      </c>
      <c r="R344" s="2" t="inlineStr"/>
    </row>
    <row r="345" ht="15" customHeight="1">
      <c r="A345" t="inlineStr">
        <is>
          <t>A 43951-2025</t>
        </is>
      </c>
      <c r="B345" s="1" t="n">
        <v>45915.38119212963</v>
      </c>
      <c r="C345" s="1" t="n">
        <v>46163</v>
      </c>
      <c r="D345" t="inlineStr">
        <is>
          <t>GOTLANDS LÄN</t>
        </is>
      </c>
      <c r="E345" t="inlineStr">
        <is>
          <t>GOTLAND</t>
        </is>
      </c>
      <c r="G345" t="n">
        <v>4.4</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46163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30489-2025</t>
        </is>
      </c>
      <c r="B347" s="1" t="n">
        <v>45830</v>
      </c>
      <c r="C347" s="1" t="n">
        <v>46163</v>
      </c>
      <c r="D347" t="inlineStr">
        <is>
          <t>GOTLANDS LÄN</t>
        </is>
      </c>
      <c r="E347" t="inlineStr">
        <is>
          <t>GOTLAND</t>
        </is>
      </c>
      <c r="G347" t="n">
        <v>4.6</v>
      </c>
      <c r="H347" t="n">
        <v>0</v>
      </c>
      <c r="I347" t="n">
        <v>0</v>
      </c>
      <c r="J347" t="n">
        <v>0</v>
      </c>
      <c r="K347" t="n">
        <v>0</v>
      </c>
      <c r="L347" t="n">
        <v>0</v>
      </c>
      <c r="M347" t="n">
        <v>0</v>
      </c>
      <c r="N347" t="n">
        <v>0</v>
      </c>
      <c r="O347" t="n">
        <v>0</v>
      </c>
      <c r="P347" t="n">
        <v>0</v>
      </c>
      <c r="Q347" t="n">
        <v>0</v>
      </c>
      <c r="R347" s="2" t="inlineStr"/>
    </row>
    <row r="348" ht="15" customHeight="1">
      <c r="A348" t="inlineStr">
        <is>
          <t>A 44405-2025</t>
        </is>
      </c>
      <c r="B348" s="1" t="n">
        <v>45916.52405092592</v>
      </c>
      <c r="C348" s="1" t="n">
        <v>46163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9540-2026</t>
        </is>
      </c>
      <c r="B349" s="1" t="n">
        <v>46071.61961805556</v>
      </c>
      <c r="C349" s="1" t="n">
        <v>46163</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21142-2025</t>
        </is>
      </c>
      <c r="B350" s="1" t="n">
        <v>45779</v>
      </c>
      <c r="C350" s="1" t="n">
        <v>46163</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6108-2025</t>
        </is>
      </c>
      <c r="B351" s="1" t="n">
        <v>45698.29880787037</v>
      </c>
      <c r="C351" s="1" t="n">
        <v>46163</v>
      </c>
      <c r="D351" t="inlineStr">
        <is>
          <t>GOTLANDS LÄN</t>
        </is>
      </c>
      <c r="E351" t="inlineStr">
        <is>
          <t>GOTLAND</t>
        </is>
      </c>
      <c r="G351" t="n">
        <v>2.8</v>
      </c>
      <c r="H351" t="n">
        <v>0</v>
      </c>
      <c r="I351" t="n">
        <v>0</v>
      </c>
      <c r="J351" t="n">
        <v>0</v>
      </c>
      <c r="K351" t="n">
        <v>0</v>
      </c>
      <c r="L351" t="n">
        <v>0</v>
      </c>
      <c r="M351" t="n">
        <v>0</v>
      </c>
      <c r="N351" t="n">
        <v>0</v>
      </c>
      <c r="O351" t="n">
        <v>0</v>
      </c>
      <c r="P351" t="n">
        <v>0</v>
      </c>
      <c r="Q351" t="n">
        <v>0</v>
      </c>
      <c r="R351" s="2" t="inlineStr"/>
    </row>
    <row r="352" ht="15" customHeight="1">
      <c r="A352" t="inlineStr">
        <is>
          <t>A 17343-2025</t>
        </is>
      </c>
      <c r="B352" s="1" t="n">
        <v>45756.6687037037</v>
      </c>
      <c r="C352" s="1" t="n">
        <v>46163</v>
      </c>
      <c r="D352" t="inlineStr">
        <is>
          <t>GOTLANDS LÄN</t>
        </is>
      </c>
      <c r="E352" t="inlineStr">
        <is>
          <t>GOTLAND</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18938-2025</t>
        </is>
      </c>
      <c r="B353" s="1" t="n">
        <v>45764.49172453704</v>
      </c>
      <c r="C353" s="1" t="n">
        <v>46163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20307-2025</t>
        </is>
      </c>
      <c r="B354" s="1" t="n">
        <v>45774.95546296296</v>
      </c>
      <c r="C354" s="1" t="n">
        <v>46163</v>
      </c>
      <c r="D354" t="inlineStr">
        <is>
          <t>GOTLANDS LÄN</t>
        </is>
      </c>
      <c r="E354" t="inlineStr">
        <is>
          <t>GOTLAND</t>
        </is>
      </c>
      <c r="G354" t="n">
        <v>6.8</v>
      </c>
      <c r="H354" t="n">
        <v>0</v>
      </c>
      <c r="I354" t="n">
        <v>0</v>
      </c>
      <c r="J354" t="n">
        <v>0</v>
      </c>
      <c r="K354" t="n">
        <v>0</v>
      </c>
      <c r="L354" t="n">
        <v>0</v>
      </c>
      <c r="M354" t="n">
        <v>0</v>
      </c>
      <c r="N354" t="n">
        <v>0</v>
      </c>
      <c r="O354" t="n">
        <v>0</v>
      </c>
      <c r="P354" t="n">
        <v>0</v>
      </c>
      <c r="Q354" t="n">
        <v>0</v>
      </c>
      <c r="R354" s="2" t="inlineStr"/>
    </row>
    <row r="355" ht="15" customHeight="1">
      <c r="A355" t="inlineStr">
        <is>
          <t>A 9521-2026</t>
        </is>
      </c>
      <c r="B355" s="1" t="n">
        <v>46071.59969907408</v>
      </c>
      <c r="C355" s="1" t="n">
        <v>46163</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9524-2026</t>
        </is>
      </c>
      <c r="B356" s="1" t="n">
        <v>46071.60108796296</v>
      </c>
      <c r="C356" s="1" t="n">
        <v>46163</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9543-2026</t>
        </is>
      </c>
      <c r="B357" s="1" t="n">
        <v>46071.62486111111</v>
      </c>
      <c r="C357" s="1" t="n">
        <v>46163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24966-2023</t>
        </is>
      </c>
      <c r="B358" s="1" t="n">
        <v>45085</v>
      </c>
      <c r="C358" s="1" t="n">
        <v>46163</v>
      </c>
      <c r="D358" t="inlineStr">
        <is>
          <t>GOTLANDS LÄN</t>
        </is>
      </c>
      <c r="E358" t="inlineStr">
        <is>
          <t>GOTLAND</t>
        </is>
      </c>
      <c r="G358" t="n">
        <v>7</v>
      </c>
      <c r="H358" t="n">
        <v>0</v>
      </c>
      <c r="I358" t="n">
        <v>0</v>
      </c>
      <c r="J358" t="n">
        <v>0</v>
      </c>
      <c r="K358" t="n">
        <v>0</v>
      </c>
      <c r="L358" t="n">
        <v>0</v>
      </c>
      <c r="M358" t="n">
        <v>0</v>
      </c>
      <c r="N358" t="n">
        <v>0</v>
      </c>
      <c r="O358" t="n">
        <v>0</v>
      </c>
      <c r="P358" t="n">
        <v>0</v>
      </c>
      <c r="Q358" t="n">
        <v>0</v>
      </c>
      <c r="R358" s="2" t="inlineStr"/>
    </row>
    <row r="359" ht="15" customHeight="1">
      <c r="A359" t="inlineStr">
        <is>
          <t>A 57652-2023</t>
        </is>
      </c>
      <c r="B359" s="1" t="n">
        <v>45246</v>
      </c>
      <c r="C359" s="1" t="n">
        <v>46163</v>
      </c>
      <c r="D359" t="inlineStr">
        <is>
          <t>GOTLANDS LÄN</t>
        </is>
      </c>
      <c r="E359" t="inlineStr">
        <is>
          <t>GOTLAND</t>
        </is>
      </c>
      <c r="G359" t="n">
        <v>7.2</v>
      </c>
      <c r="H359" t="n">
        <v>0</v>
      </c>
      <c r="I359" t="n">
        <v>0</v>
      </c>
      <c r="J359" t="n">
        <v>0</v>
      </c>
      <c r="K359" t="n">
        <v>0</v>
      </c>
      <c r="L359" t="n">
        <v>0</v>
      </c>
      <c r="M359" t="n">
        <v>0</v>
      </c>
      <c r="N359" t="n">
        <v>0</v>
      </c>
      <c r="O359" t="n">
        <v>0</v>
      </c>
      <c r="P359" t="n">
        <v>0</v>
      </c>
      <c r="Q359" t="n">
        <v>0</v>
      </c>
      <c r="R359" s="2" t="inlineStr"/>
    </row>
    <row r="360" ht="15" customHeight="1">
      <c r="A360" t="inlineStr">
        <is>
          <t>A 46189-2022</t>
        </is>
      </c>
      <c r="B360" s="1" t="n">
        <v>44847</v>
      </c>
      <c r="C360" s="1" t="n">
        <v>46163</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9504-2026</t>
        </is>
      </c>
      <c r="B361" s="1" t="n">
        <v>46071.57730324074</v>
      </c>
      <c r="C361" s="1" t="n">
        <v>46163</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9518-2026</t>
        </is>
      </c>
      <c r="B362" s="1" t="n">
        <v>46071.59653935185</v>
      </c>
      <c r="C362" s="1" t="n">
        <v>46163</v>
      </c>
      <c r="D362" t="inlineStr">
        <is>
          <t>GOTLANDS LÄN</t>
        </is>
      </c>
      <c r="E362" t="inlineStr">
        <is>
          <t>GOTLAND</t>
        </is>
      </c>
      <c r="G362" t="n">
        <v>6.2</v>
      </c>
      <c r="H362" t="n">
        <v>0</v>
      </c>
      <c r="I362" t="n">
        <v>0</v>
      </c>
      <c r="J362" t="n">
        <v>0</v>
      </c>
      <c r="K362" t="n">
        <v>0</v>
      </c>
      <c r="L362" t="n">
        <v>0</v>
      </c>
      <c r="M362" t="n">
        <v>0</v>
      </c>
      <c r="N362" t="n">
        <v>0</v>
      </c>
      <c r="O362" t="n">
        <v>0</v>
      </c>
      <c r="P362" t="n">
        <v>0</v>
      </c>
      <c r="Q362" t="n">
        <v>0</v>
      </c>
      <c r="R362" s="2" t="inlineStr"/>
    </row>
    <row r="363" ht="15" customHeight="1">
      <c r="A363" t="inlineStr">
        <is>
          <t>A 9519-2026</t>
        </is>
      </c>
      <c r="B363" s="1" t="n">
        <v>46071.59820601852</v>
      </c>
      <c r="C363" s="1" t="n">
        <v>46163</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46163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18993-2025</t>
        </is>
      </c>
      <c r="B365" s="1" t="n">
        <v>45764</v>
      </c>
      <c r="C365" s="1" t="n">
        <v>46163</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30135-2025</t>
        </is>
      </c>
      <c r="B366" s="1" t="n">
        <v>45826</v>
      </c>
      <c r="C366" s="1" t="n">
        <v>46163</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14797-2024</t>
        </is>
      </c>
      <c r="B367" s="1" t="n">
        <v>45397.87030092593</v>
      </c>
      <c r="C367" s="1" t="n">
        <v>46163</v>
      </c>
      <c r="D367" t="inlineStr">
        <is>
          <t>GOTLANDS LÄN</t>
        </is>
      </c>
      <c r="E367" t="inlineStr">
        <is>
          <t>GOTLAND</t>
        </is>
      </c>
      <c r="G367" t="n">
        <v>8.1</v>
      </c>
      <c r="H367" t="n">
        <v>0</v>
      </c>
      <c r="I367" t="n">
        <v>0</v>
      </c>
      <c r="J367" t="n">
        <v>0</v>
      </c>
      <c r="K367" t="n">
        <v>0</v>
      </c>
      <c r="L367" t="n">
        <v>0</v>
      </c>
      <c r="M367" t="n">
        <v>0</v>
      </c>
      <c r="N367" t="n">
        <v>0</v>
      </c>
      <c r="O367" t="n">
        <v>0</v>
      </c>
      <c r="P367" t="n">
        <v>0</v>
      </c>
      <c r="Q367" t="n">
        <v>0</v>
      </c>
      <c r="R367" s="2" t="inlineStr"/>
    </row>
    <row r="368" ht="15" customHeight="1">
      <c r="A368" t="inlineStr">
        <is>
          <t>A 9901-2026</t>
        </is>
      </c>
      <c r="B368" s="1" t="n">
        <v>46073.40391203704</v>
      </c>
      <c r="C368" s="1" t="n">
        <v>46163</v>
      </c>
      <c r="D368" t="inlineStr">
        <is>
          <t>GOTLANDS LÄN</t>
        </is>
      </c>
      <c r="E368" t="inlineStr">
        <is>
          <t>GOTLAND</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7837-2024</t>
        </is>
      </c>
      <c r="B369" s="1" t="n">
        <v>45349.83787037037</v>
      </c>
      <c r="C369" s="1" t="n">
        <v>46163</v>
      </c>
      <c r="D369" t="inlineStr">
        <is>
          <t>GOTLANDS LÄN</t>
        </is>
      </c>
      <c r="E369" t="inlineStr">
        <is>
          <t>GOTLAND</t>
        </is>
      </c>
      <c r="G369" t="n">
        <v>5</v>
      </c>
      <c r="H369" t="n">
        <v>0</v>
      </c>
      <c r="I369" t="n">
        <v>0</v>
      </c>
      <c r="J369" t="n">
        <v>0</v>
      </c>
      <c r="K369" t="n">
        <v>0</v>
      </c>
      <c r="L369" t="n">
        <v>0</v>
      </c>
      <c r="M369" t="n">
        <v>0</v>
      </c>
      <c r="N369" t="n">
        <v>0</v>
      </c>
      <c r="O369" t="n">
        <v>0</v>
      </c>
      <c r="P369" t="n">
        <v>0</v>
      </c>
      <c r="Q369" t="n">
        <v>0</v>
      </c>
      <c r="R369" s="2" t="inlineStr"/>
    </row>
    <row r="370" ht="15" customHeight="1">
      <c r="A370" t="inlineStr">
        <is>
          <t>A 12599-2025</t>
        </is>
      </c>
      <c r="B370" s="1" t="n">
        <v>45733.29546296296</v>
      </c>
      <c r="C370" s="1" t="n">
        <v>46163</v>
      </c>
      <c r="D370" t="inlineStr">
        <is>
          <t>GOTLANDS LÄN</t>
        </is>
      </c>
      <c r="E370" t="inlineStr">
        <is>
          <t>GOTLAND</t>
        </is>
      </c>
      <c r="G370" t="n">
        <v>4.7</v>
      </c>
      <c r="H370" t="n">
        <v>0</v>
      </c>
      <c r="I370" t="n">
        <v>0</v>
      </c>
      <c r="J370" t="n">
        <v>0</v>
      </c>
      <c r="K370" t="n">
        <v>0</v>
      </c>
      <c r="L370" t="n">
        <v>0</v>
      </c>
      <c r="M370" t="n">
        <v>0</v>
      </c>
      <c r="N370" t="n">
        <v>0</v>
      </c>
      <c r="O370" t="n">
        <v>0</v>
      </c>
      <c r="P370" t="n">
        <v>0</v>
      </c>
      <c r="Q370" t="n">
        <v>0</v>
      </c>
      <c r="R370" s="2" t="inlineStr"/>
    </row>
    <row r="371" ht="15" customHeight="1">
      <c r="A371" t="inlineStr">
        <is>
          <t>A 1394-2023</t>
        </is>
      </c>
      <c r="B371" s="1" t="n">
        <v>44936.72997685185</v>
      </c>
      <c r="C371" s="1" t="n">
        <v>46163</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2676-2023</t>
        </is>
      </c>
      <c r="B372" s="1" t="n">
        <v>44944</v>
      </c>
      <c r="C372" s="1" t="n">
        <v>46163</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4387-2023</t>
        </is>
      </c>
      <c r="B373" s="1" t="n">
        <v>44955.73359953704</v>
      </c>
      <c r="C373" s="1" t="n">
        <v>46163</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26391-2025</t>
        </is>
      </c>
      <c r="B374" s="1" t="n">
        <v>45806</v>
      </c>
      <c r="C374" s="1" t="n">
        <v>46163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10284-2026</t>
        </is>
      </c>
      <c r="B375" s="1" t="n">
        <v>46076</v>
      </c>
      <c r="C375" s="1" t="n">
        <v>46163</v>
      </c>
      <c r="D375" t="inlineStr">
        <is>
          <t>GOTLANDS LÄN</t>
        </is>
      </c>
      <c r="E375" t="inlineStr">
        <is>
          <t>GOTLAND</t>
        </is>
      </c>
      <c r="G375" t="n">
        <v>5.2</v>
      </c>
      <c r="H375" t="n">
        <v>0</v>
      </c>
      <c r="I375" t="n">
        <v>0</v>
      </c>
      <c r="J375" t="n">
        <v>0</v>
      </c>
      <c r="K375" t="n">
        <v>0</v>
      </c>
      <c r="L375" t="n">
        <v>0</v>
      </c>
      <c r="M375" t="n">
        <v>0</v>
      </c>
      <c r="N375" t="n">
        <v>0</v>
      </c>
      <c r="O375" t="n">
        <v>0</v>
      </c>
      <c r="P375" t="n">
        <v>0</v>
      </c>
      <c r="Q375" t="n">
        <v>0</v>
      </c>
      <c r="R375" s="2" t="inlineStr"/>
    </row>
    <row r="376" ht="15" customHeight="1">
      <c r="A376" t="inlineStr">
        <is>
          <t>A 49411-2023</t>
        </is>
      </c>
      <c r="B376" s="1" t="n">
        <v>45205</v>
      </c>
      <c r="C376" s="1" t="n">
        <v>46163</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37728-2024</t>
        </is>
      </c>
      <c r="B377" s="1" t="n">
        <v>45541</v>
      </c>
      <c r="C377" s="1" t="n">
        <v>46163</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10486-2026</t>
        </is>
      </c>
      <c r="B378" s="1" t="n">
        <v>46077.51425925926</v>
      </c>
      <c r="C378" s="1" t="n">
        <v>46163</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2241-2025</t>
        </is>
      </c>
      <c r="B379" s="1" t="n">
        <v>45673.48710648148</v>
      </c>
      <c r="C379" s="1" t="n">
        <v>46163</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60384-2025</t>
        </is>
      </c>
      <c r="B380" s="1" t="n">
        <v>45995</v>
      </c>
      <c r="C380" s="1" t="n">
        <v>46163</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17935-2026</t>
        </is>
      </c>
      <c r="B381" s="1" t="n">
        <v>46122</v>
      </c>
      <c r="C381" s="1" t="n">
        <v>46163</v>
      </c>
      <c r="D381" t="inlineStr">
        <is>
          <t>GOTLANDS LÄN</t>
        </is>
      </c>
      <c r="E381" t="inlineStr">
        <is>
          <t>GOTLAND</t>
        </is>
      </c>
      <c r="G381" t="n">
        <v>0.9</v>
      </c>
      <c r="H381" t="n">
        <v>0</v>
      </c>
      <c r="I381" t="n">
        <v>0</v>
      </c>
      <c r="J381" t="n">
        <v>0</v>
      </c>
      <c r="K381" t="n">
        <v>0</v>
      </c>
      <c r="L381" t="n">
        <v>0</v>
      </c>
      <c r="M381" t="n">
        <v>0</v>
      </c>
      <c r="N381" t="n">
        <v>0</v>
      </c>
      <c r="O381" t="n">
        <v>0</v>
      </c>
      <c r="P381" t="n">
        <v>0</v>
      </c>
      <c r="Q381" t="n">
        <v>0</v>
      </c>
      <c r="R381" s="2" t="inlineStr"/>
    </row>
    <row r="382" ht="15" customHeight="1">
      <c r="A382" t="inlineStr">
        <is>
          <t>A 17943-2026</t>
        </is>
      </c>
      <c r="B382" s="1" t="n">
        <v>46122</v>
      </c>
      <c r="C382" s="1" t="n">
        <v>46163</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46836-2025</t>
        </is>
      </c>
      <c r="B383" s="1" t="n">
        <v>45928.31511574074</v>
      </c>
      <c r="C383" s="1" t="n">
        <v>46163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22275-2023</t>
        </is>
      </c>
      <c r="B384" s="1" t="n">
        <v>45070.39875</v>
      </c>
      <c r="C384" s="1" t="n">
        <v>46163</v>
      </c>
      <c r="D384" t="inlineStr">
        <is>
          <t>GOTLANDS LÄN</t>
        </is>
      </c>
      <c r="E384" t="inlineStr">
        <is>
          <t>GOTLAND</t>
        </is>
      </c>
      <c r="G384" t="n">
        <v>7.2</v>
      </c>
      <c r="H384" t="n">
        <v>0</v>
      </c>
      <c r="I384" t="n">
        <v>0</v>
      </c>
      <c r="J384" t="n">
        <v>0</v>
      </c>
      <c r="K384" t="n">
        <v>0</v>
      </c>
      <c r="L384" t="n">
        <v>0</v>
      </c>
      <c r="M384" t="n">
        <v>0</v>
      </c>
      <c r="N384" t="n">
        <v>0</v>
      </c>
      <c r="O384" t="n">
        <v>0</v>
      </c>
      <c r="P384" t="n">
        <v>0</v>
      </c>
      <c r="Q384" t="n">
        <v>0</v>
      </c>
      <c r="R384" s="2" t="inlineStr"/>
    </row>
    <row r="385" ht="15" customHeight="1">
      <c r="A385" t="inlineStr">
        <is>
          <t>A 54584-2025</t>
        </is>
      </c>
      <c r="B385" s="1" t="n">
        <v>45965.71788194445</v>
      </c>
      <c r="C385" s="1" t="n">
        <v>46163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46163</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46163</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46163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7635-2025</t>
        </is>
      </c>
      <c r="B389" s="1" t="n">
        <v>45705</v>
      </c>
      <c r="C389" s="1" t="n">
        <v>46163</v>
      </c>
      <c r="D389" t="inlineStr">
        <is>
          <t>GOTLANDS LÄN</t>
        </is>
      </c>
      <c r="E389" t="inlineStr">
        <is>
          <t>GOTLAND</t>
        </is>
      </c>
      <c r="G389" t="n">
        <v>0.9</v>
      </c>
      <c r="H389" t="n">
        <v>0</v>
      </c>
      <c r="I389" t="n">
        <v>0</v>
      </c>
      <c r="J389" t="n">
        <v>0</v>
      </c>
      <c r="K389" t="n">
        <v>0</v>
      </c>
      <c r="L389" t="n">
        <v>0</v>
      </c>
      <c r="M389" t="n">
        <v>0</v>
      </c>
      <c r="N389" t="n">
        <v>0</v>
      </c>
      <c r="O389" t="n">
        <v>0</v>
      </c>
      <c r="P389" t="n">
        <v>0</v>
      </c>
      <c r="Q389" t="n">
        <v>0</v>
      </c>
      <c r="R389" s="2" t="inlineStr"/>
    </row>
    <row r="390" ht="15" customHeight="1">
      <c r="A390" t="inlineStr">
        <is>
          <t>A 7636-2025</t>
        </is>
      </c>
      <c r="B390" s="1" t="n">
        <v>45705.7687962963</v>
      </c>
      <c r="C390" s="1" t="n">
        <v>46163</v>
      </c>
      <c r="D390" t="inlineStr">
        <is>
          <t>GOTLANDS LÄN</t>
        </is>
      </c>
      <c r="E390" t="inlineStr">
        <is>
          <t>GOTLAND</t>
        </is>
      </c>
      <c r="G390" t="n">
        <v>0.6</v>
      </c>
      <c r="H390" t="n">
        <v>0</v>
      </c>
      <c r="I390" t="n">
        <v>0</v>
      </c>
      <c r="J390" t="n">
        <v>0</v>
      </c>
      <c r="K390" t="n">
        <v>0</v>
      </c>
      <c r="L390" t="n">
        <v>0</v>
      </c>
      <c r="M390" t="n">
        <v>0</v>
      </c>
      <c r="N390" t="n">
        <v>0</v>
      </c>
      <c r="O390" t="n">
        <v>0</v>
      </c>
      <c r="P390" t="n">
        <v>0</v>
      </c>
      <c r="Q390" t="n">
        <v>0</v>
      </c>
      <c r="R390" s="2" t="inlineStr"/>
    </row>
    <row r="391" ht="15" customHeight="1">
      <c r="A391" t="inlineStr">
        <is>
          <t>A 7639-2025</t>
        </is>
      </c>
      <c r="B391" s="1" t="n">
        <v>45705.77465277778</v>
      </c>
      <c r="C391" s="1" t="n">
        <v>46163</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11424-2026</t>
        </is>
      </c>
      <c r="B392" s="1" t="n">
        <v>46083.48068287037</v>
      </c>
      <c r="C392" s="1" t="n">
        <v>46163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3067-2026</t>
        </is>
      </c>
      <c r="B393" s="1" t="n">
        <v>46040.59025462963</v>
      </c>
      <c r="C393" s="1" t="n">
        <v>46163</v>
      </c>
      <c r="D393" t="inlineStr">
        <is>
          <t>GOTLANDS LÄN</t>
        </is>
      </c>
      <c r="E393" t="inlineStr">
        <is>
          <t>GOTLAND</t>
        </is>
      </c>
      <c r="G393" t="n">
        <v>7.8</v>
      </c>
      <c r="H393" t="n">
        <v>0</v>
      </c>
      <c r="I393" t="n">
        <v>0</v>
      </c>
      <c r="J393" t="n">
        <v>0</v>
      </c>
      <c r="K393" t="n">
        <v>0</v>
      </c>
      <c r="L393" t="n">
        <v>0</v>
      </c>
      <c r="M393" t="n">
        <v>0</v>
      </c>
      <c r="N393" t="n">
        <v>0</v>
      </c>
      <c r="O393" t="n">
        <v>0</v>
      </c>
      <c r="P393" t="n">
        <v>0</v>
      </c>
      <c r="Q393" t="n">
        <v>0</v>
      </c>
      <c r="R393" s="2" t="inlineStr"/>
    </row>
    <row r="394" ht="15" customHeight="1">
      <c r="A394" t="inlineStr">
        <is>
          <t>A 61682-2024</t>
        </is>
      </c>
      <c r="B394" s="1" t="n">
        <v>45647.48824074074</v>
      </c>
      <c r="C394" s="1" t="n">
        <v>46163</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46163</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11414-2026</t>
        </is>
      </c>
      <c r="B396" s="1" t="n">
        <v>46083.46336805556</v>
      </c>
      <c r="C396" s="1" t="n">
        <v>46163</v>
      </c>
      <c r="D396" t="inlineStr">
        <is>
          <t>GOTLANDS LÄN</t>
        </is>
      </c>
      <c r="E396" t="inlineStr">
        <is>
          <t>GOTLAND</t>
        </is>
      </c>
      <c r="G396" t="n">
        <v>4.9</v>
      </c>
      <c r="H396" t="n">
        <v>0</v>
      </c>
      <c r="I396" t="n">
        <v>0</v>
      </c>
      <c r="J396" t="n">
        <v>0</v>
      </c>
      <c r="K396" t="n">
        <v>0</v>
      </c>
      <c r="L396" t="n">
        <v>0</v>
      </c>
      <c r="M396" t="n">
        <v>0</v>
      </c>
      <c r="N396" t="n">
        <v>0</v>
      </c>
      <c r="O396" t="n">
        <v>0</v>
      </c>
      <c r="P396" t="n">
        <v>0</v>
      </c>
      <c r="Q396" t="n">
        <v>0</v>
      </c>
      <c r="R396" s="2" t="inlineStr"/>
    </row>
    <row r="397" ht="15" customHeight="1">
      <c r="A397" t="inlineStr">
        <is>
          <t>A 12135-2026</t>
        </is>
      </c>
      <c r="B397" s="1" t="n">
        <v>46086</v>
      </c>
      <c r="C397" s="1" t="n">
        <v>46163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46163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46163</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11982-2026</t>
        </is>
      </c>
      <c r="B400" s="1" t="n">
        <v>46085.6434375</v>
      </c>
      <c r="C400" s="1" t="n">
        <v>46163</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18804-2026</t>
        </is>
      </c>
      <c r="B401" s="1" t="n">
        <v>46128.62366898148</v>
      </c>
      <c r="C401" s="1" t="n">
        <v>46163</v>
      </c>
      <c r="D401" t="inlineStr">
        <is>
          <t>GOTLANDS LÄN</t>
        </is>
      </c>
      <c r="E401" t="inlineStr">
        <is>
          <t>GOTLAND</t>
        </is>
      </c>
      <c r="F401" t="inlineStr">
        <is>
          <t>Kyrkan</t>
        </is>
      </c>
      <c r="G401" t="n">
        <v>2.6</v>
      </c>
      <c r="H401" t="n">
        <v>0</v>
      </c>
      <c r="I401" t="n">
        <v>0</v>
      </c>
      <c r="J401" t="n">
        <v>0</v>
      </c>
      <c r="K401" t="n">
        <v>0</v>
      </c>
      <c r="L401" t="n">
        <v>0</v>
      </c>
      <c r="M401" t="n">
        <v>0</v>
      </c>
      <c r="N401" t="n">
        <v>0</v>
      </c>
      <c r="O401" t="n">
        <v>0</v>
      </c>
      <c r="P401" t="n">
        <v>0</v>
      </c>
      <c r="Q401" t="n">
        <v>0</v>
      </c>
      <c r="R401" s="2" t="inlineStr"/>
    </row>
    <row r="402" ht="15" customHeight="1">
      <c r="A402" t="inlineStr">
        <is>
          <t>A 2180-2025</t>
        </is>
      </c>
      <c r="B402" s="1" t="n">
        <v>45673</v>
      </c>
      <c r="C402" s="1" t="n">
        <v>46163</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32378-2025</t>
        </is>
      </c>
      <c r="B403" s="1" t="n">
        <v>45837</v>
      </c>
      <c r="C403" s="1" t="n">
        <v>46163</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54074-2022</t>
        </is>
      </c>
      <c r="B404" s="1" t="n">
        <v>44881</v>
      </c>
      <c r="C404" s="1" t="n">
        <v>46163</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35550-2025</t>
        </is>
      </c>
      <c r="B405" s="1" t="n">
        <v>45856.49324074074</v>
      </c>
      <c r="C405" s="1" t="n">
        <v>46163</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61694-2023</t>
        </is>
      </c>
      <c r="B406" s="1" t="n">
        <v>45264</v>
      </c>
      <c r="C406" s="1" t="n">
        <v>46163</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64208-2021</t>
        </is>
      </c>
      <c r="B407" s="1" t="n">
        <v>44510</v>
      </c>
      <c r="C407" s="1" t="n">
        <v>46163</v>
      </c>
      <c r="D407" t="inlineStr">
        <is>
          <t>GOTLANDS LÄN</t>
        </is>
      </c>
      <c r="E407" t="inlineStr">
        <is>
          <t>GOTLAND</t>
        </is>
      </c>
      <c r="G407" t="n">
        <v>4.7</v>
      </c>
      <c r="H407" t="n">
        <v>0</v>
      </c>
      <c r="I407" t="n">
        <v>0</v>
      </c>
      <c r="J407" t="n">
        <v>0</v>
      </c>
      <c r="K407" t="n">
        <v>0</v>
      </c>
      <c r="L407" t="n">
        <v>0</v>
      </c>
      <c r="M407" t="n">
        <v>0</v>
      </c>
      <c r="N407" t="n">
        <v>0</v>
      </c>
      <c r="O407" t="n">
        <v>0</v>
      </c>
      <c r="P407" t="n">
        <v>0</v>
      </c>
      <c r="Q407" t="n">
        <v>0</v>
      </c>
      <c r="R407" s="2" t="inlineStr"/>
    </row>
    <row r="408" ht="15" customHeight="1">
      <c r="A408" t="inlineStr">
        <is>
          <t>A 54268-2022</t>
        </is>
      </c>
      <c r="B408" s="1" t="n">
        <v>44882</v>
      </c>
      <c r="C408" s="1" t="n">
        <v>46163</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1446-2025</t>
        </is>
      </c>
      <c r="B409" s="1" t="n">
        <v>45669.86035879629</v>
      </c>
      <c r="C409" s="1" t="n">
        <v>46163</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1462-2025</t>
        </is>
      </c>
      <c r="B410" s="1" t="n">
        <v>45670.36319444444</v>
      </c>
      <c r="C410" s="1" t="n">
        <v>46163</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57685-2022</t>
        </is>
      </c>
      <c r="B411" s="1" t="n">
        <v>44897.4777662037</v>
      </c>
      <c r="C411" s="1" t="n">
        <v>46163</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811-2023</t>
        </is>
      </c>
      <c r="B412" s="1" t="n">
        <v>44931</v>
      </c>
      <c r="C412" s="1" t="n">
        <v>46163</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47578-2025</t>
        </is>
      </c>
      <c r="B413" s="1" t="n">
        <v>45931</v>
      </c>
      <c r="C413" s="1" t="n">
        <v>46163</v>
      </c>
      <c r="D413" t="inlineStr">
        <is>
          <t>GOTLANDS LÄN</t>
        </is>
      </c>
      <c r="E413" t="inlineStr">
        <is>
          <t>GOTLAND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33011-2025</t>
        </is>
      </c>
      <c r="B414" s="1" t="n">
        <v>45840</v>
      </c>
      <c r="C414" s="1" t="n">
        <v>46163</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49690-2025</t>
        </is>
      </c>
      <c r="B415" s="1" t="n">
        <v>45939.66730324074</v>
      </c>
      <c r="C415" s="1" t="n">
        <v>46163</v>
      </c>
      <c r="D415" t="inlineStr">
        <is>
          <t>GOTLANDS LÄN</t>
        </is>
      </c>
      <c r="E415" t="inlineStr">
        <is>
          <t>GOTLAND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46163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3431-2025</t>
        </is>
      </c>
      <c r="B417" s="1" t="n">
        <v>45680.42935185185</v>
      </c>
      <c r="C417" s="1" t="n">
        <v>46163</v>
      </c>
      <c r="D417" t="inlineStr">
        <is>
          <t>GOTLANDS LÄN</t>
        </is>
      </c>
      <c r="E417" t="inlineStr">
        <is>
          <t>GOTLAND</t>
        </is>
      </c>
      <c r="G417" t="n">
        <v>4.8</v>
      </c>
      <c r="H417" t="n">
        <v>0</v>
      </c>
      <c r="I417" t="n">
        <v>0</v>
      </c>
      <c r="J417" t="n">
        <v>0</v>
      </c>
      <c r="K417" t="n">
        <v>0</v>
      </c>
      <c r="L417" t="n">
        <v>0</v>
      </c>
      <c r="M417" t="n">
        <v>0</v>
      </c>
      <c r="N417" t="n">
        <v>0</v>
      </c>
      <c r="O417" t="n">
        <v>0</v>
      </c>
      <c r="P417" t="n">
        <v>0</v>
      </c>
      <c r="Q417" t="n">
        <v>0</v>
      </c>
      <c r="R417" s="2" t="inlineStr"/>
    </row>
    <row r="418" ht="15" customHeight="1">
      <c r="A418" t="inlineStr">
        <is>
          <t>A 42201-2023</t>
        </is>
      </c>
      <c r="B418" s="1" t="n">
        <v>45179</v>
      </c>
      <c r="C418" s="1" t="n">
        <v>46163</v>
      </c>
      <c r="D418" t="inlineStr">
        <is>
          <t>GOTLANDS LÄN</t>
        </is>
      </c>
      <c r="E418" t="inlineStr">
        <is>
          <t>GOTLAND</t>
        </is>
      </c>
      <c r="G418" t="n">
        <v>11.9</v>
      </c>
      <c r="H418" t="n">
        <v>0</v>
      </c>
      <c r="I418" t="n">
        <v>0</v>
      </c>
      <c r="J418" t="n">
        <v>0</v>
      </c>
      <c r="K418" t="n">
        <v>0</v>
      </c>
      <c r="L418" t="n">
        <v>0</v>
      </c>
      <c r="M418" t="n">
        <v>0</v>
      </c>
      <c r="N418" t="n">
        <v>0</v>
      </c>
      <c r="O418" t="n">
        <v>0</v>
      </c>
      <c r="P418" t="n">
        <v>0</v>
      </c>
      <c r="Q418" t="n">
        <v>0</v>
      </c>
      <c r="R418" s="2" t="inlineStr"/>
    </row>
    <row r="419" ht="15" customHeight="1">
      <c r="A419" t="inlineStr">
        <is>
          <t>A 34407-2023</t>
        </is>
      </c>
      <c r="B419" s="1" t="n">
        <v>45132</v>
      </c>
      <c r="C419" s="1" t="n">
        <v>46163</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46163</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32958-2021</t>
        </is>
      </c>
      <c r="B421" s="1" t="n">
        <v>44376</v>
      </c>
      <c r="C421" s="1" t="n">
        <v>46163</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19322-2026</t>
        </is>
      </c>
      <c r="B422" s="1" t="n">
        <v>46129</v>
      </c>
      <c r="C422" s="1" t="n">
        <v>46163</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49724-2025</t>
        </is>
      </c>
      <c r="B423" s="1" t="n">
        <v>45939.83730324074</v>
      </c>
      <c r="C423" s="1" t="n">
        <v>46163</v>
      </c>
      <c r="D423" t="inlineStr">
        <is>
          <t>GOTLANDS LÄN</t>
        </is>
      </c>
      <c r="E423" t="inlineStr">
        <is>
          <t>GOTLAND</t>
        </is>
      </c>
      <c r="F423" t="inlineStr">
        <is>
          <t>Kyrkan</t>
        </is>
      </c>
      <c r="G423" t="n">
        <v>3.1</v>
      </c>
      <c r="H423" t="n">
        <v>0</v>
      </c>
      <c r="I423" t="n">
        <v>0</v>
      </c>
      <c r="J423" t="n">
        <v>0</v>
      </c>
      <c r="K423" t="n">
        <v>0</v>
      </c>
      <c r="L423" t="n">
        <v>0</v>
      </c>
      <c r="M423" t="n">
        <v>0</v>
      </c>
      <c r="N423" t="n">
        <v>0</v>
      </c>
      <c r="O423" t="n">
        <v>0</v>
      </c>
      <c r="P423" t="n">
        <v>0</v>
      </c>
      <c r="Q423" t="n">
        <v>0</v>
      </c>
      <c r="R423" s="2" t="inlineStr"/>
    </row>
    <row r="424" ht="15" customHeight="1">
      <c r="A424" t="inlineStr">
        <is>
          <t>A 49730-2025</t>
        </is>
      </c>
      <c r="B424" s="1" t="n">
        <v>45939.87613425926</v>
      </c>
      <c r="C424" s="1" t="n">
        <v>46163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7858-2025</t>
        </is>
      </c>
      <c r="B425" s="1" t="n">
        <v>45706.68633101852</v>
      </c>
      <c r="C425" s="1" t="n">
        <v>46163</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46545-2024</t>
        </is>
      </c>
      <c r="B426" s="1" t="n">
        <v>45582.65831018519</v>
      </c>
      <c r="C426" s="1" t="n">
        <v>46163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999-2023</t>
        </is>
      </c>
      <c r="B427" s="1" t="n">
        <v>44935</v>
      </c>
      <c r="C427" s="1" t="n">
        <v>46163</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50421-2025</t>
        </is>
      </c>
      <c r="B428" s="1" t="n">
        <v>45944.66049768519</v>
      </c>
      <c r="C428" s="1" t="n">
        <v>46163</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1364-2025</t>
        </is>
      </c>
      <c r="B429" s="1" t="n">
        <v>45667.63929398148</v>
      </c>
      <c r="C429" s="1" t="n">
        <v>46163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2125-2025</t>
        </is>
      </c>
      <c r="B430" s="1" t="n">
        <v>45672.64940972222</v>
      </c>
      <c r="C430" s="1" t="n">
        <v>46163</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50431-2025</t>
        </is>
      </c>
      <c r="B431" s="1" t="n">
        <v>45944.68453703704</v>
      </c>
      <c r="C431" s="1" t="n">
        <v>46163</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46163</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12155-2023</t>
        </is>
      </c>
      <c r="B433" s="1" t="n">
        <v>44998.49106481481</v>
      </c>
      <c r="C433" s="1" t="n">
        <v>46163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50928-2025</t>
        </is>
      </c>
      <c r="B434" s="1" t="n">
        <v>45946.67896990741</v>
      </c>
      <c r="C434" s="1" t="n">
        <v>46163</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51262-2025</t>
        </is>
      </c>
      <c r="B435" s="1" t="n">
        <v>45949.49872685185</v>
      </c>
      <c r="C435" s="1" t="n">
        <v>46163</v>
      </c>
      <c r="D435" t="inlineStr">
        <is>
          <t>GOTLANDS LÄN</t>
        </is>
      </c>
      <c r="E435" t="inlineStr">
        <is>
          <t>GOTLAND</t>
        </is>
      </c>
      <c r="G435" t="n">
        <v>1.6</v>
      </c>
      <c r="H435" t="n">
        <v>0</v>
      </c>
      <c r="I435" t="n">
        <v>0</v>
      </c>
      <c r="J435" t="n">
        <v>0</v>
      </c>
      <c r="K435" t="n">
        <v>0</v>
      </c>
      <c r="L435" t="n">
        <v>0</v>
      </c>
      <c r="M435" t="n">
        <v>0</v>
      </c>
      <c r="N435" t="n">
        <v>0</v>
      </c>
      <c r="O435" t="n">
        <v>0</v>
      </c>
      <c r="P435" t="n">
        <v>0</v>
      </c>
      <c r="Q435" t="n">
        <v>0</v>
      </c>
      <c r="R435" s="2" t="inlineStr"/>
    </row>
    <row r="436" ht="15" customHeight="1">
      <c r="A436" t="inlineStr">
        <is>
          <t>A 2774-2024</t>
        </is>
      </c>
      <c r="B436" s="1" t="n">
        <v>45314.62375</v>
      </c>
      <c r="C436" s="1" t="n">
        <v>46163</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9947-2024</t>
        </is>
      </c>
      <c r="B437" s="1" t="n">
        <v>45363</v>
      </c>
      <c r="C437" s="1" t="n">
        <v>46163</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42007-2023</t>
        </is>
      </c>
      <c r="B438" s="1" t="n">
        <v>45177</v>
      </c>
      <c r="C438" s="1" t="n">
        <v>46163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63000-2025</t>
        </is>
      </c>
      <c r="B439" s="1" t="n">
        <v>46009</v>
      </c>
      <c r="C439" s="1" t="n">
        <v>46163</v>
      </c>
      <c r="D439" t="inlineStr">
        <is>
          <t>GOTLANDS LÄN</t>
        </is>
      </c>
      <c r="E439" t="inlineStr">
        <is>
          <t>GOTLAND</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52249-2025</t>
        </is>
      </c>
      <c r="B440" s="1" t="n">
        <v>45953.48637731482</v>
      </c>
      <c r="C440" s="1" t="n">
        <v>46163</v>
      </c>
      <c r="D440" t="inlineStr">
        <is>
          <t>GOTLANDS LÄN</t>
        </is>
      </c>
      <c r="E440" t="inlineStr">
        <is>
          <t>GOTLAND</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52637-2025</t>
        </is>
      </c>
      <c r="B441" s="1" t="n">
        <v>45954.75099537037</v>
      </c>
      <c r="C441" s="1" t="n">
        <v>46163</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62751-2025</t>
        </is>
      </c>
      <c r="B442" s="1" t="n">
        <v>46008</v>
      </c>
      <c r="C442" s="1" t="n">
        <v>46163</v>
      </c>
      <c r="D442" t="inlineStr">
        <is>
          <t>GOTLANDS LÄN</t>
        </is>
      </c>
      <c r="E442" t="inlineStr">
        <is>
          <t>GOTLAND</t>
        </is>
      </c>
      <c r="F442" t="inlineStr">
        <is>
          <t>Övriga Aktiebolag</t>
        </is>
      </c>
      <c r="G442" t="n">
        <v>7.8</v>
      </c>
      <c r="H442" t="n">
        <v>0</v>
      </c>
      <c r="I442" t="n">
        <v>0</v>
      </c>
      <c r="J442" t="n">
        <v>0</v>
      </c>
      <c r="K442" t="n">
        <v>0</v>
      </c>
      <c r="L442" t="n">
        <v>0</v>
      </c>
      <c r="M442" t="n">
        <v>0</v>
      </c>
      <c r="N442" t="n">
        <v>0</v>
      </c>
      <c r="O442" t="n">
        <v>0</v>
      </c>
      <c r="P442" t="n">
        <v>0</v>
      </c>
      <c r="Q442" t="n">
        <v>0</v>
      </c>
      <c r="R442" s="2" t="inlineStr"/>
    </row>
    <row r="443" ht="15" customHeight="1">
      <c r="A443" t="inlineStr">
        <is>
          <t>A 62754-2025</t>
        </is>
      </c>
      <c r="B443" s="1" t="n">
        <v>46008</v>
      </c>
      <c r="C443" s="1" t="n">
        <v>46163</v>
      </c>
      <c r="D443" t="inlineStr">
        <is>
          <t>GOTLANDS LÄN</t>
        </is>
      </c>
      <c r="E443" t="inlineStr">
        <is>
          <t>GOTLAND</t>
        </is>
      </c>
      <c r="F443" t="inlineStr">
        <is>
          <t>Övriga Aktiebolag</t>
        </is>
      </c>
      <c r="G443" t="n">
        <v>2.9</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46163</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13486-2026</t>
        </is>
      </c>
      <c r="B445" s="1" t="n">
        <v>46094</v>
      </c>
      <c r="C445" s="1" t="n">
        <v>46163</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53577-2025</t>
        </is>
      </c>
      <c r="B446" s="1" t="n">
        <v>45960.42224537037</v>
      </c>
      <c r="C446" s="1" t="n">
        <v>46163</v>
      </c>
      <c r="D446" t="inlineStr">
        <is>
          <t>GOTLANDS LÄN</t>
        </is>
      </c>
      <c r="E446" t="inlineStr">
        <is>
          <t>GOTLAND</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53569-2025</t>
        </is>
      </c>
      <c r="B447" s="1" t="n">
        <v>45960.41155092593</v>
      </c>
      <c r="C447" s="1" t="n">
        <v>46163</v>
      </c>
      <c r="D447" t="inlineStr">
        <is>
          <t>GOTLANDS LÄN</t>
        </is>
      </c>
      <c r="E447" t="inlineStr">
        <is>
          <t>GOTLAND</t>
        </is>
      </c>
      <c r="F447" t="inlineStr">
        <is>
          <t>Övriga Aktiebolag</t>
        </is>
      </c>
      <c r="G447" t="n">
        <v>11.3</v>
      </c>
      <c r="H447" t="n">
        <v>0</v>
      </c>
      <c r="I447" t="n">
        <v>0</v>
      </c>
      <c r="J447" t="n">
        <v>0</v>
      </c>
      <c r="K447" t="n">
        <v>0</v>
      </c>
      <c r="L447" t="n">
        <v>0</v>
      </c>
      <c r="M447" t="n">
        <v>0</v>
      </c>
      <c r="N447" t="n">
        <v>0</v>
      </c>
      <c r="O447" t="n">
        <v>0</v>
      </c>
      <c r="P447" t="n">
        <v>0</v>
      </c>
      <c r="Q447" t="n">
        <v>0</v>
      </c>
      <c r="R447" s="2" t="inlineStr"/>
    </row>
    <row r="448" ht="15" customHeight="1">
      <c r="A448" t="inlineStr">
        <is>
          <t>A 1066-2024</t>
        </is>
      </c>
      <c r="B448" s="1" t="n">
        <v>45302.285</v>
      </c>
      <c r="C448" s="1" t="n">
        <v>46163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37202-2024</t>
        </is>
      </c>
      <c r="B449" s="1" t="n">
        <v>45539.67310185185</v>
      </c>
      <c r="C449" s="1" t="n">
        <v>46163</v>
      </c>
      <c r="D449" t="inlineStr">
        <is>
          <t>GOTLANDS LÄN</t>
        </is>
      </c>
      <c r="E449" t="inlineStr">
        <is>
          <t>GOTLAND</t>
        </is>
      </c>
      <c r="G449" t="n">
        <v>0.3</v>
      </c>
      <c r="H449" t="n">
        <v>0</v>
      </c>
      <c r="I449" t="n">
        <v>0</v>
      </c>
      <c r="J449" t="n">
        <v>0</v>
      </c>
      <c r="K449" t="n">
        <v>0</v>
      </c>
      <c r="L449" t="n">
        <v>0</v>
      </c>
      <c r="M449" t="n">
        <v>0</v>
      </c>
      <c r="N449" t="n">
        <v>0</v>
      </c>
      <c r="O449" t="n">
        <v>0</v>
      </c>
      <c r="P449" t="n">
        <v>0</v>
      </c>
      <c r="Q449" t="n">
        <v>0</v>
      </c>
      <c r="R449" s="2" t="inlineStr"/>
    </row>
    <row r="450" ht="15" customHeight="1">
      <c r="A450" t="inlineStr">
        <is>
          <t>A 30815-2023</t>
        </is>
      </c>
      <c r="B450" s="1" t="n">
        <v>45112</v>
      </c>
      <c r="C450" s="1" t="n">
        <v>46163</v>
      </c>
      <c r="D450" t="inlineStr">
        <is>
          <t>GOTLANDS LÄN</t>
        </is>
      </c>
      <c r="E450" t="inlineStr">
        <is>
          <t>GOTLAND</t>
        </is>
      </c>
      <c r="G450" t="n">
        <v>6</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46163</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46163</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46163</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46163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46163</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46163</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46163</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46163</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46163</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56688-2025</t>
        </is>
      </c>
      <c r="B460" s="1" t="n">
        <v>45975.84331018518</v>
      </c>
      <c r="C460" s="1" t="n">
        <v>46163</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56799-2025</t>
        </is>
      </c>
      <c r="B461" s="1" t="n">
        <v>45978.43392361111</v>
      </c>
      <c r="C461" s="1" t="n">
        <v>46163</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46163</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46163</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46163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9875-2025</t>
        </is>
      </c>
      <c r="B465" s="1" t="n">
        <v>45716</v>
      </c>
      <c r="C465" s="1" t="n">
        <v>46163</v>
      </c>
      <c r="D465" t="inlineStr">
        <is>
          <t>GOTLANDS LÄN</t>
        </is>
      </c>
      <c r="E465" t="inlineStr">
        <is>
          <t>GOTLAND</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29809-2022</t>
        </is>
      </c>
      <c r="B466" s="1" t="n">
        <v>44755.8713425926</v>
      </c>
      <c r="C466" s="1" t="n">
        <v>46163</v>
      </c>
      <c r="D466" t="inlineStr">
        <is>
          <t>GOTLANDS LÄN</t>
        </is>
      </c>
      <c r="E466" t="inlineStr">
        <is>
          <t>GOTLAND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16361-2024</t>
        </is>
      </c>
      <c r="B467" s="1" t="n">
        <v>45407</v>
      </c>
      <c r="C467" s="1" t="n">
        <v>46163</v>
      </c>
      <c r="D467" t="inlineStr">
        <is>
          <t>GOTLANDS LÄN</t>
        </is>
      </c>
      <c r="E467" t="inlineStr">
        <is>
          <t>GOTLAND</t>
        </is>
      </c>
      <c r="G467" t="n">
        <v>6</v>
      </c>
      <c r="H467" t="n">
        <v>0</v>
      </c>
      <c r="I467" t="n">
        <v>0</v>
      </c>
      <c r="J467" t="n">
        <v>0</v>
      </c>
      <c r="K467" t="n">
        <v>0</v>
      </c>
      <c r="L467" t="n">
        <v>0</v>
      </c>
      <c r="M467" t="n">
        <v>0</v>
      </c>
      <c r="N467" t="n">
        <v>0</v>
      </c>
      <c r="O467" t="n">
        <v>0</v>
      </c>
      <c r="P467" t="n">
        <v>0</v>
      </c>
      <c r="Q467" t="n">
        <v>0</v>
      </c>
      <c r="R467" s="2" t="inlineStr"/>
    </row>
    <row r="468" ht="15" customHeight="1">
      <c r="A468" t="inlineStr">
        <is>
          <t>A 43081-2022</t>
        </is>
      </c>
      <c r="B468" s="1" t="n">
        <v>44833</v>
      </c>
      <c r="C468" s="1" t="n">
        <v>46163</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1175-2025</t>
        </is>
      </c>
      <c r="B469" s="1" t="n">
        <v>45667.34449074074</v>
      </c>
      <c r="C469" s="1" t="n">
        <v>46163</v>
      </c>
      <c r="D469" t="inlineStr">
        <is>
          <t>GOTLANDS LÄN</t>
        </is>
      </c>
      <c r="E469" t="inlineStr">
        <is>
          <t>GOTLAND</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3150-2025</t>
        </is>
      </c>
      <c r="B470" s="1" t="n">
        <v>45679.28974537037</v>
      </c>
      <c r="C470" s="1" t="n">
        <v>46163</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14840-2026</t>
        </is>
      </c>
      <c r="B471" s="1" t="n">
        <v>46104.39498842593</v>
      </c>
      <c r="C471" s="1" t="n">
        <v>46163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42041-2024</t>
        </is>
      </c>
      <c r="B472" s="1" t="n">
        <v>45561</v>
      </c>
      <c r="C472" s="1" t="n">
        <v>46163</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59197-2025</t>
        </is>
      </c>
      <c r="B473" s="1" t="n">
        <v>45988.59846064815</v>
      </c>
      <c r="C473" s="1" t="n">
        <v>46163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46163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15436-2025</t>
        </is>
      </c>
      <c r="B475" s="1" t="n">
        <v>45747.47462962963</v>
      </c>
      <c r="C475" s="1" t="n">
        <v>46163</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21247-2022</t>
        </is>
      </c>
      <c r="B476" s="1" t="n">
        <v>44705.38832175926</v>
      </c>
      <c r="C476" s="1" t="n">
        <v>46163</v>
      </c>
      <c r="D476" t="inlineStr">
        <is>
          <t>GOTLANDS LÄN</t>
        </is>
      </c>
      <c r="E476" t="inlineStr">
        <is>
          <t>GOTLAND</t>
        </is>
      </c>
      <c r="G476" t="n">
        <v>16.2</v>
      </c>
      <c r="H476" t="n">
        <v>0</v>
      </c>
      <c r="I476" t="n">
        <v>0</v>
      </c>
      <c r="J476" t="n">
        <v>0</v>
      </c>
      <c r="K476" t="n">
        <v>0</v>
      </c>
      <c r="L476" t="n">
        <v>0</v>
      </c>
      <c r="M476" t="n">
        <v>0</v>
      </c>
      <c r="N476" t="n">
        <v>0</v>
      </c>
      <c r="O476" t="n">
        <v>0</v>
      </c>
      <c r="P476" t="n">
        <v>0</v>
      </c>
      <c r="Q476" t="n">
        <v>0</v>
      </c>
      <c r="R476" s="2" t="inlineStr"/>
    </row>
    <row r="477" ht="15" customHeight="1">
      <c r="A477" t="inlineStr">
        <is>
          <t>A 21396-2026</t>
        </is>
      </c>
      <c r="B477" s="1" t="n">
        <v>46148.30710648148</v>
      </c>
      <c r="C477" s="1" t="n">
        <v>46163</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46163</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63516-2023</t>
        </is>
      </c>
      <c r="B479" s="1" t="n">
        <v>45274</v>
      </c>
      <c r="C479" s="1" t="n">
        <v>46163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4662-2026</t>
        </is>
      </c>
      <c r="B480" s="1" t="n">
        <v>46048.40949074074</v>
      </c>
      <c r="C480" s="1" t="n">
        <v>46163</v>
      </c>
      <c r="D480" t="inlineStr">
        <is>
          <t>GOTLANDS LÄN</t>
        </is>
      </c>
      <c r="E480" t="inlineStr">
        <is>
          <t>GOTLAND</t>
        </is>
      </c>
      <c r="G480" t="n">
        <v>7.6</v>
      </c>
      <c r="H480" t="n">
        <v>0</v>
      </c>
      <c r="I480" t="n">
        <v>0</v>
      </c>
      <c r="J480" t="n">
        <v>0</v>
      </c>
      <c r="K480" t="n">
        <v>0</v>
      </c>
      <c r="L480" t="n">
        <v>0</v>
      </c>
      <c r="M480" t="n">
        <v>0</v>
      </c>
      <c r="N480" t="n">
        <v>0</v>
      </c>
      <c r="O480" t="n">
        <v>0</v>
      </c>
      <c r="P480" t="n">
        <v>0</v>
      </c>
      <c r="Q480" t="n">
        <v>0</v>
      </c>
      <c r="R480" s="2" t="inlineStr"/>
    </row>
    <row r="481" ht="15" customHeight="1">
      <c r="A481" t="inlineStr">
        <is>
          <t>A 53935-2024</t>
        </is>
      </c>
      <c r="B481" s="1" t="n">
        <v>45615</v>
      </c>
      <c r="C481" s="1" t="n">
        <v>46163</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46163</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48734-2022</t>
        </is>
      </c>
      <c r="B483" s="1" t="n">
        <v>44855</v>
      </c>
      <c r="C483" s="1" t="n">
        <v>46163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23516-2023</t>
        </is>
      </c>
      <c r="B484" s="1" t="n">
        <v>45076.93391203704</v>
      </c>
      <c r="C484" s="1" t="n">
        <v>46163</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43231-2023</t>
        </is>
      </c>
      <c r="B485" s="1" t="n">
        <v>45183.47025462963</v>
      </c>
      <c r="C485" s="1" t="n">
        <v>46163</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58230-2024</t>
        </is>
      </c>
      <c r="B486" s="1" t="n">
        <v>45632.51625</v>
      </c>
      <c r="C486" s="1" t="n">
        <v>46163</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64555-2023</t>
        </is>
      </c>
      <c r="B487" s="1" t="n">
        <v>45281</v>
      </c>
      <c r="C487" s="1" t="n">
        <v>46163</v>
      </c>
      <c r="D487" t="inlineStr">
        <is>
          <t>GOTLANDS LÄN</t>
        </is>
      </c>
      <c r="E487" t="inlineStr">
        <is>
          <t>GOTLAND</t>
        </is>
      </c>
      <c r="G487" t="n">
        <v>3.5</v>
      </c>
      <c r="H487" t="n">
        <v>0</v>
      </c>
      <c r="I487" t="n">
        <v>0</v>
      </c>
      <c r="J487" t="n">
        <v>0</v>
      </c>
      <c r="K487" t="n">
        <v>0</v>
      </c>
      <c r="L487" t="n">
        <v>0</v>
      </c>
      <c r="M487" t="n">
        <v>0</v>
      </c>
      <c r="N487" t="n">
        <v>0</v>
      </c>
      <c r="O487" t="n">
        <v>0</v>
      </c>
      <c r="P487" t="n">
        <v>0</v>
      </c>
      <c r="Q487" t="n">
        <v>0</v>
      </c>
      <c r="R487" s="2" t="inlineStr"/>
    </row>
    <row r="488" ht="15" customHeight="1">
      <c r="A488" t="inlineStr">
        <is>
          <t>A 1854-2026</t>
        </is>
      </c>
      <c r="B488" s="1" t="n">
        <v>46035.4171875</v>
      </c>
      <c r="C488" s="1" t="n">
        <v>46163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46163</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46163</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22351-2026</t>
        </is>
      </c>
      <c r="B491" s="1" t="n">
        <v>46154.58350694444</v>
      </c>
      <c r="C491" s="1" t="n">
        <v>46163</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22348-2026</t>
        </is>
      </c>
      <c r="B492" s="1" t="n">
        <v>46154.58071759259</v>
      </c>
      <c r="C492" s="1" t="n">
        <v>46163</v>
      </c>
      <c r="D492" t="inlineStr">
        <is>
          <t>GOTLANDS LÄN</t>
        </is>
      </c>
      <c r="E492" t="inlineStr">
        <is>
          <t>GOTLAND</t>
        </is>
      </c>
      <c r="G492" t="n">
        <v>3.3</v>
      </c>
      <c r="H492" t="n">
        <v>0</v>
      </c>
      <c r="I492" t="n">
        <v>0</v>
      </c>
      <c r="J492" t="n">
        <v>0</v>
      </c>
      <c r="K492" t="n">
        <v>0</v>
      </c>
      <c r="L492" t="n">
        <v>0</v>
      </c>
      <c r="M492" t="n">
        <v>0</v>
      </c>
      <c r="N492" t="n">
        <v>0</v>
      </c>
      <c r="O492" t="n">
        <v>0</v>
      </c>
      <c r="P492" t="n">
        <v>0</v>
      </c>
      <c r="Q492" t="n">
        <v>0</v>
      </c>
      <c r="R492" s="2" t="inlineStr"/>
    </row>
    <row r="493" ht="15" customHeight="1">
      <c r="A493" t="inlineStr">
        <is>
          <t>A 62066-2025</t>
        </is>
      </c>
      <c r="B493" s="1" t="n">
        <v>46006.34738425926</v>
      </c>
      <c r="C493" s="1" t="n">
        <v>46163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62103-2025</t>
        </is>
      </c>
      <c r="B494" s="1" t="n">
        <v>46006</v>
      </c>
      <c r="C494" s="1" t="n">
        <v>46163</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876-2024</t>
        </is>
      </c>
      <c r="B495" s="1" t="n">
        <v>45301</v>
      </c>
      <c r="C495" s="1" t="n">
        <v>46163</v>
      </c>
      <c r="D495" t="inlineStr">
        <is>
          <t>GOTLANDS LÄN</t>
        </is>
      </c>
      <c r="E495" t="inlineStr">
        <is>
          <t>GOTLAND</t>
        </is>
      </c>
      <c r="G495" t="n">
        <v>5.3</v>
      </c>
      <c r="H495" t="n">
        <v>0</v>
      </c>
      <c r="I495" t="n">
        <v>0</v>
      </c>
      <c r="J495" t="n">
        <v>0</v>
      </c>
      <c r="K495" t="n">
        <v>0</v>
      </c>
      <c r="L495" t="n">
        <v>0</v>
      </c>
      <c r="M495" t="n">
        <v>0</v>
      </c>
      <c r="N495" t="n">
        <v>0</v>
      </c>
      <c r="O495" t="n">
        <v>0</v>
      </c>
      <c r="P495" t="n">
        <v>0</v>
      </c>
      <c r="Q495" t="n">
        <v>0</v>
      </c>
      <c r="R495" s="2" t="inlineStr"/>
    </row>
    <row r="496" ht="15" customHeight="1">
      <c r="A496" t="inlineStr">
        <is>
          <t>A 26891-2024</t>
        </is>
      </c>
      <c r="B496" s="1" t="n">
        <v>45470.65540509259</v>
      </c>
      <c r="C496" s="1" t="n">
        <v>46163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5923-2023</t>
        </is>
      </c>
      <c r="B497" s="1" t="n">
        <v>44963.69503472222</v>
      </c>
      <c r="C497" s="1" t="n">
        <v>46163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50482-2024</t>
        </is>
      </c>
      <c r="B498" s="1" t="n">
        <v>45601.48114583334</v>
      </c>
      <c r="C498" s="1" t="n">
        <v>46163</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22275-2026</t>
        </is>
      </c>
      <c r="B499" s="1" t="n">
        <v>46154.41924768518</v>
      </c>
      <c r="C499" s="1" t="n">
        <v>46163</v>
      </c>
      <c r="D499" t="inlineStr">
        <is>
          <t>GOTLANDS LÄN</t>
        </is>
      </c>
      <c r="E499" t="inlineStr">
        <is>
          <t>GOTLAND</t>
        </is>
      </c>
      <c r="G499" t="n">
        <v>3.7</v>
      </c>
      <c r="H499" t="n">
        <v>0</v>
      </c>
      <c r="I499" t="n">
        <v>0</v>
      </c>
      <c r="J499" t="n">
        <v>0</v>
      </c>
      <c r="K499" t="n">
        <v>0</v>
      </c>
      <c r="L499" t="n">
        <v>0</v>
      </c>
      <c r="M499" t="n">
        <v>0</v>
      </c>
      <c r="N499" t="n">
        <v>0</v>
      </c>
      <c r="O499" t="n">
        <v>0</v>
      </c>
      <c r="P499" t="n">
        <v>0</v>
      </c>
      <c r="Q499" t="n">
        <v>0</v>
      </c>
      <c r="R499" s="2" t="inlineStr"/>
    </row>
    <row r="500" ht="15" customHeight="1">
      <c r="A500" t="inlineStr">
        <is>
          <t>A 63002-2025</t>
        </is>
      </c>
      <c r="B500" s="1" t="n">
        <v>46009.56564814815</v>
      </c>
      <c r="C500" s="1" t="n">
        <v>46163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5943-2024</t>
        </is>
      </c>
      <c r="B501" s="1" t="n">
        <v>45336</v>
      </c>
      <c r="C501" s="1" t="n">
        <v>46163</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46163</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1273-2023</t>
        </is>
      </c>
      <c r="B503" s="1" t="n">
        <v>44936</v>
      </c>
      <c r="C503" s="1" t="n">
        <v>46163</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4639-2026</t>
        </is>
      </c>
      <c r="B504" s="1" t="n">
        <v>46048.39880787037</v>
      </c>
      <c r="C504" s="1" t="n">
        <v>46163</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38649-2025</t>
        </is>
      </c>
      <c r="B505" s="1" t="n">
        <v>45884</v>
      </c>
      <c r="C505" s="1" t="n">
        <v>46163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17000-2026</t>
        </is>
      </c>
      <c r="B506" s="1" t="n">
        <v>46114.42690972222</v>
      </c>
      <c r="C506" s="1" t="n">
        <v>46163</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17724-2024</t>
        </is>
      </c>
      <c r="B507" s="1" t="n">
        <v>45418.55096064815</v>
      </c>
      <c r="C507" s="1" t="n">
        <v>46163</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23978-2023</t>
        </is>
      </c>
      <c r="B508" s="1" t="n">
        <v>45078</v>
      </c>
      <c r="C508" s="1" t="n">
        <v>46163</v>
      </c>
      <c r="D508" t="inlineStr">
        <is>
          <t>GOTLANDS LÄN</t>
        </is>
      </c>
      <c r="E508" t="inlineStr">
        <is>
          <t>GOTLAND</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49884-2023</t>
        </is>
      </c>
      <c r="B509" s="1" t="n">
        <v>45213</v>
      </c>
      <c r="C509" s="1" t="n">
        <v>46163</v>
      </c>
      <c r="D509" t="inlineStr">
        <is>
          <t>GOTLANDS LÄN</t>
        </is>
      </c>
      <c r="E509" t="inlineStr">
        <is>
          <t>GOTLAND</t>
        </is>
      </c>
      <c r="G509" t="n">
        <v>8.9</v>
      </c>
      <c r="H509" t="n">
        <v>0</v>
      </c>
      <c r="I509" t="n">
        <v>0</v>
      </c>
      <c r="J509" t="n">
        <v>0</v>
      </c>
      <c r="K509" t="n">
        <v>0</v>
      </c>
      <c r="L509" t="n">
        <v>0</v>
      </c>
      <c r="M509" t="n">
        <v>0</v>
      </c>
      <c r="N509" t="n">
        <v>0</v>
      </c>
      <c r="O509" t="n">
        <v>0</v>
      </c>
      <c r="P509" t="n">
        <v>0</v>
      </c>
      <c r="Q509" t="n">
        <v>0</v>
      </c>
      <c r="R509" s="2" t="inlineStr"/>
    </row>
    <row r="510" ht="15" customHeight="1">
      <c r="A510" t="inlineStr">
        <is>
          <t>A 61078-2025</t>
        </is>
      </c>
      <c r="B510" s="1" t="n">
        <v>46000</v>
      </c>
      <c r="C510" s="1" t="n">
        <v>46163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12846-2025</t>
        </is>
      </c>
      <c r="B511" s="1" t="n">
        <v>45733.65049768519</v>
      </c>
      <c r="C511" s="1" t="n">
        <v>46163</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16993-2026</t>
        </is>
      </c>
      <c r="B512" s="1" t="n">
        <v>46114.41918981481</v>
      </c>
      <c r="C512" s="1" t="n">
        <v>46163</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36-2026</t>
        </is>
      </c>
      <c r="B513" s="1" t="n">
        <v>46024.38886574074</v>
      </c>
      <c r="C513" s="1" t="n">
        <v>46163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43200-2023</t>
        </is>
      </c>
      <c r="B514" s="1" t="n">
        <v>45183</v>
      </c>
      <c r="C514" s="1" t="n">
        <v>46163</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62674-2025</t>
        </is>
      </c>
      <c r="B515" s="1" t="n">
        <v>46008</v>
      </c>
      <c r="C515" s="1" t="n">
        <v>46163</v>
      </c>
      <c r="D515" t="inlineStr">
        <is>
          <t>GOTLANDS LÄN</t>
        </is>
      </c>
      <c r="E515" t="inlineStr">
        <is>
          <t>GOTLAND</t>
        </is>
      </c>
      <c r="G515" t="n">
        <v>5</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46163</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21792-2024</t>
        </is>
      </c>
      <c r="B517" s="1" t="n">
        <v>45442.64326388889</v>
      </c>
      <c r="C517" s="1" t="n">
        <v>46163</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1355-2026</t>
        </is>
      </c>
      <c r="B518" s="1" t="n">
        <v>46031.59909722222</v>
      </c>
      <c r="C518" s="1" t="n">
        <v>46163</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62836-2025</t>
        </is>
      </c>
      <c r="B519" s="1" t="n">
        <v>46008</v>
      </c>
      <c r="C519" s="1" t="n">
        <v>46163</v>
      </c>
      <c r="D519" t="inlineStr">
        <is>
          <t>GOTLANDS LÄN</t>
        </is>
      </c>
      <c r="E519" t="inlineStr">
        <is>
          <t>GOTLAND</t>
        </is>
      </c>
      <c r="G519" t="n">
        <v>6.5</v>
      </c>
      <c r="H519" t="n">
        <v>0</v>
      </c>
      <c r="I519" t="n">
        <v>0</v>
      </c>
      <c r="J519" t="n">
        <v>0</v>
      </c>
      <c r="K519" t="n">
        <v>0</v>
      </c>
      <c r="L519" t="n">
        <v>0</v>
      </c>
      <c r="M519" t="n">
        <v>0</v>
      </c>
      <c r="N519" t="n">
        <v>0</v>
      </c>
      <c r="O519" t="n">
        <v>0</v>
      </c>
      <c r="P519" t="n">
        <v>0</v>
      </c>
      <c r="Q519" t="n">
        <v>0</v>
      </c>
      <c r="R519" s="2" t="inlineStr"/>
    </row>
    <row r="520" ht="15" customHeight="1">
      <c r="A520" t="inlineStr">
        <is>
          <t>A 22887-2026</t>
        </is>
      </c>
      <c r="B520" s="1" t="n">
        <v>46160.47591435185</v>
      </c>
      <c r="C520" s="1" t="n">
        <v>46163</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63152-2025</t>
        </is>
      </c>
      <c r="B521" s="1" t="n">
        <v>46010</v>
      </c>
      <c r="C521" s="1" t="n">
        <v>46163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46163</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1898-2026</t>
        </is>
      </c>
      <c r="B523" s="1" t="n">
        <v>46035.52024305556</v>
      </c>
      <c r="C523" s="1" t="n">
        <v>46163</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10653-2023</t>
        </is>
      </c>
      <c r="B524" s="1" t="n">
        <v>44988.48859953704</v>
      </c>
      <c r="C524" s="1" t="n">
        <v>46163</v>
      </c>
      <c r="D524" t="inlineStr">
        <is>
          <t>GOTLANDS LÄN</t>
        </is>
      </c>
      <c r="E524" t="inlineStr">
        <is>
          <t>GOTLAND</t>
        </is>
      </c>
      <c r="F524" t="inlineStr">
        <is>
          <t>Kyrkan</t>
        </is>
      </c>
      <c r="G524" t="n">
        <v>3</v>
      </c>
      <c r="H524" t="n">
        <v>0</v>
      </c>
      <c r="I524" t="n">
        <v>0</v>
      </c>
      <c r="J524" t="n">
        <v>0</v>
      </c>
      <c r="K524" t="n">
        <v>0</v>
      </c>
      <c r="L524" t="n">
        <v>0</v>
      </c>
      <c r="M524" t="n">
        <v>0</v>
      </c>
      <c r="N524" t="n">
        <v>0</v>
      </c>
      <c r="O524" t="n">
        <v>0</v>
      </c>
      <c r="P524" t="n">
        <v>0</v>
      </c>
      <c r="Q524" t="n">
        <v>0</v>
      </c>
      <c r="R524" s="2" t="inlineStr"/>
    </row>
    <row r="525" ht="15" customHeight="1">
      <c r="A525" t="inlineStr">
        <is>
          <t>A 35512-2023</t>
        </is>
      </c>
      <c r="B525" s="1" t="n">
        <v>45147.25623842593</v>
      </c>
      <c r="C525" s="1" t="n">
        <v>46163</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46163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5863-2026</t>
        </is>
      </c>
      <c r="B527" s="1" t="n">
        <v>46052</v>
      </c>
      <c r="C527" s="1" t="n">
        <v>46163</v>
      </c>
      <c r="D527" t="inlineStr">
        <is>
          <t>GOTLANDS LÄN</t>
        </is>
      </c>
      <c r="E527" t="inlineStr">
        <is>
          <t>GOTLAND</t>
        </is>
      </c>
      <c r="G527" t="n">
        <v>1.8</v>
      </c>
      <c r="H527" t="n">
        <v>0</v>
      </c>
      <c r="I527" t="n">
        <v>0</v>
      </c>
      <c r="J527" t="n">
        <v>0</v>
      </c>
      <c r="K527" t="n">
        <v>0</v>
      </c>
      <c r="L527" t="n">
        <v>0</v>
      </c>
      <c r="M527" t="n">
        <v>0</v>
      </c>
      <c r="N527" t="n">
        <v>0</v>
      </c>
      <c r="O527" t="n">
        <v>0</v>
      </c>
      <c r="P527" t="n">
        <v>0</v>
      </c>
      <c r="Q527" t="n">
        <v>0</v>
      </c>
      <c r="R527" s="2" t="inlineStr"/>
    </row>
    <row r="528" ht="15" customHeight="1">
      <c r="A528" t="inlineStr">
        <is>
          <t>A 2415-2026</t>
        </is>
      </c>
      <c r="B528" s="1" t="n">
        <v>46036.76203703704</v>
      </c>
      <c r="C528" s="1" t="n">
        <v>46163</v>
      </c>
      <c r="D528" t="inlineStr">
        <is>
          <t>GOTLANDS LÄN</t>
        </is>
      </c>
      <c r="E528" t="inlineStr">
        <is>
          <t>GOTLAND</t>
        </is>
      </c>
      <c r="G528" t="n">
        <v>6.9</v>
      </c>
      <c r="H528" t="n">
        <v>0</v>
      </c>
      <c r="I528" t="n">
        <v>0</v>
      </c>
      <c r="J528" t="n">
        <v>0</v>
      </c>
      <c r="K528" t="n">
        <v>0</v>
      </c>
      <c r="L528" t="n">
        <v>0</v>
      </c>
      <c r="M528" t="n">
        <v>0</v>
      </c>
      <c r="N528" t="n">
        <v>0</v>
      </c>
      <c r="O528" t="n">
        <v>0</v>
      </c>
      <c r="P528" t="n">
        <v>0</v>
      </c>
      <c r="Q528" t="n">
        <v>0</v>
      </c>
      <c r="R528" s="2" t="inlineStr"/>
    </row>
    <row r="529" ht="15" customHeight="1">
      <c r="A529" t="inlineStr">
        <is>
          <t>A 3253-2026</t>
        </is>
      </c>
      <c r="B529" s="1" t="n">
        <v>46041.58902777778</v>
      </c>
      <c r="C529" s="1" t="n">
        <v>46163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20225-2025</t>
        </is>
      </c>
      <c r="B530" s="1" t="n">
        <v>45772.65802083333</v>
      </c>
      <c r="C530" s="1" t="n">
        <v>46163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1677-2023</t>
        </is>
      </c>
      <c r="B531" s="1" t="n">
        <v>44938</v>
      </c>
      <c r="C531" s="1" t="n">
        <v>46163</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46163</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8036-2022</t>
        </is>
      </c>
      <c r="B533" s="1" t="n">
        <v>44609.44362268518</v>
      </c>
      <c r="C533" s="1" t="n">
        <v>46163</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23103-2026</t>
        </is>
      </c>
      <c r="B534" s="1" t="n">
        <v>46161.57108796296</v>
      </c>
      <c r="C534" s="1" t="n">
        <v>46163</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46375-2024</t>
        </is>
      </c>
      <c r="B535" s="1" t="n">
        <v>45582</v>
      </c>
      <c r="C535" s="1" t="n">
        <v>46163</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46163</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46163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1839-2026</t>
        </is>
      </c>
      <c r="B538" s="1" t="n">
        <v>46035.3942824074</v>
      </c>
      <c r="C538" s="1" t="n">
        <v>46163</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46163</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4646-2026</t>
        </is>
      </c>
      <c r="B540" s="1" t="n">
        <v>46048.40357638889</v>
      </c>
      <c r="C540" s="1" t="n">
        <v>46163</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4634-2026</t>
        </is>
      </c>
      <c r="B541" s="1" t="n">
        <v>46048.39304398148</v>
      </c>
      <c r="C541" s="1" t="n">
        <v>46163</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4670-2026</t>
        </is>
      </c>
      <c r="B542" s="1" t="n">
        <v>46048.41733796296</v>
      </c>
      <c r="C542" s="1" t="n">
        <v>46163</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46163</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46163</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46163</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46163</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46163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46163</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46163</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6218-2026</t>
        </is>
      </c>
      <c r="B550" s="1" t="n">
        <v>46055.42859953704</v>
      </c>
      <c r="C550" s="1" t="n">
        <v>46163</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6959-2026</t>
        </is>
      </c>
      <c r="B551" s="1" t="n">
        <v>46057.580625</v>
      </c>
      <c r="C551" s="1" t="n">
        <v>46163</v>
      </c>
      <c r="D551" t="inlineStr">
        <is>
          <t>GOTLANDS LÄN</t>
        </is>
      </c>
      <c r="E551" t="inlineStr">
        <is>
          <t>GOTLAND</t>
        </is>
      </c>
      <c r="F551" t="inlineStr">
        <is>
          <t>Kyrkan</t>
        </is>
      </c>
      <c r="G551" t="n">
        <v>1.2</v>
      </c>
      <c r="H551" t="n">
        <v>0</v>
      </c>
      <c r="I551" t="n">
        <v>0</v>
      </c>
      <c r="J551" t="n">
        <v>0</v>
      </c>
      <c r="K551" t="n">
        <v>0</v>
      </c>
      <c r="L551" t="n">
        <v>0</v>
      </c>
      <c r="M551" t="n">
        <v>0</v>
      </c>
      <c r="N551" t="n">
        <v>0</v>
      </c>
      <c r="O551" t="n">
        <v>0</v>
      </c>
      <c r="P551" t="n">
        <v>0</v>
      </c>
      <c r="Q551" t="n">
        <v>0</v>
      </c>
      <c r="R551" s="2" t="inlineStr"/>
    </row>
    <row r="552" ht="15" customHeight="1">
      <c r="A552" t="inlineStr">
        <is>
          <t>A 6960-2026</t>
        </is>
      </c>
      <c r="B552" s="1" t="n">
        <v>46057.58105324074</v>
      </c>
      <c r="C552" s="1" t="n">
        <v>46163</v>
      </c>
      <c r="D552" t="inlineStr">
        <is>
          <t>GOTLANDS LÄN</t>
        </is>
      </c>
      <c r="E552" t="inlineStr">
        <is>
          <t>GOTLAND</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46163</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46163</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46163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46163</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46163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46163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46163</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46163</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46163</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46163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46163</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46163</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46163</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46163</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46163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46163</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46163</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46163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46163</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46163</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46163</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46163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46163</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46163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46163</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46163</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46163</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46163</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46163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46163</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46163</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46163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46163</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46163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46163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46163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46163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46163</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46163</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46163</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46163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46163</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46163</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46163</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46163</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46163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46163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46163</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46163</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46163</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46163</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46163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46163</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46163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46163</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39479-2022</t>
        </is>
      </c>
      <c r="B608" s="1" t="n">
        <v>44818</v>
      </c>
      <c r="C608" s="1" t="n">
        <v>46163</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39496-2022</t>
        </is>
      </c>
      <c r="B609" s="1" t="n">
        <v>44818</v>
      </c>
      <c r="C609" s="1" t="n">
        <v>46163</v>
      </c>
      <c r="D609" t="inlineStr">
        <is>
          <t>GOTLANDS LÄN</t>
        </is>
      </c>
      <c r="E609" t="inlineStr">
        <is>
          <t>GOTLAND</t>
        </is>
      </c>
      <c r="G609" t="n">
        <v>2.4</v>
      </c>
      <c r="H609" t="n">
        <v>0</v>
      </c>
      <c r="I609" t="n">
        <v>0</v>
      </c>
      <c r="J609" t="n">
        <v>0</v>
      </c>
      <c r="K609" t="n">
        <v>0</v>
      </c>
      <c r="L609" t="n">
        <v>0</v>
      </c>
      <c r="M609" t="n">
        <v>0</v>
      </c>
      <c r="N609" t="n">
        <v>0</v>
      </c>
      <c r="O609" t="n">
        <v>0</v>
      </c>
      <c r="P609" t="n">
        <v>0</v>
      </c>
      <c r="Q609" t="n">
        <v>0</v>
      </c>
      <c r="R609" s="2" t="inlineStr"/>
    </row>
    <row r="610" ht="15" customHeight="1">
      <c r="A610" t="inlineStr">
        <is>
          <t>A 46389-2021</t>
        </is>
      </c>
      <c r="B610" s="1" t="n">
        <v>44443</v>
      </c>
      <c r="C610" s="1" t="n">
        <v>46163</v>
      </c>
      <c r="D610" t="inlineStr">
        <is>
          <t>GOTLANDS LÄN</t>
        </is>
      </c>
      <c r="E610" t="inlineStr">
        <is>
          <t>GOTLAND</t>
        </is>
      </c>
      <c r="F610" t="inlineStr">
        <is>
          <t>Kyrkan</t>
        </is>
      </c>
      <c r="G610" t="n">
        <v>2.1</v>
      </c>
      <c r="H610" t="n">
        <v>0</v>
      </c>
      <c r="I610" t="n">
        <v>0</v>
      </c>
      <c r="J610" t="n">
        <v>0</v>
      </c>
      <c r="K610" t="n">
        <v>0</v>
      </c>
      <c r="L610" t="n">
        <v>0</v>
      </c>
      <c r="M610" t="n">
        <v>0</v>
      </c>
      <c r="N610" t="n">
        <v>0</v>
      </c>
      <c r="O610" t="n">
        <v>0</v>
      </c>
      <c r="P610" t="n">
        <v>0</v>
      </c>
      <c r="Q610" t="n">
        <v>0</v>
      </c>
      <c r="R610" s="2" t="inlineStr"/>
    </row>
    <row r="611" ht="15" customHeight="1">
      <c r="A611" t="inlineStr">
        <is>
          <t>A 44949-2023</t>
        </is>
      </c>
      <c r="B611" s="1" t="n">
        <v>45190.69520833333</v>
      </c>
      <c r="C611" s="1" t="n">
        <v>46163</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17682-2024</t>
        </is>
      </c>
      <c r="B612" s="1" t="n">
        <v>45418.42966435185</v>
      </c>
      <c r="C612" s="1" t="n">
        <v>46163</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61897-2024</t>
        </is>
      </c>
      <c r="B613" s="1" t="n">
        <v>45652.75685185185</v>
      </c>
      <c r="C613" s="1" t="n">
        <v>46163</v>
      </c>
      <c r="D613" t="inlineStr">
        <is>
          <t>GOTLANDS LÄN</t>
        </is>
      </c>
      <c r="E613" t="inlineStr">
        <is>
          <t>GOTLAND</t>
        </is>
      </c>
      <c r="G613" t="n">
        <v>6.4</v>
      </c>
      <c r="H613" t="n">
        <v>0</v>
      </c>
      <c r="I613" t="n">
        <v>0</v>
      </c>
      <c r="J613" t="n">
        <v>0</v>
      </c>
      <c r="K613" t="n">
        <v>0</v>
      </c>
      <c r="L613" t="n">
        <v>0</v>
      </c>
      <c r="M613" t="n">
        <v>0</v>
      </c>
      <c r="N613" t="n">
        <v>0</v>
      </c>
      <c r="O613" t="n">
        <v>0</v>
      </c>
      <c r="P613" t="n">
        <v>0</v>
      </c>
      <c r="Q613" t="n">
        <v>0</v>
      </c>
      <c r="R613" s="2" t="inlineStr"/>
    </row>
    <row r="614" ht="15" customHeight="1">
      <c r="A614" t="inlineStr">
        <is>
          <t>A 12032-2025</t>
        </is>
      </c>
      <c r="B614" s="1" t="n">
        <v>45728.64472222222</v>
      </c>
      <c r="C614" s="1" t="n">
        <v>46163</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15595-2024</t>
        </is>
      </c>
      <c r="B615" s="1" t="n">
        <v>45401.81480324074</v>
      </c>
      <c r="C615" s="1" t="n">
        <v>46163</v>
      </c>
      <c r="D615" t="inlineStr">
        <is>
          <t>GOTLANDS LÄN</t>
        </is>
      </c>
      <c r="E615" t="inlineStr">
        <is>
          <t>GOTLAND</t>
        </is>
      </c>
      <c r="G615" t="n">
        <v>6.4</v>
      </c>
      <c r="H615" t="n">
        <v>0</v>
      </c>
      <c r="I615" t="n">
        <v>0</v>
      </c>
      <c r="J615" t="n">
        <v>0</v>
      </c>
      <c r="K615" t="n">
        <v>0</v>
      </c>
      <c r="L615" t="n">
        <v>0</v>
      </c>
      <c r="M615" t="n">
        <v>0</v>
      </c>
      <c r="N615" t="n">
        <v>0</v>
      </c>
      <c r="O615" t="n">
        <v>0</v>
      </c>
      <c r="P615" t="n">
        <v>0</v>
      </c>
      <c r="Q615" t="n">
        <v>0</v>
      </c>
      <c r="R615" s="2" t="inlineStr"/>
    </row>
    <row r="616" ht="15" customHeight="1">
      <c r="A616" t="inlineStr">
        <is>
          <t>A 21164-2024</t>
        </is>
      </c>
      <c r="B616" s="1" t="n">
        <v>45440</v>
      </c>
      <c r="C616" s="1" t="n">
        <v>46163</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17541-2024</t>
        </is>
      </c>
      <c r="B617" s="1" t="n">
        <v>45415</v>
      </c>
      <c r="C617" s="1" t="n">
        <v>46163</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883-2025</t>
        </is>
      </c>
      <c r="B618" s="1" t="n">
        <v>45665</v>
      </c>
      <c r="C618" s="1" t="n">
        <v>46163</v>
      </c>
      <c r="D618" t="inlineStr">
        <is>
          <t>GOTLANDS LÄN</t>
        </is>
      </c>
      <c r="E618" t="inlineStr">
        <is>
          <t>GOTLAND</t>
        </is>
      </c>
      <c r="G618" t="n">
        <v>1.3</v>
      </c>
      <c r="H618" t="n">
        <v>0</v>
      </c>
      <c r="I618" t="n">
        <v>0</v>
      </c>
      <c r="J618" t="n">
        <v>0</v>
      </c>
      <c r="K618" t="n">
        <v>0</v>
      </c>
      <c r="L618" t="n">
        <v>0</v>
      </c>
      <c r="M618" t="n">
        <v>0</v>
      </c>
      <c r="N618" t="n">
        <v>0</v>
      </c>
      <c r="O618" t="n">
        <v>0</v>
      </c>
      <c r="P618" t="n">
        <v>0</v>
      </c>
      <c r="Q618" t="n">
        <v>0</v>
      </c>
      <c r="R618" s="2" t="inlineStr"/>
    </row>
    <row r="619" ht="15" customHeight="1">
      <c r="A619" t="inlineStr">
        <is>
          <t>A 13910-2025</t>
        </is>
      </c>
      <c r="B619" s="1" t="n">
        <v>45737</v>
      </c>
      <c r="C619" s="1" t="n">
        <v>46163</v>
      </c>
      <c r="D619" t="inlineStr">
        <is>
          <t>GOTLANDS LÄN</t>
        </is>
      </c>
      <c r="E619" t="inlineStr">
        <is>
          <t>GOTLAND</t>
        </is>
      </c>
      <c r="F619" t="inlineStr">
        <is>
          <t>Kommuner</t>
        </is>
      </c>
      <c r="G619" t="n">
        <v>3.2</v>
      </c>
      <c r="H619" t="n">
        <v>0</v>
      </c>
      <c r="I619" t="n">
        <v>0</v>
      </c>
      <c r="J619" t="n">
        <v>0</v>
      </c>
      <c r="K619" t="n">
        <v>0</v>
      </c>
      <c r="L619" t="n">
        <v>0</v>
      </c>
      <c r="M619" t="n">
        <v>0</v>
      </c>
      <c r="N619" t="n">
        <v>0</v>
      </c>
      <c r="O619" t="n">
        <v>0</v>
      </c>
      <c r="P619" t="n">
        <v>0</v>
      </c>
      <c r="Q619" t="n">
        <v>0</v>
      </c>
      <c r="R619" s="2" t="inlineStr"/>
    </row>
    <row r="620" ht="15" customHeight="1">
      <c r="A620" t="inlineStr">
        <is>
          <t>A 20794-2025</t>
        </is>
      </c>
      <c r="B620" s="1" t="n">
        <v>45776</v>
      </c>
      <c r="C620" s="1" t="n">
        <v>46163</v>
      </c>
      <c r="D620" t="inlineStr">
        <is>
          <t>GOTLANDS LÄN</t>
        </is>
      </c>
      <c r="E620" t="inlineStr">
        <is>
          <t>GOTLAND</t>
        </is>
      </c>
      <c r="G620" t="n">
        <v>6</v>
      </c>
      <c r="H620" t="n">
        <v>0</v>
      </c>
      <c r="I620" t="n">
        <v>0</v>
      </c>
      <c r="J620" t="n">
        <v>0</v>
      </c>
      <c r="K620" t="n">
        <v>0</v>
      </c>
      <c r="L620" t="n">
        <v>0</v>
      </c>
      <c r="M620" t="n">
        <v>0</v>
      </c>
      <c r="N620" t="n">
        <v>0</v>
      </c>
      <c r="O620" t="n">
        <v>0</v>
      </c>
      <c r="P620" t="n">
        <v>0</v>
      </c>
      <c r="Q620" t="n">
        <v>0</v>
      </c>
      <c r="R620" s="2" t="inlineStr"/>
    </row>
    <row r="621" ht="15" customHeight="1">
      <c r="A621" t="inlineStr">
        <is>
          <t>A 20805-2025</t>
        </is>
      </c>
      <c r="B621" s="1" t="n">
        <v>45776</v>
      </c>
      <c r="C621" s="1" t="n">
        <v>46163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21389-2025</t>
        </is>
      </c>
      <c r="B622" s="1" t="n">
        <v>45782</v>
      </c>
      <c r="C622" s="1" t="n">
        <v>46163</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21651-2025</t>
        </is>
      </c>
      <c r="B623" s="1" t="n">
        <v>45783</v>
      </c>
      <c r="C623" s="1" t="n">
        <v>46163</v>
      </c>
      <c r="D623" t="inlineStr">
        <is>
          <t>GOTLANDS LÄN</t>
        </is>
      </c>
      <c r="E623" t="inlineStr">
        <is>
          <t>GOTLAND</t>
        </is>
      </c>
      <c r="G623" t="n">
        <v>4.2</v>
      </c>
      <c r="H623" t="n">
        <v>0</v>
      </c>
      <c r="I623" t="n">
        <v>0</v>
      </c>
      <c r="J623" t="n">
        <v>0</v>
      </c>
      <c r="K623" t="n">
        <v>0</v>
      </c>
      <c r="L623" t="n">
        <v>0</v>
      </c>
      <c r="M623" t="n">
        <v>0</v>
      </c>
      <c r="N623" t="n">
        <v>0</v>
      </c>
      <c r="O623" t="n">
        <v>0</v>
      </c>
      <c r="P623" t="n">
        <v>0</v>
      </c>
      <c r="Q623" t="n">
        <v>0</v>
      </c>
      <c r="R623" s="2" t="inlineStr"/>
    </row>
    <row r="624" ht="15" customHeight="1">
      <c r="A624" t="inlineStr">
        <is>
          <t>A 21420-2024</t>
        </is>
      </c>
      <c r="B624" s="1" t="n">
        <v>45441.38293981482</v>
      </c>
      <c r="C624" s="1" t="n">
        <v>46163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10656-2024</t>
        </is>
      </c>
      <c r="B625" s="1" t="n">
        <v>45368</v>
      </c>
      <c r="C625" s="1" t="n">
        <v>46163</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57356-2023</t>
        </is>
      </c>
      <c r="B626" s="1" t="n">
        <v>45240</v>
      </c>
      <c r="C626" s="1" t="n">
        <v>46163</v>
      </c>
      <c r="D626" t="inlineStr">
        <is>
          <t>GOTLANDS LÄN</t>
        </is>
      </c>
      <c r="E626" t="inlineStr">
        <is>
          <t>GOTLAND</t>
        </is>
      </c>
      <c r="G626" t="n">
        <v>6.4</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46163</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23188-2025</t>
        </is>
      </c>
      <c r="B628" s="1" t="n">
        <v>45791</v>
      </c>
      <c r="C628" s="1" t="n">
        <v>46163</v>
      </c>
      <c r="D628" t="inlineStr">
        <is>
          <t>GOTLANDS LÄN</t>
        </is>
      </c>
      <c r="E628" t="inlineStr">
        <is>
          <t>GOTLAND</t>
        </is>
      </c>
      <c r="G628" t="n">
        <v>6.2</v>
      </c>
      <c r="H628" t="n">
        <v>0</v>
      </c>
      <c r="I628" t="n">
        <v>0</v>
      </c>
      <c r="J628" t="n">
        <v>0</v>
      </c>
      <c r="K628" t="n">
        <v>0</v>
      </c>
      <c r="L628" t="n">
        <v>0</v>
      </c>
      <c r="M628" t="n">
        <v>0</v>
      </c>
      <c r="N628" t="n">
        <v>0</v>
      </c>
      <c r="O628" t="n">
        <v>0</v>
      </c>
      <c r="P628" t="n">
        <v>0</v>
      </c>
      <c r="Q628" t="n">
        <v>0</v>
      </c>
      <c r="R628" s="2" t="inlineStr"/>
    </row>
    <row r="629" ht="15" customHeight="1">
      <c r="A629" t="inlineStr">
        <is>
          <t>A 23856-2025</t>
        </is>
      </c>
      <c r="B629" s="1" t="n">
        <v>45793</v>
      </c>
      <c r="C629" s="1" t="n">
        <v>46163</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23473-2025</t>
        </is>
      </c>
      <c r="B630" s="1" t="n">
        <v>45792</v>
      </c>
      <c r="C630" s="1" t="n">
        <v>46163</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23698-2025</t>
        </is>
      </c>
      <c r="B631" s="1" t="n">
        <v>45793</v>
      </c>
      <c r="C631" s="1" t="n">
        <v>46163</v>
      </c>
      <c r="D631" t="inlineStr">
        <is>
          <t>GOTLANDS LÄN</t>
        </is>
      </c>
      <c r="E631" t="inlineStr">
        <is>
          <t>GOTLAND</t>
        </is>
      </c>
      <c r="G631" t="n">
        <v>0.8</v>
      </c>
      <c r="H631" t="n">
        <v>0</v>
      </c>
      <c r="I631" t="n">
        <v>0</v>
      </c>
      <c r="J631" t="n">
        <v>0</v>
      </c>
      <c r="K631" t="n">
        <v>0</v>
      </c>
      <c r="L631" t="n">
        <v>0</v>
      </c>
      <c r="M631" t="n">
        <v>0</v>
      </c>
      <c r="N631" t="n">
        <v>0</v>
      </c>
      <c r="O631" t="n">
        <v>0</v>
      </c>
      <c r="P631" t="n">
        <v>0</v>
      </c>
      <c r="Q631" t="n">
        <v>0</v>
      </c>
      <c r="R631" s="2" t="inlineStr"/>
    </row>
    <row r="632" ht="15" customHeight="1">
      <c r="A632" t="inlineStr">
        <is>
          <t>A 15073-2025</t>
        </is>
      </c>
      <c r="B632" s="1" t="n">
        <v>45743</v>
      </c>
      <c r="C632" s="1" t="n">
        <v>46163</v>
      </c>
      <c r="D632" t="inlineStr">
        <is>
          <t>GOTLANDS LÄN</t>
        </is>
      </c>
      <c r="E632" t="inlineStr">
        <is>
          <t>GOTLAND</t>
        </is>
      </c>
      <c r="G632" t="n">
        <v>12.1</v>
      </c>
      <c r="H632" t="n">
        <v>0</v>
      </c>
      <c r="I632" t="n">
        <v>0</v>
      </c>
      <c r="J632" t="n">
        <v>0</v>
      </c>
      <c r="K632" t="n">
        <v>0</v>
      </c>
      <c r="L632" t="n">
        <v>0</v>
      </c>
      <c r="M632" t="n">
        <v>0</v>
      </c>
      <c r="N632" t="n">
        <v>0</v>
      </c>
      <c r="O632" t="n">
        <v>0</v>
      </c>
      <c r="P632" t="n">
        <v>0</v>
      </c>
      <c r="Q632" t="n">
        <v>0</v>
      </c>
      <c r="R632" s="2" t="inlineStr"/>
    </row>
    <row r="633" ht="15" customHeight="1">
      <c r="A633" t="inlineStr">
        <is>
          <t>A 6749-2025</t>
        </is>
      </c>
      <c r="B633" s="1" t="n">
        <v>45700</v>
      </c>
      <c r="C633" s="1" t="n">
        <v>46163</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5462-2025</t>
        </is>
      </c>
      <c r="B634" s="1" t="n">
        <v>45693.29331018519</v>
      </c>
      <c r="C634" s="1" t="n">
        <v>46163</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25796-2025</t>
        </is>
      </c>
      <c r="B635" s="1" t="n">
        <v>45804.39543981481</v>
      </c>
      <c r="C635" s="1" t="n">
        <v>46163</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26465-2025</t>
        </is>
      </c>
      <c r="B636" s="1" t="n">
        <v>45807.44377314814</v>
      </c>
      <c r="C636" s="1" t="n">
        <v>46163</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row r="637" ht="15" customHeight="1">
      <c r="A637" t="inlineStr">
        <is>
          <t>A 26457-2025</t>
        </is>
      </c>
      <c r="B637" s="1" t="n">
        <v>45807.42773148148</v>
      </c>
      <c r="C637" s="1" t="n">
        <v>46163</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26467-2025</t>
        </is>
      </c>
      <c r="B638" s="1" t="n">
        <v>45807.44640046296</v>
      </c>
      <c r="C638" s="1" t="n">
        <v>46163</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26660-2025</t>
        </is>
      </c>
      <c r="B639" s="1" t="n">
        <v>45810.39737268518</v>
      </c>
      <c r="C639" s="1" t="n">
        <v>46163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27355-2025</t>
        </is>
      </c>
      <c r="B640" s="1" t="n">
        <v>45812</v>
      </c>
      <c r="C640" s="1" t="n">
        <v>46163</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27371-2025</t>
        </is>
      </c>
      <c r="B641" s="1" t="n">
        <v>45812</v>
      </c>
      <c r="C641" s="1" t="n">
        <v>46163</v>
      </c>
      <c r="D641" t="inlineStr">
        <is>
          <t>GOTLANDS LÄN</t>
        </is>
      </c>
      <c r="E641" t="inlineStr">
        <is>
          <t>GOTLAND</t>
        </is>
      </c>
      <c r="G641" t="n">
        <v>8</v>
      </c>
      <c r="H641" t="n">
        <v>0</v>
      </c>
      <c r="I641" t="n">
        <v>0</v>
      </c>
      <c r="J641" t="n">
        <v>0</v>
      </c>
      <c r="K641" t="n">
        <v>0</v>
      </c>
      <c r="L641" t="n">
        <v>0</v>
      </c>
      <c r="M641" t="n">
        <v>0</v>
      </c>
      <c r="N641" t="n">
        <v>0</v>
      </c>
      <c r="O641" t="n">
        <v>0</v>
      </c>
      <c r="P641" t="n">
        <v>0</v>
      </c>
      <c r="Q641" t="n">
        <v>0</v>
      </c>
      <c r="R641" s="2" t="inlineStr"/>
    </row>
    <row r="642" ht="15" customHeight="1">
      <c r="A642" t="inlineStr">
        <is>
          <t>A 7850-2025</t>
        </is>
      </c>
      <c r="B642" s="1" t="n">
        <v>45706</v>
      </c>
      <c r="C642" s="1" t="n">
        <v>46163</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6739-2025</t>
        </is>
      </c>
      <c r="B643" s="1" t="n">
        <v>45700</v>
      </c>
      <c r="C643" s="1" t="n">
        <v>46163</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8444-2025</t>
        </is>
      </c>
      <c r="B644" s="1" t="n">
        <v>45709</v>
      </c>
      <c r="C644" s="1" t="n">
        <v>46163</v>
      </c>
      <c r="D644" t="inlineStr">
        <is>
          <t>GOTLANDS LÄN</t>
        </is>
      </c>
      <c r="E644" t="inlineStr">
        <is>
          <t>GOTLAND</t>
        </is>
      </c>
      <c r="G644" t="n">
        <v>5.2</v>
      </c>
      <c r="H644" t="n">
        <v>0</v>
      </c>
      <c r="I644" t="n">
        <v>0</v>
      </c>
      <c r="J644" t="n">
        <v>0</v>
      </c>
      <c r="K644" t="n">
        <v>0</v>
      </c>
      <c r="L644" t="n">
        <v>0</v>
      </c>
      <c r="M644" t="n">
        <v>0</v>
      </c>
      <c r="N644" t="n">
        <v>0</v>
      </c>
      <c r="O644" t="n">
        <v>0</v>
      </c>
      <c r="P644" t="n">
        <v>0</v>
      </c>
      <c r="Q644" t="n">
        <v>0</v>
      </c>
      <c r="R644" s="2" t="inlineStr"/>
    </row>
    <row r="645">
      <c r="A645" t="inlineStr">
        <is>
          <t>A 19905-2025</t>
        </is>
      </c>
      <c r="B645" s="1" t="n">
        <v>45771</v>
      </c>
      <c r="C645" s="1" t="n">
        <v>46163</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2026-05-21T10:52:28Z</dcterms:created>
  <dcterms:modified xmlns:dcterms="http://purl.org/dc/terms/" xmlns:xsi="http://www.w3.org/2001/XMLSchema-instance" xsi:type="dcterms:W3CDTF">2026-05-21T10:52:28Z</dcterms:modified>
</cp:coreProperties>
</file>