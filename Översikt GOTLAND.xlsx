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46196</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46196</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46196</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46196</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46196</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46196</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46196</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46196</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46196</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46196</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46196</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46196</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46196</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46196</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46196</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46196</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46196</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15068-2025</t>
        </is>
      </c>
      <c r="B19" s="1" t="n">
        <v>45743</v>
      </c>
      <c r="C19" s="1" t="n">
        <v>46196</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24575-2025</t>
        </is>
      </c>
      <c r="B20" s="1" t="n">
        <v>45798</v>
      </c>
      <c r="C20" s="1" t="n">
        <v>46196</v>
      </c>
      <c r="D20" t="inlineStr">
        <is>
          <t>GOTLANDS LÄN</t>
        </is>
      </c>
      <c r="E20" t="inlineStr">
        <is>
          <t>GOTLAND</t>
        </is>
      </c>
      <c r="G20" t="n">
        <v>6.7</v>
      </c>
      <c r="H20" t="n">
        <v>9</v>
      </c>
      <c r="I20" t="n">
        <v>4</v>
      </c>
      <c r="J20" t="n">
        <v>9</v>
      </c>
      <c r="K20" t="n">
        <v>1</v>
      </c>
      <c r="L20" t="n">
        <v>1</v>
      </c>
      <c r="M20" t="n">
        <v>0</v>
      </c>
      <c r="N20" t="n">
        <v>0</v>
      </c>
      <c r="O20" t="n">
        <v>11</v>
      </c>
      <c r="P20" t="n">
        <v>2</v>
      </c>
      <c r="Q20" t="n">
        <v>19</v>
      </c>
      <c r="R20" s="2" t="inlineStr">
        <is>
          <t>Ask
Knärot
Axveronika
Backtimjan
Jordtistel
Månlåsbräken
Reliktbock
Solvända
Svinrot
Sårläka
Ängsstarr
Nästrot
Skogsknipprot
Tvåblad
Vit skogslilja
Spillkråka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8645-2025</t>
        </is>
      </c>
      <c r="B21" s="1" t="n">
        <v>45712</v>
      </c>
      <c r="C21" s="1" t="n">
        <v>46196</v>
      </c>
      <c r="D21" t="inlineStr">
        <is>
          <t>GOTLANDS LÄN</t>
        </is>
      </c>
      <c r="E21" t="inlineStr">
        <is>
          <t>GOTLAND</t>
        </is>
      </c>
      <c r="G21" t="n">
        <v>21.9</v>
      </c>
      <c r="H21" t="n">
        <v>10</v>
      </c>
      <c r="I21" t="n">
        <v>7</v>
      </c>
      <c r="J21" t="n">
        <v>5</v>
      </c>
      <c r="K21" t="n">
        <v>0</v>
      </c>
      <c r="L21" t="n">
        <v>1</v>
      </c>
      <c r="M21" t="n">
        <v>0</v>
      </c>
      <c r="N21" t="n">
        <v>0</v>
      </c>
      <c r="O21" t="n">
        <v>6</v>
      </c>
      <c r="P21" t="n">
        <v>1</v>
      </c>
      <c r="Q21" t="n">
        <v>19</v>
      </c>
      <c r="R21" s="2" t="inlineStr">
        <is>
          <t>Ask
Backtimjan
Dårgräsfjäril
Loppstarr
Solvända
Svinrot
Blåmossa
Grönpyrola
Kalktallört
Nästrot
Skogsknipprot
Strävlosta
Tvåblad
Spillkråka
Grönsiska
Fläcknycklar
Grönvit nattviol
Nattviol
Sankt pers nycklar</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61664-2023</t>
        </is>
      </c>
      <c r="B22" s="1" t="n">
        <v>45265</v>
      </c>
      <c r="C22" s="1" t="n">
        <v>46196</v>
      </c>
      <c r="D22" t="inlineStr">
        <is>
          <t>GOTLANDS LÄN</t>
        </is>
      </c>
      <c r="E22" t="inlineStr">
        <is>
          <t>GOTLAND</t>
        </is>
      </c>
      <c r="G22" t="n">
        <v>4.8</v>
      </c>
      <c r="H22" t="n">
        <v>6</v>
      </c>
      <c r="I22" t="n">
        <v>7</v>
      </c>
      <c r="J22" t="n">
        <v>5</v>
      </c>
      <c r="K22" t="n">
        <v>2</v>
      </c>
      <c r="L22" t="n">
        <v>1</v>
      </c>
      <c r="M22" t="n">
        <v>0</v>
      </c>
      <c r="N22" t="n">
        <v>0</v>
      </c>
      <c r="O22" t="n">
        <v>8</v>
      </c>
      <c r="P22" t="n">
        <v>3</v>
      </c>
      <c r="Q22" t="n">
        <v>19</v>
      </c>
      <c r="R22" s="2" t="inlineStr">
        <is>
          <t>Klenodspindling
Duvspindling
Gulsträngad fagerspindling
Blå slemspindling
Majviva
Odörspindling
Svinrot
Ängsstarr
Anisspindling
Axag
Blåmossa
Kärrlilja
Nästrot
Skogsknipprot
Svavelriska
Spillkråka
Brudsporre
Kärrknipprot
Ängsnycklar</t>
        </is>
      </c>
      <c r="S22">
        <f>HYPERLINK("https://klasma.github.io/Logging_0980/artfynd/A 61664-2023 artfynd.xlsx", "A 61664-2023")</f>
        <v/>
      </c>
      <c r="T22">
        <f>HYPERLINK("https://klasma.github.io/Logging_0980/kartor/A 61664-2023 karta.png", "A 61664-2023")</f>
        <v/>
      </c>
      <c r="V22">
        <f>HYPERLINK("https://klasma.github.io/Logging_0980/klagomål/A 61664-2023 FSC-klagomål.docx", "A 61664-2023")</f>
        <v/>
      </c>
      <c r="W22">
        <f>HYPERLINK("https://klasma.github.io/Logging_0980/klagomålsmail/A 61664-2023 FSC-klagomål mail.docx", "A 61664-2023")</f>
        <v/>
      </c>
      <c r="X22">
        <f>HYPERLINK("https://klasma.github.io/Logging_0980/tillsyn/A 61664-2023 tillsynsbegäran.docx", "A 61664-2023")</f>
        <v/>
      </c>
      <c r="Y22">
        <f>HYPERLINK("https://klasma.github.io/Logging_0980/tillsynsmail/A 61664-2023 tillsynsbegäran mail.docx", "A 61664-2023")</f>
        <v/>
      </c>
      <c r="Z22">
        <f>HYPERLINK("https://klasma.github.io/Logging_0980/fåglar/A 61664-2023 prioriterade fågelarter.docx", "A 61664-2023")</f>
        <v/>
      </c>
    </row>
    <row r="23" ht="15" customHeight="1">
      <c r="A23" t="inlineStr">
        <is>
          <t>A 569-2023</t>
        </is>
      </c>
      <c r="B23" s="1" t="n">
        <v>44930</v>
      </c>
      <c r="C23" s="1" t="n">
        <v>46196</v>
      </c>
      <c r="D23" t="inlineStr">
        <is>
          <t>GOTLANDS LÄN</t>
        </is>
      </c>
      <c r="E23" t="inlineStr">
        <is>
          <t>GOTLAND</t>
        </is>
      </c>
      <c r="G23" t="n">
        <v>12.8</v>
      </c>
      <c r="H23" t="n">
        <v>2</v>
      </c>
      <c r="I23" t="n">
        <v>4</v>
      </c>
      <c r="J23" t="n">
        <v>9</v>
      </c>
      <c r="K23" t="n">
        <v>5</v>
      </c>
      <c r="L23" t="n">
        <v>0</v>
      </c>
      <c r="M23" t="n">
        <v>0</v>
      </c>
      <c r="N23" t="n">
        <v>0</v>
      </c>
      <c r="O23" t="n">
        <v>14</v>
      </c>
      <c r="P23" t="n">
        <v>5</v>
      </c>
      <c r="Q23" t="n">
        <v>19</v>
      </c>
      <c r="R23"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3">
        <f>HYPERLINK("https://klasma.github.io/Logging_0980/artfynd/A 569-2023 artfynd.xlsx", "A 569-2023")</f>
        <v/>
      </c>
      <c r="T23">
        <f>HYPERLINK("https://klasma.github.io/Logging_0980/kartor/A 569-2023 karta.png", "A 569-2023")</f>
        <v/>
      </c>
      <c r="V23">
        <f>HYPERLINK("https://klasma.github.io/Logging_0980/klagomål/A 569-2023 FSC-klagomål.docx", "A 569-2023")</f>
        <v/>
      </c>
      <c r="W23">
        <f>HYPERLINK("https://klasma.github.io/Logging_0980/klagomålsmail/A 569-2023 FSC-klagomål mail.docx", "A 569-2023")</f>
        <v/>
      </c>
      <c r="X23">
        <f>HYPERLINK("https://klasma.github.io/Logging_0980/tillsyn/A 569-2023 tillsynsbegäran.docx", "A 569-2023")</f>
        <v/>
      </c>
      <c r="Y23">
        <f>HYPERLINK("https://klasma.github.io/Logging_0980/tillsynsmail/A 569-2023 tillsynsbegäran mail.docx", "A 569-2023")</f>
        <v/>
      </c>
    </row>
    <row r="24" ht="15" customHeight="1">
      <c r="A24" t="inlineStr">
        <is>
          <t>A 59132-2024</t>
        </is>
      </c>
      <c r="B24" s="1" t="n">
        <v>45637</v>
      </c>
      <c r="C24" s="1" t="n">
        <v>46196</v>
      </c>
      <c r="D24" t="inlineStr">
        <is>
          <t>GOTLANDS LÄN</t>
        </is>
      </c>
      <c r="E24" t="inlineStr">
        <is>
          <t>GOTLAND</t>
        </is>
      </c>
      <c r="G24" t="n">
        <v>3.5</v>
      </c>
      <c r="H24" t="n">
        <v>3</v>
      </c>
      <c r="I24" t="n">
        <v>4</v>
      </c>
      <c r="J24" t="n">
        <v>8</v>
      </c>
      <c r="K24" t="n">
        <v>2</v>
      </c>
      <c r="L24" t="n">
        <v>2</v>
      </c>
      <c r="M24" t="n">
        <v>0</v>
      </c>
      <c r="N24" t="n">
        <v>0</v>
      </c>
      <c r="O24" t="n">
        <v>13</v>
      </c>
      <c r="P24" t="n">
        <v>4</v>
      </c>
      <c r="Q24" t="n">
        <v>18</v>
      </c>
      <c r="R24" s="2" t="inlineStr">
        <is>
          <t>Almlav
Ask
Mörk kraterlav
Pälsticka
Klasefibbla
Korkmusslingsmal
Korskovall
Slåtterfibbla
Solvända
Svinrot
Vippärt
Vårärt
Amphisphaeria umbrina
Myskmadra
Skogsknipprot
Tvåblad
Underviol
Sankt pers nycklar</t>
        </is>
      </c>
      <c r="S24">
        <f>HYPERLINK("https://klasma.github.io/Logging_0980/artfynd/A 59132-2024 artfynd.xlsx", "A 59132-2024")</f>
        <v/>
      </c>
      <c r="T24">
        <f>HYPERLINK("https://klasma.github.io/Logging_0980/kartor/A 59132-2024 karta.png", "A 59132-2024")</f>
        <v/>
      </c>
      <c r="V24">
        <f>HYPERLINK("https://klasma.github.io/Logging_0980/klagomål/A 59132-2024 FSC-klagomål.docx", "A 59132-2024")</f>
        <v/>
      </c>
      <c r="W24">
        <f>HYPERLINK("https://klasma.github.io/Logging_0980/klagomålsmail/A 59132-2024 FSC-klagomål mail.docx", "A 59132-2024")</f>
        <v/>
      </c>
      <c r="X24">
        <f>HYPERLINK("https://klasma.github.io/Logging_0980/tillsyn/A 59132-2024 tillsynsbegäran.docx", "A 59132-2024")</f>
        <v/>
      </c>
      <c r="Y24">
        <f>HYPERLINK("https://klasma.github.io/Logging_0980/tillsynsmail/A 59132-2024 tillsynsbegäran mail.docx", "A 59132-2024")</f>
        <v/>
      </c>
    </row>
    <row r="25" ht="15" customHeight="1">
      <c r="A25" t="inlineStr">
        <is>
          <t>A 15629-2024</t>
        </is>
      </c>
      <c r="B25" s="1" t="n">
        <v>45402</v>
      </c>
      <c r="C25" s="1" t="n">
        <v>46196</v>
      </c>
      <c r="D25" t="inlineStr">
        <is>
          <t>GOTLANDS LÄN</t>
        </is>
      </c>
      <c r="E25" t="inlineStr">
        <is>
          <t>GOTLAND</t>
        </is>
      </c>
      <c r="G25" t="n">
        <v>6.3</v>
      </c>
      <c r="H25" t="n">
        <v>6</v>
      </c>
      <c r="I25" t="n">
        <v>2</v>
      </c>
      <c r="J25" t="n">
        <v>10</v>
      </c>
      <c r="K25" t="n">
        <v>2</v>
      </c>
      <c r="L25" t="n">
        <v>0</v>
      </c>
      <c r="M25" t="n">
        <v>0</v>
      </c>
      <c r="N25" t="n">
        <v>0</v>
      </c>
      <c r="O25" t="n">
        <v>12</v>
      </c>
      <c r="P25" t="n">
        <v>2</v>
      </c>
      <c r="Q25" t="n">
        <v>18</v>
      </c>
      <c r="R25" s="2" t="inlineStr">
        <is>
          <t>Jordhår
Solvändesäckmal
Apollofjäril
Axveronika
Backtimjan
Crepis tectorum subsp. tectorum
Jordtistel
Kalkkoppmossa
Kattfotslav
Orellia scorzonerae
Solvända
Svinrot
Blåmossa
Nästrot
Blåsippa
Spillkråka
Sankt pers nycklar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46196</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46196</v>
      </c>
      <c r="D27" t="inlineStr">
        <is>
          <t>GOTLANDS LÄN</t>
        </is>
      </c>
      <c r="E27" t="inlineStr">
        <is>
          <t>GOTLAND</t>
        </is>
      </c>
      <c r="G27" t="n">
        <v>8.699999999999999</v>
      </c>
      <c r="H27" t="n">
        <v>3</v>
      </c>
      <c r="I27" t="n">
        <v>3</v>
      </c>
      <c r="J27" t="n">
        <v>4</v>
      </c>
      <c r="K27" t="n">
        <v>8</v>
      </c>
      <c r="L27" t="n">
        <v>1</v>
      </c>
      <c r="M27" t="n">
        <v>0</v>
      </c>
      <c r="N27" t="n">
        <v>0</v>
      </c>
      <c r="O27" t="n">
        <v>13</v>
      </c>
      <c r="P27" t="n">
        <v>9</v>
      </c>
      <c r="Q27" t="n">
        <v>17</v>
      </c>
      <c r="R2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46196</v>
      </c>
      <c r="D28" t="inlineStr">
        <is>
          <t>GOTLANDS LÄN</t>
        </is>
      </c>
      <c r="E28" t="inlineStr">
        <is>
          <t>GOTLAND</t>
        </is>
      </c>
      <c r="G28" t="n">
        <v>13.9</v>
      </c>
      <c r="H28" t="n">
        <v>5</v>
      </c>
      <c r="I28" t="n">
        <v>4</v>
      </c>
      <c r="J28" t="n">
        <v>7</v>
      </c>
      <c r="K28" t="n">
        <v>4</v>
      </c>
      <c r="L28" t="n">
        <v>0</v>
      </c>
      <c r="M28" t="n">
        <v>0</v>
      </c>
      <c r="N28" t="n">
        <v>0</v>
      </c>
      <c r="O28" t="n">
        <v>11</v>
      </c>
      <c r="P28" t="n">
        <v>4</v>
      </c>
      <c r="Q28" t="n">
        <v>17</v>
      </c>
      <c r="R28" s="2" t="inlineStr">
        <is>
          <t>Granrotspindling
Gulsträngad fagerspindling
Källnate
Vit taggsvamp
Backtimjan
Blå slemspindling
Dårgräsfjäril
Jordtistel
Odörspindling
Solvända
Äggspindling
Blåmossa
Mindre märgborre
Nästrot
Skogsknipprot
Spillkråka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6153-2024</t>
        </is>
      </c>
      <c r="B29" s="1" t="n">
        <v>45337</v>
      </c>
      <c r="C29" s="1" t="n">
        <v>46196</v>
      </c>
      <c r="D29" t="inlineStr">
        <is>
          <t>GOTLANDS LÄN</t>
        </is>
      </c>
      <c r="E29" t="inlineStr">
        <is>
          <t>GOTLAND</t>
        </is>
      </c>
      <c r="G29" t="n">
        <v>14.2</v>
      </c>
      <c r="H29" t="n">
        <v>0</v>
      </c>
      <c r="I29" t="n">
        <v>3</v>
      </c>
      <c r="J29" t="n">
        <v>3</v>
      </c>
      <c r="K29" t="n">
        <v>8</v>
      </c>
      <c r="L29" t="n">
        <v>2</v>
      </c>
      <c r="M29" t="n">
        <v>0</v>
      </c>
      <c r="N29" t="n">
        <v>0</v>
      </c>
      <c r="O29" t="n">
        <v>13</v>
      </c>
      <c r="P29" t="n">
        <v>10</v>
      </c>
      <c r="Q29" t="n">
        <v>16</v>
      </c>
      <c r="R29"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29">
        <f>HYPERLINK("https://klasma.github.io/Logging_0980/artfynd/A 6153-2024 artfynd.xlsx", "A 6153-2024")</f>
        <v/>
      </c>
      <c r="T29">
        <f>HYPERLINK("https://klasma.github.io/Logging_0980/kartor/A 6153-2024 karta.png", "A 6153-2024")</f>
        <v/>
      </c>
      <c r="V29">
        <f>HYPERLINK("https://klasma.github.io/Logging_0980/klagomål/A 6153-2024 FSC-klagomål.docx", "A 6153-2024")</f>
        <v/>
      </c>
      <c r="W29">
        <f>HYPERLINK("https://klasma.github.io/Logging_0980/klagomålsmail/A 6153-2024 FSC-klagomål mail.docx", "A 6153-2024")</f>
        <v/>
      </c>
      <c r="X29">
        <f>HYPERLINK("https://klasma.github.io/Logging_0980/tillsyn/A 6153-2024 tillsynsbegäran.docx", "A 6153-2024")</f>
        <v/>
      </c>
      <c r="Y29">
        <f>HYPERLINK("https://klasma.github.io/Logging_0980/tillsynsmail/A 6153-2024 tillsynsbegäran mail.docx", "A 6153-2024")</f>
        <v/>
      </c>
    </row>
    <row r="30" ht="15" customHeight="1">
      <c r="A30" t="inlineStr">
        <is>
          <t>A 35141-2022</t>
        </is>
      </c>
      <c r="B30" s="1" t="n">
        <v>44797</v>
      </c>
      <c r="C30" s="1" t="n">
        <v>46196</v>
      </c>
      <c r="D30" t="inlineStr">
        <is>
          <t>GOTLANDS LÄN</t>
        </is>
      </c>
      <c r="E30" t="inlineStr">
        <is>
          <t>GOTLAND</t>
        </is>
      </c>
      <c r="G30" t="n">
        <v>1.8</v>
      </c>
      <c r="H30" t="n">
        <v>1</v>
      </c>
      <c r="I30" t="n">
        <v>8</v>
      </c>
      <c r="J30" t="n">
        <v>4</v>
      </c>
      <c r="K30" t="n">
        <v>4</v>
      </c>
      <c r="L30" t="n">
        <v>0</v>
      </c>
      <c r="M30" t="n">
        <v>0</v>
      </c>
      <c r="N30" t="n">
        <v>0</v>
      </c>
      <c r="O30" t="n">
        <v>8</v>
      </c>
      <c r="P30" t="n">
        <v>4</v>
      </c>
      <c r="Q30" t="n">
        <v>16</v>
      </c>
      <c r="R3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2213-2023</t>
        </is>
      </c>
      <c r="B31" s="1" t="n">
        <v>44942</v>
      </c>
      <c r="C31" s="1" t="n">
        <v>46196</v>
      </c>
      <c r="D31" t="inlineStr">
        <is>
          <t>GOTLANDS LÄN</t>
        </is>
      </c>
      <c r="E31" t="inlineStr">
        <is>
          <t>GOTLAND</t>
        </is>
      </c>
      <c r="G31" t="n">
        <v>2.7</v>
      </c>
      <c r="H31" t="n">
        <v>1</v>
      </c>
      <c r="I31" t="n">
        <v>2</v>
      </c>
      <c r="J31" t="n">
        <v>10</v>
      </c>
      <c r="K31" t="n">
        <v>4</v>
      </c>
      <c r="L31" t="n">
        <v>0</v>
      </c>
      <c r="M31" t="n">
        <v>0</v>
      </c>
      <c r="N31" t="n">
        <v>0</v>
      </c>
      <c r="O31" t="n">
        <v>14</v>
      </c>
      <c r="P31" t="n">
        <v>4</v>
      </c>
      <c r="Q31" t="n">
        <v>16</v>
      </c>
      <c r="R3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1">
        <f>HYPERLINK("https://klasma.github.io/Logging_0980/artfynd/A 2213-2023 artfynd.xlsx", "A 2213-2023")</f>
        <v/>
      </c>
      <c r="T31">
        <f>HYPERLINK("https://klasma.github.io/Logging_0980/kartor/A 2213-2023 karta.png", "A 2213-2023")</f>
        <v/>
      </c>
      <c r="V31">
        <f>HYPERLINK("https://klasma.github.io/Logging_0980/klagomål/A 2213-2023 FSC-klagomål.docx", "A 2213-2023")</f>
        <v/>
      </c>
      <c r="W31">
        <f>HYPERLINK("https://klasma.github.io/Logging_0980/klagomålsmail/A 2213-2023 FSC-klagomål mail.docx", "A 2213-2023")</f>
        <v/>
      </c>
      <c r="X31">
        <f>HYPERLINK("https://klasma.github.io/Logging_0980/tillsyn/A 2213-2023 tillsynsbegäran.docx", "A 2213-2023")</f>
        <v/>
      </c>
      <c r="Y31">
        <f>HYPERLINK("https://klasma.github.io/Logging_0980/tillsynsmail/A 2213-2023 tillsynsbegäran mail.docx", "A 2213-2023")</f>
        <v/>
      </c>
    </row>
    <row r="32" ht="15" customHeight="1">
      <c r="A32" t="inlineStr">
        <is>
          <t>A 25779-2022</t>
        </is>
      </c>
      <c r="B32" s="1" t="n">
        <v>44733</v>
      </c>
      <c r="C32" s="1" t="n">
        <v>46196</v>
      </c>
      <c r="D32" t="inlineStr">
        <is>
          <t>GOTLANDS LÄN</t>
        </is>
      </c>
      <c r="E32" t="inlineStr">
        <is>
          <t>GOTLAND</t>
        </is>
      </c>
      <c r="G32" t="n">
        <v>12.6</v>
      </c>
      <c r="H32" t="n">
        <v>4</v>
      </c>
      <c r="I32" t="n">
        <v>8</v>
      </c>
      <c r="J32" t="n">
        <v>5</v>
      </c>
      <c r="K32" t="n">
        <v>2</v>
      </c>
      <c r="L32" t="n">
        <v>1</v>
      </c>
      <c r="M32" t="n">
        <v>0</v>
      </c>
      <c r="N32" t="n">
        <v>0</v>
      </c>
      <c r="O32" t="n">
        <v>8</v>
      </c>
      <c r="P32" t="n">
        <v>3</v>
      </c>
      <c r="Q32" t="n">
        <v>16</v>
      </c>
      <c r="R32" s="2" t="inlineStr">
        <is>
          <t>Ruttaggsvamp
Duvspindling
Knärot
Blå slemspindling
Flattoppad klubbsvamp
Jordtistel
Odörspindling
Solvända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63872-2021</t>
        </is>
      </c>
      <c r="B33" s="1" t="n">
        <v>44509</v>
      </c>
      <c r="C33" s="1" t="n">
        <v>46196</v>
      </c>
      <c r="D33" t="inlineStr">
        <is>
          <t>GOTLANDS LÄN</t>
        </is>
      </c>
      <c r="E33" t="inlineStr">
        <is>
          <t>GOTLAND</t>
        </is>
      </c>
      <c r="G33" t="n">
        <v>20.5</v>
      </c>
      <c r="H33" t="n">
        <v>3</v>
      </c>
      <c r="I33" t="n">
        <v>1</v>
      </c>
      <c r="J33" t="n">
        <v>5</v>
      </c>
      <c r="K33" t="n">
        <v>6</v>
      </c>
      <c r="L33" t="n">
        <v>0</v>
      </c>
      <c r="M33" t="n">
        <v>0</v>
      </c>
      <c r="N33" t="n">
        <v>0</v>
      </c>
      <c r="O33" t="n">
        <v>11</v>
      </c>
      <c r="P33" t="n">
        <v>6</v>
      </c>
      <c r="Q33" t="n">
        <v>15</v>
      </c>
      <c r="R33" s="2" t="inlineStr">
        <is>
          <t>Duvspindling
Gulsträngad fagerspindling
Lundvaxskivling
Narrspindling
Svartgrön spindling
Tallpraktspindling
Barrfagerspindling
Jordtistel
Jungfrulin
Kristallporing
Odörspindling
Fransig jordstjärna
Blåsippa
Spillkråka
Sankt pers nycklar</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27759-2026</t>
        </is>
      </c>
      <c r="B34" s="1" t="n">
        <v>46191</v>
      </c>
      <c r="C34" s="1" t="n">
        <v>46196</v>
      </c>
      <c r="D34" t="inlineStr">
        <is>
          <t>GOTLANDS LÄN</t>
        </is>
      </c>
      <c r="E34" t="inlineStr">
        <is>
          <t>GOTLAND</t>
        </is>
      </c>
      <c r="G34" t="n">
        <v>12.1</v>
      </c>
      <c r="H34" t="n">
        <v>3</v>
      </c>
      <c r="I34" t="n">
        <v>5</v>
      </c>
      <c r="J34" t="n">
        <v>1</v>
      </c>
      <c r="K34" t="n">
        <v>4</v>
      </c>
      <c r="L34" t="n">
        <v>0</v>
      </c>
      <c r="M34" t="n">
        <v>2</v>
      </c>
      <c r="N34" t="n">
        <v>0</v>
      </c>
      <c r="O34" t="n">
        <v>7</v>
      </c>
      <c r="P34" t="n">
        <v>6</v>
      </c>
      <c r="Q34" t="n">
        <v>15</v>
      </c>
      <c r="R34" s="2" t="inlineStr">
        <is>
          <t>Cinnoberfläck
Coniocarpon fallax
Aspfjädermossa
Mörk kraterlav
Tvådoftspindling
Ädellav
Odörspindling
Anisspindling
Havstulpanlav
Korallblylav
Pluteus cyanopus
Rikfruktig blemlav
Kråka
Skogsduva
Revlummer</t>
        </is>
      </c>
      <c r="S34">
        <f>HYPERLINK("https://klasma.github.io/Logging_0980/artfynd/A 27759-2026 artfynd.xlsx", "A 27759-2026")</f>
        <v/>
      </c>
      <c r="T34">
        <f>HYPERLINK("https://klasma.github.io/Logging_0980/kartor/A 27759-2026 karta.png", "A 27759-2026")</f>
        <v/>
      </c>
      <c r="V34">
        <f>HYPERLINK("https://klasma.github.io/Logging_0980/klagomål/A 27759-2026 FSC-klagomål.docx", "A 27759-2026")</f>
        <v/>
      </c>
      <c r="W34">
        <f>HYPERLINK("https://klasma.github.io/Logging_0980/klagomålsmail/A 27759-2026 FSC-klagomål mail.docx", "A 27759-2026")</f>
        <v/>
      </c>
      <c r="X34">
        <f>HYPERLINK("https://klasma.github.io/Logging_0980/tillsyn/A 27759-2026 tillsynsbegäran.docx", "A 27759-2026")</f>
        <v/>
      </c>
      <c r="Y34">
        <f>HYPERLINK("https://klasma.github.io/Logging_0980/tillsynsmail/A 27759-2026 tillsynsbegäran mail.docx", "A 27759-2026")</f>
        <v/>
      </c>
    </row>
    <row r="35" ht="15" customHeight="1">
      <c r="A35" t="inlineStr">
        <is>
          <t>A 43201-2023</t>
        </is>
      </c>
      <c r="B35" s="1" t="n">
        <v>45183</v>
      </c>
      <c r="C35" s="1" t="n">
        <v>46196</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11176-2024</t>
        </is>
      </c>
      <c r="B36" s="1" t="n">
        <v>45371</v>
      </c>
      <c r="C36" s="1" t="n">
        <v>46196</v>
      </c>
      <c r="D36" t="inlineStr">
        <is>
          <t>GOTLANDS LÄN</t>
        </is>
      </c>
      <c r="E36" t="inlineStr">
        <is>
          <t>GOTLAND</t>
        </is>
      </c>
      <c r="G36" t="n">
        <v>1.7</v>
      </c>
      <c r="H36" t="n">
        <v>0</v>
      </c>
      <c r="I36" t="n">
        <v>4</v>
      </c>
      <c r="J36" t="n">
        <v>3</v>
      </c>
      <c r="K36" t="n">
        <v>7</v>
      </c>
      <c r="L36" t="n">
        <v>0</v>
      </c>
      <c r="M36" t="n">
        <v>0</v>
      </c>
      <c r="N36" t="n">
        <v>0</v>
      </c>
      <c r="O36" t="n">
        <v>10</v>
      </c>
      <c r="P36" t="n">
        <v>7</v>
      </c>
      <c r="Q36" t="n">
        <v>14</v>
      </c>
      <c r="R36" s="2" t="inlineStr">
        <is>
          <t>Granrotspindling
Gul lammticka
Gulsträngad fagerspindling
Svartgrön spindling
Tvillingspindling
Violettfläckig spindling
Vit taggsvamp
Bittermusseron
Blå slemspindling
Odörspindling
Anisspindling
Olivspindling
Rödbrun jordstjärna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44928-2022</t>
        </is>
      </c>
      <c r="B37" s="1" t="n">
        <v>44841</v>
      </c>
      <c r="C37" s="1" t="n">
        <v>46196</v>
      </c>
      <c r="D37" t="inlineStr">
        <is>
          <t>GOTLANDS LÄN</t>
        </is>
      </c>
      <c r="E37" t="inlineStr">
        <is>
          <t>GOTLAND</t>
        </is>
      </c>
      <c r="G37" t="n">
        <v>3.7</v>
      </c>
      <c r="H37" t="n">
        <v>1</v>
      </c>
      <c r="I37" t="n">
        <v>4</v>
      </c>
      <c r="J37" t="n">
        <v>5</v>
      </c>
      <c r="K37" t="n">
        <v>3</v>
      </c>
      <c r="L37" t="n">
        <v>1</v>
      </c>
      <c r="M37" t="n">
        <v>0</v>
      </c>
      <c r="N37" t="n">
        <v>0</v>
      </c>
      <c r="O37" t="n">
        <v>10</v>
      </c>
      <c r="P37" t="n">
        <v>4</v>
      </c>
      <c r="Q37" t="n">
        <v>14</v>
      </c>
      <c r="R37" s="2" t="inlineStr">
        <is>
          <t>Barkkvastmossa
Gulsträngad fagerspindling
Mörk kraterlav
Tvillingspindling
Blå slemspindling
Kattfotslav
Odörspindling
Puderspindling
Ängsstarr
Frostig asplav
Anisspindling
Axag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44204-2022</t>
        </is>
      </c>
      <c r="B38" s="1" t="n">
        <v>44839</v>
      </c>
      <c r="C38" s="1" t="n">
        <v>46196</v>
      </c>
      <c r="D38" t="inlineStr">
        <is>
          <t>GOTLANDS LÄN</t>
        </is>
      </c>
      <c r="E38" t="inlineStr">
        <is>
          <t>GOTLAND</t>
        </is>
      </c>
      <c r="G38" t="n">
        <v>2.3</v>
      </c>
      <c r="H38" t="n">
        <v>2</v>
      </c>
      <c r="I38" t="n">
        <v>3</v>
      </c>
      <c r="J38" t="n">
        <v>5</v>
      </c>
      <c r="K38" t="n">
        <v>3</v>
      </c>
      <c r="L38" t="n">
        <v>2</v>
      </c>
      <c r="M38" t="n">
        <v>0</v>
      </c>
      <c r="N38" t="n">
        <v>0</v>
      </c>
      <c r="O38" t="n">
        <v>10</v>
      </c>
      <c r="P38" t="n">
        <v>5</v>
      </c>
      <c r="Q38" t="n">
        <v>14</v>
      </c>
      <c r="R38" s="2" t="inlineStr">
        <is>
          <t>Bitter taggsvamp
Sienamusseron
Fläckfingersvamp
Granrotspindling
Violettfläckig spindling
Blå slemspindling
Denisespindling
Duvhök
Odörspindling
Tjockfotad fingersvamp
Anisspindling
Blomkålssvamp
Olivspindling
Spillkråka</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33153-2024</t>
        </is>
      </c>
      <c r="B39" s="1" t="n">
        <v>45518</v>
      </c>
      <c r="C39" s="1" t="n">
        <v>46196</v>
      </c>
      <c r="D39" t="inlineStr">
        <is>
          <t>GOTLANDS LÄN</t>
        </is>
      </c>
      <c r="E39" t="inlineStr">
        <is>
          <t>GOTLAND</t>
        </is>
      </c>
      <c r="G39" t="n">
        <v>10.3</v>
      </c>
      <c r="H39" t="n">
        <v>3</v>
      </c>
      <c r="I39" t="n">
        <v>8</v>
      </c>
      <c r="J39" t="n">
        <v>5</v>
      </c>
      <c r="K39" t="n">
        <v>1</v>
      </c>
      <c r="L39" t="n">
        <v>0</v>
      </c>
      <c r="M39" t="n">
        <v>0</v>
      </c>
      <c r="N39" t="n">
        <v>0</v>
      </c>
      <c r="O39" t="n">
        <v>6</v>
      </c>
      <c r="P39" t="n">
        <v>1</v>
      </c>
      <c r="Q39" t="n">
        <v>14</v>
      </c>
      <c r="R39" s="2" t="inlineStr">
        <is>
          <t>Duvspindling
Blå slemspindling
Flattoppad klubbsvamp
Jordtistel
Odörspindling
Solvända
Nästrot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27168-2022</t>
        </is>
      </c>
      <c r="B40" s="1" t="n">
        <v>44741</v>
      </c>
      <c r="C40" s="1" t="n">
        <v>46196</v>
      </c>
      <c r="D40" t="inlineStr">
        <is>
          <t>GOTLANDS LÄN</t>
        </is>
      </c>
      <c r="E40" t="inlineStr">
        <is>
          <t>GOTLAND</t>
        </is>
      </c>
      <c r="G40" t="n">
        <v>2.2</v>
      </c>
      <c r="H40" t="n">
        <v>9</v>
      </c>
      <c r="I40" t="n">
        <v>4</v>
      </c>
      <c r="J40" t="n">
        <v>2</v>
      </c>
      <c r="K40" t="n">
        <v>2</v>
      </c>
      <c r="L40" t="n">
        <v>0</v>
      </c>
      <c r="M40" t="n">
        <v>0</v>
      </c>
      <c r="N40" t="n">
        <v>0</v>
      </c>
      <c r="O40" t="n">
        <v>4</v>
      </c>
      <c r="P40" t="n">
        <v>2</v>
      </c>
      <c r="Q40" t="n">
        <v>13</v>
      </c>
      <c r="R40" s="2" t="inlineStr">
        <is>
          <t>Bredbrämad bastardsvärmare
Gotlandsmåra
Solvända
Svinrot
Purpurknipprot
Skogsknipprot
Tvåblad
Vit skogslilja
Citronfläckad kärrtrollslända
Brudsporre
Fläcknycklar
Kärrknipprot
Nattviol</t>
        </is>
      </c>
      <c r="S40">
        <f>HYPERLINK("https://klasma.github.io/Logging_0980/artfynd/A 27168-2022 artfynd.xlsx", "A 27168-2022")</f>
        <v/>
      </c>
      <c r="T40">
        <f>HYPERLINK("https://klasma.github.io/Logging_0980/kartor/A 27168-2022 karta.png", "A 27168-2022")</f>
        <v/>
      </c>
      <c r="V40">
        <f>HYPERLINK("https://klasma.github.io/Logging_0980/klagomål/A 27168-2022 FSC-klagomål.docx", "A 27168-2022")</f>
        <v/>
      </c>
      <c r="W40">
        <f>HYPERLINK("https://klasma.github.io/Logging_0980/klagomålsmail/A 27168-2022 FSC-klagomål mail.docx", "A 27168-2022")</f>
        <v/>
      </c>
      <c r="X40">
        <f>HYPERLINK("https://klasma.github.io/Logging_0980/tillsyn/A 27168-2022 tillsynsbegäran.docx", "A 27168-2022")</f>
        <v/>
      </c>
      <c r="Y40">
        <f>HYPERLINK("https://klasma.github.io/Logging_0980/tillsynsmail/A 27168-2022 tillsynsbegäran mail.docx", "A 27168-2022")</f>
        <v/>
      </c>
    </row>
    <row r="41" ht="15" customHeight="1">
      <c r="A41" t="inlineStr">
        <is>
          <t>A 37037-2021</t>
        </is>
      </c>
      <c r="B41" s="1" t="n">
        <v>44393</v>
      </c>
      <c r="C41" s="1" t="n">
        <v>46196</v>
      </c>
      <c r="D41" t="inlineStr">
        <is>
          <t>GOTLANDS LÄN</t>
        </is>
      </c>
      <c r="E41" t="inlineStr">
        <is>
          <t>GOTLAND</t>
        </is>
      </c>
      <c r="G41" t="n">
        <v>10.2</v>
      </c>
      <c r="H41" t="n">
        <v>1</v>
      </c>
      <c r="I41" t="n">
        <v>4</v>
      </c>
      <c r="J41" t="n">
        <v>4</v>
      </c>
      <c r="K41" t="n">
        <v>4</v>
      </c>
      <c r="L41" t="n">
        <v>0</v>
      </c>
      <c r="M41" t="n">
        <v>0</v>
      </c>
      <c r="N41" t="n">
        <v>0</v>
      </c>
      <c r="O41" t="n">
        <v>8</v>
      </c>
      <c r="P41" t="n">
        <v>4</v>
      </c>
      <c r="Q41" t="n">
        <v>12</v>
      </c>
      <c r="R41" s="2" t="inlineStr">
        <is>
          <t>Gulsträngad fagerspindling
Svartgrön spindling
Trollspindling
Vit taggsvamp
Apollofjäril
Blå slemspindling
Kattfotslav
Odörspindling
Anisspindling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17766-2024</t>
        </is>
      </c>
      <c r="B42" s="1" t="n">
        <v>45418</v>
      </c>
      <c r="C42" s="1" t="n">
        <v>46196</v>
      </c>
      <c r="D42" t="inlineStr">
        <is>
          <t>GOTLANDS LÄN</t>
        </is>
      </c>
      <c r="E42" t="inlineStr">
        <is>
          <t>GOTLAND</t>
        </is>
      </c>
      <c r="G42" t="n">
        <v>1.3</v>
      </c>
      <c r="H42" t="n">
        <v>2</v>
      </c>
      <c r="I42" t="n">
        <v>3</v>
      </c>
      <c r="J42" t="n">
        <v>3</v>
      </c>
      <c r="K42" t="n">
        <v>5</v>
      </c>
      <c r="L42" t="n">
        <v>1</v>
      </c>
      <c r="M42" t="n">
        <v>0</v>
      </c>
      <c r="N42" t="n">
        <v>0</v>
      </c>
      <c r="O42" t="n">
        <v>9</v>
      </c>
      <c r="P42" t="n">
        <v>6</v>
      </c>
      <c r="Q42" t="n">
        <v>12</v>
      </c>
      <c r="R42" s="2" t="inlineStr">
        <is>
          <t>Svartnande fingersvamp
Bredbrämad bastardsvärmare
Gråfingerört
Gulsträngad fagerspindling
Naveljordstjärna
Svartfläckig blåvinge
Fyrflikig jordstjärna
Timjansnyltrot
Vippärt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3324-2023</t>
        </is>
      </c>
      <c r="B43" s="1" t="n">
        <v>44949</v>
      </c>
      <c r="C43" s="1" t="n">
        <v>46196</v>
      </c>
      <c r="D43" t="inlineStr">
        <is>
          <t>GOTLANDS LÄN</t>
        </is>
      </c>
      <c r="E43" t="inlineStr">
        <is>
          <t>GOTLAND</t>
        </is>
      </c>
      <c r="G43" t="n">
        <v>6.2</v>
      </c>
      <c r="H43" t="n">
        <v>0</v>
      </c>
      <c r="I43" t="n">
        <v>3</v>
      </c>
      <c r="J43" t="n">
        <v>3</v>
      </c>
      <c r="K43" t="n">
        <v>6</v>
      </c>
      <c r="L43" t="n">
        <v>0</v>
      </c>
      <c r="M43" t="n">
        <v>0</v>
      </c>
      <c r="N43" t="n">
        <v>0</v>
      </c>
      <c r="O43" t="n">
        <v>9</v>
      </c>
      <c r="P43" t="n">
        <v>6</v>
      </c>
      <c r="Q43" t="n">
        <v>12</v>
      </c>
      <c r="R43" s="2" t="inlineStr">
        <is>
          <t>Blåfotad fagerspindling
Duvspindling
Granrotspindling
Gulsträngad fagerspindling
Svartgrön spindling
Tvillingspindling
Blå slemspindling
Odörspindling
Äggspindling
Anisspindling
Olivspindling
Rödgul trumpetsvamp</t>
        </is>
      </c>
      <c r="S43">
        <f>HYPERLINK("https://klasma.github.io/Logging_0980/artfynd/A 3324-2023 artfynd.xlsx", "A 3324-2023")</f>
        <v/>
      </c>
      <c r="T43">
        <f>HYPERLINK("https://klasma.github.io/Logging_0980/kartor/A 3324-2023 karta.png", "A 3324-2023")</f>
        <v/>
      </c>
      <c r="V43">
        <f>HYPERLINK("https://klasma.github.io/Logging_0980/klagomål/A 3324-2023 FSC-klagomål.docx", "A 3324-2023")</f>
        <v/>
      </c>
      <c r="W43">
        <f>HYPERLINK("https://klasma.github.io/Logging_0980/klagomålsmail/A 3324-2023 FSC-klagomål mail.docx", "A 3324-2023")</f>
        <v/>
      </c>
      <c r="X43">
        <f>HYPERLINK("https://klasma.github.io/Logging_0980/tillsyn/A 3324-2023 tillsynsbegäran.docx", "A 3324-2023")</f>
        <v/>
      </c>
      <c r="Y43">
        <f>HYPERLINK("https://klasma.github.io/Logging_0980/tillsynsmail/A 3324-2023 tillsynsbegäran mail.docx", "A 3324-2023")</f>
        <v/>
      </c>
    </row>
    <row r="44" ht="15" customHeight="1">
      <c r="A44" t="inlineStr">
        <is>
          <t>A 6052-2024</t>
        </is>
      </c>
      <c r="B44" s="1" t="n">
        <v>45336</v>
      </c>
      <c r="C44" s="1" t="n">
        <v>46196</v>
      </c>
      <c r="D44" t="inlineStr">
        <is>
          <t>GOTLANDS LÄN</t>
        </is>
      </c>
      <c r="E44" t="inlineStr">
        <is>
          <t>GOTLAND</t>
        </is>
      </c>
      <c r="G44" t="n">
        <v>10.3</v>
      </c>
      <c r="H44" t="n">
        <v>1</v>
      </c>
      <c r="I44" t="n">
        <v>3</v>
      </c>
      <c r="J44" t="n">
        <v>7</v>
      </c>
      <c r="K44" t="n">
        <v>2</v>
      </c>
      <c r="L44" t="n">
        <v>0</v>
      </c>
      <c r="M44" t="n">
        <v>0</v>
      </c>
      <c r="N44" t="n">
        <v>0</v>
      </c>
      <c r="O44" t="n">
        <v>9</v>
      </c>
      <c r="P44" t="n">
        <v>2</v>
      </c>
      <c r="Q44" t="n">
        <v>12</v>
      </c>
      <c r="R44" s="2" t="inlineStr">
        <is>
          <t>Lansettfibbla
Narrspindling
Ladlav
Odörspindling
Smedbock
Svinrot
Tallticka
Vippärt
Vårärt
Anisspindling
Nästrot
Olivspindling</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28287-2024</t>
        </is>
      </c>
      <c r="B45" s="1" t="n">
        <v>45477</v>
      </c>
      <c r="C45" s="1" t="n">
        <v>46196</v>
      </c>
      <c r="D45" t="inlineStr">
        <is>
          <t>GOTLANDS LÄN</t>
        </is>
      </c>
      <c r="E45" t="inlineStr">
        <is>
          <t>GOTLAND</t>
        </is>
      </c>
      <c r="G45" t="n">
        <v>23.4</v>
      </c>
      <c r="H45" t="n">
        <v>2</v>
      </c>
      <c r="I45" t="n">
        <v>0</v>
      </c>
      <c r="J45" t="n">
        <v>10</v>
      </c>
      <c r="K45" t="n">
        <v>0</v>
      </c>
      <c r="L45" t="n">
        <v>1</v>
      </c>
      <c r="M45" t="n">
        <v>0</v>
      </c>
      <c r="N45" t="n">
        <v>0</v>
      </c>
      <c r="O45" t="n">
        <v>11</v>
      </c>
      <c r="P45" t="n">
        <v>1</v>
      </c>
      <c r="Q45" t="n">
        <v>12</v>
      </c>
      <c r="R45" s="2" t="inlineStr">
        <is>
          <t>Ask
Axveronika
Backtimjan
Flentimotej
Gulsparv
Jordtistel
Piggtistel
Silversmygare
Smedbock
Solvända
Vårstarr
Blåsippa</t>
        </is>
      </c>
      <c r="S45">
        <f>HYPERLINK("https://klasma.github.io/Logging_0980/artfynd/A 28287-2024 artfynd.xlsx", "A 28287-2024")</f>
        <v/>
      </c>
      <c r="T45">
        <f>HYPERLINK("https://klasma.github.io/Logging_0980/kartor/A 28287-2024 karta.png", "A 28287-2024")</f>
        <v/>
      </c>
      <c r="V45">
        <f>HYPERLINK("https://klasma.github.io/Logging_0980/klagomål/A 28287-2024 FSC-klagomål.docx", "A 28287-2024")</f>
        <v/>
      </c>
      <c r="W45">
        <f>HYPERLINK("https://klasma.github.io/Logging_0980/klagomålsmail/A 28287-2024 FSC-klagomål mail.docx", "A 28287-2024")</f>
        <v/>
      </c>
      <c r="X45">
        <f>HYPERLINK("https://klasma.github.io/Logging_0980/tillsyn/A 28287-2024 tillsynsbegäran.docx", "A 28287-2024")</f>
        <v/>
      </c>
      <c r="Y45">
        <f>HYPERLINK("https://klasma.github.io/Logging_0980/tillsynsmail/A 28287-2024 tillsynsbegäran mail.docx", "A 28287-2024")</f>
        <v/>
      </c>
      <c r="Z45">
        <f>HYPERLINK("https://klasma.github.io/Logging_0980/fåglar/A 28287-2024 prioriterade fågelarter.docx", "A 28287-2024")</f>
        <v/>
      </c>
    </row>
    <row r="46" ht="15" customHeight="1">
      <c r="A46" t="inlineStr">
        <is>
          <t>A 14354-2024</t>
        </is>
      </c>
      <c r="B46" s="1" t="n">
        <v>45393</v>
      </c>
      <c r="C46" s="1" t="n">
        <v>46196</v>
      </c>
      <c r="D46" t="inlineStr">
        <is>
          <t>GOTLANDS LÄN</t>
        </is>
      </c>
      <c r="E46" t="inlineStr">
        <is>
          <t>GOTLAND</t>
        </is>
      </c>
      <c r="G46" t="n">
        <v>2.4</v>
      </c>
      <c r="H46" t="n">
        <v>8</v>
      </c>
      <c r="I46" t="n">
        <v>4</v>
      </c>
      <c r="J46" t="n">
        <v>4</v>
      </c>
      <c r="K46" t="n">
        <v>0</v>
      </c>
      <c r="L46" t="n">
        <v>0</v>
      </c>
      <c r="M46" t="n">
        <v>0</v>
      </c>
      <c r="N46" t="n">
        <v>0</v>
      </c>
      <c r="O46" t="n">
        <v>4</v>
      </c>
      <c r="P46" t="n">
        <v>0</v>
      </c>
      <c r="Q46" t="n">
        <v>12</v>
      </c>
      <c r="R46" s="2" t="inlineStr">
        <is>
          <t>Dårgräsfjäril
Smedbock
Svinrot
Ängsskära
Blåmossa
Nästrot
Skogsknipprot
Tvåblad
Blåsippa
Spillkråka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c r="Z46">
        <f>HYPERLINK("https://klasma.github.io/Logging_0980/fåglar/A 14354-2024 prioriterade fågelarter.docx", "A 14354-2024")</f>
        <v/>
      </c>
    </row>
    <row r="47" ht="15" customHeight="1">
      <c r="A47" t="inlineStr">
        <is>
          <t>A 10274-2026</t>
        </is>
      </c>
      <c r="B47" s="1" t="n">
        <v>46076</v>
      </c>
      <c r="C47" s="1" t="n">
        <v>46196</v>
      </c>
      <c r="D47" t="inlineStr">
        <is>
          <t>GOTLANDS LÄN</t>
        </is>
      </c>
      <c r="E47" t="inlineStr">
        <is>
          <t>GOTLAND</t>
        </is>
      </c>
      <c r="G47" t="n">
        <v>9.800000000000001</v>
      </c>
      <c r="H47" t="n">
        <v>4</v>
      </c>
      <c r="I47" t="n">
        <v>3</v>
      </c>
      <c r="J47" t="n">
        <v>4</v>
      </c>
      <c r="K47" t="n">
        <v>1</v>
      </c>
      <c r="L47" t="n">
        <v>0</v>
      </c>
      <c r="M47" t="n">
        <v>0</v>
      </c>
      <c r="N47" t="n">
        <v>0</v>
      </c>
      <c r="O47" t="n">
        <v>5</v>
      </c>
      <c r="P47" t="n">
        <v>1</v>
      </c>
      <c r="Q47" t="n">
        <v>12</v>
      </c>
      <c r="R47" s="2" t="inlineStr">
        <is>
          <t>Gråfingerört
Backstarr
Backtimjan
Reliktbock
Vippärt
Axag
Grönpyrola
Kragjordstjärna
Spillkråka
Alvarstånds
Nattviol
Sankt pers nycklar</t>
        </is>
      </c>
      <c r="S47">
        <f>HYPERLINK("https://klasma.github.io/Logging_0980/artfynd/A 10274-2026 artfynd.xlsx", "A 10274-2026")</f>
        <v/>
      </c>
      <c r="T47">
        <f>HYPERLINK("https://klasma.github.io/Logging_0980/kartor/A 10274-2026 karta.png", "A 10274-2026")</f>
        <v/>
      </c>
      <c r="V47">
        <f>HYPERLINK("https://klasma.github.io/Logging_0980/klagomål/A 10274-2026 FSC-klagomål.docx", "A 10274-2026")</f>
        <v/>
      </c>
      <c r="W47">
        <f>HYPERLINK("https://klasma.github.io/Logging_0980/klagomålsmail/A 10274-2026 FSC-klagomål mail.docx", "A 10274-2026")</f>
        <v/>
      </c>
      <c r="X47">
        <f>HYPERLINK("https://klasma.github.io/Logging_0980/tillsyn/A 10274-2026 tillsynsbegäran.docx", "A 10274-2026")</f>
        <v/>
      </c>
      <c r="Y47">
        <f>HYPERLINK("https://klasma.github.io/Logging_0980/tillsynsmail/A 10274-2026 tillsynsbegäran mail.docx", "A 10274-2026")</f>
        <v/>
      </c>
      <c r="Z47">
        <f>HYPERLINK("https://klasma.github.io/Logging_0980/fåglar/A 10274-2026 prioriterade fågelarter.docx", "A 10274-2026")</f>
        <v/>
      </c>
    </row>
    <row r="48" ht="15" customHeight="1">
      <c r="A48" t="inlineStr">
        <is>
          <t>A 584-2023</t>
        </is>
      </c>
      <c r="B48" s="1" t="n">
        <v>44930</v>
      </c>
      <c r="C48" s="1" t="n">
        <v>46196</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2649-2023</t>
        </is>
      </c>
      <c r="B49" s="1" t="n">
        <v>44943</v>
      </c>
      <c r="C49" s="1" t="n">
        <v>46196</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27280-2023</t>
        </is>
      </c>
      <c r="B50" s="1" t="n">
        <v>45096</v>
      </c>
      <c r="C50" s="1" t="n">
        <v>46196</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66091-2021</t>
        </is>
      </c>
      <c r="B51" s="1" t="n">
        <v>44517</v>
      </c>
      <c r="C51" s="1" t="n">
        <v>46196</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22404-2024</t>
        </is>
      </c>
      <c r="B52" s="1" t="n">
        <v>45446</v>
      </c>
      <c r="C52" s="1" t="n">
        <v>46196</v>
      </c>
      <c r="D52" t="inlineStr">
        <is>
          <t>GOTLANDS LÄN</t>
        </is>
      </c>
      <c r="E52" t="inlineStr">
        <is>
          <t>GOTLAND</t>
        </is>
      </c>
      <c r="G52" t="n">
        <v>11.4</v>
      </c>
      <c r="H52" t="n">
        <v>3</v>
      </c>
      <c r="I52" t="n">
        <v>5</v>
      </c>
      <c r="J52" t="n">
        <v>2</v>
      </c>
      <c r="K52" t="n">
        <v>3</v>
      </c>
      <c r="L52" t="n">
        <v>0</v>
      </c>
      <c r="M52" t="n">
        <v>0</v>
      </c>
      <c r="N52" t="n">
        <v>0</v>
      </c>
      <c r="O52" t="n">
        <v>5</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55649-2024</t>
        </is>
      </c>
      <c r="B53" s="1" t="n">
        <v>45622</v>
      </c>
      <c r="C53" s="1" t="n">
        <v>46196</v>
      </c>
      <c r="D53" t="inlineStr">
        <is>
          <t>GOTLANDS LÄN</t>
        </is>
      </c>
      <c r="E53" t="inlineStr">
        <is>
          <t>GOTLAND</t>
        </is>
      </c>
      <c r="G53" t="n">
        <v>4.6</v>
      </c>
      <c r="H53" t="n">
        <v>3</v>
      </c>
      <c r="I53" t="n">
        <v>1</v>
      </c>
      <c r="J53" t="n">
        <v>6</v>
      </c>
      <c r="K53" t="n">
        <v>0</v>
      </c>
      <c r="L53" t="n">
        <v>0</v>
      </c>
      <c r="M53" t="n">
        <v>0</v>
      </c>
      <c r="N53" t="n">
        <v>0</v>
      </c>
      <c r="O53" t="n">
        <v>6</v>
      </c>
      <c r="P53" t="n">
        <v>0</v>
      </c>
      <c r="Q53" t="n">
        <v>10</v>
      </c>
      <c r="R53" s="2" t="inlineStr">
        <is>
          <t>Backtimjan
Jordtistel
Jungfrulin
Solvända
Svinrot
Ängsnätfjäril
Guldlockmossa
Blåsippa
Sankt pers nycklar
Gullviva</t>
        </is>
      </c>
      <c r="S53">
        <f>HYPERLINK("https://klasma.github.io/Logging_0980/artfynd/A 55649-2024 artfynd.xlsx", "A 55649-2024")</f>
        <v/>
      </c>
      <c r="T53">
        <f>HYPERLINK("https://klasma.github.io/Logging_0980/kartor/A 55649-2024 karta.png", "A 55649-2024")</f>
        <v/>
      </c>
      <c r="V53">
        <f>HYPERLINK("https://klasma.github.io/Logging_0980/klagomål/A 55649-2024 FSC-klagomål.docx", "A 55649-2024")</f>
        <v/>
      </c>
      <c r="W53">
        <f>HYPERLINK("https://klasma.github.io/Logging_0980/klagomålsmail/A 55649-2024 FSC-klagomål mail.docx", "A 55649-2024")</f>
        <v/>
      </c>
      <c r="X53">
        <f>HYPERLINK("https://klasma.github.io/Logging_0980/tillsyn/A 55649-2024 tillsynsbegäran.docx", "A 55649-2024")</f>
        <v/>
      </c>
      <c r="Y53">
        <f>HYPERLINK("https://klasma.github.io/Logging_0980/tillsynsmail/A 55649-2024 tillsynsbegäran mail.docx", "A 55649-2024")</f>
        <v/>
      </c>
    </row>
    <row r="54" ht="15" customHeight="1">
      <c r="A54" t="inlineStr">
        <is>
          <t>A 45248-2024</t>
        </is>
      </c>
      <c r="B54" s="1" t="n">
        <v>45576</v>
      </c>
      <c r="C54" s="1" t="n">
        <v>46196</v>
      </c>
      <c r="D54" t="inlineStr">
        <is>
          <t>GOTLANDS LÄN</t>
        </is>
      </c>
      <c r="E54" t="inlineStr">
        <is>
          <t>GOTLAND</t>
        </is>
      </c>
      <c r="G54" t="n">
        <v>9.4</v>
      </c>
      <c r="H54" t="n">
        <v>0</v>
      </c>
      <c r="I54" t="n">
        <v>5</v>
      </c>
      <c r="J54" t="n">
        <v>3</v>
      </c>
      <c r="K54" t="n">
        <v>0</v>
      </c>
      <c r="L54" t="n">
        <v>2</v>
      </c>
      <c r="M54" t="n">
        <v>0</v>
      </c>
      <c r="N54" t="n">
        <v>0</v>
      </c>
      <c r="O54" t="n">
        <v>5</v>
      </c>
      <c r="P54" t="n">
        <v>2</v>
      </c>
      <c r="Q54" t="n">
        <v>10</v>
      </c>
      <c r="R54" s="2" t="inlineStr">
        <is>
          <t>Ask
Lundalm
Blå slemspindling
Mjölspindling
Oxtungssvamp
Bolmörtsskivling
Myskmadra
Stinkbrosking
Toppvaxing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63149-2025</t>
        </is>
      </c>
      <c r="B55" s="1" t="n">
        <v>46010</v>
      </c>
      <c r="C55" s="1" t="n">
        <v>46196</v>
      </c>
      <c r="D55" t="inlineStr">
        <is>
          <t>GOTLANDS LÄN</t>
        </is>
      </c>
      <c r="E55" t="inlineStr">
        <is>
          <t>GOTLAND</t>
        </is>
      </c>
      <c r="G55" t="n">
        <v>4.3</v>
      </c>
      <c r="H55" t="n">
        <v>4</v>
      </c>
      <c r="I55" t="n">
        <v>2</v>
      </c>
      <c r="J55" t="n">
        <v>5</v>
      </c>
      <c r="K55" t="n">
        <v>0</v>
      </c>
      <c r="L55" t="n">
        <v>0</v>
      </c>
      <c r="M55" t="n">
        <v>0</v>
      </c>
      <c r="N55" t="n">
        <v>0</v>
      </c>
      <c r="O55" t="n">
        <v>5</v>
      </c>
      <c r="P55" t="n">
        <v>0</v>
      </c>
      <c r="Q55" t="n">
        <v>10</v>
      </c>
      <c r="R55" s="2" t="inlineStr">
        <is>
          <t>Backtimjan
Berggräsfjäril
Gulsparv
Solvända
Svinrot
Anisspindling
Skogsknipprot
Ormbär
Spillkråka
Sankt pers nycklar</t>
        </is>
      </c>
      <c r="S55">
        <f>HYPERLINK("https://klasma.github.io/Logging_0980/artfynd/A 63149-2025 artfynd.xlsx", "A 63149-2025")</f>
        <v/>
      </c>
      <c r="T55">
        <f>HYPERLINK("https://klasma.github.io/Logging_0980/kartor/A 63149-2025 karta.png", "A 63149-2025")</f>
        <v/>
      </c>
      <c r="V55">
        <f>HYPERLINK("https://klasma.github.io/Logging_0980/klagomål/A 63149-2025 FSC-klagomål.docx", "A 63149-2025")</f>
        <v/>
      </c>
      <c r="W55">
        <f>HYPERLINK("https://klasma.github.io/Logging_0980/klagomålsmail/A 63149-2025 FSC-klagomål mail.docx", "A 63149-2025")</f>
        <v/>
      </c>
      <c r="X55">
        <f>HYPERLINK("https://klasma.github.io/Logging_0980/tillsyn/A 63149-2025 tillsynsbegäran.docx", "A 63149-2025")</f>
        <v/>
      </c>
      <c r="Y55">
        <f>HYPERLINK("https://klasma.github.io/Logging_0980/tillsynsmail/A 63149-2025 tillsynsbegäran mail.docx", "A 63149-2025")</f>
        <v/>
      </c>
      <c r="Z55">
        <f>HYPERLINK("https://klasma.github.io/Logging_0980/fåglar/A 63149-2025 prioriterade fågelarter.docx", "A 63149-2025")</f>
        <v/>
      </c>
    </row>
    <row r="56" ht="15" customHeight="1">
      <c r="A56" t="inlineStr">
        <is>
          <t>A 32326-2024</t>
        </is>
      </c>
      <c r="B56" s="1" t="n">
        <v>45512</v>
      </c>
      <c r="C56" s="1" t="n">
        <v>46196</v>
      </c>
      <c r="D56" t="inlineStr">
        <is>
          <t>GOTLANDS LÄN</t>
        </is>
      </c>
      <c r="E56" t="inlineStr">
        <is>
          <t>GOTLAND</t>
        </is>
      </c>
      <c r="G56" t="n">
        <v>9.199999999999999</v>
      </c>
      <c r="H56" t="n">
        <v>4</v>
      </c>
      <c r="I56" t="n">
        <v>2</v>
      </c>
      <c r="J56" t="n">
        <v>5</v>
      </c>
      <c r="K56" t="n">
        <v>1</v>
      </c>
      <c r="L56" t="n">
        <v>0</v>
      </c>
      <c r="M56" t="n">
        <v>0</v>
      </c>
      <c r="N56" t="n">
        <v>0</v>
      </c>
      <c r="O56" t="n">
        <v>6</v>
      </c>
      <c r="P56" t="n">
        <v>1</v>
      </c>
      <c r="Q56" t="n">
        <v>10</v>
      </c>
      <c r="R56" s="2" t="inlineStr">
        <is>
          <t>Tallgångbagge
Backruta
Backtimjan
Jordtistel
Svinrot
Säfferot
Purpurknipprot
Skogsknipprot
Nattskärra
Brudsporre</t>
        </is>
      </c>
      <c r="S56">
        <f>HYPERLINK("https://klasma.github.io/Logging_0980/artfynd/A 32326-2024 artfynd.xlsx", "A 32326-2024")</f>
        <v/>
      </c>
      <c r="T56">
        <f>HYPERLINK("https://klasma.github.io/Logging_0980/kartor/A 32326-2024 karta.png", "A 32326-2024")</f>
        <v/>
      </c>
      <c r="V56">
        <f>HYPERLINK("https://klasma.github.io/Logging_0980/klagomål/A 32326-2024 FSC-klagomål.docx", "A 32326-2024")</f>
        <v/>
      </c>
      <c r="W56">
        <f>HYPERLINK("https://klasma.github.io/Logging_0980/klagomålsmail/A 32326-2024 FSC-klagomål mail.docx", "A 32326-2024")</f>
        <v/>
      </c>
      <c r="X56">
        <f>HYPERLINK("https://klasma.github.io/Logging_0980/tillsyn/A 32326-2024 tillsynsbegäran.docx", "A 32326-2024")</f>
        <v/>
      </c>
      <c r="Y56">
        <f>HYPERLINK("https://klasma.github.io/Logging_0980/tillsynsmail/A 32326-2024 tillsynsbegäran mail.docx", "A 32326-2024")</f>
        <v/>
      </c>
      <c r="Z56">
        <f>HYPERLINK("https://klasma.github.io/Logging_0980/fåglar/A 32326-2024 prioriterade fågelarter.docx", "A 32326-2024")</f>
        <v/>
      </c>
    </row>
    <row r="57" ht="15" customHeight="1">
      <c r="A57" t="inlineStr">
        <is>
          <t>A 44944-2022</t>
        </is>
      </c>
      <c r="B57" s="1" t="n">
        <v>44841</v>
      </c>
      <c r="C57" s="1" t="n">
        <v>46196</v>
      </c>
      <c r="D57" t="inlineStr">
        <is>
          <t>GOTLANDS LÄN</t>
        </is>
      </c>
      <c r="E57" t="inlineStr">
        <is>
          <t>GOTLAND</t>
        </is>
      </c>
      <c r="G57" t="n">
        <v>2.8</v>
      </c>
      <c r="H57" t="n">
        <v>0</v>
      </c>
      <c r="I57" t="n">
        <v>3</v>
      </c>
      <c r="J57" t="n">
        <v>4</v>
      </c>
      <c r="K57" t="n">
        <v>2</v>
      </c>
      <c r="L57" t="n">
        <v>1</v>
      </c>
      <c r="M57" t="n">
        <v>0</v>
      </c>
      <c r="N57" t="n">
        <v>0</v>
      </c>
      <c r="O57" t="n">
        <v>7</v>
      </c>
      <c r="P57" t="n">
        <v>3</v>
      </c>
      <c r="Q57" t="n">
        <v>10</v>
      </c>
      <c r="R57" s="2" t="inlineStr">
        <is>
          <t>Sienamusseron
Bredbrämad bastardsvärmare
Gotlandsmåra
Axveronika
Denisespindling
Fjällig taggsvamp s.str.
Odörspindling
Anisspindling
Olivspindling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186-2023</t>
        </is>
      </c>
      <c r="B58" s="1" t="n">
        <v>44928</v>
      </c>
      <c r="C58" s="1" t="n">
        <v>46196</v>
      </c>
      <c r="D58" t="inlineStr">
        <is>
          <t>GOTLANDS LÄN</t>
        </is>
      </c>
      <c r="E58" t="inlineStr">
        <is>
          <t>GOTLAND</t>
        </is>
      </c>
      <c r="G58" t="n">
        <v>2.2</v>
      </c>
      <c r="H58" t="n">
        <v>2</v>
      </c>
      <c r="I58" t="n">
        <v>4</v>
      </c>
      <c r="J58" t="n">
        <v>4</v>
      </c>
      <c r="K58" t="n">
        <v>2</v>
      </c>
      <c r="L58" t="n">
        <v>0</v>
      </c>
      <c r="M58" t="n">
        <v>0</v>
      </c>
      <c r="N58" t="n">
        <v>0</v>
      </c>
      <c r="O58" t="n">
        <v>6</v>
      </c>
      <c r="P58" t="n">
        <v>2</v>
      </c>
      <c r="Q58" t="n">
        <v>10</v>
      </c>
      <c r="R58" s="2" t="inlineStr">
        <is>
          <t>Svartgrön spindling
Vit taggsvamp
Blå slemspindling
Bronspraktbagge
Odörspindling
Smedbock
Anisspindling
Mindre märgborre
Nästrot
Skogsknipprot</t>
        </is>
      </c>
      <c r="S58">
        <f>HYPERLINK("https://klasma.github.io/Logging_0980/artfynd/A 186-2023 artfynd.xlsx", "A 186-2023")</f>
        <v/>
      </c>
      <c r="T58">
        <f>HYPERLINK("https://klasma.github.io/Logging_0980/kartor/A 186-2023 karta.png", "A 186-2023")</f>
        <v/>
      </c>
      <c r="V58">
        <f>HYPERLINK("https://klasma.github.io/Logging_0980/klagomål/A 186-2023 FSC-klagomål.docx", "A 186-2023")</f>
        <v/>
      </c>
      <c r="W58">
        <f>HYPERLINK("https://klasma.github.io/Logging_0980/klagomålsmail/A 186-2023 FSC-klagomål mail.docx", "A 186-2023")</f>
        <v/>
      </c>
      <c r="X58">
        <f>HYPERLINK("https://klasma.github.io/Logging_0980/tillsyn/A 186-2023 tillsynsbegäran.docx", "A 186-2023")</f>
        <v/>
      </c>
      <c r="Y58">
        <f>HYPERLINK("https://klasma.github.io/Logging_0980/tillsynsmail/A 186-2023 tillsynsbegäran mail.docx", "A 186-2023")</f>
        <v/>
      </c>
    </row>
    <row r="59" ht="15" customHeight="1">
      <c r="A59" t="inlineStr">
        <is>
          <t>A 18541-2024</t>
        </is>
      </c>
      <c r="B59" s="1" t="n">
        <v>45425</v>
      </c>
      <c r="C59" s="1" t="n">
        <v>46196</v>
      </c>
      <c r="D59" t="inlineStr">
        <is>
          <t>GOTLANDS LÄN</t>
        </is>
      </c>
      <c r="E59" t="inlineStr">
        <is>
          <t>GOTLAND</t>
        </is>
      </c>
      <c r="F59" t="inlineStr">
        <is>
          <t>Övriga statliga verk och myndigheter</t>
        </is>
      </c>
      <c r="G59" t="n">
        <v>2.2</v>
      </c>
      <c r="H59" t="n">
        <v>7</v>
      </c>
      <c r="I59" t="n">
        <v>2</v>
      </c>
      <c r="J59" t="n">
        <v>4</v>
      </c>
      <c r="K59" t="n">
        <v>1</v>
      </c>
      <c r="L59" t="n">
        <v>0</v>
      </c>
      <c r="M59" t="n">
        <v>0</v>
      </c>
      <c r="N59" t="n">
        <v>0</v>
      </c>
      <c r="O59" t="n">
        <v>5</v>
      </c>
      <c r="P59" t="n">
        <v>1</v>
      </c>
      <c r="Q59" t="n">
        <v>10</v>
      </c>
      <c r="R59" s="2" t="inlineStr">
        <is>
          <t>Garderönn
Backtimjan
Dårgräsfjäril
Solvända
Svinrot
Nästrot
Tvåblad
Kungsfågel
Skogsduva
Fläcknycklar</t>
        </is>
      </c>
      <c r="S59">
        <f>HYPERLINK("https://klasma.github.io/Logging_0980/artfynd/A 18541-2024 artfynd.xlsx", "A 18541-2024")</f>
        <v/>
      </c>
      <c r="T59">
        <f>HYPERLINK("https://klasma.github.io/Logging_0980/kartor/A 18541-2024 karta.png", "A 18541-2024")</f>
        <v/>
      </c>
      <c r="V59">
        <f>HYPERLINK("https://klasma.github.io/Logging_0980/klagomål/A 18541-2024 FSC-klagomål.docx", "A 18541-2024")</f>
        <v/>
      </c>
      <c r="W59">
        <f>HYPERLINK("https://klasma.github.io/Logging_0980/klagomålsmail/A 18541-2024 FSC-klagomål mail.docx", "A 18541-2024")</f>
        <v/>
      </c>
      <c r="X59">
        <f>HYPERLINK("https://klasma.github.io/Logging_0980/tillsyn/A 18541-2024 tillsynsbegäran.docx", "A 18541-2024")</f>
        <v/>
      </c>
      <c r="Y59">
        <f>HYPERLINK("https://klasma.github.io/Logging_0980/tillsynsmail/A 18541-2024 tillsynsbegäran mail.docx", "A 18541-2024")</f>
        <v/>
      </c>
    </row>
    <row r="60" ht="15" customHeight="1">
      <c r="A60" t="inlineStr">
        <is>
          <t>A 4984-2025</t>
        </is>
      </c>
      <c r="B60" s="1" t="n">
        <v>45691</v>
      </c>
      <c r="C60" s="1" t="n">
        <v>46196</v>
      </c>
      <c r="D60" t="inlineStr">
        <is>
          <t>GOTLANDS LÄN</t>
        </is>
      </c>
      <c r="E60" t="inlineStr">
        <is>
          <t>GOTLAND</t>
        </is>
      </c>
      <c r="G60" t="n">
        <v>1.3</v>
      </c>
      <c r="H60" t="n">
        <v>6</v>
      </c>
      <c r="I60" t="n">
        <v>2</v>
      </c>
      <c r="J60" t="n">
        <v>4</v>
      </c>
      <c r="K60" t="n">
        <v>0</v>
      </c>
      <c r="L60" t="n">
        <v>0</v>
      </c>
      <c r="M60" t="n">
        <v>0</v>
      </c>
      <c r="N60" t="n">
        <v>0</v>
      </c>
      <c r="O60" t="n">
        <v>4</v>
      </c>
      <c r="P60" t="n">
        <v>0</v>
      </c>
      <c r="Q60" t="n">
        <v>10</v>
      </c>
      <c r="R60" s="2" t="inlineStr">
        <is>
          <t>Gulsparv
Jordtistel
Sminkrot
Svinrot
Grönpyrola
Tvåblad
Ärtsångare
Brudsporre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39376-2023</t>
        </is>
      </c>
      <c r="B61" s="1" t="n">
        <v>45166</v>
      </c>
      <c r="C61" s="1" t="n">
        <v>46196</v>
      </c>
      <c r="D61" t="inlineStr">
        <is>
          <t>GOTLANDS LÄN</t>
        </is>
      </c>
      <c r="E61" t="inlineStr">
        <is>
          <t>GOTLAND</t>
        </is>
      </c>
      <c r="G61" t="n">
        <v>9.199999999999999</v>
      </c>
      <c r="H61" t="n">
        <v>1</v>
      </c>
      <c r="I61" t="n">
        <v>3</v>
      </c>
      <c r="J61" t="n">
        <v>6</v>
      </c>
      <c r="K61" t="n">
        <v>0</v>
      </c>
      <c r="L61" t="n">
        <v>0</v>
      </c>
      <c r="M61" t="n">
        <v>0</v>
      </c>
      <c r="N61" t="n">
        <v>0</v>
      </c>
      <c r="O61" t="n">
        <v>6</v>
      </c>
      <c r="P61" t="n">
        <v>0</v>
      </c>
      <c r="Q61" t="n">
        <v>9</v>
      </c>
      <c r="R61" s="2" t="inlineStr">
        <is>
          <t>Blå slemspindling
Denisespindling
Flattoppad klubbsvamp
Kattfotslav
Odörspindling
Äggspindling
Anisspindling
Rödgul trumpetsvamp
Skogsknipprot</t>
        </is>
      </c>
      <c r="S61">
        <f>HYPERLINK("https://klasma.github.io/Logging_0980/artfynd/A 39376-2023 artfynd.xlsx", "A 39376-2023")</f>
        <v/>
      </c>
      <c r="T61">
        <f>HYPERLINK("https://klasma.github.io/Logging_0980/kartor/A 39376-2023 karta.png", "A 39376-2023")</f>
        <v/>
      </c>
      <c r="V61">
        <f>HYPERLINK("https://klasma.github.io/Logging_0980/klagomål/A 39376-2023 FSC-klagomål.docx", "A 39376-2023")</f>
        <v/>
      </c>
      <c r="W61">
        <f>HYPERLINK("https://klasma.github.io/Logging_0980/klagomålsmail/A 39376-2023 FSC-klagomål mail.docx", "A 39376-2023")</f>
        <v/>
      </c>
      <c r="X61">
        <f>HYPERLINK("https://klasma.github.io/Logging_0980/tillsyn/A 39376-2023 tillsynsbegäran.docx", "A 39376-2023")</f>
        <v/>
      </c>
      <c r="Y61">
        <f>HYPERLINK("https://klasma.github.io/Logging_0980/tillsynsmail/A 39376-2023 tillsynsbegäran mail.docx", "A 39376-2023")</f>
        <v/>
      </c>
    </row>
    <row r="62" ht="15" customHeight="1">
      <c r="A62" t="inlineStr">
        <is>
          <t>A 20833-2024</t>
        </is>
      </c>
      <c r="B62" s="1" t="n">
        <v>45439</v>
      </c>
      <c r="C62" s="1" t="n">
        <v>46196</v>
      </c>
      <c r="D62" t="inlineStr">
        <is>
          <t>GOTLANDS LÄN</t>
        </is>
      </c>
      <c r="E62" t="inlineStr">
        <is>
          <t>GOTLAND</t>
        </is>
      </c>
      <c r="G62" t="n">
        <v>0.9</v>
      </c>
      <c r="H62" t="n">
        <v>5</v>
      </c>
      <c r="I62" t="n">
        <v>2</v>
      </c>
      <c r="J62" t="n">
        <v>5</v>
      </c>
      <c r="K62" t="n">
        <v>1</v>
      </c>
      <c r="L62" t="n">
        <v>0</v>
      </c>
      <c r="M62" t="n">
        <v>0</v>
      </c>
      <c r="N62" t="n">
        <v>0</v>
      </c>
      <c r="O62" t="n">
        <v>6</v>
      </c>
      <c r="P62" t="n">
        <v>1</v>
      </c>
      <c r="Q62" t="n">
        <v>9</v>
      </c>
      <c r="R62" s="2" t="inlineStr">
        <is>
          <t>Svartfläckig blåvinge
Backtimjan
Dårgräsfjäril
Jordtistel
Solvända
Svinrot
Skogsknipprot
Tvåblad
Spillkråka</t>
        </is>
      </c>
      <c r="S62">
        <f>HYPERLINK("https://klasma.github.io/Logging_0980/artfynd/A 20833-2024 artfynd.xlsx", "A 20833-2024")</f>
        <v/>
      </c>
      <c r="T62">
        <f>HYPERLINK("https://klasma.github.io/Logging_0980/kartor/A 20833-2024 karta.png", "A 20833-2024")</f>
        <v/>
      </c>
      <c r="V62">
        <f>HYPERLINK("https://klasma.github.io/Logging_0980/klagomål/A 20833-2024 FSC-klagomål.docx", "A 20833-2024")</f>
        <v/>
      </c>
      <c r="W62">
        <f>HYPERLINK("https://klasma.github.io/Logging_0980/klagomålsmail/A 20833-2024 FSC-klagomål mail.docx", "A 20833-2024")</f>
        <v/>
      </c>
      <c r="X62">
        <f>HYPERLINK("https://klasma.github.io/Logging_0980/tillsyn/A 20833-2024 tillsynsbegäran.docx", "A 20833-2024")</f>
        <v/>
      </c>
      <c r="Y62">
        <f>HYPERLINK("https://klasma.github.io/Logging_0980/tillsynsmail/A 20833-2024 tillsynsbegäran mail.docx", "A 20833-2024")</f>
        <v/>
      </c>
      <c r="Z62">
        <f>HYPERLINK("https://klasma.github.io/Logging_0980/fåglar/A 20833-2024 prioriterade fågelarter.docx", "A 20833-2024")</f>
        <v/>
      </c>
    </row>
    <row r="63" ht="15" customHeight="1">
      <c r="A63" t="inlineStr">
        <is>
          <t>A 7039-2023</t>
        </is>
      </c>
      <c r="B63" s="1" t="n">
        <v>44968</v>
      </c>
      <c r="C63" s="1" t="n">
        <v>46196</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1769-2022</t>
        </is>
      </c>
      <c r="B64" s="1" t="n">
        <v>44574</v>
      </c>
      <c r="C64" s="1" t="n">
        <v>46196</v>
      </c>
      <c r="D64" t="inlineStr">
        <is>
          <t>GOTLANDS LÄN</t>
        </is>
      </c>
      <c r="E64" t="inlineStr">
        <is>
          <t>GOTLAND</t>
        </is>
      </c>
      <c r="G64" t="n">
        <v>31.3</v>
      </c>
      <c r="H64" t="n">
        <v>5</v>
      </c>
      <c r="I64" t="n">
        <v>1</v>
      </c>
      <c r="J64" t="n">
        <v>4</v>
      </c>
      <c r="K64" t="n">
        <v>0</v>
      </c>
      <c r="L64" t="n">
        <v>0</v>
      </c>
      <c r="M64" t="n">
        <v>0</v>
      </c>
      <c r="N64" t="n">
        <v>0</v>
      </c>
      <c r="O64" t="n">
        <v>4</v>
      </c>
      <c r="P64" t="n">
        <v>0</v>
      </c>
      <c r="Q64" t="n">
        <v>9</v>
      </c>
      <c r="R64" s="2" t="inlineStr">
        <is>
          <t>Axveronika
Loppstarr
Majviva
Ängsstarr
Flugblomster
Brudsporre
Grönvit nattviol
Kärrknipprot
Vanliga ängsnycklar</t>
        </is>
      </c>
      <c r="S64">
        <f>HYPERLINK("https://klasma.github.io/Logging_0980/artfynd/A 1769-2022 artfynd.xlsx", "A 1769-2022")</f>
        <v/>
      </c>
      <c r="T64">
        <f>HYPERLINK("https://klasma.github.io/Logging_0980/kartor/A 1769-2022 karta.png", "A 1769-2022")</f>
        <v/>
      </c>
      <c r="V64">
        <f>HYPERLINK("https://klasma.github.io/Logging_0980/klagomål/A 1769-2022 FSC-klagomål.docx", "A 1769-2022")</f>
        <v/>
      </c>
      <c r="W64">
        <f>HYPERLINK("https://klasma.github.io/Logging_0980/klagomålsmail/A 1769-2022 FSC-klagomål mail.docx", "A 1769-2022")</f>
        <v/>
      </c>
      <c r="X64">
        <f>HYPERLINK("https://klasma.github.io/Logging_0980/tillsyn/A 1769-2022 tillsynsbegäran.docx", "A 1769-2022")</f>
        <v/>
      </c>
      <c r="Y64">
        <f>HYPERLINK("https://klasma.github.io/Logging_0980/tillsynsmail/A 1769-2022 tillsynsbegäran mail.docx", "A 1769-2022")</f>
        <v/>
      </c>
    </row>
    <row r="65" ht="15" customHeight="1">
      <c r="A65" t="inlineStr">
        <is>
          <t>A 44308-2021</t>
        </is>
      </c>
      <c r="B65" s="1" t="n">
        <v>44434</v>
      </c>
      <c r="C65" s="1" t="n">
        <v>46196</v>
      </c>
      <c r="D65" t="inlineStr">
        <is>
          <t>GOTLANDS LÄN</t>
        </is>
      </c>
      <c r="E65" t="inlineStr">
        <is>
          <t>GOTLAND</t>
        </is>
      </c>
      <c r="G65" t="n">
        <v>5.9</v>
      </c>
      <c r="H65" t="n">
        <v>0</v>
      </c>
      <c r="I65" t="n">
        <v>3</v>
      </c>
      <c r="J65" t="n">
        <v>3</v>
      </c>
      <c r="K65" t="n">
        <v>2</v>
      </c>
      <c r="L65" t="n">
        <v>0</v>
      </c>
      <c r="M65" t="n">
        <v>0</v>
      </c>
      <c r="N65" t="n">
        <v>0</v>
      </c>
      <c r="O65" t="n">
        <v>5</v>
      </c>
      <c r="P65" t="n">
        <v>2</v>
      </c>
      <c r="Q65" t="n">
        <v>8</v>
      </c>
      <c r="R65" s="2" t="inlineStr">
        <is>
          <t>Gul lammticka
Tvillingspindling
Barrfagerspindling
Svinrot
Sårläka
Anisspindling
Olivspindling
Svavelriska</t>
        </is>
      </c>
      <c r="S65">
        <f>HYPERLINK("https://klasma.github.io/Logging_0980/artfynd/A 44308-2021 artfynd.xlsx", "A 44308-2021")</f>
        <v/>
      </c>
      <c r="T65">
        <f>HYPERLINK("https://klasma.github.io/Logging_0980/kartor/A 44308-2021 karta.png", "A 44308-2021")</f>
        <v/>
      </c>
      <c r="V65">
        <f>HYPERLINK("https://klasma.github.io/Logging_0980/klagomål/A 44308-2021 FSC-klagomål.docx", "A 44308-2021")</f>
        <v/>
      </c>
      <c r="W65">
        <f>HYPERLINK("https://klasma.github.io/Logging_0980/klagomålsmail/A 44308-2021 FSC-klagomål mail.docx", "A 44308-2021")</f>
        <v/>
      </c>
      <c r="X65">
        <f>HYPERLINK("https://klasma.github.io/Logging_0980/tillsyn/A 44308-2021 tillsynsbegäran.docx", "A 44308-2021")</f>
        <v/>
      </c>
      <c r="Y65">
        <f>HYPERLINK("https://klasma.github.io/Logging_0980/tillsynsmail/A 44308-2021 tillsynsbegäran mail.docx", "A 44308-2021")</f>
        <v/>
      </c>
    </row>
    <row r="66" ht="15" customHeight="1">
      <c r="A66" t="inlineStr">
        <is>
          <t>A 54527-2023</t>
        </is>
      </c>
      <c r="B66" s="1" t="n">
        <v>45233</v>
      </c>
      <c r="C66" s="1" t="n">
        <v>46196</v>
      </c>
      <c r="D66" t="inlineStr">
        <is>
          <t>GOTLANDS LÄN</t>
        </is>
      </c>
      <c r="E66" t="inlineStr">
        <is>
          <t>GOTLAND</t>
        </is>
      </c>
      <c r="G66" t="n">
        <v>28.5</v>
      </c>
      <c r="H66" t="n">
        <v>2</v>
      </c>
      <c r="I66" t="n">
        <v>0</v>
      </c>
      <c r="J66" t="n">
        <v>4</v>
      </c>
      <c r="K66" t="n">
        <v>1</v>
      </c>
      <c r="L66" t="n">
        <v>1</v>
      </c>
      <c r="M66" t="n">
        <v>0</v>
      </c>
      <c r="N66" t="n">
        <v>0</v>
      </c>
      <c r="O66" t="n">
        <v>6</v>
      </c>
      <c r="P66" t="n">
        <v>2</v>
      </c>
      <c r="Q66" t="n">
        <v>8</v>
      </c>
      <c r="R66" s="2" t="inlineStr">
        <is>
          <t>Ask
Sexfläckig bastardsvärmare
Backstarr
Backtimjan
Jordtistel
Solvända
Nattskärra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c r="Z66">
        <f>HYPERLINK("https://klasma.github.io/Logging_0980/fåglar/A 54527-2023 prioriterade fågelarter.docx", "A 54527-2023")</f>
        <v/>
      </c>
    </row>
    <row r="67" ht="15" customHeight="1">
      <c r="A67" t="inlineStr">
        <is>
          <t>A 57773-2025</t>
        </is>
      </c>
      <c r="B67" s="1" t="n">
        <v>45981</v>
      </c>
      <c r="C67" s="1" t="n">
        <v>46196</v>
      </c>
      <c r="D67" t="inlineStr">
        <is>
          <t>GOTLANDS LÄN</t>
        </is>
      </c>
      <c r="E67" t="inlineStr">
        <is>
          <t>GOTLAND</t>
        </is>
      </c>
      <c r="G67" t="n">
        <v>4.4</v>
      </c>
      <c r="H67" t="n">
        <v>0</v>
      </c>
      <c r="I67" t="n">
        <v>5</v>
      </c>
      <c r="J67" t="n">
        <v>1</v>
      </c>
      <c r="K67" t="n">
        <v>2</v>
      </c>
      <c r="L67" t="n">
        <v>0</v>
      </c>
      <c r="M67" t="n">
        <v>0</v>
      </c>
      <c r="N67" t="n">
        <v>0</v>
      </c>
      <c r="O67" t="n">
        <v>3</v>
      </c>
      <c r="P67" t="n">
        <v>2</v>
      </c>
      <c r="Q67" t="n">
        <v>8</v>
      </c>
      <c r="R67" s="2" t="inlineStr">
        <is>
          <t>Duvspindling
Mörkfjällig olivspindling
Backklöver
Besk kastanjemusseron
Brun klibbskivling
Olivspindling
Rödgul trumpetsvamp
Strimspindling</t>
        </is>
      </c>
      <c r="S67">
        <f>HYPERLINK("https://klasma.github.io/Logging_0980/artfynd/A 57773-2025 artfynd.xlsx", "A 57773-2025")</f>
        <v/>
      </c>
      <c r="T67">
        <f>HYPERLINK("https://klasma.github.io/Logging_0980/kartor/A 57773-2025 karta.png", "A 57773-2025")</f>
        <v/>
      </c>
      <c r="V67">
        <f>HYPERLINK("https://klasma.github.io/Logging_0980/klagomål/A 57773-2025 FSC-klagomål.docx", "A 57773-2025")</f>
        <v/>
      </c>
      <c r="W67">
        <f>HYPERLINK("https://klasma.github.io/Logging_0980/klagomålsmail/A 57773-2025 FSC-klagomål mail.docx", "A 57773-2025")</f>
        <v/>
      </c>
      <c r="X67">
        <f>HYPERLINK("https://klasma.github.io/Logging_0980/tillsyn/A 57773-2025 tillsynsbegäran.docx", "A 57773-2025")</f>
        <v/>
      </c>
      <c r="Y67">
        <f>HYPERLINK("https://klasma.github.io/Logging_0980/tillsynsmail/A 57773-2025 tillsynsbegäran mail.docx", "A 57773-2025")</f>
        <v/>
      </c>
    </row>
    <row r="68" ht="15" customHeight="1">
      <c r="A68" t="inlineStr">
        <is>
          <t>A 20831-2024</t>
        </is>
      </c>
      <c r="B68" s="1" t="n">
        <v>45439</v>
      </c>
      <c r="C68" s="1" t="n">
        <v>46196</v>
      </c>
      <c r="D68" t="inlineStr">
        <is>
          <t>GOTLANDS LÄN</t>
        </is>
      </c>
      <c r="E68" t="inlineStr">
        <is>
          <t>GOTLAND</t>
        </is>
      </c>
      <c r="G68" t="n">
        <v>2.9</v>
      </c>
      <c r="H68" t="n">
        <v>2</v>
      </c>
      <c r="I68" t="n">
        <v>1</v>
      </c>
      <c r="J68" t="n">
        <v>6</v>
      </c>
      <c r="K68" t="n">
        <v>1</v>
      </c>
      <c r="L68" t="n">
        <v>0</v>
      </c>
      <c r="M68" t="n">
        <v>0</v>
      </c>
      <c r="N68" t="n">
        <v>0</v>
      </c>
      <c r="O68" t="n">
        <v>7</v>
      </c>
      <c r="P68" t="n">
        <v>1</v>
      </c>
      <c r="Q68" t="n">
        <v>8</v>
      </c>
      <c r="R68" s="2" t="inlineStr">
        <is>
          <t>Vit taggsvamp
Axveronika
Backtimjan
Dårgräsfjäril
Jordtistel
Solvända
Svinrot
Skogsknipprot</t>
        </is>
      </c>
      <c r="S68">
        <f>HYPERLINK("https://klasma.github.io/Logging_0980/artfynd/A 20831-2024 artfynd.xlsx", "A 20831-2024")</f>
        <v/>
      </c>
      <c r="T68">
        <f>HYPERLINK("https://klasma.github.io/Logging_0980/kartor/A 20831-2024 karta.png", "A 20831-2024")</f>
        <v/>
      </c>
      <c r="V68">
        <f>HYPERLINK("https://klasma.github.io/Logging_0980/klagomål/A 20831-2024 FSC-klagomål.docx", "A 20831-2024")</f>
        <v/>
      </c>
      <c r="W68">
        <f>HYPERLINK("https://klasma.github.io/Logging_0980/klagomålsmail/A 20831-2024 FSC-klagomål mail.docx", "A 20831-2024")</f>
        <v/>
      </c>
      <c r="X68">
        <f>HYPERLINK("https://klasma.github.io/Logging_0980/tillsyn/A 20831-2024 tillsynsbegäran.docx", "A 20831-2024")</f>
        <v/>
      </c>
      <c r="Y68">
        <f>HYPERLINK("https://klasma.github.io/Logging_0980/tillsynsmail/A 20831-2024 tillsynsbegäran mail.docx", "A 20831-2024")</f>
        <v/>
      </c>
    </row>
    <row r="69" ht="15" customHeight="1">
      <c r="A69" t="inlineStr">
        <is>
          <t>A 6836-2026</t>
        </is>
      </c>
      <c r="B69" s="1" t="n">
        <v>46057</v>
      </c>
      <c r="C69" s="1" t="n">
        <v>46196</v>
      </c>
      <c r="D69" t="inlineStr">
        <is>
          <t>GOTLANDS LÄN</t>
        </is>
      </c>
      <c r="E69" t="inlineStr">
        <is>
          <t>GOTLAND</t>
        </is>
      </c>
      <c r="G69" t="n">
        <v>3.8</v>
      </c>
      <c r="H69" t="n">
        <v>1</v>
      </c>
      <c r="I69" t="n">
        <v>3</v>
      </c>
      <c r="J69" t="n">
        <v>2</v>
      </c>
      <c r="K69" t="n">
        <v>3</v>
      </c>
      <c r="L69" t="n">
        <v>0</v>
      </c>
      <c r="M69" t="n">
        <v>0</v>
      </c>
      <c r="N69" t="n">
        <v>0</v>
      </c>
      <c r="O69" t="n">
        <v>5</v>
      </c>
      <c r="P69" t="n">
        <v>3</v>
      </c>
      <c r="Q69" t="n">
        <v>8</v>
      </c>
      <c r="R69" s="2" t="inlineStr">
        <is>
          <t>Knärot
Svartgrön spindling
Violettfläckig spindling
Odörspindling
Skarp dropptaggsvamp
Fransig jordstjärna
Rödgul trumpetsvamp
Svavelriska</t>
        </is>
      </c>
      <c r="S69">
        <f>HYPERLINK("https://klasma.github.io/Logging_0980/artfynd/A 6836-2026 artfynd.xlsx", "A 6836-2026")</f>
        <v/>
      </c>
      <c r="T69">
        <f>HYPERLINK("https://klasma.github.io/Logging_0980/kartor/A 6836-2026 karta.png", "A 6836-2026")</f>
        <v/>
      </c>
      <c r="U69">
        <f>HYPERLINK("https://klasma.github.io/Logging_0980/knärot/A 6836-2026 karta knärot.png", "A 6836-2026")</f>
        <v/>
      </c>
      <c r="V69">
        <f>HYPERLINK("https://klasma.github.io/Logging_0980/klagomål/A 6836-2026 FSC-klagomål.docx", "A 6836-2026")</f>
        <v/>
      </c>
      <c r="W69">
        <f>HYPERLINK("https://klasma.github.io/Logging_0980/klagomålsmail/A 6836-2026 FSC-klagomål mail.docx", "A 6836-2026")</f>
        <v/>
      </c>
      <c r="X69">
        <f>HYPERLINK("https://klasma.github.io/Logging_0980/tillsyn/A 6836-2026 tillsynsbegäran.docx", "A 6836-2026")</f>
        <v/>
      </c>
      <c r="Y69">
        <f>HYPERLINK("https://klasma.github.io/Logging_0980/tillsynsmail/A 6836-2026 tillsynsbegäran mail.docx", "A 6836-2026")</f>
        <v/>
      </c>
    </row>
    <row r="70" ht="15" customHeight="1">
      <c r="A70" t="inlineStr">
        <is>
          <t>A 7038-2023</t>
        </is>
      </c>
      <c r="B70" s="1" t="n">
        <v>44968</v>
      </c>
      <c r="C70" s="1" t="n">
        <v>46196</v>
      </c>
      <c r="D70" t="inlineStr">
        <is>
          <t>GOTLANDS LÄN</t>
        </is>
      </c>
      <c r="E70" t="inlineStr">
        <is>
          <t>GOTLAND</t>
        </is>
      </c>
      <c r="G70" t="n">
        <v>5.2</v>
      </c>
      <c r="H70" t="n">
        <v>1</v>
      </c>
      <c r="I70" t="n">
        <v>2</v>
      </c>
      <c r="J70" t="n">
        <v>1</v>
      </c>
      <c r="K70" t="n">
        <v>2</v>
      </c>
      <c r="L70" t="n">
        <v>1</v>
      </c>
      <c r="M70" t="n">
        <v>0</v>
      </c>
      <c r="N70" t="n">
        <v>0</v>
      </c>
      <c r="O70" t="n">
        <v>6</v>
      </c>
      <c r="P70" t="n">
        <v>3</v>
      </c>
      <c r="Q70" t="n">
        <v>8</v>
      </c>
      <c r="R70" s="2" t="inlineStr">
        <is>
          <t>Liten ädellav
Tät korallorangelav
Ädellav
Dårgräsfjäril
Blemlavsklotter
Frostig asplav
Guldlockmossa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1971-2023</t>
        </is>
      </c>
      <c r="B71" s="1" t="n">
        <v>44939</v>
      </c>
      <c r="C71" s="1" t="n">
        <v>46196</v>
      </c>
      <c r="D71" t="inlineStr">
        <is>
          <t>GOTLANDS LÄN</t>
        </is>
      </c>
      <c r="E71" t="inlineStr">
        <is>
          <t>GOTLAND</t>
        </is>
      </c>
      <c r="G71" t="n">
        <v>5.5</v>
      </c>
      <c r="H71" t="n">
        <v>0</v>
      </c>
      <c r="I71" t="n">
        <v>3</v>
      </c>
      <c r="J71" t="n">
        <v>3</v>
      </c>
      <c r="K71" t="n">
        <v>2</v>
      </c>
      <c r="L71" t="n">
        <v>0</v>
      </c>
      <c r="M71" t="n">
        <v>0</v>
      </c>
      <c r="N71" t="n">
        <v>0</v>
      </c>
      <c r="O71" t="n">
        <v>5</v>
      </c>
      <c r="P71" t="n">
        <v>2</v>
      </c>
      <c r="Q71" t="n">
        <v>8</v>
      </c>
      <c r="R71" s="2" t="inlineStr">
        <is>
          <t>Granrotspindling
Gulsträngad fagerspindling
Fjällig taggsvamp s.str.
Sandviol
Svinrot
Blomkålssvamp
Olivspindling
Rödbrun jordstjärna</t>
        </is>
      </c>
      <c r="S71">
        <f>HYPERLINK("https://klasma.github.io/Logging_0980/artfynd/A 1971-2023 artfynd.xlsx", "A 1971-2023")</f>
        <v/>
      </c>
      <c r="T71">
        <f>HYPERLINK("https://klasma.github.io/Logging_0980/kartor/A 1971-2023 karta.png", "A 1971-2023")</f>
        <v/>
      </c>
      <c r="V71">
        <f>HYPERLINK("https://klasma.github.io/Logging_0980/klagomål/A 1971-2023 FSC-klagomål.docx", "A 1971-2023")</f>
        <v/>
      </c>
      <c r="W71">
        <f>HYPERLINK("https://klasma.github.io/Logging_0980/klagomålsmail/A 1971-2023 FSC-klagomål mail.docx", "A 1971-2023")</f>
        <v/>
      </c>
      <c r="X71">
        <f>HYPERLINK("https://klasma.github.io/Logging_0980/tillsyn/A 1971-2023 tillsynsbegäran.docx", "A 1971-2023")</f>
        <v/>
      </c>
      <c r="Y71">
        <f>HYPERLINK("https://klasma.github.io/Logging_0980/tillsynsmail/A 1971-2023 tillsynsbegäran mail.docx", "A 1971-2023")</f>
        <v/>
      </c>
    </row>
    <row r="72" ht="15" customHeight="1">
      <c r="A72" t="inlineStr">
        <is>
          <t>A 54527-2023</t>
        </is>
      </c>
      <c r="B72" s="1" t="n">
        <v>45233</v>
      </c>
      <c r="C72" s="1" t="n">
        <v>46196</v>
      </c>
      <c r="D72" t="inlineStr">
        <is>
          <t>GOTLANDS LÄN</t>
        </is>
      </c>
      <c r="E72" t="inlineStr">
        <is>
          <t>GOTLAND</t>
        </is>
      </c>
      <c r="G72" t="n">
        <v>28.5</v>
      </c>
      <c r="H72" t="n">
        <v>2</v>
      </c>
      <c r="I72" t="n">
        <v>0</v>
      </c>
      <c r="J72" t="n">
        <v>4</v>
      </c>
      <c r="K72" t="n">
        <v>1</v>
      </c>
      <c r="L72" t="n">
        <v>1</v>
      </c>
      <c r="M72" t="n">
        <v>0</v>
      </c>
      <c r="N72" t="n">
        <v>0</v>
      </c>
      <c r="O72" t="n">
        <v>6</v>
      </c>
      <c r="P72" t="n">
        <v>2</v>
      </c>
      <c r="Q72" t="n">
        <v>8</v>
      </c>
      <c r="R72" s="2" t="inlineStr">
        <is>
          <t>Ask
Sexfläckig bastardsvärmare
Backstarr
Backtimjan
Jordtistel
Solvända
Nattskärra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c r="Z72">
        <f>HYPERLINK("https://klasma.github.io/Logging_0980/fåglar/A 54527-2023 prioriterade fågelarter.docx", "A 54527-2023")</f>
        <v/>
      </c>
    </row>
    <row r="73" ht="15" customHeight="1">
      <c r="A73" t="inlineStr">
        <is>
          <t>A 51737-2021</t>
        </is>
      </c>
      <c r="B73" s="1" t="n">
        <v>44462</v>
      </c>
      <c r="C73" s="1" t="n">
        <v>46196</v>
      </c>
      <c r="D73" t="inlineStr">
        <is>
          <t>GOTLANDS LÄN</t>
        </is>
      </c>
      <c r="E73" t="inlineStr">
        <is>
          <t>GOTLAND</t>
        </is>
      </c>
      <c r="G73" t="n">
        <v>8.6</v>
      </c>
      <c r="H73" t="n">
        <v>1</v>
      </c>
      <c r="I73" t="n">
        <v>4</v>
      </c>
      <c r="J73" t="n">
        <v>2</v>
      </c>
      <c r="K73" t="n">
        <v>1</v>
      </c>
      <c r="L73" t="n">
        <v>0</v>
      </c>
      <c r="M73" t="n">
        <v>0</v>
      </c>
      <c r="N73" t="n">
        <v>0</v>
      </c>
      <c r="O73" t="n">
        <v>3</v>
      </c>
      <c r="P73" t="n">
        <v>1</v>
      </c>
      <c r="Q73" t="n">
        <v>7</v>
      </c>
      <c r="R73" s="2" t="inlineStr">
        <is>
          <t>Igelkott
Blå slemspindling
Vårärt
Blåmossa
Kambräken
Skogsknipprot
Västlig hakmossa</t>
        </is>
      </c>
      <c r="S73">
        <f>HYPERLINK("https://klasma.github.io/Logging_0980/artfynd/A 51737-2021 artfynd.xlsx", "A 51737-2021")</f>
        <v/>
      </c>
      <c r="T73">
        <f>HYPERLINK("https://klasma.github.io/Logging_0980/kartor/A 51737-2021 karta.png", "A 51737-2021")</f>
        <v/>
      </c>
      <c r="V73">
        <f>HYPERLINK("https://klasma.github.io/Logging_0980/klagomål/A 51737-2021 FSC-klagomål.docx", "A 51737-2021")</f>
        <v/>
      </c>
      <c r="W73">
        <f>HYPERLINK("https://klasma.github.io/Logging_0980/klagomålsmail/A 51737-2021 FSC-klagomål mail.docx", "A 51737-2021")</f>
        <v/>
      </c>
      <c r="X73">
        <f>HYPERLINK("https://klasma.github.io/Logging_0980/tillsyn/A 51737-2021 tillsynsbegäran.docx", "A 51737-2021")</f>
        <v/>
      </c>
      <c r="Y73">
        <f>HYPERLINK("https://klasma.github.io/Logging_0980/tillsynsmail/A 51737-2021 tillsynsbegäran mail.docx", "A 51737-2021")</f>
        <v/>
      </c>
    </row>
    <row r="74" ht="15" customHeight="1">
      <c r="A74" t="inlineStr">
        <is>
          <t>A 2085-2023</t>
        </is>
      </c>
      <c r="B74" s="1" t="n">
        <v>44939</v>
      </c>
      <c r="C74" s="1" t="n">
        <v>46196</v>
      </c>
      <c r="D74" t="inlineStr">
        <is>
          <t>GOTLANDS LÄN</t>
        </is>
      </c>
      <c r="E74" t="inlineStr">
        <is>
          <t>GOTLAND</t>
        </is>
      </c>
      <c r="G74" t="n">
        <v>0.9</v>
      </c>
      <c r="H74" t="n">
        <v>2</v>
      </c>
      <c r="I74" t="n">
        <v>4</v>
      </c>
      <c r="J74" t="n">
        <v>2</v>
      </c>
      <c r="K74" t="n">
        <v>0</v>
      </c>
      <c r="L74" t="n">
        <v>0</v>
      </c>
      <c r="M74" t="n">
        <v>0</v>
      </c>
      <c r="N74" t="n">
        <v>0</v>
      </c>
      <c r="O74" t="n">
        <v>2</v>
      </c>
      <c r="P74" t="n">
        <v>0</v>
      </c>
      <c r="Q74" t="n">
        <v>7</v>
      </c>
      <c r="R74" s="2" t="inlineStr">
        <is>
          <t>Blå slemspindling
Kattfotslav
Blåmossa
Mindre märgborre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row>
    <row r="75" ht="15" customHeight="1">
      <c r="A75" t="inlineStr">
        <is>
          <t>A 35293-2025</t>
        </is>
      </c>
      <c r="B75" s="1" t="n">
        <v>45854</v>
      </c>
      <c r="C75" s="1" t="n">
        <v>46196</v>
      </c>
      <c r="D75" t="inlineStr">
        <is>
          <t>GOTLANDS LÄN</t>
        </is>
      </c>
      <c r="E75" t="inlineStr">
        <is>
          <t>GOTLAND</t>
        </is>
      </c>
      <c r="G75" t="n">
        <v>9.199999999999999</v>
      </c>
      <c r="H75" t="n">
        <v>1</v>
      </c>
      <c r="I75" t="n">
        <v>1</v>
      </c>
      <c r="J75" t="n">
        <v>5</v>
      </c>
      <c r="K75" t="n">
        <v>1</v>
      </c>
      <c r="L75" t="n">
        <v>0</v>
      </c>
      <c r="M75" t="n">
        <v>0</v>
      </c>
      <c r="N75" t="n">
        <v>0</v>
      </c>
      <c r="O75" t="n">
        <v>6</v>
      </c>
      <c r="P75" t="n">
        <v>1</v>
      </c>
      <c r="Q75" t="n">
        <v>7</v>
      </c>
      <c r="R75" s="2" t="inlineStr">
        <is>
          <t>Knutört
Axveronika
Krusfrö
Loppstarr
Svinrot
Ängsstarr
Skogsknipprot</t>
        </is>
      </c>
      <c r="S75">
        <f>HYPERLINK("https://klasma.github.io/Logging_0980/artfynd/A 35293-2025 artfynd.xlsx", "A 35293-2025")</f>
        <v/>
      </c>
      <c r="T75">
        <f>HYPERLINK("https://klasma.github.io/Logging_0980/kartor/A 35293-2025 karta.png", "A 35293-2025")</f>
        <v/>
      </c>
      <c r="V75">
        <f>HYPERLINK("https://klasma.github.io/Logging_0980/klagomål/A 35293-2025 FSC-klagomål.docx", "A 35293-2025")</f>
        <v/>
      </c>
      <c r="W75">
        <f>HYPERLINK("https://klasma.github.io/Logging_0980/klagomålsmail/A 35293-2025 FSC-klagomål mail.docx", "A 35293-2025")</f>
        <v/>
      </c>
      <c r="X75">
        <f>HYPERLINK("https://klasma.github.io/Logging_0980/tillsyn/A 35293-2025 tillsynsbegäran.docx", "A 35293-2025")</f>
        <v/>
      </c>
      <c r="Y75">
        <f>HYPERLINK("https://klasma.github.io/Logging_0980/tillsynsmail/A 35293-2025 tillsynsbegäran mail.docx", "A 35293-2025")</f>
        <v/>
      </c>
    </row>
    <row r="76" ht="15" customHeight="1">
      <c r="A76" t="inlineStr">
        <is>
          <t>A 26987-2026</t>
        </is>
      </c>
      <c r="B76" s="1" t="n">
        <v>46185</v>
      </c>
      <c r="C76" s="1" t="n">
        <v>46196</v>
      </c>
      <c r="D76" t="inlineStr">
        <is>
          <t>GOTLANDS LÄN</t>
        </is>
      </c>
      <c r="E76" t="inlineStr">
        <is>
          <t>GOTLAND</t>
        </is>
      </c>
      <c r="G76" t="n">
        <v>4.6</v>
      </c>
      <c r="H76" t="n">
        <v>1</v>
      </c>
      <c r="I76" t="n">
        <v>1</v>
      </c>
      <c r="J76" t="n">
        <v>4</v>
      </c>
      <c r="K76" t="n">
        <v>1</v>
      </c>
      <c r="L76" t="n">
        <v>0</v>
      </c>
      <c r="M76" t="n">
        <v>0</v>
      </c>
      <c r="N76" t="n">
        <v>0</v>
      </c>
      <c r="O76" t="n">
        <v>5</v>
      </c>
      <c r="P76" t="n">
        <v>1</v>
      </c>
      <c r="Q76" t="n">
        <v>7</v>
      </c>
      <c r="R76" s="2" t="inlineStr">
        <is>
          <t>Granrotspindling
Backtimjan
Blå slemspindling
Odörspindling
Solvända
Svavelriska
Spillkråka</t>
        </is>
      </c>
      <c r="S76">
        <f>HYPERLINK("https://klasma.github.io/Logging_0980/artfynd/A 26987-2026 artfynd.xlsx", "A 26987-2026")</f>
        <v/>
      </c>
      <c r="T76">
        <f>HYPERLINK("https://klasma.github.io/Logging_0980/kartor/A 26987-2026 karta.png", "A 26987-2026")</f>
        <v/>
      </c>
      <c r="V76">
        <f>HYPERLINK("https://klasma.github.io/Logging_0980/klagomål/A 26987-2026 FSC-klagomål.docx", "A 26987-2026")</f>
        <v/>
      </c>
      <c r="W76">
        <f>HYPERLINK("https://klasma.github.io/Logging_0980/klagomålsmail/A 26987-2026 FSC-klagomål mail.docx", "A 26987-2026")</f>
        <v/>
      </c>
      <c r="X76">
        <f>HYPERLINK("https://klasma.github.io/Logging_0980/tillsyn/A 26987-2026 tillsynsbegäran.docx", "A 26987-2026")</f>
        <v/>
      </c>
      <c r="Y76">
        <f>HYPERLINK("https://klasma.github.io/Logging_0980/tillsynsmail/A 26987-2026 tillsynsbegäran mail.docx", "A 26987-2026")</f>
        <v/>
      </c>
      <c r="Z76">
        <f>HYPERLINK("https://klasma.github.io/Logging_0980/fåglar/A 26987-2026 prioriterade fågelarter.docx", "A 26987-2026")</f>
        <v/>
      </c>
    </row>
    <row r="77" ht="15" customHeight="1">
      <c r="A77" t="inlineStr">
        <is>
          <t>A 6159-2023</t>
        </is>
      </c>
      <c r="B77" s="1" t="n">
        <v>44964</v>
      </c>
      <c r="C77" s="1" t="n">
        <v>46196</v>
      </c>
      <c r="D77" t="inlineStr">
        <is>
          <t>GOTLANDS LÄN</t>
        </is>
      </c>
      <c r="E77" t="inlineStr">
        <is>
          <t>GOTLAND</t>
        </is>
      </c>
      <c r="G77" t="n">
        <v>2</v>
      </c>
      <c r="H77" t="n">
        <v>0</v>
      </c>
      <c r="I77" t="n">
        <v>2</v>
      </c>
      <c r="J77" t="n">
        <v>2</v>
      </c>
      <c r="K77" t="n">
        <v>1</v>
      </c>
      <c r="L77" t="n">
        <v>1</v>
      </c>
      <c r="M77" t="n">
        <v>1</v>
      </c>
      <c r="N77" t="n">
        <v>0</v>
      </c>
      <c r="O77" t="n">
        <v>5</v>
      </c>
      <c r="P77" t="n">
        <v>3</v>
      </c>
      <c r="Q77" t="n">
        <v>7</v>
      </c>
      <c r="R77" s="2" t="inlineStr">
        <is>
          <t>Coniocarpon fallax
Knölig taggsvamp
Gyllenspindling
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34142-2024</t>
        </is>
      </c>
      <c r="B78" s="1" t="n">
        <v>45524</v>
      </c>
      <c r="C78" s="1" t="n">
        <v>46196</v>
      </c>
      <c r="D78" t="inlineStr">
        <is>
          <t>GOTLANDS LÄN</t>
        </is>
      </c>
      <c r="E78" t="inlineStr">
        <is>
          <t>GOTLAND</t>
        </is>
      </c>
      <c r="G78" t="n">
        <v>6</v>
      </c>
      <c r="H78" t="n">
        <v>1</v>
      </c>
      <c r="I78" t="n">
        <v>2</v>
      </c>
      <c r="J78" t="n">
        <v>3</v>
      </c>
      <c r="K78" t="n">
        <v>2</v>
      </c>
      <c r="L78" t="n">
        <v>0</v>
      </c>
      <c r="M78" t="n">
        <v>0</v>
      </c>
      <c r="N78" t="n">
        <v>0</v>
      </c>
      <c r="O78" t="n">
        <v>5</v>
      </c>
      <c r="P78" t="n">
        <v>2</v>
      </c>
      <c r="Q78" t="n">
        <v>7</v>
      </c>
      <c r="R78" s="2" t="inlineStr">
        <is>
          <t>Duvspindling
Igelkott
Blå slemspindling
Odörspindling
Rödfläckig zontaggsvamp
Anisspindling
Nästrot</t>
        </is>
      </c>
      <c r="S78">
        <f>HYPERLINK("https://klasma.github.io/Logging_0980/artfynd/A 34142-2024 artfynd.xlsx", "A 34142-2024")</f>
        <v/>
      </c>
      <c r="T78">
        <f>HYPERLINK("https://klasma.github.io/Logging_0980/kartor/A 34142-2024 karta.png", "A 34142-2024")</f>
        <v/>
      </c>
      <c r="V78">
        <f>HYPERLINK("https://klasma.github.io/Logging_0980/klagomål/A 34142-2024 FSC-klagomål.docx", "A 34142-2024")</f>
        <v/>
      </c>
      <c r="W78">
        <f>HYPERLINK("https://klasma.github.io/Logging_0980/klagomålsmail/A 34142-2024 FSC-klagomål mail.docx", "A 34142-2024")</f>
        <v/>
      </c>
      <c r="X78">
        <f>HYPERLINK("https://klasma.github.io/Logging_0980/tillsyn/A 34142-2024 tillsynsbegäran.docx", "A 34142-2024")</f>
        <v/>
      </c>
      <c r="Y78">
        <f>HYPERLINK("https://klasma.github.io/Logging_0980/tillsynsmail/A 34142-2024 tillsynsbegäran mail.docx", "A 34142-2024")</f>
        <v/>
      </c>
    </row>
    <row r="79" ht="15" customHeight="1">
      <c r="A79" t="inlineStr">
        <is>
          <t>A 10419-2025</t>
        </is>
      </c>
      <c r="B79" s="1" t="n">
        <v>45720</v>
      </c>
      <c r="C79" s="1" t="n">
        <v>46196</v>
      </c>
      <c r="D79" t="inlineStr">
        <is>
          <t>GOTLANDS LÄN</t>
        </is>
      </c>
      <c r="E79" t="inlineStr">
        <is>
          <t>GOTLAND</t>
        </is>
      </c>
      <c r="G79" t="n">
        <v>1.2</v>
      </c>
      <c r="H79" t="n">
        <v>0</v>
      </c>
      <c r="I79" t="n">
        <v>2</v>
      </c>
      <c r="J79" t="n">
        <v>3</v>
      </c>
      <c r="K79" t="n">
        <v>2</v>
      </c>
      <c r="L79" t="n">
        <v>0</v>
      </c>
      <c r="M79" t="n">
        <v>0</v>
      </c>
      <c r="N79" t="n">
        <v>0</v>
      </c>
      <c r="O79" t="n">
        <v>5</v>
      </c>
      <c r="P79" t="n">
        <v>2</v>
      </c>
      <c r="Q79" t="n">
        <v>7</v>
      </c>
      <c r="R79" s="2" t="inlineStr">
        <is>
          <t>Mörkfjällig olivspindling
Violettfläckig spindling
Blå slemspindling
Fjällig taggsvamp s.str.
Kryddspindling
Anisspindling
Olivspindling</t>
        </is>
      </c>
      <c r="S79">
        <f>HYPERLINK("https://klasma.github.io/Logging_0980/artfynd/A 10419-2025 artfynd.xlsx", "A 10419-2025")</f>
        <v/>
      </c>
      <c r="T79">
        <f>HYPERLINK("https://klasma.github.io/Logging_0980/kartor/A 10419-2025 karta.png", "A 10419-2025")</f>
        <v/>
      </c>
      <c r="V79">
        <f>HYPERLINK("https://klasma.github.io/Logging_0980/klagomål/A 10419-2025 FSC-klagomål.docx", "A 10419-2025")</f>
        <v/>
      </c>
      <c r="W79">
        <f>HYPERLINK("https://klasma.github.io/Logging_0980/klagomålsmail/A 10419-2025 FSC-klagomål mail.docx", "A 10419-2025")</f>
        <v/>
      </c>
      <c r="X79">
        <f>HYPERLINK("https://klasma.github.io/Logging_0980/tillsyn/A 10419-2025 tillsynsbegäran.docx", "A 10419-2025")</f>
        <v/>
      </c>
      <c r="Y79">
        <f>HYPERLINK("https://klasma.github.io/Logging_0980/tillsynsmail/A 10419-2025 tillsynsbegäran mail.docx", "A 10419-2025")</f>
        <v/>
      </c>
    </row>
    <row r="80" ht="15" customHeight="1">
      <c r="A80" t="inlineStr">
        <is>
          <t>A 49709-2025</t>
        </is>
      </c>
      <c r="B80" s="1" t="n">
        <v>45939</v>
      </c>
      <c r="C80" s="1" t="n">
        <v>46196</v>
      </c>
      <c r="D80" t="inlineStr">
        <is>
          <t>GOTLANDS LÄN</t>
        </is>
      </c>
      <c r="E80" t="inlineStr">
        <is>
          <t>GOTLAND</t>
        </is>
      </c>
      <c r="G80" t="n">
        <v>10.2</v>
      </c>
      <c r="H80" t="n">
        <v>1</v>
      </c>
      <c r="I80" t="n">
        <v>3</v>
      </c>
      <c r="J80" t="n">
        <v>3</v>
      </c>
      <c r="K80" t="n">
        <v>0</v>
      </c>
      <c r="L80" t="n">
        <v>0</v>
      </c>
      <c r="M80" t="n">
        <v>0</v>
      </c>
      <c r="N80" t="n">
        <v>0</v>
      </c>
      <c r="O80" t="n">
        <v>3</v>
      </c>
      <c r="P80" t="n">
        <v>0</v>
      </c>
      <c r="Q80" t="n">
        <v>6</v>
      </c>
      <c r="R80" s="2" t="inlineStr">
        <is>
          <t>Mindre hackspett
Mörk dunört
Tallticka
Blåmossa
Grovticka
Kambräken</t>
        </is>
      </c>
      <c r="S80">
        <f>HYPERLINK("https://klasma.github.io/Logging_0980/artfynd/A 49709-2025 artfynd.xlsx", "A 49709-2025")</f>
        <v/>
      </c>
      <c r="T80">
        <f>HYPERLINK("https://klasma.github.io/Logging_0980/kartor/A 49709-2025 karta.png", "A 49709-2025")</f>
        <v/>
      </c>
      <c r="V80">
        <f>HYPERLINK("https://klasma.github.io/Logging_0980/klagomål/A 49709-2025 FSC-klagomål.docx", "A 49709-2025")</f>
        <v/>
      </c>
      <c r="W80">
        <f>HYPERLINK("https://klasma.github.io/Logging_0980/klagomålsmail/A 49709-2025 FSC-klagomål mail.docx", "A 49709-2025")</f>
        <v/>
      </c>
      <c r="X80">
        <f>HYPERLINK("https://klasma.github.io/Logging_0980/tillsyn/A 49709-2025 tillsynsbegäran.docx", "A 49709-2025")</f>
        <v/>
      </c>
      <c r="Y80">
        <f>HYPERLINK("https://klasma.github.io/Logging_0980/tillsynsmail/A 49709-2025 tillsynsbegäran mail.docx", "A 49709-2025")</f>
        <v/>
      </c>
      <c r="Z80">
        <f>HYPERLINK("https://klasma.github.io/Logging_0980/fåglar/A 49709-2025 prioriterade fågelarter.docx", "A 49709-2025")</f>
        <v/>
      </c>
    </row>
    <row r="81" ht="15" customHeight="1">
      <c r="A81" t="inlineStr">
        <is>
          <t>A 16823-2024</t>
        </is>
      </c>
      <c r="B81" s="1" t="n">
        <v>45411</v>
      </c>
      <c r="C81" s="1" t="n">
        <v>46196</v>
      </c>
      <c r="D81" t="inlineStr">
        <is>
          <t>GOTLANDS LÄN</t>
        </is>
      </c>
      <c r="E81" t="inlineStr">
        <is>
          <t>GOTLAND</t>
        </is>
      </c>
      <c r="G81" t="n">
        <v>25.4</v>
      </c>
      <c r="H81" t="n">
        <v>5</v>
      </c>
      <c r="I81" t="n">
        <v>1</v>
      </c>
      <c r="J81" t="n">
        <v>2</v>
      </c>
      <c r="K81" t="n">
        <v>0</v>
      </c>
      <c r="L81" t="n">
        <v>0</v>
      </c>
      <c r="M81" t="n">
        <v>0</v>
      </c>
      <c r="N81" t="n">
        <v>0</v>
      </c>
      <c r="O81" t="n">
        <v>2</v>
      </c>
      <c r="P81" t="n">
        <v>0</v>
      </c>
      <c r="Q81" t="n">
        <v>6</v>
      </c>
      <c r="R81" s="2" t="inlineStr">
        <is>
          <t>Gulsparv
Jordtistel
Flugblomster
Brudsporre
Johannesnycklar
Sankt pers nycklar</t>
        </is>
      </c>
      <c r="S81">
        <f>HYPERLINK("https://klasma.github.io/Logging_0980/artfynd/A 16823-2024 artfynd.xlsx", "A 16823-2024")</f>
        <v/>
      </c>
      <c r="T81">
        <f>HYPERLINK("https://klasma.github.io/Logging_0980/kartor/A 16823-2024 karta.png", "A 16823-2024")</f>
        <v/>
      </c>
      <c r="V81">
        <f>HYPERLINK("https://klasma.github.io/Logging_0980/klagomål/A 16823-2024 FSC-klagomål.docx", "A 16823-2024")</f>
        <v/>
      </c>
      <c r="W81">
        <f>HYPERLINK("https://klasma.github.io/Logging_0980/klagomålsmail/A 16823-2024 FSC-klagomål mail.docx", "A 16823-2024")</f>
        <v/>
      </c>
      <c r="X81">
        <f>HYPERLINK("https://klasma.github.io/Logging_0980/tillsyn/A 16823-2024 tillsynsbegäran.docx", "A 16823-2024")</f>
        <v/>
      </c>
      <c r="Y81">
        <f>HYPERLINK("https://klasma.github.io/Logging_0980/tillsynsmail/A 16823-2024 tillsynsbegäran mail.docx", "A 16823-2024")</f>
        <v/>
      </c>
      <c r="Z81">
        <f>HYPERLINK("https://klasma.github.io/Logging_0980/fåglar/A 16823-2024 prioriterade fågelarter.docx", "A 16823-2024")</f>
        <v/>
      </c>
    </row>
    <row r="82" ht="15" customHeight="1">
      <c r="A82" t="inlineStr">
        <is>
          <t>A 48126-2022</t>
        </is>
      </c>
      <c r="B82" s="1" t="n">
        <v>44857</v>
      </c>
      <c r="C82" s="1" t="n">
        <v>46196</v>
      </c>
      <c r="D82" t="inlineStr">
        <is>
          <t>GOTLANDS LÄN</t>
        </is>
      </c>
      <c r="E82" t="inlineStr">
        <is>
          <t>GOTLAND</t>
        </is>
      </c>
      <c r="G82" t="n">
        <v>9.800000000000001</v>
      </c>
      <c r="H82" t="n">
        <v>3</v>
      </c>
      <c r="I82" t="n">
        <v>0</v>
      </c>
      <c r="J82" t="n">
        <v>3</v>
      </c>
      <c r="K82" t="n">
        <v>0</v>
      </c>
      <c r="L82" t="n">
        <v>0</v>
      </c>
      <c r="M82" t="n">
        <v>0</v>
      </c>
      <c r="N82" t="n">
        <v>0</v>
      </c>
      <c r="O82" t="n">
        <v>3</v>
      </c>
      <c r="P82" t="n">
        <v>0</v>
      </c>
      <c r="Q82" t="n">
        <v>6</v>
      </c>
      <c r="R82" s="2" t="inlineStr">
        <is>
          <t>Jordtistel
Jungfrulin
Svinrot
Spillkråka
Näktergal
Skogsduva</t>
        </is>
      </c>
      <c r="S82">
        <f>HYPERLINK("https://klasma.github.io/Logging_0980/artfynd/A 48126-2022 artfynd.xlsx", "A 48126-2022")</f>
        <v/>
      </c>
      <c r="T82">
        <f>HYPERLINK("https://klasma.github.io/Logging_0980/kartor/A 48126-2022 karta.png", "A 48126-2022")</f>
        <v/>
      </c>
      <c r="V82">
        <f>HYPERLINK("https://klasma.github.io/Logging_0980/klagomål/A 48126-2022 FSC-klagomål.docx", "A 48126-2022")</f>
        <v/>
      </c>
      <c r="W82">
        <f>HYPERLINK("https://klasma.github.io/Logging_0980/klagomålsmail/A 48126-2022 FSC-klagomål mail.docx", "A 48126-2022")</f>
        <v/>
      </c>
      <c r="X82">
        <f>HYPERLINK("https://klasma.github.io/Logging_0980/tillsyn/A 48126-2022 tillsynsbegäran.docx", "A 48126-2022")</f>
        <v/>
      </c>
      <c r="Y82">
        <f>HYPERLINK("https://klasma.github.io/Logging_0980/tillsynsmail/A 48126-2022 tillsynsbegäran mail.docx", "A 48126-2022")</f>
        <v/>
      </c>
      <c r="Z82">
        <f>HYPERLINK("https://klasma.github.io/Logging_0980/fåglar/A 48126-2022 prioriterade fågelarter.docx", "A 48126-2022")</f>
        <v/>
      </c>
    </row>
    <row r="83" ht="15" customHeight="1">
      <c r="A83" t="inlineStr">
        <is>
          <t>A 63152-2025</t>
        </is>
      </c>
      <c r="B83" s="1" t="n">
        <v>46010</v>
      </c>
      <c r="C83" s="1" t="n">
        <v>46196</v>
      </c>
      <c r="D83" t="inlineStr">
        <is>
          <t>GOTLANDS LÄN</t>
        </is>
      </c>
      <c r="E83" t="inlineStr">
        <is>
          <t>GOTLAND</t>
        </is>
      </c>
      <c r="G83" t="n">
        <v>1.5</v>
      </c>
      <c r="H83" t="n">
        <v>3</v>
      </c>
      <c r="I83" t="n">
        <v>1</v>
      </c>
      <c r="J83" t="n">
        <v>2</v>
      </c>
      <c r="K83" t="n">
        <v>0</v>
      </c>
      <c r="L83" t="n">
        <v>0</v>
      </c>
      <c r="M83" t="n">
        <v>0</v>
      </c>
      <c r="N83" t="n">
        <v>0</v>
      </c>
      <c r="O83" t="n">
        <v>2</v>
      </c>
      <c r="P83" t="n">
        <v>0</v>
      </c>
      <c r="Q83" t="n">
        <v>6</v>
      </c>
      <c r="R83" s="2" t="inlineStr">
        <is>
          <t>Berggräsfjäril
Svinrot
Nästrot
Spillkråka
Sälg
Sankt pers nycklar</t>
        </is>
      </c>
      <c r="S83">
        <f>HYPERLINK("https://klasma.github.io/Logging_0980/artfynd/A 63152-2025 artfynd.xlsx", "A 63152-2025")</f>
        <v/>
      </c>
      <c r="T83">
        <f>HYPERLINK("https://klasma.github.io/Logging_0980/kartor/A 63152-2025 karta.png", "A 63152-2025")</f>
        <v/>
      </c>
      <c r="V83">
        <f>HYPERLINK("https://klasma.github.io/Logging_0980/klagomål/A 63152-2025 FSC-klagomål.docx", "A 63152-2025")</f>
        <v/>
      </c>
      <c r="W83">
        <f>HYPERLINK("https://klasma.github.io/Logging_0980/klagomålsmail/A 63152-2025 FSC-klagomål mail.docx", "A 63152-2025")</f>
        <v/>
      </c>
      <c r="X83">
        <f>HYPERLINK("https://klasma.github.io/Logging_0980/tillsyn/A 63152-2025 tillsynsbegäran.docx", "A 63152-2025")</f>
        <v/>
      </c>
      <c r="Y83">
        <f>HYPERLINK("https://klasma.github.io/Logging_0980/tillsynsmail/A 63152-2025 tillsynsbegäran mail.docx", "A 63152-2025")</f>
        <v/>
      </c>
      <c r="Z83">
        <f>HYPERLINK("https://klasma.github.io/Logging_0980/fåglar/A 63152-2025 prioriterade fågelarter.docx", "A 63152-2025")</f>
        <v/>
      </c>
    </row>
    <row r="84" ht="15" customHeight="1">
      <c r="A84" t="inlineStr">
        <is>
          <t>A 64208-2021</t>
        </is>
      </c>
      <c r="B84" s="1" t="n">
        <v>44510</v>
      </c>
      <c r="C84" s="1" t="n">
        <v>46196</v>
      </c>
      <c r="D84" t="inlineStr">
        <is>
          <t>GOTLANDS LÄN</t>
        </is>
      </c>
      <c r="E84" t="inlineStr">
        <is>
          <t>GOTLAND</t>
        </is>
      </c>
      <c r="G84" t="n">
        <v>4.7</v>
      </c>
      <c r="H84" t="n">
        <v>2</v>
      </c>
      <c r="I84" t="n">
        <v>0</v>
      </c>
      <c r="J84" t="n">
        <v>4</v>
      </c>
      <c r="K84" t="n">
        <v>1</v>
      </c>
      <c r="L84" t="n">
        <v>0</v>
      </c>
      <c r="M84" t="n">
        <v>0</v>
      </c>
      <c r="N84" t="n">
        <v>0</v>
      </c>
      <c r="O84" t="n">
        <v>5</v>
      </c>
      <c r="P84" t="n">
        <v>1</v>
      </c>
      <c r="Q84" t="n">
        <v>6</v>
      </c>
      <c r="R84" s="2" t="inlineStr">
        <is>
          <t>Svartfläckig blåvinge
Axveronika
Backtimjan
Jordtistel
Solvända
Alvarstånds</t>
        </is>
      </c>
      <c r="S84">
        <f>HYPERLINK("https://klasma.github.io/Logging_0980/artfynd/A 64208-2021 artfynd.xlsx", "A 64208-2021")</f>
        <v/>
      </c>
      <c r="T84">
        <f>HYPERLINK("https://klasma.github.io/Logging_0980/kartor/A 64208-2021 karta.png", "A 64208-2021")</f>
        <v/>
      </c>
      <c r="V84">
        <f>HYPERLINK("https://klasma.github.io/Logging_0980/klagomål/A 64208-2021 FSC-klagomål.docx", "A 64208-2021")</f>
        <v/>
      </c>
      <c r="W84">
        <f>HYPERLINK("https://klasma.github.io/Logging_0980/klagomålsmail/A 64208-2021 FSC-klagomål mail.docx", "A 64208-2021")</f>
        <v/>
      </c>
      <c r="X84">
        <f>HYPERLINK("https://klasma.github.io/Logging_0980/tillsyn/A 64208-2021 tillsynsbegäran.docx", "A 64208-2021")</f>
        <v/>
      </c>
      <c r="Y84">
        <f>HYPERLINK("https://klasma.github.io/Logging_0980/tillsynsmail/A 64208-2021 tillsynsbegäran mail.docx", "A 64208-2021")</f>
        <v/>
      </c>
    </row>
    <row r="85" ht="15" customHeight="1">
      <c r="A85" t="inlineStr">
        <is>
          <t>A 43200-2023</t>
        </is>
      </c>
      <c r="B85" s="1" t="n">
        <v>45183</v>
      </c>
      <c r="C85" s="1" t="n">
        <v>46196</v>
      </c>
      <c r="D85" t="inlineStr">
        <is>
          <t>GOTLANDS LÄN</t>
        </is>
      </c>
      <c r="E85" t="inlineStr">
        <is>
          <t>GOTLAND</t>
        </is>
      </c>
      <c r="G85" t="n">
        <v>0.5</v>
      </c>
      <c r="H85" t="n">
        <v>2</v>
      </c>
      <c r="I85" t="n">
        <v>3</v>
      </c>
      <c r="J85" t="n">
        <v>3</v>
      </c>
      <c r="K85" t="n">
        <v>0</v>
      </c>
      <c r="L85" t="n">
        <v>0</v>
      </c>
      <c r="M85" t="n">
        <v>0</v>
      </c>
      <c r="N85" t="n">
        <v>0</v>
      </c>
      <c r="O85" t="n">
        <v>3</v>
      </c>
      <c r="P85" t="n">
        <v>0</v>
      </c>
      <c r="Q85" t="n">
        <v>6</v>
      </c>
      <c r="R85" s="2" t="inlineStr">
        <is>
          <t>Kattfotslav
Sårläka
Vårärt
Kalktallört
Nästrot
Skogsknipprot</t>
        </is>
      </c>
      <c r="S85">
        <f>HYPERLINK("https://klasma.github.io/Logging_0980/artfynd/A 43200-2023 artfynd.xlsx", "A 43200-2023")</f>
        <v/>
      </c>
      <c r="T85">
        <f>HYPERLINK("https://klasma.github.io/Logging_0980/kartor/A 43200-2023 karta.png", "A 43200-2023")</f>
        <v/>
      </c>
      <c r="V85">
        <f>HYPERLINK("https://klasma.github.io/Logging_0980/klagomål/A 43200-2023 FSC-klagomål.docx", "A 43200-2023")</f>
        <v/>
      </c>
      <c r="W85">
        <f>HYPERLINK("https://klasma.github.io/Logging_0980/klagomålsmail/A 43200-2023 FSC-klagomål mail.docx", "A 43200-2023")</f>
        <v/>
      </c>
      <c r="X85">
        <f>HYPERLINK("https://klasma.github.io/Logging_0980/tillsyn/A 43200-2023 tillsynsbegäran.docx", "A 43200-2023")</f>
        <v/>
      </c>
      <c r="Y85">
        <f>HYPERLINK("https://klasma.github.io/Logging_0980/tillsynsmail/A 43200-2023 tillsynsbegäran mail.docx", "A 43200-2023")</f>
        <v/>
      </c>
    </row>
    <row r="86" ht="15" customHeight="1">
      <c r="A86" t="inlineStr">
        <is>
          <t>A 73144-2021</t>
        </is>
      </c>
      <c r="B86" s="1" t="n">
        <v>44550</v>
      </c>
      <c r="C86" s="1" t="n">
        <v>46196</v>
      </c>
      <c r="D86" t="inlineStr">
        <is>
          <t>GOTLANDS LÄN</t>
        </is>
      </c>
      <c r="E86" t="inlineStr">
        <is>
          <t>GOTLAND</t>
        </is>
      </c>
      <c r="G86" t="n">
        <v>1.9</v>
      </c>
      <c r="H86" t="n">
        <v>0</v>
      </c>
      <c r="I86" t="n">
        <v>1</v>
      </c>
      <c r="J86" t="n">
        <v>1</v>
      </c>
      <c r="K86" t="n">
        <v>3</v>
      </c>
      <c r="L86" t="n">
        <v>0</v>
      </c>
      <c r="M86" t="n">
        <v>0</v>
      </c>
      <c r="N86" t="n">
        <v>0</v>
      </c>
      <c r="O86" t="n">
        <v>4</v>
      </c>
      <c r="P86" t="n">
        <v>3</v>
      </c>
      <c r="Q86" t="n">
        <v>5</v>
      </c>
      <c r="R86" s="2" t="inlineStr">
        <is>
          <t>Igelkott
Skogskorn
Svartgrön spindling
Äggspindling
Kambräken</t>
        </is>
      </c>
      <c r="S86">
        <f>HYPERLINK("https://klasma.github.io/Logging_0980/artfynd/A 73144-2021 artfynd.xlsx", "A 73144-2021")</f>
        <v/>
      </c>
      <c r="T86">
        <f>HYPERLINK("https://klasma.github.io/Logging_0980/kartor/A 73144-2021 karta.png", "A 73144-2021")</f>
        <v/>
      </c>
      <c r="V86">
        <f>HYPERLINK("https://klasma.github.io/Logging_0980/klagomål/A 73144-2021 FSC-klagomål.docx", "A 73144-2021")</f>
        <v/>
      </c>
      <c r="W86">
        <f>HYPERLINK("https://klasma.github.io/Logging_0980/klagomålsmail/A 73144-2021 FSC-klagomål mail.docx", "A 73144-2021")</f>
        <v/>
      </c>
      <c r="X86">
        <f>HYPERLINK("https://klasma.github.io/Logging_0980/tillsyn/A 73144-2021 tillsynsbegäran.docx", "A 73144-2021")</f>
        <v/>
      </c>
      <c r="Y86">
        <f>HYPERLINK("https://klasma.github.io/Logging_0980/tillsynsmail/A 73144-2021 tillsynsbegäran mail.docx", "A 73144-2021")</f>
        <v/>
      </c>
    </row>
    <row r="87" ht="15" customHeight="1">
      <c r="A87" t="inlineStr">
        <is>
          <t>A 5904-2024</t>
        </is>
      </c>
      <c r="B87" s="1" t="n">
        <v>45335</v>
      </c>
      <c r="C87" s="1" t="n">
        <v>46196</v>
      </c>
      <c r="D87" t="inlineStr">
        <is>
          <t>GOTLANDS LÄN</t>
        </is>
      </c>
      <c r="E87" t="inlineStr">
        <is>
          <t>GOTLAND</t>
        </is>
      </c>
      <c r="G87" t="n">
        <v>6.4</v>
      </c>
      <c r="H87" t="n">
        <v>1</v>
      </c>
      <c r="I87" t="n">
        <v>1</v>
      </c>
      <c r="J87" t="n">
        <v>3</v>
      </c>
      <c r="K87" t="n">
        <v>0</v>
      </c>
      <c r="L87" t="n">
        <v>0</v>
      </c>
      <c r="M87" t="n">
        <v>0</v>
      </c>
      <c r="N87" t="n">
        <v>0</v>
      </c>
      <c r="O87" t="n">
        <v>3</v>
      </c>
      <c r="P87" t="n">
        <v>0</v>
      </c>
      <c r="Q87" t="n">
        <v>5</v>
      </c>
      <c r="R87" s="2" t="inlineStr">
        <is>
          <t>Backstarr
Backtimjan
Kattfotslav
Blåmossa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446-2023</t>
        </is>
      </c>
      <c r="B88" s="1" t="n">
        <v>44929</v>
      </c>
      <c r="C88" s="1" t="n">
        <v>46196</v>
      </c>
      <c r="D88" t="inlineStr">
        <is>
          <t>GOTLANDS LÄN</t>
        </is>
      </c>
      <c r="E88" t="inlineStr">
        <is>
          <t>GOTLAND</t>
        </is>
      </c>
      <c r="G88" t="n">
        <v>7.1</v>
      </c>
      <c r="H88" t="n">
        <v>2</v>
      </c>
      <c r="I88" t="n">
        <v>2</v>
      </c>
      <c r="J88" t="n">
        <v>1</v>
      </c>
      <c r="K88" t="n">
        <v>1</v>
      </c>
      <c r="L88" t="n">
        <v>0</v>
      </c>
      <c r="M88" t="n">
        <v>0</v>
      </c>
      <c r="N88" t="n">
        <v>0</v>
      </c>
      <c r="O88" t="n">
        <v>2</v>
      </c>
      <c r="P88" t="n">
        <v>1</v>
      </c>
      <c r="Q88" t="n">
        <v>5</v>
      </c>
      <c r="R88" s="2" t="inlineStr">
        <is>
          <t>Svartgrön spindling
Äggspindling
Skogsknipprot
Svavelriska
Spillkråka</t>
        </is>
      </c>
      <c r="S88">
        <f>HYPERLINK("https://klasma.github.io/Logging_0980/artfynd/A 446-2023 artfynd.xlsx", "A 446-2023")</f>
        <v/>
      </c>
      <c r="T88">
        <f>HYPERLINK("https://klasma.github.io/Logging_0980/kartor/A 446-2023 karta.png", "A 446-2023")</f>
        <v/>
      </c>
      <c r="V88">
        <f>HYPERLINK("https://klasma.github.io/Logging_0980/klagomål/A 446-2023 FSC-klagomål.docx", "A 446-2023")</f>
        <v/>
      </c>
      <c r="W88">
        <f>HYPERLINK("https://klasma.github.io/Logging_0980/klagomålsmail/A 446-2023 FSC-klagomål mail.docx", "A 446-2023")</f>
        <v/>
      </c>
      <c r="X88">
        <f>HYPERLINK("https://klasma.github.io/Logging_0980/tillsyn/A 446-2023 tillsynsbegäran.docx", "A 446-2023")</f>
        <v/>
      </c>
      <c r="Y88">
        <f>HYPERLINK("https://klasma.github.io/Logging_0980/tillsynsmail/A 446-2023 tillsynsbegäran mail.docx", "A 446-2023")</f>
        <v/>
      </c>
      <c r="Z88">
        <f>HYPERLINK("https://klasma.github.io/Logging_0980/fåglar/A 446-2023 prioriterade fågelarter.docx", "A 446-2023")</f>
        <v/>
      </c>
    </row>
    <row r="89" ht="15" customHeight="1">
      <c r="A89" t="inlineStr">
        <is>
          <t>A 57463-2025</t>
        </is>
      </c>
      <c r="B89" s="1" t="n">
        <v>45980</v>
      </c>
      <c r="C89" s="1" t="n">
        <v>46196</v>
      </c>
      <c r="D89" t="inlineStr">
        <is>
          <t>GOTLANDS LÄN</t>
        </is>
      </c>
      <c r="E89" t="inlineStr">
        <is>
          <t>GOTLAND</t>
        </is>
      </c>
      <c r="G89" t="n">
        <v>3.8</v>
      </c>
      <c r="H89" t="n">
        <v>0</v>
      </c>
      <c r="I89" t="n">
        <v>0</v>
      </c>
      <c r="J89" t="n">
        <v>2</v>
      </c>
      <c r="K89" t="n">
        <v>3</v>
      </c>
      <c r="L89" t="n">
        <v>0</v>
      </c>
      <c r="M89" t="n">
        <v>0</v>
      </c>
      <c r="N89" t="n">
        <v>0</v>
      </c>
      <c r="O89" t="n">
        <v>5</v>
      </c>
      <c r="P89" t="n">
        <v>3</v>
      </c>
      <c r="Q89" t="n">
        <v>5</v>
      </c>
      <c r="R89" s="2" t="inlineStr">
        <is>
          <t>Bullspindling
Gulsträngad fagerspindling
Tvillingspindling
Blå slemspindling
Odörspindling</t>
        </is>
      </c>
      <c r="S89">
        <f>HYPERLINK("https://klasma.github.io/Logging_0980/artfynd/A 57463-2025 artfynd.xlsx", "A 57463-2025")</f>
        <v/>
      </c>
      <c r="T89">
        <f>HYPERLINK("https://klasma.github.io/Logging_0980/kartor/A 57463-2025 karta.png", "A 57463-2025")</f>
        <v/>
      </c>
      <c r="V89">
        <f>HYPERLINK("https://klasma.github.io/Logging_0980/klagomål/A 57463-2025 FSC-klagomål.docx", "A 57463-2025")</f>
        <v/>
      </c>
      <c r="W89">
        <f>HYPERLINK("https://klasma.github.io/Logging_0980/klagomålsmail/A 57463-2025 FSC-klagomål mail.docx", "A 57463-2025")</f>
        <v/>
      </c>
      <c r="X89">
        <f>HYPERLINK("https://klasma.github.io/Logging_0980/tillsyn/A 57463-2025 tillsynsbegäran.docx", "A 57463-2025")</f>
        <v/>
      </c>
      <c r="Y89">
        <f>HYPERLINK("https://klasma.github.io/Logging_0980/tillsynsmail/A 57463-2025 tillsynsbegäran mail.docx", "A 57463-2025")</f>
        <v/>
      </c>
    </row>
    <row r="90" ht="15" customHeight="1">
      <c r="A90" t="inlineStr">
        <is>
          <t>A 43197-2023</t>
        </is>
      </c>
      <c r="B90" s="1" t="n">
        <v>45183</v>
      </c>
      <c r="C90" s="1" t="n">
        <v>46196</v>
      </c>
      <c r="D90" t="inlineStr">
        <is>
          <t>GOTLANDS LÄN</t>
        </is>
      </c>
      <c r="E90" t="inlineStr">
        <is>
          <t>GOTLAND</t>
        </is>
      </c>
      <c r="G90" t="n">
        <v>3.7</v>
      </c>
      <c r="H90" t="n">
        <v>2</v>
      </c>
      <c r="I90" t="n">
        <v>1</v>
      </c>
      <c r="J90" t="n">
        <v>1</v>
      </c>
      <c r="K90" t="n">
        <v>1</v>
      </c>
      <c r="L90" t="n">
        <v>1</v>
      </c>
      <c r="M90" t="n">
        <v>0</v>
      </c>
      <c r="N90" t="n">
        <v>0</v>
      </c>
      <c r="O90" t="n">
        <v>3</v>
      </c>
      <c r="P90" t="n">
        <v>2</v>
      </c>
      <c r="Q90" t="n">
        <v>5</v>
      </c>
      <c r="R90" s="2" t="inlineStr">
        <is>
          <t>Ask
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20838-2024</t>
        </is>
      </c>
      <c r="B91" s="1" t="n">
        <v>45439</v>
      </c>
      <c r="C91" s="1" t="n">
        <v>46196</v>
      </c>
      <c r="D91" t="inlineStr">
        <is>
          <t>GOTLANDS LÄN</t>
        </is>
      </c>
      <c r="E91" t="inlineStr">
        <is>
          <t>GOTLAND</t>
        </is>
      </c>
      <c r="G91" t="n">
        <v>0.7</v>
      </c>
      <c r="H91" t="n">
        <v>3</v>
      </c>
      <c r="I91" t="n">
        <v>2</v>
      </c>
      <c r="J91" t="n">
        <v>2</v>
      </c>
      <c r="K91" t="n">
        <v>0</v>
      </c>
      <c r="L91" t="n">
        <v>0</v>
      </c>
      <c r="M91" t="n">
        <v>0</v>
      </c>
      <c r="N91" t="n">
        <v>0</v>
      </c>
      <c r="O91" t="n">
        <v>2</v>
      </c>
      <c r="P91" t="n">
        <v>0</v>
      </c>
      <c r="Q91" t="n">
        <v>5</v>
      </c>
      <c r="R91" s="2" t="inlineStr">
        <is>
          <t>Backtimjan
Solvända
Skogsknipprot
Tvåblad
Spillkråka</t>
        </is>
      </c>
      <c r="S91">
        <f>HYPERLINK("https://klasma.github.io/Logging_0980/artfynd/A 20838-2024 artfynd.xlsx", "A 20838-2024")</f>
        <v/>
      </c>
      <c r="T91">
        <f>HYPERLINK("https://klasma.github.io/Logging_0980/kartor/A 20838-2024 karta.png", "A 20838-2024")</f>
        <v/>
      </c>
      <c r="V91">
        <f>HYPERLINK("https://klasma.github.io/Logging_0980/klagomål/A 20838-2024 FSC-klagomål.docx", "A 20838-2024")</f>
        <v/>
      </c>
      <c r="W91">
        <f>HYPERLINK("https://klasma.github.io/Logging_0980/klagomålsmail/A 20838-2024 FSC-klagomål mail.docx", "A 20838-2024")</f>
        <v/>
      </c>
      <c r="X91">
        <f>HYPERLINK("https://klasma.github.io/Logging_0980/tillsyn/A 20838-2024 tillsynsbegäran.docx", "A 20838-2024")</f>
        <v/>
      </c>
      <c r="Y91">
        <f>HYPERLINK("https://klasma.github.io/Logging_0980/tillsynsmail/A 20838-2024 tillsynsbegäran mail.docx", "A 20838-2024")</f>
        <v/>
      </c>
      <c r="Z91">
        <f>HYPERLINK("https://klasma.github.io/Logging_0980/fåglar/A 20838-2024 prioriterade fågelarter.docx", "A 20838-2024")</f>
        <v/>
      </c>
    </row>
    <row r="92" ht="15" customHeight="1">
      <c r="A92" t="inlineStr">
        <is>
          <t>A 39425-2023</t>
        </is>
      </c>
      <c r="B92" s="1" t="n">
        <v>45166</v>
      </c>
      <c r="C92" s="1" t="n">
        <v>46196</v>
      </c>
      <c r="D92" t="inlineStr">
        <is>
          <t>GOTLANDS LÄN</t>
        </is>
      </c>
      <c r="E92" t="inlineStr">
        <is>
          <t>GOTLAND</t>
        </is>
      </c>
      <c r="G92" t="n">
        <v>3.9</v>
      </c>
      <c r="H92" t="n">
        <v>1</v>
      </c>
      <c r="I92" t="n">
        <v>3</v>
      </c>
      <c r="J92" t="n">
        <v>0</v>
      </c>
      <c r="K92" t="n">
        <v>1</v>
      </c>
      <c r="L92" t="n">
        <v>1</v>
      </c>
      <c r="M92" t="n">
        <v>0</v>
      </c>
      <c r="N92" t="n">
        <v>0</v>
      </c>
      <c r="O92" t="n">
        <v>2</v>
      </c>
      <c r="P92" t="n">
        <v>2</v>
      </c>
      <c r="Q92" t="n">
        <v>5</v>
      </c>
      <c r="R92" s="2" t="inlineStr">
        <is>
          <t>Violgubbe
Knärot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42936-2024</t>
        </is>
      </c>
      <c r="B93" s="1" t="n">
        <v>45567</v>
      </c>
      <c r="C93" s="1" t="n">
        <v>46196</v>
      </c>
      <c r="D93" t="inlineStr">
        <is>
          <t>GOTLANDS LÄN</t>
        </is>
      </c>
      <c r="E93" t="inlineStr">
        <is>
          <t>GOTLAND</t>
        </is>
      </c>
      <c r="G93" t="n">
        <v>3.4</v>
      </c>
      <c r="H93" t="n">
        <v>0</v>
      </c>
      <c r="I93" t="n">
        <v>1</v>
      </c>
      <c r="J93" t="n">
        <v>3</v>
      </c>
      <c r="K93" t="n">
        <v>1</v>
      </c>
      <c r="L93" t="n">
        <v>0</v>
      </c>
      <c r="M93" t="n">
        <v>0</v>
      </c>
      <c r="N93" t="n">
        <v>0</v>
      </c>
      <c r="O93" t="n">
        <v>4</v>
      </c>
      <c r="P93" t="n">
        <v>1</v>
      </c>
      <c r="Q93" t="n">
        <v>5</v>
      </c>
      <c r="R93" s="2" t="inlineStr">
        <is>
          <t>Vit taggsvamp
Barrfagerspindling
Blå slemspindling
Äggspindling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54055-2022</t>
        </is>
      </c>
      <c r="B94" s="1" t="n">
        <v>44881</v>
      </c>
      <c r="C94" s="1" t="n">
        <v>46196</v>
      </c>
      <c r="D94" t="inlineStr">
        <is>
          <t>GOTLANDS LÄN</t>
        </is>
      </c>
      <c r="E94" t="inlineStr">
        <is>
          <t>GOTLAND</t>
        </is>
      </c>
      <c r="G94" t="n">
        <v>4.6</v>
      </c>
      <c r="H94" t="n">
        <v>0</v>
      </c>
      <c r="I94" t="n">
        <v>2</v>
      </c>
      <c r="J94" t="n">
        <v>2</v>
      </c>
      <c r="K94" t="n">
        <v>1</v>
      </c>
      <c r="L94" t="n">
        <v>0</v>
      </c>
      <c r="M94" t="n">
        <v>0</v>
      </c>
      <c r="N94" t="n">
        <v>0</v>
      </c>
      <c r="O94" t="n">
        <v>3</v>
      </c>
      <c r="P94" t="n">
        <v>1</v>
      </c>
      <c r="Q94" t="n">
        <v>5</v>
      </c>
      <c r="R94" s="2" t="inlineStr">
        <is>
          <t>Duvspindling
Kryddspindling
Odörspindling
Diskvaxskivling
Olivspindling</t>
        </is>
      </c>
      <c r="S94">
        <f>HYPERLINK("https://klasma.github.io/Logging_0980/artfynd/A 54055-2022 artfynd.xlsx", "A 54055-2022")</f>
        <v/>
      </c>
      <c r="T94">
        <f>HYPERLINK("https://klasma.github.io/Logging_0980/kartor/A 54055-2022 karta.png", "A 54055-2022")</f>
        <v/>
      </c>
      <c r="V94">
        <f>HYPERLINK("https://klasma.github.io/Logging_0980/klagomål/A 54055-2022 FSC-klagomål.docx", "A 54055-2022")</f>
        <v/>
      </c>
      <c r="W94">
        <f>HYPERLINK("https://klasma.github.io/Logging_0980/klagomålsmail/A 54055-2022 FSC-klagomål mail.docx", "A 54055-2022")</f>
        <v/>
      </c>
      <c r="X94">
        <f>HYPERLINK("https://klasma.github.io/Logging_0980/tillsyn/A 54055-2022 tillsynsbegäran.docx", "A 54055-2022")</f>
        <v/>
      </c>
      <c r="Y94">
        <f>HYPERLINK("https://klasma.github.io/Logging_0980/tillsynsmail/A 54055-2022 tillsynsbegäran mail.docx", "A 54055-2022")</f>
        <v/>
      </c>
    </row>
    <row r="95" ht="15" customHeight="1">
      <c r="A95" t="inlineStr">
        <is>
          <t>A 8265-2023</t>
        </is>
      </c>
      <c r="B95" s="1" t="n">
        <v>44974</v>
      </c>
      <c r="C95" s="1" t="n">
        <v>46196</v>
      </c>
      <c r="D95" t="inlineStr">
        <is>
          <t>GOTLANDS LÄN</t>
        </is>
      </c>
      <c r="E95" t="inlineStr">
        <is>
          <t>GOTLAND</t>
        </is>
      </c>
      <c r="G95" t="n">
        <v>3.3</v>
      </c>
      <c r="H95" t="n">
        <v>4</v>
      </c>
      <c r="I95" t="n">
        <v>3</v>
      </c>
      <c r="J95" t="n">
        <v>1</v>
      </c>
      <c r="K95" t="n">
        <v>0</v>
      </c>
      <c r="L95" t="n">
        <v>0</v>
      </c>
      <c r="M95" t="n">
        <v>0</v>
      </c>
      <c r="N95" t="n">
        <v>0</v>
      </c>
      <c r="O95" t="n">
        <v>1</v>
      </c>
      <c r="P95" t="n">
        <v>0</v>
      </c>
      <c r="Q95" t="n">
        <v>5</v>
      </c>
      <c r="R95" s="2" t="inlineStr">
        <is>
          <t>Säfferot
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44323-2021</t>
        </is>
      </c>
      <c r="B96" s="1" t="n">
        <v>44434</v>
      </c>
      <c r="C96" s="1" t="n">
        <v>46196</v>
      </c>
      <c r="D96" t="inlineStr">
        <is>
          <t>GOTLANDS LÄN</t>
        </is>
      </c>
      <c r="E96" t="inlineStr">
        <is>
          <t>GOTLAND</t>
        </is>
      </c>
      <c r="G96" t="n">
        <v>7.5</v>
      </c>
      <c r="H96" t="n">
        <v>2</v>
      </c>
      <c r="I96" t="n">
        <v>2</v>
      </c>
      <c r="J96" t="n">
        <v>1</v>
      </c>
      <c r="K96" t="n">
        <v>0</v>
      </c>
      <c r="L96" t="n">
        <v>0</v>
      </c>
      <c r="M96" t="n">
        <v>0</v>
      </c>
      <c r="N96" t="n">
        <v>0</v>
      </c>
      <c r="O96" t="n">
        <v>1</v>
      </c>
      <c r="P96" t="n">
        <v>0</v>
      </c>
      <c r="Q96" t="n">
        <v>4</v>
      </c>
      <c r="R96" s="2" t="inlineStr">
        <is>
          <t>Barrfagerspindling
Anisspindling
Skogsknipprot
Kråka</t>
        </is>
      </c>
      <c r="S96">
        <f>HYPERLINK("https://klasma.github.io/Logging_0980/artfynd/A 44323-2021 artfynd.xlsx", "A 44323-2021")</f>
        <v/>
      </c>
      <c r="T96">
        <f>HYPERLINK("https://klasma.github.io/Logging_0980/kartor/A 44323-2021 karta.png", "A 44323-2021")</f>
        <v/>
      </c>
      <c r="V96">
        <f>HYPERLINK("https://klasma.github.io/Logging_0980/klagomål/A 44323-2021 FSC-klagomål.docx", "A 44323-2021")</f>
        <v/>
      </c>
      <c r="W96">
        <f>HYPERLINK("https://klasma.github.io/Logging_0980/klagomålsmail/A 44323-2021 FSC-klagomål mail.docx", "A 44323-2021")</f>
        <v/>
      </c>
      <c r="X96">
        <f>HYPERLINK("https://klasma.github.io/Logging_0980/tillsyn/A 44323-2021 tillsynsbegäran.docx", "A 44323-2021")</f>
        <v/>
      </c>
      <c r="Y96">
        <f>HYPERLINK("https://klasma.github.io/Logging_0980/tillsynsmail/A 44323-2021 tillsynsbegäran mail.docx", "A 44323-2021")</f>
        <v/>
      </c>
    </row>
    <row r="97" ht="15" customHeight="1">
      <c r="A97" t="inlineStr">
        <is>
          <t>A 61386-2023</t>
        </is>
      </c>
      <c r="B97" s="1" t="n">
        <v>45264</v>
      </c>
      <c r="C97" s="1" t="n">
        <v>46196</v>
      </c>
      <c r="D97" t="inlineStr">
        <is>
          <t>GOTLANDS LÄN</t>
        </is>
      </c>
      <c r="E97" t="inlineStr">
        <is>
          <t>GOTLAND</t>
        </is>
      </c>
      <c r="G97" t="n">
        <v>0.7</v>
      </c>
      <c r="H97" t="n">
        <v>0</v>
      </c>
      <c r="I97" t="n">
        <v>3</v>
      </c>
      <c r="J97" t="n">
        <v>0</v>
      </c>
      <c r="K97" t="n">
        <v>1</v>
      </c>
      <c r="L97" t="n">
        <v>0</v>
      </c>
      <c r="M97" t="n">
        <v>0</v>
      </c>
      <c r="N97" t="n">
        <v>0</v>
      </c>
      <c r="O97" t="n">
        <v>1</v>
      </c>
      <c r="P97" t="n">
        <v>1</v>
      </c>
      <c r="Q97" t="n">
        <v>4</v>
      </c>
      <c r="R97" s="2" t="inlineStr">
        <is>
          <t>Ädellav
Korallblylav
Lönnlav
Rikfruktig blemlav</t>
        </is>
      </c>
      <c r="S97">
        <f>HYPERLINK("https://klasma.github.io/Logging_0980/artfynd/A 61386-2023 artfynd.xlsx", "A 61386-2023")</f>
        <v/>
      </c>
      <c r="T97">
        <f>HYPERLINK("https://klasma.github.io/Logging_0980/kartor/A 61386-2023 karta.png", "A 61386-2023")</f>
        <v/>
      </c>
      <c r="V97">
        <f>HYPERLINK("https://klasma.github.io/Logging_0980/klagomål/A 61386-2023 FSC-klagomål.docx", "A 61386-2023")</f>
        <v/>
      </c>
      <c r="W97">
        <f>HYPERLINK("https://klasma.github.io/Logging_0980/klagomålsmail/A 61386-2023 FSC-klagomål mail.docx", "A 61386-2023")</f>
        <v/>
      </c>
      <c r="X97">
        <f>HYPERLINK("https://klasma.github.io/Logging_0980/tillsyn/A 61386-2023 tillsynsbegäran.docx", "A 61386-2023")</f>
        <v/>
      </c>
      <c r="Y97">
        <f>HYPERLINK("https://klasma.github.io/Logging_0980/tillsynsmail/A 61386-2023 tillsynsbegäran mail.docx", "A 61386-2023")</f>
        <v/>
      </c>
    </row>
    <row r="98" ht="15" customHeight="1">
      <c r="A98" t="inlineStr">
        <is>
          <t>A 54523-2023</t>
        </is>
      </c>
      <c r="B98" s="1" t="n">
        <v>45233</v>
      </c>
      <c r="C98" s="1" t="n">
        <v>46196</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56717-2024</t>
        </is>
      </c>
      <c r="B99" s="1" t="n">
        <v>45628</v>
      </c>
      <c r="C99" s="1" t="n">
        <v>46196</v>
      </c>
      <c r="D99" t="inlineStr">
        <is>
          <t>GOTLANDS LÄN</t>
        </is>
      </c>
      <c r="E99" t="inlineStr">
        <is>
          <t>GOTLAND</t>
        </is>
      </c>
      <c r="G99" t="n">
        <v>9.699999999999999</v>
      </c>
      <c r="H99" t="n">
        <v>0</v>
      </c>
      <c r="I99" t="n">
        <v>1</v>
      </c>
      <c r="J99" t="n">
        <v>3</v>
      </c>
      <c r="K99" t="n">
        <v>0</v>
      </c>
      <c r="L99" t="n">
        <v>0</v>
      </c>
      <c r="M99" t="n">
        <v>0</v>
      </c>
      <c r="N99" t="n">
        <v>0</v>
      </c>
      <c r="O99" t="n">
        <v>3</v>
      </c>
      <c r="P99" t="n">
        <v>0</v>
      </c>
      <c r="Q99" t="n">
        <v>4</v>
      </c>
      <c r="R99" s="2" t="inlineStr">
        <is>
          <t>Fjällig taggsvamp s.str.
Kattfotslav
Odörspindling
Havstulpanlav</t>
        </is>
      </c>
      <c r="S99">
        <f>HYPERLINK("https://klasma.github.io/Logging_0980/artfynd/A 56717-2024 artfynd.xlsx", "A 56717-2024")</f>
        <v/>
      </c>
      <c r="T99">
        <f>HYPERLINK("https://klasma.github.io/Logging_0980/kartor/A 56717-2024 karta.png", "A 56717-2024")</f>
        <v/>
      </c>
      <c r="V99">
        <f>HYPERLINK("https://klasma.github.io/Logging_0980/klagomål/A 56717-2024 FSC-klagomål.docx", "A 56717-2024")</f>
        <v/>
      </c>
      <c r="W99">
        <f>HYPERLINK("https://klasma.github.io/Logging_0980/klagomålsmail/A 56717-2024 FSC-klagomål mail.docx", "A 56717-2024")</f>
        <v/>
      </c>
      <c r="X99">
        <f>HYPERLINK("https://klasma.github.io/Logging_0980/tillsyn/A 56717-2024 tillsynsbegäran.docx", "A 56717-2024")</f>
        <v/>
      </c>
      <c r="Y99">
        <f>HYPERLINK("https://klasma.github.io/Logging_0980/tillsynsmail/A 56717-2024 tillsynsbegäran mail.docx", "A 56717-2024")</f>
        <v/>
      </c>
    </row>
    <row r="100" ht="15" customHeight="1">
      <c r="A100" t="inlineStr">
        <is>
          <t>A 16997-2026</t>
        </is>
      </c>
      <c r="B100" s="1" t="n">
        <v>46114</v>
      </c>
      <c r="C100" s="1" t="n">
        <v>46196</v>
      </c>
      <c r="D100" t="inlineStr">
        <is>
          <t>GOTLANDS LÄN</t>
        </is>
      </c>
      <c r="E100" t="inlineStr">
        <is>
          <t>GOTLAND</t>
        </is>
      </c>
      <c r="G100" t="n">
        <v>0.7</v>
      </c>
      <c r="H100" t="n">
        <v>0</v>
      </c>
      <c r="I100" t="n">
        <v>3</v>
      </c>
      <c r="J100" t="n">
        <v>0</v>
      </c>
      <c r="K100" t="n">
        <v>0</v>
      </c>
      <c r="L100" t="n">
        <v>1</v>
      </c>
      <c r="M100" t="n">
        <v>0</v>
      </c>
      <c r="N100" t="n">
        <v>0</v>
      </c>
      <c r="O100" t="n">
        <v>1</v>
      </c>
      <c r="P100" t="n">
        <v>1</v>
      </c>
      <c r="Q100" t="n">
        <v>4</v>
      </c>
      <c r="R100" s="2" t="inlineStr">
        <is>
          <t>Ask
Hasselticka
Läderskål
Stubbspretmossa</t>
        </is>
      </c>
      <c r="S100">
        <f>HYPERLINK("https://klasma.github.io/Logging_0980/artfynd/A 16997-2026 artfynd.xlsx", "A 16997-2026")</f>
        <v/>
      </c>
      <c r="T100">
        <f>HYPERLINK("https://klasma.github.io/Logging_0980/kartor/A 16997-2026 karta.png", "A 16997-2026")</f>
        <v/>
      </c>
      <c r="V100">
        <f>HYPERLINK("https://klasma.github.io/Logging_0980/klagomål/A 16997-2026 FSC-klagomål.docx", "A 16997-2026")</f>
        <v/>
      </c>
      <c r="W100">
        <f>HYPERLINK("https://klasma.github.io/Logging_0980/klagomålsmail/A 16997-2026 FSC-klagomål mail.docx", "A 16997-2026")</f>
        <v/>
      </c>
      <c r="X100">
        <f>HYPERLINK("https://klasma.github.io/Logging_0980/tillsyn/A 16997-2026 tillsynsbegäran.docx", "A 16997-2026")</f>
        <v/>
      </c>
      <c r="Y100">
        <f>HYPERLINK("https://klasma.github.io/Logging_0980/tillsynsmail/A 16997-2026 tillsynsbegäran mail.docx", "A 16997-2026")</f>
        <v/>
      </c>
    </row>
    <row r="101" ht="15" customHeight="1">
      <c r="A101" t="inlineStr">
        <is>
          <t>A 6839-2026</t>
        </is>
      </c>
      <c r="B101" s="1" t="n">
        <v>46057</v>
      </c>
      <c r="C101" s="1" t="n">
        <v>46196</v>
      </c>
      <c r="D101" t="inlineStr">
        <is>
          <t>GOTLANDS LÄN</t>
        </is>
      </c>
      <c r="E101" t="inlineStr">
        <is>
          <t>GOTLAND</t>
        </is>
      </c>
      <c r="G101" t="n">
        <v>4.9</v>
      </c>
      <c r="H101" t="n">
        <v>0</v>
      </c>
      <c r="I101" t="n">
        <v>1</v>
      </c>
      <c r="J101" t="n">
        <v>0</v>
      </c>
      <c r="K101" t="n">
        <v>3</v>
      </c>
      <c r="L101" t="n">
        <v>0</v>
      </c>
      <c r="M101" t="n">
        <v>0</v>
      </c>
      <c r="N101" t="n">
        <v>0</v>
      </c>
      <c r="O101" t="n">
        <v>3</v>
      </c>
      <c r="P101" t="n">
        <v>3</v>
      </c>
      <c r="Q101" t="n">
        <v>4</v>
      </c>
      <c r="R101" s="2" t="inlineStr">
        <is>
          <t>Mörk kraterlav
Skogskorn
Ädellav
Besk kastanjemusseron</t>
        </is>
      </c>
      <c r="S101">
        <f>HYPERLINK("https://klasma.github.io/Logging_0980/artfynd/A 6839-2026 artfynd.xlsx", "A 6839-2026")</f>
        <v/>
      </c>
      <c r="T101">
        <f>HYPERLINK("https://klasma.github.io/Logging_0980/kartor/A 6839-2026 karta.png", "A 6839-2026")</f>
        <v/>
      </c>
      <c r="V101">
        <f>HYPERLINK("https://klasma.github.io/Logging_0980/klagomål/A 6839-2026 FSC-klagomål.docx", "A 6839-2026")</f>
        <v/>
      </c>
      <c r="W101">
        <f>HYPERLINK("https://klasma.github.io/Logging_0980/klagomålsmail/A 6839-2026 FSC-klagomål mail.docx", "A 6839-2026")</f>
        <v/>
      </c>
      <c r="X101">
        <f>HYPERLINK("https://klasma.github.io/Logging_0980/tillsyn/A 6839-2026 tillsynsbegäran.docx", "A 6839-2026")</f>
        <v/>
      </c>
      <c r="Y101">
        <f>HYPERLINK("https://klasma.github.io/Logging_0980/tillsynsmail/A 6839-2026 tillsynsbegäran mail.docx", "A 6839-2026")</f>
        <v/>
      </c>
    </row>
    <row r="102" ht="15" customHeight="1">
      <c r="A102" t="inlineStr">
        <is>
          <t>A 2485-2025</t>
        </is>
      </c>
      <c r="B102" s="1" t="n">
        <v>45673</v>
      </c>
      <c r="C102" s="1" t="n">
        <v>46196</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44304-2021</t>
        </is>
      </c>
      <c r="B103" s="1" t="n">
        <v>44434</v>
      </c>
      <c r="C103" s="1" t="n">
        <v>46196</v>
      </c>
      <c r="D103" t="inlineStr">
        <is>
          <t>GOTLANDS LÄN</t>
        </is>
      </c>
      <c r="E103" t="inlineStr">
        <is>
          <t>GOTLAND</t>
        </is>
      </c>
      <c r="G103" t="n">
        <v>5.8</v>
      </c>
      <c r="H103" t="n">
        <v>2</v>
      </c>
      <c r="I103" t="n">
        <v>0</v>
      </c>
      <c r="J103" t="n">
        <v>2</v>
      </c>
      <c r="K103" t="n">
        <v>0</v>
      </c>
      <c r="L103" t="n">
        <v>0</v>
      </c>
      <c r="M103" t="n">
        <v>0</v>
      </c>
      <c r="N103" t="n">
        <v>0</v>
      </c>
      <c r="O103" t="n">
        <v>2</v>
      </c>
      <c r="P103" t="n">
        <v>0</v>
      </c>
      <c r="Q103" t="n">
        <v>4</v>
      </c>
      <c r="R103" s="2" t="inlineStr">
        <is>
          <t>Majviva
Svinrot
Blåsippa
Nattviol</t>
        </is>
      </c>
      <c r="S103">
        <f>HYPERLINK("https://klasma.github.io/Logging_0980/artfynd/A 44304-2021 artfynd.xlsx", "A 44304-2021")</f>
        <v/>
      </c>
      <c r="T103">
        <f>HYPERLINK("https://klasma.github.io/Logging_0980/kartor/A 44304-2021 karta.png", "A 44304-2021")</f>
        <v/>
      </c>
      <c r="V103">
        <f>HYPERLINK("https://klasma.github.io/Logging_0980/klagomål/A 44304-2021 FSC-klagomål.docx", "A 44304-2021")</f>
        <v/>
      </c>
      <c r="W103">
        <f>HYPERLINK("https://klasma.github.io/Logging_0980/klagomålsmail/A 44304-2021 FSC-klagomål mail.docx", "A 44304-2021")</f>
        <v/>
      </c>
      <c r="X103">
        <f>HYPERLINK("https://klasma.github.io/Logging_0980/tillsyn/A 44304-2021 tillsynsbegäran.docx", "A 44304-2021")</f>
        <v/>
      </c>
      <c r="Y103">
        <f>HYPERLINK("https://klasma.github.io/Logging_0980/tillsynsmail/A 44304-2021 tillsynsbegäran mail.docx", "A 44304-2021")</f>
        <v/>
      </c>
    </row>
    <row r="104" ht="15" customHeight="1">
      <c r="A104" t="inlineStr">
        <is>
          <t>A 1273-2023</t>
        </is>
      </c>
      <c r="B104" s="1" t="n">
        <v>44936</v>
      </c>
      <c r="C104" s="1" t="n">
        <v>46196</v>
      </c>
      <c r="D104" t="inlineStr">
        <is>
          <t>GOTLANDS LÄN</t>
        </is>
      </c>
      <c r="E104" t="inlineStr">
        <is>
          <t>GOTLAND</t>
        </is>
      </c>
      <c r="G104" t="n">
        <v>4.5</v>
      </c>
      <c r="H104" t="n">
        <v>2</v>
      </c>
      <c r="I104" t="n">
        <v>1</v>
      </c>
      <c r="J104" t="n">
        <v>2</v>
      </c>
      <c r="K104" t="n">
        <v>1</v>
      </c>
      <c r="L104" t="n">
        <v>0</v>
      </c>
      <c r="M104" t="n">
        <v>0</v>
      </c>
      <c r="N104" t="n">
        <v>0</v>
      </c>
      <c r="O104" t="n">
        <v>3</v>
      </c>
      <c r="P104" t="n">
        <v>1</v>
      </c>
      <c r="Q104" t="n">
        <v>4</v>
      </c>
      <c r="R104" s="2" t="inlineStr">
        <is>
          <t>Garderönn
Svinrot
Vårärt
Skogsknipprot</t>
        </is>
      </c>
      <c r="S104">
        <f>HYPERLINK("https://klasma.github.io/Logging_0980/artfynd/A 1273-2023 artfynd.xlsx", "A 1273-2023")</f>
        <v/>
      </c>
      <c r="T104">
        <f>HYPERLINK("https://klasma.github.io/Logging_0980/kartor/A 1273-2023 karta.png", "A 1273-2023")</f>
        <v/>
      </c>
      <c r="V104">
        <f>HYPERLINK("https://klasma.github.io/Logging_0980/klagomål/A 1273-2023 FSC-klagomål.docx", "A 1273-2023")</f>
        <v/>
      </c>
      <c r="W104">
        <f>HYPERLINK("https://klasma.github.io/Logging_0980/klagomålsmail/A 1273-2023 FSC-klagomål mail.docx", "A 1273-2023")</f>
        <v/>
      </c>
      <c r="X104">
        <f>HYPERLINK("https://klasma.github.io/Logging_0980/tillsyn/A 1273-2023 tillsynsbegäran.docx", "A 1273-2023")</f>
        <v/>
      </c>
      <c r="Y104">
        <f>HYPERLINK("https://klasma.github.io/Logging_0980/tillsynsmail/A 1273-2023 tillsynsbegäran mail.docx", "A 1273-2023")</f>
        <v/>
      </c>
    </row>
    <row r="105" ht="15" customHeight="1">
      <c r="A105" t="inlineStr">
        <is>
          <t>A 61100-2022</t>
        </is>
      </c>
      <c r="B105" s="1" t="n">
        <v>44915</v>
      </c>
      <c r="C105" s="1" t="n">
        <v>46196</v>
      </c>
      <c r="D105" t="inlineStr">
        <is>
          <t>GOTLANDS LÄN</t>
        </is>
      </c>
      <c r="E105" t="inlineStr">
        <is>
          <t>GOTLAND</t>
        </is>
      </c>
      <c r="G105" t="n">
        <v>1.4</v>
      </c>
      <c r="H105" t="n">
        <v>3</v>
      </c>
      <c r="I105" t="n">
        <v>0</v>
      </c>
      <c r="J105" t="n">
        <v>2</v>
      </c>
      <c r="K105" t="n">
        <v>1</v>
      </c>
      <c r="L105" t="n">
        <v>0</v>
      </c>
      <c r="M105" t="n">
        <v>0</v>
      </c>
      <c r="N105" t="n">
        <v>0</v>
      </c>
      <c r="O105" t="n">
        <v>3</v>
      </c>
      <c r="P105" t="n">
        <v>1</v>
      </c>
      <c r="Q105" t="n">
        <v>4</v>
      </c>
      <c r="R105" s="2" t="inlineStr">
        <is>
          <t>Garderönn
Dårgräsfjäril
Solvända
Gullviva</t>
        </is>
      </c>
      <c r="S105">
        <f>HYPERLINK("https://klasma.github.io/Logging_0980/artfynd/A 61100-2022 artfynd.xlsx", "A 61100-2022")</f>
        <v/>
      </c>
      <c r="T105">
        <f>HYPERLINK("https://klasma.github.io/Logging_0980/kartor/A 61100-2022 karta.png", "A 61100-2022")</f>
        <v/>
      </c>
      <c r="V105">
        <f>HYPERLINK("https://klasma.github.io/Logging_0980/klagomål/A 61100-2022 FSC-klagomål.docx", "A 61100-2022")</f>
        <v/>
      </c>
      <c r="W105">
        <f>HYPERLINK("https://klasma.github.io/Logging_0980/klagomålsmail/A 61100-2022 FSC-klagomål mail.docx", "A 61100-2022")</f>
        <v/>
      </c>
      <c r="X105">
        <f>HYPERLINK("https://klasma.github.io/Logging_0980/tillsyn/A 61100-2022 tillsynsbegäran.docx", "A 61100-2022")</f>
        <v/>
      </c>
      <c r="Y105">
        <f>HYPERLINK("https://klasma.github.io/Logging_0980/tillsynsmail/A 61100-2022 tillsynsbegäran mail.docx", "A 61100-2022")</f>
        <v/>
      </c>
    </row>
    <row r="106" ht="15" customHeight="1">
      <c r="A106" t="inlineStr">
        <is>
          <t>A 37591-2023</t>
        </is>
      </c>
      <c r="B106" s="1" t="n">
        <v>45159</v>
      </c>
      <c r="C106" s="1" t="n">
        <v>46196</v>
      </c>
      <c r="D106" t="inlineStr">
        <is>
          <t>GOTLANDS LÄN</t>
        </is>
      </c>
      <c r="E106" t="inlineStr">
        <is>
          <t>GOTLAND</t>
        </is>
      </c>
      <c r="G106" t="n">
        <v>8.300000000000001</v>
      </c>
      <c r="H106" t="n">
        <v>1</v>
      </c>
      <c r="I106" t="n">
        <v>0</v>
      </c>
      <c r="J106" t="n">
        <v>3</v>
      </c>
      <c r="K106" t="n">
        <v>0</v>
      </c>
      <c r="L106" t="n">
        <v>0</v>
      </c>
      <c r="M106" t="n">
        <v>0</v>
      </c>
      <c r="N106" t="n">
        <v>0</v>
      </c>
      <c r="O106" t="n">
        <v>3</v>
      </c>
      <c r="P106" t="n">
        <v>0</v>
      </c>
      <c r="Q106" t="n">
        <v>4</v>
      </c>
      <c r="R106" s="2" t="inlineStr">
        <is>
          <t>Bergjohannesört
Solvända
Ängsstarr
Vanlig snok</t>
        </is>
      </c>
      <c r="S106">
        <f>HYPERLINK("https://klasma.github.io/Logging_0980/artfynd/A 37591-2023 artfynd.xlsx", "A 37591-2023")</f>
        <v/>
      </c>
      <c r="T106">
        <f>HYPERLINK("https://klasma.github.io/Logging_0980/kartor/A 37591-2023 karta.png", "A 37591-2023")</f>
        <v/>
      </c>
      <c r="V106">
        <f>HYPERLINK("https://klasma.github.io/Logging_0980/klagomål/A 37591-2023 FSC-klagomål.docx", "A 37591-2023")</f>
        <v/>
      </c>
      <c r="W106">
        <f>HYPERLINK("https://klasma.github.io/Logging_0980/klagomålsmail/A 37591-2023 FSC-klagomål mail.docx", "A 37591-2023")</f>
        <v/>
      </c>
      <c r="X106">
        <f>HYPERLINK("https://klasma.github.io/Logging_0980/tillsyn/A 37591-2023 tillsynsbegäran.docx", "A 37591-2023")</f>
        <v/>
      </c>
      <c r="Y106">
        <f>HYPERLINK("https://klasma.github.io/Logging_0980/tillsynsmail/A 37591-2023 tillsynsbegäran mail.docx", "A 37591-2023")</f>
        <v/>
      </c>
    </row>
    <row r="107" ht="15" customHeight="1">
      <c r="A107" t="inlineStr">
        <is>
          <t>A 32666-2021</t>
        </is>
      </c>
      <c r="B107" s="1" t="n">
        <v>44375</v>
      </c>
      <c r="C107" s="1" t="n">
        <v>46196</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46196</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46196</v>
      </c>
      <c r="D109" t="inlineStr">
        <is>
          <t>GOTLANDS LÄN</t>
        </is>
      </c>
      <c r="E109" t="inlineStr">
        <is>
          <t>GOTLAND</t>
        </is>
      </c>
      <c r="G109" t="n">
        <v>9.300000000000001</v>
      </c>
      <c r="H109" t="n">
        <v>0</v>
      </c>
      <c r="I109" t="n">
        <v>1</v>
      </c>
      <c r="J109" t="n">
        <v>1</v>
      </c>
      <c r="K109" t="n">
        <v>1</v>
      </c>
      <c r="L109" t="n">
        <v>0</v>
      </c>
      <c r="M109" t="n">
        <v>0</v>
      </c>
      <c r="N109" t="n">
        <v>0</v>
      </c>
      <c r="O109" t="n">
        <v>2</v>
      </c>
      <c r="P109" t="n">
        <v>1</v>
      </c>
      <c r="Q109" t="n">
        <v>3</v>
      </c>
      <c r="R109" s="2" t="inlineStr">
        <is>
          <t>Violettfläckig spindling
Blå slemspindling
Anisspindling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10440-2024</t>
        </is>
      </c>
      <c r="B110" s="1" t="n">
        <v>45366</v>
      </c>
      <c r="C110" s="1" t="n">
        <v>46196</v>
      </c>
      <c r="D110" t="inlineStr">
        <is>
          <t>GOTLANDS LÄN</t>
        </is>
      </c>
      <c r="E110" t="inlineStr">
        <is>
          <t>GOTLAND</t>
        </is>
      </c>
      <c r="G110" t="n">
        <v>2.5</v>
      </c>
      <c r="H110" t="n">
        <v>2</v>
      </c>
      <c r="I110" t="n">
        <v>1</v>
      </c>
      <c r="J110" t="n">
        <v>1</v>
      </c>
      <c r="K110" t="n">
        <v>0</v>
      </c>
      <c r="L110" t="n">
        <v>0</v>
      </c>
      <c r="M110" t="n">
        <v>0</v>
      </c>
      <c r="N110" t="n">
        <v>0</v>
      </c>
      <c r="O110" t="n">
        <v>1</v>
      </c>
      <c r="P110" t="n">
        <v>0</v>
      </c>
      <c r="Q110" t="n">
        <v>3</v>
      </c>
      <c r="R110" s="2" t="inlineStr">
        <is>
          <t>Mindre hackspett
Blåmossa
Blåsippa</t>
        </is>
      </c>
      <c r="S110">
        <f>HYPERLINK("https://klasma.github.io/Logging_0980/artfynd/A 10440-2024 artfynd.xlsx", "A 10440-2024")</f>
        <v/>
      </c>
      <c r="T110">
        <f>HYPERLINK("https://klasma.github.io/Logging_0980/kartor/A 10440-2024 karta.png", "A 10440-2024")</f>
        <v/>
      </c>
      <c r="V110">
        <f>HYPERLINK("https://klasma.github.io/Logging_0980/klagomål/A 10440-2024 FSC-klagomål.docx", "A 10440-2024")</f>
        <v/>
      </c>
      <c r="W110">
        <f>HYPERLINK("https://klasma.github.io/Logging_0980/klagomålsmail/A 10440-2024 FSC-klagomål mail.docx", "A 10440-2024")</f>
        <v/>
      </c>
      <c r="X110">
        <f>HYPERLINK("https://klasma.github.io/Logging_0980/tillsyn/A 10440-2024 tillsynsbegäran.docx", "A 10440-2024")</f>
        <v/>
      </c>
      <c r="Y110">
        <f>HYPERLINK("https://klasma.github.io/Logging_0980/tillsynsmail/A 10440-2024 tillsynsbegäran mail.docx", "A 10440-2024")</f>
        <v/>
      </c>
      <c r="Z110">
        <f>HYPERLINK("https://klasma.github.io/Logging_0980/fåglar/A 10440-2024 prioriterade fågelarter.docx", "A 10440-2024")</f>
        <v/>
      </c>
    </row>
    <row r="111" ht="15" customHeight="1">
      <c r="A111" t="inlineStr">
        <is>
          <t>A 13499-2022</t>
        </is>
      </c>
      <c r="B111" s="1" t="n">
        <v>44647</v>
      </c>
      <c r="C111" s="1" t="n">
        <v>46196</v>
      </c>
      <c r="D111" t="inlineStr">
        <is>
          <t>GOTLANDS LÄN</t>
        </is>
      </c>
      <c r="E111" t="inlineStr">
        <is>
          <t>GOTLAND</t>
        </is>
      </c>
      <c r="G111" t="n">
        <v>6.8</v>
      </c>
      <c r="H111" t="n">
        <v>3</v>
      </c>
      <c r="I111" t="n">
        <v>0</v>
      </c>
      <c r="J111" t="n">
        <v>0</v>
      </c>
      <c r="K111" t="n">
        <v>0</v>
      </c>
      <c r="L111" t="n">
        <v>0</v>
      </c>
      <c r="M111" t="n">
        <v>0</v>
      </c>
      <c r="N111" t="n">
        <v>0</v>
      </c>
      <c r="O111" t="n">
        <v>0</v>
      </c>
      <c r="P111" t="n">
        <v>0</v>
      </c>
      <c r="Q111" t="n">
        <v>3</v>
      </c>
      <c r="R111" s="2" t="inlineStr">
        <is>
          <t>Blåsippa
Spillkråka
Sankt pers nycklar</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v>
      </c>
      <c r="C112" s="1" t="n">
        <v>46196</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34312-2024</t>
        </is>
      </c>
      <c r="B113" s="1" t="n">
        <v>45524</v>
      </c>
      <c r="C113" s="1" t="n">
        <v>46196</v>
      </c>
      <c r="D113" t="inlineStr">
        <is>
          <t>GOTLANDS LÄN</t>
        </is>
      </c>
      <c r="E113" t="inlineStr">
        <is>
          <t>GOTLAND</t>
        </is>
      </c>
      <c r="G113" t="n">
        <v>2</v>
      </c>
      <c r="H113" t="n">
        <v>1</v>
      </c>
      <c r="I113" t="n">
        <v>0</v>
      </c>
      <c r="J113" t="n">
        <v>2</v>
      </c>
      <c r="K113" t="n">
        <v>0</v>
      </c>
      <c r="L113" t="n">
        <v>0</v>
      </c>
      <c r="M113" t="n">
        <v>0</v>
      </c>
      <c r="N113" t="n">
        <v>0</v>
      </c>
      <c r="O113" t="n">
        <v>2</v>
      </c>
      <c r="P113" t="n">
        <v>0</v>
      </c>
      <c r="Q113" t="n">
        <v>3</v>
      </c>
      <c r="R113" s="2" t="inlineStr">
        <is>
          <t>Svinrot
Ängsstarr
Sankt pers nycklar</t>
        </is>
      </c>
      <c r="S113">
        <f>HYPERLINK("https://klasma.github.io/Logging_0980/artfynd/A 34312-2024 artfynd.xlsx", "A 34312-2024")</f>
        <v/>
      </c>
      <c r="T113">
        <f>HYPERLINK("https://klasma.github.io/Logging_0980/kartor/A 34312-2024 karta.png", "A 34312-2024")</f>
        <v/>
      </c>
      <c r="V113">
        <f>HYPERLINK("https://klasma.github.io/Logging_0980/klagomål/A 34312-2024 FSC-klagomål.docx", "A 34312-2024")</f>
        <v/>
      </c>
      <c r="W113">
        <f>HYPERLINK("https://klasma.github.io/Logging_0980/klagomålsmail/A 34312-2024 FSC-klagomål mail.docx", "A 34312-2024")</f>
        <v/>
      </c>
      <c r="X113">
        <f>HYPERLINK("https://klasma.github.io/Logging_0980/tillsyn/A 34312-2024 tillsynsbegäran.docx", "A 34312-2024")</f>
        <v/>
      </c>
      <c r="Y113">
        <f>HYPERLINK("https://klasma.github.io/Logging_0980/tillsynsmail/A 34312-2024 tillsynsbegäran mail.docx", "A 34312-2024")</f>
        <v/>
      </c>
    </row>
    <row r="114" ht="15" customHeight="1">
      <c r="A114" t="inlineStr">
        <is>
          <t>A 19322-2026</t>
        </is>
      </c>
      <c r="B114" s="1" t="n">
        <v>46129</v>
      </c>
      <c r="C114" s="1" t="n">
        <v>46196</v>
      </c>
      <c r="D114" t="inlineStr">
        <is>
          <t>GOTLANDS LÄN</t>
        </is>
      </c>
      <c r="E114" t="inlineStr">
        <is>
          <t>GOTLAND</t>
        </is>
      </c>
      <c r="G114" t="n">
        <v>1</v>
      </c>
      <c r="H114" t="n">
        <v>2</v>
      </c>
      <c r="I114" t="n">
        <v>1</v>
      </c>
      <c r="J114" t="n">
        <v>2</v>
      </c>
      <c r="K114" t="n">
        <v>0</v>
      </c>
      <c r="L114" t="n">
        <v>0</v>
      </c>
      <c r="M114" t="n">
        <v>0</v>
      </c>
      <c r="N114" t="n">
        <v>0</v>
      </c>
      <c r="O114" t="n">
        <v>2</v>
      </c>
      <c r="P114" t="n">
        <v>0</v>
      </c>
      <c r="Q114" t="n">
        <v>3</v>
      </c>
      <c r="R114" s="2" t="inlineStr">
        <is>
          <t>Gulsparv
Svinrot
Tvåblad</t>
        </is>
      </c>
      <c r="S114">
        <f>HYPERLINK("https://klasma.github.io/Logging_0980/artfynd/A 19322-2026 artfynd.xlsx", "A 19322-2026")</f>
        <v/>
      </c>
      <c r="T114">
        <f>HYPERLINK("https://klasma.github.io/Logging_0980/kartor/A 19322-2026 karta.png", "A 19322-2026")</f>
        <v/>
      </c>
      <c r="V114">
        <f>HYPERLINK("https://klasma.github.io/Logging_0980/klagomål/A 19322-2026 FSC-klagomål.docx", "A 19322-2026")</f>
        <v/>
      </c>
      <c r="W114">
        <f>HYPERLINK("https://klasma.github.io/Logging_0980/klagomålsmail/A 19322-2026 FSC-klagomål mail.docx", "A 19322-2026")</f>
        <v/>
      </c>
      <c r="X114">
        <f>HYPERLINK("https://klasma.github.io/Logging_0980/tillsyn/A 19322-2026 tillsynsbegäran.docx", "A 19322-2026")</f>
        <v/>
      </c>
      <c r="Y114">
        <f>HYPERLINK("https://klasma.github.io/Logging_0980/tillsynsmail/A 19322-2026 tillsynsbegäran mail.docx", "A 19322-2026")</f>
        <v/>
      </c>
      <c r="Z114">
        <f>HYPERLINK("https://klasma.github.io/Logging_0980/fåglar/A 19322-2026 prioriterade fågelarter.docx", "A 19322-2026")</f>
        <v/>
      </c>
    </row>
    <row r="115" ht="15" customHeight="1">
      <c r="A115" t="inlineStr">
        <is>
          <t>A 7625-2026</t>
        </is>
      </c>
      <c r="B115" s="1" t="n">
        <v>46062</v>
      </c>
      <c r="C115" s="1" t="n">
        <v>46196</v>
      </c>
      <c r="D115" t="inlineStr">
        <is>
          <t>GOTLANDS LÄN</t>
        </is>
      </c>
      <c r="E115" t="inlineStr">
        <is>
          <t>GOTLAND</t>
        </is>
      </c>
      <c r="G115" t="n">
        <v>2.1</v>
      </c>
      <c r="H115" t="n">
        <v>0</v>
      </c>
      <c r="I115" t="n">
        <v>0</v>
      </c>
      <c r="J115" t="n">
        <v>3</v>
      </c>
      <c r="K115" t="n">
        <v>0</v>
      </c>
      <c r="L115" t="n">
        <v>0</v>
      </c>
      <c r="M115" t="n">
        <v>0</v>
      </c>
      <c r="N115" t="n">
        <v>0</v>
      </c>
      <c r="O115" t="n">
        <v>3</v>
      </c>
      <c r="P115" t="n">
        <v>0</v>
      </c>
      <c r="Q115" t="n">
        <v>3</v>
      </c>
      <c r="R115" s="2" t="inlineStr">
        <is>
          <t>Backstarr
Backtimjan
Solvända</t>
        </is>
      </c>
      <c r="S115">
        <f>HYPERLINK("https://klasma.github.io/Logging_0980/artfynd/A 7625-2026 artfynd.xlsx", "A 7625-2026")</f>
        <v/>
      </c>
      <c r="T115">
        <f>HYPERLINK("https://klasma.github.io/Logging_0980/kartor/A 7625-2026 karta.png", "A 7625-2026")</f>
        <v/>
      </c>
      <c r="V115">
        <f>HYPERLINK("https://klasma.github.io/Logging_0980/klagomål/A 7625-2026 FSC-klagomål.docx", "A 7625-2026")</f>
        <v/>
      </c>
      <c r="W115">
        <f>HYPERLINK("https://klasma.github.io/Logging_0980/klagomålsmail/A 7625-2026 FSC-klagomål mail.docx", "A 7625-2026")</f>
        <v/>
      </c>
      <c r="X115">
        <f>HYPERLINK("https://klasma.github.io/Logging_0980/tillsyn/A 7625-2026 tillsynsbegäran.docx", "A 7625-2026")</f>
        <v/>
      </c>
      <c r="Y115">
        <f>HYPERLINK("https://klasma.github.io/Logging_0980/tillsynsmail/A 7625-2026 tillsynsbegäran mail.docx", "A 7625-2026")</f>
        <v/>
      </c>
    </row>
    <row r="116" ht="15" customHeight="1">
      <c r="A116" t="inlineStr">
        <is>
          <t>A 26992-2026</t>
        </is>
      </c>
      <c r="B116" s="1" t="n">
        <v>46185</v>
      </c>
      <c r="C116" s="1" t="n">
        <v>46196</v>
      </c>
      <c r="D116" t="inlineStr">
        <is>
          <t>GOTLANDS LÄN</t>
        </is>
      </c>
      <c r="E116" t="inlineStr">
        <is>
          <t>GOTLAND</t>
        </is>
      </c>
      <c r="G116" t="n">
        <v>0.8</v>
      </c>
      <c r="H116" t="n">
        <v>2</v>
      </c>
      <c r="I116" t="n">
        <v>1</v>
      </c>
      <c r="J116" t="n">
        <v>1</v>
      </c>
      <c r="K116" t="n">
        <v>0</v>
      </c>
      <c r="L116" t="n">
        <v>0</v>
      </c>
      <c r="M116" t="n">
        <v>0</v>
      </c>
      <c r="N116" t="n">
        <v>0</v>
      </c>
      <c r="O116" t="n">
        <v>1</v>
      </c>
      <c r="P116" t="n">
        <v>0</v>
      </c>
      <c r="Q116" t="n">
        <v>3</v>
      </c>
      <c r="R116" s="2" t="inlineStr">
        <is>
          <t>Svinrot
Nästrot
Blåsippa</t>
        </is>
      </c>
      <c r="S116">
        <f>HYPERLINK("https://klasma.github.io/Logging_0980/artfynd/A 26992-2026 artfynd.xlsx", "A 26992-2026")</f>
        <v/>
      </c>
      <c r="T116">
        <f>HYPERLINK("https://klasma.github.io/Logging_0980/kartor/A 26992-2026 karta.png", "A 26992-2026")</f>
        <v/>
      </c>
      <c r="V116">
        <f>HYPERLINK("https://klasma.github.io/Logging_0980/klagomål/A 26992-2026 FSC-klagomål.docx", "A 26992-2026")</f>
        <v/>
      </c>
      <c r="W116">
        <f>HYPERLINK("https://klasma.github.io/Logging_0980/klagomålsmail/A 26992-2026 FSC-klagomål mail.docx", "A 26992-2026")</f>
        <v/>
      </c>
      <c r="X116">
        <f>HYPERLINK("https://klasma.github.io/Logging_0980/tillsyn/A 26992-2026 tillsynsbegäran.docx", "A 26992-2026")</f>
        <v/>
      </c>
      <c r="Y116">
        <f>HYPERLINK("https://klasma.github.io/Logging_0980/tillsynsmail/A 26992-2026 tillsynsbegäran mail.docx", "A 26992-2026")</f>
        <v/>
      </c>
    </row>
    <row r="117" ht="15" customHeight="1">
      <c r="A117" t="inlineStr">
        <is>
          <t>A 65927-2021</t>
        </is>
      </c>
      <c r="B117" s="1" t="n">
        <v>44516</v>
      </c>
      <c r="C117" s="1" t="n">
        <v>46196</v>
      </c>
      <c r="D117" t="inlineStr">
        <is>
          <t>GOTLANDS LÄN</t>
        </is>
      </c>
      <c r="E117" t="inlineStr">
        <is>
          <t>GOTLAND</t>
        </is>
      </c>
      <c r="G117" t="n">
        <v>3.1</v>
      </c>
      <c r="H117" t="n">
        <v>2</v>
      </c>
      <c r="I117" t="n">
        <v>0</v>
      </c>
      <c r="J117" t="n">
        <v>2</v>
      </c>
      <c r="K117" t="n">
        <v>0</v>
      </c>
      <c r="L117" t="n">
        <v>0</v>
      </c>
      <c r="M117" t="n">
        <v>0</v>
      </c>
      <c r="N117" t="n">
        <v>0</v>
      </c>
      <c r="O117" t="n">
        <v>2</v>
      </c>
      <c r="P117" t="n">
        <v>0</v>
      </c>
      <c r="Q117" t="n">
        <v>3</v>
      </c>
      <c r="R117" s="2" t="inlineStr">
        <is>
          <t>Grenigt kungsljus
Åkerkulla
Gullviva</t>
        </is>
      </c>
      <c r="S117">
        <f>HYPERLINK("https://klasma.github.io/Logging_0980/artfynd/A 65927-2021 artfynd.xlsx", "A 65927-2021")</f>
        <v/>
      </c>
      <c r="T117">
        <f>HYPERLINK("https://klasma.github.io/Logging_0980/kartor/A 65927-2021 karta.png", "A 65927-2021")</f>
        <v/>
      </c>
      <c r="V117">
        <f>HYPERLINK("https://klasma.github.io/Logging_0980/klagomål/A 65927-2021 FSC-klagomål.docx", "A 65927-2021")</f>
        <v/>
      </c>
      <c r="W117">
        <f>HYPERLINK("https://klasma.github.io/Logging_0980/klagomålsmail/A 65927-2021 FSC-klagomål mail.docx", "A 65927-2021")</f>
        <v/>
      </c>
      <c r="X117">
        <f>HYPERLINK("https://klasma.github.io/Logging_0980/tillsyn/A 65927-2021 tillsynsbegäran.docx", "A 65927-2021")</f>
        <v/>
      </c>
      <c r="Y117">
        <f>HYPERLINK("https://klasma.github.io/Logging_0980/tillsynsmail/A 65927-2021 tillsynsbegäran mail.docx", "A 65927-2021")</f>
        <v/>
      </c>
    </row>
    <row r="118" ht="15" customHeight="1">
      <c r="A118" t="inlineStr">
        <is>
          <t>A 61561-2023</t>
        </is>
      </c>
      <c r="B118" s="1" t="n">
        <v>45265</v>
      </c>
      <c r="C118" s="1" t="n">
        <v>46196</v>
      </c>
      <c r="D118" t="inlineStr">
        <is>
          <t>GOTLANDS LÄN</t>
        </is>
      </c>
      <c r="E118" t="inlineStr">
        <is>
          <t>GOTLAND</t>
        </is>
      </c>
      <c r="G118" t="n">
        <v>7.4</v>
      </c>
      <c r="H118" t="n">
        <v>0</v>
      </c>
      <c r="I118" t="n">
        <v>0</v>
      </c>
      <c r="J118" t="n">
        <v>3</v>
      </c>
      <c r="K118" t="n">
        <v>0</v>
      </c>
      <c r="L118" t="n">
        <v>0</v>
      </c>
      <c r="M118" t="n">
        <v>0</v>
      </c>
      <c r="N118" t="n">
        <v>0</v>
      </c>
      <c r="O118" t="n">
        <v>3</v>
      </c>
      <c r="P118" t="n">
        <v>0</v>
      </c>
      <c r="Q118" t="n">
        <v>3</v>
      </c>
      <c r="R118" s="2" t="inlineStr">
        <is>
          <t>Jordtistel
Loppstarr
Solvända</t>
        </is>
      </c>
      <c r="S118">
        <f>HYPERLINK("https://klasma.github.io/Logging_0980/artfynd/A 61561-2023 artfynd.xlsx", "A 61561-2023")</f>
        <v/>
      </c>
      <c r="T118">
        <f>HYPERLINK("https://klasma.github.io/Logging_0980/kartor/A 61561-2023 karta.png", "A 61561-2023")</f>
        <v/>
      </c>
      <c r="V118">
        <f>HYPERLINK("https://klasma.github.io/Logging_0980/klagomål/A 61561-2023 FSC-klagomål.docx", "A 61561-2023")</f>
        <v/>
      </c>
      <c r="W118">
        <f>HYPERLINK("https://klasma.github.io/Logging_0980/klagomålsmail/A 61561-2023 FSC-klagomål mail.docx", "A 61561-2023")</f>
        <v/>
      </c>
      <c r="X118">
        <f>HYPERLINK("https://klasma.github.io/Logging_0980/tillsyn/A 61561-2023 tillsynsbegäran.docx", "A 61561-2023")</f>
        <v/>
      </c>
      <c r="Y118">
        <f>HYPERLINK("https://klasma.github.io/Logging_0980/tillsynsmail/A 61561-2023 tillsynsbegäran mail.docx", "A 61561-2023")</f>
        <v/>
      </c>
    </row>
    <row r="119" ht="15" customHeight="1">
      <c r="A119" t="inlineStr">
        <is>
          <t>A 54357-2024</t>
        </is>
      </c>
      <c r="B119" s="1" t="n">
        <v>45617</v>
      </c>
      <c r="C119" s="1" t="n">
        <v>46196</v>
      </c>
      <c r="D119" t="inlineStr">
        <is>
          <t>GOTLANDS LÄN</t>
        </is>
      </c>
      <c r="E119" t="inlineStr">
        <is>
          <t>GOTLAND</t>
        </is>
      </c>
      <c r="G119" t="n">
        <v>1.5</v>
      </c>
      <c r="H119" t="n">
        <v>1</v>
      </c>
      <c r="I119" t="n">
        <v>1</v>
      </c>
      <c r="J119" t="n">
        <v>1</v>
      </c>
      <c r="K119" t="n">
        <v>0</v>
      </c>
      <c r="L119" t="n">
        <v>0</v>
      </c>
      <c r="M119" t="n">
        <v>0</v>
      </c>
      <c r="N119" t="n">
        <v>0</v>
      </c>
      <c r="O119" t="n">
        <v>1</v>
      </c>
      <c r="P119" t="n">
        <v>0</v>
      </c>
      <c r="Q119" t="n">
        <v>3</v>
      </c>
      <c r="R119" s="2" t="inlineStr">
        <is>
          <t>Loppstarr
Grov fjädermossa
Fläcknycklar</t>
        </is>
      </c>
      <c r="S119">
        <f>HYPERLINK("https://klasma.github.io/Logging_0980/artfynd/A 54357-2024 artfynd.xlsx", "A 54357-2024")</f>
        <v/>
      </c>
      <c r="T119">
        <f>HYPERLINK("https://klasma.github.io/Logging_0980/kartor/A 54357-2024 karta.png", "A 54357-2024")</f>
        <v/>
      </c>
      <c r="V119">
        <f>HYPERLINK("https://klasma.github.io/Logging_0980/klagomål/A 54357-2024 FSC-klagomål.docx", "A 54357-2024")</f>
        <v/>
      </c>
      <c r="W119">
        <f>HYPERLINK("https://klasma.github.io/Logging_0980/klagomålsmail/A 54357-2024 FSC-klagomål mail.docx", "A 54357-2024")</f>
        <v/>
      </c>
      <c r="X119">
        <f>HYPERLINK("https://klasma.github.io/Logging_0980/tillsyn/A 54357-2024 tillsynsbegäran.docx", "A 54357-2024")</f>
        <v/>
      </c>
      <c r="Y119">
        <f>HYPERLINK("https://klasma.github.io/Logging_0980/tillsynsmail/A 54357-2024 tillsynsbegäran mail.docx", "A 54357-2024")</f>
        <v/>
      </c>
    </row>
    <row r="120" ht="15" customHeight="1">
      <c r="A120" t="inlineStr">
        <is>
          <t>A 17975-2024</t>
        </is>
      </c>
      <c r="B120" s="1" t="n">
        <v>45419</v>
      </c>
      <c r="C120" s="1" t="n">
        <v>46196</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2476-2025</t>
        </is>
      </c>
      <c r="B121" s="1" t="n">
        <v>45673</v>
      </c>
      <c r="C121" s="1" t="n">
        <v>46196</v>
      </c>
      <c r="D121" t="inlineStr">
        <is>
          <t>GOTLANDS LÄN</t>
        </is>
      </c>
      <c r="E121" t="inlineStr">
        <is>
          <t>GOTLAND</t>
        </is>
      </c>
      <c r="G121" t="n">
        <v>3.1</v>
      </c>
      <c r="H121" t="n">
        <v>0</v>
      </c>
      <c r="I121" t="n">
        <v>1</v>
      </c>
      <c r="J121" t="n">
        <v>2</v>
      </c>
      <c r="K121" t="n">
        <v>0</v>
      </c>
      <c r="L121" t="n">
        <v>0</v>
      </c>
      <c r="M121" t="n">
        <v>0</v>
      </c>
      <c r="N121" t="n">
        <v>0</v>
      </c>
      <c r="O121" t="n">
        <v>2</v>
      </c>
      <c r="P121" t="n">
        <v>0</v>
      </c>
      <c r="Q121" t="n">
        <v>3</v>
      </c>
      <c r="R121" s="2" t="inlineStr">
        <is>
          <t>Barrviolspindling
Kryddspindling
Strimspindling</t>
        </is>
      </c>
      <c r="S121">
        <f>HYPERLINK("https://klasma.github.io/Logging_0980/artfynd/A 2476-2025 artfynd.xlsx", "A 2476-2025")</f>
        <v/>
      </c>
      <c r="T121">
        <f>HYPERLINK("https://klasma.github.io/Logging_0980/kartor/A 2476-2025 karta.png", "A 2476-2025")</f>
        <v/>
      </c>
      <c r="V121">
        <f>HYPERLINK("https://klasma.github.io/Logging_0980/klagomål/A 2476-2025 FSC-klagomål.docx", "A 2476-2025")</f>
        <v/>
      </c>
      <c r="W121">
        <f>HYPERLINK("https://klasma.github.io/Logging_0980/klagomålsmail/A 2476-2025 FSC-klagomål mail.docx", "A 2476-2025")</f>
        <v/>
      </c>
      <c r="X121">
        <f>HYPERLINK("https://klasma.github.io/Logging_0980/tillsyn/A 2476-2025 tillsynsbegäran.docx", "A 2476-2025")</f>
        <v/>
      </c>
      <c r="Y121">
        <f>HYPERLINK("https://klasma.github.io/Logging_0980/tillsynsmail/A 2476-2025 tillsynsbegäran mail.docx", "A 2476-2025")</f>
        <v/>
      </c>
    </row>
    <row r="122" ht="15" customHeight="1">
      <c r="A122" t="inlineStr">
        <is>
          <t>A 17982-2023</t>
        </is>
      </c>
      <c r="B122" s="1" t="n">
        <v>45040</v>
      </c>
      <c r="C122" s="1" t="n">
        <v>46196</v>
      </c>
      <c r="D122" t="inlineStr">
        <is>
          <t>GOTLANDS LÄN</t>
        </is>
      </c>
      <c r="E122" t="inlineStr">
        <is>
          <t>GOTLAND</t>
        </is>
      </c>
      <c r="G122" t="n">
        <v>2.2</v>
      </c>
      <c r="H122" t="n">
        <v>0</v>
      </c>
      <c r="I122" t="n">
        <v>0</v>
      </c>
      <c r="J122" t="n">
        <v>2</v>
      </c>
      <c r="K122" t="n">
        <v>0</v>
      </c>
      <c r="L122" t="n">
        <v>1</v>
      </c>
      <c r="M122" t="n">
        <v>0</v>
      </c>
      <c r="N122" t="n">
        <v>0</v>
      </c>
      <c r="O122" t="n">
        <v>3</v>
      </c>
      <c r="P122" t="n">
        <v>1</v>
      </c>
      <c r="Q122" t="n">
        <v>3</v>
      </c>
      <c r="R122" s="2" t="inlineStr">
        <is>
          <t>Lundalm
Krusfrö
Ängsskära</t>
        </is>
      </c>
      <c r="S122">
        <f>HYPERLINK("https://klasma.github.io/Logging_0980/artfynd/A 17982-2023 artfynd.xlsx", "A 17982-2023")</f>
        <v/>
      </c>
      <c r="T122">
        <f>HYPERLINK("https://klasma.github.io/Logging_0980/kartor/A 17982-2023 karta.png", "A 17982-2023")</f>
        <v/>
      </c>
      <c r="V122">
        <f>HYPERLINK("https://klasma.github.io/Logging_0980/klagomål/A 17982-2023 FSC-klagomål.docx", "A 17982-2023")</f>
        <v/>
      </c>
      <c r="W122">
        <f>HYPERLINK("https://klasma.github.io/Logging_0980/klagomålsmail/A 17982-2023 FSC-klagomål mail.docx", "A 17982-2023")</f>
        <v/>
      </c>
      <c r="X122">
        <f>HYPERLINK("https://klasma.github.io/Logging_0980/tillsyn/A 17982-2023 tillsynsbegäran.docx", "A 17982-2023")</f>
        <v/>
      </c>
      <c r="Y122">
        <f>HYPERLINK("https://klasma.github.io/Logging_0980/tillsynsmail/A 17982-2023 tillsynsbegäran mail.docx", "A 17982-2023")</f>
        <v/>
      </c>
    </row>
    <row r="123" ht="15" customHeight="1">
      <c r="A123" t="inlineStr">
        <is>
          <t>A 53552-2021</t>
        </is>
      </c>
      <c r="B123" s="1" t="n">
        <v>44468</v>
      </c>
      <c r="C123" s="1" t="n">
        <v>46196</v>
      </c>
      <c r="D123" t="inlineStr">
        <is>
          <t>GOTLANDS LÄN</t>
        </is>
      </c>
      <c r="E123" t="inlineStr">
        <is>
          <t>GOTLAND</t>
        </is>
      </c>
      <c r="G123" t="n">
        <v>6.2</v>
      </c>
      <c r="H123" t="n">
        <v>2</v>
      </c>
      <c r="I123" t="n">
        <v>0</v>
      </c>
      <c r="J123" t="n">
        <v>0</v>
      </c>
      <c r="K123" t="n">
        <v>1</v>
      </c>
      <c r="L123" t="n">
        <v>0</v>
      </c>
      <c r="M123" t="n">
        <v>0</v>
      </c>
      <c r="N123" t="n">
        <v>0</v>
      </c>
      <c r="O123" t="n">
        <v>1</v>
      </c>
      <c r="P123" t="n">
        <v>1</v>
      </c>
      <c r="Q123" t="n">
        <v>3</v>
      </c>
      <c r="R123" s="2" t="inlineStr">
        <is>
          <t>Bredbrämad bastardsvärmare
Grönvit nattviol
Gullviva</t>
        </is>
      </c>
      <c r="S123">
        <f>HYPERLINK("https://klasma.github.io/Logging_0980/artfynd/A 53552-2021 artfynd.xlsx", "A 53552-2021")</f>
        <v/>
      </c>
      <c r="T123">
        <f>HYPERLINK("https://klasma.github.io/Logging_0980/kartor/A 53552-2021 karta.png", "A 53552-2021")</f>
        <v/>
      </c>
      <c r="V123">
        <f>HYPERLINK("https://klasma.github.io/Logging_0980/klagomål/A 53552-2021 FSC-klagomål.docx", "A 53552-2021")</f>
        <v/>
      </c>
      <c r="W123">
        <f>HYPERLINK("https://klasma.github.io/Logging_0980/klagomålsmail/A 53552-2021 FSC-klagomål mail.docx", "A 53552-2021")</f>
        <v/>
      </c>
      <c r="X123">
        <f>HYPERLINK("https://klasma.github.io/Logging_0980/tillsyn/A 53552-2021 tillsynsbegäran.docx", "A 53552-2021")</f>
        <v/>
      </c>
      <c r="Y123">
        <f>HYPERLINK("https://klasma.github.io/Logging_0980/tillsynsmail/A 53552-2021 tillsynsbegäran mail.docx", "A 53552-2021")</f>
        <v/>
      </c>
    </row>
    <row r="124" ht="15" customHeight="1">
      <c r="A124" t="inlineStr">
        <is>
          <t>A 12315-2024</t>
        </is>
      </c>
      <c r="B124" s="1" t="n">
        <v>45378</v>
      </c>
      <c r="C124" s="1" t="n">
        <v>46196</v>
      </c>
      <c r="D124" t="inlineStr">
        <is>
          <t>GOTLANDS LÄN</t>
        </is>
      </c>
      <c r="E124" t="inlineStr">
        <is>
          <t>GOTLAND</t>
        </is>
      </c>
      <c r="G124" t="n">
        <v>6</v>
      </c>
      <c r="H124" t="n">
        <v>3</v>
      </c>
      <c r="I124" t="n">
        <v>1</v>
      </c>
      <c r="J124" t="n">
        <v>0</v>
      </c>
      <c r="K124" t="n">
        <v>0</v>
      </c>
      <c r="L124" t="n">
        <v>0</v>
      </c>
      <c r="M124" t="n">
        <v>0</v>
      </c>
      <c r="N124" t="n">
        <v>0</v>
      </c>
      <c r="O124" t="n">
        <v>0</v>
      </c>
      <c r="P124" t="n">
        <v>0</v>
      </c>
      <c r="Q124" t="n">
        <v>3</v>
      </c>
      <c r="R124" s="2" t="inlineStr">
        <is>
          <t>Tvåblad
Buskskvätta
Fläcknycklar</t>
        </is>
      </c>
      <c r="S124">
        <f>HYPERLINK("https://klasma.github.io/Logging_0980/artfynd/A 12315-2024 artfynd.xlsx", "A 12315-2024")</f>
        <v/>
      </c>
      <c r="T124">
        <f>HYPERLINK("https://klasma.github.io/Logging_0980/kartor/A 12315-2024 karta.png", "A 12315-2024")</f>
        <v/>
      </c>
      <c r="V124">
        <f>HYPERLINK("https://klasma.github.io/Logging_0980/klagomål/A 12315-2024 FSC-klagomål.docx", "A 12315-2024")</f>
        <v/>
      </c>
      <c r="W124">
        <f>HYPERLINK("https://klasma.github.io/Logging_0980/klagomålsmail/A 12315-2024 FSC-klagomål mail.docx", "A 12315-2024")</f>
        <v/>
      </c>
      <c r="X124">
        <f>HYPERLINK("https://klasma.github.io/Logging_0980/tillsyn/A 12315-2024 tillsynsbegäran.docx", "A 12315-2024")</f>
        <v/>
      </c>
      <c r="Y124">
        <f>HYPERLINK("https://klasma.github.io/Logging_0980/tillsynsmail/A 12315-2024 tillsynsbegäran mail.docx", "A 12315-2024")</f>
        <v/>
      </c>
    </row>
    <row r="125" ht="15" customHeight="1">
      <c r="A125" t="inlineStr">
        <is>
          <t>A 37222-2021</t>
        </is>
      </c>
      <c r="B125" s="1" t="n">
        <v>44396</v>
      </c>
      <c r="C125" s="1" t="n">
        <v>46196</v>
      </c>
      <c r="D125" t="inlineStr">
        <is>
          <t>GOTLANDS LÄN</t>
        </is>
      </c>
      <c r="E125" t="inlineStr">
        <is>
          <t>GOTLAND</t>
        </is>
      </c>
      <c r="G125" t="n">
        <v>3</v>
      </c>
      <c r="H125" t="n">
        <v>3</v>
      </c>
      <c r="I125" t="n">
        <v>1</v>
      </c>
      <c r="J125" t="n">
        <v>1</v>
      </c>
      <c r="K125" t="n">
        <v>0</v>
      </c>
      <c r="L125" t="n">
        <v>0</v>
      </c>
      <c r="M125" t="n">
        <v>0</v>
      </c>
      <c r="N125" t="n">
        <v>0</v>
      </c>
      <c r="O125" t="n">
        <v>1</v>
      </c>
      <c r="P125" t="n">
        <v>0</v>
      </c>
      <c r="Q125" t="n">
        <v>3</v>
      </c>
      <c r="R125" s="2" t="inlineStr">
        <is>
          <t>Mindre hackspett
Skogsknipprot
Bergfink</t>
        </is>
      </c>
      <c r="S125">
        <f>HYPERLINK("https://klasma.github.io/Logging_0980/artfynd/A 37222-2021 artfynd.xlsx", "A 37222-2021")</f>
        <v/>
      </c>
      <c r="T125">
        <f>HYPERLINK("https://klasma.github.io/Logging_0980/kartor/A 37222-2021 karta.png", "A 37222-2021")</f>
        <v/>
      </c>
      <c r="V125">
        <f>HYPERLINK("https://klasma.github.io/Logging_0980/klagomål/A 37222-2021 FSC-klagomål.docx", "A 37222-2021")</f>
        <v/>
      </c>
      <c r="W125">
        <f>HYPERLINK("https://klasma.github.io/Logging_0980/klagomålsmail/A 37222-2021 FSC-klagomål mail.docx", "A 37222-2021")</f>
        <v/>
      </c>
      <c r="X125">
        <f>HYPERLINK("https://klasma.github.io/Logging_0980/tillsyn/A 37222-2021 tillsynsbegäran.docx", "A 37222-2021")</f>
        <v/>
      </c>
      <c r="Y125">
        <f>HYPERLINK("https://klasma.github.io/Logging_0980/tillsynsmail/A 37222-2021 tillsynsbegäran mail.docx", "A 37222-2021")</f>
        <v/>
      </c>
      <c r="Z125">
        <f>HYPERLINK("https://klasma.github.io/Logging_0980/fåglar/A 37222-2021 prioriterade fågelarter.docx", "A 37222-2021")</f>
        <v/>
      </c>
    </row>
    <row r="126" ht="15" customHeight="1">
      <c r="A126" t="inlineStr">
        <is>
          <t>A 35574-2024</t>
        </is>
      </c>
      <c r="B126" s="1" t="n">
        <v>45531</v>
      </c>
      <c r="C126" s="1" t="n">
        <v>46196</v>
      </c>
      <c r="D126" t="inlineStr">
        <is>
          <t>GOTLANDS LÄN</t>
        </is>
      </c>
      <c r="E126" t="inlineStr">
        <is>
          <t>GOTLAND</t>
        </is>
      </c>
      <c r="G126" t="n">
        <v>5.7</v>
      </c>
      <c r="H126" t="n">
        <v>0</v>
      </c>
      <c r="I126" t="n">
        <v>2</v>
      </c>
      <c r="J126" t="n">
        <v>1</v>
      </c>
      <c r="K126" t="n">
        <v>0</v>
      </c>
      <c r="L126" t="n">
        <v>0</v>
      </c>
      <c r="M126" t="n">
        <v>0</v>
      </c>
      <c r="N126" t="n">
        <v>0</v>
      </c>
      <c r="O126" t="n">
        <v>1</v>
      </c>
      <c r="P126" t="n">
        <v>0</v>
      </c>
      <c r="Q126" t="n">
        <v>3</v>
      </c>
      <c r="R126" s="2" t="inlineStr">
        <is>
          <t>Svinrot
Kambräken
Murgröna</t>
        </is>
      </c>
      <c r="S126">
        <f>HYPERLINK("https://klasma.github.io/Logging_0980/artfynd/A 35574-2024 artfynd.xlsx", "A 35574-2024")</f>
        <v/>
      </c>
      <c r="T126">
        <f>HYPERLINK("https://klasma.github.io/Logging_0980/kartor/A 35574-2024 karta.png", "A 35574-2024")</f>
        <v/>
      </c>
      <c r="V126">
        <f>HYPERLINK("https://klasma.github.io/Logging_0980/klagomål/A 35574-2024 FSC-klagomål.docx", "A 35574-2024")</f>
        <v/>
      </c>
      <c r="W126">
        <f>HYPERLINK("https://klasma.github.io/Logging_0980/klagomålsmail/A 35574-2024 FSC-klagomål mail.docx", "A 35574-2024")</f>
        <v/>
      </c>
      <c r="X126">
        <f>HYPERLINK("https://klasma.github.io/Logging_0980/tillsyn/A 35574-2024 tillsynsbegäran.docx", "A 35574-2024")</f>
        <v/>
      </c>
      <c r="Y126">
        <f>HYPERLINK("https://klasma.github.io/Logging_0980/tillsynsmail/A 35574-2024 tillsynsbegäran mail.docx", "A 35574-2024")</f>
        <v/>
      </c>
    </row>
    <row r="127" ht="15" customHeight="1">
      <c r="A127" t="inlineStr">
        <is>
          <t>A 43219-2023</t>
        </is>
      </c>
      <c r="B127" s="1" t="n">
        <v>45183</v>
      </c>
      <c r="C127" s="1" t="n">
        <v>46196</v>
      </c>
      <c r="D127" t="inlineStr">
        <is>
          <t>GOTLANDS LÄN</t>
        </is>
      </c>
      <c r="E127" t="inlineStr">
        <is>
          <t>GOTLAND</t>
        </is>
      </c>
      <c r="G127" t="n">
        <v>3.6</v>
      </c>
      <c r="H127" t="n">
        <v>1</v>
      </c>
      <c r="I127" t="n">
        <v>0</v>
      </c>
      <c r="J127" t="n">
        <v>1</v>
      </c>
      <c r="K127" t="n">
        <v>1</v>
      </c>
      <c r="L127" t="n">
        <v>0</v>
      </c>
      <c r="M127" t="n">
        <v>0</v>
      </c>
      <c r="N127" t="n">
        <v>0</v>
      </c>
      <c r="O127" t="n">
        <v>2</v>
      </c>
      <c r="P127" t="n">
        <v>1</v>
      </c>
      <c r="Q127" t="n">
        <v>3</v>
      </c>
      <c r="R127" s="2" t="inlineStr">
        <is>
          <t>Gotlandsmåra
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row>
    <row r="128" ht="15" customHeight="1">
      <c r="A128" t="inlineStr">
        <is>
          <t>A 63576-2021</t>
        </is>
      </c>
      <c r="B128" s="1" t="n">
        <v>44508</v>
      </c>
      <c r="C128" s="1" t="n">
        <v>46196</v>
      </c>
      <c r="D128" t="inlineStr">
        <is>
          <t>GOTLANDS LÄN</t>
        </is>
      </c>
      <c r="E128" t="inlineStr">
        <is>
          <t>GOTLAND</t>
        </is>
      </c>
      <c r="F128" t="inlineStr">
        <is>
          <t>Kyrkan</t>
        </is>
      </c>
      <c r="G128" t="n">
        <v>4.1</v>
      </c>
      <c r="H128" t="n">
        <v>1</v>
      </c>
      <c r="I128" t="n">
        <v>1</v>
      </c>
      <c r="J128" t="n">
        <v>2</v>
      </c>
      <c r="K128" t="n">
        <v>0</v>
      </c>
      <c r="L128" t="n">
        <v>0</v>
      </c>
      <c r="M128" t="n">
        <v>0</v>
      </c>
      <c r="N128" t="n">
        <v>0</v>
      </c>
      <c r="O128" t="n">
        <v>2</v>
      </c>
      <c r="P128" t="n">
        <v>0</v>
      </c>
      <c r="Q128" t="n">
        <v>3</v>
      </c>
      <c r="R128" s="2" t="inlineStr">
        <is>
          <t>Dårgräsfjäril
Loppstarr
Stubbspretmossa</t>
        </is>
      </c>
      <c r="S128">
        <f>HYPERLINK("https://klasma.github.io/Logging_0980/artfynd/A 63576-2021 artfynd.xlsx", "A 63576-2021")</f>
        <v/>
      </c>
      <c r="T128">
        <f>HYPERLINK("https://klasma.github.io/Logging_0980/kartor/A 63576-2021 karta.png", "A 63576-2021")</f>
        <v/>
      </c>
      <c r="V128">
        <f>HYPERLINK("https://klasma.github.io/Logging_0980/klagomål/A 63576-2021 FSC-klagomål.docx", "A 63576-2021")</f>
        <v/>
      </c>
      <c r="W128">
        <f>HYPERLINK("https://klasma.github.io/Logging_0980/klagomålsmail/A 63576-2021 FSC-klagomål mail.docx", "A 63576-2021")</f>
        <v/>
      </c>
      <c r="X128">
        <f>HYPERLINK("https://klasma.github.io/Logging_0980/tillsyn/A 63576-2021 tillsynsbegäran.docx", "A 63576-2021")</f>
        <v/>
      </c>
      <c r="Y128">
        <f>HYPERLINK("https://klasma.github.io/Logging_0980/tillsynsmail/A 63576-2021 tillsynsbegäran mail.docx", "A 63576-2021")</f>
        <v/>
      </c>
    </row>
    <row r="129" ht="15" customHeight="1">
      <c r="A129" t="inlineStr">
        <is>
          <t>A 44207-2022</t>
        </is>
      </c>
      <c r="B129" s="1" t="n">
        <v>44839</v>
      </c>
      <c r="C129" s="1" t="n">
        <v>46196</v>
      </c>
      <c r="D129" t="inlineStr">
        <is>
          <t>GOTLANDS LÄN</t>
        </is>
      </c>
      <c r="E129" t="inlineStr">
        <is>
          <t>GOTLAND</t>
        </is>
      </c>
      <c r="G129" t="n">
        <v>3.8</v>
      </c>
      <c r="H129" t="n">
        <v>0</v>
      </c>
      <c r="I129" t="n">
        <v>0</v>
      </c>
      <c r="J129" t="n">
        <v>1</v>
      </c>
      <c r="K129" t="n">
        <v>1</v>
      </c>
      <c r="L129" t="n">
        <v>0</v>
      </c>
      <c r="M129" t="n">
        <v>0</v>
      </c>
      <c r="N129" t="n">
        <v>0</v>
      </c>
      <c r="O129" t="n">
        <v>2</v>
      </c>
      <c r="P129" t="n">
        <v>1</v>
      </c>
      <c r="Q129" t="n">
        <v>2</v>
      </c>
      <c r="R129" s="2" t="inlineStr">
        <is>
          <t>Violettfläckig spindling
Odörspindling</t>
        </is>
      </c>
      <c r="S129">
        <f>HYPERLINK("https://klasma.github.io/Logging_0980/artfynd/A 44207-2022 artfynd.xlsx", "A 44207-2022")</f>
        <v/>
      </c>
      <c r="T129">
        <f>HYPERLINK("https://klasma.github.io/Logging_0980/kartor/A 44207-2022 karta.png", "A 44207-2022")</f>
        <v/>
      </c>
      <c r="V129">
        <f>HYPERLINK("https://klasma.github.io/Logging_0980/klagomål/A 44207-2022 FSC-klagomål.docx", "A 44207-2022")</f>
        <v/>
      </c>
      <c r="W129">
        <f>HYPERLINK("https://klasma.github.io/Logging_0980/klagomålsmail/A 44207-2022 FSC-klagomål mail.docx", "A 44207-2022")</f>
        <v/>
      </c>
      <c r="X129">
        <f>HYPERLINK("https://klasma.github.io/Logging_0980/tillsyn/A 44207-2022 tillsynsbegäran.docx", "A 44207-2022")</f>
        <v/>
      </c>
      <c r="Y129">
        <f>HYPERLINK("https://klasma.github.io/Logging_0980/tillsynsmail/A 44207-2022 tillsynsbegäran mail.docx", "A 44207-2022")</f>
        <v/>
      </c>
    </row>
    <row r="130" ht="15" customHeight="1">
      <c r="A130" t="inlineStr">
        <is>
          <t>A 60665-2021</t>
        </is>
      </c>
      <c r="B130" s="1" t="n">
        <v>44496</v>
      </c>
      <c r="C130" s="1" t="n">
        <v>46196</v>
      </c>
      <c r="D130" t="inlineStr">
        <is>
          <t>GOTLANDS LÄN</t>
        </is>
      </c>
      <c r="E130" t="inlineStr">
        <is>
          <t>GOTLAND</t>
        </is>
      </c>
      <c r="G130" t="n">
        <v>1.6</v>
      </c>
      <c r="H130" t="n">
        <v>0</v>
      </c>
      <c r="I130" t="n">
        <v>0</v>
      </c>
      <c r="J130" t="n">
        <v>0</v>
      </c>
      <c r="K130" t="n">
        <v>2</v>
      </c>
      <c r="L130" t="n">
        <v>0</v>
      </c>
      <c r="M130" t="n">
        <v>0</v>
      </c>
      <c r="N130" t="n">
        <v>0</v>
      </c>
      <c r="O130" t="n">
        <v>2</v>
      </c>
      <c r="P130" t="n">
        <v>2</v>
      </c>
      <c r="Q130" t="n">
        <v>2</v>
      </c>
      <c r="R130" s="2" t="inlineStr">
        <is>
          <t>Skogskorn
Ädellav</t>
        </is>
      </c>
      <c r="S130">
        <f>HYPERLINK("https://klasma.github.io/Logging_0980/artfynd/A 60665-2021 artfynd.xlsx", "A 60665-2021")</f>
        <v/>
      </c>
      <c r="T130">
        <f>HYPERLINK("https://klasma.github.io/Logging_0980/kartor/A 60665-2021 karta.png", "A 60665-2021")</f>
        <v/>
      </c>
      <c r="V130">
        <f>HYPERLINK("https://klasma.github.io/Logging_0980/klagomål/A 60665-2021 FSC-klagomål.docx", "A 60665-2021")</f>
        <v/>
      </c>
      <c r="W130">
        <f>HYPERLINK("https://klasma.github.io/Logging_0980/klagomålsmail/A 60665-2021 FSC-klagomål mail.docx", "A 60665-2021")</f>
        <v/>
      </c>
      <c r="X130">
        <f>HYPERLINK("https://klasma.github.io/Logging_0980/tillsyn/A 60665-2021 tillsynsbegäran.docx", "A 60665-2021")</f>
        <v/>
      </c>
      <c r="Y130">
        <f>HYPERLINK("https://klasma.github.io/Logging_0980/tillsynsmail/A 60665-2021 tillsynsbegäran mail.docx", "A 60665-2021")</f>
        <v/>
      </c>
    </row>
    <row r="131" ht="15" customHeight="1">
      <c r="A131" t="inlineStr">
        <is>
          <t>A 20218-2022</t>
        </is>
      </c>
      <c r="B131" s="1" t="n">
        <v>44698</v>
      </c>
      <c r="C131" s="1" t="n">
        <v>46196</v>
      </c>
      <c r="D131" t="inlineStr">
        <is>
          <t>GOTLANDS LÄN</t>
        </is>
      </c>
      <c r="E131" t="inlineStr">
        <is>
          <t>GOTLAND</t>
        </is>
      </c>
      <c r="G131" t="n">
        <v>4.3</v>
      </c>
      <c r="H131" t="n">
        <v>0</v>
      </c>
      <c r="I131" t="n">
        <v>1</v>
      </c>
      <c r="J131" t="n">
        <v>1</v>
      </c>
      <c r="K131" t="n">
        <v>0</v>
      </c>
      <c r="L131" t="n">
        <v>0</v>
      </c>
      <c r="M131" t="n">
        <v>0</v>
      </c>
      <c r="N131" t="n">
        <v>0</v>
      </c>
      <c r="O131" t="n">
        <v>1</v>
      </c>
      <c r="P131" t="n">
        <v>0</v>
      </c>
      <c r="Q131" t="n">
        <v>2</v>
      </c>
      <c r="R131" s="2" t="inlineStr">
        <is>
          <t>Flattoppad klubbsvamp
Rödgul trumpetsvamp</t>
        </is>
      </c>
      <c r="S131">
        <f>HYPERLINK("https://klasma.github.io/Logging_0980/artfynd/A 20218-2022 artfynd.xlsx", "A 20218-2022")</f>
        <v/>
      </c>
      <c r="T131">
        <f>HYPERLINK("https://klasma.github.io/Logging_0980/kartor/A 20218-2022 karta.png", "A 20218-2022")</f>
        <v/>
      </c>
      <c r="V131">
        <f>HYPERLINK("https://klasma.github.io/Logging_0980/klagomål/A 20218-2022 FSC-klagomål.docx", "A 20218-2022")</f>
        <v/>
      </c>
      <c r="W131">
        <f>HYPERLINK("https://klasma.github.io/Logging_0980/klagomålsmail/A 20218-2022 FSC-klagomål mail.docx", "A 20218-2022")</f>
        <v/>
      </c>
      <c r="X131">
        <f>HYPERLINK("https://klasma.github.io/Logging_0980/tillsyn/A 20218-2022 tillsynsbegäran.docx", "A 20218-2022")</f>
        <v/>
      </c>
      <c r="Y131">
        <f>HYPERLINK("https://klasma.github.io/Logging_0980/tillsynsmail/A 20218-2022 tillsynsbegäran mail.docx", "A 20218-2022")</f>
        <v/>
      </c>
    </row>
    <row r="132" ht="15" customHeight="1">
      <c r="A132" t="inlineStr">
        <is>
          <t>A 28261-2024</t>
        </is>
      </c>
      <c r="B132" s="1" t="n">
        <v>45477</v>
      </c>
      <c r="C132" s="1" t="n">
        <v>46196</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33011-2025</t>
        </is>
      </c>
      <c r="B133" s="1" t="n">
        <v>45840</v>
      </c>
      <c r="C133" s="1" t="n">
        <v>46196</v>
      </c>
      <c r="D133" t="inlineStr">
        <is>
          <t>GOTLANDS LÄN</t>
        </is>
      </c>
      <c r="E133" t="inlineStr">
        <is>
          <t>GOTLAND</t>
        </is>
      </c>
      <c r="G133" t="n">
        <v>1.7</v>
      </c>
      <c r="H133" t="n">
        <v>2</v>
      </c>
      <c r="I133" t="n">
        <v>0</v>
      </c>
      <c r="J133" t="n">
        <v>1</v>
      </c>
      <c r="K133" t="n">
        <v>1</v>
      </c>
      <c r="L133" t="n">
        <v>0</v>
      </c>
      <c r="M133" t="n">
        <v>0</v>
      </c>
      <c r="N133" t="n">
        <v>0</v>
      </c>
      <c r="O133" t="n">
        <v>2</v>
      </c>
      <c r="P133" t="n">
        <v>1</v>
      </c>
      <c r="Q133" t="n">
        <v>2</v>
      </c>
      <c r="R133" s="2" t="inlineStr">
        <is>
          <t>Hasselsnok
Mindre hackspett</t>
        </is>
      </c>
      <c r="S133">
        <f>HYPERLINK("https://klasma.github.io/Logging_0980/artfynd/A 33011-2025 artfynd.xlsx", "A 33011-2025")</f>
        <v/>
      </c>
      <c r="T133">
        <f>HYPERLINK("https://klasma.github.io/Logging_0980/kartor/A 33011-2025 karta.png", "A 33011-2025")</f>
        <v/>
      </c>
      <c r="V133">
        <f>HYPERLINK("https://klasma.github.io/Logging_0980/klagomål/A 33011-2025 FSC-klagomål.docx", "A 33011-2025")</f>
        <v/>
      </c>
      <c r="W133">
        <f>HYPERLINK("https://klasma.github.io/Logging_0980/klagomålsmail/A 33011-2025 FSC-klagomål mail.docx", "A 33011-2025")</f>
        <v/>
      </c>
      <c r="X133">
        <f>HYPERLINK("https://klasma.github.io/Logging_0980/tillsyn/A 33011-2025 tillsynsbegäran.docx", "A 33011-2025")</f>
        <v/>
      </c>
      <c r="Y133">
        <f>HYPERLINK("https://klasma.github.io/Logging_0980/tillsynsmail/A 33011-2025 tillsynsbegäran mail.docx", "A 33011-2025")</f>
        <v/>
      </c>
      <c r="Z133">
        <f>HYPERLINK("https://klasma.github.io/Logging_0980/fåglar/A 33011-2025 prioriterade fågelarter.docx", "A 33011-2025")</f>
        <v/>
      </c>
    </row>
    <row r="134" ht="15" customHeight="1">
      <c r="A134" t="inlineStr">
        <is>
          <t>A 20429-2025</t>
        </is>
      </c>
      <c r="B134" s="1" t="n">
        <v>45775</v>
      </c>
      <c r="C134" s="1" t="n">
        <v>46196</v>
      </c>
      <c r="D134" t="inlineStr">
        <is>
          <t>GOTLANDS LÄN</t>
        </is>
      </c>
      <c r="E134" t="inlineStr">
        <is>
          <t>GOTLAND</t>
        </is>
      </c>
      <c r="G134" t="n">
        <v>1.4</v>
      </c>
      <c r="H134" t="n">
        <v>2</v>
      </c>
      <c r="I134" t="n">
        <v>0</v>
      </c>
      <c r="J134" t="n">
        <v>0</v>
      </c>
      <c r="K134" t="n">
        <v>0</v>
      </c>
      <c r="L134" t="n">
        <v>0</v>
      </c>
      <c r="M134" t="n">
        <v>0</v>
      </c>
      <c r="N134" t="n">
        <v>0</v>
      </c>
      <c r="O134" t="n">
        <v>0</v>
      </c>
      <c r="P134" t="n">
        <v>0</v>
      </c>
      <c r="Q134" t="n">
        <v>2</v>
      </c>
      <c r="R134" s="2" t="inlineStr">
        <is>
          <t>Lopplummer (aggregat)
Äkta lopplummer</t>
        </is>
      </c>
      <c r="S134">
        <f>HYPERLINK("https://klasma.github.io/Logging_0980/artfynd/A 20429-2025 artfynd.xlsx", "A 20429-2025")</f>
        <v/>
      </c>
      <c r="T134">
        <f>HYPERLINK("https://klasma.github.io/Logging_0980/kartor/A 20429-2025 karta.png", "A 20429-2025")</f>
        <v/>
      </c>
      <c r="V134">
        <f>HYPERLINK("https://klasma.github.io/Logging_0980/klagomål/A 20429-2025 FSC-klagomål.docx", "A 20429-2025")</f>
        <v/>
      </c>
      <c r="W134">
        <f>HYPERLINK("https://klasma.github.io/Logging_0980/klagomålsmail/A 20429-2025 FSC-klagomål mail.docx", "A 20429-2025")</f>
        <v/>
      </c>
      <c r="X134">
        <f>HYPERLINK("https://klasma.github.io/Logging_0980/tillsyn/A 20429-2025 tillsynsbegäran.docx", "A 20429-2025")</f>
        <v/>
      </c>
      <c r="Y134">
        <f>HYPERLINK("https://klasma.github.io/Logging_0980/tillsynsmail/A 20429-2025 tillsynsbegäran mail.docx", "A 20429-2025")</f>
        <v/>
      </c>
    </row>
    <row r="135" ht="15" customHeight="1">
      <c r="A135" t="inlineStr">
        <is>
          <t>A 63162-2025</t>
        </is>
      </c>
      <c r="B135" s="1" t="n">
        <v>46010</v>
      </c>
      <c r="C135" s="1" t="n">
        <v>46196</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46196</v>
      </c>
      <c r="D136" t="inlineStr">
        <is>
          <t>GOTLANDS LÄN</t>
        </is>
      </c>
      <c r="E136" t="inlineStr">
        <is>
          <t>GOTLAND</t>
        </is>
      </c>
      <c r="F136" t="inlineStr">
        <is>
          <t>Övriga Aktiebolag</t>
        </is>
      </c>
      <c r="G136" t="n">
        <v>4.6</v>
      </c>
      <c r="H136" t="n">
        <v>1</v>
      </c>
      <c r="I136" t="n">
        <v>1</v>
      </c>
      <c r="J136" t="n">
        <v>1</v>
      </c>
      <c r="K136" t="n">
        <v>0</v>
      </c>
      <c r="L136" t="n">
        <v>0</v>
      </c>
      <c r="M136" t="n">
        <v>0</v>
      </c>
      <c r="N136" t="n">
        <v>0</v>
      </c>
      <c r="O136" t="n">
        <v>1</v>
      </c>
      <c r="P136" t="n">
        <v>0</v>
      </c>
      <c r="Q136" t="n">
        <v>2</v>
      </c>
      <c r="R136" s="2" t="inlineStr">
        <is>
          <t>Vårärt
Nästrot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11708-2026</t>
        </is>
      </c>
      <c r="B137" s="1" t="n">
        <v>46084</v>
      </c>
      <c r="C137" s="1" t="n">
        <v>46196</v>
      </c>
      <c r="D137" t="inlineStr">
        <is>
          <t>GOTLANDS LÄN</t>
        </is>
      </c>
      <c r="E137" t="inlineStr">
        <is>
          <t>GOTLAND</t>
        </is>
      </c>
      <c r="G137" t="n">
        <v>8.4</v>
      </c>
      <c r="H137" t="n">
        <v>1</v>
      </c>
      <c r="I137" t="n">
        <v>0</v>
      </c>
      <c r="J137" t="n">
        <v>0</v>
      </c>
      <c r="K137" t="n">
        <v>1</v>
      </c>
      <c r="L137" t="n">
        <v>0</v>
      </c>
      <c r="M137" t="n">
        <v>0</v>
      </c>
      <c r="N137" t="n">
        <v>0</v>
      </c>
      <c r="O137" t="n">
        <v>1</v>
      </c>
      <c r="P137" t="n">
        <v>1</v>
      </c>
      <c r="Q137" t="n">
        <v>2</v>
      </c>
      <c r="R137" s="2" t="inlineStr">
        <is>
          <t>Toppjungfrulin
Bredarun</t>
        </is>
      </c>
      <c r="S137">
        <f>HYPERLINK("https://klasma.github.io/Logging_0980/artfynd/A 11708-2026 artfynd.xlsx", "A 11708-2026")</f>
        <v/>
      </c>
      <c r="T137">
        <f>HYPERLINK("https://klasma.github.io/Logging_0980/kartor/A 11708-2026 karta.png", "A 11708-2026")</f>
        <v/>
      </c>
      <c r="V137">
        <f>HYPERLINK("https://klasma.github.io/Logging_0980/klagomål/A 11708-2026 FSC-klagomål.docx", "A 11708-2026")</f>
        <v/>
      </c>
      <c r="W137">
        <f>HYPERLINK("https://klasma.github.io/Logging_0980/klagomålsmail/A 11708-2026 FSC-klagomål mail.docx", "A 11708-2026")</f>
        <v/>
      </c>
      <c r="X137">
        <f>HYPERLINK("https://klasma.github.io/Logging_0980/tillsyn/A 11708-2026 tillsynsbegäran.docx", "A 11708-2026")</f>
        <v/>
      </c>
      <c r="Y137">
        <f>HYPERLINK("https://klasma.github.io/Logging_0980/tillsynsmail/A 11708-2026 tillsynsbegäran mail.docx", "A 11708-2026")</f>
        <v/>
      </c>
    </row>
    <row r="138" ht="15" customHeight="1">
      <c r="A138" t="inlineStr">
        <is>
          <t>A 7070-2022</t>
        </is>
      </c>
      <c r="B138" s="1" t="n">
        <v>44603</v>
      </c>
      <c r="C138" s="1" t="n">
        <v>46196</v>
      </c>
      <c r="D138" t="inlineStr">
        <is>
          <t>GOTLANDS LÄN</t>
        </is>
      </c>
      <c r="E138" t="inlineStr">
        <is>
          <t>GOTLAND</t>
        </is>
      </c>
      <c r="G138" t="n">
        <v>2.6</v>
      </c>
      <c r="H138" t="n">
        <v>0</v>
      </c>
      <c r="I138" t="n">
        <v>1</v>
      </c>
      <c r="J138" t="n">
        <v>1</v>
      </c>
      <c r="K138" t="n">
        <v>0</v>
      </c>
      <c r="L138" t="n">
        <v>0</v>
      </c>
      <c r="M138" t="n">
        <v>0</v>
      </c>
      <c r="N138" t="n">
        <v>0</v>
      </c>
      <c r="O138" t="n">
        <v>1</v>
      </c>
      <c r="P138" t="n">
        <v>0</v>
      </c>
      <c r="Q138" t="n">
        <v>2</v>
      </c>
      <c r="R138" s="2" t="inlineStr">
        <is>
          <t>Kattfotslav
Blåmossa</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27589-2023</t>
        </is>
      </c>
      <c r="B139" s="1" t="n">
        <v>45097</v>
      </c>
      <c r="C139" s="1" t="n">
        <v>46196</v>
      </c>
      <c r="D139" t="inlineStr">
        <is>
          <t>GOTLANDS LÄN</t>
        </is>
      </c>
      <c r="E139" t="inlineStr">
        <is>
          <t>GOTLAND</t>
        </is>
      </c>
      <c r="G139" t="n">
        <v>5.4</v>
      </c>
      <c r="H139" t="n">
        <v>0</v>
      </c>
      <c r="I139" t="n">
        <v>1</v>
      </c>
      <c r="J139" t="n">
        <v>0</v>
      </c>
      <c r="K139" t="n">
        <v>0</v>
      </c>
      <c r="L139" t="n">
        <v>1</v>
      </c>
      <c r="M139" t="n">
        <v>0</v>
      </c>
      <c r="N139" t="n">
        <v>0</v>
      </c>
      <c r="O139" t="n">
        <v>1</v>
      </c>
      <c r="P139" t="n">
        <v>1</v>
      </c>
      <c r="Q139" t="n">
        <v>2</v>
      </c>
      <c r="R139" s="2" t="inlineStr">
        <is>
          <t>Skogsalm
Underviol</t>
        </is>
      </c>
      <c r="S139">
        <f>HYPERLINK("https://klasma.github.io/Logging_0980/artfynd/A 27589-2023 artfynd.xlsx", "A 27589-2023")</f>
        <v/>
      </c>
      <c r="T139">
        <f>HYPERLINK("https://klasma.github.io/Logging_0980/kartor/A 27589-2023 karta.png", "A 27589-2023")</f>
        <v/>
      </c>
      <c r="V139">
        <f>HYPERLINK("https://klasma.github.io/Logging_0980/klagomål/A 27589-2023 FSC-klagomål.docx", "A 27589-2023")</f>
        <v/>
      </c>
      <c r="W139">
        <f>HYPERLINK("https://klasma.github.io/Logging_0980/klagomålsmail/A 27589-2023 FSC-klagomål mail.docx", "A 27589-2023")</f>
        <v/>
      </c>
      <c r="X139">
        <f>HYPERLINK("https://klasma.github.io/Logging_0980/tillsyn/A 27589-2023 tillsynsbegäran.docx", "A 27589-2023")</f>
        <v/>
      </c>
      <c r="Y139">
        <f>HYPERLINK("https://klasma.github.io/Logging_0980/tillsynsmail/A 27589-2023 tillsynsbegäran mail.docx", "A 27589-2023")</f>
        <v/>
      </c>
    </row>
    <row r="140" ht="15" customHeight="1">
      <c r="A140" t="inlineStr">
        <is>
          <t>A 1010-2024</t>
        </is>
      </c>
      <c r="B140" s="1" t="n">
        <v>45301</v>
      </c>
      <c r="C140" s="1" t="n">
        <v>46196</v>
      </c>
      <c r="D140" t="inlineStr">
        <is>
          <t>GOTLANDS LÄN</t>
        </is>
      </c>
      <c r="E140" t="inlineStr">
        <is>
          <t>GOTLAND</t>
        </is>
      </c>
      <c r="G140" t="n">
        <v>2.4</v>
      </c>
      <c r="H140" t="n">
        <v>0</v>
      </c>
      <c r="I140" t="n">
        <v>2</v>
      </c>
      <c r="J140" t="n">
        <v>0</v>
      </c>
      <c r="K140" t="n">
        <v>0</v>
      </c>
      <c r="L140" t="n">
        <v>0</v>
      </c>
      <c r="M140" t="n">
        <v>0</v>
      </c>
      <c r="N140" t="n">
        <v>0</v>
      </c>
      <c r="O140" t="n">
        <v>0</v>
      </c>
      <c r="P140" t="n">
        <v>0</v>
      </c>
      <c r="Q140" t="n">
        <v>2</v>
      </c>
      <c r="R140" s="2" t="inlineStr">
        <is>
          <t>Anisspindling
Diskvaxskivling</t>
        </is>
      </c>
      <c r="S140">
        <f>HYPERLINK("https://klasma.github.io/Logging_0980/artfynd/A 1010-2024 artfynd.xlsx", "A 1010-2024")</f>
        <v/>
      </c>
      <c r="T140">
        <f>HYPERLINK("https://klasma.github.io/Logging_0980/kartor/A 1010-2024 karta.png", "A 1010-2024")</f>
        <v/>
      </c>
      <c r="V140">
        <f>HYPERLINK("https://klasma.github.io/Logging_0980/klagomål/A 1010-2024 FSC-klagomål.docx", "A 1010-2024")</f>
        <v/>
      </c>
      <c r="W140">
        <f>HYPERLINK("https://klasma.github.io/Logging_0980/klagomålsmail/A 1010-2024 FSC-klagomål mail.docx", "A 1010-2024")</f>
        <v/>
      </c>
      <c r="X140">
        <f>HYPERLINK("https://klasma.github.io/Logging_0980/tillsyn/A 1010-2024 tillsynsbegäran.docx", "A 1010-2024")</f>
        <v/>
      </c>
      <c r="Y140">
        <f>HYPERLINK("https://klasma.github.io/Logging_0980/tillsynsmail/A 1010-2024 tillsynsbegäran mail.docx", "A 1010-2024")</f>
        <v/>
      </c>
    </row>
    <row r="141" ht="15" customHeight="1">
      <c r="A141" t="inlineStr">
        <is>
          <t>A 17328-2026</t>
        </is>
      </c>
      <c r="B141" s="1" t="n">
        <v>46119</v>
      </c>
      <c r="C141" s="1" t="n">
        <v>46196</v>
      </c>
      <c r="D141" t="inlineStr">
        <is>
          <t>GOTLANDS LÄN</t>
        </is>
      </c>
      <c r="E141" t="inlineStr">
        <is>
          <t>GOTLAND</t>
        </is>
      </c>
      <c r="F141" t="inlineStr">
        <is>
          <t>Kyrkan</t>
        </is>
      </c>
      <c r="G141" t="n">
        <v>4</v>
      </c>
      <c r="H141" t="n">
        <v>1</v>
      </c>
      <c r="I141" t="n">
        <v>0</v>
      </c>
      <c r="J141" t="n">
        <v>1</v>
      </c>
      <c r="K141" t="n">
        <v>0</v>
      </c>
      <c r="L141" t="n">
        <v>0</v>
      </c>
      <c r="M141" t="n">
        <v>0</v>
      </c>
      <c r="N141" t="n">
        <v>0</v>
      </c>
      <c r="O141" t="n">
        <v>1</v>
      </c>
      <c r="P141" t="n">
        <v>0</v>
      </c>
      <c r="Q141" t="n">
        <v>2</v>
      </c>
      <c r="R141" s="2" t="inlineStr">
        <is>
          <t>Backtimjan
Spillkråka</t>
        </is>
      </c>
      <c r="S141">
        <f>HYPERLINK("https://klasma.github.io/Logging_0980/artfynd/A 17328-2026 artfynd.xlsx", "A 17328-2026")</f>
        <v/>
      </c>
      <c r="T141">
        <f>HYPERLINK("https://klasma.github.io/Logging_0980/kartor/A 17328-2026 karta.png", "A 17328-2026")</f>
        <v/>
      </c>
      <c r="V141">
        <f>HYPERLINK("https://klasma.github.io/Logging_0980/klagomål/A 17328-2026 FSC-klagomål.docx", "A 17328-2026")</f>
        <v/>
      </c>
      <c r="W141">
        <f>HYPERLINK("https://klasma.github.io/Logging_0980/klagomålsmail/A 17328-2026 FSC-klagomål mail.docx", "A 17328-2026")</f>
        <v/>
      </c>
      <c r="X141">
        <f>HYPERLINK("https://klasma.github.io/Logging_0980/tillsyn/A 17328-2026 tillsynsbegäran.docx", "A 17328-2026")</f>
        <v/>
      </c>
      <c r="Y141">
        <f>HYPERLINK("https://klasma.github.io/Logging_0980/tillsynsmail/A 17328-2026 tillsynsbegäran mail.docx", "A 17328-2026")</f>
        <v/>
      </c>
      <c r="Z141">
        <f>HYPERLINK("https://klasma.github.io/Logging_0980/fåglar/A 17328-2026 prioriterade fågelarter.docx", "A 17328-2026")</f>
        <v/>
      </c>
    </row>
    <row r="142" ht="15" customHeight="1">
      <c r="A142" t="inlineStr">
        <is>
          <t>A 883-2025</t>
        </is>
      </c>
      <c r="B142" s="1" t="n">
        <v>45665</v>
      </c>
      <c r="C142" s="1" t="n">
        <v>46196</v>
      </c>
      <c r="D142" t="inlineStr">
        <is>
          <t>GOTLANDS LÄN</t>
        </is>
      </c>
      <c r="E142" t="inlineStr">
        <is>
          <t>GOTLAND</t>
        </is>
      </c>
      <c r="G142" t="n">
        <v>1.3</v>
      </c>
      <c r="H142" t="n">
        <v>0</v>
      </c>
      <c r="I142" t="n">
        <v>2</v>
      </c>
      <c r="J142" t="n">
        <v>0</v>
      </c>
      <c r="K142" t="n">
        <v>0</v>
      </c>
      <c r="L142" t="n">
        <v>0</v>
      </c>
      <c r="M142" t="n">
        <v>0</v>
      </c>
      <c r="N142" t="n">
        <v>0</v>
      </c>
      <c r="O142" t="n">
        <v>0</v>
      </c>
      <c r="P142" t="n">
        <v>0</v>
      </c>
      <c r="Q142" t="n">
        <v>2</v>
      </c>
      <c r="R142" s="2" t="inlineStr">
        <is>
          <t>Axag
Kärrlilja</t>
        </is>
      </c>
      <c r="S142">
        <f>HYPERLINK("https://klasma.github.io/Logging_0980/artfynd/A 883-2025 artfynd.xlsx", "A 883-2025")</f>
        <v/>
      </c>
      <c r="T142">
        <f>HYPERLINK("https://klasma.github.io/Logging_0980/kartor/A 883-2025 karta.png", "A 883-2025")</f>
        <v/>
      </c>
      <c r="V142">
        <f>HYPERLINK("https://klasma.github.io/Logging_0980/klagomål/A 883-2025 FSC-klagomål.docx", "A 883-2025")</f>
        <v/>
      </c>
      <c r="W142">
        <f>HYPERLINK("https://klasma.github.io/Logging_0980/klagomålsmail/A 883-2025 FSC-klagomål mail.docx", "A 883-2025")</f>
        <v/>
      </c>
      <c r="X142">
        <f>HYPERLINK("https://klasma.github.io/Logging_0980/tillsyn/A 883-2025 tillsynsbegäran.docx", "A 883-2025")</f>
        <v/>
      </c>
      <c r="Y142">
        <f>HYPERLINK("https://klasma.github.io/Logging_0980/tillsynsmail/A 883-2025 tillsynsbegäran mail.docx", "A 883-2025")</f>
        <v/>
      </c>
    </row>
    <row r="143" ht="15" customHeight="1">
      <c r="A143" t="inlineStr">
        <is>
          <t>A 27621-2026</t>
        </is>
      </c>
      <c r="B143" s="1" t="n">
        <v>46190</v>
      </c>
      <c r="C143" s="1" t="n">
        <v>46196</v>
      </c>
      <c r="D143" t="inlineStr">
        <is>
          <t>GOTLANDS LÄN</t>
        </is>
      </c>
      <c r="E143" t="inlineStr">
        <is>
          <t>GOTLAND</t>
        </is>
      </c>
      <c r="G143" t="n">
        <v>6</v>
      </c>
      <c r="H143" t="n">
        <v>2</v>
      </c>
      <c r="I143" t="n">
        <v>0</v>
      </c>
      <c r="J143" t="n">
        <v>1</v>
      </c>
      <c r="K143" t="n">
        <v>0</v>
      </c>
      <c r="L143" t="n">
        <v>0</v>
      </c>
      <c r="M143" t="n">
        <v>0</v>
      </c>
      <c r="N143" t="n">
        <v>0</v>
      </c>
      <c r="O143" t="n">
        <v>1</v>
      </c>
      <c r="P143" t="n">
        <v>0</v>
      </c>
      <c r="Q143" t="n">
        <v>2</v>
      </c>
      <c r="R143" s="2" t="inlineStr">
        <is>
          <t>Adam och eva
Spillkråka</t>
        </is>
      </c>
      <c r="S143">
        <f>HYPERLINK("https://klasma.github.io/Logging_0980/artfynd/A 27621-2026 artfynd.xlsx", "A 27621-2026")</f>
        <v/>
      </c>
      <c r="T143">
        <f>HYPERLINK("https://klasma.github.io/Logging_0980/kartor/A 27621-2026 karta.png", "A 27621-2026")</f>
        <v/>
      </c>
      <c r="V143">
        <f>HYPERLINK("https://klasma.github.io/Logging_0980/klagomål/A 27621-2026 FSC-klagomål.docx", "A 27621-2026")</f>
        <v/>
      </c>
      <c r="W143">
        <f>HYPERLINK("https://klasma.github.io/Logging_0980/klagomålsmail/A 27621-2026 FSC-klagomål mail.docx", "A 27621-2026")</f>
        <v/>
      </c>
      <c r="X143">
        <f>HYPERLINK("https://klasma.github.io/Logging_0980/tillsyn/A 27621-2026 tillsynsbegäran.docx", "A 27621-2026")</f>
        <v/>
      </c>
      <c r="Y143">
        <f>HYPERLINK("https://klasma.github.io/Logging_0980/tillsynsmail/A 27621-2026 tillsynsbegäran mail.docx", "A 27621-2026")</f>
        <v/>
      </c>
      <c r="Z143">
        <f>HYPERLINK("https://klasma.github.io/Logging_0980/fåglar/A 27621-2026 prioriterade fågelarter.docx", "A 27621-2026")</f>
        <v/>
      </c>
    </row>
    <row r="144" ht="15" customHeight="1">
      <c r="A144" t="inlineStr">
        <is>
          <t>A 12914-2025</t>
        </is>
      </c>
      <c r="B144" s="1" t="n">
        <v>45733</v>
      </c>
      <c r="C144" s="1" t="n">
        <v>46196</v>
      </c>
      <c r="D144" t="inlineStr">
        <is>
          <t>GOTLANDS LÄN</t>
        </is>
      </c>
      <c r="E144" t="inlineStr">
        <is>
          <t>GOTLAND</t>
        </is>
      </c>
      <c r="G144" t="n">
        <v>24.8</v>
      </c>
      <c r="H144" t="n">
        <v>2</v>
      </c>
      <c r="I144" t="n">
        <v>1</v>
      </c>
      <c r="J144" t="n">
        <v>0</v>
      </c>
      <c r="K144" t="n">
        <v>0</v>
      </c>
      <c r="L144" t="n">
        <v>0</v>
      </c>
      <c r="M144" t="n">
        <v>0</v>
      </c>
      <c r="N144" t="n">
        <v>0</v>
      </c>
      <c r="O144" t="n">
        <v>0</v>
      </c>
      <c r="P144" t="n">
        <v>0</v>
      </c>
      <c r="Q144" t="n">
        <v>2</v>
      </c>
      <c r="R144" s="2" t="inlineStr">
        <is>
          <t>Purpurknipprot
Brudsporre</t>
        </is>
      </c>
      <c r="S144">
        <f>HYPERLINK("https://klasma.github.io/Logging_0980/artfynd/A 12914-2025 artfynd.xlsx", "A 12914-2025")</f>
        <v/>
      </c>
      <c r="T144">
        <f>HYPERLINK("https://klasma.github.io/Logging_0980/kartor/A 12914-2025 karta.png", "A 12914-2025")</f>
        <v/>
      </c>
      <c r="V144">
        <f>HYPERLINK("https://klasma.github.io/Logging_0980/klagomål/A 12914-2025 FSC-klagomål.docx", "A 12914-2025")</f>
        <v/>
      </c>
      <c r="W144">
        <f>HYPERLINK("https://klasma.github.io/Logging_0980/klagomålsmail/A 12914-2025 FSC-klagomål mail.docx", "A 12914-2025")</f>
        <v/>
      </c>
      <c r="X144">
        <f>HYPERLINK("https://klasma.github.io/Logging_0980/tillsyn/A 12914-2025 tillsynsbegäran.docx", "A 12914-2025")</f>
        <v/>
      </c>
      <c r="Y144">
        <f>HYPERLINK("https://klasma.github.io/Logging_0980/tillsynsmail/A 12914-2025 tillsynsbegäran mail.docx", "A 12914-2025")</f>
        <v/>
      </c>
    </row>
    <row r="145" ht="15" customHeight="1">
      <c r="A145" t="inlineStr">
        <is>
          <t>A 49411-2023</t>
        </is>
      </c>
      <c r="B145" s="1" t="n">
        <v>45205</v>
      </c>
      <c r="C145" s="1" t="n">
        <v>46196</v>
      </c>
      <c r="D145" t="inlineStr">
        <is>
          <t>GOTLANDS LÄN</t>
        </is>
      </c>
      <c r="E145" t="inlineStr">
        <is>
          <t>GOTLAND</t>
        </is>
      </c>
      <c r="G145" t="n">
        <v>2</v>
      </c>
      <c r="H145" t="n">
        <v>1</v>
      </c>
      <c r="I145" t="n">
        <v>1</v>
      </c>
      <c r="J145" t="n">
        <v>1</v>
      </c>
      <c r="K145" t="n">
        <v>0</v>
      </c>
      <c r="L145" t="n">
        <v>0</v>
      </c>
      <c r="M145" t="n">
        <v>0</v>
      </c>
      <c r="N145" t="n">
        <v>0</v>
      </c>
      <c r="O145" t="n">
        <v>1</v>
      </c>
      <c r="P145" t="n">
        <v>0</v>
      </c>
      <c r="Q145" t="n">
        <v>2</v>
      </c>
      <c r="R145" s="2" t="inlineStr">
        <is>
          <t>Svinrot
Tvåblad</t>
        </is>
      </c>
      <c r="S145">
        <f>HYPERLINK("https://klasma.github.io/Logging_0980/artfynd/A 49411-2023 artfynd.xlsx", "A 49411-2023")</f>
        <v/>
      </c>
      <c r="T145">
        <f>HYPERLINK("https://klasma.github.io/Logging_0980/kartor/A 49411-2023 karta.png", "A 49411-2023")</f>
        <v/>
      </c>
      <c r="V145">
        <f>HYPERLINK("https://klasma.github.io/Logging_0980/klagomål/A 49411-2023 FSC-klagomål.docx", "A 49411-2023")</f>
        <v/>
      </c>
      <c r="W145">
        <f>HYPERLINK("https://klasma.github.io/Logging_0980/klagomålsmail/A 49411-2023 FSC-klagomål mail.docx", "A 49411-2023")</f>
        <v/>
      </c>
      <c r="X145">
        <f>HYPERLINK("https://klasma.github.io/Logging_0980/tillsyn/A 49411-2023 tillsynsbegäran.docx", "A 49411-2023")</f>
        <v/>
      </c>
      <c r="Y145">
        <f>HYPERLINK("https://klasma.github.io/Logging_0980/tillsynsmail/A 49411-2023 tillsynsbegäran mail.docx", "A 49411-2023")</f>
        <v/>
      </c>
    </row>
    <row r="146" ht="15" customHeight="1">
      <c r="A146" t="inlineStr">
        <is>
          <t>A 49314-2024</t>
        </is>
      </c>
      <c r="B146" s="1" t="n">
        <v>45595</v>
      </c>
      <c r="C146" s="1" t="n">
        <v>46196</v>
      </c>
      <c r="D146" t="inlineStr">
        <is>
          <t>GOTLANDS LÄN</t>
        </is>
      </c>
      <c r="E146" t="inlineStr">
        <is>
          <t>GOTLAND</t>
        </is>
      </c>
      <c r="G146" t="n">
        <v>1.1</v>
      </c>
      <c r="H146" t="n">
        <v>0</v>
      </c>
      <c r="I146" t="n">
        <v>1</v>
      </c>
      <c r="J146" t="n">
        <v>0</v>
      </c>
      <c r="K146" t="n">
        <v>1</v>
      </c>
      <c r="L146" t="n">
        <v>0</v>
      </c>
      <c r="M146" t="n">
        <v>0</v>
      </c>
      <c r="N146" t="n">
        <v>0</v>
      </c>
      <c r="O146" t="n">
        <v>1</v>
      </c>
      <c r="P146" t="n">
        <v>1</v>
      </c>
      <c r="Q146" t="n">
        <v>2</v>
      </c>
      <c r="R146" s="2" t="inlineStr">
        <is>
          <t>Skogskorn
Underviol</t>
        </is>
      </c>
      <c r="S146">
        <f>HYPERLINK("https://klasma.github.io/Logging_0980/artfynd/A 49314-2024 artfynd.xlsx", "A 49314-2024")</f>
        <v/>
      </c>
      <c r="T146">
        <f>HYPERLINK("https://klasma.github.io/Logging_0980/kartor/A 49314-2024 karta.png", "A 49314-2024")</f>
        <v/>
      </c>
      <c r="V146">
        <f>HYPERLINK("https://klasma.github.io/Logging_0980/klagomål/A 49314-2024 FSC-klagomål.docx", "A 49314-2024")</f>
        <v/>
      </c>
      <c r="W146">
        <f>HYPERLINK("https://klasma.github.io/Logging_0980/klagomålsmail/A 49314-2024 FSC-klagomål mail.docx", "A 49314-2024")</f>
        <v/>
      </c>
      <c r="X146">
        <f>HYPERLINK("https://klasma.github.io/Logging_0980/tillsyn/A 49314-2024 tillsynsbegäran.docx", "A 49314-2024")</f>
        <v/>
      </c>
      <c r="Y146">
        <f>HYPERLINK("https://klasma.github.io/Logging_0980/tillsynsmail/A 49314-2024 tillsynsbegäran mail.docx", "A 49314-2024")</f>
        <v/>
      </c>
    </row>
    <row r="147" ht="15" customHeight="1">
      <c r="A147" t="inlineStr">
        <is>
          <t>A 26077-2024</t>
        </is>
      </c>
      <c r="B147" s="1" t="n">
        <v>45467</v>
      </c>
      <c r="C147" s="1" t="n">
        <v>46196</v>
      </c>
      <c r="D147" t="inlineStr">
        <is>
          <t>GOTLANDS LÄN</t>
        </is>
      </c>
      <c r="E147" t="inlineStr">
        <is>
          <t>GOTLAND</t>
        </is>
      </c>
      <c r="G147" t="n">
        <v>4.6</v>
      </c>
      <c r="H147" t="n">
        <v>0</v>
      </c>
      <c r="I147" t="n">
        <v>0</v>
      </c>
      <c r="J147" t="n">
        <v>1</v>
      </c>
      <c r="K147" t="n">
        <v>0</v>
      </c>
      <c r="L147" t="n">
        <v>1</v>
      </c>
      <c r="M147" t="n">
        <v>0</v>
      </c>
      <c r="N147" t="n">
        <v>0</v>
      </c>
      <c r="O147" t="n">
        <v>2</v>
      </c>
      <c r="P147" t="n">
        <v>1</v>
      </c>
      <c r="Q147" t="n">
        <v>2</v>
      </c>
      <c r="R147" s="2" t="inlineStr">
        <is>
          <t>Ask
Tallticka</t>
        </is>
      </c>
      <c r="S147">
        <f>HYPERLINK("https://klasma.github.io/Logging_0980/artfynd/A 26077-2024 artfynd.xlsx", "A 26077-2024")</f>
        <v/>
      </c>
      <c r="T147">
        <f>HYPERLINK("https://klasma.github.io/Logging_0980/kartor/A 26077-2024 karta.png", "A 26077-2024")</f>
        <v/>
      </c>
      <c r="V147">
        <f>HYPERLINK("https://klasma.github.io/Logging_0980/klagomål/A 26077-2024 FSC-klagomål.docx", "A 26077-2024")</f>
        <v/>
      </c>
      <c r="W147">
        <f>HYPERLINK("https://klasma.github.io/Logging_0980/klagomålsmail/A 26077-2024 FSC-klagomål mail.docx", "A 26077-2024")</f>
        <v/>
      </c>
      <c r="X147">
        <f>HYPERLINK("https://klasma.github.io/Logging_0980/tillsyn/A 26077-2024 tillsynsbegäran.docx", "A 26077-2024")</f>
        <v/>
      </c>
      <c r="Y147">
        <f>HYPERLINK("https://klasma.github.io/Logging_0980/tillsynsmail/A 26077-2024 tillsynsbegäran mail.docx", "A 26077-2024")</f>
        <v/>
      </c>
    </row>
    <row r="148" ht="15" customHeight="1">
      <c r="A148" t="inlineStr">
        <is>
          <t>A 8036-2022</t>
        </is>
      </c>
      <c r="B148" s="1" t="n">
        <v>44609</v>
      </c>
      <c r="C148" s="1" t="n">
        <v>46196</v>
      </c>
      <c r="D148" t="inlineStr">
        <is>
          <t>GOTLANDS LÄN</t>
        </is>
      </c>
      <c r="E148" t="inlineStr">
        <is>
          <t>GOTLAND</t>
        </is>
      </c>
      <c r="G148" t="n">
        <v>6.1</v>
      </c>
      <c r="H148" t="n">
        <v>2</v>
      </c>
      <c r="I148" t="n">
        <v>0</v>
      </c>
      <c r="J148" t="n">
        <v>1</v>
      </c>
      <c r="K148" t="n">
        <v>1</v>
      </c>
      <c r="L148" t="n">
        <v>0</v>
      </c>
      <c r="M148" t="n">
        <v>0</v>
      </c>
      <c r="N148" t="n">
        <v>0</v>
      </c>
      <c r="O148" t="n">
        <v>2</v>
      </c>
      <c r="P148" t="n">
        <v>1</v>
      </c>
      <c r="Q148" t="n">
        <v>2</v>
      </c>
      <c r="R148" s="2" t="inlineStr">
        <is>
          <t>Grönfink
Grönsångare</t>
        </is>
      </c>
      <c r="S148">
        <f>HYPERLINK("https://klasma.github.io/Logging_0980/artfynd/A 8036-2022 artfynd.xlsx", "A 8036-2022")</f>
        <v/>
      </c>
      <c r="T148">
        <f>HYPERLINK("https://klasma.github.io/Logging_0980/kartor/A 8036-2022 karta.png", "A 8036-2022")</f>
        <v/>
      </c>
      <c r="V148">
        <f>HYPERLINK("https://klasma.github.io/Logging_0980/klagomål/A 8036-2022 FSC-klagomål.docx", "A 8036-2022")</f>
        <v/>
      </c>
      <c r="W148">
        <f>HYPERLINK("https://klasma.github.io/Logging_0980/klagomålsmail/A 8036-2022 FSC-klagomål mail.docx", "A 8036-2022")</f>
        <v/>
      </c>
      <c r="X148">
        <f>HYPERLINK("https://klasma.github.io/Logging_0980/tillsyn/A 8036-2022 tillsynsbegäran.docx", "A 8036-2022")</f>
        <v/>
      </c>
      <c r="Y148">
        <f>HYPERLINK("https://klasma.github.io/Logging_0980/tillsynsmail/A 8036-2022 tillsynsbegäran mail.docx", "A 8036-2022")</f>
        <v/>
      </c>
      <c r="Z148">
        <f>HYPERLINK("https://klasma.github.io/Logging_0980/fåglar/A 8036-2022 prioriterade fågelarter.docx", "A 8036-2022")</f>
        <v/>
      </c>
    </row>
    <row r="149" ht="15" customHeight="1">
      <c r="A149" t="inlineStr">
        <is>
          <t>A 12209-2024</t>
        </is>
      </c>
      <c r="B149" s="1" t="n">
        <v>45378</v>
      </c>
      <c r="C149" s="1" t="n">
        <v>46196</v>
      </c>
      <c r="D149" t="inlineStr">
        <is>
          <t>GOTLANDS LÄN</t>
        </is>
      </c>
      <c r="E149" t="inlineStr">
        <is>
          <t>GOTLAND</t>
        </is>
      </c>
      <c r="G149" t="n">
        <v>5.3</v>
      </c>
      <c r="H149" t="n">
        <v>0</v>
      </c>
      <c r="I149" t="n">
        <v>0</v>
      </c>
      <c r="J149" t="n">
        <v>1</v>
      </c>
      <c r="K149" t="n">
        <v>1</v>
      </c>
      <c r="L149" t="n">
        <v>0</v>
      </c>
      <c r="M149" t="n">
        <v>0</v>
      </c>
      <c r="N149" t="n">
        <v>0</v>
      </c>
      <c r="O149" t="n">
        <v>2</v>
      </c>
      <c r="P149" t="n">
        <v>1</v>
      </c>
      <c r="Q149" t="n">
        <v>2</v>
      </c>
      <c r="R149" s="2" t="inlineStr">
        <is>
          <t>Oxhorndyvel
Krokhorndyvel</t>
        </is>
      </c>
      <c r="S149">
        <f>HYPERLINK("https://klasma.github.io/Logging_0980/artfynd/A 12209-2024 artfynd.xlsx", "A 12209-2024")</f>
        <v/>
      </c>
      <c r="T149">
        <f>HYPERLINK("https://klasma.github.io/Logging_0980/kartor/A 12209-2024 karta.png", "A 12209-2024")</f>
        <v/>
      </c>
      <c r="V149">
        <f>HYPERLINK("https://klasma.github.io/Logging_0980/klagomål/A 12209-2024 FSC-klagomål.docx", "A 12209-2024")</f>
        <v/>
      </c>
      <c r="W149">
        <f>HYPERLINK("https://klasma.github.io/Logging_0980/klagomålsmail/A 12209-2024 FSC-klagomål mail.docx", "A 12209-2024")</f>
        <v/>
      </c>
      <c r="X149">
        <f>HYPERLINK("https://klasma.github.io/Logging_0980/tillsyn/A 12209-2024 tillsynsbegäran.docx", "A 12209-2024")</f>
        <v/>
      </c>
      <c r="Y149">
        <f>HYPERLINK("https://klasma.github.io/Logging_0980/tillsynsmail/A 12209-2024 tillsynsbegäran mail.docx", "A 12209-2024")</f>
        <v/>
      </c>
    </row>
    <row r="150" ht="15" customHeight="1">
      <c r="A150" t="inlineStr">
        <is>
          <t>A 28276-2024</t>
        </is>
      </c>
      <c r="B150" s="1" t="n">
        <v>45477</v>
      </c>
      <c r="C150" s="1" t="n">
        <v>46196</v>
      </c>
      <c r="D150" t="inlineStr">
        <is>
          <t>GOTLANDS LÄN</t>
        </is>
      </c>
      <c r="E150" t="inlineStr">
        <is>
          <t>GOTLAND</t>
        </is>
      </c>
      <c r="G150" t="n">
        <v>22.8</v>
      </c>
      <c r="H150" t="n">
        <v>0</v>
      </c>
      <c r="I150" t="n">
        <v>0</v>
      </c>
      <c r="J150" t="n">
        <v>2</v>
      </c>
      <c r="K150" t="n">
        <v>0</v>
      </c>
      <c r="L150" t="n">
        <v>0</v>
      </c>
      <c r="M150" t="n">
        <v>0</v>
      </c>
      <c r="N150" t="n">
        <v>0</v>
      </c>
      <c r="O150" t="n">
        <v>2</v>
      </c>
      <c r="P150" t="n">
        <v>0</v>
      </c>
      <c r="Q150" t="n">
        <v>2</v>
      </c>
      <c r="R150" s="2" t="inlineStr">
        <is>
          <t>Grådådra
Åkerkulla</t>
        </is>
      </c>
      <c r="S150">
        <f>HYPERLINK("https://klasma.github.io/Logging_0980/artfynd/A 28276-2024 artfynd.xlsx", "A 28276-2024")</f>
        <v/>
      </c>
      <c r="T150">
        <f>HYPERLINK("https://klasma.github.io/Logging_0980/kartor/A 28276-2024 karta.png", "A 28276-2024")</f>
        <v/>
      </c>
      <c r="V150">
        <f>HYPERLINK("https://klasma.github.io/Logging_0980/klagomål/A 28276-2024 FSC-klagomål.docx", "A 28276-2024")</f>
        <v/>
      </c>
      <c r="W150">
        <f>HYPERLINK("https://klasma.github.io/Logging_0980/klagomålsmail/A 28276-2024 FSC-klagomål mail.docx", "A 28276-2024")</f>
        <v/>
      </c>
      <c r="X150">
        <f>HYPERLINK("https://klasma.github.io/Logging_0980/tillsyn/A 28276-2024 tillsynsbegäran.docx", "A 28276-2024")</f>
        <v/>
      </c>
      <c r="Y150">
        <f>HYPERLINK("https://klasma.github.io/Logging_0980/tillsynsmail/A 28276-2024 tillsynsbegäran mail.docx", "A 28276-2024")</f>
        <v/>
      </c>
    </row>
    <row r="151" ht="15" customHeight="1">
      <c r="A151" t="inlineStr">
        <is>
          <t>A 46362-2021</t>
        </is>
      </c>
      <c r="B151" s="1" t="n">
        <v>44442</v>
      </c>
      <c r="C151" s="1" t="n">
        <v>46196</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46196</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46196</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46196</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46196</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22883-2024</t>
        </is>
      </c>
      <c r="B156" s="1" t="n">
        <v>45448</v>
      </c>
      <c r="C156" s="1" t="n">
        <v>46196</v>
      </c>
      <c r="D156" t="inlineStr">
        <is>
          <t>GOTLANDS LÄN</t>
        </is>
      </c>
      <c r="E156" t="inlineStr">
        <is>
          <t>GOTLAND</t>
        </is>
      </c>
      <c r="G156" t="n">
        <v>0.5</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22883-2024 artfynd.xlsx", "A 22883-2024")</f>
        <v/>
      </c>
      <c r="T156">
        <f>HYPERLINK("https://klasma.github.io/Logging_0980/kartor/A 22883-2024 karta.png", "A 22883-2024")</f>
        <v/>
      </c>
      <c r="V156">
        <f>HYPERLINK("https://klasma.github.io/Logging_0980/klagomål/A 22883-2024 FSC-klagomål.docx", "A 22883-2024")</f>
        <v/>
      </c>
      <c r="W156">
        <f>HYPERLINK("https://klasma.github.io/Logging_0980/klagomålsmail/A 22883-2024 FSC-klagomål mail.docx", "A 22883-2024")</f>
        <v/>
      </c>
      <c r="X156">
        <f>HYPERLINK("https://klasma.github.io/Logging_0980/tillsyn/A 22883-2024 tillsynsbegäran.docx", "A 22883-2024")</f>
        <v/>
      </c>
      <c r="Y156">
        <f>HYPERLINK("https://klasma.github.io/Logging_0980/tillsynsmail/A 22883-2024 tillsynsbegäran mail.docx", "A 22883-2024")</f>
        <v/>
      </c>
    </row>
    <row r="157" ht="15" customHeight="1">
      <c r="A157" t="inlineStr">
        <is>
          <t>A 63229-2021</t>
        </is>
      </c>
      <c r="B157" s="1" t="n">
        <v>44508</v>
      </c>
      <c r="C157" s="1" t="n">
        <v>46196</v>
      </c>
      <c r="D157" t="inlineStr">
        <is>
          <t>GOTLANDS LÄN</t>
        </is>
      </c>
      <c r="E157" t="inlineStr">
        <is>
          <t>GOTLAND</t>
        </is>
      </c>
      <c r="F157" t="inlineStr">
        <is>
          <t>Kyrkan</t>
        </is>
      </c>
      <c r="G157" t="n">
        <v>3.8</v>
      </c>
      <c r="H157" t="n">
        <v>0</v>
      </c>
      <c r="I157" t="n">
        <v>0</v>
      </c>
      <c r="J157" t="n">
        <v>1</v>
      </c>
      <c r="K157" t="n">
        <v>0</v>
      </c>
      <c r="L157" t="n">
        <v>0</v>
      </c>
      <c r="M157" t="n">
        <v>0</v>
      </c>
      <c r="N157" t="n">
        <v>0</v>
      </c>
      <c r="O157" t="n">
        <v>1</v>
      </c>
      <c r="P157" t="n">
        <v>0</v>
      </c>
      <c r="Q157" t="n">
        <v>1</v>
      </c>
      <c r="R157" s="2" t="inlineStr">
        <is>
          <t>Backtimjan</t>
        </is>
      </c>
      <c r="S157">
        <f>HYPERLINK("https://klasma.github.io/Logging_0980/artfynd/A 63229-2021 artfynd.xlsx", "A 63229-2021")</f>
        <v/>
      </c>
      <c r="T157">
        <f>HYPERLINK("https://klasma.github.io/Logging_0980/kartor/A 63229-2021 karta.png", "A 63229-2021")</f>
        <v/>
      </c>
      <c r="V157">
        <f>HYPERLINK("https://klasma.github.io/Logging_0980/klagomål/A 63229-2021 FSC-klagomål.docx", "A 63229-2021")</f>
        <v/>
      </c>
      <c r="W157">
        <f>HYPERLINK("https://klasma.github.io/Logging_0980/klagomålsmail/A 63229-2021 FSC-klagomål mail.docx", "A 63229-2021")</f>
        <v/>
      </c>
      <c r="X157">
        <f>HYPERLINK("https://klasma.github.io/Logging_0980/tillsyn/A 63229-2021 tillsynsbegäran.docx", "A 63229-2021")</f>
        <v/>
      </c>
      <c r="Y157">
        <f>HYPERLINK("https://klasma.github.io/Logging_0980/tillsynsmail/A 63229-2021 tillsynsbegäran mail.docx", "A 63229-2021")</f>
        <v/>
      </c>
    </row>
    <row r="158" ht="15" customHeight="1">
      <c r="A158" t="inlineStr">
        <is>
          <t>A 24245-2022</t>
        </is>
      </c>
      <c r="B158" s="1" t="n">
        <v>44725</v>
      </c>
      <c r="C158" s="1" t="n">
        <v>46196</v>
      </c>
      <c r="D158" t="inlineStr">
        <is>
          <t>GOTLANDS LÄN</t>
        </is>
      </c>
      <c r="E158" t="inlineStr">
        <is>
          <t>GOTLAND</t>
        </is>
      </c>
      <c r="G158" t="n">
        <v>4.9</v>
      </c>
      <c r="H158" t="n">
        <v>0</v>
      </c>
      <c r="I158" t="n">
        <v>0</v>
      </c>
      <c r="J158" t="n">
        <v>0</v>
      </c>
      <c r="K158" t="n">
        <v>0</v>
      </c>
      <c r="L158" t="n">
        <v>1</v>
      </c>
      <c r="M158" t="n">
        <v>0</v>
      </c>
      <c r="N158" t="n">
        <v>0</v>
      </c>
      <c r="O158" t="n">
        <v>1</v>
      </c>
      <c r="P158" t="n">
        <v>1</v>
      </c>
      <c r="Q158" t="n">
        <v>1</v>
      </c>
      <c r="R158" s="2" t="inlineStr">
        <is>
          <t>Slät taggsvamp</t>
        </is>
      </c>
      <c r="S158">
        <f>HYPERLINK("https://klasma.github.io/Logging_0980/artfynd/A 24245-2022 artfynd.xlsx", "A 24245-2022")</f>
        <v/>
      </c>
      <c r="T158">
        <f>HYPERLINK("https://klasma.github.io/Logging_0980/kartor/A 24245-2022 karta.png", "A 24245-2022")</f>
        <v/>
      </c>
      <c r="V158">
        <f>HYPERLINK("https://klasma.github.io/Logging_0980/klagomål/A 24245-2022 FSC-klagomål.docx", "A 24245-2022")</f>
        <v/>
      </c>
      <c r="W158">
        <f>HYPERLINK("https://klasma.github.io/Logging_0980/klagomålsmail/A 24245-2022 FSC-klagomål mail.docx", "A 24245-2022")</f>
        <v/>
      </c>
      <c r="X158">
        <f>HYPERLINK("https://klasma.github.io/Logging_0980/tillsyn/A 24245-2022 tillsynsbegäran.docx", "A 24245-2022")</f>
        <v/>
      </c>
      <c r="Y158">
        <f>HYPERLINK("https://klasma.github.io/Logging_0980/tillsynsmail/A 24245-2022 tillsynsbegäran mail.docx", "A 24245-2022")</f>
        <v/>
      </c>
    </row>
    <row r="159" ht="15" customHeight="1">
      <c r="A159" t="inlineStr">
        <is>
          <t>A 27593-2023</t>
        </is>
      </c>
      <c r="B159" s="1" t="n">
        <v>45097</v>
      </c>
      <c r="C159" s="1" t="n">
        <v>46196</v>
      </c>
      <c r="D159" t="inlineStr">
        <is>
          <t>GOTLANDS LÄN</t>
        </is>
      </c>
      <c r="E159" t="inlineStr">
        <is>
          <t>GOTLAND</t>
        </is>
      </c>
      <c r="G159" t="n">
        <v>3.1</v>
      </c>
      <c r="H159" t="n">
        <v>1</v>
      </c>
      <c r="I159" t="n">
        <v>0</v>
      </c>
      <c r="J159" t="n">
        <v>0</v>
      </c>
      <c r="K159" t="n">
        <v>0</v>
      </c>
      <c r="L159" t="n">
        <v>1</v>
      </c>
      <c r="M159" t="n">
        <v>0</v>
      </c>
      <c r="N159" t="n">
        <v>0</v>
      </c>
      <c r="O159" t="n">
        <v>1</v>
      </c>
      <c r="P159" t="n">
        <v>1</v>
      </c>
      <c r="Q159" t="n">
        <v>1</v>
      </c>
      <c r="R159" s="2" t="inlineStr">
        <is>
          <t>Spjutsporre</t>
        </is>
      </c>
      <c r="S159">
        <f>HYPERLINK("https://klasma.github.io/Logging_0980/artfynd/A 27593-2023 artfynd.xlsx", "A 27593-2023")</f>
        <v/>
      </c>
      <c r="T159">
        <f>HYPERLINK("https://klasma.github.io/Logging_0980/kartor/A 27593-2023 karta.png", "A 27593-2023")</f>
        <v/>
      </c>
      <c r="V159">
        <f>HYPERLINK("https://klasma.github.io/Logging_0980/klagomål/A 27593-2023 FSC-klagomål.docx", "A 27593-2023")</f>
        <v/>
      </c>
      <c r="W159">
        <f>HYPERLINK("https://klasma.github.io/Logging_0980/klagomålsmail/A 27593-2023 FSC-klagomål mail.docx", "A 27593-2023")</f>
        <v/>
      </c>
      <c r="X159">
        <f>HYPERLINK("https://klasma.github.io/Logging_0980/tillsyn/A 27593-2023 tillsynsbegäran.docx", "A 27593-2023")</f>
        <v/>
      </c>
      <c r="Y159">
        <f>HYPERLINK("https://klasma.github.io/Logging_0980/tillsynsmail/A 27593-2023 tillsynsbegäran mail.docx", "A 27593-2023")</f>
        <v/>
      </c>
    </row>
    <row r="160" ht="15" customHeight="1">
      <c r="A160" t="inlineStr">
        <is>
          <t>A 23856-2025</t>
        </is>
      </c>
      <c r="B160" s="1" t="n">
        <v>45793</v>
      </c>
      <c r="C160" s="1" t="n">
        <v>46196</v>
      </c>
      <c r="D160" t="inlineStr">
        <is>
          <t>GOTLANDS LÄN</t>
        </is>
      </c>
      <c r="E160" t="inlineStr">
        <is>
          <t>GOTLAND</t>
        </is>
      </c>
      <c r="G160" t="n">
        <v>4.4</v>
      </c>
      <c r="H160" t="n">
        <v>0</v>
      </c>
      <c r="I160" t="n">
        <v>0</v>
      </c>
      <c r="J160" t="n">
        <v>1</v>
      </c>
      <c r="K160" t="n">
        <v>0</v>
      </c>
      <c r="L160" t="n">
        <v>0</v>
      </c>
      <c r="M160" t="n">
        <v>0</v>
      </c>
      <c r="N160" t="n">
        <v>0</v>
      </c>
      <c r="O160" t="n">
        <v>1</v>
      </c>
      <c r="P160" t="n">
        <v>0</v>
      </c>
      <c r="Q160" t="n">
        <v>1</v>
      </c>
      <c r="R160" s="2" t="inlineStr">
        <is>
          <t>Vittåtel</t>
        </is>
      </c>
      <c r="S160">
        <f>HYPERLINK("https://klasma.github.io/Logging_0980/artfynd/A 23856-2025 artfynd.xlsx", "A 23856-2025")</f>
        <v/>
      </c>
      <c r="T160">
        <f>HYPERLINK("https://klasma.github.io/Logging_0980/kartor/A 23856-2025 karta.png", "A 23856-2025")</f>
        <v/>
      </c>
      <c r="V160">
        <f>HYPERLINK("https://klasma.github.io/Logging_0980/klagomål/A 23856-2025 FSC-klagomål.docx", "A 23856-2025")</f>
        <v/>
      </c>
      <c r="W160">
        <f>HYPERLINK("https://klasma.github.io/Logging_0980/klagomålsmail/A 23856-2025 FSC-klagomål mail.docx", "A 23856-2025")</f>
        <v/>
      </c>
      <c r="X160">
        <f>HYPERLINK("https://klasma.github.io/Logging_0980/tillsyn/A 23856-2025 tillsynsbegäran.docx", "A 23856-2025")</f>
        <v/>
      </c>
      <c r="Y160">
        <f>HYPERLINK("https://klasma.github.io/Logging_0980/tillsynsmail/A 23856-2025 tillsynsbegäran mail.docx", "A 23856-2025")</f>
        <v/>
      </c>
    </row>
    <row r="161" ht="15" customHeight="1">
      <c r="A161" t="inlineStr">
        <is>
          <t>A 35467-2021</t>
        </is>
      </c>
      <c r="B161" s="1" t="n">
        <v>44385</v>
      </c>
      <c r="C161" s="1" t="n">
        <v>46196</v>
      </c>
      <c r="D161" t="inlineStr">
        <is>
          <t>GOTLANDS LÄN</t>
        </is>
      </c>
      <c r="E161" t="inlineStr">
        <is>
          <t>GOTLAND</t>
        </is>
      </c>
      <c r="G161" t="n">
        <v>12.7</v>
      </c>
      <c r="H161" t="n">
        <v>0</v>
      </c>
      <c r="I161" t="n">
        <v>0</v>
      </c>
      <c r="J161" t="n">
        <v>1</v>
      </c>
      <c r="K161" t="n">
        <v>0</v>
      </c>
      <c r="L161" t="n">
        <v>0</v>
      </c>
      <c r="M161" t="n">
        <v>0</v>
      </c>
      <c r="N161" t="n">
        <v>0</v>
      </c>
      <c r="O161" t="n">
        <v>1</v>
      </c>
      <c r="P161" t="n">
        <v>0</v>
      </c>
      <c r="Q161" t="n">
        <v>1</v>
      </c>
      <c r="R161" s="2" t="inlineStr">
        <is>
          <t>Loppstarr</t>
        </is>
      </c>
      <c r="S161">
        <f>HYPERLINK("https://klasma.github.io/Logging_0980/artfynd/A 35467-2021 artfynd.xlsx", "A 35467-2021")</f>
        <v/>
      </c>
      <c r="T161">
        <f>HYPERLINK("https://klasma.github.io/Logging_0980/kartor/A 35467-2021 karta.png", "A 35467-2021")</f>
        <v/>
      </c>
      <c r="V161">
        <f>HYPERLINK("https://klasma.github.io/Logging_0980/klagomål/A 35467-2021 FSC-klagomål.docx", "A 35467-2021")</f>
        <v/>
      </c>
      <c r="W161">
        <f>HYPERLINK("https://klasma.github.io/Logging_0980/klagomålsmail/A 35467-2021 FSC-klagomål mail.docx", "A 35467-2021")</f>
        <v/>
      </c>
      <c r="X161">
        <f>HYPERLINK("https://klasma.github.io/Logging_0980/tillsyn/A 35467-2021 tillsynsbegäran.docx", "A 35467-2021")</f>
        <v/>
      </c>
      <c r="Y161">
        <f>HYPERLINK("https://klasma.github.io/Logging_0980/tillsynsmail/A 35467-2021 tillsynsbegäran mail.docx", "A 35467-2021")</f>
        <v/>
      </c>
    </row>
    <row r="162" ht="15" customHeight="1">
      <c r="A162" t="inlineStr">
        <is>
          <t>A 6739-2025</t>
        </is>
      </c>
      <c r="B162" s="1" t="n">
        <v>45700</v>
      </c>
      <c r="C162" s="1" t="n">
        <v>46196</v>
      </c>
      <c r="D162" t="inlineStr">
        <is>
          <t>GOTLANDS LÄN</t>
        </is>
      </c>
      <c r="E162" t="inlineStr">
        <is>
          <t>GOTLAND</t>
        </is>
      </c>
      <c r="G162" t="n">
        <v>4.5</v>
      </c>
      <c r="H162" t="n">
        <v>1</v>
      </c>
      <c r="I162" t="n">
        <v>0</v>
      </c>
      <c r="J162" t="n">
        <v>0</v>
      </c>
      <c r="K162" t="n">
        <v>0</v>
      </c>
      <c r="L162" t="n">
        <v>0</v>
      </c>
      <c r="M162" t="n">
        <v>0</v>
      </c>
      <c r="N162" t="n">
        <v>0</v>
      </c>
      <c r="O162" t="n">
        <v>0</v>
      </c>
      <c r="P162" t="n">
        <v>0</v>
      </c>
      <c r="Q162" t="n">
        <v>1</v>
      </c>
      <c r="R162" s="2" t="inlineStr">
        <is>
          <t>Röd glada</t>
        </is>
      </c>
      <c r="S162">
        <f>HYPERLINK("https://klasma.github.io/Logging_0980/artfynd/A 6739-2025 artfynd.xlsx", "A 6739-2025")</f>
        <v/>
      </c>
      <c r="T162">
        <f>HYPERLINK("https://klasma.github.io/Logging_0980/kartor/A 6739-2025 karta.png", "A 6739-2025")</f>
        <v/>
      </c>
      <c r="V162">
        <f>HYPERLINK("https://klasma.github.io/Logging_0980/klagomål/A 6739-2025 FSC-klagomål.docx", "A 6739-2025")</f>
        <v/>
      </c>
      <c r="W162">
        <f>HYPERLINK("https://klasma.github.io/Logging_0980/klagomålsmail/A 6739-2025 FSC-klagomål mail.docx", "A 6739-2025")</f>
        <v/>
      </c>
      <c r="X162">
        <f>HYPERLINK("https://klasma.github.io/Logging_0980/tillsyn/A 6739-2025 tillsynsbegäran.docx", "A 6739-2025")</f>
        <v/>
      </c>
      <c r="Y162">
        <f>HYPERLINK("https://klasma.github.io/Logging_0980/tillsynsmail/A 6739-2025 tillsynsbegäran mail.docx", "A 6739-2025")</f>
        <v/>
      </c>
      <c r="Z162">
        <f>HYPERLINK("https://klasma.github.io/Logging_0980/fåglar/A 6739-2025 prioriterade fågelarter.docx", "A 6739-2025")</f>
        <v/>
      </c>
    </row>
    <row r="163" ht="15" customHeight="1">
      <c r="A163" t="inlineStr">
        <is>
          <t>A 5751-2024</t>
        </is>
      </c>
      <c r="B163" s="1" t="n">
        <v>45335</v>
      </c>
      <c r="C163" s="1" t="n">
        <v>46196</v>
      </c>
      <c r="D163" t="inlineStr">
        <is>
          <t>GOTLANDS LÄN</t>
        </is>
      </c>
      <c r="E163" t="inlineStr">
        <is>
          <t>GOTLAND</t>
        </is>
      </c>
      <c r="G163" t="n">
        <v>4.2</v>
      </c>
      <c r="H163" t="n">
        <v>0</v>
      </c>
      <c r="I163" t="n">
        <v>0</v>
      </c>
      <c r="J163" t="n">
        <v>1</v>
      </c>
      <c r="K163" t="n">
        <v>0</v>
      </c>
      <c r="L163" t="n">
        <v>0</v>
      </c>
      <c r="M163" t="n">
        <v>0</v>
      </c>
      <c r="N163" t="n">
        <v>0</v>
      </c>
      <c r="O163" t="n">
        <v>1</v>
      </c>
      <c r="P163" t="n">
        <v>0</v>
      </c>
      <c r="Q163" t="n">
        <v>1</v>
      </c>
      <c r="R163" s="2" t="inlineStr">
        <is>
          <t>Svinrot</t>
        </is>
      </c>
      <c r="S163">
        <f>HYPERLINK("https://klasma.github.io/Logging_0980/artfynd/A 5751-2024 artfynd.xlsx", "A 5751-2024")</f>
        <v/>
      </c>
      <c r="T163">
        <f>HYPERLINK("https://klasma.github.io/Logging_0980/kartor/A 5751-2024 karta.png", "A 5751-2024")</f>
        <v/>
      </c>
      <c r="V163">
        <f>HYPERLINK("https://klasma.github.io/Logging_0980/klagomål/A 5751-2024 FSC-klagomål.docx", "A 5751-2024")</f>
        <v/>
      </c>
      <c r="W163">
        <f>HYPERLINK("https://klasma.github.io/Logging_0980/klagomålsmail/A 5751-2024 FSC-klagomål mail.docx", "A 5751-2024")</f>
        <v/>
      </c>
      <c r="X163">
        <f>HYPERLINK("https://klasma.github.io/Logging_0980/tillsyn/A 5751-2024 tillsynsbegäran.docx", "A 5751-2024")</f>
        <v/>
      </c>
      <c r="Y163">
        <f>HYPERLINK("https://klasma.github.io/Logging_0980/tillsynsmail/A 5751-2024 tillsynsbegäran mail.docx", "A 5751-2024")</f>
        <v/>
      </c>
    </row>
    <row r="164" ht="15" customHeight="1">
      <c r="A164" t="inlineStr">
        <is>
          <t>A 9862-2024</t>
        </is>
      </c>
      <c r="B164" s="1" t="n">
        <v>45363</v>
      </c>
      <c r="C164" s="1" t="n">
        <v>46196</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34141-2024</t>
        </is>
      </c>
      <c r="B165" s="1" t="n">
        <v>45524</v>
      </c>
      <c r="C165" s="1" t="n">
        <v>46196</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30104-2025</t>
        </is>
      </c>
      <c r="B166" s="1" t="n">
        <v>45826</v>
      </c>
      <c r="C166" s="1" t="n">
        <v>46196</v>
      </c>
      <c r="D166" t="inlineStr">
        <is>
          <t>GOTLANDS LÄN</t>
        </is>
      </c>
      <c r="E166" t="inlineStr">
        <is>
          <t>GOTLAND</t>
        </is>
      </c>
      <c r="G166" t="n">
        <v>15.4</v>
      </c>
      <c r="H166" t="n">
        <v>0</v>
      </c>
      <c r="I166" t="n">
        <v>1</v>
      </c>
      <c r="J166" t="n">
        <v>0</v>
      </c>
      <c r="K166" t="n">
        <v>0</v>
      </c>
      <c r="L166" t="n">
        <v>0</v>
      </c>
      <c r="M166" t="n">
        <v>0</v>
      </c>
      <c r="N166" t="n">
        <v>0</v>
      </c>
      <c r="O166" t="n">
        <v>0</v>
      </c>
      <c r="P166" t="n">
        <v>0</v>
      </c>
      <c r="Q166" t="n">
        <v>1</v>
      </c>
      <c r="R166" s="2" t="inlineStr">
        <is>
          <t>Blåmossa</t>
        </is>
      </c>
      <c r="S166">
        <f>HYPERLINK("https://klasma.github.io/Logging_0980/artfynd/A 30104-2025 artfynd.xlsx", "A 30104-2025")</f>
        <v/>
      </c>
      <c r="T166">
        <f>HYPERLINK("https://klasma.github.io/Logging_0980/kartor/A 30104-2025 karta.png", "A 30104-2025")</f>
        <v/>
      </c>
      <c r="V166">
        <f>HYPERLINK("https://klasma.github.io/Logging_0980/klagomål/A 30104-2025 FSC-klagomål.docx", "A 30104-2025")</f>
        <v/>
      </c>
      <c r="W166">
        <f>HYPERLINK("https://klasma.github.io/Logging_0980/klagomålsmail/A 30104-2025 FSC-klagomål mail.docx", "A 30104-2025")</f>
        <v/>
      </c>
      <c r="X166">
        <f>HYPERLINK("https://klasma.github.io/Logging_0980/tillsyn/A 30104-2025 tillsynsbegäran.docx", "A 30104-2025")</f>
        <v/>
      </c>
      <c r="Y166">
        <f>HYPERLINK("https://klasma.github.io/Logging_0980/tillsynsmail/A 30104-2025 tillsynsbegäran mail.docx", "A 30104-2025")</f>
        <v/>
      </c>
    </row>
    <row r="167" ht="15" customHeight="1">
      <c r="A167" t="inlineStr">
        <is>
          <t>A 49693-2023</t>
        </is>
      </c>
      <c r="B167" s="1" t="n">
        <v>45212</v>
      </c>
      <c r="C167" s="1" t="n">
        <v>46196</v>
      </c>
      <c r="D167" t="inlineStr">
        <is>
          <t>GOTLANDS LÄN</t>
        </is>
      </c>
      <c r="E167" t="inlineStr">
        <is>
          <t>GOTLAND</t>
        </is>
      </c>
      <c r="G167" t="n">
        <v>2.4</v>
      </c>
      <c r="H167" t="n">
        <v>0</v>
      </c>
      <c r="I167" t="n">
        <v>0</v>
      </c>
      <c r="J167" t="n">
        <v>0</v>
      </c>
      <c r="K167" t="n">
        <v>1</v>
      </c>
      <c r="L167" t="n">
        <v>0</v>
      </c>
      <c r="M167" t="n">
        <v>0</v>
      </c>
      <c r="N167" t="n">
        <v>0</v>
      </c>
      <c r="O167" t="n">
        <v>1</v>
      </c>
      <c r="P167" t="n">
        <v>1</v>
      </c>
      <c r="Q167" t="n">
        <v>1</v>
      </c>
      <c r="R167" s="2" t="inlineStr">
        <is>
          <t>Vit taggsvamp</t>
        </is>
      </c>
      <c r="S167">
        <f>HYPERLINK("https://klasma.github.io/Logging_0980/artfynd/A 49693-2023 artfynd.xlsx", "A 49693-2023")</f>
        <v/>
      </c>
      <c r="T167">
        <f>HYPERLINK("https://klasma.github.io/Logging_0980/kartor/A 49693-2023 karta.png", "A 49693-2023")</f>
        <v/>
      </c>
      <c r="V167">
        <f>HYPERLINK("https://klasma.github.io/Logging_0980/klagomål/A 49693-2023 FSC-klagomål.docx", "A 49693-2023")</f>
        <v/>
      </c>
      <c r="W167">
        <f>HYPERLINK("https://klasma.github.io/Logging_0980/klagomålsmail/A 49693-2023 FSC-klagomål mail.docx", "A 49693-2023")</f>
        <v/>
      </c>
      <c r="X167">
        <f>HYPERLINK("https://klasma.github.io/Logging_0980/tillsyn/A 49693-2023 tillsynsbegäran.docx", "A 49693-2023")</f>
        <v/>
      </c>
      <c r="Y167">
        <f>HYPERLINK("https://klasma.github.io/Logging_0980/tillsynsmail/A 49693-2023 tillsynsbegäran mail.docx", "A 49693-2023")</f>
        <v/>
      </c>
    </row>
    <row r="168" ht="15" customHeight="1">
      <c r="A168" t="inlineStr">
        <is>
          <t>A 30489-2025</t>
        </is>
      </c>
      <c r="B168" s="1" t="n">
        <v>45830</v>
      </c>
      <c r="C168" s="1" t="n">
        <v>46196</v>
      </c>
      <c r="D168" t="inlineStr">
        <is>
          <t>GOTLANDS LÄN</t>
        </is>
      </c>
      <c r="E168" t="inlineStr">
        <is>
          <t>GOTLAND</t>
        </is>
      </c>
      <c r="G168" t="n">
        <v>4.6</v>
      </c>
      <c r="H168" t="n">
        <v>0</v>
      </c>
      <c r="I168" t="n">
        <v>0</v>
      </c>
      <c r="J168" t="n">
        <v>1</v>
      </c>
      <c r="K168" t="n">
        <v>0</v>
      </c>
      <c r="L168" t="n">
        <v>0</v>
      </c>
      <c r="M168" t="n">
        <v>0</v>
      </c>
      <c r="N168" t="n">
        <v>0</v>
      </c>
      <c r="O168" t="n">
        <v>1</v>
      </c>
      <c r="P168" t="n">
        <v>0</v>
      </c>
      <c r="Q168" t="n">
        <v>1</v>
      </c>
      <c r="R168" s="2" t="inlineStr">
        <is>
          <t>Skarp dropptaggsvamp</t>
        </is>
      </c>
      <c r="S168">
        <f>HYPERLINK("https://klasma.github.io/Logging_0980/artfynd/A 30489-2025 artfynd.xlsx", "A 30489-2025")</f>
        <v/>
      </c>
      <c r="T168">
        <f>HYPERLINK("https://klasma.github.io/Logging_0980/kartor/A 30489-2025 karta.png", "A 30489-2025")</f>
        <v/>
      </c>
      <c r="V168">
        <f>HYPERLINK("https://klasma.github.io/Logging_0980/klagomål/A 30489-2025 FSC-klagomål.docx", "A 30489-2025")</f>
        <v/>
      </c>
      <c r="W168">
        <f>HYPERLINK("https://klasma.github.io/Logging_0980/klagomålsmail/A 30489-2025 FSC-klagomål mail.docx", "A 30489-2025")</f>
        <v/>
      </c>
      <c r="X168">
        <f>HYPERLINK("https://klasma.github.io/Logging_0980/tillsyn/A 30489-2025 tillsynsbegäran.docx", "A 30489-2025")</f>
        <v/>
      </c>
      <c r="Y168">
        <f>HYPERLINK("https://klasma.github.io/Logging_0980/tillsynsmail/A 30489-2025 tillsynsbegäran mail.docx", "A 30489-2025")</f>
        <v/>
      </c>
    </row>
    <row r="169" ht="15" customHeight="1">
      <c r="A169" t="inlineStr">
        <is>
          <t>A 57534-2022</t>
        </is>
      </c>
      <c r="B169" s="1" t="n">
        <v>44896</v>
      </c>
      <c r="C169" s="1" t="n">
        <v>46196</v>
      </c>
      <c r="D169" t="inlineStr">
        <is>
          <t>GOTLANDS LÄN</t>
        </is>
      </c>
      <c r="E169" t="inlineStr">
        <is>
          <t>GOTLAND</t>
        </is>
      </c>
      <c r="G169" t="n">
        <v>0.6</v>
      </c>
      <c r="H169" t="n">
        <v>0</v>
      </c>
      <c r="I169" t="n">
        <v>1</v>
      </c>
      <c r="J169" t="n">
        <v>0</v>
      </c>
      <c r="K169" t="n">
        <v>0</v>
      </c>
      <c r="L169" t="n">
        <v>0</v>
      </c>
      <c r="M169" t="n">
        <v>0</v>
      </c>
      <c r="N169" t="n">
        <v>0</v>
      </c>
      <c r="O169" t="n">
        <v>0</v>
      </c>
      <c r="P169" t="n">
        <v>0</v>
      </c>
      <c r="Q169" t="n">
        <v>1</v>
      </c>
      <c r="R169" s="2" t="inlineStr">
        <is>
          <t>Myskmadra</t>
        </is>
      </c>
      <c r="S169">
        <f>HYPERLINK("https://klasma.github.io/Logging_0980/artfynd/A 57534-2022 artfynd.xlsx", "A 57534-2022")</f>
        <v/>
      </c>
      <c r="T169">
        <f>HYPERLINK("https://klasma.github.io/Logging_0980/kartor/A 57534-2022 karta.png", "A 57534-2022")</f>
        <v/>
      </c>
      <c r="V169">
        <f>HYPERLINK("https://klasma.github.io/Logging_0980/klagomål/A 57534-2022 FSC-klagomål.docx", "A 57534-2022")</f>
        <v/>
      </c>
      <c r="W169">
        <f>HYPERLINK("https://klasma.github.io/Logging_0980/klagomålsmail/A 57534-2022 FSC-klagomål mail.docx", "A 57534-2022")</f>
        <v/>
      </c>
      <c r="X169">
        <f>HYPERLINK("https://klasma.github.io/Logging_0980/tillsyn/A 57534-2022 tillsynsbegäran.docx", "A 57534-2022")</f>
        <v/>
      </c>
      <c r="Y169">
        <f>HYPERLINK("https://klasma.github.io/Logging_0980/tillsynsmail/A 57534-2022 tillsynsbegäran mail.docx", "A 57534-2022")</f>
        <v/>
      </c>
    </row>
    <row r="170" ht="15" customHeight="1">
      <c r="A170" t="inlineStr">
        <is>
          <t>A 6303-2024</t>
        </is>
      </c>
      <c r="B170" s="1" t="n">
        <v>45338</v>
      </c>
      <c r="C170" s="1" t="n">
        <v>46196</v>
      </c>
      <c r="D170" t="inlineStr">
        <is>
          <t>GOTLANDS LÄN</t>
        </is>
      </c>
      <c r="E170" t="inlineStr">
        <is>
          <t>GOTLAND</t>
        </is>
      </c>
      <c r="G170" t="n">
        <v>0.6</v>
      </c>
      <c r="H170" t="n">
        <v>0</v>
      </c>
      <c r="I170" t="n">
        <v>1</v>
      </c>
      <c r="J170" t="n">
        <v>0</v>
      </c>
      <c r="K170" t="n">
        <v>0</v>
      </c>
      <c r="L170" t="n">
        <v>0</v>
      </c>
      <c r="M170" t="n">
        <v>0</v>
      </c>
      <c r="N170" t="n">
        <v>0</v>
      </c>
      <c r="O170" t="n">
        <v>0</v>
      </c>
      <c r="P170" t="n">
        <v>0</v>
      </c>
      <c r="Q170" t="n">
        <v>1</v>
      </c>
      <c r="R170" s="2" t="inlineStr">
        <is>
          <t>Strävlosta</t>
        </is>
      </c>
      <c r="S170">
        <f>HYPERLINK("https://klasma.github.io/Logging_0980/artfynd/A 6303-2024 artfynd.xlsx", "A 6303-2024")</f>
        <v/>
      </c>
      <c r="T170">
        <f>HYPERLINK("https://klasma.github.io/Logging_0980/kartor/A 6303-2024 karta.png", "A 6303-2024")</f>
        <v/>
      </c>
      <c r="V170">
        <f>HYPERLINK("https://klasma.github.io/Logging_0980/klagomål/A 6303-2024 FSC-klagomål.docx", "A 6303-2024")</f>
        <v/>
      </c>
      <c r="W170">
        <f>HYPERLINK("https://klasma.github.io/Logging_0980/klagomålsmail/A 6303-2024 FSC-klagomål mail.docx", "A 6303-2024")</f>
        <v/>
      </c>
      <c r="X170">
        <f>HYPERLINK("https://klasma.github.io/Logging_0980/tillsyn/A 6303-2024 tillsynsbegäran.docx", "A 6303-2024")</f>
        <v/>
      </c>
      <c r="Y170">
        <f>HYPERLINK("https://klasma.github.io/Logging_0980/tillsynsmail/A 6303-2024 tillsynsbegäran mail.docx", "A 6303-2024")</f>
        <v/>
      </c>
    </row>
    <row r="171" ht="15" customHeight="1">
      <c r="A171" t="inlineStr">
        <is>
          <t>A 11982-2026</t>
        </is>
      </c>
      <c r="B171" s="1" t="n">
        <v>46085</v>
      </c>
      <c r="C171" s="1" t="n">
        <v>46196</v>
      </c>
      <c r="D171" t="inlineStr">
        <is>
          <t>GOTLANDS LÄN</t>
        </is>
      </c>
      <c r="E171" t="inlineStr">
        <is>
          <t>GOTLAND</t>
        </is>
      </c>
      <c r="G171" t="n">
        <v>2.2</v>
      </c>
      <c r="H171" t="n">
        <v>0</v>
      </c>
      <c r="I171" t="n">
        <v>0</v>
      </c>
      <c r="J171" t="n">
        <v>1</v>
      </c>
      <c r="K171" t="n">
        <v>0</v>
      </c>
      <c r="L171" t="n">
        <v>0</v>
      </c>
      <c r="M171" t="n">
        <v>0</v>
      </c>
      <c r="N171" t="n">
        <v>0</v>
      </c>
      <c r="O171" t="n">
        <v>1</v>
      </c>
      <c r="P171" t="n">
        <v>0</v>
      </c>
      <c r="Q171" t="n">
        <v>1</v>
      </c>
      <c r="R171" s="2" t="inlineStr">
        <is>
          <t>Småtörel</t>
        </is>
      </c>
      <c r="S171">
        <f>HYPERLINK("https://klasma.github.io/Logging_0980/artfynd/A 11982-2026 artfynd.xlsx", "A 11982-2026")</f>
        <v/>
      </c>
      <c r="T171">
        <f>HYPERLINK("https://klasma.github.io/Logging_0980/kartor/A 11982-2026 karta.png", "A 11982-2026")</f>
        <v/>
      </c>
      <c r="V171">
        <f>HYPERLINK("https://klasma.github.io/Logging_0980/klagomål/A 11982-2026 FSC-klagomål.docx", "A 11982-2026")</f>
        <v/>
      </c>
      <c r="W171">
        <f>HYPERLINK("https://klasma.github.io/Logging_0980/klagomålsmail/A 11982-2026 FSC-klagomål mail.docx", "A 11982-2026")</f>
        <v/>
      </c>
      <c r="X171">
        <f>HYPERLINK("https://klasma.github.io/Logging_0980/tillsyn/A 11982-2026 tillsynsbegäran.docx", "A 11982-2026")</f>
        <v/>
      </c>
      <c r="Y171">
        <f>HYPERLINK("https://klasma.github.io/Logging_0980/tillsynsmail/A 11982-2026 tillsynsbegäran mail.docx", "A 11982-2026")</f>
        <v/>
      </c>
    </row>
    <row r="172" ht="15" customHeight="1">
      <c r="A172" t="inlineStr">
        <is>
          <t>A 62552-2022</t>
        </is>
      </c>
      <c r="B172" s="1" t="n">
        <v>44924</v>
      </c>
      <c r="C172" s="1" t="n">
        <v>46196</v>
      </c>
      <c r="D172" t="inlineStr">
        <is>
          <t>GOTLANDS LÄN</t>
        </is>
      </c>
      <c r="E172" t="inlineStr">
        <is>
          <t>GOTLAND</t>
        </is>
      </c>
      <c r="G172" t="n">
        <v>1.6</v>
      </c>
      <c r="H172" t="n">
        <v>0</v>
      </c>
      <c r="I172" t="n">
        <v>0</v>
      </c>
      <c r="J172" t="n">
        <v>1</v>
      </c>
      <c r="K172" t="n">
        <v>0</v>
      </c>
      <c r="L172" t="n">
        <v>0</v>
      </c>
      <c r="M172" t="n">
        <v>0</v>
      </c>
      <c r="N172" t="n">
        <v>0</v>
      </c>
      <c r="O172" t="n">
        <v>1</v>
      </c>
      <c r="P172" t="n">
        <v>0</v>
      </c>
      <c r="Q172" t="n">
        <v>1</v>
      </c>
      <c r="R172" s="2" t="inlineStr">
        <is>
          <t>Äggspindling</t>
        </is>
      </c>
      <c r="S172">
        <f>HYPERLINK("https://klasma.github.io/Logging_0980/artfynd/A 62552-2022 artfynd.xlsx", "A 62552-2022")</f>
        <v/>
      </c>
      <c r="T172">
        <f>HYPERLINK("https://klasma.github.io/Logging_0980/kartor/A 62552-2022 karta.png", "A 62552-2022")</f>
        <v/>
      </c>
      <c r="V172">
        <f>HYPERLINK("https://klasma.github.io/Logging_0980/klagomål/A 62552-2022 FSC-klagomål.docx", "A 62552-2022")</f>
        <v/>
      </c>
      <c r="W172">
        <f>HYPERLINK("https://klasma.github.io/Logging_0980/klagomålsmail/A 62552-2022 FSC-klagomål mail.docx", "A 62552-2022")</f>
        <v/>
      </c>
      <c r="X172">
        <f>HYPERLINK("https://klasma.github.io/Logging_0980/tillsyn/A 62552-2022 tillsynsbegäran.docx", "A 62552-2022")</f>
        <v/>
      </c>
      <c r="Y172">
        <f>HYPERLINK("https://klasma.github.io/Logging_0980/tillsynsmail/A 62552-2022 tillsynsbegäran mail.docx", "A 62552-2022")</f>
        <v/>
      </c>
    </row>
    <row r="173" ht="15" customHeight="1">
      <c r="A173" t="inlineStr">
        <is>
          <t>A 25977-2024</t>
        </is>
      </c>
      <c r="B173" s="1" t="n">
        <v>45467</v>
      </c>
      <c r="C173" s="1" t="n">
        <v>46196</v>
      </c>
      <c r="D173" t="inlineStr">
        <is>
          <t>GOTLANDS LÄN</t>
        </is>
      </c>
      <c r="E173" t="inlineStr">
        <is>
          <t>GOTLAND</t>
        </is>
      </c>
      <c r="G173" t="n">
        <v>3</v>
      </c>
      <c r="H173" t="n">
        <v>1</v>
      </c>
      <c r="I173" t="n">
        <v>0</v>
      </c>
      <c r="J173" t="n">
        <v>0</v>
      </c>
      <c r="K173" t="n">
        <v>0</v>
      </c>
      <c r="L173" t="n">
        <v>0</v>
      </c>
      <c r="M173" t="n">
        <v>0</v>
      </c>
      <c r="N173" t="n">
        <v>0</v>
      </c>
      <c r="O173" t="n">
        <v>0</v>
      </c>
      <c r="P173" t="n">
        <v>0</v>
      </c>
      <c r="Q173" t="n">
        <v>1</v>
      </c>
      <c r="R173" s="2" t="inlineStr">
        <is>
          <t>Nattviol</t>
        </is>
      </c>
      <c r="S173">
        <f>HYPERLINK("https://klasma.github.io/Logging_0980/artfynd/A 25977-2024 artfynd.xlsx", "A 25977-2024")</f>
        <v/>
      </c>
      <c r="T173">
        <f>HYPERLINK("https://klasma.github.io/Logging_0980/kartor/A 25977-2024 karta.png", "A 25977-2024")</f>
        <v/>
      </c>
      <c r="V173">
        <f>HYPERLINK("https://klasma.github.io/Logging_0980/klagomål/A 25977-2024 FSC-klagomål.docx", "A 25977-2024")</f>
        <v/>
      </c>
      <c r="W173">
        <f>HYPERLINK("https://klasma.github.io/Logging_0980/klagomålsmail/A 25977-2024 FSC-klagomål mail.docx", "A 25977-2024")</f>
        <v/>
      </c>
      <c r="X173">
        <f>HYPERLINK("https://klasma.github.io/Logging_0980/tillsyn/A 25977-2024 tillsynsbegäran.docx", "A 25977-2024")</f>
        <v/>
      </c>
      <c r="Y173">
        <f>HYPERLINK("https://klasma.github.io/Logging_0980/tillsynsmail/A 25977-2024 tillsynsbegäran mail.docx", "A 25977-2024")</f>
        <v/>
      </c>
    </row>
    <row r="174" ht="15" customHeight="1">
      <c r="A174" t="inlineStr">
        <is>
          <t>A 13482-2026</t>
        </is>
      </c>
      <c r="B174" s="1" t="n">
        <v>46094</v>
      </c>
      <c r="C174" s="1" t="n">
        <v>46196</v>
      </c>
      <c r="D174" t="inlineStr">
        <is>
          <t>GOTLANDS LÄN</t>
        </is>
      </c>
      <c r="E174" t="inlineStr">
        <is>
          <t>GOTLAND</t>
        </is>
      </c>
      <c r="G174" t="n">
        <v>1.7</v>
      </c>
      <c r="H174" t="n">
        <v>1</v>
      </c>
      <c r="I174" t="n">
        <v>0</v>
      </c>
      <c r="J174" t="n">
        <v>0</v>
      </c>
      <c r="K174" t="n">
        <v>0</v>
      </c>
      <c r="L174" t="n">
        <v>0</v>
      </c>
      <c r="M174" t="n">
        <v>0</v>
      </c>
      <c r="N174" t="n">
        <v>0</v>
      </c>
      <c r="O174" t="n">
        <v>0</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4662-2026</t>
        </is>
      </c>
      <c r="B175" s="1" t="n">
        <v>46048</v>
      </c>
      <c r="C175" s="1" t="n">
        <v>46196</v>
      </c>
      <c r="D175" t="inlineStr">
        <is>
          <t>GOTLANDS LÄN</t>
        </is>
      </c>
      <c r="E175" t="inlineStr">
        <is>
          <t>GOTLAND</t>
        </is>
      </c>
      <c r="G175" t="n">
        <v>7.6</v>
      </c>
      <c r="H175" t="n">
        <v>0</v>
      </c>
      <c r="I175" t="n">
        <v>0</v>
      </c>
      <c r="J175" t="n">
        <v>0</v>
      </c>
      <c r="K175" t="n">
        <v>1</v>
      </c>
      <c r="L175" t="n">
        <v>0</v>
      </c>
      <c r="M175" t="n">
        <v>0</v>
      </c>
      <c r="N175" t="n">
        <v>0</v>
      </c>
      <c r="O175" t="n">
        <v>1</v>
      </c>
      <c r="P175" t="n">
        <v>1</v>
      </c>
      <c r="Q175" t="n">
        <v>1</v>
      </c>
      <c r="R175" s="2" t="inlineStr">
        <is>
          <t>Strandviol</t>
        </is>
      </c>
      <c r="S175">
        <f>HYPERLINK("https://klasma.github.io/Logging_0980/artfynd/A 4662-2026 artfynd.xlsx", "A 4662-2026")</f>
        <v/>
      </c>
      <c r="T175">
        <f>HYPERLINK("https://klasma.github.io/Logging_0980/kartor/A 4662-2026 karta.png", "A 4662-2026")</f>
        <v/>
      </c>
      <c r="V175">
        <f>HYPERLINK("https://klasma.github.io/Logging_0980/klagomål/A 4662-2026 FSC-klagomål.docx", "A 4662-2026")</f>
        <v/>
      </c>
      <c r="W175">
        <f>HYPERLINK("https://klasma.github.io/Logging_0980/klagomålsmail/A 4662-2026 FSC-klagomål mail.docx", "A 4662-2026")</f>
        <v/>
      </c>
      <c r="X175">
        <f>HYPERLINK("https://klasma.github.io/Logging_0980/tillsyn/A 4662-2026 tillsynsbegäran.docx", "A 4662-2026")</f>
        <v/>
      </c>
      <c r="Y175">
        <f>HYPERLINK("https://klasma.github.io/Logging_0980/tillsynsmail/A 4662-2026 tillsynsbegäran mail.docx", "A 4662-2026")</f>
        <v/>
      </c>
    </row>
    <row r="176" ht="15" customHeight="1">
      <c r="A176" t="inlineStr">
        <is>
          <t>A 17000-2026</t>
        </is>
      </c>
      <c r="B176" s="1" t="n">
        <v>46114</v>
      </c>
      <c r="C176" s="1" t="n">
        <v>46196</v>
      </c>
      <c r="D176" t="inlineStr">
        <is>
          <t>GOTLANDS LÄN</t>
        </is>
      </c>
      <c r="E176" t="inlineStr">
        <is>
          <t>GOTLAND</t>
        </is>
      </c>
      <c r="G176" t="n">
        <v>1.9</v>
      </c>
      <c r="H176" t="n">
        <v>1</v>
      </c>
      <c r="I176" t="n">
        <v>0</v>
      </c>
      <c r="J176" t="n">
        <v>0</v>
      </c>
      <c r="K176" t="n">
        <v>0</v>
      </c>
      <c r="L176" t="n">
        <v>0</v>
      </c>
      <c r="M176" t="n">
        <v>0</v>
      </c>
      <c r="N176" t="n">
        <v>0</v>
      </c>
      <c r="O176" t="n">
        <v>0</v>
      </c>
      <c r="P176" t="n">
        <v>0</v>
      </c>
      <c r="Q176" t="n">
        <v>1</v>
      </c>
      <c r="R176" s="2" t="inlineStr">
        <is>
          <t>Kalkkrassing</t>
        </is>
      </c>
      <c r="S176">
        <f>HYPERLINK("https://klasma.github.io/Logging_0980/artfynd/A 17000-2026 artfynd.xlsx", "A 17000-2026")</f>
        <v/>
      </c>
      <c r="T176">
        <f>HYPERLINK("https://klasma.github.io/Logging_0980/kartor/A 17000-2026 karta.png", "A 17000-2026")</f>
        <v/>
      </c>
      <c r="V176">
        <f>HYPERLINK("https://klasma.github.io/Logging_0980/klagomål/A 17000-2026 FSC-klagomål.docx", "A 17000-2026")</f>
        <v/>
      </c>
      <c r="W176">
        <f>HYPERLINK("https://klasma.github.io/Logging_0980/klagomålsmail/A 17000-2026 FSC-klagomål mail.docx", "A 17000-2026")</f>
        <v/>
      </c>
      <c r="X176">
        <f>HYPERLINK("https://klasma.github.io/Logging_0980/tillsyn/A 17000-2026 tillsynsbegäran.docx", "A 17000-2026")</f>
        <v/>
      </c>
      <c r="Y176">
        <f>HYPERLINK("https://klasma.github.io/Logging_0980/tillsynsmail/A 17000-2026 tillsynsbegäran mail.docx", "A 17000-2026")</f>
        <v/>
      </c>
    </row>
    <row r="177" ht="15" customHeight="1">
      <c r="A177" t="inlineStr">
        <is>
          <t>A 17854-2026</t>
        </is>
      </c>
      <c r="B177" s="1" t="n">
        <v>46121</v>
      </c>
      <c r="C177" s="1" t="n">
        <v>46196</v>
      </c>
      <c r="D177" t="inlineStr">
        <is>
          <t>GOTLANDS LÄN</t>
        </is>
      </c>
      <c r="E177" t="inlineStr">
        <is>
          <t>GOTLAND</t>
        </is>
      </c>
      <c r="G177" t="n">
        <v>6.6</v>
      </c>
      <c r="H177" t="n">
        <v>0</v>
      </c>
      <c r="I177" t="n">
        <v>0</v>
      </c>
      <c r="J177" t="n">
        <v>1</v>
      </c>
      <c r="K177" t="n">
        <v>0</v>
      </c>
      <c r="L177" t="n">
        <v>0</v>
      </c>
      <c r="M177" t="n">
        <v>0</v>
      </c>
      <c r="N177" t="n">
        <v>0</v>
      </c>
      <c r="O177" t="n">
        <v>1</v>
      </c>
      <c r="P177" t="n">
        <v>0</v>
      </c>
      <c r="Q177" t="n">
        <v>1</v>
      </c>
      <c r="R177" s="2" t="inlineStr">
        <is>
          <t>Blå slemspindling</t>
        </is>
      </c>
      <c r="S177">
        <f>HYPERLINK("https://klasma.github.io/Logging_0980/artfynd/A 17854-2026 artfynd.xlsx", "A 17854-2026")</f>
        <v/>
      </c>
      <c r="T177">
        <f>HYPERLINK("https://klasma.github.io/Logging_0980/kartor/A 17854-2026 karta.png", "A 17854-2026")</f>
        <v/>
      </c>
      <c r="V177">
        <f>HYPERLINK("https://klasma.github.io/Logging_0980/klagomål/A 17854-2026 FSC-klagomål.docx", "A 17854-2026")</f>
        <v/>
      </c>
      <c r="W177">
        <f>HYPERLINK("https://klasma.github.io/Logging_0980/klagomålsmail/A 17854-2026 FSC-klagomål mail.docx", "A 17854-2026")</f>
        <v/>
      </c>
      <c r="X177">
        <f>HYPERLINK("https://klasma.github.io/Logging_0980/tillsyn/A 17854-2026 tillsynsbegäran.docx", "A 17854-2026")</f>
        <v/>
      </c>
      <c r="Y177">
        <f>HYPERLINK("https://klasma.github.io/Logging_0980/tillsynsmail/A 17854-2026 tillsynsbegäran mail.docx", "A 17854-2026")</f>
        <v/>
      </c>
    </row>
    <row r="178" ht="15" customHeight="1">
      <c r="A178" t="inlineStr">
        <is>
          <t>A 18036-2026</t>
        </is>
      </c>
      <c r="B178" s="1" t="n">
        <v>46125</v>
      </c>
      <c r="C178" s="1" t="n">
        <v>46196</v>
      </c>
      <c r="D178" t="inlineStr">
        <is>
          <t>GOTLANDS LÄN</t>
        </is>
      </c>
      <c r="E178" t="inlineStr">
        <is>
          <t>GOTLAND</t>
        </is>
      </c>
      <c r="G178" t="n">
        <v>1.8</v>
      </c>
      <c r="H178" t="n">
        <v>0</v>
      </c>
      <c r="I178" t="n">
        <v>0</v>
      </c>
      <c r="J178" t="n">
        <v>1</v>
      </c>
      <c r="K178" t="n">
        <v>0</v>
      </c>
      <c r="L178" t="n">
        <v>0</v>
      </c>
      <c r="M178" t="n">
        <v>0</v>
      </c>
      <c r="N178" t="n">
        <v>0</v>
      </c>
      <c r="O178" t="n">
        <v>1</v>
      </c>
      <c r="P178" t="n">
        <v>0</v>
      </c>
      <c r="Q178" t="n">
        <v>1</v>
      </c>
      <c r="R178" s="2" t="inlineStr">
        <is>
          <t>Sommarfibbla</t>
        </is>
      </c>
      <c r="S178">
        <f>HYPERLINK("https://klasma.github.io/Logging_0980/artfynd/A 18036-2026 artfynd.xlsx", "A 18036-2026")</f>
        <v/>
      </c>
      <c r="T178">
        <f>HYPERLINK("https://klasma.github.io/Logging_0980/kartor/A 18036-2026 karta.png", "A 18036-2026")</f>
        <v/>
      </c>
      <c r="V178">
        <f>HYPERLINK("https://klasma.github.io/Logging_0980/klagomål/A 18036-2026 FSC-klagomål.docx", "A 18036-2026")</f>
        <v/>
      </c>
      <c r="W178">
        <f>HYPERLINK("https://klasma.github.io/Logging_0980/klagomålsmail/A 18036-2026 FSC-klagomål mail.docx", "A 18036-2026")</f>
        <v/>
      </c>
      <c r="X178">
        <f>HYPERLINK("https://klasma.github.io/Logging_0980/tillsyn/A 18036-2026 tillsynsbegäran.docx", "A 18036-2026")</f>
        <v/>
      </c>
      <c r="Y178">
        <f>HYPERLINK("https://klasma.github.io/Logging_0980/tillsynsmail/A 18036-2026 tillsynsbegäran mail.docx", "A 18036-2026")</f>
        <v/>
      </c>
    </row>
    <row r="179" ht="15" customHeight="1">
      <c r="A179" t="inlineStr">
        <is>
          <t>A 5863-2026</t>
        </is>
      </c>
      <c r="B179" s="1" t="n">
        <v>46052</v>
      </c>
      <c r="C179" s="1" t="n">
        <v>46196</v>
      </c>
      <c r="D179" t="inlineStr">
        <is>
          <t>GOTLANDS LÄN</t>
        </is>
      </c>
      <c r="E179" t="inlineStr">
        <is>
          <t>GOTLAND</t>
        </is>
      </c>
      <c r="G179" t="n">
        <v>1.8</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5863-2026 artfynd.xlsx", "A 5863-2026")</f>
        <v/>
      </c>
      <c r="T179">
        <f>HYPERLINK("https://klasma.github.io/Logging_0980/kartor/A 5863-2026 karta.png", "A 5863-2026")</f>
        <v/>
      </c>
      <c r="V179">
        <f>HYPERLINK("https://klasma.github.io/Logging_0980/klagomål/A 5863-2026 FSC-klagomål.docx", "A 5863-2026")</f>
        <v/>
      </c>
      <c r="W179">
        <f>HYPERLINK("https://klasma.github.io/Logging_0980/klagomålsmail/A 5863-2026 FSC-klagomål mail.docx", "A 5863-2026")</f>
        <v/>
      </c>
      <c r="X179">
        <f>HYPERLINK("https://klasma.github.io/Logging_0980/tillsyn/A 5863-2026 tillsynsbegäran.docx", "A 5863-2026")</f>
        <v/>
      </c>
      <c r="Y179">
        <f>HYPERLINK("https://klasma.github.io/Logging_0980/tillsynsmail/A 5863-2026 tillsynsbegäran mail.docx", "A 5863-2026")</f>
        <v/>
      </c>
    </row>
    <row r="180" ht="15" customHeight="1">
      <c r="A180" t="inlineStr">
        <is>
          <t>A 40294-2022</t>
        </is>
      </c>
      <c r="B180" s="1" t="n">
        <v>44821</v>
      </c>
      <c r="C180" s="1" t="n">
        <v>46196</v>
      </c>
      <c r="D180" t="inlineStr">
        <is>
          <t>GOTLANDS LÄN</t>
        </is>
      </c>
      <c r="E180" t="inlineStr">
        <is>
          <t>GOTLAND</t>
        </is>
      </c>
      <c r="G180" t="n">
        <v>1.6</v>
      </c>
      <c r="H180" t="n">
        <v>0</v>
      </c>
      <c r="I180" t="n">
        <v>0</v>
      </c>
      <c r="J180" t="n">
        <v>0</v>
      </c>
      <c r="K180" t="n">
        <v>1</v>
      </c>
      <c r="L180" t="n">
        <v>0</v>
      </c>
      <c r="M180" t="n">
        <v>0</v>
      </c>
      <c r="N180" t="n">
        <v>0</v>
      </c>
      <c r="O180" t="n">
        <v>1</v>
      </c>
      <c r="P180" t="n">
        <v>1</v>
      </c>
      <c r="Q180" t="n">
        <v>1</v>
      </c>
      <c r="R180" s="2" t="inlineStr">
        <is>
          <t>Gotlandsmåra</t>
        </is>
      </c>
      <c r="S180">
        <f>HYPERLINK("https://klasma.github.io/Logging_0980/artfynd/A 40294-2022 artfynd.xlsx", "A 40294-2022")</f>
        <v/>
      </c>
      <c r="T180">
        <f>HYPERLINK("https://klasma.github.io/Logging_0980/kartor/A 40294-2022 karta.png", "A 40294-2022")</f>
        <v/>
      </c>
      <c r="V180">
        <f>HYPERLINK("https://klasma.github.io/Logging_0980/klagomål/A 40294-2022 FSC-klagomål.docx", "A 40294-2022")</f>
        <v/>
      </c>
      <c r="W180">
        <f>HYPERLINK("https://klasma.github.io/Logging_0980/klagomålsmail/A 40294-2022 FSC-klagomål mail.docx", "A 40294-2022")</f>
        <v/>
      </c>
      <c r="X180">
        <f>HYPERLINK("https://klasma.github.io/Logging_0980/tillsyn/A 40294-2022 tillsynsbegäran.docx", "A 40294-2022")</f>
        <v/>
      </c>
      <c r="Y180">
        <f>HYPERLINK("https://klasma.github.io/Logging_0980/tillsynsmail/A 40294-2022 tillsynsbegäran mail.docx", "A 40294-2022")</f>
        <v/>
      </c>
    </row>
    <row r="181" ht="15" customHeight="1">
      <c r="A181" t="inlineStr">
        <is>
          <t>A 27602-2023</t>
        </is>
      </c>
      <c r="B181" s="1" t="n">
        <v>45097</v>
      </c>
      <c r="C181" s="1" t="n">
        <v>46196</v>
      </c>
      <c r="D181" t="inlineStr">
        <is>
          <t>GOTLANDS LÄN</t>
        </is>
      </c>
      <c r="E181" t="inlineStr">
        <is>
          <t>GOTLAND</t>
        </is>
      </c>
      <c r="G181" t="n">
        <v>2.7</v>
      </c>
      <c r="H181" t="n">
        <v>1</v>
      </c>
      <c r="I181" t="n">
        <v>0</v>
      </c>
      <c r="J181" t="n">
        <v>0</v>
      </c>
      <c r="K181" t="n">
        <v>0</v>
      </c>
      <c r="L181" t="n">
        <v>0</v>
      </c>
      <c r="M181" t="n">
        <v>0</v>
      </c>
      <c r="N181" t="n">
        <v>0</v>
      </c>
      <c r="O181" t="n">
        <v>0</v>
      </c>
      <c r="P181" t="n">
        <v>0</v>
      </c>
      <c r="Q181" t="n">
        <v>1</v>
      </c>
      <c r="R181" s="2" t="inlineStr">
        <is>
          <t>Blåsippa</t>
        </is>
      </c>
      <c r="S181">
        <f>HYPERLINK("https://klasma.github.io/Logging_0980/artfynd/A 27602-2023 artfynd.xlsx", "A 27602-2023")</f>
        <v/>
      </c>
      <c r="T181">
        <f>HYPERLINK("https://klasma.github.io/Logging_0980/kartor/A 27602-2023 karta.png", "A 27602-2023")</f>
        <v/>
      </c>
      <c r="V181">
        <f>HYPERLINK("https://klasma.github.io/Logging_0980/klagomål/A 27602-2023 FSC-klagomål.docx", "A 27602-2023")</f>
        <v/>
      </c>
      <c r="W181">
        <f>HYPERLINK("https://klasma.github.io/Logging_0980/klagomålsmail/A 27602-2023 FSC-klagomål mail.docx", "A 27602-2023")</f>
        <v/>
      </c>
      <c r="X181">
        <f>HYPERLINK("https://klasma.github.io/Logging_0980/tillsyn/A 27602-2023 tillsynsbegäran.docx", "A 27602-2023")</f>
        <v/>
      </c>
      <c r="Y181">
        <f>HYPERLINK("https://klasma.github.io/Logging_0980/tillsynsmail/A 27602-2023 tillsynsbegäran mail.docx", "A 27602-2023")</f>
        <v/>
      </c>
    </row>
    <row r="182" ht="15" customHeight="1">
      <c r="A182" t="inlineStr">
        <is>
          <t>A 27343-2026</t>
        </is>
      </c>
      <c r="B182" s="1" t="n">
        <v>46188</v>
      </c>
      <c r="C182" s="1" t="n">
        <v>46196</v>
      </c>
      <c r="D182" t="inlineStr">
        <is>
          <t>GOTLANDS LÄN</t>
        </is>
      </c>
      <c r="E182" t="inlineStr">
        <is>
          <t>GOTLAND</t>
        </is>
      </c>
      <c r="G182" t="n">
        <v>1.1</v>
      </c>
      <c r="H182" t="n">
        <v>1</v>
      </c>
      <c r="I182" t="n">
        <v>1</v>
      </c>
      <c r="J182" t="n">
        <v>0</v>
      </c>
      <c r="K182" t="n">
        <v>0</v>
      </c>
      <c r="L182" t="n">
        <v>0</v>
      </c>
      <c r="M182" t="n">
        <v>0</v>
      </c>
      <c r="N182" t="n">
        <v>0</v>
      </c>
      <c r="O182" t="n">
        <v>0</v>
      </c>
      <c r="P182" t="n">
        <v>0</v>
      </c>
      <c r="Q182" t="n">
        <v>1</v>
      </c>
      <c r="R182" s="2" t="inlineStr">
        <is>
          <t>Skogsknipprot</t>
        </is>
      </c>
      <c r="S182">
        <f>HYPERLINK("https://klasma.github.io/Logging_0980/artfynd/A 27343-2026 artfynd.xlsx", "A 27343-2026")</f>
        <v/>
      </c>
      <c r="T182">
        <f>HYPERLINK("https://klasma.github.io/Logging_0980/kartor/A 27343-2026 karta.png", "A 27343-2026")</f>
        <v/>
      </c>
      <c r="V182">
        <f>HYPERLINK("https://klasma.github.io/Logging_0980/klagomål/A 27343-2026 FSC-klagomål.docx", "A 27343-2026")</f>
        <v/>
      </c>
      <c r="W182">
        <f>HYPERLINK("https://klasma.github.io/Logging_0980/klagomålsmail/A 27343-2026 FSC-klagomål mail.docx", "A 27343-2026")</f>
        <v/>
      </c>
      <c r="X182">
        <f>HYPERLINK("https://klasma.github.io/Logging_0980/tillsyn/A 27343-2026 tillsynsbegäran.docx", "A 27343-2026")</f>
        <v/>
      </c>
      <c r="Y182">
        <f>HYPERLINK("https://klasma.github.io/Logging_0980/tillsynsmail/A 27343-2026 tillsynsbegäran mail.docx", "A 27343-2026")</f>
        <v/>
      </c>
    </row>
    <row r="183" ht="15" customHeight="1">
      <c r="A183" t="inlineStr">
        <is>
          <t>A 21396-2026</t>
        </is>
      </c>
      <c r="B183" s="1" t="n">
        <v>46148</v>
      </c>
      <c r="C183" s="1" t="n">
        <v>46196</v>
      </c>
      <c r="D183" t="inlineStr">
        <is>
          <t>GOTLANDS LÄN</t>
        </is>
      </c>
      <c r="E183" t="inlineStr">
        <is>
          <t>GOTLAND</t>
        </is>
      </c>
      <c r="G183" t="n">
        <v>6.1</v>
      </c>
      <c r="H183" t="n">
        <v>0</v>
      </c>
      <c r="I183" t="n">
        <v>0</v>
      </c>
      <c r="J183" t="n">
        <v>0</v>
      </c>
      <c r="K183" t="n">
        <v>1</v>
      </c>
      <c r="L183" t="n">
        <v>0</v>
      </c>
      <c r="M183" t="n">
        <v>0</v>
      </c>
      <c r="N183" t="n">
        <v>0</v>
      </c>
      <c r="O183" t="n">
        <v>1</v>
      </c>
      <c r="P183" t="n">
        <v>1</v>
      </c>
      <c r="Q183" t="n">
        <v>1</v>
      </c>
      <c r="R183" s="2" t="inlineStr">
        <is>
          <t>Oxhorndyvel</t>
        </is>
      </c>
      <c r="S183">
        <f>HYPERLINK("https://klasma.github.io/Logging_0980/artfynd/A 21396-2026 artfynd.xlsx", "A 21396-2026")</f>
        <v/>
      </c>
      <c r="T183">
        <f>HYPERLINK("https://klasma.github.io/Logging_0980/kartor/A 21396-2026 karta.png", "A 21396-2026")</f>
        <v/>
      </c>
      <c r="V183">
        <f>HYPERLINK("https://klasma.github.io/Logging_0980/klagomål/A 21396-2026 FSC-klagomål.docx", "A 21396-2026")</f>
        <v/>
      </c>
      <c r="W183">
        <f>HYPERLINK("https://klasma.github.io/Logging_0980/klagomålsmail/A 21396-2026 FSC-klagomål mail.docx", "A 21396-2026")</f>
        <v/>
      </c>
      <c r="X183">
        <f>HYPERLINK("https://klasma.github.io/Logging_0980/tillsyn/A 21396-2026 tillsynsbegäran.docx", "A 21396-2026")</f>
        <v/>
      </c>
      <c r="Y183">
        <f>HYPERLINK("https://klasma.github.io/Logging_0980/tillsynsmail/A 21396-2026 tillsynsbegäran mail.docx", "A 21396-2026")</f>
        <v/>
      </c>
    </row>
    <row r="184" ht="15" customHeight="1">
      <c r="A184" t="inlineStr">
        <is>
          <t>A 947-2023</t>
        </is>
      </c>
      <c r="B184" s="1" t="n">
        <v>44934</v>
      </c>
      <c r="C184" s="1" t="n">
        <v>46196</v>
      </c>
      <c r="D184" t="inlineStr">
        <is>
          <t>GOTLANDS LÄN</t>
        </is>
      </c>
      <c r="E184" t="inlineStr">
        <is>
          <t>GOTLAND</t>
        </is>
      </c>
      <c r="G184" t="n">
        <v>0.7</v>
      </c>
      <c r="H184" t="n">
        <v>1</v>
      </c>
      <c r="I184" t="n">
        <v>0</v>
      </c>
      <c r="J184" t="n">
        <v>0</v>
      </c>
      <c r="K184" t="n">
        <v>1</v>
      </c>
      <c r="L184" t="n">
        <v>0</v>
      </c>
      <c r="M184" t="n">
        <v>0</v>
      </c>
      <c r="N184" t="n">
        <v>0</v>
      </c>
      <c r="O184" t="n">
        <v>1</v>
      </c>
      <c r="P184" t="n">
        <v>1</v>
      </c>
      <c r="Q184" t="n">
        <v>1</v>
      </c>
      <c r="R184" s="2" t="inlineStr">
        <is>
          <t>Garderönn</t>
        </is>
      </c>
      <c r="S184">
        <f>HYPERLINK("https://klasma.github.io/Logging_0980/artfynd/A 947-2023 artfynd.xlsx", "A 947-2023")</f>
        <v/>
      </c>
      <c r="T184">
        <f>HYPERLINK("https://klasma.github.io/Logging_0980/kartor/A 947-2023 karta.png", "A 947-2023")</f>
        <v/>
      </c>
      <c r="V184">
        <f>HYPERLINK("https://klasma.github.io/Logging_0980/klagomål/A 947-2023 FSC-klagomål.docx", "A 947-2023")</f>
        <v/>
      </c>
      <c r="W184">
        <f>HYPERLINK("https://klasma.github.io/Logging_0980/klagomålsmail/A 947-2023 FSC-klagomål mail.docx", "A 947-2023")</f>
        <v/>
      </c>
      <c r="X184">
        <f>HYPERLINK("https://klasma.github.io/Logging_0980/tillsyn/A 947-2023 tillsynsbegäran.docx", "A 947-2023")</f>
        <v/>
      </c>
      <c r="Y184">
        <f>HYPERLINK("https://klasma.github.io/Logging_0980/tillsynsmail/A 947-2023 tillsynsbegäran mail.docx", "A 947-2023")</f>
        <v/>
      </c>
    </row>
    <row r="185" ht="15" customHeight="1">
      <c r="A185" t="inlineStr">
        <is>
          <t>A 46189-2022</t>
        </is>
      </c>
      <c r="B185" s="1" t="n">
        <v>44847</v>
      </c>
      <c r="C185" s="1" t="n">
        <v>46196</v>
      </c>
      <c r="D185" t="inlineStr">
        <is>
          <t>GOTLANDS LÄN</t>
        </is>
      </c>
      <c r="E185" t="inlineStr">
        <is>
          <t>GOTLAND</t>
        </is>
      </c>
      <c r="G185" t="n">
        <v>0.4</v>
      </c>
      <c r="H185" t="n">
        <v>0</v>
      </c>
      <c r="I185" t="n">
        <v>0</v>
      </c>
      <c r="J185" t="n">
        <v>1</v>
      </c>
      <c r="K185" t="n">
        <v>0</v>
      </c>
      <c r="L185" t="n">
        <v>0</v>
      </c>
      <c r="M185" t="n">
        <v>0</v>
      </c>
      <c r="N185" t="n">
        <v>0</v>
      </c>
      <c r="O185" t="n">
        <v>1</v>
      </c>
      <c r="P185" t="n">
        <v>0</v>
      </c>
      <c r="Q185" t="n">
        <v>1</v>
      </c>
      <c r="R185" s="2" t="inlineStr">
        <is>
          <t>Stjälkröksvamp</t>
        </is>
      </c>
      <c r="S185">
        <f>HYPERLINK("https://klasma.github.io/Logging_0980/artfynd/A 46189-2022 artfynd.xlsx", "A 46189-2022")</f>
        <v/>
      </c>
      <c r="T185">
        <f>HYPERLINK("https://klasma.github.io/Logging_0980/kartor/A 46189-2022 karta.png", "A 46189-2022")</f>
        <v/>
      </c>
      <c r="V185">
        <f>HYPERLINK("https://klasma.github.io/Logging_0980/klagomål/A 46189-2022 FSC-klagomål.docx", "A 46189-2022")</f>
        <v/>
      </c>
      <c r="W185">
        <f>HYPERLINK("https://klasma.github.io/Logging_0980/klagomålsmail/A 46189-2022 FSC-klagomål mail.docx", "A 46189-2022")</f>
        <v/>
      </c>
      <c r="X185">
        <f>HYPERLINK("https://klasma.github.io/Logging_0980/tillsyn/A 46189-2022 tillsynsbegäran.docx", "A 46189-2022")</f>
        <v/>
      </c>
      <c r="Y185">
        <f>HYPERLINK("https://klasma.github.io/Logging_0980/tillsynsmail/A 46189-2022 tillsynsbegäran mail.docx", "A 46189-2022")</f>
        <v/>
      </c>
    </row>
    <row r="186" ht="15" customHeight="1">
      <c r="A186" t="inlineStr">
        <is>
          <t>A 7042-2023</t>
        </is>
      </c>
      <c r="B186" s="1" t="n">
        <v>44968</v>
      </c>
      <c r="C186" s="1" t="n">
        <v>46196</v>
      </c>
      <c r="D186" t="inlineStr">
        <is>
          <t>GOTLANDS LÄN</t>
        </is>
      </c>
      <c r="E186" t="inlineStr">
        <is>
          <t>GOTLAND</t>
        </is>
      </c>
      <c r="G186" t="n">
        <v>0.7</v>
      </c>
      <c r="H186" t="n">
        <v>1</v>
      </c>
      <c r="I186" t="n">
        <v>1</v>
      </c>
      <c r="J186" t="n">
        <v>0</v>
      </c>
      <c r="K186" t="n">
        <v>0</v>
      </c>
      <c r="L186" t="n">
        <v>0</v>
      </c>
      <c r="M186" t="n">
        <v>0</v>
      </c>
      <c r="N186" t="n">
        <v>0</v>
      </c>
      <c r="O186" t="n">
        <v>0</v>
      </c>
      <c r="P186" t="n">
        <v>0</v>
      </c>
      <c r="Q186" t="n">
        <v>1</v>
      </c>
      <c r="R186" s="2" t="inlineStr">
        <is>
          <t>Purpurknipprot</t>
        </is>
      </c>
      <c r="S186">
        <f>HYPERLINK("https://klasma.github.io/Logging_0980/artfynd/A 7042-2023 artfynd.xlsx", "A 7042-2023")</f>
        <v/>
      </c>
      <c r="T186">
        <f>HYPERLINK("https://klasma.github.io/Logging_0980/kartor/A 7042-2023 karta.png", "A 7042-2023")</f>
        <v/>
      </c>
      <c r="V186">
        <f>HYPERLINK("https://klasma.github.io/Logging_0980/klagomål/A 7042-2023 FSC-klagomål.docx", "A 7042-2023")</f>
        <v/>
      </c>
      <c r="W186">
        <f>HYPERLINK("https://klasma.github.io/Logging_0980/klagomålsmail/A 7042-2023 FSC-klagomål mail.docx", "A 7042-2023")</f>
        <v/>
      </c>
      <c r="X186">
        <f>HYPERLINK("https://klasma.github.io/Logging_0980/tillsyn/A 7042-2023 tillsynsbegäran.docx", "A 7042-2023")</f>
        <v/>
      </c>
      <c r="Y186">
        <f>HYPERLINK("https://klasma.github.io/Logging_0980/tillsynsmail/A 7042-2023 tillsynsbegäran mail.docx", "A 7042-2023")</f>
        <v/>
      </c>
    </row>
    <row r="187" ht="15" customHeight="1">
      <c r="A187" t="inlineStr">
        <is>
          <t>A 46545-2024</t>
        </is>
      </c>
      <c r="B187" s="1" t="n">
        <v>45582</v>
      </c>
      <c r="C187" s="1" t="n">
        <v>46196</v>
      </c>
      <c r="D187" t="inlineStr">
        <is>
          <t>GOTLANDS LÄN</t>
        </is>
      </c>
      <c r="E187" t="inlineStr">
        <is>
          <t>GOTLAND</t>
        </is>
      </c>
      <c r="G187" t="n">
        <v>1.2</v>
      </c>
      <c r="H187" t="n">
        <v>0</v>
      </c>
      <c r="I187" t="n">
        <v>0</v>
      </c>
      <c r="J187" t="n">
        <v>0</v>
      </c>
      <c r="K187" t="n">
        <v>1</v>
      </c>
      <c r="L187" t="n">
        <v>0</v>
      </c>
      <c r="M187" t="n">
        <v>0</v>
      </c>
      <c r="N187" t="n">
        <v>0</v>
      </c>
      <c r="O187" t="n">
        <v>1</v>
      </c>
      <c r="P187" t="n">
        <v>1</v>
      </c>
      <c r="Q187" t="n">
        <v>1</v>
      </c>
      <c r="R187" s="2" t="inlineStr">
        <is>
          <t>Källnate</t>
        </is>
      </c>
      <c r="S187">
        <f>HYPERLINK("https://klasma.github.io/Logging_0980/artfynd/A 46545-2024 artfynd.xlsx", "A 46545-2024")</f>
        <v/>
      </c>
      <c r="T187">
        <f>HYPERLINK("https://klasma.github.io/Logging_0980/kartor/A 46545-2024 karta.png", "A 46545-2024")</f>
        <v/>
      </c>
      <c r="V187">
        <f>HYPERLINK("https://klasma.github.io/Logging_0980/klagomål/A 46545-2024 FSC-klagomål.docx", "A 46545-2024")</f>
        <v/>
      </c>
      <c r="W187">
        <f>HYPERLINK("https://klasma.github.io/Logging_0980/klagomålsmail/A 46545-2024 FSC-klagomål mail.docx", "A 46545-2024")</f>
        <v/>
      </c>
      <c r="X187">
        <f>HYPERLINK("https://klasma.github.io/Logging_0980/tillsyn/A 46545-2024 tillsynsbegäran.docx", "A 46545-2024")</f>
        <v/>
      </c>
      <c r="Y187">
        <f>HYPERLINK("https://klasma.github.io/Logging_0980/tillsynsmail/A 46545-2024 tillsynsbegäran mail.docx", "A 46545-2024")</f>
        <v/>
      </c>
    </row>
    <row r="188" ht="15" customHeight="1">
      <c r="A188" t="inlineStr">
        <is>
          <t>A 999-2023</t>
        </is>
      </c>
      <c r="B188" s="1" t="n">
        <v>44935</v>
      </c>
      <c r="C188" s="1" t="n">
        <v>46196</v>
      </c>
      <c r="D188" t="inlineStr">
        <is>
          <t>GOTLANDS LÄN</t>
        </is>
      </c>
      <c r="E188" t="inlineStr">
        <is>
          <t>GOTLAND</t>
        </is>
      </c>
      <c r="G188" t="n">
        <v>4.7</v>
      </c>
      <c r="H188" t="n">
        <v>1</v>
      </c>
      <c r="I188" t="n">
        <v>0</v>
      </c>
      <c r="J188" t="n">
        <v>0</v>
      </c>
      <c r="K188" t="n">
        <v>1</v>
      </c>
      <c r="L188" t="n">
        <v>0</v>
      </c>
      <c r="M188" t="n">
        <v>0</v>
      </c>
      <c r="N188" t="n">
        <v>0</v>
      </c>
      <c r="O188" t="n">
        <v>1</v>
      </c>
      <c r="P188" t="n">
        <v>1</v>
      </c>
      <c r="Q188" t="n">
        <v>1</v>
      </c>
      <c r="R188" s="2" t="inlineStr">
        <is>
          <t>Garderönn</t>
        </is>
      </c>
      <c r="S188">
        <f>HYPERLINK("https://klasma.github.io/Logging_0980/artfynd/A 999-2023 artfynd.xlsx", "A 999-2023")</f>
        <v/>
      </c>
      <c r="T188">
        <f>HYPERLINK("https://klasma.github.io/Logging_0980/kartor/A 999-2023 karta.png", "A 999-2023")</f>
        <v/>
      </c>
      <c r="V188">
        <f>HYPERLINK("https://klasma.github.io/Logging_0980/klagomål/A 999-2023 FSC-klagomål.docx", "A 999-2023")</f>
        <v/>
      </c>
      <c r="W188">
        <f>HYPERLINK("https://klasma.github.io/Logging_0980/klagomålsmail/A 999-2023 FSC-klagomål mail.docx", "A 999-2023")</f>
        <v/>
      </c>
      <c r="X188">
        <f>HYPERLINK("https://klasma.github.io/Logging_0980/tillsyn/A 999-2023 tillsynsbegäran.docx", "A 999-2023")</f>
        <v/>
      </c>
      <c r="Y188">
        <f>HYPERLINK("https://klasma.github.io/Logging_0980/tillsynsmail/A 999-2023 tillsynsbegäran mail.docx", "A 999-2023")</f>
        <v/>
      </c>
    </row>
    <row r="189" ht="15" customHeight="1">
      <c r="A189" t="inlineStr">
        <is>
          <t>A 447-2023</t>
        </is>
      </c>
      <c r="B189" s="1" t="n">
        <v>44929</v>
      </c>
      <c r="C189" s="1" t="n">
        <v>46196</v>
      </c>
      <c r="D189" t="inlineStr">
        <is>
          <t>GOTLANDS LÄN</t>
        </is>
      </c>
      <c r="E189" t="inlineStr">
        <is>
          <t>GOTLAND</t>
        </is>
      </c>
      <c r="G189" t="n">
        <v>5.1</v>
      </c>
      <c r="H189" t="n">
        <v>0</v>
      </c>
      <c r="I189" t="n">
        <v>0</v>
      </c>
      <c r="J189" t="n">
        <v>1</v>
      </c>
      <c r="K189" t="n">
        <v>0</v>
      </c>
      <c r="L189" t="n">
        <v>0</v>
      </c>
      <c r="M189" t="n">
        <v>0</v>
      </c>
      <c r="N189" t="n">
        <v>0</v>
      </c>
      <c r="O189" t="n">
        <v>1</v>
      </c>
      <c r="P189" t="n">
        <v>0</v>
      </c>
      <c r="Q189" t="n">
        <v>1</v>
      </c>
      <c r="R189" s="2" t="inlineStr">
        <is>
          <t>Äggspindling</t>
        </is>
      </c>
      <c r="S189">
        <f>HYPERLINK("https://klasma.github.io/Logging_0980/artfynd/A 447-2023 artfynd.xlsx", "A 447-2023")</f>
        <v/>
      </c>
      <c r="T189">
        <f>HYPERLINK("https://klasma.github.io/Logging_0980/kartor/A 447-2023 karta.png", "A 447-2023")</f>
        <v/>
      </c>
      <c r="V189">
        <f>HYPERLINK("https://klasma.github.io/Logging_0980/klagomål/A 447-2023 FSC-klagomål.docx", "A 447-2023")</f>
        <v/>
      </c>
      <c r="W189">
        <f>HYPERLINK("https://klasma.github.io/Logging_0980/klagomålsmail/A 447-2023 FSC-klagomål mail.docx", "A 447-2023")</f>
        <v/>
      </c>
      <c r="X189">
        <f>HYPERLINK("https://klasma.github.io/Logging_0980/tillsyn/A 447-2023 tillsynsbegäran.docx", "A 447-2023")</f>
        <v/>
      </c>
      <c r="Y189">
        <f>HYPERLINK("https://klasma.github.io/Logging_0980/tillsynsmail/A 447-2023 tillsynsbegäran mail.docx", "A 447-2023")</f>
        <v/>
      </c>
    </row>
    <row r="190" ht="15" customHeight="1">
      <c r="A190" t="inlineStr">
        <is>
          <t>A 1066-2024</t>
        </is>
      </c>
      <c r="B190" s="1" t="n">
        <v>45302</v>
      </c>
      <c r="C190" s="1" t="n">
        <v>46196</v>
      </c>
      <c r="D190" t="inlineStr">
        <is>
          <t>GOTLANDS LÄN</t>
        </is>
      </c>
      <c r="E190" t="inlineStr">
        <is>
          <t>GOTLAND</t>
        </is>
      </c>
      <c r="G190" t="n">
        <v>1.4</v>
      </c>
      <c r="H190" t="n">
        <v>0</v>
      </c>
      <c r="I190" t="n">
        <v>0</v>
      </c>
      <c r="J190" t="n">
        <v>1</v>
      </c>
      <c r="K190" t="n">
        <v>0</v>
      </c>
      <c r="L190" t="n">
        <v>0</v>
      </c>
      <c r="M190" t="n">
        <v>0</v>
      </c>
      <c r="N190" t="n">
        <v>0</v>
      </c>
      <c r="O190" t="n">
        <v>1</v>
      </c>
      <c r="P190" t="n">
        <v>0</v>
      </c>
      <c r="Q190" t="n">
        <v>1</v>
      </c>
      <c r="R190" s="2" t="inlineStr">
        <is>
          <t>Svinrot</t>
        </is>
      </c>
      <c r="S190">
        <f>HYPERLINK("https://klasma.github.io/Logging_0980/artfynd/A 1066-2024 artfynd.xlsx", "A 1066-2024")</f>
        <v/>
      </c>
      <c r="T190">
        <f>HYPERLINK("https://klasma.github.io/Logging_0980/kartor/A 1066-2024 karta.png", "A 1066-2024")</f>
        <v/>
      </c>
      <c r="V190">
        <f>HYPERLINK("https://klasma.github.io/Logging_0980/klagomål/A 1066-2024 FSC-klagomål.docx", "A 1066-2024")</f>
        <v/>
      </c>
      <c r="W190">
        <f>HYPERLINK("https://klasma.github.io/Logging_0980/klagomålsmail/A 1066-2024 FSC-klagomål mail.docx", "A 1066-2024")</f>
        <v/>
      </c>
      <c r="X190">
        <f>HYPERLINK("https://klasma.github.io/Logging_0980/tillsyn/A 1066-2024 tillsynsbegäran.docx", "A 1066-2024")</f>
        <v/>
      </c>
      <c r="Y190">
        <f>HYPERLINK("https://klasma.github.io/Logging_0980/tillsynsmail/A 1066-2024 tillsynsbegäran mail.docx", "A 1066-2024")</f>
        <v/>
      </c>
    </row>
    <row r="191" ht="15" customHeight="1">
      <c r="A191" t="inlineStr">
        <is>
          <t>A 34809-2024</t>
        </is>
      </c>
      <c r="B191" s="1" t="n">
        <v>45526</v>
      </c>
      <c r="C191" s="1" t="n">
        <v>46196</v>
      </c>
      <c r="D191" t="inlineStr">
        <is>
          <t>GOTLANDS LÄN</t>
        </is>
      </c>
      <c r="E191" t="inlineStr">
        <is>
          <t>GOTLAND</t>
        </is>
      </c>
      <c r="G191" t="n">
        <v>9.9</v>
      </c>
      <c r="H191" t="n">
        <v>1</v>
      </c>
      <c r="I191" t="n">
        <v>0</v>
      </c>
      <c r="J191" t="n">
        <v>1</v>
      </c>
      <c r="K191" t="n">
        <v>0</v>
      </c>
      <c r="L191" t="n">
        <v>0</v>
      </c>
      <c r="M191" t="n">
        <v>0</v>
      </c>
      <c r="N191" t="n">
        <v>0</v>
      </c>
      <c r="O191" t="n">
        <v>1</v>
      </c>
      <c r="P191" t="n">
        <v>0</v>
      </c>
      <c r="Q191" t="n">
        <v>1</v>
      </c>
      <c r="R191" s="2" t="inlineStr">
        <is>
          <t>Brun ögontröst</t>
        </is>
      </c>
      <c r="S191">
        <f>HYPERLINK("https://klasma.github.io/Logging_0980/artfynd/A 34809-2024 artfynd.xlsx", "A 34809-2024")</f>
        <v/>
      </c>
      <c r="T191">
        <f>HYPERLINK("https://klasma.github.io/Logging_0980/kartor/A 34809-2024 karta.png", "A 34809-2024")</f>
        <v/>
      </c>
      <c r="V191">
        <f>HYPERLINK("https://klasma.github.io/Logging_0980/klagomål/A 34809-2024 FSC-klagomål.docx", "A 34809-2024")</f>
        <v/>
      </c>
      <c r="W191">
        <f>HYPERLINK("https://klasma.github.io/Logging_0980/klagomålsmail/A 34809-2024 FSC-klagomål mail.docx", "A 34809-2024")</f>
        <v/>
      </c>
      <c r="X191">
        <f>HYPERLINK("https://klasma.github.io/Logging_0980/tillsyn/A 34809-2024 tillsynsbegäran.docx", "A 34809-2024")</f>
        <v/>
      </c>
      <c r="Y191">
        <f>HYPERLINK("https://klasma.github.io/Logging_0980/tillsynsmail/A 34809-2024 tillsynsbegäran mail.docx", "A 34809-2024")</f>
        <v/>
      </c>
    </row>
    <row r="192" ht="15" customHeight="1">
      <c r="A192" t="inlineStr">
        <is>
          <t>A 49304-2024</t>
        </is>
      </c>
      <c r="B192" s="1" t="n">
        <v>45595</v>
      </c>
      <c r="C192" s="1" t="n">
        <v>46196</v>
      </c>
      <c r="D192" t="inlineStr">
        <is>
          <t>GOTLANDS LÄN</t>
        </is>
      </c>
      <c r="E192" t="inlineStr">
        <is>
          <t>GOTLAND</t>
        </is>
      </c>
      <c r="G192" t="n">
        <v>10.8</v>
      </c>
      <c r="H192" t="n">
        <v>0</v>
      </c>
      <c r="I192" t="n">
        <v>0</v>
      </c>
      <c r="J192" t="n">
        <v>1</v>
      </c>
      <c r="K192" t="n">
        <v>0</v>
      </c>
      <c r="L192" t="n">
        <v>0</v>
      </c>
      <c r="M192" t="n">
        <v>0</v>
      </c>
      <c r="N192" t="n">
        <v>0</v>
      </c>
      <c r="O192" t="n">
        <v>1</v>
      </c>
      <c r="P192" t="n">
        <v>0</v>
      </c>
      <c r="Q192" t="n">
        <v>1</v>
      </c>
      <c r="R192" s="2" t="inlineStr">
        <is>
          <t>Åkerranunkel</t>
        </is>
      </c>
      <c r="S192">
        <f>HYPERLINK("https://klasma.github.io/Logging_0980/artfynd/A 49304-2024 artfynd.xlsx", "A 49304-2024")</f>
        <v/>
      </c>
      <c r="T192">
        <f>HYPERLINK("https://klasma.github.io/Logging_0980/kartor/A 49304-2024 karta.png", "A 49304-2024")</f>
        <v/>
      </c>
      <c r="V192">
        <f>HYPERLINK("https://klasma.github.io/Logging_0980/klagomål/A 49304-2024 FSC-klagomål.docx", "A 49304-2024")</f>
        <v/>
      </c>
      <c r="W192">
        <f>HYPERLINK("https://klasma.github.io/Logging_0980/klagomålsmail/A 49304-2024 FSC-klagomål mail.docx", "A 49304-2024")</f>
        <v/>
      </c>
      <c r="X192">
        <f>HYPERLINK("https://klasma.github.io/Logging_0980/tillsyn/A 49304-2024 tillsynsbegäran.docx", "A 49304-2024")</f>
        <v/>
      </c>
      <c r="Y192">
        <f>HYPERLINK("https://klasma.github.io/Logging_0980/tillsynsmail/A 49304-2024 tillsynsbegäran mail.docx", "A 49304-2024")</f>
        <v/>
      </c>
    </row>
    <row r="193" ht="15" customHeight="1">
      <c r="A193" t="inlineStr">
        <is>
          <t>A 22782-2023</t>
        </is>
      </c>
      <c r="B193" s="1" t="n">
        <v>45072</v>
      </c>
      <c r="C193" s="1" t="n">
        <v>46196</v>
      </c>
      <c r="D193" t="inlineStr">
        <is>
          <t>GOTLANDS LÄN</t>
        </is>
      </c>
      <c r="E193" t="inlineStr">
        <is>
          <t>GOTLAND</t>
        </is>
      </c>
      <c r="F193" t="inlineStr">
        <is>
          <t>Kyrkan</t>
        </is>
      </c>
      <c r="G193" t="n">
        <v>3.1</v>
      </c>
      <c r="H193" t="n">
        <v>1</v>
      </c>
      <c r="I193" t="n">
        <v>0</v>
      </c>
      <c r="J193" t="n">
        <v>0</v>
      </c>
      <c r="K193" t="n">
        <v>0</v>
      </c>
      <c r="L193" t="n">
        <v>0</v>
      </c>
      <c r="M193" t="n">
        <v>0</v>
      </c>
      <c r="N193" t="n">
        <v>0</v>
      </c>
      <c r="O193" t="n">
        <v>0</v>
      </c>
      <c r="P193" t="n">
        <v>0</v>
      </c>
      <c r="Q193" t="n">
        <v>1</v>
      </c>
      <c r="R193" s="2" t="inlineStr">
        <is>
          <t>Ängsnycklar × skogsnycklar</t>
        </is>
      </c>
      <c r="S193">
        <f>HYPERLINK("https://klasma.github.io/Logging_0980/artfynd/A 22782-2023 artfynd.xlsx", "A 22782-2023")</f>
        <v/>
      </c>
      <c r="T193">
        <f>HYPERLINK("https://klasma.github.io/Logging_0980/kartor/A 22782-2023 karta.png", "A 22782-2023")</f>
        <v/>
      </c>
      <c r="V193">
        <f>HYPERLINK("https://klasma.github.io/Logging_0980/klagomål/A 22782-2023 FSC-klagomål.docx", "A 22782-2023")</f>
        <v/>
      </c>
      <c r="W193">
        <f>HYPERLINK("https://klasma.github.io/Logging_0980/klagomålsmail/A 22782-2023 FSC-klagomål mail.docx", "A 22782-2023")</f>
        <v/>
      </c>
      <c r="X193">
        <f>HYPERLINK("https://klasma.github.io/Logging_0980/tillsyn/A 22782-2023 tillsynsbegäran.docx", "A 22782-2023")</f>
        <v/>
      </c>
      <c r="Y193">
        <f>HYPERLINK("https://klasma.github.io/Logging_0980/tillsynsmail/A 22782-2023 tillsynsbegäran mail.docx", "A 22782-2023")</f>
        <v/>
      </c>
    </row>
    <row r="194" ht="15" customHeight="1">
      <c r="A194" t="inlineStr">
        <is>
          <t>A 44088-2022</t>
        </is>
      </c>
      <c r="B194" s="1" t="n">
        <v>44839</v>
      </c>
      <c r="C194" s="1" t="n">
        <v>46196</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Strävlosta</t>
        </is>
      </c>
      <c r="S194">
        <f>HYPERLINK("https://klasma.github.io/Logging_0980/artfynd/A 44088-2022 artfynd.xlsx", "A 44088-2022")</f>
        <v/>
      </c>
      <c r="T194">
        <f>HYPERLINK("https://klasma.github.io/Logging_0980/kartor/A 44088-2022 karta.png", "A 44088-2022")</f>
        <v/>
      </c>
      <c r="V194">
        <f>HYPERLINK("https://klasma.github.io/Logging_0980/klagomål/A 44088-2022 FSC-klagomål.docx", "A 44088-2022")</f>
        <v/>
      </c>
      <c r="W194">
        <f>HYPERLINK("https://klasma.github.io/Logging_0980/klagomålsmail/A 44088-2022 FSC-klagomål mail.docx", "A 44088-2022")</f>
        <v/>
      </c>
      <c r="X194">
        <f>HYPERLINK("https://klasma.github.io/Logging_0980/tillsyn/A 44088-2022 tillsynsbegäran.docx", "A 44088-2022")</f>
        <v/>
      </c>
      <c r="Y194">
        <f>HYPERLINK("https://klasma.github.io/Logging_0980/tillsynsmail/A 44088-2022 tillsynsbegäran mail.docx", "A 44088-2022")</f>
        <v/>
      </c>
    </row>
    <row r="195" ht="15" customHeight="1">
      <c r="A195" t="inlineStr">
        <is>
          <t>A 69112-2021</t>
        </is>
      </c>
      <c r="B195" s="1" t="n">
        <v>44530</v>
      </c>
      <c r="C195" s="1" t="n">
        <v>46196</v>
      </c>
      <c r="D195" t="inlineStr">
        <is>
          <t>GOTLANDS LÄN</t>
        </is>
      </c>
      <c r="E195" t="inlineStr">
        <is>
          <t>GOTLAND</t>
        </is>
      </c>
      <c r="G195" t="n">
        <v>4.2</v>
      </c>
      <c r="H195" t="n">
        <v>0</v>
      </c>
      <c r="I195" t="n">
        <v>0</v>
      </c>
      <c r="J195" t="n">
        <v>1</v>
      </c>
      <c r="K195" t="n">
        <v>0</v>
      </c>
      <c r="L195" t="n">
        <v>0</v>
      </c>
      <c r="M195" t="n">
        <v>0</v>
      </c>
      <c r="N195" t="n">
        <v>0</v>
      </c>
      <c r="O195" t="n">
        <v>1</v>
      </c>
      <c r="P195" t="n">
        <v>0</v>
      </c>
      <c r="Q195" t="n">
        <v>1</v>
      </c>
      <c r="R195" s="2" t="inlineStr">
        <is>
          <t>Sårläka</t>
        </is>
      </c>
      <c r="S195">
        <f>HYPERLINK("https://klasma.github.io/Logging_0980/artfynd/A 69112-2021 artfynd.xlsx", "A 69112-2021")</f>
        <v/>
      </c>
      <c r="T195">
        <f>HYPERLINK("https://klasma.github.io/Logging_0980/kartor/A 69112-2021 karta.png", "A 69112-2021")</f>
        <v/>
      </c>
      <c r="V195">
        <f>HYPERLINK("https://klasma.github.io/Logging_0980/klagomål/A 69112-2021 FSC-klagomål.docx", "A 69112-2021")</f>
        <v/>
      </c>
      <c r="W195">
        <f>HYPERLINK("https://klasma.github.io/Logging_0980/klagomålsmail/A 69112-2021 FSC-klagomål mail.docx", "A 69112-2021")</f>
        <v/>
      </c>
      <c r="X195">
        <f>HYPERLINK("https://klasma.github.io/Logging_0980/tillsyn/A 69112-2021 tillsynsbegäran.docx", "A 69112-2021")</f>
        <v/>
      </c>
      <c r="Y195">
        <f>HYPERLINK("https://klasma.github.io/Logging_0980/tillsynsmail/A 69112-2021 tillsynsbegäran mail.docx", "A 69112-2021")</f>
        <v/>
      </c>
    </row>
    <row r="196" ht="15" customHeight="1">
      <c r="A196" t="inlineStr">
        <is>
          <t>A 1477-2024</t>
        </is>
      </c>
      <c r="B196" s="1" t="n">
        <v>45305</v>
      </c>
      <c r="C196" s="1" t="n">
        <v>46196</v>
      </c>
      <c r="D196" t="inlineStr">
        <is>
          <t>GOTLANDS LÄN</t>
        </is>
      </c>
      <c r="E196" t="inlineStr">
        <is>
          <t>GOTLAND</t>
        </is>
      </c>
      <c r="G196" t="n">
        <v>6.9</v>
      </c>
      <c r="H196" t="n">
        <v>0</v>
      </c>
      <c r="I196" t="n">
        <v>0</v>
      </c>
      <c r="J196" t="n">
        <v>0</v>
      </c>
      <c r="K196" t="n">
        <v>1</v>
      </c>
      <c r="L196" t="n">
        <v>0</v>
      </c>
      <c r="M196" t="n">
        <v>0</v>
      </c>
      <c r="N196" t="n">
        <v>0</v>
      </c>
      <c r="O196" t="n">
        <v>1</v>
      </c>
      <c r="P196" t="n">
        <v>1</v>
      </c>
      <c r="Q196" t="n">
        <v>1</v>
      </c>
      <c r="R196" s="2" t="inlineStr">
        <is>
          <t>Igelkott</t>
        </is>
      </c>
      <c r="S196">
        <f>HYPERLINK("https://klasma.github.io/Logging_0980/artfynd/A 1477-2024 artfynd.xlsx", "A 1477-2024")</f>
        <v/>
      </c>
      <c r="T196">
        <f>HYPERLINK("https://klasma.github.io/Logging_0980/kartor/A 1477-2024 karta.png", "A 1477-2024")</f>
        <v/>
      </c>
      <c r="V196">
        <f>HYPERLINK("https://klasma.github.io/Logging_0980/klagomål/A 1477-2024 FSC-klagomål.docx", "A 1477-2024")</f>
        <v/>
      </c>
      <c r="W196">
        <f>HYPERLINK("https://klasma.github.io/Logging_0980/klagomålsmail/A 1477-2024 FSC-klagomål mail.docx", "A 1477-2024")</f>
        <v/>
      </c>
      <c r="X196">
        <f>HYPERLINK("https://klasma.github.io/Logging_0980/tillsyn/A 1477-2024 tillsynsbegäran.docx", "A 1477-2024")</f>
        <v/>
      </c>
      <c r="Y196">
        <f>HYPERLINK("https://klasma.github.io/Logging_0980/tillsynsmail/A 1477-2024 tillsynsbegäran mail.docx", "A 1477-2024")</f>
        <v/>
      </c>
    </row>
    <row r="197" ht="15" customHeight="1">
      <c r="A197" t="inlineStr">
        <is>
          <t>A 1677-2023</t>
        </is>
      </c>
      <c r="B197" s="1" t="n">
        <v>44938</v>
      </c>
      <c r="C197" s="1" t="n">
        <v>46196</v>
      </c>
      <c r="D197" t="inlineStr">
        <is>
          <t>GOTLANDS LÄN</t>
        </is>
      </c>
      <c r="E197" t="inlineStr">
        <is>
          <t>GOTLAND</t>
        </is>
      </c>
      <c r="G197" t="n">
        <v>1.6</v>
      </c>
      <c r="H197" t="n">
        <v>0</v>
      </c>
      <c r="I197" t="n">
        <v>0</v>
      </c>
      <c r="J197" t="n">
        <v>1</v>
      </c>
      <c r="K197" t="n">
        <v>0</v>
      </c>
      <c r="L197" t="n">
        <v>0</v>
      </c>
      <c r="M197" t="n">
        <v>0</v>
      </c>
      <c r="N197" t="n">
        <v>0</v>
      </c>
      <c r="O197" t="n">
        <v>1</v>
      </c>
      <c r="P197" t="n">
        <v>0</v>
      </c>
      <c r="Q197" t="n">
        <v>1</v>
      </c>
      <c r="R197" s="2" t="inlineStr">
        <is>
          <t>Strandrosettmossa</t>
        </is>
      </c>
      <c r="S197">
        <f>HYPERLINK("https://klasma.github.io/Logging_0980/artfynd/A 1677-2023 artfynd.xlsx", "A 1677-2023")</f>
        <v/>
      </c>
      <c r="T197">
        <f>HYPERLINK("https://klasma.github.io/Logging_0980/kartor/A 1677-2023 karta.png", "A 1677-2023")</f>
        <v/>
      </c>
      <c r="V197">
        <f>HYPERLINK("https://klasma.github.io/Logging_0980/klagomål/A 1677-2023 FSC-klagomål.docx", "A 1677-2023")</f>
        <v/>
      </c>
      <c r="W197">
        <f>HYPERLINK("https://klasma.github.io/Logging_0980/klagomålsmail/A 1677-2023 FSC-klagomål mail.docx", "A 1677-2023")</f>
        <v/>
      </c>
      <c r="X197">
        <f>HYPERLINK("https://klasma.github.io/Logging_0980/tillsyn/A 1677-2023 tillsynsbegäran.docx", "A 1677-2023")</f>
        <v/>
      </c>
      <c r="Y197">
        <f>HYPERLINK("https://klasma.github.io/Logging_0980/tillsynsmail/A 1677-2023 tillsynsbegäran mail.docx", "A 1677-2023")</f>
        <v/>
      </c>
    </row>
    <row r="198" ht="15" customHeight="1">
      <c r="A198" t="inlineStr">
        <is>
          <t>A 62915-2021</t>
        </is>
      </c>
      <c r="B198" s="1" t="n">
        <v>44504</v>
      </c>
      <c r="C198" s="1" t="n">
        <v>46196</v>
      </c>
      <c r="D198" t="inlineStr">
        <is>
          <t>GOTLANDS LÄN</t>
        </is>
      </c>
      <c r="E198" t="inlineStr">
        <is>
          <t>GOTLAND</t>
        </is>
      </c>
      <c r="G198" t="n">
        <v>1.1</v>
      </c>
      <c r="H198" t="n">
        <v>1</v>
      </c>
      <c r="I198" t="n">
        <v>0</v>
      </c>
      <c r="J198" t="n">
        <v>0</v>
      </c>
      <c r="K198" t="n">
        <v>0</v>
      </c>
      <c r="L198" t="n">
        <v>0</v>
      </c>
      <c r="M198" t="n">
        <v>0</v>
      </c>
      <c r="N198" t="n">
        <v>0</v>
      </c>
      <c r="O198" t="n">
        <v>0</v>
      </c>
      <c r="P198" t="n">
        <v>0</v>
      </c>
      <c r="Q198" t="n">
        <v>1</v>
      </c>
      <c r="R198" s="2" t="inlineStr">
        <is>
          <t>Bredarun</t>
        </is>
      </c>
      <c r="S198">
        <f>HYPERLINK("https://klasma.github.io/Logging_0980/artfynd/A 62915-2021 artfynd.xlsx", "A 62915-2021")</f>
        <v/>
      </c>
      <c r="T198">
        <f>HYPERLINK("https://klasma.github.io/Logging_0980/kartor/A 62915-2021 karta.png", "A 62915-2021")</f>
        <v/>
      </c>
      <c r="V198">
        <f>HYPERLINK("https://klasma.github.io/Logging_0980/klagomål/A 62915-2021 FSC-klagomål.docx", "A 62915-2021")</f>
        <v/>
      </c>
      <c r="W198">
        <f>HYPERLINK("https://klasma.github.io/Logging_0980/klagomålsmail/A 62915-2021 FSC-klagomål mail.docx", "A 62915-2021")</f>
        <v/>
      </c>
      <c r="X198">
        <f>HYPERLINK("https://klasma.github.io/Logging_0980/tillsyn/A 62915-2021 tillsynsbegäran.docx", "A 62915-2021")</f>
        <v/>
      </c>
      <c r="Y198">
        <f>HYPERLINK("https://klasma.github.io/Logging_0980/tillsynsmail/A 62915-2021 tillsynsbegäran mail.docx", "A 62915-2021")</f>
        <v/>
      </c>
    </row>
    <row r="199" ht="15" customHeight="1">
      <c r="A199" t="inlineStr">
        <is>
          <t>A 7637-2025</t>
        </is>
      </c>
      <c r="B199" s="1" t="n">
        <v>45705</v>
      </c>
      <c r="C199" s="1" t="n">
        <v>46196</v>
      </c>
      <c r="D199" t="inlineStr">
        <is>
          <t>GOTLANDS LÄN</t>
        </is>
      </c>
      <c r="E199" t="inlineStr">
        <is>
          <t>GOTLAND</t>
        </is>
      </c>
      <c r="G199" t="n">
        <v>3.7</v>
      </c>
      <c r="H199" t="n">
        <v>0</v>
      </c>
      <c r="I199" t="n">
        <v>0</v>
      </c>
      <c r="J199" t="n">
        <v>0</v>
      </c>
      <c r="K199" t="n">
        <v>0</v>
      </c>
      <c r="L199" t="n">
        <v>1</v>
      </c>
      <c r="M199" t="n">
        <v>0</v>
      </c>
      <c r="N199" t="n">
        <v>0</v>
      </c>
      <c r="O199" t="n">
        <v>1</v>
      </c>
      <c r="P199" t="n">
        <v>1</v>
      </c>
      <c r="Q199" t="n">
        <v>1</v>
      </c>
      <c r="R199" s="2" t="inlineStr">
        <is>
          <t>Skogsalm</t>
        </is>
      </c>
      <c r="S199">
        <f>HYPERLINK("https://klasma.github.io/Logging_0980/artfynd/A 7637-2025 artfynd.xlsx", "A 7637-2025")</f>
        <v/>
      </c>
      <c r="T199">
        <f>HYPERLINK("https://klasma.github.io/Logging_0980/kartor/A 7637-2025 karta.png", "A 7637-2025")</f>
        <v/>
      </c>
      <c r="V199">
        <f>HYPERLINK("https://klasma.github.io/Logging_0980/klagomål/A 7637-2025 FSC-klagomål.docx", "A 7637-2025")</f>
        <v/>
      </c>
      <c r="W199">
        <f>HYPERLINK("https://klasma.github.io/Logging_0980/klagomålsmail/A 7637-2025 FSC-klagomål mail.docx", "A 7637-2025")</f>
        <v/>
      </c>
      <c r="X199">
        <f>HYPERLINK("https://klasma.github.io/Logging_0980/tillsyn/A 7637-2025 tillsynsbegäran.docx", "A 7637-2025")</f>
        <v/>
      </c>
      <c r="Y199">
        <f>HYPERLINK("https://klasma.github.io/Logging_0980/tillsynsmail/A 7637-2025 tillsynsbegäran mail.docx", "A 7637-2025")</f>
        <v/>
      </c>
    </row>
    <row r="200" ht="15" customHeight="1">
      <c r="A200" t="inlineStr">
        <is>
          <t>A 61796-2022</t>
        </is>
      </c>
      <c r="B200" s="1" t="n">
        <v>44917</v>
      </c>
      <c r="C200" s="1" t="n">
        <v>46196</v>
      </c>
      <c r="D200" t="inlineStr">
        <is>
          <t>GOTLANDS LÄN</t>
        </is>
      </c>
      <c r="E200" t="inlineStr">
        <is>
          <t>GOTLAND</t>
        </is>
      </c>
      <c r="G200" t="n">
        <v>1.5</v>
      </c>
      <c r="H200" t="n">
        <v>1</v>
      </c>
      <c r="I200" t="n">
        <v>0</v>
      </c>
      <c r="J200" t="n">
        <v>0</v>
      </c>
      <c r="K200" t="n">
        <v>0</v>
      </c>
      <c r="L200" t="n">
        <v>0</v>
      </c>
      <c r="M200" t="n">
        <v>0</v>
      </c>
      <c r="N200" t="n">
        <v>0</v>
      </c>
      <c r="O200" t="n">
        <v>0</v>
      </c>
      <c r="P200" t="n">
        <v>0</v>
      </c>
      <c r="Q200" t="n">
        <v>1</v>
      </c>
      <c r="R200" s="2" t="inlineStr">
        <is>
          <t>Skogsduva</t>
        </is>
      </c>
      <c r="S200">
        <f>HYPERLINK("https://klasma.github.io/Logging_0980/artfynd/A 61796-2022 artfynd.xlsx", "A 61796-2022")</f>
        <v/>
      </c>
      <c r="T200">
        <f>HYPERLINK("https://klasma.github.io/Logging_0980/kartor/A 61796-2022 karta.png", "A 61796-2022")</f>
        <v/>
      </c>
      <c r="V200">
        <f>HYPERLINK("https://klasma.github.io/Logging_0980/klagomål/A 61796-2022 FSC-klagomål.docx", "A 61796-2022")</f>
        <v/>
      </c>
      <c r="W200">
        <f>HYPERLINK("https://klasma.github.io/Logging_0980/klagomålsmail/A 61796-2022 FSC-klagomål mail.docx", "A 61796-2022")</f>
        <v/>
      </c>
      <c r="X200">
        <f>HYPERLINK("https://klasma.github.io/Logging_0980/tillsyn/A 61796-2022 tillsynsbegäran.docx", "A 61796-2022")</f>
        <v/>
      </c>
      <c r="Y200">
        <f>HYPERLINK("https://klasma.github.io/Logging_0980/tillsynsmail/A 61796-2022 tillsynsbegäran mail.docx", "A 61796-2022")</f>
        <v/>
      </c>
    </row>
    <row r="201" ht="15" customHeight="1">
      <c r="A201" t="inlineStr">
        <is>
          <t>A 10218-2025</t>
        </is>
      </c>
      <c r="B201" s="1" t="n">
        <v>45720</v>
      </c>
      <c r="C201" s="1" t="n">
        <v>46196</v>
      </c>
      <c r="D201" t="inlineStr">
        <is>
          <t>GOTLANDS LÄN</t>
        </is>
      </c>
      <c r="E201" t="inlineStr">
        <is>
          <t>GOTLAND</t>
        </is>
      </c>
      <c r="G201" t="n">
        <v>8.1</v>
      </c>
      <c r="H201" t="n">
        <v>0</v>
      </c>
      <c r="I201" t="n">
        <v>1</v>
      </c>
      <c r="J201" t="n">
        <v>0</v>
      </c>
      <c r="K201" t="n">
        <v>0</v>
      </c>
      <c r="L201" t="n">
        <v>0</v>
      </c>
      <c r="M201" t="n">
        <v>0</v>
      </c>
      <c r="N201" t="n">
        <v>0</v>
      </c>
      <c r="O201" t="n">
        <v>0</v>
      </c>
      <c r="P201" t="n">
        <v>0</v>
      </c>
      <c r="Q201" t="n">
        <v>1</v>
      </c>
      <c r="R201" s="2" t="inlineStr">
        <is>
          <t>Kalktallört</t>
        </is>
      </c>
      <c r="S201">
        <f>HYPERLINK("https://klasma.github.io/Logging_0980/artfynd/A 10218-2025 artfynd.xlsx", "A 10218-2025")</f>
        <v/>
      </c>
      <c r="T201">
        <f>HYPERLINK("https://klasma.github.io/Logging_0980/kartor/A 10218-2025 karta.png", "A 10218-2025")</f>
        <v/>
      </c>
      <c r="V201">
        <f>HYPERLINK("https://klasma.github.io/Logging_0980/klagomål/A 10218-2025 FSC-klagomål.docx", "A 10218-2025")</f>
        <v/>
      </c>
      <c r="W201">
        <f>HYPERLINK("https://klasma.github.io/Logging_0980/klagomålsmail/A 10218-2025 FSC-klagomål mail.docx", "A 10218-2025")</f>
        <v/>
      </c>
      <c r="X201">
        <f>HYPERLINK("https://klasma.github.io/Logging_0980/tillsyn/A 10218-2025 tillsynsbegäran.docx", "A 10218-2025")</f>
        <v/>
      </c>
      <c r="Y201">
        <f>HYPERLINK("https://klasma.github.io/Logging_0980/tillsynsmail/A 10218-2025 tillsynsbegäran mail.docx", "A 10218-2025")</f>
        <v/>
      </c>
    </row>
    <row r="202" ht="15" customHeight="1">
      <c r="A202" t="inlineStr">
        <is>
          <t>A 12379-2024</t>
        </is>
      </c>
      <c r="B202" s="1" t="n">
        <v>45379</v>
      </c>
      <c r="C202" s="1" t="n">
        <v>46196</v>
      </c>
      <c r="D202" t="inlineStr">
        <is>
          <t>GOTLANDS LÄN</t>
        </is>
      </c>
      <c r="E202" t="inlineStr">
        <is>
          <t>GOTLAND</t>
        </is>
      </c>
      <c r="G202" t="n">
        <v>4.4</v>
      </c>
      <c r="H202" t="n">
        <v>0</v>
      </c>
      <c r="I202" t="n">
        <v>0</v>
      </c>
      <c r="J202" t="n">
        <v>1</v>
      </c>
      <c r="K202" t="n">
        <v>0</v>
      </c>
      <c r="L202" t="n">
        <v>0</v>
      </c>
      <c r="M202" t="n">
        <v>0</v>
      </c>
      <c r="N202" t="n">
        <v>0</v>
      </c>
      <c r="O202" t="n">
        <v>1</v>
      </c>
      <c r="P202" t="n">
        <v>0</v>
      </c>
      <c r="Q202" t="n">
        <v>1</v>
      </c>
      <c r="R202" s="2" t="inlineStr">
        <is>
          <t>Svinrot</t>
        </is>
      </c>
      <c r="S202">
        <f>HYPERLINK("https://klasma.github.io/Logging_0980/artfynd/A 12379-2024 artfynd.xlsx", "A 12379-2024")</f>
        <v/>
      </c>
      <c r="T202">
        <f>HYPERLINK("https://klasma.github.io/Logging_0980/kartor/A 12379-2024 karta.png", "A 12379-2024")</f>
        <v/>
      </c>
      <c r="V202">
        <f>HYPERLINK("https://klasma.github.io/Logging_0980/klagomål/A 12379-2024 FSC-klagomål.docx", "A 12379-2024")</f>
        <v/>
      </c>
      <c r="W202">
        <f>HYPERLINK("https://klasma.github.io/Logging_0980/klagomålsmail/A 12379-2024 FSC-klagomål mail.docx", "A 12379-2024")</f>
        <v/>
      </c>
      <c r="X202">
        <f>HYPERLINK("https://klasma.github.io/Logging_0980/tillsyn/A 12379-2024 tillsynsbegäran.docx", "A 12379-2024")</f>
        <v/>
      </c>
      <c r="Y202">
        <f>HYPERLINK("https://klasma.github.io/Logging_0980/tillsynsmail/A 12379-2024 tillsynsbegäran mail.docx", "A 12379-2024")</f>
        <v/>
      </c>
    </row>
    <row r="203" ht="15" customHeight="1">
      <c r="A203" t="inlineStr">
        <is>
          <t>A 64700-2021</t>
        </is>
      </c>
      <c r="B203" s="1" t="n">
        <v>44511</v>
      </c>
      <c r="C203" s="1" t="n">
        <v>46196</v>
      </c>
      <c r="D203" t="inlineStr">
        <is>
          <t>GOTLANDS LÄN</t>
        </is>
      </c>
      <c r="E203" t="inlineStr">
        <is>
          <t>GOTLAND</t>
        </is>
      </c>
      <c r="F203" t="inlineStr">
        <is>
          <t>Naturvårdsverket</t>
        </is>
      </c>
      <c r="G203" t="n">
        <v>2.4</v>
      </c>
      <c r="H203" t="n">
        <v>1</v>
      </c>
      <c r="I203" t="n">
        <v>0</v>
      </c>
      <c r="J203" t="n">
        <v>1</v>
      </c>
      <c r="K203" t="n">
        <v>0</v>
      </c>
      <c r="L203" t="n">
        <v>0</v>
      </c>
      <c r="M203" t="n">
        <v>0</v>
      </c>
      <c r="N203" t="n">
        <v>0</v>
      </c>
      <c r="O203" t="n">
        <v>1</v>
      </c>
      <c r="P203" t="n">
        <v>0</v>
      </c>
      <c r="Q203" t="n">
        <v>1</v>
      </c>
      <c r="R203" s="2" t="inlineStr">
        <is>
          <t>Kalkdån</t>
        </is>
      </c>
      <c r="S203">
        <f>HYPERLINK("https://klasma.github.io/Logging_0980/artfynd/A 64700-2021 artfynd.xlsx", "A 64700-2021")</f>
        <v/>
      </c>
      <c r="T203">
        <f>HYPERLINK("https://klasma.github.io/Logging_0980/kartor/A 64700-2021 karta.png", "A 64700-2021")</f>
        <v/>
      </c>
      <c r="V203">
        <f>HYPERLINK("https://klasma.github.io/Logging_0980/klagomål/A 64700-2021 FSC-klagomål.docx", "A 64700-2021")</f>
        <v/>
      </c>
      <c r="W203">
        <f>HYPERLINK("https://klasma.github.io/Logging_0980/klagomålsmail/A 64700-2021 FSC-klagomål mail.docx", "A 64700-2021")</f>
        <v/>
      </c>
      <c r="X203">
        <f>HYPERLINK("https://klasma.github.io/Logging_0980/tillsyn/A 64700-2021 tillsynsbegäran.docx", "A 64700-2021")</f>
        <v/>
      </c>
      <c r="Y203">
        <f>HYPERLINK("https://klasma.github.io/Logging_0980/tillsynsmail/A 64700-2021 tillsynsbegäran mail.docx", "A 64700-2021")</f>
        <v/>
      </c>
    </row>
    <row r="204" ht="15" customHeight="1">
      <c r="A204" t="inlineStr">
        <is>
          <t>A 15637-2024</t>
        </is>
      </c>
      <c r="B204" s="1" t="n">
        <v>45403</v>
      </c>
      <c r="C204" s="1" t="n">
        <v>46196</v>
      </c>
      <c r="D204" t="inlineStr">
        <is>
          <t>GOTLANDS LÄN</t>
        </is>
      </c>
      <c r="E204" t="inlineStr">
        <is>
          <t>GOTLAND</t>
        </is>
      </c>
      <c r="G204" t="n">
        <v>4.1</v>
      </c>
      <c r="H204" t="n">
        <v>1</v>
      </c>
      <c r="I204" t="n">
        <v>0</v>
      </c>
      <c r="J204" t="n">
        <v>0</v>
      </c>
      <c r="K204" t="n">
        <v>0</v>
      </c>
      <c r="L204" t="n">
        <v>0</v>
      </c>
      <c r="M204" t="n">
        <v>0</v>
      </c>
      <c r="N204" t="n">
        <v>0</v>
      </c>
      <c r="O204" t="n">
        <v>0</v>
      </c>
      <c r="P204" t="n">
        <v>0</v>
      </c>
      <c r="Q204" t="n">
        <v>1</v>
      </c>
      <c r="R204" s="2" t="inlineStr">
        <is>
          <t>Blåsippa</t>
        </is>
      </c>
      <c r="S204">
        <f>HYPERLINK("https://klasma.github.io/Logging_0980/artfynd/A 15637-2024 artfynd.xlsx", "A 15637-2024")</f>
        <v/>
      </c>
      <c r="T204">
        <f>HYPERLINK("https://klasma.github.io/Logging_0980/kartor/A 15637-2024 karta.png", "A 15637-2024")</f>
        <v/>
      </c>
      <c r="V204">
        <f>HYPERLINK("https://klasma.github.io/Logging_0980/klagomål/A 15637-2024 FSC-klagomål.docx", "A 15637-2024")</f>
        <v/>
      </c>
      <c r="W204">
        <f>HYPERLINK("https://klasma.github.io/Logging_0980/klagomålsmail/A 15637-2024 FSC-klagomål mail.docx", "A 15637-2024")</f>
        <v/>
      </c>
      <c r="X204">
        <f>HYPERLINK("https://klasma.github.io/Logging_0980/tillsyn/A 15637-2024 tillsynsbegäran.docx", "A 15637-2024")</f>
        <v/>
      </c>
      <c r="Y204">
        <f>HYPERLINK("https://klasma.github.io/Logging_0980/tillsynsmail/A 15637-2024 tillsynsbegäran mail.docx", "A 15637-2024")</f>
        <v/>
      </c>
    </row>
    <row r="205" ht="15" customHeight="1">
      <c r="A205" t="inlineStr">
        <is>
          <t>A 4568-2025</t>
        </is>
      </c>
      <c r="B205" s="1" t="n">
        <v>45687</v>
      </c>
      <c r="C205" s="1" t="n">
        <v>46196</v>
      </c>
      <c r="D205" t="inlineStr">
        <is>
          <t>GOTLANDS LÄN</t>
        </is>
      </c>
      <c r="E205" t="inlineStr">
        <is>
          <t>GOTLAND</t>
        </is>
      </c>
      <c r="G205" t="n">
        <v>1.9</v>
      </c>
      <c r="H205" t="n">
        <v>0</v>
      </c>
      <c r="I205" t="n">
        <v>0</v>
      </c>
      <c r="J205" t="n">
        <v>1</v>
      </c>
      <c r="K205" t="n">
        <v>0</v>
      </c>
      <c r="L205" t="n">
        <v>0</v>
      </c>
      <c r="M205" t="n">
        <v>0</v>
      </c>
      <c r="N205" t="n">
        <v>0</v>
      </c>
      <c r="O205" t="n">
        <v>1</v>
      </c>
      <c r="P205" t="n">
        <v>0</v>
      </c>
      <c r="Q205" t="n">
        <v>1</v>
      </c>
      <c r="R205" s="2" t="inlineStr">
        <is>
          <t>Backfryle</t>
        </is>
      </c>
      <c r="S205">
        <f>HYPERLINK("https://klasma.github.io/Logging_0980/artfynd/A 4568-2025 artfynd.xlsx", "A 4568-2025")</f>
        <v/>
      </c>
      <c r="T205">
        <f>HYPERLINK("https://klasma.github.io/Logging_0980/kartor/A 4568-2025 karta.png", "A 4568-2025")</f>
        <v/>
      </c>
      <c r="V205">
        <f>HYPERLINK("https://klasma.github.io/Logging_0980/klagomål/A 4568-2025 FSC-klagomål.docx", "A 4568-2025")</f>
        <v/>
      </c>
      <c r="W205">
        <f>HYPERLINK("https://klasma.github.io/Logging_0980/klagomålsmail/A 4568-2025 FSC-klagomål mail.docx", "A 4568-2025")</f>
        <v/>
      </c>
      <c r="X205">
        <f>HYPERLINK("https://klasma.github.io/Logging_0980/tillsyn/A 4568-2025 tillsynsbegäran.docx", "A 4568-2025")</f>
        <v/>
      </c>
      <c r="Y205">
        <f>HYPERLINK("https://klasma.github.io/Logging_0980/tillsynsmail/A 4568-2025 tillsynsbegäran mail.docx", "A 4568-2025")</f>
        <v/>
      </c>
    </row>
    <row r="206" ht="15" customHeight="1">
      <c r="A206" t="inlineStr">
        <is>
          <t>A 49847-2023</t>
        </is>
      </c>
      <c r="B206" s="1" t="n">
        <v>45212</v>
      </c>
      <c r="C206" s="1" t="n">
        <v>46196</v>
      </c>
      <c r="D206" t="inlineStr">
        <is>
          <t>GOTLANDS LÄN</t>
        </is>
      </c>
      <c r="E206" t="inlineStr">
        <is>
          <t>GOTLAND</t>
        </is>
      </c>
      <c r="G206" t="n">
        <v>35.2</v>
      </c>
      <c r="H206" t="n">
        <v>0</v>
      </c>
      <c r="I206" t="n">
        <v>0</v>
      </c>
      <c r="J206" t="n">
        <v>0</v>
      </c>
      <c r="K206" t="n">
        <v>1</v>
      </c>
      <c r="L206" t="n">
        <v>0</v>
      </c>
      <c r="M206" t="n">
        <v>0</v>
      </c>
      <c r="N206" t="n">
        <v>0</v>
      </c>
      <c r="O206" t="n">
        <v>1</v>
      </c>
      <c r="P206" t="n">
        <v>1</v>
      </c>
      <c r="Q206" t="n">
        <v>1</v>
      </c>
      <c r="R206" s="2" t="inlineStr">
        <is>
          <t>Strandviol</t>
        </is>
      </c>
      <c r="S206">
        <f>HYPERLINK("https://klasma.github.io/Logging_0980/artfynd/A 49847-2023 artfynd.xlsx", "A 49847-2023")</f>
        <v/>
      </c>
      <c r="T206">
        <f>HYPERLINK("https://klasma.github.io/Logging_0980/kartor/A 49847-2023 karta.png", "A 49847-2023")</f>
        <v/>
      </c>
      <c r="V206">
        <f>HYPERLINK("https://klasma.github.io/Logging_0980/klagomål/A 49847-2023 FSC-klagomål.docx", "A 49847-2023")</f>
        <v/>
      </c>
      <c r="W206">
        <f>HYPERLINK("https://klasma.github.io/Logging_0980/klagomålsmail/A 49847-2023 FSC-klagomål mail.docx", "A 49847-2023")</f>
        <v/>
      </c>
      <c r="X206">
        <f>HYPERLINK("https://klasma.github.io/Logging_0980/tillsyn/A 49847-2023 tillsynsbegäran.docx", "A 49847-2023")</f>
        <v/>
      </c>
      <c r="Y206">
        <f>HYPERLINK("https://klasma.github.io/Logging_0980/tillsynsmail/A 49847-2023 tillsynsbegäran mail.docx", "A 49847-2023")</f>
        <v/>
      </c>
    </row>
    <row r="207" ht="15" customHeight="1">
      <c r="A207" t="inlineStr">
        <is>
          <t>A 56115-2023</t>
        </is>
      </c>
      <c r="B207" s="1" t="n">
        <v>45236</v>
      </c>
      <c r="C207" s="1" t="n">
        <v>46196</v>
      </c>
      <c r="D207" t="inlineStr">
        <is>
          <t>GOTLANDS LÄN</t>
        </is>
      </c>
      <c r="E207" t="inlineStr">
        <is>
          <t>GOTLAND</t>
        </is>
      </c>
      <c r="G207" t="n">
        <v>2</v>
      </c>
      <c r="H207" t="n">
        <v>1</v>
      </c>
      <c r="I207" t="n">
        <v>1</v>
      </c>
      <c r="J207" t="n">
        <v>0</v>
      </c>
      <c r="K207" t="n">
        <v>0</v>
      </c>
      <c r="L207" t="n">
        <v>0</v>
      </c>
      <c r="M207" t="n">
        <v>0</v>
      </c>
      <c r="N207" t="n">
        <v>0</v>
      </c>
      <c r="O207" t="n">
        <v>0</v>
      </c>
      <c r="P207" t="n">
        <v>0</v>
      </c>
      <c r="Q207" t="n">
        <v>1</v>
      </c>
      <c r="R207" s="2" t="inlineStr">
        <is>
          <t>Skogsknipprot</t>
        </is>
      </c>
      <c r="S207">
        <f>HYPERLINK("https://klasma.github.io/Logging_0980/artfynd/A 56115-2023 artfynd.xlsx", "A 56115-2023")</f>
        <v/>
      </c>
      <c r="T207">
        <f>HYPERLINK("https://klasma.github.io/Logging_0980/kartor/A 56115-2023 karta.png", "A 56115-2023")</f>
        <v/>
      </c>
      <c r="V207">
        <f>HYPERLINK("https://klasma.github.io/Logging_0980/klagomål/A 56115-2023 FSC-klagomål.docx", "A 56115-2023")</f>
        <v/>
      </c>
      <c r="W207">
        <f>HYPERLINK("https://klasma.github.io/Logging_0980/klagomålsmail/A 56115-2023 FSC-klagomål mail.docx", "A 56115-2023")</f>
        <v/>
      </c>
      <c r="X207">
        <f>HYPERLINK("https://klasma.github.io/Logging_0980/tillsyn/A 56115-2023 tillsynsbegäran.docx", "A 56115-2023")</f>
        <v/>
      </c>
      <c r="Y207">
        <f>HYPERLINK("https://klasma.github.io/Logging_0980/tillsynsmail/A 56115-2023 tillsynsbegäran mail.docx", "A 56115-2023")</f>
        <v/>
      </c>
    </row>
    <row r="208" ht="15" customHeight="1">
      <c r="A208" t="inlineStr">
        <is>
          <t>A 10995-2023</t>
        </is>
      </c>
      <c r="B208" s="1" t="n">
        <v>44986</v>
      </c>
      <c r="C208" s="1" t="n">
        <v>46196</v>
      </c>
      <c r="D208" t="inlineStr">
        <is>
          <t>GOTLANDS LÄN</t>
        </is>
      </c>
      <c r="E208" t="inlineStr">
        <is>
          <t>GOTLAND</t>
        </is>
      </c>
      <c r="G208" t="n">
        <v>2.8</v>
      </c>
      <c r="H208" t="n">
        <v>0</v>
      </c>
      <c r="I208" t="n">
        <v>0</v>
      </c>
      <c r="J208" t="n">
        <v>0</v>
      </c>
      <c r="K208" t="n">
        <v>1</v>
      </c>
      <c r="L208" t="n">
        <v>0</v>
      </c>
      <c r="M208" t="n">
        <v>0</v>
      </c>
      <c r="N208" t="n">
        <v>0</v>
      </c>
      <c r="O208" t="n">
        <v>1</v>
      </c>
      <c r="P208" t="n">
        <v>1</v>
      </c>
      <c r="Q208" t="n">
        <v>1</v>
      </c>
      <c r="R208" s="2" t="inlineStr">
        <is>
          <t>Violettfläckig spindling</t>
        </is>
      </c>
      <c r="S208">
        <f>HYPERLINK("https://klasma.github.io/Logging_0980/artfynd/A 10995-2023 artfynd.xlsx", "A 10995-2023")</f>
        <v/>
      </c>
      <c r="T208">
        <f>HYPERLINK("https://klasma.github.io/Logging_0980/kartor/A 10995-2023 karta.png", "A 10995-2023")</f>
        <v/>
      </c>
      <c r="V208">
        <f>HYPERLINK("https://klasma.github.io/Logging_0980/klagomål/A 10995-2023 FSC-klagomål.docx", "A 10995-2023")</f>
        <v/>
      </c>
      <c r="W208">
        <f>HYPERLINK("https://klasma.github.io/Logging_0980/klagomålsmail/A 10995-2023 FSC-klagomål mail.docx", "A 10995-2023")</f>
        <v/>
      </c>
      <c r="X208">
        <f>HYPERLINK("https://klasma.github.io/Logging_0980/tillsyn/A 10995-2023 tillsynsbegäran.docx", "A 10995-2023")</f>
        <v/>
      </c>
      <c r="Y208">
        <f>HYPERLINK("https://klasma.github.io/Logging_0980/tillsynsmail/A 10995-2023 tillsynsbegäran mail.docx", "A 10995-2023")</f>
        <v/>
      </c>
    </row>
    <row r="209" ht="15" customHeight="1">
      <c r="A209" t="inlineStr">
        <is>
          <t>A 36313-2021</t>
        </is>
      </c>
      <c r="B209" s="1" t="n">
        <v>44390</v>
      </c>
      <c r="C209" s="1" t="n">
        <v>46196</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31981-2021</t>
        </is>
      </c>
      <c r="B210" s="1" t="n">
        <v>44370</v>
      </c>
      <c r="C210" s="1" t="n">
        <v>46196</v>
      </c>
      <c r="D210" t="inlineStr">
        <is>
          <t>GOTLANDS LÄN</t>
        </is>
      </c>
      <c r="E210" t="inlineStr">
        <is>
          <t>GOTLAND</t>
        </is>
      </c>
      <c r="G210" t="n">
        <v>6.1</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46196</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46196</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16858-2022</t>
        </is>
      </c>
      <c r="B213" s="1" t="n">
        <v>44674</v>
      </c>
      <c r="C213" s="1" t="n">
        <v>46196</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24235-2022</t>
        </is>
      </c>
      <c r="B214" s="1" t="n">
        <v>44725</v>
      </c>
      <c r="C214" s="1" t="n">
        <v>46196</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32647-2021</t>
        </is>
      </c>
      <c r="B215" s="1" t="n">
        <v>44375</v>
      </c>
      <c r="C215" s="1" t="n">
        <v>46196</v>
      </c>
      <c r="D215" t="inlineStr">
        <is>
          <t>GOTLANDS LÄN</t>
        </is>
      </c>
      <c r="E215" t="inlineStr">
        <is>
          <t>GOTLAND</t>
        </is>
      </c>
      <c r="G215" t="n">
        <v>1.7</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46196</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46196</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42688-2021</t>
        </is>
      </c>
      <c r="B218" s="1" t="n">
        <v>44428</v>
      </c>
      <c r="C218" s="1" t="n">
        <v>46196</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24123-2022</t>
        </is>
      </c>
      <c r="B219" s="1" t="n">
        <v>44725</v>
      </c>
      <c r="C219" s="1" t="n">
        <v>46196</v>
      </c>
      <c r="D219" t="inlineStr">
        <is>
          <t>GOTLANDS LÄN</t>
        </is>
      </c>
      <c r="E219" t="inlineStr">
        <is>
          <t>GOTLAND</t>
        </is>
      </c>
      <c r="G219" t="n">
        <v>6</v>
      </c>
      <c r="H219" t="n">
        <v>0</v>
      </c>
      <c r="I219" t="n">
        <v>0</v>
      </c>
      <c r="J219" t="n">
        <v>0</v>
      </c>
      <c r="K219" t="n">
        <v>0</v>
      </c>
      <c r="L219" t="n">
        <v>0</v>
      </c>
      <c r="M219" t="n">
        <v>0</v>
      </c>
      <c r="N219" t="n">
        <v>0</v>
      </c>
      <c r="O219" t="n">
        <v>0</v>
      </c>
      <c r="P219" t="n">
        <v>0</v>
      </c>
      <c r="Q219" t="n">
        <v>0</v>
      </c>
      <c r="R219" s="2" t="inlineStr"/>
    </row>
    <row r="220" ht="15" customHeight="1">
      <c r="A220" t="inlineStr">
        <is>
          <t>A 60607-2021</t>
        </is>
      </c>
      <c r="B220" s="1" t="n">
        <v>44496</v>
      </c>
      <c r="C220" s="1" t="n">
        <v>46196</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46196</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46196</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46196</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v>
      </c>
      <c r="C224" s="1" t="n">
        <v>46196</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v>
      </c>
      <c r="C225" s="1" t="n">
        <v>46196</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46196</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46196</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46196</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46196</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v>
      </c>
      <c r="C230" s="1" t="n">
        <v>46196</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v>
      </c>
      <c r="C231" s="1" t="n">
        <v>46196</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v>
      </c>
      <c r="C232" s="1" t="n">
        <v>46196</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46196</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17901-2023</t>
        </is>
      </c>
      <c r="B234" s="1" t="n">
        <v>45039</v>
      </c>
      <c r="C234" s="1" t="n">
        <v>46196</v>
      </c>
      <c r="D234" t="inlineStr">
        <is>
          <t>GOTLANDS LÄN</t>
        </is>
      </c>
      <c r="E234" t="inlineStr">
        <is>
          <t>GOTLAND</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456-2023</t>
        </is>
      </c>
      <c r="B235" s="1" t="n">
        <v>44929</v>
      </c>
      <c r="C235" s="1" t="n">
        <v>46196</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61596-2023</t>
        </is>
      </c>
      <c r="B236" s="1" t="n">
        <v>45265</v>
      </c>
      <c r="C236" s="1" t="n">
        <v>46196</v>
      </c>
      <c r="D236" t="inlineStr">
        <is>
          <t>GOTLANDS LÄN</t>
        </is>
      </c>
      <c r="E236" t="inlineStr">
        <is>
          <t>GOTLAND</t>
        </is>
      </c>
      <c r="G236" t="n">
        <v>1.7</v>
      </c>
      <c r="H236" t="n">
        <v>0</v>
      </c>
      <c r="I236" t="n">
        <v>0</v>
      </c>
      <c r="J236" t="n">
        <v>0</v>
      </c>
      <c r="K236" t="n">
        <v>0</v>
      </c>
      <c r="L236" t="n">
        <v>0</v>
      </c>
      <c r="M236" t="n">
        <v>0</v>
      </c>
      <c r="N236" t="n">
        <v>0</v>
      </c>
      <c r="O236" t="n">
        <v>0</v>
      </c>
      <c r="P236" t="n">
        <v>0</v>
      </c>
      <c r="Q236" t="n">
        <v>0</v>
      </c>
      <c r="R236" s="2" t="inlineStr"/>
    </row>
    <row r="237" ht="15" customHeight="1">
      <c r="A237" t="inlineStr">
        <is>
          <t>A 58476-2022</t>
        </is>
      </c>
      <c r="B237" s="1" t="n">
        <v>44902</v>
      </c>
      <c r="C237" s="1" t="n">
        <v>46196</v>
      </c>
      <c r="D237" t="inlineStr">
        <is>
          <t>GOTLANDS LÄN</t>
        </is>
      </c>
      <c r="E237" t="inlineStr">
        <is>
          <t>GOTLAND</t>
        </is>
      </c>
      <c r="G237" t="n">
        <v>0.9</v>
      </c>
      <c r="H237" t="n">
        <v>0</v>
      </c>
      <c r="I237" t="n">
        <v>0</v>
      </c>
      <c r="J237" t="n">
        <v>0</v>
      </c>
      <c r="K237" t="n">
        <v>0</v>
      </c>
      <c r="L237" t="n">
        <v>0</v>
      </c>
      <c r="M237" t="n">
        <v>0</v>
      </c>
      <c r="N237" t="n">
        <v>0</v>
      </c>
      <c r="O237" t="n">
        <v>0</v>
      </c>
      <c r="P237" t="n">
        <v>0</v>
      </c>
      <c r="Q237" t="n">
        <v>0</v>
      </c>
      <c r="R237" s="2" t="inlineStr"/>
    </row>
    <row r="238" ht="15" customHeight="1">
      <c r="A238" t="inlineStr">
        <is>
          <t>A 873-2024</t>
        </is>
      </c>
      <c r="B238" s="1" t="n">
        <v>45301</v>
      </c>
      <c r="C238" s="1" t="n">
        <v>46196</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44228-2022</t>
        </is>
      </c>
      <c r="B239" s="1" t="n">
        <v>44839</v>
      </c>
      <c r="C239" s="1" t="n">
        <v>46196</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25129-2023</t>
        </is>
      </c>
      <c r="B240" s="1" t="n">
        <v>45086</v>
      </c>
      <c r="C240" s="1" t="n">
        <v>46196</v>
      </c>
      <c r="D240" t="inlineStr">
        <is>
          <t>GOTLANDS LÄN</t>
        </is>
      </c>
      <c r="E240" t="inlineStr">
        <is>
          <t>GOTLAND</t>
        </is>
      </c>
      <c r="G240" t="n">
        <v>1.5</v>
      </c>
      <c r="H240" t="n">
        <v>0</v>
      </c>
      <c r="I240" t="n">
        <v>0</v>
      </c>
      <c r="J240" t="n">
        <v>0</v>
      </c>
      <c r="K240" t="n">
        <v>0</v>
      </c>
      <c r="L240" t="n">
        <v>0</v>
      </c>
      <c r="M240" t="n">
        <v>0</v>
      </c>
      <c r="N240" t="n">
        <v>0</v>
      </c>
      <c r="O240" t="n">
        <v>0</v>
      </c>
      <c r="P240" t="n">
        <v>0</v>
      </c>
      <c r="Q240" t="n">
        <v>0</v>
      </c>
      <c r="R240" s="2" t="inlineStr"/>
    </row>
    <row r="241" ht="15" customHeight="1">
      <c r="A241" t="inlineStr">
        <is>
          <t>A 50928-2025</t>
        </is>
      </c>
      <c r="B241" s="1" t="n">
        <v>45946</v>
      </c>
      <c r="C241" s="1" t="n">
        <v>46196</v>
      </c>
      <c r="D241" t="inlineStr">
        <is>
          <t>GOTLANDS LÄN</t>
        </is>
      </c>
      <c r="E241" t="inlineStr">
        <is>
          <t>GOTLAND</t>
        </is>
      </c>
      <c r="G241" t="n">
        <v>1.3</v>
      </c>
      <c r="H241" t="n">
        <v>0</v>
      </c>
      <c r="I241" t="n">
        <v>0</v>
      </c>
      <c r="J241" t="n">
        <v>0</v>
      </c>
      <c r="K241" t="n">
        <v>0</v>
      </c>
      <c r="L241" t="n">
        <v>0</v>
      </c>
      <c r="M241" t="n">
        <v>0</v>
      </c>
      <c r="N241" t="n">
        <v>0</v>
      </c>
      <c r="O241" t="n">
        <v>0</v>
      </c>
      <c r="P241" t="n">
        <v>0</v>
      </c>
      <c r="Q241" t="n">
        <v>0</v>
      </c>
      <c r="R241" s="2" t="inlineStr"/>
    </row>
    <row r="242" ht="15" customHeight="1">
      <c r="A242" t="inlineStr">
        <is>
          <t>A 20356-2022</t>
        </is>
      </c>
      <c r="B242" s="1" t="n">
        <v>44699</v>
      </c>
      <c r="C242" s="1" t="n">
        <v>46196</v>
      </c>
      <c r="D242" t="inlineStr">
        <is>
          <t>GOTLANDS LÄN</t>
        </is>
      </c>
      <c r="E242" t="inlineStr">
        <is>
          <t>GOTLAND</t>
        </is>
      </c>
      <c r="F242" t="inlineStr">
        <is>
          <t>Övriga Aktiebolag</t>
        </is>
      </c>
      <c r="G242" t="n">
        <v>4.4</v>
      </c>
      <c r="H242" t="n">
        <v>0</v>
      </c>
      <c r="I242" t="n">
        <v>0</v>
      </c>
      <c r="J242" t="n">
        <v>0</v>
      </c>
      <c r="K242" t="n">
        <v>0</v>
      </c>
      <c r="L242" t="n">
        <v>0</v>
      </c>
      <c r="M242" t="n">
        <v>0</v>
      </c>
      <c r="N242" t="n">
        <v>0</v>
      </c>
      <c r="O242" t="n">
        <v>0</v>
      </c>
      <c r="P242" t="n">
        <v>0</v>
      </c>
      <c r="Q242" t="n">
        <v>0</v>
      </c>
      <c r="R242" s="2" t="inlineStr"/>
    </row>
    <row r="243" ht="15" customHeight="1">
      <c r="A243" t="inlineStr">
        <is>
          <t>A 21420-2024</t>
        </is>
      </c>
      <c r="B243" s="1" t="n">
        <v>45441</v>
      </c>
      <c r="C243" s="1" t="n">
        <v>46196</v>
      </c>
      <c r="D243" t="inlineStr">
        <is>
          <t>GOTLANDS LÄN</t>
        </is>
      </c>
      <c r="E243" t="inlineStr">
        <is>
          <t>GOTLAND</t>
        </is>
      </c>
      <c r="G243" t="n">
        <v>4.1</v>
      </c>
      <c r="H243" t="n">
        <v>0</v>
      </c>
      <c r="I243" t="n">
        <v>0</v>
      </c>
      <c r="J243" t="n">
        <v>0</v>
      </c>
      <c r="K243" t="n">
        <v>0</v>
      </c>
      <c r="L243" t="n">
        <v>0</v>
      </c>
      <c r="M243" t="n">
        <v>0</v>
      </c>
      <c r="N243" t="n">
        <v>0</v>
      </c>
      <c r="O243" t="n">
        <v>0</v>
      </c>
      <c r="P243" t="n">
        <v>0</v>
      </c>
      <c r="Q243" t="n">
        <v>0</v>
      </c>
      <c r="R243" s="2" t="inlineStr"/>
    </row>
    <row r="244" ht="15" customHeight="1">
      <c r="A244" t="inlineStr">
        <is>
          <t>A 10656-2024</t>
        </is>
      </c>
      <c r="B244" s="1" t="n">
        <v>45368</v>
      </c>
      <c r="C244" s="1" t="n">
        <v>46196</v>
      </c>
      <c r="D244" t="inlineStr">
        <is>
          <t>GOTLANDS LÄN</t>
        </is>
      </c>
      <c r="E244" t="inlineStr">
        <is>
          <t>GOTLAND</t>
        </is>
      </c>
      <c r="G244" t="n">
        <v>1.5</v>
      </c>
      <c r="H244" t="n">
        <v>0</v>
      </c>
      <c r="I244" t="n">
        <v>0</v>
      </c>
      <c r="J244" t="n">
        <v>0</v>
      </c>
      <c r="K244" t="n">
        <v>0</v>
      </c>
      <c r="L244" t="n">
        <v>0</v>
      </c>
      <c r="M244" t="n">
        <v>0</v>
      </c>
      <c r="N244" t="n">
        <v>0</v>
      </c>
      <c r="O244" t="n">
        <v>0</v>
      </c>
      <c r="P244" t="n">
        <v>0</v>
      </c>
      <c r="Q244" t="n">
        <v>0</v>
      </c>
      <c r="R244" s="2" t="inlineStr"/>
    </row>
    <row r="245" ht="15" customHeight="1">
      <c r="A245" t="inlineStr">
        <is>
          <t>A 57356-2023</t>
        </is>
      </c>
      <c r="B245" s="1" t="n">
        <v>45240</v>
      </c>
      <c r="C245" s="1" t="n">
        <v>46196</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28506-2023</t>
        </is>
      </c>
      <c r="B246" s="1" t="n">
        <v>45103</v>
      </c>
      <c r="C246" s="1" t="n">
        <v>46196</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23188-2025</t>
        </is>
      </c>
      <c r="B247" s="1" t="n">
        <v>45791</v>
      </c>
      <c r="C247" s="1" t="n">
        <v>46196</v>
      </c>
      <c r="D247" t="inlineStr">
        <is>
          <t>GOTLANDS LÄN</t>
        </is>
      </c>
      <c r="E247" t="inlineStr">
        <is>
          <t>GOTLAND</t>
        </is>
      </c>
      <c r="G247" t="n">
        <v>6.2</v>
      </c>
      <c r="H247" t="n">
        <v>0</v>
      </c>
      <c r="I247" t="n">
        <v>0</v>
      </c>
      <c r="J247" t="n">
        <v>0</v>
      </c>
      <c r="K247" t="n">
        <v>0</v>
      </c>
      <c r="L247" t="n">
        <v>0</v>
      </c>
      <c r="M247" t="n">
        <v>0</v>
      </c>
      <c r="N247" t="n">
        <v>0</v>
      </c>
      <c r="O247" t="n">
        <v>0</v>
      </c>
      <c r="P247" t="n">
        <v>0</v>
      </c>
      <c r="Q247" t="n">
        <v>0</v>
      </c>
      <c r="R247" s="2" t="inlineStr"/>
    </row>
    <row r="248" ht="15" customHeight="1">
      <c r="A248" t="inlineStr">
        <is>
          <t>A 35142-2025</t>
        </is>
      </c>
      <c r="B248" s="1" t="n">
        <v>45852</v>
      </c>
      <c r="C248" s="1" t="n">
        <v>46196</v>
      </c>
      <c r="D248" t="inlineStr">
        <is>
          <t>GOTLANDS LÄN</t>
        </is>
      </c>
      <c r="E248" t="inlineStr">
        <is>
          <t>GOTLAND</t>
        </is>
      </c>
      <c r="G248" t="n">
        <v>2.4</v>
      </c>
      <c r="H248" t="n">
        <v>0</v>
      </c>
      <c r="I248" t="n">
        <v>0</v>
      </c>
      <c r="J248" t="n">
        <v>0</v>
      </c>
      <c r="K248" t="n">
        <v>0</v>
      </c>
      <c r="L248" t="n">
        <v>0</v>
      </c>
      <c r="M248" t="n">
        <v>0</v>
      </c>
      <c r="N248" t="n">
        <v>0</v>
      </c>
      <c r="O248" t="n">
        <v>0</v>
      </c>
      <c r="P248" t="n">
        <v>0</v>
      </c>
      <c r="Q248" t="n">
        <v>0</v>
      </c>
      <c r="R248" s="2" t="inlineStr"/>
    </row>
    <row r="249" ht="15" customHeight="1">
      <c r="A249" t="inlineStr">
        <is>
          <t>A 35141-2025</t>
        </is>
      </c>
      <c r="B249" s="1" t="n">
        <v>45852</v>
      </c>
      <c r="C249" s="1" t="n">
        <v>46196</v>
      </c>
      <c r="D249" t="inlineStr">
        <is>
          <t>GOTLANDS LÄN</t>
        </is>
      </c>
      <c r="E249" t="inlineStr">
        <is>
          <t>GOTLAND</t>
        </is>
      </c>
      <c r="G249" t="n">
        <v>1</v>
      </c>
      <c r="H249" t="n">
        <v>0</v>
      </c>
      <c r="I249" t="n">
        <v>0</v>
      </c>
      <c r="J249" t="n">
        <v>0</v>
      </c>
      <c r="K249" t="n">
        <v>0</v>
      </c>
      <c r="L249" t="n">
        <v>0</v>
      </c>
      <c r="M249" t="n">
        <v>0</v>
      </c>
      <c r="N249" t="n">
        <v>0</v>
      </c>
      <c r="O249" t="n">
        <v>0</v>
      </c>
      <c r="P249" t="n">
        <v>0</v>
      </c>
      <c r="Q249" t="n">
        <v>0</v>
      </c>
      <c r="R249" s="2" t="inlineStr"/>
    </row>
    <row r="250" ht="15" customHeight="1">
      <c r="A250" t="inlineStr">
        <is>
          <t>A 23698-2025</t>
        </is>
      </c>
      <c r="B250" s="1" t="n">
        <v>45793</v>
      </c>
      <c r="C250" s="1" t="n">
        <v>46196</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15073-2025</t>
        </is>
      </c>
      <c r="B251" s="1" t="n">
        <v>45743</v>
      </c>
      <c r="C251" s="1" t="n">
        <v>46196</v>
      </c>
      <c r="D251" t="inlineStr">
        <is>
          <t>GOTLANDS LÄN</t>
        </is>
      </c>
      <c r="E251" t="inlineStr">
        <is>
          <t>GOTLAND</t>
        </is>
      </c>
      <c r="G251" t="n">
        <v>12.1</v>
      </c>
      <c r="H251" t="n">
        <v>0</v>
      </c>
      <c r="I251" t="n">
        <v>0</v>
      </c>
      <c r="J251" t="n">
        <v>0</v>
      </c>
      <c r="K251" t="n">
        <v>0</v>
      </c>
      <c r="L251" t="n">
        <v>0</v>
      </c>
      <c r="M251" t="n">
        <v>0</v>
      </c>
      <c r="N251" t="n">
        <v>0</v>
      </c>
      <c r="O251" t="n">
        <v>0</v>
      </c>
      <c r="P251" t="n">
        <v>0</v>
      </c>
      <c r="Q251" t="n">
        <v>0</v>
      </c>
      <c r="R251" s="2" t="inlineStr"/>
    </row>
    <row r="252" ht="15" customHeight="1">
      <c r="A252" t="inlineStr">
        <is>
          <t>A 39816-2025</t>
        </is>
      </c>
      <c r="B252" s="1" t="n">
        <v>45891</v>
      </c>
      <c r="C252" s="1" t="n">
        <v>46196</v>
      </c>
      <c r="D252" t="inlineStr">
        <is>
          <t>GOTLANDS LÄN</t>
        </is>
      </c>
      <c r="E252" t="inlineStr">
        <is>
          <t>GOTLAND</t>
        </is>
      </c>
      <c r="G252" t="n">
        <v>0.9</v>
      </c>
      <c r="H252" t="n">
        <v>0</v>
      </c>
      <c r="I252" t="n">
        <v>0</v>
      </c>
      <c r="J252" t="n">
        <v>0</v>
      </c>
      <c r="K252" t="n">
        <v>0</v>
      </c>
      <c r="L252" t="n">
        <v>0</v>
      </c>
      <c r="M252" t="n">
        <v>0</v>
      </c>
      <c r="N252" t="n">
        <v>0</v>
      </c>
      <c r="O252" t="n">
        <v>0</v>
      </c>
      <c r="P252" t="n">
        <v>0</v>
      </c>
      <c r="Q252" t="n">
        <v>0</v>
      </c>
      <c r="R252" s="2" t="inlineStr"/>
    </row>
    <row r="253" ht="15" customHeight="1">
      <c r="A253" t="inlineStr">
        <is>
          <t>A 40372-2025</t>
        </is>
      </c>
      <c r="B253" s="1" t="n">
        <v>45895</v>
      </c>
      <c r="C253" s="1" t="n">
        <v>46196</v>
      </c>
      <c r="D253" t="inlineStr">
        <is>
          <t>GOTLANDS LÄN</t>
        </is>
      </c>
      <c r="E253" t="inlineStr">
        <is>
          <t>GOTLAND</t>
        </is>
      </c>
      <c r="G253" t="n">
        <v>3.3</v>
      </c>
      <c r="H253" t="n">
        <v>0</v>
      </c>
      <c r="I253" t="n">
        <v>0</v>
      </c>
      <c r="J253" t="n">
        <v>0</v>
      </c>
      <c r="K253" t="n">
        <v>0</v>
      </c>
      <c r="L253" t="n">
        <v>0</v>
      </c>
      <c r="M253" t="n">
        <v>0</v>
      </c>
      <c r="N253" t="n">
        <v>0</v>
      </c>
      <c r="O253" t="n">
        <v>0</v>
      </c>
      <c r="P253" t="n">
        <v>0</v>
      </c>
      <c r="Q253" t="n">
        <v>0</v>
      </c>
      <c r="R253" s="2" t="inlineStr"/>
    </row>
    <row r="254" ht="15" customHeight="1">
      <c r="A254" t="inlineStr">
        <is>
          <t>A 40373-2025</t>
        </is>
      </c>
      <c r="B254" s="1" t="n">
        <v>45895</v>
      </c>
      <c r="C254" s="1" t="n">
        <v>46196</v>
      </c>
      <c r="D254" t="inlineStr">
        <is>
          <t>GOTLANDS LÄN</t>
        </is>
      </c>
      <c r="E254" t="inlineStr">
        <is>
          <t>GOTLAND</t>
        </is>
      </c>
      <c r="G254" t="n">
        <v>0.6</v>
      </c>
      <c r="H254" t="n">
        <v>0</v>
      </c>
      <c r="I254" t="n">
        <v>0</v>
      </c>
      <c r="J254" t="n">
        <v>0</v>
      </c>
      <c r="K254" t="n">
        <v>0</v>
      </c>
      <c r="L254" t="n">
        <v>0</v>
      </c>
      <c r="M254" t="n">
        <v>0</v>
      </c>
      <c r="N254" t="n">
        <v>0</v>
      </c>
      <c r="O254" t="n">
        <v>0</v>
      </c>
      <c r="P254" t="n">
        <v>0</v>
      </c>
      <c r="Q254" t="n">
        <v>0</v>
      </c>
      <c r="R254" s="2" t="inlineStr"/>
    </row>
    <row r="255" ht="15" customHeight="1">
      <c r="A255" t="inlineStr">
        <is>
          <t>A 6749-2025</t>
        </is>
      </c>
      <c r="B255" s="1" t="n">
        <v>45700</v>
      </c>
      <c r="C255" s="1" t="n">
        <v>46196</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5462-2025</t>
        </is>
      </c>
      <c r="B256" s="1" t="n">
        <v>45693</v>
      </c>
      <c r="C256" s="1" t="n">
        <v>46196</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40499-2025</t>
        </is>
      </c>
      <c r="B257" s="1" t="n">
        <v>45896</v>
      </c>
      <c r="C257" s="1" t="n">
        <v>46196</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39278-2025</t>
        </is>
      </c>
      <c r="B258" s="1" t="n">
        <v>45889</v>
      </c>
      <c r="C258" s="1" t="n">
        <v>46196</v>
      </c>
      <c r="D258" t="inlineStr">
        <is>
          <t>GOTLANDS LÄN</t>
        </is>
      </c>
      <c r="E258" t="inlineStr">
        <is>
          <t>GOTLAND</t>
        </is>
      </c>
      <c r="G258" t="n">
        <v>3.7</v>
      </c>
      <c r="H258" t="n">
        <v>0</v>
      </c>
      <c r="I258" t="n">
        <v>0</v>
      </c>
      <c r="J258" t="n">
        <v>0</v>
      </c>
      <c r="K258" t="n">
        <v>0</v>
      </c>
      <c r="L258" t="n">
        <v>0</v>
      </c>
      <c r="M258" t="n">
        <v>0</v>
      </c>
      <c r="N258" t="n">
        <v>0</v>
      </c>
      <c r="O258" t="n">
        <v>0</v>
      </c>
      <c r="P258" t="n">
        <v>0</v>
      </c>
      <c r="Q258" t="n">
        <v>0</v>
      </c>
      <c r="R258" s="2" t="inlineStr"/>
    </row>
    <row r="259" ht="15" customHeight="1">
      <c r="A259" t="inlineStr">
        <is>
          <t>A 54073-2022</t>
        </is>
      </c>
      <c r="B259" s="1" t="n">
        <v>44881</v>
      </c>
      <c r="C259" s="1" t="n">
        <v>46196</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56688-2025</t>
        </is>
      </c>
      <c r="B260" s="1" t="n">
        <v>45975</v>
      </c>
      <c r="C260" s="1" t="n">
        <v>46196</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56799-2025</t>
        </is>
      </c>
      <c r="B261" s="1" t="n">
        <v>45978</v>
      </c>
      <c r="C261" s="1" t="n">
        <v>46196</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46196</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10158-2025</t>
        </is>
      </c>
      <c r="B263" s="1" t="n">
        <v>45719</v>
      </c>
      <c r="C263" s="1" t="n">
        <v>46196</v>
      </c>
      <c r="D263" t="inlineStr">
        <is>
          <t>GOTLANDS LÄN</t>
        </is>
      </c>
      <c r="E263" t="inlineStr">
        <is>
          <t>GOTLAND</t>
        </is>
      </c>
      <c r="G263" t="n">
        <v>3.5</v>
      </c>
      <c r="H263" t="n">
        <v>0</v>
      </c>
      <c r="I263" t="n">
        <v>0</v>
      </c>
      <c r="J263" t="n">
        <v>0</v>
      </c>
      <c r="K263" t="n">
        <v>0</v>
      </c>
      <c r="L263" t="n">
        <v>0</v>
      </c>
      <c r="M263" t="n">
        <v>0</v>
      </c>
      <c r="N263" t="n">
        <v>0</v>
      </c>
      <c r="O263" t="n">
        <v>0</v>
      </c>
      <c r="P263" t="n">
        <v>0</v>
      </c>
      <c r="Q263" t="n">
        <v>0</v>
      </c>
      <c r="R263" s="2" t="inlineStr"/>
    </row>
    <row r="264" ht="15" customHeight="1">
      <c r="A264" t="inlineStr">
        <is>
          <t>A 7026-2023</t>
        </is>
      </c>
      <c r="B264" s="1" t="n">
        <v>44968</v>
      </c>
      <c r="C264" s="1" t="n">
        <v>46196</v>
      </c>
      <c r="D264" t="inlineStr">
        <is>
          <t>GOTLANDS LÄN</t>
        </is>
      </c>
      <c r="E264" t="inlineStr">
        <is>
          <t>GOTLAND</t>
        </is>
      </c>
      <c r="G264" t="n">
        <v>2.9</v>
      </c>
      <c r="H264" t="n">
        <v>0</v>
      </c>
      <c r="I264" t="n">
        <v>0</v>
      </c>
      <c r="J264" t="n">
        <v>0</v>
      </c>
      <c r="K264" t="n">
        <v>0</v>
      </c>
      <c r="L264" t="n">
        <v>0</v>
      </c>
      <c r="M264" t="n">
        <v>0</v>
      </c>
      <c r="N264" t="n">
        <v>0</v>
      </c>
      <c r="O264" t="n">
        <v>0</v>
      </c>
      <c r="P264" t="n">
        <v>0</v>
      </c>
      <c r="Q264" t="n">
        <v>0</v>
      </c>
      <c r="R264" s="2" t="inlineStr"/>
    </row>
    <row r="265" ht="15" customHeight="1">
      <c r="A265" t="inlineStr">
        <is>
          <t>A 52892-2021</t>
        </is>
      </c>
      <c r="B265" s="1" t="n">
        <v>44467</v>
      </c>
      <c r="C265" s="1" t="n">
        <v>46196</v>
      </c>
      <c r="D265" t="inlineStr">
        <is>
          <t>GOTLANDS LÄN</t>
        </is>
      </c>
      <c r="E265" t="inlineStr">
        <is>
          <t>GOTLAND</t>
        </is>
      </c>
      <c r="G265" t="n">
        <v>2</v>
      </c>
      <c r="H265" t="n">
        <v>0</v>
      </c>
      <c r="I265" t="n">
        <v>0</v>
      </c>
      <c r="J265" t="n">
        <v>0</v>
      </c>
      <c r="K265" t="n">
        <v>0</v>
      </c>
      <c r="L265" t="n">
        <v>0</v>
      </c>
      <c r="M265" t="n">
        <v>0</v>
      </c>
      <c r="N265" t="n">
        <v>0</v>
      </c>
      <c r="O265" t="n">
        <v>0</v>
      </c>
      <c r="P265" t="n">
        <v>0</v>
      </c>
      <c r="Q265" t="n">
        <v>0</v>
      </c>
      <c r="R265" s="2" t="inlineStr"/>
    </row>
    <row r="266" ht="15" customHeight="1">
      <c r="A266" t="inlineStr">
        <is>
          <t>A 1351-2025</t>
        </is>
      </c>
      <c r="B266" s="1" t="n">
        <v>45667</v>
      </c>
      <c r="C266" s="1" t="n">
        <v>46196</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43951-2025</t>
        </is>
      </c>
      <c r="B267" s="1" t="n">
        <v>45915</v>
      </c>
      <c r="C267" s="1" t="n">
        <v>46196</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49874-2024</t>
        </is>
      </c>
      <c r="B268" s="1" t="n">
        <v>45597</v>
      </c>
      <c r="C268" s="1" t="n">
        <v>46196</v>
      </c>
      <c r="D268" t="inlineStr">
        <is>
          <t>GOTLANDS LÄN</t>
        </is>
      </c>
      <c r="E268" t="inlineStr">
        <is>
          <t>GOTLAND</t>
        </is>
      </c>
      <c r="G268" t="n">
        <v>1.1</v>
      </c>
      <c r="H268" t="n">
        <v>0</v>
      </c>
      <c r="I268" t="n">
        <v>0</v>
      </c>
      <c r="J268" t="n">
        <v>0</v>
      </c>
      <c r="K268" t="n">
        <v>0</v>
      </c>
      <c r="L268" t="n">
        <v>0</v>
      </c>
      <c r="M268" t="n">
        <v>0</v>
      </c>
      <c r="N268" t="n">
        <v>0</v>
      </c>
      <c r="O268" t="n">
        <v>0</v>
      </c>
      <c r="P268" t="n">
        <v>0</v>
      </c>
      <c r="Q268" t="n">
        <v>0</v>
      </c>
      <c r="R268" s="2" t="inlineStr"/>
    </row>
    <row r="269" ht="15" customHeight="1">
      <c r="A269" t="inlineStr">
        <is>
          <t>A 36319-2025</t>
        </is>
      </c>
      <c r="B269" s="1" t="n">
        <v>45868</v>
      </c>
      <c r="C269" s="1" t="n">
        <v>46196</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51782-2023</t>
        </is>
      </c>
      <c r="B270" s="1" t="n">
        <v>45222</v>
      </c>
      <c r="C270" s="1" t="n">
        <v>46196</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60675-2021</t>
        </is>
      </c>
      <c r="B271" s="1" t="n">
        <v>44496</v>
      </c>
      <c r="C271" s="1" t="n">
        <v>46196</v>
      </c>
      <c r="D271" t="inlineStr">
        <is>
          <t>GOTLANDS LÄN</t>
        </is>
      </c>
      <c r="E271" t="inlineStr">
        <is>
          <t>GOTLAND</t>
        </is>
      </c>
      <c r="G271" t="n">
        <v>4.6</v>
      </c>
      <c r="H271" t="n">
        <v>0</v>
      </c>
      <c r="I271" t="n">
        <v>0</v>
      </c>
      <c r="J271" t="n">
        <v>0</v>
      </c>
      <c r="K271" t="n">
        <v>0</v>
      </c>
      <c r="L271" t="n">
        <v>0</v>
      </c>
      <c r="M271" t="n">
        <v>0</v>
      </c>
      <c r="N271" t="n">
        <v>0</v>
      </c>
      <c r="O271" t="n">
        <v>0</v>
      </c>
      <c r="P271" t="n">
        <v>0</v>
      </c>
      <c r="Q271" t="n">
        <v>0</v>
      </c>
      <c r="R271" s="2" t="inlineStr"/>
    </row>
    <row r="272" ht="15" customHeight="1">
      <c r="A272" t="inlineStr">
        <is>
          <t>A 5217-2023</t>
        </is>
      </c>
      <c r="B272" s="1" t="n">
        <v>44959</v>
      </c>
      <c r="C272" s="1" t="n">
        <v>46196</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14638-2025</t>
        </is>
      </c>
      <c r="B273" s="1" t="n">
        <v>45742</v>
      </c>
      <c r="C273" s="1" t="n">
        <v>46196</v>
      </c>
      <c r="D273" t="inlineStr">
        <is>
          <t>GOTLANDS LÄN</t>
        </is>
      </c>
      <c r="E273" t="inlineStr">
        <is>
          <t>GOTLAND</t>
        </is>
      </c>
      <c r="G273" t="n">
        <v>13.4</v>
      </c>
      <c r="H273" t="n">
        <v>0</v>
      </c>
      <c r="I273" t="n">
        <v>0</v>
      </c>
      <c r="J273" t="n">
        <v>0</v>
      </c>
      <c r="K273" t="n">
        <v>0</v>
      </c>
      <c r="L273" t="n">
        <v>0</v>
      </c>
      <c r="M273" t="n">
        <v>0</v>
      </c>
      <c r="N273" t="n">
        <v>0</v>
      </c>
      <c r="O273" t="n">
        <v>0</v>
      </c>
      <c r="P273" t="n">
        <v>0</v>
      </c>
      <c r="Q273" t="n">
        <v>0</v>
      </c>
      <c r="R273" s="2" t="inlineStr"/>
    </row>
    <row r="274" ht="15" customHeight="1">
      <c r="A274" t="inlineStr">
        <is>
          <t>A 4421-2024</t>
        </is>
      </c>
      <c r="B274" s="1" t="n">
        <v>45327</v>
      </c>
      <c r="C274" s="1" t="n">
        <v>46196</v>
      </c>
      <c r="D274" t="inlineStr">
        <is>
          <t>GOTLANDS LÄN</t>
        </is>
      </c>
      <c r="E274" t="inlineStr">
        <is>
          <t>GOTLAND</t>
        </is>
      </c>
      <c r="G274" t="n">
        <v>5.1</v>
      </c>
      <c r="H274" t="n">
        <v>0</v>
      </c>
      <c r="I274" t="n">
        <v>0</v>
      </c>
      <c r="J274" t="n">
        <v>0</v>
      </c>
      <c r="K274" t="n">
        <v>0</v>
      </c>
      <c r="L274" t="n">
        <v>0</v>
      </c>
      <c r="M274" t="n">
        <v>0</v>
      </c>
      <c r="N274" t="n">
        <v>0</v>
      </c>
      <c r="O274" t="n">
        <v>0</v>
      </c>
      <c r="P274" t="n">
        <v>0</v>
      </c>
      <c r="Q274" t="n">
        <v>0</v>
      </c>
      <c r="R274" s="2" t="inlineStr"/>
    </row>
    <row r="275" ht="15" customHeight="1">
      <c r="A275" t="inlineStr">
        <is>
          <t>A 27355-2025</t>
        </is>
      </c>
      <c r="B275" s="1" t="n">
        <v>45812</v>
      </c>
      <c r="C275" s="1" t="n">
        <v>46196</v>
      </c>
      <c r="D275" t="inlineStr">
        <is>
          <t>GOTLANDS LÄN</t>
        </is>
      </c>
      <c r="E275" t="inlineStr">
        <is>
          <t>GOTLAND</t>
        </is>
      </c>
      <c r="G275" t="n">
        <v>1.1</v>
      </c>
      <c r="H275" t="n">
        <v>0</v>
      </c>
      <c r="I275" t="n">
        <v>0</v>
      </c>
      <c r="J275" t="n">
        <v>0</v>
      </c>
      <c r="K275" t="n">
        <v>0</v>
      </c>
      <c r="L275" t="n">
        <v>0</v>
      </c>
      <c r="M275" t="n">
        <v>0</v>
      </c>
      <c r="N275" t="n">
        <v>0</v>
      </c>
      <c r="O275" t="n">
        <v>0</v>
      </c>
      <c r="P275" t="n">
        <v>0</v>
      </c>
      <c r="Q275" t="n">
        <v>0</v>
      </c>
      <c r="R275" s="2" t="inlineStr"/>
    </row>
    <row r="276" ht="15" customHeight="1">
      <c r="A276" t="inlineStr">
        <is>
          <t>A 26391-2025</t>
        </is>
      </c>
      <c r="B276" s="1" t="n">
        <v>45806</v>
      </c>
      <c r="C276" s="1" t="n">
        <v>46196</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46836-2025</t>
        </is>
      </c>
      <c r="B277" s="1" t="n">
        <v>45928</v>
      </c>
      <c r="C277" s="1" t="n">
        <v>46196</v>
      </c>
      <c r="D277" t="inlineStr">
        <is>
          <t>GOTLANDS LÄN</t>
        </is>
      </c>
      <c r="E277" t="inlineStr">
        <is>
          <t>GOTLAND</t>
        </is>
      </c>
      <c r="G277" t="n">
        <v>2.8</v>
      </c>
      <c r="H277" t="n">
        <v>0</v>
      </c>
      <c r="I277" t="n">
        <v>0</v>
      </c>
      <c r="J277" t="n">
        <v>0</v>
      </c>
      <c r="K277" t="n">
        <v>0</v>
      </c>
      <c r="L277" t="n">
        <v>0</v>
      </c>
      <c r="M277" t="n">
        <v>0</v>
      </c>
      <c r="N277" t="n">
        <v>0</v>
      </c>
      <c r="O277" t="n">
        <v>0</v>
      </c>
      <c r="P277" t="n">
        <v>0</v>
      </c>
      <c r="Q277" t="n">
        <v>0</v>
      </c>
      <c r="R277" s="2" t="inlineStr"/>
    </row>
    <row r="278" ht="15" customHeight="1">
      <c r="A278" t="inlineStr">
        <is>
          <t>A 47637-2025</t>
        </is>
      </c>
      <c r="B278" s="1" t="n">
        <v>45931</v>
      </c>
      <c r="C278" s="1" t="n">
        <v>46196</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7850-2025</t>
        </is>
      </c>
      <c r="B279" s="1" t="n">
        <v>45706</v>
      </c>
      <c r="C279" s="1" t="n">
        <v>46196</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20165-2022</t>
        </is>
      </c>
      <c r="B280" s="1" t="n">
        <v>44698</v>
      </c>
      <c r="C280" s="1" t="n">
        <v>46196</v>
      </c>
      <c r="D280" t="inlineStr">
        <is>
          <t>GOTLANDS LÄN</t>
        </is>
      </c>
      <c r="E280" t="inlineStr">
        <is>
          <t>GOTLAND</t>
        </is>
      </c>
      <c r="G280" t="n">
        <v>4.1</v>
      </c>
      <c r="H280" t="n">
        <v>0</v>
      </c>
      <c r="I280" t="n">
        <v>0</v>
      </c>
      <c r="J280" t="n">
        <v>0</v>
      </c>
      <c r="K280" t="n">
        <v>0</v>
      </c>
      <c r="L280" t="n">
        <v>0</v>
      </c>
      <c r="M280" t="n">
        <v>0</v>
      </c>
      <c r="N280" t="n">
        <v>0</v>
      </c>
      <c r="O280" t="n">
        <v>0</v>
      </c>
      <c r="P280" t="n">
        <v>0</v>
      </c>
      <c r="Q280" t="n">
        <v>0</v>
      </c>
      <c r="R280" s="2" t="inlineStr"/>
    </row>
    <row r="281" ht="15" customHeight="1">
      <c r="A281" t="inlineStr">
        <is>
          <t>A 32378-2025</t>
        </is>
      </c>
      <c r="B281" s="1" t="n">
        <v>45837</v>
      </c>
      <c r="C281" s="1" t="n">
        <v>46196</v>
      </c>
      <c r="D281" t="inlineStr">
        <is>
          <t>GOTLANDS LÄN</t>
        </is>
      </c>
      <c r="E281" t="inlineStr">
        <is>
          <t>GOTLAND</t>
        </is>
      </c>
      <c r="G281" t="n">
        <v>4.1</v>
      </c>
      <c r="H281" t="n">
        <v>0</v>
      </c>
      <c r="I281" t="n">
        <v>0</v>
      </c>
      <c r="J281" t="n">
        <v>0</v>
      </c>
      <c r="K281" t="n">
        <v>0</v>
      </c>
      <c r="L281" t="n">
        <v>0</v>
      </c>
      <c r="M281" t="n">
        <v>0</v>
      </c>
      <c r="N281" t="n">
        <v>0</v>
      </c>
      <c r="O281" t="n">
        <v>0</v>
      </c>
      <c r="P281" t="n">
        <v>0</v>
      </c>
      <c r="Q281" t="n">
        <v>0</v>
      </c>
      <c r="R281" s="2" t="inlineStr"/>
    </row>
    <row r="282" ht="15" customHeight="1">
      <c r="A282" t="inlineStr">
        <is>
          <t>A 33876-2024</t>
        </is>
      </c>
      <c r="B282" s="1" t="n">
        <v>45521</v>
      </c>
      <c r="C282" s="1" t="n">
        <v>46196</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35550-2025</t>
        </is>
      </c>
      <c r="B283" s="1" t="n">
        <v>45856</v>
      </c>
      <c r="C283" s="1" t="n">
        <v>46196</v>
      </c>
      <c r="D283" t="inlineStr">
        <is>
          <t>GOTLANDS LÄN</t>
        </is>
      </c>
      <c r="E283" t="inlineStr">
        <is>
          <t>GOTLAND</t>
        </is>
      </c>
      <c r="G283" t="n">
        <v>3.2</v>
      </c>
      <c r="H283" t="n">
        <v>0</v>
      </c>
      <c r="I283" t="n">
        <v>0</v>
      </c>
      <c r="J283" t="n">
        <v>0</v>
      </c>
      <c r="K283" t="n">
        <v>0</v>
      </c>
      <c r="L283" t="n">
        <v>0</v>
      </c>
      <c r="M283" t="n">
        <v>0</v>
      </c>
      <c r="N283" t="n">
        <v>0</v>
      </c>
      <c r="O283" t="n">
        <v>0</v>
      </c>
      <c r="P283" t="n">
        <v>0</v>
      </c>
      <c r="Q283" t="n">
        <v>0</v>
      </c>
      <c r="R283" s="2" t="inlineStr"/>
    </row>
    <row r="284" ht="15" customHeight="1">
      <c r="A284" t="inlineStr">
        <is>
          <t>A 8444-2025</t>
        </is>
      </c>
      <c r="B284" s="1" t="n">
        <v>45709</v>
      </c>
      <c r="C284" s="1" t="n">
        <v>46196</v>
      </c>
      <c r="D284" t="inlineStr">
        <is>
          <t>GOTLANDS LÄN</t>
        </is>
      </c>
      <c r="E284" t="inlineStr">
        <is>
          <t>GOTLAND</t>
        </is>
      </c>
      <c r="G284" t="n">
        <v>5.2</v>
      </c>
      <c r="H284" t="n">
        <v>0</v>
      </c>
      <c r="I284" t="n">
        <v>0</v>
      </c>
      <c r="J284" t="n">
        <v>0</v>
      </c>
      <c r="K284" t="n">
        <v>0</v>
      </c>
      <c r="L284" t="n">
        <v>0</v>
      </c>
      <c r="M284" t="n">
        <v>0</v>
      </c>
      <c r="N284" t="n">
        <v>0</v>
      </c>
      <c r="O284" t="n">
        <v>0</v>
      </c>
      <c r="P284" t="n">
        <v>0</v>
      </c>
      <c r="Q284" t="n">
        <v>0</v>
      </c>
      <c r="R284" s="2" t="inlineStr"/>
    </row>
    <row r="285" ht="15" customHeight="1">
      <c r="A285" t="inlineStr">
        <is>
          <t>A 19905-2025</t>
        </is>
      </c>
      <c r="B285" s="1" t="n">
        <v>45771</v>
      </c>
      <c r="C285" s="1" t="n">
        <v>46196</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47578-2025</t>
        </is>
      </c>
      <c r="B286" s="1" t="n">
        <v>45931</v>
      </c>
      <c r="C286" s="1" t="n">
        <v>46196</v>
      </c>
      <c r="D286" t="inlineStr">
        <is>
          <t>GOTLANDS LÄN</t>
        </is>
      </c>
      <c r="E286" t="inlineStr">
        <is>
          <t>GOTLAND</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43223-2023</t>
        </is>
      </c>
      <c r="B287" s="1" t="n">
        <v>45183</v>
      </c>
      <c r="C287" s="1" t="n">
        <v>46196</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49690-2025</t>
        </is>
      </c>
      <c r="B288" s="1" t="n">
        <v>45939</v>
      </c>
      <c r="C288" s="1" t="n">
        <v>46196</v>
      </c>
      <c r="D288" t="inlineStr">
        <is>
          <t>GOTLANDS LÄN</t>
        </is>
      </c>
      <c r="E288" t="inlineStr">
        <is>
          <t>GOTLAND</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61962-2024</t>
        </is>
      </c>
      <c r="B289" s="1" t="n">
        <v>45653</v>
      </c>
      <c r="C289" s="1" t="n">
        <v>46196</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63002-2025</t>
        </is>
      </c>
      <c r="B290" s="1" t="n">
        <v>46009</v>
      </c>
      <c r="C290" s="1" t="n">
        <v>46196</v>
      </c>
      <c r="D290" t="inlineStr">
        <is>
          <t>GOTLANDS LÄN</t>
        </is>
      </c>
      <c r="E290" t="inlineStr">
        <is>
          <t>GOTLAND</t>
        </is>
      </c>
      <c r="G290" t="n">
        <v>1.1</v>
      </c>
      <c r="H290" t="n">
        <v>0</v>
      </c>
      <c r="I290" t="n">
        <v>0</v>
      </c>
      <c r="J290" t="n">
        <v>0</v>
      </c>
      <c r="K290" t="n">
        <v>0</v>
      </c>
      <c r="L290" t="n">
        <v>0</v>
      </c>
      <c r="M290" t="n">
        <v>0</v>
      </c>
      <c r="N290" t="n">
        <v>0</v>
      </c>
      <c r="O290" t="n">
        <v>0</v>
      </c>
      <c r="P290" t="n">
        <v>0</v>
      </c>
      <c r="Q290" t="n">
        <v>0</v>
      </c>
      <c r="R290" s="2" t="inlineStr"/>
    </row>
    <row r="291" ht="15" customHeight="1">
      <c r="A291" t="inlineStr">
        <is>
          <t>A 59469-2024</t>
        </is>
      </c>
      <c r="B291" s="1" t="n">
        <v>45638</v>
      </c>
      <c r="C291" s="1" t="n">
        <v>46196</v>
      </c>
      <c r="D291" t="inlineStr">
        <is>
          <t>GOTLANDS LÄN</t>
        </is>
      </c>
      <c r="E291" t="inlineStr">
        <is>
          <t>GOTLAND</t>
        </is>
      </c>
      <c r="G291" t="n">
        <v>0.4</v>
      </c>
      <c r="H291" t="n">
        <v>0</v>
      </c>
      <c r="I291" t="n">
        <v>0</v>
      </c>
      <c r="J291" t="n">
        <v>0</v>
      </c>
      <c r="K291" t="n">
        <v>0</v>
      </c>
      <c r="L291" t="n">
        <v>0</v>
      </c>
      <c r="M291" t="n">
        <v>0</v>
      </c>
      <c r="N291" t="n">
        <v>0</v>
      </c>
      <c r="O291" t="n">
        <v>0</v>
      </c>
      <c r="P291" t="n">
        <v>0</v>
      </c>
      <c r="Q291" t="n">
        <v>0</v>
      </c>
      <c r="R291" s="2" t="inlineStr"/>
    </row>
    <row r="292" ht="15" customHeight="1">
      <c r="A292" t="inlineStr">
        <is>
          <t>A 49730-2025</t>
        </is>
      </c>
      <c r="B292" s="1" t="n">
        <v>45939</v>
      </c>
      <c r="C292" s="1" t="n">
        <v>46196</v>
      </c>
      <c r="D292" t="inlineStr">
        <is>
          <t>GOTLANDS LÄN</t>
        </is>
      </c>
      <c r="E292" t="inlineStr">
        <is>
          <t>GOTLAND</t>
        </is>
      </c>
      <c r="G292" t="n">
        <v>1.1</v>
      </c>
      <c r="H292" t="n">
        <v>0</v>
      </c>
      <c r="I292" t="n">
        <v>0</v>
      </c>
      <c r="J292" t="n">
        <v>0</v>
      </c>
      <c r="K292" t="n">
        <v>0</v>
      </c>
      <c r="L292" t="n">
        <v>0</v>
      </c>
      <c r="M292" t="n">
        <v>0</v>
      </c>
      <c r="N292" t="n">
        <v>0</v>
      </c>
      <c r="O292" t="n">
        <v>0</v>
      </c>
      <c r="P292" t="n">
        <v>0</v>
      </c>
      <c r="Q292" t="n">
        <v>0</v>
      </c>
      <c r="R292" s="2" t="inlineStr"/>
    </row>
    <row r="293" ht="15" customHeight="1">
      <c r="A293" t="inlineStr">
        <is>
          <t>A 29196-2025</t>
        </is>
      </c>
      <c r="B293" s="1" t="n">
        <v>45822</v>
      </c>
      <c r="C293" s="1" t="n">
        <v>46196</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38649-2025</t>
        </is>
      </c>
      <c r="B294" s="1" t="n">
        <v>45884</v>
      </c>
      <c r="C294" s="1" t="n">
        <v>46196</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61078-2025</t>
        </is>
      </c>
      <c r="B295" s="1" t="n">
        <v>46000</v>
      </c>
      <c r="C295" s="1" t="n">
        <v>46196</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30061-2025</t>
        </is>
      </c>
      <c r="B296" s="1" t="n">
        <v>45826</v>
      </c>
      <c r="C296" s="1" t="n">
        <v>46196</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36-2026</t>
        </is>
      </c>
      <c r="B297" s="1" t="n">
        <v>46024</v>
      </c>
      <c r="C297" s="1" t="n">
        <v>46196</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58160-2024</t>
        </is>
      </c>
      <c r="B298" s="1" t="n">
        <v>45632</v>
      </c>
      <c r="C298" s="1" t="n">
        <v>46196</v>
      </c>
      <c r="D298" t="inlineStr">
        <is>
          <t>GOTLANDS LÄN</t>
        </is>
      </c>
      <c r="E298" t="inlineStr">
        <is>
          <t>GOTLAND</t>
        </is>
      </c>
      <c r="G298" t="n">
        <v>5.6</v>
      </c>
      <c r="H298" t="n">
        <v>0</v>
      </c>
      <c r="I298" t="n">
        <v>0</v>
      </c>
      <c r="J298" t="n">
        <v>0</v>
      </c>
      <c r="K298" t="n">
        <v>0</v>
      </c>
      <c r="L298" t="n">
        <v>0</v>
      </c>
      <c r="M298" t="n">
        <v>0</v>
      </c>
      <c r="N298" t="n">
        <v>0</v>
      </c>
      <c r="O298" t="n">
        <v>0</v>
      </c>
      <c r="P298" t="n">
        <v>0</v>
      </c>
      <c r="Q298" t="n">
        <v>0</v>
      </c>
      <c r="R298" s="2" t="inlineStr"/>
    </row>
    <row r="299" ht="15" customHeight="1">
      <c r="A299" t="inlineStr">
        <is>
          <t>A 6696-2023</t>
        </is>
      </c>
      <c r="B299" s="1" t="n">
        <v>44966</v>
      </c>
      <c r="C299" s="1" t="n">
        <v>46196</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28485-2023</t>
        </is>
      </c>
      <c r="B300" s="1" t="n">
        <v>45103</v>
      </c>
      <c r="C300" s="1" t="n">
        <v>46196</v>
      </c>
      <c r="D300" t="inlineStr">
        <is>
          <t>GOTLANDS LÄN</t>
        </is>
      </c>
      <c r="E300" t="inlineStr">
        <is>
          <t>GOTLAND</t>
        </is>
      </c>
      <c r="G300" t="n">
        <v>2.3</v>
      </c>
      <c r="H300" t="n">
        <v>0</v>
      </c>
      <c r="I300" t="n">
        <v>0</v>
      </c>
      <c r="J300" t="n">
        <v>0</v>
      </c>
      <c r="K300" t="n">
        <v>0</v>
      </c>
      <c r="L300" t="n">
        <v>0</v>
      </c>
      <c r="M300" t="n">
        <v>0</v>
      </c>
      <c r="N300" t="n">
        <v>0</v>
      </c>
      <c r="O300" t="n">
        <v>0</v>
      </c>
      <c r="P300" t="n">
        <v>0</v>
      </c>
      <c r="Q300" t="n">
        <v>0</v>
      </c>
      <c r="R300" s="2" t="inlineStr"/>
    </row>
    <row r="301" ht="15" customHeight="1">
      <c r="A301" t="inlineStr">
        <is>
          <t>A 4990-2025</t>
        </is>
      </c>
      <c r="B301" s="1" t="n">
        <v>45691</v>
      </c>
      <c r="C301" s="1" t="n">
        <v>46196</v>
      </c>
      <c r="D301" t="inlineStr">
        <is>
          <t>GOTLANDS LÄN</t>
        </is>
      </c>
      <c r="E301" t="inlineStr">
        <is>
          <t>GOTLAND</t>
        </is>
      </c>
      <c r="G301" t="n">
        <v>7.7</v>
      </c>
      <c r="H301" t="n">
        <v>0</v>
      </c>
      <c r="I301" t="n">
        <v>0</v>
      </c>
      <c r="J301" t="n">
        <v>0</v>
      </c>
      <c r="K301" t="n">
        <v>0</v>
      </c>
      <c r="L301" t="n">
        <v>0</v>
      </c>
      <c r="M301" t="n">
        <v>0</v>
      </c>
      <c r="N301" t="n">
        <v>0</v>
      </c>
      <c r="O301" t="n">
        <v>0</v>
      </c>
      <c r="P301" t="n">
        <v>0</v>
      </c>
      <c r="Q301" t="n">
        <v>0</v>
      </c>
      <c r="R301" s="2" t="inlineStr"/>
    </row>
    <row r="302" ht="15" customHeight="1">
      <c r="A302" t="inlineStr">
        <is>
          <t>A 16109-2025</t>
        </is>
      </c>
      <c r="B302" s="1" t="n">
        <v>45750</v>
      </c>
      <c r="C302" s="1" t="n">
        <v>46196</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2415-2026</t>
        </is>
      </c>
      <c r="B303" s="1" t="n">
        <v>46036</v>
      </c>
      <c r="C303" s="1" t="n">
        <v>46196</v>
      </c>
      <c r="D303" t="inlineStr">
        <is>
          <t>GOTLANDS LÄN</t>
        </is>
      </c>
      <c r="E303" t="inlineStr">
        <is>
          <t>GOTLAND</t>
        </is>
      </c>
      <c r="G303" t="n">
        <v>6.9</v>
      </c>
      <c r="H303" t="n">
        <v>0</v>
      </c>
      <c r="I303" t="n">
        <v>0</v>
      </c>
      <c r="J303" t="n">
        <v>0</v>
      </c>
      <c r="K303" t="n">
        <v>0</v>
      </c>
      <c r="L303" t="n">
        <v>0</v>
      </c>
      <c r="M303" t="n">
        <v>0</v>
      </c>
      <c r="N303" t="n">
        <v>0</v>
      </c>
      <c r="O303" t="n">
        <v>0</v>
      </c>
      <c r="P303" t="n">
        <v>0</v>
      </c>
      <c r="Q303" t="n">
        <v>0</v>
      </c>
      <c r="R303" s="2" t="inlineStr"/>
    </row>
    <row r="304" ht="15" customHeight="1">
      <c r="A304" t="inlineStr">
        <is>
          <t>A 46527-2023</t>
        </is>
      </c>
      <c r="B304" s="1" t="n">
        <v>45197</v>
      </c>
      <c r="C304" s="1" t="n">
        <v>46196</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4646-2026</t>
        </is>
      </c>
      <c r="B305" s="1" t="n">
        <v>46048</v>
      </c>
      <c r="C305" s="1" t="n">
        <v>46196</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4634-2026</t>
        </is>
      </c>
      <c r="B306" s="1" t="n">
        <v>46048</v>
      </c>
      <c r="C306" s="1" t="n">
        <v>46196</v>
      </c>
      <c r="D306" t="inlineStr">
        <is>
          <t>GOTLANDS LÄN</t>
        </is>
      </c>
      <c r="E306" t="inlineStr">
        <is>
          <t>GOTLAND</t>
        </is>
      </c>
      <c r="G306" t="n">
        <v>7.8</v>
      </c>
      <c r="H306" t="n">
        <v>0</v>
      </c>
      <c r="I306" t="n">
        <v>0</v>
      </c>
      <c r="J306" t="n">
        <v>0</v>
      </c>
      <c r="K306" t="n">
        <v>0</v>
      </c>
      <c r="L306" t="n">
        <v>0</v>
      </c>
      <c r="M306" t="n">
        <v>0</v>
      </c>
      <c r="N306" t="n">
        <v>0</v>
      </c>
      <c r="O306" t="n">
        <v>0</v>
      </c>
      <c r="P306" t="n">
        <v>0</v>
      </c>
      <c r="Q306" t="n">
        <v>0</v>
      </c>
      <c r="R306" s="2" t="inlineStr"/>
    </row>
    <row r="307" ht="15" customHeight="1">
      <c r="A307" t="inlineStr">
        <is>
          <t>A 4670-2026</t>
        </is>
      </c>
      <c r="B307" s="1" t="n">
        <v>46048</v>
      </c>
      <c r="C307" s="1" t="n">
        <v>46196</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35096-2025</t>
        </is>
      </c>
      <c r="B308" s="1" t="n">
        <v>45852</v>
      </c>
      <c r="C308" s="1" t="n">
        <v>46196</v>
      </c>
      <c r="D308" t="inlineStr">
        <is>
          <t>GOTLANDS LÄN</t>
        </is>
      </c>
      <c r="E308" t="inlineStr">
        <is>
          <t>GOTLAND</t>
        </is>
      </c>
      <c r="F308" t="inlineStr">
        <is>
          <t>Kyrkan</t>
        </is>
      </c>
      <c r="G308" t="n">
        <v>1</v>
      </c>
      <c r="H308" t="n">
        <v>0</v>
      </c>
      <c r="I308" t="n">
        <v>0</v>
      </c>
      <c r="J308" t="n">
        <v>0</v>
      </c>
      <c r="K308" t="n">
        <v>0</v>
      </c>
      <c r="L308" t="n">
        <v>0</v>
      </c>
      <c r="M308" t="n">
        <v>0</v>
      </c>
      <c r="N308" t="n">
        <v>0</v>
      </c>
      <c r="O308" t="n">
        <v>0</v>
      </c>
      <c r="P308" t="n">
        <v>0</v>
      </c>
      <c r="Q308" t="n">
        <v>0</v>
      </c>
      <c r="R308" s="2" t="inlineStr"/>
    </row>
    <row r="309" ht="15" customHeight="1">
      <c r="A309" t="inlineStr">
        <is>
          <t>A 35123-2025</t>
        </is>
      </c>
      <c r="B309" s="1" t="n">
        <v>45852</v>
      </c>
      <c r="C309" s="1" t="n">
        <v>46196</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35290-2025</t>
        </is>
      </c>
      <c r="B310" s="1" t="n">
        <v>45854</v>
      </c>
      <c r="C310" s="1" t="n">
        <v>46196</v>
      </c>
      <c r="D310" t="inlineStr">
        <is>
          <t>GOTLANDS LÄN</t>
        </is>
      </c>
      <c r="E310" t="inlineStr">
        <is>
          <t>GOTLAND</t>
        </is>
      </c>
      <c r="G310" t="n">
        <v>5.4</v>
      </c>
      <c r="H310" t="n">
        <v>0</v>
      </c>
      <c r="I310" t="n">
        <v>0</v>
      </c>
      <c r="J310" t="n">
        <v>0</v>
      </c>
      <c r="K310" t="n">
        <v>0</v>
      </c>
      <c r="L310" t="n">
        <v>0</v>
      </c>
      <c r="M310" t="n">
        <v>0</v>
      </c>
      <c r="N310" t="n">
        <v>0</v>
      </c>
      <c r="O310" t="n">
        <v>0</v>
      </c>
      <c r="P310" t="n">
        <v>0</v>
      </c>
      <c r="Q310" t="n">
        <v>0</v>
      </c>
      <c r="R310" s="2" t="inlineStr"/>
    </row>
    <row r="311" ht="15" customHeight="1">
      <c r="A311" t="inlineStr">
        <is>
          <t>A 32669-2024</t>
        </is>
      </c>
      <c r="B311" s="1" t="n">
        <v>45514</v>
      </c>
      <c r="C311" s="1" t="n">
        <v>46196</v>
      </c>
      <c r="D311" t="inlineStr">
        <is>
          <t>GOTLANDS LÄN</t>
        </is>
      </c>
      <c r="E311" t="inlineStr">
        <is>
          <t>GOTLAND</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6207-2026</t>
        </is>
      </c>
      <c r="B312" s="1" t="n">
        <v>46055</v>
      </c>
      <c r="C312" s="1" t="n">
        <v>46196</v>
      </c>
      <c r="D312" t="inlineStr">
        <is>
          <t>GOTLANDS LÄN</t>
        </is>
      </c>
      <c r="E312" t="inlineStr">
        <is>
          <t>GOTLAND</t>
        </is>
      </c>
      <c r="G312" t="n">
        <v>7.6</v>
      </c>
      <c r="H312" t="n">
        <v>0</v>
      </c>
      <c r="I312" t="n">
        <v>0</v>
      </c>
      <c r="J312" t="n">
        <v>0</v>
      </c>
      <c r="K312" t="n">
        <v>0</v>
      </c>
      <c r="L312" t="n">
        <v>0</v>
      </c>
      <c r="M312" t="n">
        <v>0</v>
      </c>
      <c r="N312" t="n">
        <v>0</v>
      </c>
      <c r="O312" t="n">
        <v>0</v>
      </c>
      <c r="P312" t="n">
        <v>0</v>
      </c>
      <c r="Q312" t="n">
        <v>0</v>
      </c>
      <c r="R312" s="2" t="inlineStr"/>
    </row>
    <row r="313" ht="15" customHeight="1">
      <c r="A313" t="inlineStr">
        <is>
          <t>A 6218-2026</t>
        </is>
      </c>
      <c r="B313" s="1" t="n">
        <v>46055</v>
      </c>
      <c r="C313" s="1" t="n">
        <v>46196</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49697-2023</t>
        </is>
      </c>
      <c r="B314" s="1" t="n">
        <v>45212</v>
      </c>
      <c r="C314" s="1" t="n">
        <v>46196</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30488-2025</t>
        </is>
      </c>
      <c r="B315" s="1" t="n">
        <v>45830</v>
      </c>
      <c r="C315" s="1" t="n">
        <v>46196</v>
      </c>
      <c r="D315" t="inlineStr">
        <is>
          <t>GOTLANDS LÄN</t>
        </is>
      </c>
      <c r="E315" t="inlineStr">
        <is>
          <t>GOTLAND</t>
        </is>
      </c>
      <c r="F315" t="inlineStr">
        <is>
          <t>Kyrkan</t>
        </is>
      </c>
      <c r="G315" t="n">
        <v>3.9</v>
      </c>
      <c r="H315" t="n">
        <v>0</v>
      </c>
      <c r="I315" t="n">
        <v>0</v>
      </c>
      <c r="J315" t="n">
        <v>0</v>
      </c>
      <c r="K315" t="n">
        <v>0</v>
      </c>
      <c r="L315" t="n">
        <v>0</v>
      </c>
      <c r="M315" t="n">
        <v>0</v>
      </c>
      <c r="N315" t="n">
        <v>0</v>
      </c>
      <c r="O315" t="n">
        <v>0</v>
      </c>
      <c r="P315" t="n">
        <v>0</v>
      </c>
      <c r="Q315" t="n">
        <v>0</v>
      </c>
      <c r="R315" s="2" t="inlineStr"/>
    </row>
    <row r="316" ht="15" customHeight="1">
      <c r="A316" t="inlineStr">
        <is>
          <t>A 15216-2025</t>
        </is>
      </c>
      <c r="B316" s="1" t="n">
        <v>45744</v>
      </c>
      <c r="C316" s="1" t="n">
        <v>46196</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15001-2025</t>
        </is>
      </c>
      <c r="B317" s="1" t="n">
        <v>45743</v>
      </c>
      <c r="C317" s="1" t="n">
        <v>46196</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43790-2024</t>
        </is>
      </c>
      <c r="B318" s="1" t="n">
        <v>45571</v>
      </c>
      <c r="C318" s="1" t="n">
        <v>46196</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17847-2025</t>
        </is>
      </c>
      <c r="B319" s="1" t="n">
        <v>45758</v>
      </c>
      <c r="C319" s="1" t="n">
        <v>46196</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18742-2025</t>
        </is>
      </c>
      <c r="B320" s="1" t="n">
        <v>45763</v>
      </c>
      <c r="C320" s="1" t="n">
        <v>46196</v>
      </c>
      <c r="D320" t="inlineStr">
        <is>
          <t>GOTLANDS LÄN</t>
        </is>
      </c>
      <c r="E320" t="inlineStr">
        <is>
          <t>GOTLAND</t>
        </is>
      </c>
      <c r="G320" t="n">
        <v>3.4</v>
      </c>
      <c r="H320" t="n">
        <v>0</v>
      </c>
      <c r="I320" t="n">
        <v>0</v>
      </c>
      <c r="J320" t="n">
        <v>0</v>
      </c>
      <c r="K320" t="n">
        <v>0</v>
      </c>
      <c r="L320" t="n">
        <v>0</v>
      </c>
      <c r="M320" t="n">
        <v>0</v>
      </c>
      <c r="N320" t="n">
        <v>0</v>
      </c>
      <c r="O320" t="n">
        <v>0</v>
      </c>
      <c r="P320" t="n">
        <v>0</v>
      </c>
      <c r="Q320" t="n">
        <v>0</v>
      </c>
      <c r="R320" s="2" t="inlineStr"/>
    </row>
    <row r="321" ht="15" customHeight="1">
      <c r="A321" t="inlineStr">
        <is>
          <t>A 35129-2025</t>
        </is>
      </c>
      <c r="B321" s="1" t="n">
        <v>45852</v>
      </c>
      <c r="C321" s="1" t="n">
        <v>46196</v>
      </c>
      <c r="D321" t="inlineStr">
        <is>
          <t>GOTLANDS LÄN</t>
        </is>
      </c>
      <c r="E321" t="inlineStr">
        <is>
          <t>GOTLAND</t>
        </is>
      </c>
      <c r="G321" t="n">
        <v>3.2</v>
      </c>
      <c r="H321" t="n">
        <v>0</v>
      </c>
      <c r="I321" t="n">
        <v>0</v>
      </c>
      <c r="J321" t="n">
        <v>0</v>
      </c>
      <c r="K321" t="n">
        <v>0</v>
      </c>
      <c r="L321" t="n">
        <v>0</v>
      </c>
      <c r="M321" t="n">
        <v>0</v>
      </c>
      <c r="N321" t="n">
        <v>0</v>
      </c>
      <c r="O321" t="n">
        <v>0</v>
      </c>
      <c r="P321" t="n">
        <v>0</v>
      </c>
      <c r="Q321" t="n">
        <v>0</v>
      </c>
      <c r="R321" s="2" t="inlineStr"/>
    </row>
    <row r="322" ht="15" customHeight="1">
      <c r="A322" t="inlineStr">
        <is>
          <t>A 48503-2023</t>
        </is>
      </c>
      <c r="B322" s="1" t="n">
        <v>45207</v>
      </c>
      <c r="C322" s="1" t="n">
        <v>46196</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24825-2024</t>
        </is>
      </c>
      <c r="B323" s="1" t="n">
        <v>45461</v>
      </c>
      <c r="C323" s="1" t="n">
        <v>46196</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21142-2025</t>
        </is>
      </c>
      <c r="B324" s="1" t="n">
        <v>45779</v>
      </c>
      <c r="C324" s="1" t="n">
        <v>46196</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6108-2025</t>
        </is>
      </c>
      <c r="B325" s="1" t="n">
        <v>45698</v>
      </c>
      <c r="C325" s="1" t="n">
        <v>46196</v>
      </c>
      <c r="D325" t="inlineStr">
        <is>
          <t>GOTLANDS LÄN</t>
        </is>
      </c>
      <c r="E325" t="inlineStr">
        <is>
          <t>GOTLAND</t>
        </is>
      </c>
      <c r="G325" t="n">
        <v>2.8</v>
      </c>
      <c r="H325" t="n">
        <v>0</v>
      </c>
      <c r="I325" t="n">
        <v>0</v>
      </c>
      <c r="J325" t="n">
        <v>0</v>
      </c>
      <c r="K325" t="n">
        <v>0</v>
      </c>
      <c r="L325" t="n">
        <v>0</v>
      </c>
      <c r="M325" t="n">
        <v>0</v>
      </c>
      <c r="N325" t="n">
        <v>0</v>
      </c>
      <c r="O325" t="n">
        <v>0</v>
      </c>
      <c r="P325" t="n">
        <v>0</v>
      </c>
      <c r="Q325" t="n">
        <v>0</v>
      </c>
      <c r="R325" s="2" t="inlineStr"/>
    </row>
    <row r="326" ht="15" customHeight="1">
      <c r="A326" t="inlineStr">
        <is>
          <t>A 22031-2024</t>
        </is>
      </c>
      <c r="B326" s="1" t="n">
        <v>45443</v>
      </c>
      <c r="C326" s="1" t="n">
        <v>46196</v>
      </c>
      <c r="D326" t="inlineStr">
        <is>
          <t>GOTLANDS LÄN</t>
        </is>
      </c>
      <c r="E326" t="inlineStr">
        <is>
          <t>GOTLAND</t>
        </is>
      </c>
      <c r="G326" t="n">
        <v>2.3</v>
      </c>
      <c r="H326" t="n">
        <v>0</v>
      </c>
      <c r="I326" t="n">
        <v>0</v>
      </c>
      <c r="J326" t="n">
        <v>0</v>
      </c>
      <c r="K326" t="n">
        <v>0</v>
      </c>
      <c r="L326" t="n">
        <v>0</v>
      </c>
      <c r="M326" t="n">
        <v>0</v>
      </c>
      <c r="N326" t="n">
        <v>0</v>
      </c>
      <c r="O326" t="n">
        <v>0</v>
      </c>
      <c r="P326" t="n">
        <v>0</v>
      </c>
      <c r="Q326" t="n">
        <v>0</v>
      </c>
      <c r="R326" s="2" t="inlineStr"/>
    </row>
    <row r="327" ht="15" customHeight="1">
      <c r="A327" t="inlineStr">
        <is>
          <t>A 7627-2026</t>
        </is>
      </c>
      <c r="B327" s="1" t="n">
        <v>46062</v>
      </c>
      <c r="C327" s="1" t="n">
        <v>46196</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17688-2024</t>
        </is>
      </c>
      <c r="B328" s="1" t="n">
        <v>45418</v>
      </c>
      <c r="C328" s="1" t="n">
        <v>46196</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2135-2026</t>
        </is>
      </c>
      <c r="B329" s="1" t="n">
        <v>46036</v>
      </c>
      <c r="C329" s="1" t="n">
        <v>46196</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17343-2025</t>
        </is>
      </c>
      <c r="B330" s="1" t="n">
        <v>45756</v>
      </c>
      <c r="C330" s="1" t="n">
        <v>46196</v>
      </c>
      <c r="D330" t="inlineStr">
        <is>
          <t>GOTLANDS LÄN</t>
        </is>
      </c>
      <c r="E330" t="inlineStr">
        <is>
          <t>GOTLAND</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18938-2025</t>
        </is>
      </c>
      <c r="B331" s="1" t="n">
        <v>45764</v>
      </c>
      <c r="C331" s="1" t="n">
        <v>46196</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20307-2025</t>
        </is>
      </c>
      <c r="B332" s="1" t="n">
        <v>45774</v>
      </c>
      <c r="C332" s="1" t="n">
        <v>46196</v>
      </c>
      <c r="D332" t="inlineStr">
        <is>
          <t>GOTLANDS LÄN</t>
        </is>
      </c>
      <c r="E332" t="inlineStr">
        <is>
          <t>GOTLAND</t>
        </is>
      </c>
      <c r="G332" t="n">
        <v>6.8</v>
      </c>
      <c r="H332" t="n">
        <v>0</v>
      </c>
      <c r="I332" t="n">
        <v>0</v>
      </c>
      <c r="J332" t="n">
        <v>0</v>
      </c>
      <c r="K332" t="n">
        <v>0</v>
      </c>
      <c r="L332" t="n">
        <v>0</v>
      </c>
      <c r="M332" t="n">
        <v>0</v>
      </c>
      <c r="N332" t="n">
        <v>0</v>
      </c>
      <c r="O332" t="n">
        <v>0</v>
      </c>
      <c r="P332" t="n">
        <v>0</v>
      </c>
      <c r="Q332" t="n">
        <v>0</v>
      </c>
      <c r="R332" s="2" t="inlineStr"/>
    </row>
    <row r="333" ht="15" customHeight="1">
      <c r="A333" t="inlineStr">
        <is>
          <t>A 9540-2026</t>
        </is>
      </c>
      <c r="B333" s="1" t="n">
        <v>46071</v>
      </c>
      <c r="C333" s="1" t="n">
        <v>46196</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9521-2026</t>
        </is>
      </c>
      <c r="B334" s="1" t="n">
        <v>46071</v>
      </c>
      <c r="C334" s="1" t="n">
        <v>46196</v>
      </c>
      <c r="D334" t="inlineStr">
        <is>
          <t>GOTLANDS LÄN</t>
        </is>
      </c>
      <c r="E334" t="inlineStr">
        <is>
          <t>GOTLAND</t>
        </is>
      </c>
      <c r="G334" t="n">
        <v>3.9</v>
      </c>
      <c r="H334" t="n">
        <v>0</v>
      </c>
      <c r="I334" t="n">
        <v>0</v>
      </c>
      <c r="J334" t="n">
        <v>0</v>
      </c>
      <c r="K334" t="n">
        <v>0</v>
      </c>
      <c r="L334" t="n">
        <v>0</v>
      </c>
      <c r="M334" t="n">
        <v>0</v>
      </c>
      <c r="N334" t="n">
        <v>0</v>
      </c>
      <c r="O334" t="n">
        <v>0</v>
      </c>
      <c r="P334" t="n">
        <v>0</v>
      </c>
      <c r="Q334" t="n">
        <v>0</v>
      </c>
      <c r="R334" s="2" t="inlineStr"/>
    </row>
    <row r="335" ht="15" customHeight="1">
      <c r="A335" t="inlineStr">
        <is>
          <t>A 9524-2026</t>
        </is>
      </c>
      <c r="B335" s="1" t="n">
        <v>46071</v>
      </c>
      <c r="C335" s="1" t="n">
        <v>46196</v>
      </c>
      <c r="D335" t="inlineStr">
        <is>
          <t>GOTLANDS LÄN</t>
        </is>
      </c>
      <c r="E335" t="inlineStr">
        <is>
          <t>GOTLAND</t>
        </is>
      </c>
      <c r="G335" t="n">
        <v>2.5</v>
      </c>
      <c r="H335" t="n">
        <v>0</v>
      </c>
      <c r="I335" t="n">
        <v>0</v>
      </c>
      <c r="J335" t="n">
        <v>0</v>
      </c>
      <c r="K335" t="n">
        <v>0</v>
      </c>
      <c r="L335" t="n">
        <v>0</v>
      </c>
      <c r="M335" t="n">
        <v>0</v>
      </c>
      <c r="N335" t="n">
        <v>0</v>
      </c>
      <c r="O335" t="n">
        <v>0</v>
      </c>
      <c r="P335" t="n">
        <v>0</v>
      </c>
      <c r="Q335" t="n">
        <v>0</v>
      </c>
      <c r="R335" s="2" t="inlineStr"/>
    </row>
    <row r="336" ht="15" customHeight="1">
      <c r="A336" t="inlineStr">
        <is>
          <t>A 9543-2026</t>
        </is>
      </c>
      <c r="B336" s="1" t="n">
        <v>46071</v>
      </c>
      <c r="C336" s="1" t="n">
        <v>46196</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9518-2026</t>
        </is>
      </c>
      <c r="B337" s="1" t="n">
        <v>46071</v>
      </c>
      <c r="C337" s="1" t="n">
        <v>46196</v>
      </c>
      <c r="D337" t="inlineStr">
        <is>
          <t>GOTLANDS LÄN</t>
        </is>
      </c>
      <c r="E337" t="inlineStr">
        <is>
          <t>GOTLAND</t>
        </is>
      </c>
      <c r="G337" t="n">
        <v>6.2</v>
      </c>
      <c r="H337" t="n">
        <v>0</v>
      </c>
      <c r="I337" t="n">
        <v>0</v>
      </c>
      <c r="J337" t="n">
        <v>0</v>
      </c>
      <c r="K337" t="n">
        <v>0</v>
      </c>
      <c r="L337" t="n">
        <v>0</v>
      </c>
      <c r="M337" t="n">
        <v>0</v>
      </c>
      <c r="N337" t="n">
        <v>0</v>
      </c>
      <c r="O337" t="n">
        <v>0</v>
      </c>
      <c r="P337" t="n">
        <v>0</v>
      </c>
      <c r="Q337" t="n">
        <v>0</v>
      </c>
      <c r="R337" s="2" t="inlineStr"/>
    </row>
    <row r="338" ht="15" customHeight="1">
      <c r="A338" t="inlineStr">
        <is>
          <t>A 9519-2026</t>
        </is>
      </c>
      <c r="B338" s="1" t="n">
        <v>46071</v>
      </c>
      <c r="C338" s="1" t="n">
        <v>46196</v>
      </c>
      <c r="D338" t="inlineStr">
        <is>
          <t>GOTLANDS LÄN</t>
        </is>
      </c>
      <c r="E338" t="inlineStr">
        <is>
          <t>GOTLAND</t>
        </is>
      </c>
      <c r="G338" t="n">
        <v>4</v>
      </c>
      <c r="H338" t="n">
        <v>0</v>
      </c>
      <c r="I338" t="n">
        <v>0</v>
      </c>
      <c r="J338" t="n">
        <v>0</v>
      </c>
      <c r="K338" t="n">
        <v>0</v>
      </c>
      <c r="L338" t="n">
        <v>0</v>
      </c>
      <c r="M338" t="n">
        <v>0</v>
      </c>
      <c r="N338" t="n">
        <v>0</v>
      </c>
      <c r="O338" t="n">
        <v>0</v>
      </c>
      <c r="P338" t="n">
        <v>0</v>
      </c>
      <c r="Q338" t="n">
        <v>0</v>
      </c>
      <c r="R338" s="2" t="inlineStr"/>
    </row>
    <row r="339" ht="15" customHeight="1">
      <c r="A339" t="inlineStr">
        <is>
          <t>A 9901-2026</t>
        </is>
      </c>
      <c r="B339" s="1" t="n">
        <v>46073</v>
      </c>
      <c r="C339" s="1" t="n">
        <v>46196</v>
      </c>
      <c r="D339" t="inlineStr">
        <is>
          <t>GOTLANDS LÄN</t>
        </is>
      </c>
      <c r="E339" t="inlineStr">
        <is>
          <t>GOTLAND</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12599-2025</t>
        </is>
      </c>
      <c r="B340" s="1" t="n">
        <v>45733</v>
      </c>
      <c r="C340" s="1" t="n">
        <v>46196</v>
      </c>
      <c r="D340" t="inlineStr">
        <is>
          <t>GOTLANDS LÄN</t>
        </is>
      </c>
      <c r="E340" t="inlineStr">
        <is>
          <t>GOTLAND</t>
        </is>
      </c>
      <c r="G340" t="n">
        <v>4.7</v>
      </c>
      <c r="H340" t="n">
        <v>0</v>
      </c>
      <c r="I340" t="n">
        <v>0</v>
      </c>
      <c r="J340" t="n">
        <v>0</v>
      </c>
      <c r="K340" t="n">
        <v>0</v>
      </c>
      <c r="L340" t="n">
        <v>0</v>
      </c>
      <c r="M340" t="n">
        <v>0</v>
      </c>
      <c r="N340" t="n">
        <v>0</v>
      </c>
      <c r="O340" t="n">
        <v>0</v>
      </c>
      <c r="P340" t="n">
        <v>0</v>
      </c>
      <c r="Q340" t="n">
        <v>0</v>
      </c>
      <c r="R340" s="2" t="inlineStr"/>
    </row>
    <row r="341" ht="15" customHeight="1">
      <c r="A341" t="inlineStr">
        <is>
          <t>A 10284-2026</t>
        </is>
      </c>
      <c r="B341" s="1" t="n">
        <v>46076</v>
      </c>
      <c r="C341" s="1" t="n">
        <v>46196</v>
      </c>
      <c r="D341" t="inlineStr">
        <is>
          <t>GOTLANDS LÄN</t>
        </is>
      </c>
      <c r="E341" t="inlineStr">
        <is>
          <t>GOTLAND</t>
        </is>
      </c>
      <c r="G341" t="n">
        <v>5.2</v>
      </c>
      <c r="H341" t="n">
        <v>0</v>
      </c>
      <c r="I341" t="n">
        <v>0</v>
      </c>
      <c r="J341" t="n">
        <v>0</v>
      </c>
      <c r="K341" t="n">
        <v>0</v>
      </c>
      <c r="L341" t="n">
        <v>0</v>
      </c>
      <c r="M341" t="n">
        <v>0</v>
      </c>
      <c r="N341" t="n">
        <v>0</v>
      </c>
      <c r="O341" t="n">
        <v>0</v>
      </c>
      <c r="P341" t="n">
        <v>0</v>
      </c>
      <c r="Q341" t="n">
        <v>0</v>
      </c>
      <c r="R341" s="2" t="inlineStr"/>
    </row>
    <row r="342" ht="15" customHeight="1">
      <c r="A342" t="inlineStr">
        <is>
          <t>A 27694-2024</t>
        </is>
      </c>
      <c r="B342" s="1" t="n">
        <v>45475</v>
      </c>
      <c r="C342" s="1" t="n">
        <v>46196</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39764-2022</t>
        </is>
      </c>
      <c r="B343" s="1" t="n">
        <v>44819</v>
      </c>
      <c r="C343" s="1" t="n">
        <v>46196</v>
      </c>
      <c r="D343" t="inlineStr">
        <is>
          <t>GOTLANDS LÄN</t>
        </is>
      </c>
      <c r="E343" t="inlineStr">
        <is>
          <t>GOTLAND</t>
        </is>
      </c>
      <c r="F343" t="inlineStr">
        <is>
          <t>Kyrkan</t>
        </is>
      </c>
      <c r="G343" t="n">
        <v>3.7</v>
      </c>
      <c r="H343" t="n">
        <v>0</v>
      </c>
      <c r="I343" t="n">
        <v>0</v>
      </c>
      <c r="J343" t="n">
        <v>0</v>
      </c>
      <c r="K343" t="n">
        <v>0</v>
      </c>
      <c r="L343" t="n">
        <v>0</v>
      </c>
      <c r="M343" t="n">
        <v>0</v>
      </c>
      <c r="N343" t="n">
        <v>0</v>
      </c>
      <c r="O343" t="n">
        <v>0</v>
      </c>
      <c r="P343" t="n">
        <v>0</v>
      </c>
      <c r="Q343" t="n">
        <v>0</v>
      </c>
      <c r="R343" s="2" t="inlineStr"/>
    </row>
    <row r="344" ht="15" customHeight="1">
      <c r="A344" t="inlineStr">
        <is>
          <t>A 6099-2024</t>
        </is>
      </c>
      <c r="B344" s="1" t="n">
        <v>45337</v>
      </c>
      <c r="C344" s="1" t="n">
        <v>46196</v>
      </c>
      <c r="D344" t="inlineStr">
        <is>
          <t>GOTLANDS LÄN</t>
        </is>
      </c>
      <c r="E344" t="inlineStr">
        <is>
          <t>GOTLAND</t>
        </is>
      </c>
      <c r="G344" t="n">
        <v>12.6</v>
      </c>
      <c r="H344" t="n">
        <v>0</v>
      </c>
      <c r="I344" t="n">
        <v>0</v>
      </c>
      <c r="J344" t="n">
        <v>0</v>
      </c>
      <c r="K344" t="n">
        <v>0</v>
      </c>
      <c r="L344" t="n">
        <v>0</v>
      </c>
      <c r="M344" t="n">
        <v>0</v>
      </c>
      <c r="N344" t="n">
        <v>0</v>
      </c>
      <c r="O344" t="n">
        <v>0</v>
      </c>
      <c r="P344" t="n">
        <v>0</v>
      </c>
      <c r="Q344" t="n">
        <v>0</v>
      </c>
      <c r="R344" s="2" t="inlineStr"/>
    </row>
    <row r="345" ht="15" customHeight="1">
      <c r="A345" t="inlineStr">
        <is>
          <t>A 8260-2023</t>
        </is>
      </c>
      <c r="B345" s="1" t="n">
        <v>44974</v>
      </c>
      <c r="C345" s="1" t="n">
        <v>46196</v>
      </c>
      <c r="D345" t="inlineStr">
        <is>
          <t>GOTLANDS LÄN</t>
        </is>
      </c>
      <c r="E345" t="inlineStr">
        <is>
          <t>GOTLAND</t>
        </is>
      </c>
      <c r="G345" t="n">
        <v>2.9</v>
      </c>
      <c r="H345" t="n">
        <v>0</v>
      </c>
      <c r="I345" t="n">
        <v>0</v>
      </c>
      <c r="J345" t="n">
        <v>0</v>
      </c>
      <c r="K345" t="n">
        <v>0</v>
      </c>
      <c r="L345" t="n">
        <v>0</v>
      </c>
      <c r="M345" t="n">
        <v>0</v>
      </c>
      <c r="N345" t="n">
        <v>0</v>
      </c>
      <c r="O345" t="n">
        <v>0</v>
      </c>
      <c r="P345" t="n">
        <v>0</v>
      </c>
      <c r="Q345" t="n">
        <v>0</v>
      </c>
      <c r="R345" s="2" t="inlineStr"/>
    </row>
    <row r="346" ht="15" customHeight="1">
      <c r="A346" t="inlineStr">
        <is>
          <t>A 22287-2022</t>
        </is>
      </c>
      <c r="B346" s="1" t="n">
        <v>44712</v>
      </c>
      <c r="C346" s="1" t="n">
        <v>46196</v>
      </c>
      <c r="D346" t="inlineStr">
        <is>
          <t>GOTLANDS LÄN</t>
        </is>
      </c>
      <c r="E346" t="inlineStr">
        <is>
          <t>GOTLAND</t>
        </is>
      </c>
      <c r="G346" t="n">
        <v>6.1</v>
      </c>
      <c r="H346" t="n">
        <v>0</v>
      </c>
      <c r="I346" t="n">
        <v>0</v>
      </c>
      <c r="J346" t="n">
        <v>0</v>
      </c>
      <c r="K346" t="n">
        <v>0</v>
      </c>
      <c r="L346" t="n">
        <v>0</v>
      </c>
      <c r="M346" t="n">
        <v>0</v>
      </c>
      <c r="N346" t="n">
        <v>0</v>
      </c>
      <c r="O346" t="n">
        <v>0</v>
      </c>
      <c r="P346" t="n">
        <v>0</v>
      </c>
      <c r="Q346" t="n">
        <v>0</v>
      </c>
      <c r="R346" s="2" t="inlineStr"/>
    </row>
    <row r="347" ht="15" customHeight="1">
      <c r="A347" t="inlineStr">
        <is>
          <t>A 11424-2026</t>
        </is>
      </c>
      <c r="B347" s="1" t="n">
        <v>46083</v>
      </c>
      <c r="C347" s="1" t="n">
        <v>46196</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3067-2026</t>
        </is>
      </c>
      <c r="B348" s="1" t="n">
        <v>46040</v>
      </c>
      <c r="C348" s="1" t="n">
        <v>46196</v>
      </c>
      <c r="D348" t="inlineStr">
        <is>
          <t>GOTLANDS LÄN</t>
        </is>
      </c>
      <c r="E348" t="inlineStr">
        <is>
          <t>GOTLAND</t>
        </is>
      </c>
      <c r="G348" t="n">
        <v>7.8</v>
      </c>
      <c r="H348" t="n">
        <v>0</v>
      </c>
      <c r="I348" t="n">
        <v>0</v>
      </c>
      <c r="J348" t="n">
        <v>0</v>
      </c>
      <c r="K348" t="n">
        <v>0</v>
      </c>
      <c r="L348" t="n">
        <v>0</v>
      </c>
      <c r="M348" t="n">
        <v>0</v>
      </c>
      <c r="N348" t="n">
        <v>0</v>
      </c>
      <c r="O348" t="n">
        <v>0</v>
      </c>
      <c r="P348" t="n">
        <v>0</v>
      </c>
      <c r="Q348" t="n">
        <v>0</v>
      </c>
      <c r="R348" s="2" t="inlineStr"/>
    </row>
    <row r="349" ht="15" customHeight="1">
      <c r="A349" t="inlineStr">
        <is>
          <t>A 12135-2026</t>
        </is>
      </c>
      <c r="B349" s="1" t="n">
        <v>46086</v>
      </c>
      <c r="C349" s="1" t="n">
        <v>46196</v>
      </c>
      <c r="D349" t="inlineStr">
        <is>
          <t>GOTLANDS LÄN</t>
        </is>
      </c>
      <c r="E349" t="inlineStr">
        <is>
          <t>GOTLAND</t>
        </is>
      </c>
      <c r="G349" t="n">
        <v>3</v>
      </c>
      <c r="H349" t="n">
        <v>0</v>
      </c>
      <c r="I349" t="n">
        <v>0</v>
      </c>
      <c r="J349" t="n">
        <v>0</v>
      </c>
      <c r="K349" t="n">
        <v>0</v>
      </c>
      <c r="L349" t="n">
        <v>0</v>
      </c>
      <c r="M349" t="n">
        <v>0</v>
      </c>
      <c r="N349" t="n">
        <v>0</v>
      </c>
      <c r="O349" t="n">
        <v>0</v>
      </c>
      <c r="P349" t="n">
        <v>0</v>
      </c>
      <c r="Q349" t="n">
        <v>0</v>
      </c>
      <c r="R349" s="2" t="inlineStr"/>
    </row>
    <row r="350" ht="15" customHeight="1">
      <c r="A350" t="inlineStr">
        <is>
          <t>A 64660-2023</t>
        </is>
      </c>
      <c r="B350" s="1" t="n">
        <v>45281</v>
      </c>
      <c r="C350" s="1" t="n">
        <v>46196</v>
      </c>
      <c r="D350" t="inlineStr">
        <is>
          <t>GOTLANDS LÄN</t>
        </is>
      </c>
      <c r="E350" t="inlineStr">
        <is>
          <t>GOTLAND</t>
        </is>
      </c>
      <c r="G350" t="n">
        <v>6.3</v>
      </c>
      <c r="H350" t="n">
        <v>0</v>
      </c>
      <c r="I350" t="n">
        <v>0</v>
      </c>
      <c r="J350" t="n">
        <v>0</v>
      </c>
      <c r="K350" t="n">
        <v>0</v>
      </c>
      <c r="L350" t="n">
        <v>0</v>
      </c>
      <c r="M350" t="n">
        <v>0</v>
      </c>
      <c r="N350" t="n">
        <v>0</v>
      </c>
      <c r="O350" t="n">
        <v>0</v>
      </c>
      <c r="P350" t="n">
        <v>0</v>
      </c>
      <c r="Q350" t="n">
        <v>0</v>
      </c>
      <c r="R350" s="2" t="inlineStr"/>
    </row>
    <row r="351" ht="15" customHeight="1">
      <c r="A351" t="inlineStr">
        <is>
          <t>A 42201-2023</t>
        </is>
      </c>
      <c r="B351" s="1" t="n">
        <v>45179</v>
      </c>
      <c r="C351" s="1" t="n">
        <v>46196</v>
      </c>
      <c r="D351" t="inlineStr">
        <is>
          <t>GOTLANDS LÄN</t>
        </is>
      </c>
      <c r="E351" t="inlineStr">
        <is>
          <t>GOTLAND</t>
        </is>
      </c>
      <c r="G351" t="n">
        <v>11.9</v>
      </c>
      <c r="H351" t="n">
        <v>0</v>
      </c>
      <c r="I351" t="n">
        <v>0</v>
      </c>
      <c r="J351" t="n">
        <v>0</v>
      </c>
      <c r="K351" t="n">
        <v>0</v>
      </c>
      <c r="L351" t="n">
        <v>0</v>
      </c>
      <c r="M351" t="n">
        <v>0</v>
      </c>
      <c r="N351" t="n">
        <v>0</v>
      </c>
      <c r="O351" t="n">
        <v>0</v>
      </c>
      <c r="P351" t="n">
        <v>0</v>
      </c>
      <c r="Q351" t="n">
        <v>0</v>
      </c>
      <c r="R351" s="2" t="inlineStr"/>
    </row>
    <row r="352" ht="15" customHeight="1">
      <c r="A352" t="inlineStr">
        <is>
          <t>A 63000-2025</t>
        </is>
      </c>
      <c r="B352" s="1" t="n">
        <v>46009</v>
      </c>
      <c r="C352" s="1" t="n">
        <v>46196</v>
      </c>
      <c r="D352" t="inlineStr">
        <is>
          <t>GOTLANDS LÄN</t>
        </is>
      </c>
      <c r="E352" t="inlineStr">
        <is>
          <t>GOTLAND</t>
        </is>
      </c>
      <c r="F352" t="inlineStr">
        <is>
          <t>Övriga Aktiebolag</t>
        </is>
      </c>
      <c r="G352" t="n">
        <v>1.7</v>
      </c>
      <c r="H352" t="n">
        <v>0</v>
      </c>
      <c r="I352" t="n">
        <v>0</v>
      </c>
      <c r="J352" t="n">
        <v>0</v>
      </c>
      <c r="K352" t="n">
        <v>0</v>
      </c>
      <c r="L352" t="n">
        <v>0</v>
      </c>
      <c r="M352" t="n">
        <v>0</v>
      </c>
      <c r="N352" t="n">
        <v>0</v>
      </c>
      <c r="O352" t="n">
        <v>0</v>
      </c>
      <c r="P352" t="n">
        <v>0</v>
      </c>
      <c r="Q352" t="n">
        <v>0</v>
      </c>
      <c r="R352" s="2" t="inlineStr"/>
    </row>
    <row r="353" ht="15" customHeight="1">
      <c r="A353" t="inlineStr">
        <is>
          <t>A 62751-2025</t>
        </is>
      </c>
      <c r="B353" s="1" t="n">
        <v>46008</v>
      </c>
      <c r="C353" s="1" t="n">
        <v>46196</v>
      </c>
      <c r="D353" t="inlineStr">
        <is>
          <t>GOTLANDS LÄN</t>
        </is>
      </c>
      <c r="E353" t="inlineStr">
        <is>
          <t>GOTLAND</t>
        </is>
      </c>
      <c r="F353" t="inlineStr">
        <is>
          <t>Övriga Aktiebolag</t>
        </is>
      </c>
      <c r="G353" t="n">
        <v>7.8</v>
      </c>
      <c r="H353" t="n">
        <v>0</v>
      </c>
      <c r="I353" t="n">
        <v>0</v>
      </c>
      <c r="J353" t="n">
        <v>0</v>
      </c>
      <c r="K353" t="n">
        <v>0</v>
      </c>
      <c r="L353" t="n">
        <v>0</v>
      </c>
      <c r="M353" t="n">
        <v>0</v>
      </c>
      <c r="N353" t="n">
        <v>0</v>
      </c>
      <c r="O353" t="n">
        <v>0</v>
      </c>
      <c r="P353" t="n">
        <v>0</v>
      </c>
      <c r="Q353" t="n">
        <v>0</v>
      </c>
      <c r="R353" s="2" t="inlineStr"/>
    </row>
    <row r="354" ht="15" customHeight="1">
      <c r="A354" t="inlineStr">
        <is>
          <t>A 13486-2026</t>
        </is>
      </c>
      <c r="B354" s="1" t="n">
        <v>46094</v>
      </c>
      <c r="C354" s="1" t="n">
        <v>46196</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20855-2023</t>
        </is>
      </c>
      <c r="B355" s="1" t="n">
        <v>45058</v>
      </c>
      <c r="C355" s="1" t="n">
        <v>46196</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60709-2023</t>
        </is>
      </c>
      <c r="B356" s="1" t="n">
        <v>45260</v>
      </c>
      <c r="C356" s="1" t="n">
        <v>46196</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1000-2024</t>
        </is>
      </c>
      <c r="B357" s="1" t="n">
        <v>45301</v>
      </c>
      <c r="C357" s="1" t="n">
        <v>46196</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65249-2023</t>
        </is>
      </c>
      <c r="B358" s="1" t="n">
        <v>45290</v>
      </c>
      <c r="C358" s="1" t="n">
        <v>46196</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30956-2024</t>
        </is>
      </c>
      <c r="B359" s="1" t="n">
        <v>45499</v>
      </c>
      <c r="C359" s="1" t="n">
        <v>46196</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22351-2026</t>
        </is>
      </c>
      <c r="B360" s="1" t="n">
        <v>46154</v>
      </c>
      <c r="C360" s="1" t="n">
        <v>46196</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22348-2026</t>
        </is>
      </c>
      <c r="B361" s="1" t="n">
        <v>46154</v>
      </c>
      <c r="C361" s="1" t="n">
        <v>46196</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22275-2026</t>
        </is>
      </c>
      <c r="B362" s="1" t="n">
        <v>46154</v>
      </c>
      <c r="C362" s="1" t="n">
        <v>46196</v>
      </c>
      <c r="D362" t="inlineStr">
        <is>
          <t>GOTLANDS LÄN</t>
        </is>
      </c>
      <c r="E362" t="inlineStr">
        <is>
          <t>GOTLAND</t>
        </is>
      </c>
      <c r="G362" t="n">
        <v>3.7</v>
      </c>
      <c r="H362" t="n">
        <v>0</v>
      </c>
      <c r="I362" t="n">
        <v>0</v>
      </c>
      <c r="J362" t="n">
        <v>0</v>
      </c>
      <c r="K362" t="n">
        <v>0</v>
      </c>
      <c r="L362" t="n">
        <v>0</v>
      </c>
      <c r="M362" t="n">
        <v>0</v>
      </c>
      <c r="N362" t="n">
        <v>0</v>
      </c>
      <c r="O362" t="n">
        <v>0</v>
      </c>
      <c r="P362" t="n">
        <v>0</v>
      </c>
      <c r="Q362" t="n">
        <v>0</v>
      </c>
      <c r="R362" s="2" t="inlineStr"/>
    </row>
    <row r="363" ht="15" customHeight="1">
      <c r="A363" t="inlineStr">
        <is>
          <t>A 12596-2023</t>
        </is>
      </c>
      <c r="B363" s="1" t="n">
        <v>45000</v>
      </c>
      <c r="C363" s="1" t="n">
        <v>46196</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8045-2022</t>
        </is>
      </c>
      <c r="B364" s="1" t="n">
        <v>44609</v>
      </c>
      <c r="C364" s="1" t="n">
        <v>46196</v>
      </c>
      <c r="D364" t="inlineStr">
        <is>
          <t>GOTLANDS LÄN</t>
        </is>
      </c>
      <c r="E364" t="inlineStr">
        <is>
          <t>GOTLAND</t>
        </is>
      </c>
      <c r="G364" t="n">
        <v>7</v>
      </c>
      <c r="H364" t="n">
        <v>0</v>
      </c>
      <c r="I364" t="n">
        <v>0</v>
      </c>
      <c r="J364" t="n">
        <v>0</v>
      </c>
      <c r="K364" t="n">
        <v>0</v>
      </c>
      <c r="L364" t="n">
        <v>0</v>
      </c>
      <c r="M364" t="n">
        <v>0</v>
      </c>
      <c r="N364" t="n">
        <v>0</v>
      </c>
      <c r="O364" t="n">
        <v>0</v>
      </c>
      <c r="P364" t="n">
        <v>0</v>
      </c>
      <c r="Q364" t="n">
        <v>0</v>
      </c>
      <c r="R364" s="2" t="inlineStr"/>
    </row>
    <row r="365" ht="15" customHeight="1">
      <c r="A365" t="inlineStr">
        <is>
          <t>A 16993-2026</t>
        </is>
      </c>
      <c r="B365" s="1" t="n">
        <v>46114</v>
      </c>
      <c r="C365" s="1" t="n">
        <v>46196</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22887-2026</t>
        </is>
      </c>
      <c r="B366" s="1" t="n">
        <v>46160</v>
      </c>
      <c r="C366" s="1" t="n">
        <v>46196</v>
      </c>
      <c r="D366" t="inlineStr">
        <is>
          <t>GOTLANDS LÄN</t>
        </is>
      </c>
      <c r="E366" t="inlineStr">
        <is>
          <t>GOTLAND</t>
        </is>
      </c>
      <c r="G366" t="n">
        <v>3.6</v>
      </c>
      <c r="H366" t="n">
        <v>0</v>
      </c>
      <c r="I366" t="n">
        <v>0</v>
      </c>
      <c r="J366" t="n">
        <v>0</v>
      </c>
      <c r="K366" t="n">
        <v>0</v>
      </c>
      <c r="L366" t="n">
        <v>0</v>
      </c>
      <c r="M366" t="n">
        <v>0</v>
      </c>
      <c r="N366" t="n">
        <v>0</v>
      </c>
      <c r="O366" t="n">
        <v>0</v>
      </c>
      <c r="P366" t="n">
        <v>0</v>
      </c>
      <c r="Q366" t="n">
        <v>0</v>
      </c>
      <c r="R366" s="2" t="inlineStr"/>
    </row>
    <row r="367" ht="15" customHeight="1">
      <c r="A367" t="inlineStr">
        <is>
          <t>A 23103-2026</t>
        </is>
      </c>
      <c r="B367" s="1" t="n">
        <v>46161</v>
      </c>
      <c r="C367" s="1" t="n">
        <v>46196</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23504-2026</t>
        </is>
      </c>
      <c r="B368" s="1" t="n">
        <v>46163</v>
      </c>
      <c r="C368" s="1" t="n">
        <v>46196</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18804-2026</t>
        </is>
      </c>
      <c r="B369" s="1" t="n">
        <v>46128</v>
      </c>
      <c r="C369" s="1" t="n">
        <v>46196</v>
      </c>
      <c r="D369" t="inlineStr">
        <is>
          <t>GOTLANDS LÄN</t>
        </is>
      </c>
      <c r="E369" t="inlineStr">
        <is>
          <t>GOTLAND</t>
        </is>
      </c>
      <c r="F369" t="inlineStr">
        <is>
          <t>Kyrkan</t>
        </is>
      </c>
      <c r="G369" t="n">
        <v>2.6</v>
      </c>
      <c r="H369" t="n">
        <v>0</v>
      </c>
      <c r="I369" t="n">
        <v>0</v>
      </c>
      <c r="J369" t="n">
        <v>0</v>
      </c>
      <c r="K369" t="n">
        <v>0</v>
      </c>
      <c r="L369" t="n">
        <v>0</v>
      </c>
      <c r="M369" t="n">
        <v>0</v>
      </c>
      <c r="N369" t="n">
        <v>0</v>
      </c>
      <c r="O369" t="n">
        <v>0</v>
      </c>
      <c r="P369" t="n">
        <v>0</v>
      </c>
      <c r="Q369" t="n">
        <v>0</v>
      </c>
      <c r="R369" s="2" t="inlineStr"/>
    </row>
    <row r="370" ht="15" customHeight="1">
      <c r="A370" t="inlineStr">
        <is>
          <t>A 4639-2026</t>
        </is>
      </c>
      <c r="B370" s="1" t="n">
        <v>46048</v>
      </c>
      <c r="C370" s="1" t="n">
        <v>46196</v>
      </c>
      <c r="D370" t="inlineStr">
        <is>
          <t>GOTLANDS LÄN</t>
        </is>
      </c>
      <c r="E370" t="inlineStr">
        <is>
          <t>GOTLAND</t>
        </is>
      </c>
      <c r="G370" t="n">
        <v>0.8</v>
      </c>
      <c r="H370" t="n">
        <v>0</v>
      </c>
      <c r="I370" t="n">
        <v>0</v>
      </c>
      <c r="J370" t="n">
        <v>0</v>
      </c>
      <c r="K370" t="n">
        <v>0</v>
      </c>
      <c r="L370" t="n">
        <v>0</v>
      </c>
      <c r="M370" t="n">
        <v>0</v>
      </c>
      <c r="N370" t="n">
        <v>0</v>
      </c>
      <c r="O370" t="n">
        <v>0</v>
      </c>
      <c r="P370" t="n">
        <v>0</v>
      </c>
      <c r="Q370" t="n">
        <v>0</v>
      </c>
      <c r="R370" s="2" t="inlineStr"/>
    </row>
    <row r="371" ht="15" customHeight="1">
      <c r="A371" t="inlineStr">
        <is>
          <t>A 24448-2026</t>
        </is>
      </c>
      <c r="B371" s="1" t="n">
        <v>46170</v>
      </c>
      <c r="C371" s="1" t="n">
        <v>46196</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62836-2025</t>
        </is>
      </c>
      <c r="B372" s="1" t="n">
        <v>46008</v>
      </c>
      <c r="C372" s="1" t="n">
        <v>46196</v>
      </c>
      <c r="D372" t="inlineStr">
        <is>
          <t>GOTLANDS LÄN</t>
        </is>
      </c>
      <c r="E372" t="inlineStr">
        <is>
          <t>GOTLAND</t>
        </is>
      </c>
      <c r="G372" t="n">
        <v>6.5</v>
      </c>
      <c r="H372" t="n">
        <v>0</v>
      </c>
      <c r="I372" t="n">
        <v>0</v>
      </c>
      <c r="J372" t="n">
        <v>0</v>
      </c>
      <c r="K372" t="n">
        <v>0</v>
      </c>
      <c r="L372" t="n">
        <v>0</v>
      </c>
      <c r="M372" t="n">
        <v>0</v>
      </c>
      <c r="N372" t="n">
        <v>0</v>
      </c>
      <c r="O372" t="n">
        <v>0</v>
      </c>
      <c r="P372" t="n">
        <v>0</v>
      </c>
      <c r="Q372" t="n">
        <v>0</v>
      </c>
      <c r="R372" s="2" t="inlineStr"/>
    </row>
    <row r="373" ht="15" customHeight="1">
      <c r="A373" t="inlineStr">
        <is>
          <t>A 999-2024</t>
        </is>
      </c>
      <c r="B373" s="1" t="n">
        <v>45301</v>
      </c>
      <c r="C373" s="1" t="n">
        <v>46196</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65901-2021</t>
        </is>
      </c>
      <c r="B374" s="1" t="n">
        <v>44516</v>
      </c>
      <c r="C374" s="1" t="n">
        <v>46196</v>
      </c>
      <c r="D374" t="inlineStr">
        <is>
          <t>GOTLANDS LÄN</t>
        </is>
      </c>
      <c r="E374" t="inlineStr">
        <is>
          <t>GOTLAND</t>
        </is>
      </c>
      <c r="G374" t="n">
        <v>4.9</v>
      </c>
      <c r="H374" t="n">
        <v>0</v>
      </c>
      <c r="I374" t="n">
        <v>0</v>
      </c>
      <c r="J374" t="n">
        <v>0</v>
      </c>
      <c r="K374" t="n">
        <v>0</v>
      </c>
      <c r="L374" t="n">
        <v>0</v>
      </c>
      <c r="M374" t="n">
        <v>0</v>
      </c>
      <c r="N374" t="n">
        <v>0</v>
      </c>
      <c r="O374" t="n">
        <v>0</v>
      </c>
      <c r="P374" t="n">
        <v>0</v>
      </c>
      <c r="Q374" t="n">
        <v>0</v>
      </c>
      <c r="R374" s="2" t="inlineStr"/>
    </row>
    <row r="375" ht="15" customHeight="1">
      <c r="A375" t="inlineStr">
        <is>
          <t>A 17943-2026</t>
        </is>
      </c>
      <c r="B375" s="1" t="n">
        <v>46122</v>
      </c>
      <c r="C375" s="1" t="n">
        <v>46196</v>
      </c>
      <c r="D375" t="inlineStr">
        <is>
          <t>GOTLANDS LÄN</t>
        </is>
      </c>
      <c r="E375" t="inlineStr">
        <is>
          <t>GOTLAND</t>
        </is>
      </c>
      <c r="G375" t="n">
        <v>2.8</v>
      </c>
      <c r="H375" t="n">
        <v>0</v>
      </c>
      <c r="I375" t="n">
        <v>0</v>
      </c>
      <c r="J375" t="n">
        <v>0</v>
      </c>
      <c r="K375" t="n">
        <v>0</v>
      </c>
      <c r="L375" t="n">
        <v>0</v>
      </c>
      <c r="M375" t="n">
        <v>0</v>
      </c>
      <c r="N375" t="n">
        <v>0</v>
      </c>
      <c r="O375" t="n">
        <v>0</v>
      </c>
      <c r="P375" t="n">
        <v>0</v>
      </c>
      <c r="Q375" t="n">
        <v>0</v>
      </c>
      <c r="R375" s="2" t="inlineStr"/>
    </row>
    <row r="376" ht="15" customHeight="1">
      <c r="A376" t="inlineStr">
        <is>
          <t>A 47762-2023</t>
        </is>
      </c>
      <c r="B376" s="1" t="n">
        <v>45203</v>
      </c>
      <c r="C376" s="1" t="n">
        <v>46196</v>
      </c>
      <c r="D376" t="inlineStr">
        <is>
          <t>GOTLANDS LÄN</t>
        </is>
      </c>
      <c r="E376" t="inlineStr">
        <is>
          <t>GOTLAND</t>
        </is>
      </c>
      <c r="G376" t="n">
        <v>1.3</v>
      </c>
      <c r="H376" t="n">
        <v>0</v>
      </c>
      <c r="I376" t="n">
        <v>0</v>
      </c>
      <c r="J376" t="n">
        <v>0</v>
      </c>
      <c r="K376" t="n">
        <v>0</v>
      </c>
      <c r="L376" t="n">
        <v>0</v>
      </c>
      <c r="M376" t="n">
        <v>0</v>
      </c>
      <c r="N376" t="n">
        <v>0</v>
      </c>
      <c r="O376" t="n">
        <v>0</v>
      </c>
      <c r="P376" t="n">
        <v>0</v>
      </c>
      <c r="Q376" t="n">
        <v>0</v>
      </c>
      <c r="R376" s="2" t="inlineStr"/>
    </row>
    <row r="377" ht="15" customHeight="1">
      <c r="A377" t="inlineStr">
        <is>
          <t>A 62754-2025</t>
        </is>
      </c>
      <c r="B377" s="1" t="n">
        <v>46008</v>
      </c>
      <c r="C377" s="1" t="n">
        <v>46196</v>
      </c>
      <c r="D377" t="inlineStr">
        <is>
          <t>GOTLANDS LÄN</t>
        </is>
      </c>
      <c r="E377" t="inlineStr">
        <is>
          <t>GOTLAND</t>
        </is>
      </c>
      <c r="F377" t="inlineStr">
        <is>
          <t>Övriga Aktiebolag</t>
        </is>
      </c>
      <c r="G377" t="n">
        <v>2.9</v>
      </c>
      <c r="H377" t="n">
        <v>0</v>
      </c>
      <c r="I377" t="n">
        <v>0</v>
      </c>
      <c r="J377" t="n">
        <v>0</v>
      </c>
      <c r="K377" t="n">
        <v>0</v>
      </c>
      <c r="L377" t="n">
        <v>0</v>
      </c>
      <c r="M377" t="n">
        <v>0</v>
      </c>
      <c r="N377" t="n">
        <v>0</v>
      </c>
      <c r="O377" t="n">
        <v>0</v>
      </c>
      <c r="P377" t="n">
        <v>0</v>
      </c>
      <c r="Q377" t="n">
        <v>0</v>
      </c>
      <c r="R377" s="2" t="inlineStr"/>
    </row>
    <row r="378" ht="15" customHeight="1">
      <c r="A378" t="inlineStr">
        <is>
          <t>A 26467-2025</t>
        </is>
      </c>
      <c r="B378" s="1" t="n">
        <v>45807</v>
      </c>
      <c r="C378" s="1" t="n">
        <v>46196</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25796-2025</t>
        </is>
      </c>
      <c r="B379" s="1" t="n">
        <v>45804</v>
      </c>
      <c r="C379" s="1" t="n">
        <v>46196</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1854-2026</t>
        </is>
      </c>
      <c r="B380" s="1" t="n">
        <v>46035</v>
      </c>
      <c r="C380" s="1" t="n">
        <v>46196</v>
      </c>
      <c r="D380" t="inlineStr">
        <is>
          <t>GOTLANDS LÄN</t>
        </is>
      </c>
      <c r="E380" t="inlineStr">
        <is>
          <t>GOTLAND</t>
        </is>
      </c>
      <c r="G380" t="n">
        <v>3</v>
      </c>
      <c r="H380" t="n">
        <v>0</v>
      </c>
      <c r="I380" t="n">
        <v>0</v>
      </c>
      <c r="J380" t="n">
        <v>0</v>
      </c>
      <c r="K380" t="n">
        <v>0</v>
      </c>
      <c r="L380" t="n">
        <v>0</v>
      </c>
      <c r="M380" t="n">
        <v>0</v>
      </c>
      <c r="N380" t="n">
        <v>0</v>
      </c>
      <c r="O380" t="n">
        <v>0</v>
      </c>
      <c r="P380" t="n">
        <v>0</v>
      </c>
      <c r="Q380" t="n">
        <v>0</v>
      </c>
      <c r="R380" s="2" t="inlineStr"/>
    </row>
    <row r="381" ht="15" customHeight="1">
      <c r="A381" t="inlineStr">
        <is>
          <t>A 2180-2025</t>
        </is>
      </c>
      <c r="B381" s="1" t="n">
        <v>45673</v>
      </c>
      <c r="C381" s="1" t="n">
        <v>46196</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13910-2025</t>
        </is>
      </c>
      <c r="B382" s="1" t="n">
        <v>45737</v>
      </c>
      <c r="C382" s="1" t="n">
        <v>46196</v>
      </c>
      <c r="D382" t="inlineStr">
        <is>
          <t>GOTLANDS LÄN</t>
        </is>
      </c>
      <c r="E382" t="inlineStr">
        <is>
          <t>GOTLAND</t>
        </is>
      </c>
      <c r="F382" t="inlineStr">
        <is>
          <t>Kommuner</t>
        </is>
      </c>
      <c r="G382" t="n">
        <v>3.2</v>
      </c>
      <c r="H382" t="n">
        <v>0</v>
      </c>
      <c r="I382" t="n">
        <v>0</v>
      </c>
      <c r="J382" t="n">
        <v>0</v>
      </c>
      <c r="K382" t="n">
        <v>0</v>
      </c>
      <c r="L382" t="n">
        <v>0</v>
      </c>
      <c r="M382" t="n">
        <v>0</v>
      </c>
      <c r="N382" t="n">
        <v>0</v>
      </c>
      <c r="O382" t="n">
        <v>0</v>
      </c>
      <c r="P382" t="n">
        <v>0</v>
      </c>
      <c r="Q382" t="n">
        <v>0</v>
      </c>
      <c r="R382" s="2" t="inlineStr"/>
    </row>
    <row r="383" ht="15" customHeight="1">
      <c r="A383" t="inlineStr">
        <is>
          <t>A 58780-2024</t>
        </is>
      </c>
      <c r="B383" s="1" t="n">
        <v>45635</v>
      </c>
      <c r="C383" s="1" t="n">
        <v>46196</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12322-2025</t>
        </is>
      </c>
      <c r="B384" s="1" t="n">
        <v>45730</v>
      </c>
      <c r="C384" s="1" t="n">
        <v>46196</v>
      </c>
      <c r="D384" t="inlineStr">
        <is>
          <t>GOTLANDS LÄN</t>
        </is>
      </c>
      <c r="E384" t="inlineStr">
        <is>
          <t>GOTLAND</t>
        </is>
      </c>
      <c r="G384" t="n">
        <v>1.4</v>
      </c>
      <c r="H384" t="n">
        <v>0</v>
      </c>
      <c r="I384" t="n">
        <v>0</v>
      </c>
      <c r="J384" t="n">
        <v>0</v>
      </c>
      <c r="K384" t="n">
        <v>0</v>
      </c>
      <c r="L384" t="n">
        <v>0</v>
      </c>
      <c r="M384" t="n">
        <v>0</v>
      </c>
      <c r="N384" t="n">
        <v>0</v>
      </c>
      <c r="O384" t="n">
        <v>0</v>
      </c>
      <c r="P384" t="n">
        <v>0</v>
      </c>
      <c r="Q384" t="n">
        <v>0</v>
      </c>
      <c r="R384" s="2" t="inlineStr"/>
    </row>
    <row r="385" ht="15" customHeight="1">
      <c r="A385" t="inlineStr">
        <is>
          <t>A 45112-2024</t>
        </is>
      </c>
      <c r="B385" s="1" t="n">
        <v>45575</v>
      </c>
      <c r="C385" s="1" t="n">
        <v>46196</v>
      </c>
      <c r="D385" t="inlineStr">
        <is>
          <t>GOTLANDS LÄN</t>
        </is>
      </c>
      <c r="E385" t="inlineStr">
        <is>
          <t>GOTLAND</t>
        </is>
      </c>
      <c r="G385" t="n">
        <v>5.1</v>
      </c>
      <c r="H385" t="n">
        <v>0</v>
      </c>
      <c r="I385" t="n">
        <v>0</v>
      </c>
      <c r="J385" t="n">
        <v>0</v>
      </c>
      <c r="K385" t="n">
        <v>0</v>
      </c>
      <c r="L385" t="n">
        <v>0</v>
      </c>
      <c r="M385" t="n">
        <v>0</v>
      </c>
      <c r="N385" t="n">
        <v>0</v>
      </c>
      <c r="O385" t="n">
        <v>0</v>
      </c>
      <c r="P385" t="n">
        <v>0</v>
      </c>
      <c r="Q385" t="n">
        <v>0</v>
      </c>
      <c r="R385" s="2" t="inlineStr"/>
    </row>
    <row r="386" ht="15" customHeight="1">
      <c r="A386" t="inlineStr">
        <is>
          <t>A 35537-2025</t>
        </is>
      </c>
      <c r="B386" s="1" t="n">
        <v>45856</v>
      </c>
      <c r="C386" s="1" t="n">
        <v>46196</v>
      </c>
      <c r="D386" t="inlineStr">
        <is>
          <t>GOTLANDS LÄN</t>
        </is>
      </c>
      <c r="E386" t="inlineStr">
        <is>
          <t>GOTLAND</t>
        </is>
      </c>
      <c r="G386" t="n">
        <v>16.8</v>
      </c>
      <c r="H386" t="n">
        <v>0</v>
      </c>
      <c r="I386" t="n">
        <v>0</v>
      </c>
      <c r="J386" t="n">
        <v>0</v>
      </c>
      <c r="K386" t="n">
        <v>0</v>
      </c>
      <c r="L386" t="n">
        <v>0</v>
      </c>
      <c r="M386" t="n">
        <v>0</v>
      </c>
      <c r="N386" t="n">
        <v>0</v>
      </c>
      <c r="O386" t="n">
        <v>0</v>
      </c>
      <c r="P386" t="n">
        <v>0</v>
      </c>
      <c r="Q386" t="n">
        <v>0</v>
      </c>
      <c r="R386" s="2" t="inlineStr"/>
    </row>
    <row r="387" ht="15" customHeight="1">
      <c r="A387" t="inlineStr">
        <is>
          <t>A 20225-2025</t>
        </is>
      </c>
      <c r="B387" s="1" t="n">
        <v>45772</v>
      </c>
      <c r="C387" s="1" t="n">
        <v>46196</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6959-2026</t>
        </is>
      </c>
      <c r="B388" s="1" t="n">
        <v>46057</v>
      </c>
      <c r="C388" s="1" t="n">
        <v>46196</v>
      </c>
      <c r="D388" t="inlineStr">
        <is>
          <t>GOTLANDS LÄN</t>
        </is>
      </c>
      <c r="E388" t="inlineStr">
        <is>
          <t>GOTLAND</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29207-2025</t>
        </is>
      </c>
      <c r="B389" s="1" t="n">
        <v>45823</v>
      </c>
      <c r="C389" s="1" t="n">
        <v>46196</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24192-2023</t>
        </is>
      </c>
      <c r="B390" s="1" t="n">
        <v>45079</v>
      </c>
      <c r="C390" s="1" t="n">
        <v>46196</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30282-2022</t>
        </is>
      </c>
      <c r="B391" s="1" t="n">
        <v>44760</v>
      </c>
      <c r="C391" s="1" t="n">
        <v>46196</v>
      </c>
      <c r="D391" t="inlineStr">
        <is>
          <t>GOTLANDS LÄN</t>
        </is>
      </c>
      <c r="E391" t="inlineStr">
        <is>
          <t>GOTLAND</t>
        </is>
      </c>
      <c r="G391" t="n">
        <v>2.6</v>
      </c>
      <c r="H391" t="n">
        <v>0</v>
      </c>
      <c r="I391" t="n">
        <v>0</v>
      </c>
      <c r="J391" t="n">
        <v>0</v>
      </c>
      <c r="K391" t="n">
        <v>0</v>
      </c>
      <c r="L391" t="n">
        <v>0</v>
      </c>
      <c r="M391" t="n">
        <v>0</v>
      </c>
      <c r="N391" t="n">
        <v>0</v>
      </c>
      <c r="O391" t="n">
        <v>0</v>
      </c>
      <c r="P391" t="n">
        <v>0</v>
      </c>
      <c r="Q391" t="n">
        <v>0</v>
      </c>
      <c r="R391" s="2" t="inlineStr"/>
    </row>
    <row r="392" ht="15" customHeight="1">
      <c r="A392" t="inlineStr">
        <is>
          <t>A 32379-2025</t>
        </is>
      </c>
      <c r="B392" s="1" t="n">
        <v>45837</v>
      </c>
      <c r="C392" s="1" t="n">
        <v>46196</v>
      </c>
      <c r="D392" t="inlineStr">
        <is>
          <t>GOTLANDS LÄN</t>
        </is>
      </c>
      <c r="E392" t="inlineStr">
        <is>
          <t>GOTLAND</t>
        </is>
      </c>
      <c r="G392" t="n">
        <v>1</v>
      </c>
      <c r="H392" t="n">
        <v>0</v>
      </c>
      <c r="I392" t="n">
        <v>0</v>
      </c>
      <c r="J392" t="n">
        <v>0</v>
      </c>
      <c r="K392" t="n">
        <v>0</v>
      </c>
      <c r="L392" t="n">
        <v>0</v>
      </c>
      <c r="M392" t="n">
        <v>0</v>
      </c>
      <c r="N392" t="n">
        <v>0</v>
      </c>
      <c r="O392" t="n">
        <v>0</v>
      </c>
      <c r="P392" t="n">
        <v>0</v>
      </c>
      <c r="Q392" t="n">
        <v>0</v>
      </c>
      <c r="R392" s="2" t="inlineStr"/>
    </row>
    <row r="393" ht="15" customHeight="1">
      <c r="A393" t="inlineStr">
        <is>
          <t>A 7835-2024</t>
        </is>
      </c>
      <c r="B393" s="1" t="n">
        <v>45349</v>
      </c>
      <c r="C393" s="1" t="n">
        <v>46196</v>
      </c>
      <c r="D393" t="inlineStr">
        <is>
          <t>GOTLANDS LÄN</t>
        </is>
      </c>
      <c r="E393" t="inlineStr">
        <is>
          <t>GOTLAND</t>
        </is>
      </c>
      <c r="G393" t="n">
        <v>3.8</v>
      </c>
      <c r="H393" t="n">
        <v>0</v>
      </c>
      <c r="I393" t="n">
        <v>0</v>
      </c>
      <c r="J393" t="n">
        <v>0</v>
      </c>
      <c r="K393" t="n">
        <v>0</v>
      </c>
      <c r="L393" t="n">
        <v>0</v>
      </c>
      <c r="M393" t="n">
        <v>0</v>
      </c>
      <c r="N393" t="n">
        <v>0</v>
      </c>
      <c r="O393" t="n">
        <v>0</v>
      </c>
      <c r="P393" t="n">
        <v>0</v>
      </c>
      <c r="Q393" t="n">
        <v>0</v>
      </c>
      <c r="R393" s="2" t="inlineStr"/>
    </row>
    <row r="394" ht="15" customHeight="1">
      <c r="A394" t="inlineStr">
        <is>
          <t>A 10650-2022</t>
        </is>
      </c>
      <c r="B394" s="1" t="n">
        <v>44624</v>
      </c>
      <c r="C394" s="1" t="n">
        <v>46196</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38165-2023</t>
        </is>
      </c>
      <c r="B395" s="1" t="n">
        <v>45161</v>
      </c>
      <c r="C395" s="1" t="n">
        <v>46196</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27164-2026</t>
        </is>
      </c>
      <c r="B396" s="1" t="n">
        <v>46188</v>
      </c>
      <c r="C396" s="1" t="n">
        <v>46196</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27170-2026</t>
        </is>
      </c>
      <c r="B397" s="1" t="n">
        <v>46188</v>
      </c>
      <c r="C397" s="1" t="n">
        <v>46196</v>
      </c>
      <c r="D397" t="inlineStr">
        <is>
          <t>GOTLANDS LÄN</t>
        </is>
      </c>
      <c r="E397" t="inlineStr">
        <is>
          <t>GOTLAND</t>
        </is>
      </c>
      <c r="G397" t="n">
        <v>1.8</v>
      </c>
      <c r="H397" t="n">
        <v>0</v>
      </c>
      <c r="I397" t="n">
        <v>0</v>
      </c>
      <c r="J397" t="n">
        <v>0</v>
      </c>
      <c r="K397" t="n">
        <v>0</v>
      </c>
      <c r="L397" t="n">
        <v>0</v>
      </c>
      <c r="M397" t="n">
        <v>0</v>
      </c>
      <c r="N397" t="n">
        <v>0</v>
      </c>
      <c r="O397" t="n">
        <v>0</v>
      </c>
      <c r="P397" t="n">
        <v>0</v>
      </c>
      <c r="Q397" t="n">
        <v>0</v>
      </c>
      <c r="R397" s="2" t="inlineStr"/>
    </row>
    <row r="398" ht="15" customHeight="1">
      <c r="A398" t="inlineStr">
        <is>
          <t>A 27341-2026</t>
        </is>
      </c>
      <c r="B398" s="1" t="n">
        <v>46188</v>
      </c>
      <c r="C398" s="1" t="n">
        <v>46196</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27346-2026</t>
        </is>
      </c>
      <c r="B399" s="1" t="n">
        <v>46188</v>
      </c>
      <c r="C399" s="1" t="n">
        <v>46196</v>
      </c>
      <c r="D399" t="inlineStr">
        <is>
          <t>GOTLANDS LÄN</t>
        </is>
      </c>
      <c r="E399" t="inlineStr">
        <is>
          <t>GOTLAND</t>
        </is>
      </c>
      <c r="G399" t="n">
        <v>2.1</v>
      </c>
      <c r="H399" t="n">
        <v>0</v>
      </c>
      <c r="I399" t="n">
        <v>0</v>
      </c>
      <c r="J399" t="n">
        <v>0</v>
      </c>
      <c r="K399" t="n">
        <v>0</v>
      </c>
      <c r="L399" t="n">
        <v>0</v>
      </c>
      <c r="M399" t="n">
        <v>0</v>
      </c>
      <c r="N399" t="n">
        <v>0</v>
      </c>
      <c r="O399" t="n">
        <v>0</v>
      </c>
      <c r="P399" t="n">
        <v>0</v>
      </c>
      <c r="Q399" t="n">
        <v>0</v>
      </c>
      <c r="R399" s="2" t="inlineStr"/>
    </row>
    <row r="400" ht="15" customHeight="1">
      <c r="A400" t="inlineStr">
        <is>
          <t>A 27354-2026</t>
        </is>
      </c>
      <c r="B400" s="1" t="n">
        <v>46184</v>
      </c>
      <c r="C400" s="1" t="n">
        <v>46196</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22281-2026</t>
        </is>
      </c>
      <c r="B401" s="1" t="n">
        <v>46154</v>
      </c>
      <c r="C401" s="1" t="n">
        <v>46196</v>
      </c>
      <c r="D401" t="inlineStr">
        <is>
          <t>GOTLANDS LÄN</t>
        </is>
      </c>
      <c r="E401" t="inlineStr">
        <is>
          <t>GOTLAND</t>
        </is>
      </c>
      <c r="G401" t="n">
        <v>8.1</v>
      </c>
      <c r="H401" t="n">
        <v>0</v>
      </c>
      <c r="I401" t="n">
        <v>0</v>
      </c>
      <c r="J401" t="n">
        <v>0</v>
      </c>
      <c r="K401" t="n">
        <v>0</v>
      </c>
      <c r="L401" t="n">
        <v>0</v>
      </c>
      <c r="M401" t="n">
        <v>0</v>
      </c>
      <c r="N401" t="n">
        <v>0</v>
      </c>
      <c r="O401" t="n">
        <v>0</v>
      </c>
      <c r="P401" t="n">
        <v>0</v>
      </c>
      <c r="Q401" t="n">
        <v>0</v>
      </c>
      <c r="R401" s="2" t="inlineStr"/>
    </row>
    <row r="402" ht="15" customHeight="1">
      <c r="A402" t="inlineStr">
        <is>
          <t>A 28425-2023</t>
        </is>
      </c>
      <c r="B402" s="1" t="n">
        <v>45102</v>
      </c>
      <c r="C402" s="1" t="n">
        <v>46196</v>
      </c>
      <c r="D402" t="inlineStr">
        <is>
          <t>GOTLANDS LÄN</t>
        </is>
      </c>
      <c r="E402" t="inlineStr">
        <is>
          <t>GOTLAND</t>
        </is>
      </c>
      <c r="G402" t="n">
        <v>0.5</v>
      </c>
      <c r="H402" t="n">
        <v>0</v>
      </c>
      <c r="I402" t="n">
        <v>0</v>
      </c>
      <c r="J402" t="n">
        <v>0</v>
      </c>
      <c r="K402" t="n">
        <v>0</v>
      </c>
      <c r="L402" t="n">
        <v>0</v>
      </c>
      <c r="M402" t="n">
        <v>0</v>
      </c>
      <c r="N402" t="n">
        <v>0</v>
      </c>
      <c r="O402" t="n">
        <v>0</v>
      </c>
      <c r="P402" t="n">
        <v>0</v>
      </c>
      <c r="Q402" t="n">
        <v>0</v>
      </c>
      <c r="R402" s="2" t="inlineStr"/>
    </row>
    <row r="403" ht="15" customHeight="1">
      <c r="A403" t="inlineStr">
        <is>
          <t>A 28012-2026</t>
        </is>
      </c>
      <c r="B403" s="1" t="n">
        <v>46195</v>
      </c>
      <c r="C403" s="1" t="n">
        <v>46196</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13037-2025</t>
        </is>
      </c>
      <c r="B404" s="1" t="n">
        <v>45734</v>
      </c>
      <c r="C404" s="1" t="n">
        <v>46196</v>
      </c>
      <c r="D404" t="inlineStr">
        <is>
          <t>GOTLANDS LÄN</t>
        </is>
      </c>
      <c r="E404" t="inlineStr">
        <is>
          <t>GOTLAND</t>
        </is>
      </c>
      <c r="G404" t="n">
        <v>9.5</v>
      </c>
      <c r="H404" t="n">
        <v>0</v>
      </c>
      <c r="I404" t="n">
        <v>0</v>
      </c>
      <c r="J404" t="n">
        <v>0</v>
      </c>
      <c r="K404" t="n">
        <v>0</v>
      </c>
      <c r="L404" t="n">
        <v>0</v>
      </c>
      <c r="M404" t="n">
        <v>0</v>
      </c>
      <c r="N404" t="n">
        <v>0</v>
      </c>
      <c r="O404" t="n">
        <v>0</v>
      </c>
      <c r="P404" t="n">
        <v>0</v>
      </c>
      <c r="Q404" t="n">
        <v>0</v>
      </c>
      <c r="R404" s="2" t="inlineStr"/>
    </row>
    <row r="405" ht="15" customHeight="1">
      <c r="A405" t="inlineStr">
        <is>
          <t>A 10746-2025</t>
        </is>
      </c>
      <c r="B405" s="1" t="n">
        <v>45722</v>
      </c>
      <c r="C405" s="1" t="n">
        <v>46196</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43229-2023</t>
        </is>
      </c>
      <c r="B406" s="1" t="n">
        <v>45183</v>
      </c>
      <c r="C406" s="1" t="n">
        <v>46196</v>
      </c>
      <c r="D406" t="inlineStr">
        <is>
          <t>GOTLANDS LÄN</t>
        </is>
      </c>
      <c r="E406" t="inlineStr">
        <is>
          <t>GOTLAND</t>
        </is>
      </c>
      <c r="G406" t="n">
        <v>7.1</v>
      </c>
      <c r="H406" t="n">
        <v>0</v>
      </c>
      <c r="I406" t="n">
        <v>0</v>
      </c>
      <c r="J406" t="n">
        <v>0</v>
      </c>
      <c r="K406" t="n">
        <v>0</v>
      </c>
      <c r="L406" t="n">
        <v>0</v>
      </c>
      <c r="M406" t="n">
        <v>0</v>
      </c>
      <c r="N406" t="n">
        <v>0</v>
      </c>
      <c r="O406" t="n">
        <v>0</v>
      </c>
      <c r="P406" t="n">
        <v>0</v>
      </c>
      <c r="Q406" t="n">
        <v>0</v>
      </c>
      <c r="R406" s="2" t="inlineStr"/>
    </row>
    <row r="407" ht="15" customHeight="1">
      <c r="A407" t="inlineStr">
        <is>
          <t>A 41038-2023</t>
        </is>
      </c>
      <c r="B407" s="1" t="n">
        <v>45173</v>
      </c>
      <c r="C407" s="1" t="n">
        <v>46196</v>
      </c>
      <c r="D407" t="inlineStr">
        <is>
          <t>GOTLANDS LÄN</t>
        </is>
      </c>
      <c r="E407" t="inlineStr">
        <is>
          <t>GOTLAND</t>
        </is>
      </c>
      <c r="G407" t="n">
        <v>2.7</v>
      </c>
      <c r="H407" t="n">
        <v>0</v>
      </c>
      <c r="I407" t="n">
        <v>0</v>
      </c>
      <c r="J407" t="n">
        <v>0</v>
      </c>
      <c r="K407" t="n">
        <v>0</v>
      </c>
      <c r="L407" t="n">
        <v>0</v>
      </c>
      <c r="M407" t="n">
        <v>0</v>
      </c>
      <c r="N407" t="n">
        <v>0</v>
      </c>
      <c r="O407" t="n">
        <v>0</v>
      </c>
      <c r="P407" t="n">
        <v>0</v>
      </c>
      <c r="Q407" t="n">
        <v>0</v>
      </c>
      <c r="R407" s="2" t="inlineStr"/>
    </row>
    <row r="408" ht="15" customHeight="1">
      <c r="A408" t="inlineStr">
        <is>
          <t>A 57652-2023</t>
        </is>
      </c>
      <c r="B408" s="1" t="n">
        <v>45246</v>
      </c>
      <c r="C408" s="1" t="n">
        <v>46196</v>
      </c>
      <c r="D408" t="inlineStr">
        <is>
          <t>GOTLANDS LÄN</t>
        </is>
      </c>
      <c r="E408" t="inlineStr">
        <is>
          <t>GOTLAND</t>
        </is>
      </c>
      <c r="G408" t="n">
        <v>7.2</v>
      </c>
      <c r="H408" t="n">
        <v>0</v>
      </c>
      <c r="I408" t="n">
        <v>0</v>
      </c>
      <c r="J408" t="n">
        <v>0</v>
      </c>
      <c r="K408" t="n">
        <v>0</v>
      </c>
      <c r="L408" t="n">
        <v>0</v>
      </c>
      <c r="M408" t="n">
        <v>0</v>
      </c>
      <c r="N408" t="n">
        <v>0</v>
      </c>
      <c r="O408" t="n">
        <v>0</v>
      </c>
      <c r="P408" t="n">
        <v>0</v>
      </c>
      <c r="Q408" t="n">
        <v>0</v>
      </c>
      <c r="R408" s="2" t="inlineStr"/>
    </row>
    <row r="409" ht="15" customHeight="1">
      <c r="A409" t="inlineStr">
        <is>
          <t>A 57522-2022</t>
        </is>
      </c>
      <c r="B409" s="1" t="n">
        <v>44896</v>
      </c>
      <c r="C409" s="1" t="n">
        <v>46196</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14797-2024</t>
        </is>
      </c>
      <c r="B410" s="1" t="n">
        <v>45397</v>
      </c>
      <c r="C410" s="1" t="n">
        <v>46196</v>
      </c>
      <c r="D410" t="inlineStr">
        <is>
          <t>GOTLANDS LÄN</t>
        </is>
      </c>
      <c r="E410" t="inlineStr">
        <is>
          <t>GOTLAND</t>
        </is>
      </c>
      <c r="G410" t="n">
        <v>8.1</v>
      </c>
      <c r="H410" t="n">
        <v>0</v>
      </c>
      <c r="I410" t="n">
        <v>0</v>
      </c>
      <c r="J410" t="n">
        <v>0</v>
      </c>
      <c r="K410" t="n">
        <v>0</v>
      </c>
      <c r="L410" t="n">
        <v>0</v>
      </c>
      <c r="M410" t="n">
        <v>0</v>
      </c>
      <c r="N410" t="n">
        <v>0</v>
      </c>
      <c r="O410" t="n">
        <v>0</v>
      </c>
      <c r="P410" t="n">
        <v>0</v>
      </c>
      <c r="Q410" t="n">
        <v>0</v>
      </c>
      <c r="R410" s="2" t="inlineStr"/>
    </row>
    <row r="411" ht="15" customHeight="1">
      <c r="A411" t="inlineStr">
        <is>
          <t>A 7837-2024</t>
        </is>
      </c>
      <c r="B411" s="1" t="n">
        <v>45349</v>
      </c>
      <c r="C411" s="1" t="n">
        <v>46196</v>
      </c>
      <c r="D411" t="inlineStr">
        <is>
          <t>GOTLANDS LÄN</t>
        </is>
      </c>
      <c r="E411" t="inlineStr">
        <is>
          <t>GOTLAND</t>
        </is>
      </c>
      <c r="G411" t="n">
        <v>5</v>
      </c>
      <c r="H411" t="n">
        <v>0</v>
      </c>
      <c r="I411" t="n">
        <v>0</v>
      </c>
      <c r="J411" t="n">
        <v>0</v>
      </c>
      <c r="K411" t="n">
        <v>0</v>
      </c>
      <c r="L411" t="n">
        <v>0</v>
      </c>
      <c r="M411" t="n">
        <v>0</v>
      </c>
      <c r="N411" t="n">
        <v>0</v>
      </c>
      <c r="O411" t="n">
        <v>0</v>
      </c>
      <c r="P411" t="n">
        <v>0</v>
      </c>
      <c r="Q411" t="n">
        <v>0</v>
      </c>
      <c r="R411" s="2" t="inlineStr"/>
    </row>
    <row r="412" ht="15" customHeight="1">
      <c r="A412" t="inlineStr">
        <is>
          <t>A 1394-2023</t>
        </is>
      </c>
      <c r="B412" s="1" t="n">
        <v>44936</v>
      </c>
      <c r="C412" s="1" t="n">
        <v>46196</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2676-2023</t>
        </is>
      </c>
      <c r="B413" s="1" t="n">
        <v>44944</v>
      </c>
      <c r="C413" s="1" t="n">
        <v>46196</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4387-2023</t>
        </is>
      </c>
      <c r="B414" s="1" t="n">
        <v>44955</v>
      </c>
      <c r="C414" s="1" t="n">
        <v>46196</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37728-2024</t>
        </is>
      </c>
      <c r="B415" s="1" t="n">
        <v>45541</v>
      </c>
      <c r="C415" s="1" t="n">
        <v>46196</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22275-2023</t>
        </is>
      </c>
      <c r="B416" s="1" t="n">
        <v>45070</v>
      </c>
      <c r="C416" s="1" t="n">
        <v>46196</v>
      </c>
      <c r="D416" t="inlineStr">
        <is>
          <t>GOTLANDS LÄN</t>
        </is>
      </c>
      <c r="E416" t="inlineStr">
        <is>
          <t>GOTLAND</t>
        </is>
      </c>
      <c r="G416" t="n">
        <v>7.2</v>
      </c>
      <c r="H416" t="n">
        <v>0</v>
      </c>
      <c r="I416" t="n">
        <v>0</v>
      </c>
      <c r="J416" t="n">
        <v>0</v>
      </c>
      <c r="K416" t="n">
        <v>0</v>
      </c>
      <c r="L416" t="n">
        <v>0</v>
      </c>
      <c r="M416" t="n">
        <v>0</v>
      </c>
      <c r="N416" t="n">
        <v>0</v>
      </c>
      <c r="O416" t="n">
        <v>0</v>
      </c>
      <c r="P416" t="n">
        <v>0</v>
      </c>
      <c r="Q416" t="n">
        <v>0</v>
      </c>
      <c r="R416" s="2" t="inlineStr"/>
    </row>
    <row r="417" ht="15" customHeight="1">
      <c r="A417" t="inlineStr">
        <is>
          <t>A 14635-2023</t>
        </is>
      </c>
      <c r="B417" s="1" t="n">
        <v>45013</v>
      </c>
      <c r="C417" s="1" t="n">
        <v>46196</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63763-2023</t>
        </is>
      </c>
      <c r="B418" s="1" t="n">
        <v>45278</v>
      </c>
      <c r="C418" s="1" t="n">
        <v>46196</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7636-2025</t>
        </is>
      </c>
      <c r="B419" s="1" t="n">
        <v>45705</v>
      </c>
      <c r="C419" s="1" t="n">
        <v>46196</v>
      </c>
      <c r="D419" t="inlineStr">
        <is>
          <t>GOTLANDS LÄN</t>
        </is>
      </c>
      <c r="E419" t="inlineStr">
        <is>
          <t>GOTLAND</t>
        </is>
      </c>
      <c r="G419" t="n">
        <v>0.6</v>
      </c>
      <c r="H419" t="n">
        <v>0</v>
      </c>
      <c r="I419" t="n">
        <v>0</v>
      </c>
      <c r="J419" t="n">
        <v>0</v>
      </c>
      <c r="K419" t="n">
        <v>0</v>
      </c>
      <c r="L419" t="n">
        <v>0</v>
      </c>
      <c r="M419" t="n">
        <v>0</v>
      </c>
      <c r="N419" t="n">
        <v>0</v>
      </c>
      <c r="O419" t="n">
        <v>0</v>
      </c>
      <c r="P419" t="n">
        <v>0</v>
      </c>
      <c r="Q419" t="n">
        <v>0</v>
      </c>
      <c r="R419" s="2" t="inlineStr"/>
    </row>
    <row r="420" ht="15" customHeight="1">
      <c r="A420" t="inlineStr">
        <is>
          <t>A 7639-2025</t>
        </is>
      </c>
      <c r="B420" s="1" t="n">
        <v>45705</v>
      </c>
      <c r="C420" s="1" t="n">
        <v>46196</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61682-2024</t>
        </is>
      </c>
      <c r="B421" s="1" t="n">
        <v>45647</v>
      </c>
      <c r="C421" s="1" t="n">
        <v>46196</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15434-2024</t>
        </is>
      </c>
      <c r="B422" s="1" t="n">
        <v>45401</v>
      </c>
      <c r="C422" s="1" t="n">
        <v>46196</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7034-2023</t>
        </is>
      </c>
      <c r="B423" s="1" t="n">
        <v>44968</v>
      </c>
      <c r="C423" s="1" t="n">
        <v>46196</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54074-2022</t>
        </is>
      </c>
      <c r="B424" s="1" t="n">
        <v>44881</v>
      </c>
      <c r="C424" s="1" t="n">
        <v>46196</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61694-2023</t>
        </is>
      </c>
      <c r="B425" s="1" t="n">
        <v>45264</v>
      </c>
      <c r="C425" s="1" t="n">
        <v>46196</v>
      </c>
      <c r="D425" t="inlineStr">
        <is>
          <t>GOTLANDS LÄN</t>
        </is>
      </c>
      <c r="E425" t="inlineStr">
        <is>
          <t>GOTLAND</t>
        </is>
      </c>
      <c r="G425" t="n">
        <v>4.6</v>
      </c>
      <c r="H425" t="n">
        <v>0</v>
      </c>
      <c r="I425" t="n">
        <v>0</v>
      </c>
      <c r="J425" t="n">
        <v>0</v>
      </c>
      <c r="K425" t="n">
        <v>0</v>
      </c>
      <c r="L425" t="n">
        <v>0</v>
      </c>
      <c r="M425" t="n">
        <v>0</v>
      </c>
      <c r="N425" t="n">
        <v>0</v>
      </c>
      <c r="O425" t="n">
        <v>0</v>
      </c>
      <c r="P425" t="n">
        <v>0</v>
      </c>
      <c r="Q425" t="n">
        <v>0</v>
      </c>
      <c r="R425" s="2" t="inlineStr"/>
    </row>
    <row r="426" ht="15" customHeight="1">
      <c r="A426" t="inlineStr">
        <is>
          <t>A 54268-2022</t>
        </is>
      </c>
      <c r="B426" s="1" t="n">
        <v>44882</v>
      </c>
      <c r="C426" s="1" t="n">
        <v>46196</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1446-2025</t>
        </is>
      </c>
      <c r="B427" s="1" t="n">
        <v>45669</v>
      </c>
      <c r="C427" s="1" t="n">
        <v>46196</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v>
      </c>
      <c r="C428" s="1" t="n">
        <v>46196</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57685-2022</t>
        </is>
      </c>
      <c r="B429" s="1" t="n">
        <v>44897</v>
      </c>
      <c r="C429" s="1" t="n">
        <v>46196</v>
      </c>
      <c r="D429" t="inlineStr">
        <is>
          <t>GOTLANDS LÄN</t>
        </is>
      </c>
      <c r="E429" t="inlineStr">
        <is>
          <t>GOTLAND</t>
        </is>
      </c>
      <c r="G429" t="n">
        <v>3.7</v>
      </c>
      <c r="H429" t="n">
        <v>0</v>
      </c>
      <c r="I429" t="n">
        <v>0</v>
      </c>
      <c r="J429" t="n">
        <v>0</v>
      </c>
      <c r="K429" t="n">
        <v>0</v>
      </c>
      <c r="L429" t="n">
        <v>0</v>
      </c>
      <c r="M429" t="n">
        <v>0</v>
      </c>
      <c r="N429" t="n">
        <v>0</v>
      </c>
      <c r="O429" t="n">
        <v>0</v>
      </c>
      <c r="P429" t="n">
        <v>0</v>
      </c>
      <c r="Q429" t="n">
        <v>0</v>
      </c>
      <c r="R429" s="2" t="inlineStr"/>
    </row>
    <row r="430" ht="15" customHeight="1">
      <c r="A430" t="inlineStr">
        <is>
          <t>A 811-2023</t>
        </is>
      </c>
      <c r="B430" s="1" t="n">
        <v>44931</v>
      </c>
      <c r="C430" s="1" t="n">
        <v>46196</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5905-2024</t>
        </is>
      </c>
      <c r="B431" s="1" t="n">
        <v>45335</v>
      </c>
      <c r="C431" s="1" t="n">
        <v>46196</v>
      </c>
      <c r="D431" t="inlineStr">
        <is>
          <t>GOTLANDS LÄN</t>
        </is>
      </c>
      <c r="E431" t="inlineStr">
        <is>
          <t>GOTLAND</t>
        </is>
      </c>
      <c r="G431" t="n">
        <v>3</v>
      </c>
      <c r="H431" t="n">
        <v>0</v>
      </c>
      <c r="I431" t="n">
        <v>0</v>
      </c>
      <c r="J431" t="n">
        <v>0</v>
      </c>
      <c r="K431" t="n">
        <v>0</v>
      </c>
      <c r="L431" t="n">
        <v>0</v>
      </c>
      <c r="M431" t="n">
        <v>0</v>
      </c>
      <c r="N431" t="n">
        <v>0</v>
      </c>
      <c r="O431" t="n">
        <v>0</v>
      </c>
      <c r="P431" t="n">
        <v>0</v>
      </c>
      <c r="Q431" t="n">
        <v>0</v>
      </c>
      <c r="R431" s="2" t="inlineStr"/>
    </row>
    <row r="432" ht="15" customHeight="1">
      <c r="A432" t="inlineStr">
        <is>
          <t>A 3431-2025</t>
        </is>
      </c>
      <c r="B432" s="1" t="n">
        <v>45680</v>
      </c>
      <c r="C432" s="1" t="n">
        <v>46196</v>
      </c>
      <c r="D432" t="inlineStr">
        <is>
          <t>GOTLANDS LÄN</t>
        </is>
      </c>
      <c r="E432" t="inlineStr">
        <is>
          <t>GOTLAND</t>
        </is>
      </c>
      <c r="G432" t="n">
        <v>4.8</v>
      </c>
      <c r="H432" t="n">
        <v>0</v>
      </c>
      <c r="I432" t="n">
        <v>0</v>
      </c>
      <c r="J432" t="n">
        <v>0</v>
      </c>
      <c r="K432" t="n">
        <v>0</v>
      </c>
      <c r="L432" t="n">
        <v>0</v>
      </c>
      <c r="M432" t="n">
        <v>0</v>
      </c>
      <c r="N432" t="n">
        <v>0</v>
      </c>
      <c r="O432" t="n">
        <v>0</v>
      </c>
      <c r="P432" t="n">
        <v>0</v>
      </c>
      <c r="Q432" t="n">
        <v>0</v>
      </c>
      <c r="R432" s="2" t="inlineStr"/>
    </row>
    <row r="433" ht="15" customHeight="1">
      <c r="A433" t="inlineStr">
        <is>
          <t>A 34407-2023</t>
        </is>
      </c>
      <c r="B433" s="1" t="n">
        <v>45132</v>
      </c>
      <c r="C433" s="1" t="n">
        <v>46196</v>
      </c>
      <c r="D433" t="inlineStr">
        <is>
          <t>GOTLANDS LÄN</t>
        </is>
      </c>
      <c r="E433" t="inlineStr">
        <is>
          <t>GOTLAND</t>
        </is>
      </c>
      <c r="G433" t="n">
        <v>4.4</v>
      </c>
      <c r="H433" t="n">
        <v>0</v>
      </c>
      <c r="I433" t="n">
        <v>0</v>
      </c>
      <c r="J433" t="n">
        <v>0</v>
      </c>
      <c r="K433" t="n">
        <v>0</v>
      </c>
      <c r="L433" t="n">
        <v>0</v>
      </c>
      <c r="M433" t="n">
        <v>0</v>
      </c>
      <c r="N433" t="n">
        <v>0</v>
      </c>
      <c r="O433" t="n">
        <v>0</v>
      </c>
      <c r="P433" t="n">
        <v>0</v>
      </c>
      <c r="Q433" t="n">
        <v>0</v>
      </c>
      <c r="R433" s="2" t="inlineStr"/>
    </row>
    <row r="434" ht="15" customHeight="1">
      <c r="A434" t="inlineStr">
        <is>
          <t>A 30892-2024</t>
        </is>
      </c>
      <c r="B434" s="1" t="n">
        <v>45491</v>
      </c>
      <c r="C434" s="1" t="n">
        <v>46196</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32958-2021</t>
        </is>
      </c>
      <c r="B435" s="1" t="n">
        <v>44376</v>
      </c>
      <c r="C435" s="1" t="n">
        <v>46196</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7858-2025</t>
        </is>
      </c>
      <c r="B436" s="1" t="n">
        <v>45706</v>
      </c>
      <c r="C436" s="1" t="n">
        <v>46196</v>
      </c>
      <c r="D436" t="inlineStr">
        <is>
          <t>GOTLANDS LÄN</t>
        </is>
      </c>
      <c r="E436" t="inlineStr">
        <is>
          <t>GOTLAND</t>
        </is>
      </c>
      <c r="G436" t="n">
        <v>3</v>
      </c>
      <c r="H436" t="n">
        <v>0</v>
      </c>
      <c r="I436" t="n">
        <v>0</v>
      </c>
      <c r="J436" t="n">
        <v>0</v>
      </c>
      <c r="K436" t="n">
        <v>0</v>
      </c>
      <c r="L436" t="n">
        <v>0</v>
      </c>
      <c r="M436" t="n">
        <v>0</v>
      </c>
      <c r="N436" t="n">
        <v>0</v>
      </c>
      <c r="O436" t="n">
        <v>0</v>
      </c>
      <c r="P436" t="n">
        <v>0</v>
      </c>
      <c r="Q436" t="n">
        <v>0</v>
      </c>
      <c r="R436" s="2" t="inlineStr"/>
    </row>
    <row r="437" ht="15" customHeight="1">
      <c r="A437" t="inlineStr">
        <is>
          <t>A 2125-2025</t>
        </is>
      </c>
      <c r="B437" s="1" t="n">
        <v>45672</v>
      </c>
      <c r="C437" s="1" t="n">
        <v>46196</v>
      </c>
      <c r="D437" t="inlineStr">
        <is>
          <t>GOTLANDS LÄN</t>
        </is>
      </c>
      <c r="E437" t="inlineStr">
        <is>
          <t>GOTLAND</t>
        </is>
      </c>
      <c r="G437" t="n">
        <v>2.3</v>
      </c>
      <c r="H437" t="n">
        <v>0</v>
      </c>
      <c r="I437" t="n">
        <v>0</v>
      </c>
      <c r="J437" t="n">
        <v>0</v>
      </c>
      <c r="K437" t="n">
        <v>0</v>
      </c>
      <c r="L437" t="n">
        <v>0</v>
      </c>
      <c r="M437" t="n">
        <v>0</v>
      </c>
      <c r="N437" t="n">
        <v>0</v>
      </c>
      <c r="O437" t="n">
        <v>0</v>
      </c>
      <c r="P437" t="n">
        <v>0</v>
      </c>
      <c r="Q437" t="n">
        <v>0</v>
      </c>
      <c r="R437" s="2" t="inlineStr"/>
    </row>
    <row r="438" ht="15" customHeight="1">
      <c r="A438" t="inlineStr">
        <is>
          <t>A 12155-2023</t>
        </is>
      </c>
      <c r="B438" s="1" t="n">
        <v>44998</v>
      </c>
      <c r="C438" s="1" t="n">
        <v>46196</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2774-2024</t>
        </is>
      </c>
      <c r="B439" s="1" t="n">
        <v>45314</v>
      </c>
      <c r="C439" s="1" t="n">
        <v>46196</v>
      </c>
      <c r="D439" t="inlineStr">
        <is>
          <t>GOTLANDS LÄN</t>
        </is>
      </c>
      <c r="E439" t="inlineStr">
        <is>
          <t>GOTLAND</t>
        </is>
      </c>
      <c r="G439" t="n">
        <v>1</v>
      </c>
      <c r="H439" t="n">
        <v>0</v>
      </c>
      <c r="I439" t="n">
        <v>0</v>
      </c>
      <c r="J439" t="n">
        <v>0</v>
      </c>
      <c r="K439" t="n">
        <v>0</v>
      </c>
      <c r="L439" t="n">
        <v>0</v>
      </c>
      <c r="M439" t="n">
        <v>0</v>
      </c>
      <c r="N439" t="n">
        <v>0</v>
      </c>
      <c r="O439" t="n">
        <v>0</v>
      </c>
      <c r="P439" t="n">
        <v>0</v>
      </c>
      <c r="Q439" t="n">
        <v>0</v>
      </c>
      <c r="R439" s="2" t="inlineStr"/>
    </row>
    <row r="440" ht="15" customHeight="1">
      <c r="A440" t="inlineStr">
        <is>
          <t>A 9947-2024</t>
        </is>
      </c>
      <c r="B440" s="1" t="n">
        <v>45363</v>
      </c>
      <c r="C440" s="1" t="n">
        <v>46196</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42007-2023</t>
        </is>
      </c>
      <c r="B441" s="1" t="n">
        <v>45177</v>
      </c>
      <c r="C441" s="1" t="n">
        <v>46196</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15083-2025</t>
        </is>
      </c>
      <c r="B442" s="1" t="n">
        <v>45743</v>
      </c>
      <c r="C442" s="1" t="n">
        <v>46196</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37202-2024</t>
        </is>
      </c>
      <c r="B443" s="1" t="n">
        <v>45539</v>
      </c>
      <c r="C443" s="1" t="n">
        <v>46196</v>
      </c>
      <c r="D443" t="inlineStr">
        <is>
          <t>GOTLANDS LÄN</t>
        </is>
      </c>
      <c r="E443" t="inlineStr">
        <is>
          <t>GOTLAND</t>
        </is>
      </c>
      <c r="G443" t="n">
        <v>0.3</v>
      </c>
      <c r="H443" t="n">
        <v>0</v>
      </c>
      <c r="I443" t="n">
        <v>0</v>
      </c>
      <c r="J443" t="n">
        <v>0</v>
      </c>
      <c r="K443" t="n">
        <v>0</v>
      </c>
      <c r="L443" t="n">
        <v>0</v>
      </c>
      <c r="M443" t="n">
        <v>0</v>
      </c>
      <c r="N443" t="n">
        <v>0</v>
      </c>
      <c r="O443" t="n">
        <v>0</v>
      </c>
      <c r="P443" t="n">
        <v>0</v>
      </c>
      <c r="Q443" t="n">
        <v>0</v>
      </c>
      <c r="R443" s="2" t="inlineStr"/>
    </row>
    <row r="444" ht="15" customHeight="1">
      <c r="A444" t="inlineStr">
        <is>
          <t>A 30815-2023</t>
        </is>
      </c>
      <c r="B444" s="1" t="n">
        <v>45112</v>
      </c>
      <c r="C444" s="1" t="n">
        <v>46196</v>
      </c>
      <c r="D444" t="inlineStr">
        <is>
          <t>GOTLANDS LÄN</t>
        </is>
      </c>
      <c r="E444" t="inlineStr">
        <is>
          <t>GOTLAND</t>
        </is>
      </c>
      <c r="G444" t="n">
        <v>6</v>
      </c>
      <c r="H444" t="n">
        <v>0</v>
      </c>
      <c r="I444" t="n">
        <v>0</v>
      </c>
      <c r="J444" t="n">
        <v>0</v>
      </c>
      <c r="K444" t="n">
        <v>0</v>
      </c>
      <c r="L444" t="n">
        <v>0</v>
      </c>
      <c r="M444" t="n">
        <v>0</v>
      </c>
      <c r="N444" t="n">
        <v>0</v>
      </c>
      <c r="O444" t="n">
        <v>0</v>
      </c>
      <c r="P444" t="n">
        <v>0</v>
      </c>
      <c r="Q444" t="n">
        <v>0</v>
      </c>
      <c r="R444" s="2" t="inlineStr"/>
    </row>
    <row r="445" ht="15" customHeight="1">
      <c r="A445" t="inlineStr">
        <is>
          <t>A 46400-2023</t>
        </is>
      </c>
      <c r="B445" s="1" t="n">
        <v>45197</v>
      </c>
      <c r="C445" s="1" t="n">
        <v>46196</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10492-2023</t>
        </is>
      </c>
      <c r="B446" s="1" t="n">
        <v>44987</v>
      </c>
      <c r="C446" s="1" t="n">
        <v>46196</v>
      </c>
      <c r="D446" t="inlineStr">
        <is>
          <t>GOTLANDS LÄN</t>
        </is>
      </c>
      <c r="E446" t="inlineStr">
        <is>
          <t>GOTLAND</t>
        </is>
      </c>
      <c r="G446" t="n">
        <v>1</v>
      </c>
      <c r="H446" t="n">
        <v>0</v>
      </c>
      <c r="I446" t="n">
        <v>0</v>
      </c>
      <c r="J446" t="n">
        <v>0</v>
      </c>
      <c r="K446" t="n">
        <v>0</v>
      </c>
      <c r="L446" t="n">
        <v>0</v>
      </c>
      <c r="M446" t="n">
        <v>0</v>
      </c>
      <c r="N446" t="n">
        <v>0</v>
      </c>
      <c r="O446" t="n">
        <v>0</v>
      </c>
      <c r="P446" t="n">
        <v>0</v>
      </c>
      <c r="Q446" t="n">
        <v>0</v>
      </c>
      <c r="R446" s="2" t="inlineStr"/>
    </row>
    <row r="447" ht="15" customHeight="1">
      <c r="A447" t="inlineStr">
        <is>
          <t>A 44919-2022</t>
        </is>
      </c>
      <c r="B447" s="1" t="n">
        <v>44841</v>
      </c>
      <c r="C447" s="1" t="n">
        <v>46196</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16501-2023</t>
        </is>
      </c>
      <c r="B448" s="1" t="n">
        <v>45029</v>
      </c>
      <c r="C448" s="1" t="n">
        <v>46196</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27095-2022</t>
        </is>
      </c>
      <c r="B449" s="1" t="n">
        <v>44741</v>
      </c>
      <c r="C449" s="1" t="n">
        <v>46196</v>
      </c>
      <c r="D449" t="inlineStr">
        <is>
          <t>GOTLANDS LÄN</t>
        </is>
      </c>
      <c r="E449" t="inlineStr">
        <is>
          <t>GOTLAND</t>
        </is>
      </c>
      <c r="F449" t="inlineStr">
        <is>
          <t>Övriga Aktiebolag</t>
        </is>
      </c>
      <c r="G449" t="n">
        <v>2.9</v>
      </c>
      <c r="H449" t="n">
        <v>0</v>
      </c>
      <c r="I449" t="n">
        <v>0</v>
      </c>
      <c r="J449" t="n">
        <v>0</v>
      </c>
      <c r="K449" t="n">
        <v>0</v>
      </c>
      <c r="L449" t="n">
        <v>0</v>
      </c>
      <c r="M449" t="n">
        <v>0</v>
      </c>
      <c r="N449" t="n">
        <v>0</v>
      </c>
      <c r="O449" t="n">
        <v>0</v>
      </c>
      <c r="P449" t="n">
        <v>0</v>
      </c>
      <c r="Q449" t="n">
        <v>0</v>
      </c>
      <c r="R449" s="2" t="inlineStr"/>
    </row>
    <row r="450" ht="15" customHeight="1">
      <c r="A450" t="inlineStr">
        <is>
          <t>A 1291-2023</t>
        </is>
      </c>
      <c r="B450" s="1" t="n">
        <v>44936</v>
      </c>
      <c r="C450" s="1" t="n">
        <v>46196</v>
      </c>
      <c r="D450" t="inlineStr">
        <is>
          <t>GOTLANDS LÄN</t>
        </is>
      </c>
      <c r="E450" t="inlineStr">
        <is>
          <t>GOTLAND</t>
        </is>
      </c>
      <c r="G450" t="n">
        <v>7.4</v>
      </c>
      <c r="H450" t="n">
        <v>0</v>
      </c>
      <c r="I450" t="n">
        <v>0</v>
      </c>
      <c r="J450" t="n">
        <v>0</v>
      </c>
      <c r="K450" t="n">
        <v>0</v>
      </c>
      <c r="L450" t="n">
        <v>0</v>
      </c>
      <c r="M450" t="n">
        <v>0</v>
      </c>
      <c r="N450" t="n">
        <v>0</v>
      </c>
      <c r="O450" t="n">
        <v>0</v>
      </c>
      <c r="P450" t="n">
        <v>0</v>
      </c>
      <c r="Q450" t="n">
        <v>0</v>
      </c>
      <c r="R450" s="2" t="inlineStr"/>
    </row>
    <row r="451" ht="15" customHeight="1">
      <c r="A451" t="inlineStr">
        <is>
          <t>A 5891-2025</t>
        </is>
      </c>
      <c r="B451" s="1" t="n">
        <v>45695</v>
      </c>
      <c r="C451" s="1" t="n">
        <v>46196</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2719-2023</t>
        </is>
      </c>
      <c r="B452" s="1" t="n">
        <v>44944</v>
      </c>
      <c r="C452" s="1" t="n">
        <v>46196</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29809-2022</t>
        </is>
      </c>
      <c r="B453" s="1" t="n">
        <v>44755</v>
      </c>
      <c r="C453" s="1" t="n">
        <v>46196</v>
      </c>
      <c r="D453" t="inlineStr">
        <is>
          <t>GOTLANDS LÄN</t>
        </is>
      </c>
      <c r="E453" t="inlineStr">
        <is>
          <t>GOTLAND</t>
        </is>
      </c>
      <c r="G453" t="n">
        <v>11.5</v>
      </c>
      <c r="H453" t="n">
        <v>0</v>
      </c>
      <c r="I453" t="n">
        <v>0</v>
      </c>
      <c r="J453" t="n">
        <v>0</v>
      </c>
      <c r="K453" t="n">
        <v>0</v>
      </c>
      <c r="L453" t="n">
        <v>0</v>
      </c>
      <c r="M453" t="n">
        <v>0</v>
      </c>
      <c r="N453" t="n">
        <v>0</v>
      </c>
      <c r="O453" t="n">
        <v>0</v>
      </c>
      <c r="P453" t="n">
        <v>0</v>
      </c>
      <c r="Q453" t="n">
        <v>0</v>
      </c>
      <c r="R453" s="2" t="inlineStr"/>
    </row>
    <row r="454" ht="15" customHeight="1">
      <c r="A454" t="inlineStr">
        <is>
          <t>A 16361-2024</t>
        </is>
      </c>
      <c r="B454" s="1" t="n">
        <v>45407</v>
      </c>
      <c r="C454" s="1" t="n">
        <v>46196</v>
      </c>
      <c r="D454" t="inlineStr">
        <is>
          <t>GOTLANDS LÄN</t>
        </is>
      </c>
      <c r="E454" t="inlineStr">
        <is>
          <t>GOTLAND</t>
        </is>
      </c>
      <c r="G454" t="n">
        <v>6</v>
      </c>
      <c r="H454" t="n">
        <v>0</v>
      </c>
      <c r="I454" t="n">
        <v>0</v>
      </c>
      <c r="J454" t="n">
        <v>0</v>
      </c>
      <c r="K454" t="n">
        <v>0</v>
      </c>
      <c r="L454" t="n">
        <v>0</v>
      </c>
      <c r="M454" t="n">
        <v>0</v>
      </c>
      <c r="N454" t="n">
        <v>0</v>
      </c>
      <c r="O454" t="n">
        <v>0</v>
      </c>
      <c r="P454" t="n">
        <v>0</v>
      </c>
      <c r="Q454" t="n">
        <v>0</v>
      </c>
      <c r="R454" s="2" t="inlineStr"/>
    </row>
    <row r="455" ht="15" customHeight="1">
      <c r="A455" t="inlineStr">
        <is>
          <t>A 43081-2022</t>
        </is>
      </c>
      <c r="B455" s="1" t="n">
        <v>44833</v>
      </c>
      <c r="C455" s="1" t="n">
        <v>46196</v>
      </c>
      <c r="D455" t="inlineStr">
        <is>
          <t>GOTLANDS LÄN</t>
        </is>
      </c>
      <c r="E455" t="inlineStr">
        <is>
          <t>GOTLAND</t>
        </is>
      </c>
      <c r="G455" t="n">
        <v>6.8</v>
      </c>
      <c r="H455" t="n">
        <v>0</v>
      </c>
      <c r="I455" t="n">
        <v>0</v>
      </c>
      <c r="J455" t="n">
        <v>0</v>
      </c>
      <c r="K455" t="n">
        <v>0</v>
      </c>
      <c r="L455" t="n">
        <v>0</v>
      </c>
      <c r="M455" t="n">
        <v>0</v>
      </c>
      <c r="N455" t="n">
        <v>0</v>
      </c>
      <c r="O455" t="n">
        <v>0</v>
      </c>
      <c r="P455" t="n">
        <v>0</v>
      </c>
      <c r="Q455" t="n">
        <v>0</v>
      </c>
      <c r="R455" s="2" t="inlineStr"/>
    </row>
    <row r="456" ht="15" customHeight="1">
      <c r="A456" t="inlineStr">
        <is>
          <t>A 1175-2025</t>
        </is>
      </c>
      <c r="B456" s="1" t="n">
        <v>45667</v>
      </c>
      <c r="C456" s="1" t="n">
        <v>46196</v>
      </c>
      <c r="D456" t="inlineStr">
        <is>
          <t>GOTLANDS LÄN</t>
        </is>
      </c>
      <c r="E456" t="inlineStr">
        <is>
          <t>GOTLAND</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3150-2025</t>
        </is>
      </c>
      <c r="B457" s="1" t="n">
        <v>45679</v>
      </c>
      <c r="C457" s="1" t="n">
        <v>46196</v>
      </c>
      <c r="D457" t="inlineStr">
        <is>
          <t>GOTLANDS LÄN</t>
        </is>
      </c>
      <c r="E457" t="inlineStr">
        <is>
          <t>GOTLAND</t>
        </is>
      </c>
      <c r="G457" t="n">
        <v>2.5</v>
      </c>
      <c r="H457" t="n">
        <v>0</v>
      </c>
      <c r="I457" t="n">
        <v>0</v>
      </c>
      <c r="J457" t="n">
        <v>0</v>
      </c>
      <c r="K457" t="n">
        <v>0</v>
      </c>
      <c r="L457" t="n">
        <v>0</v>
      </c>
      <c r="M457" t="n">
        <v>0</v>
      </c>
      <c r="N457" t="n">
        <v>0</v>
      </c>
      <c r="O457" t="n">
        <v>0</v>
      </c>
      <c r="P457" t="n">
        <v>0</v>
      </c>
      <c r="Q457" t="n">
        <v>0</v>
      </c>
      <c r="R457" s="2" t="inlineStr"/>
    </row>
    <row r="458" ht="15" customHeight="1">
      <c r="A458" t="inlineStr">
        <is>
          <t>A 42041-2024</t>
        </is>
      </c>
      <c r="B458" s="1" t="n">
        <v>45561</v>
      </c>
      <c r="C458" s="1" t="n">
        <v>46196</v>
      </c>
      <c r="D458" t="inlineStr">
        <is>
          <t>GOTLANDS LÄN</t>
        </is>
      </c>
      <c r="E458" t="inlineStr">
        <is>
          <t>GOTLAND</t>
        </is>
      </c>
      <c r="G458" t="n">
        <v>3.2</v>
      </c>
      <c r="H458" t="n">
        <v>0</v>
      </c>
      <c r="I458" t="n">
        <v>0</v>
      </c>
      <c r="J458" t="n">
        <v>0</v>
      </c>
      <c r="K458" t="n">
        <v>0</v>
      </c>
      <c r="L458" t="n">
        <v>0</v>
      </c>
      <c r="M458" t="n">
        <v>0</v>
      </c>
      <c r="N458" t="n">
        <v>0</v>
      </c>
      <c r="O458" t="n">
        <v>0</v>
      </c>
      <c r="P458" t="n">
        <v>0</v>
      </c>
      <c r="Q458" t="n">
        <v>0</v>
      </c>
      <c r="R458" s="2" t="inlineStr"/>
    </row>
    <row r="459" ht="15" customHeight="1">
      <c r="A459" t="inlineStr">
        <is>
          <t>A 21247-2022</t>
        </is>
      </c>
      <c r="B459" s="1" t="n">
        <v>44705</v>
      </c>
      <c r="C459" s="1" t="n">
        <v>46196</v>
      </c>
      <c r="D459" t="inlineStr">
        <is>
          <t>GOTLANDS LÄN</t>
        </is>
      </c>
      <c r="E459" t="inlineStr">
        <is>
          <t>GOTLAND</t>
        </is>
      </c>
      <c r="G459" t="n">
        <v>16.2</v>
      </c>
      <c r="H459" t="n">
        <v>0</v>
      </c>
      <c r="I459" t="n">
        <v>0</v>
      </c>
      <c r="J459" t="n">
        <v>0</v>
      </c>
      <c r="K459" t="n">
        <v>0</v>
      </c>
      <c r="L459" t="n">
        <v>0</v>
      </c>
      <c r="M459" t="n">
        <v>0</v>
      </c>
      <c r="N459" t="n">
        <v>0</v>
      </c>
      <c r="O459" t="n">
        <v>0</v>
      </c>
      <c r="P459" t="n">
        <v>0</v>
      </c>
      <c r="Q459" t="n">
        <v>0</v>
      </c>
      <c r="R459" s="2" t="inlineStr"/>
    </row>
    <row r="460" ht="15" customHeight="1">
      <c r="A460" t="inlineStr">
        <is>
          <t>A 17780-2022</t>
        </is>
      </c>
      <c r="B460" s="1" t="n">
        <v>44682</v>
      </c>
      <c r="C460" s="1" t="n">
        <v>46196</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63516-2023</t>
        </is>
      </c>
      <c r="B461" s="1" t="n">
        <v>45274</v>
      </c>
      <c r="C461" s="1" t="n">
        <v>46196</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53935-2024</t>
        </is>
      </c>
      <c r="B462" s="1" t="n">
        <v>45615</v>
      </c>
      <c r="C462" s="1" t="n">
        <v>46196</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48734-2022</t>
        </is>
      </c>
      <c r="B463" s="1" t="n">
        <v>44855</v>
      </c>
      <c r="C463" s="1" t="n">
        <v>46196</v>
      </c>
      <c r="D463" t="inlineStr">
        <is>
          <t>GOTLANDS LÄN</t>
        </is>
      </c>
      <c r="E463" t="inlineStr">
        <is>
          <t>GOTLAND</t>
        </is>
      </c>
      <c r="G463" t="n">
        <v>1.6</v>
      </c>
      <c r="H463" t="n">
        <v>0</v>
      </c>
      <c r="I463" t="n">
        <v>0</v>
      </c>
      <c r="J463" t="n">
        <v>0</v>
      </c>
      <c r="K463" t="n">
        <v>0</v>
      </c>
      <c r="L463" t="n">
        <v>0</v>
      </c>
      <c r="M463" t="n">
        <v>0</v>
      </c>
      <c r="N463" t="n">
        <v>0</v>
      </c>
      <c r="O463" t="n">
        <v>0</v>
      </c>
      <c r="P463" t="n">
        <v>0</v>
      </c>
      <c r="Q463" t="n">
        <v>0</v>
      </c>
      <c r="R463" s="2" t="inlineStr"/>
    </row>
    <row r="464" ht="15" customHeight="1">
      <c r="A464" t="inlineStr">
        <is>
          <t>A 23516-2023</t>
        </is>
      </c>
      <c r="B464" s="1" t="n">
        <v>45076</v>
      </c>
      <c r="C464" s="1" t="n">
        <v>46196</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43231-2023</t>
        </is>
      </c>
      <c r="B465" s="1" t="n">
        <v>45183</v>
      </c>
      <c r="C465" s="1" t="n">
        <v>46196</v>
      </c>
      <c r="D465" t="inlineStr">
        <is>
          <t>GOTLANDS LÄN</t>
        </is>
      </c>
      <c r="E465" t="inlineStr">
        <is>
          <t>GOTLAND</t>
        </is>
      </c>
      <c r="G465" t="n">
        <v>3.6</v>
      </c>
      <c r="H465" t="n">
        <v>0</v>
      </c>
      <c r="I465" t="n">
        <v>0</v>
      </c>
      <c r="J465" t="n">
        <v>0</v>
      </c>
      <c r="K465" t="n">
        <v>0</v>
      </c>
      <c r="L465" t="n">
        <v>0</v>
      </c>
      <c r="M465" t="n">
        <v>0</v>
      </c>
      <c r="N465" t="n">
        <v>0</v>
      </c>
      <c r="O465" t="n">
        <v>0</v>
      </c>
      <c r="P465" t="n">
        <v>0</v>
      </c>
      <c r="Q465" t="n">
        <v>0</v>
      </c>
      <c r="R465" s="2" t="inlineStr"/>
    </row>
    <row r="466" ht="15" customHeight="1">
      <c r="A466" t="inlineStr">
        <is>
          <t>A 64555-2023</t>
        </is>
      </c>
      <c r="B466" s="1" t="n">
        <v>45281</v>
      </c>
      <c r="C466" s="1" t="n">
        <v>46196</v>
      </c>
      <c r="D466" t="inlineStr">
        <is>
          <t>GOTLANDS LÄN</t>
        </is>
      </c>
      <c r="E466" t="inlineStr">
        <is>
          <t>GOTLAND</t>
        </is>
      </c>
      <c r="G466" t="n">
        <v>3.5</v>
      </c>
      <c r="H466" t="n">
        <v>0</v>
      </c>
      <c r="I466" t="n">
        <v>0</v>
      </c>
      <c r="J466" t="n">
        <v>0</v>
      </c>
      <c r="K466" t="n">
        <v>0</v>
      </c>
      <c r="L466" t="n">
        <v>0</v>
      </c>
      <c r="M466" t="n">
        <v>0</v>
      </c>
      <c r="N466" t="n">
        <v>0</v>
      </c>
      <c r="O466" t="n">
        <v>0</v>
      </c>
      <c r="P466" t="n">
        <v>0</v>
      </c>
      <c r="Q466" t="n">
        <v>0</v>
      </c>
      <c r="R466" s="2" t="inlineStr"/>
    </row>
    <row r="467" ht="15" customHeight="1">
      <c r="A467" t="inlineStr">
        <is>
          <t>A 457-2023</t>
        </is>
      </c>
      <c r="B467" s="1" t="n">
        <v>44929</v>
      </c>
      <c r="C467" s="1" t="n">
        <v>46196</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459-2023</t>
        </is>
      </c>
      <c r="B468" s="1" t="n">
        <v>44929</v>
      </c>
      <c r="C468" s="1" t="n">
        <v>46196</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876-2024</t>
        </is>
      </c>
      <c r="B469" s="1" t="n">
        <v>45301</v>
      </c>
      <c r="C469" s="1" t="n">
        <v>46196</v>
      </c>
      <c r="D469" t="inlineStr">
        <is>
          <t>GOTLANDS LÄN</t>
        </is>
      </c>
      <c r="E469" t="inlineStr">
        <is>
          <t>GOTLAND</t>
        </is>
      </c>
      <c r="G469" t="n">
        <v>5.3</v>
      </c>
      <c r="H469" t="n">
        <v>0</v>
      </c>
      <c r="I469" t="n">
        <v>0</v>
      </c>
      <c r="J469" t="n">
        <v>0</v>
      </c>
      <c r="K469" t="n">
        <v>0</v>
      </c>
      <c r="L469" t="n">
        <v>0</v>
      </c>
      <c r="M469" t="n">
        <v>0</v>
      </c>
      <c r="N469" t="n">
        <v>0</v>
      </c>
      <c r="O469" t="n">
        <v>0</v>
      </c>
      <c r="P469" t="n">
        <v>0</v>
      </c>
      <c r="Q469" t="n">
        <v>0</v>
      </c>
      <c r="R469" s="2" t="inlineStr"/>
    </row>
    <row r="470" ht="15" customHeight="1">
      <c r="A470" t="inlineStr">
        <is>
          <t>A 26891-2024</t>
        </is>
      </c>
      <c r="B470" s="1" t="n">
        <v>45470</v>
      </c>
      <c r="C470" s="1" t="n">
        <v>46196</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5923-2023</t>
        </is>
      </c>
      <c r="B471" s="1" t="n">
        <v>44963</v>
      </c>
      <c r="C471" s="1" t="n">
        <v>46196</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50482-2024</t>
        </is>
      </c>
      <c r="B472" s="1" t="n">
        <v>45601</v>
      </c>
      <c r="C472" s="1" t="n">
        <v>46196</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5943-2024</t>
        </is>
      </c>
      <c r="B473" s="1" t="n">
        <v>45336</v>
      </c>
      <c r="C473" s="1" t="n">
        <v>46196</v>
      </c>
      <c r="D473" t="inlineStr">
        <is>
          <t>GOTLANDS LÄN</t>
        </is>
      </c>
      <c r="E473" t="inlineStr">
        <is>
          <t>GOTLAND</t>
        </is>
      </c>
      <c r="G473" t="n">
        <v>4.3</v>
      </c>
      <c r="H473" t="n">
        <v>0</v>
      </c>
      <c r="I473" t="n">
        <v>0</v>
      </c>
      <c r="J473" t="n">
        <v>0</v>
      </c>
      <c r="K473" t="n">
        <v>0</v>
      </c>
      <c r="L473" t="n">
        <v>0</v>
      </c>
      <c r="M473" t="n">
        <v>0</v>
      </c>
      <c r="N473" t="n">
        <v>0</v>
      </c>
      <c r="O473" t="n">
        <v>0</v>
      </c>
      <c r="P473" t="n">
        <v>0</v>
      </c>
      <c r="Q473" t="n">
        <v>0</v>
      </c>
      <c r="R473" s="2" t="inlineStr"/>
    </row>
    <row r="474" ht="15" customHeight="1">
      <c r="A474" t="inlineStr">
        <is>
          <t>A 38234-2023</t>
        </is>
      </c>
      <c r="B474" s="1" t="n">
        <v>45161</v>
      </c>
      <c r="C474" s="1" t="n">
        <v>46196</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17724-2024</t>
        </is>
      </c>
      <c r="B475" s="1" t="n">
        <v>45418</v>
      </c>
      <c r="C475" s="1" t="n">
        <v>46196</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23978-2023</t>
        </is>
      </c>
      <c r="B476" s="1" t="n">
        <v>45078</v>
      </c>
      <c r="C476" s="1" t="n">
        <v>46196</v>
      </c>
      <c r="D476" t="inlineStr">
        <is>
          <t>GOTLANDS LÄN</t>
        </is>
      </c>
      <c r="E476" t="inlineStr">
        <is>
          <t>GOTLAND</t>
        </is>
      </c>
      <c r="F476" t="inlineStr">
        <is>
          <t>Naturvårdsverket</t>
        </is>
      </c>
      <c r="G476" t="n">
        <v>1.7</v>
      </c>
      <c r="H476" t="n">
        <v>0</v>
      </c>
      <c r="I476" t="n">
        <v>0</v>
      </c>
      <c r="J476" t="n">
        <v>0</v>
      </c>
      <c r="K476" t="n">
        <v>0</v>
      </c>
      <c r="L476" t="n">
        <v>0</v>
      </c>
      <c r="M476" t="n">
        <v>0</v>
      </c>
      <c r="N476" t="n">
        <v>0</v>
      </c>
      <c r="O476" t="n">
        <v>0</v>
      </c>
      <c r="P476" t="n">
        <v>0</v>
      </c>
      <c r="Q476" t="n">
        <v>0</v>
      </c>
      <c r="R476" s="2" t="inlineStr"/>
    </row>
    <row r="477" ht="15" customHeight="1">
      <c r="A477" t="inlineStr">
        <is>
          <t>A 49884-2023</t>
        </is>
      </c>
      <c r="B477" s="1" t="n">
        <v>45213</v>
      </c>
      <c r="C477" s="1" t="n">
        <v>46196</v>
      </c>
      <c r="D477" t="inlineStr">
        <is>
          <t>GOTLANDS LÄN</t>
        </is>
      </c>
      <c r="E477" t="inlineStr">
        <is>
          <t>GOTLAND</t>
        </is>
      </c>
      <c r="G477" t="n">
        <v>8.9</v>
      </c>
      <c r="H477" t="n">
        <v>0</v>
      </c>
      <c r="I477" t="n">
        <v>0</v>
      </c>
      <c r="J477" t="n">
        <v>0</v>
      </c>
      <c r="K477" t="n">
        <v>0</v>
      </c>
      <c r="L477" t="n">
        <v>0</v>
      </c>
      <c r="M477" t="n">
        <v>0</v>
      </c>
      <c r="N477" t="n">
        <v>0</v>
      </c>
      <c r="O477" t="n">
        <v>0</v>
      </c>
      <c r="P477" t="n">
        <v>0</v>
      </c>
      <c r="Q477" t="n">
        <v>0</v>
      </c>
      <c r="R477" s="2" t="inlineStr"/>
    </row>
    <row r="478" ht="15" customHeight="1">
      <c r="A478" t="inlineStr">
        <is>
          <t>A 12846-2025</t>
        </is>
      </c>
      <c r="B478" s="1" t="n">
        <v>45733</v>
      </c>
      <c r="C478" s="1" t="n">
        <v>46196</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48843-2024</t>
        </is>
      </c>
      <c r="B479" s="1" t="n">
        <v>45593</v>
      </c>
      <c r="C479" s="1" t="n">
        <v>46196</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10653-2023</t>
        </is>
      </c>
      <c r="B480" s="1" t="n">
        <v>44988</v>
      </c>
      <c r="C480" s="1" t="n">
        <v>46196</v>
      </c>
      <c r="D480" t="inlineStr">
        <is>
          <t>GOTLANDS LÄN</t>
        </is>
      </c>
      <c r="E480" t="inlineStr">
        <is>
          <t>GOTLAND</t>
        </is>
      </c>
      <c r="F480" t="inlineStr">
        <is>
          <t>Kyrkan</t>
        </is>
      </c>
      <c r="G480" t="n">
        <v>3</v>
      </c>
      <c r="H480" t="n">
        <v>0</v>
      </c>
      <c r="I480" t="n">
        <v>0</v>
      </c>
      <c r="J480" t="n">
        <v>0</v>
      </c>
      <c r="K480" t="n">
        <v>0</v>
      </c>
      <c r="L480" t="n">
        <v>0</v>
      </c>
      <c r="M480" t="n">
        <v>0</v>
      </c>
      <c r="N480" t="n">
        <v>0</v>
      </c>
      <c r="O480" t="n">
        <v>0</v>
      </c>
      <c r="P480" t="n">
        <v>0</v>
      </c>
      <c r="Q480" t="n">
        <v>0</v>
      </c>
      <c r="R480" s="2" t="inlineStr"/>
    </row>
    <row r="481" ht="15" customHeight="1">
      <c r="A481" t="inlineStr">
        <is>
          <t>A 35512-2023</t>
        </is>
      </c>
      <c r="B481" s="1" t="n">
        <v>45147</v>
      </c>
      <c r="C481" s="1" t="n">
        <v>46196</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11874-2024</t>
        </is>
      </c>
      <c r="B482" s="1" t="n">
        <v>45376</v>
      </c>
      <c r="C482" s="1" t="n">
        <v>46196</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64831-2023</t>
        </is>
      </c>
      <c r="B483" s="1" t="n">
        <v>45282</v>
      </c>
      <c r="C483" s="1" t="n">
        <v>46196</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7638-2025</t>
        </is>
      </c>
      <c r="B484" s="1" t="n">
        <v>45705</v>
      </c>
      <c r="C484" s="1" t="n">
        <v>46196</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4377-2023</t>
        </is>
      </c>
      <c r="B485" s="1" t="n">
        <v>44955</v>
      </c>
      <c r="C485" s="1" t="n">
        <v>46196</v>
      </c>
      <c r="D485" t="inlineStr">
        <is>
          <t>GOTLANDS LÄN</t>
        </is>
      </c>
      <c r="E485" t="inlineStr">
        <is>
          <t>GOTLAND</t>
        </is>
      </c>
      <c r="F485" t="inlineStr">
        <is>
          <t>Kyrkan</t>
        </is>
      </c>
      <c r="G485" t="n">
        <v>0.6</v>
      </c>
      <c r="H485" t="n">
        <v>0</v>
      </c>
      <c r="I485" t="n">
        <v>0</v>
      </c>
      <c r="J485" t="n">
        <v>0</v>
      </c>
      <c r="K485" t="n">
        <v>0</v>
      </c>
      <c r="L485" t="n">
        <v>0</v>
      </c>
      <c r="M485" t="n">
        <v>0</v>
      </c>
      <c r="N485" t="n">
        <v>0</v>
      </c>
      <c r="O485" t="n">
        <v>0</v>
      </c>
      <c r="P485" t="n">
        <v>0</v>
      </c>
      <c r="Q485" t="n">
        <v>0</v>
      </c>
      <c r="R485" s="2" t="inlineStr"/>
    </row>
    <row r="486" ht="15" customHeight="1">
      <c r="A486" t="inlineStr">
        <is>
          <t>A 43901-2023</t>
        </is>
      </c>
      <c r="B486" s="1" t="n">
        <v>45187</v>
      </c>
      <c r="C486" s="1" t="n">
        <v>46196</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17532-2024</t>
        </is>
      </c>
      <c r="B487" s="1" t="n">
        <v>45415</v>
      </c>
      <c r="C487" s="1" t="n">
        <v>46196</v>
      </c>
      <c r="D487" t="inlineStr">
        <is>
          <t>GOTLANDS LÄN</t>
        </is>
      </c>
      <c r="E487" t="inlineStr">
        <is>
          <t>GOTLAND</t>
        </is>
      </c>
      <c r="G487" t="n">
        <v>4.3</v>
      </c>
      <c r="H487" t="n">
        <v>0</v>
      </c>
      <c r="I487" t="n">
        <v>0</v>
      </c>
      <c r="J487" t="n">
        <v>0</v>
      </c>
      <c r="K487" t="n">
        <v>0</v>
      </c>
      <c r="L487" t="n">
        <v>0</v>
      </c>
      <c r="M487" t="n">
        <v>0</v>
      </c>
      <c r="N487" t="n">
        <v>0</v>
      </c>
      <c r="O487" t="n">
        <v>0</v>
      </c>
      <c r="P487" t="n">
        <v>0</v>
      </c>
      <c r="Q487" t="n">
        <v>0</v>
      </c>
      <c r="R487" s="2" t="inlineStr"/>
    </row>
    <row r="488" ht="15" customHeight="1">
      <c r="A488" t="inlineStr">
        <is>
          <t>A 46396-2023</t>
        </is>
      </c>
      <c r="B488" s="1" t="n">
        <v>45197</v>
      </c>
      <c r="C488" s="1" t="n">
        <v>46196</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58388-2022</t>
        </is>
      </c>
      <c r="B489" s="1" t="n">
        <v>44894</v>
      </c>
      <c r="C489" s="1" t="n">
        <v>46196</v>
      </c>
      <c r="D489" t="inlineStr">
        <is>
          <t>GOTLANDS LÄN</t>
        </is>
      </c>
      <c r="E489" t="inlineStr">
        <is>
          <t>GOTLAND</t>
        </is>
      </c>
      <c r="F489" t="inlineStr">
        <is>
          <t>Övriga statliga verk och myndigheter</t>
        </is>
      </c>
      <c r="G489" t="n">
        <v>3.1</v>
      </c>
      <c r="H489" t="n">
        <v>0</v>
      </c>
      <c r="I489" t="n">
        <v>0</v>
      </c>
      <c r="J489" t="n">
        <v>0</v>
      </c>
      <c r="K489" t="n">
        <v>0</v>
      </c>
      <c r="L489" t="n">
        <v>0</v>
      </c>
      <c r="M489" t="n">
        <v>0</v>
      </c>
      <c r="N489" t="n">
        <v>0</v>
      </c>
      <c r="O489" t="n">
        <v>0</v>
      </c>
      <c r="P489" t="n">
        <v>0</v>
      </c>
      <c r="Q489" t="n">
        <v>0</v>
      </c>
      <c r="R489" s="2" t="inlineStr"/>
    </row>
    <row r="490" ht="15" customHeight="1">
      <c r="A490" t="inlineStr">
        <is>
          <t>A 58132-2023</t>
        </is>
      </c>
      <c r="B490" s="1" t="n">
        <v>45250</v>
      </c>
      <c r="C490" s="1" t="n">
        <v>46196</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22899-2023</t>
        </is>
      </c>
      <c r="B491" s="1" t="n">
        <v>45072</v>
      </c>
      <c r="C491" s="1" t="n">
        <v>46196</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28285-2024</t>
        </is>
      </c>
      <c r="B492" s="1" t="n">
        <v>45477</v>
      </c>
      <c r="C492" s="1" t="n">
        <v>46196</v>
      </c>
      <c r="D492" t="inlineStr">
        <is>
          <t>GOTLANDS LÄN</t>
        </is>
      </c>
      <c r="E492" t="inlineStr">
        <is>
          <t>GOTLAND</t>
        </is>
      </c>
      <c r="G492" t="n">
        <v>1.6</v>
      </c>
      <c r="H492" t="n">
        <v>0</v>
      </c>
      <c r="I492" t="n">
        <v>0</v>
      </c>
      <c r="J492" t="n">
        <v>0</v>
      </c>
      <c r="K492" t="n">
        <v>0</v>
      </c>
      <c r="L492" t="n">
        <v>0</v>
      </c>
      <c r="M492" t="n">
        <v>0</v>
      </c>
      <c r="N492" t="n">
        <v>0</v>
      </c>
      <c r="O492" t="n">
        <v>0</v>
      </c>
      <c r="P492" t="n">
        <v>0</v>
      </c>
      <c r="Q492" t="n">
        <v>0</v>
      </c>
      <c r="R492" s="2" t="inlineStr"/>
    </row>
    <row r="493" ht="15" customHeight="1">
      <c r="A493" t="inlineStr">
        <is>
          <t>A 51963-2024</t>
        </is>
      </c>
      <c r="B493" s="1" t="n">
        <v>45607</v>
      </c>
      <c r="C493" s="1" t="n">
        <v>46196</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1734-2025</t>
        </is>
      </c>
      <c r="B494" s="1" t="n">
        <v>45671</v>
      </c>
      <c r="C494" s="1" t="n">
        <v>46196</v>
      </c>
      <c r="D494" t="inlineStr">
        <is>
          <t>GOTLANDS LÄN</t>
        </is>
      </c>
      <c r="E494" t="inlineStr">
        <is>
          <t>GOTLAND</t>
        </is>
      </c>
      <c r="G494" t="n">
        <v>1.9</v>
      </c>
      <c r="H494" t="n">
        <v>0</v>
      </c>
      <c r="I494" t="n">
        <v>0</v>
      </c>
      <c r="J494" t="n">
        <v>0</v>
      </c>
      <c r="K494" t="n">
        <v>0</v>
      </c>
      <c r="L494" t="n">
        <v>0</v>
      </c>
      <c r="M494" t="n">
        <v>0</v>
      </c>
      <c r="N494" t="n">
        <v>0</v>
      </c>
      <c r="O494" t="n">
        <v>0</v>
      </c>
      <c r="P494" t="n">
        <v>0</v>
      </c>
      <c r="Q494" t="n">
        <v>0</v>
      </c>
      <c r="R494" s="2" t="inlineStr"/>
    </row>
    <row r="495" ht="15" customHeight="1">
      <c r="A495" t="inlineStr">
        <is>
          <t>A 30365-2024</t>
        </is>
      </c>
      <c r="B495" s="1" t="n">
        <v>45491</v>
      </c>
      <c r="C495" s="1" t="n">
        <v>46196</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2674-2023</t>
        </is>
      </c>
      <c r="B496" s="1" t="n">
        <v>44944</v>
      </c>
      <c r="C496" s="1" t="n">
        <v>46196</v>
      </c>
      <c r="D496" t="inlineStr">
        <is>
          <t>GOTLANDS LÄN</t>
        </is>
      </c>
      <c r="E496" t="inlineStr">
        <is>
          <t>GOTLAND</t>
        </is>
      </c>
      <c r="G496" t="n">
        <v>2.5</v>
      </c>
      <c r="H496" t="n">
        <v>0</v>
      </c>
      <c r="I496" t="n">
        <v>0</v>
      </c>
      <c r="J496" t="n">
        <v>0</v>
      </c>
      <c r="K496" t="n">
        <v>0</v>
      </c>
      <c r="L496" t="n">
        <v>0</v>
      </c>
      <c r="M496" t="n">
        <v>0</v>
      </c>
      <c r="N496" t="n">
        <v>0</v>
      </c>
      <c r="O496" t="n">
        <v>0</v>
      </c>
      <c r="P496" t="n">
        <v>0</v>
      </c>
      <c r="Q496" t="n">
        <v>0</v>
      </c>
      <c r="R496" s="2" t="inlineStr"/>
    </row>
    <row r="497" ht="15" customHeight="1">
      <c r="A497" t="inlineStr">
        <is>
          <t>A 10655-2023</t>
        </is>
      </c>
      <c r="B497" s="1" t="n">
        <v>44988</v>
      </c>
      <c r="C497" s="1" t="n">
        <v>46196</v>
      </c>
      <c r="D497" t="inlineStr">
        <is>
          <t>GOTLANDS LÄN</t>
        </is>
      </c>
      <c r="E497" t="inlineStr">
        <is>
          <t>GOTLAND</t>
        </is>
      </c>
      <c r="F497" t="inlineStr">
        <is>
          <t>Kyrkan</t>
        </is>
      </c>
      <c r="G497" t="n">
        <v>2</v>
      </c>
      <c r="H497" t="n">
        <v>0</v>
      </c>
      <c r="I497" t="n">
        <v>0</v>
      </c>
      <c r="J497" t="n">
        <v>0</v>
      </c>
      <c r="K497" t="n">
        <v>0</v>
      </c>
      <c r="L497" t="n">
        <v>0</v>
      </c>
      <c r="M497" t="n">
        <v>0</v>
      </c>
      <c r="N497" t="n">
        <v>0</v>
      </c>
      <c r="O497" t="n">
        <v>0</v>
      </c>
      <c r="P497" t="n">
        <v>0</v>
      </c>
      <c r="Q497" t="n">
        <v>0</v>
      </c>
      <c r="R497" s="2" t="inlineStr"/>
    </row>
    <row r="498" ht="15" customHeight="1">
      <c r="A498" t="inlineStr">
        <is>
          <t>A 44649-2021</t>
        </is>
      </c>
      <c r="B498" s="1" t="n">
        <v>44437</v>
      </c>
      <c r="C498" s="1" t="n">
        <v>46196</v>
      </c>
      <c r="D498" t="inlineStr">
        <is>
          <t>GOTLANDS LÄN</t>
        </is>
      </c>
      <c r="E498" t="inlineStr">
        <is>
          <t>GOTLAND</t>
        </is>
      </c>
      <c r="G498" t="n">
        <v>8.1</v>
      </c>
      <c r="H498" t="n">
        <v>0</v>
      </c>
      <c r="I498" t="n">
        <v>0</v>
      </c>
      <c r="J498" t="n">
        <v>0</v>
      </c>
      <c r="K498" t="n">
        <v>0</v>
      </c>
      <c r="L498" t="n">
        <v>0</v>
      </c>
      <c r="M498" t="n">
        <v>0</v>
      </c>
      <c r="N498" t="n">
        <v>0</v>
      </c>
      <c r="O498" t="n">
        <v>0</v>
      </c>
      <c r="P498" t="n">
        <v>0</v>
      </c>
      <c r="Q498" t="n">
        <v>0</v>
      </c>
      <c r="R498" s="2" t="inlineStr"/>
    </row>
    <row r="499" ht="15" customHeight="1">
      <c r="A499" t="inlineStr">
        <is>
          <t>A 8484-2025</t>
        </is>
      </c>
      <c r="B499" s="1" t="n">
        <v>45709</v>
      </c>
      <c r="C499" s="1" t="n">
        <v>46196</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50744-2024</t>
        </is>
      </c>
      <c r="B500" s="1" t="n">
        <v>45602</v>
      </c>
      <c r="C500" s="1" t="n">
        <v>46196</v>
      </c>
      <c r="D500" t="inlineStr">
        <is>
          <t>GOTLANDS LÄN</t>
        </is>
      </c>
      <c r="E500" t="inlineStr">
        <is>
          <t>GOTLAND</t>
        </is>
      </c>
      <c r="G500" t="n">
        <v>3.2</v>
      </c>
      <c r="H500" t="n">
        <v>0</v>
      </c>
      <c r="I500" t="n">
        <v>0</v>
      </c>
      <c r="J500" t="n">
        <v>0</v>
      </c>
      <c r="K500" t="n">
        <v>0</v>
      </c>
      <c r="L500" t="n">
        <v>0</v>
      </c>
      <c r="M500" t="n">
        <v>0</v>
      </c>
      <c r="N500" t="n">
        <v>0</v>
      </c>
      <c r="O500" t="n">
        <v>0</v>
      </c>
      <c r="P500" t="n">
        <v>0</v>
      </c>
      <c r="Q500" t="n">
        <v>0</v>
      </c>
      <c r="R500" s="2" t="inlineStr"/>
    </row>
    <row r="501" ht="15" customHeight="1">
      <c r="A501" t="inlineStr">
        <is>
          <t>A 45244-2024</t>
        </is>
      </c>
      <c r="B501" s="1" t="n">
        <v>45576</v>
      </c>
      <c r="C501" s="1" t="n">
        <v>46196</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38787-2023</t>
        </is>
      </c>
      <c r="B502" s="1" t="n">
        <v>45163</v>
      </c>
      <c r="C502" s="1" t="n">
        <v>46196</v>
      </c>
      <c r="D502" t="inlineStr">
        <is>
          <t>GOTLANDS LÄN</t>
        </is>
      </c>
      <c r="E502" t="inlineStr">
        <is>
          <t>GOTLAND</t>
        </is>
      </c>
      <c r="G502" t="n">
        <v>0.4</v>
      </c>
      <c r="H502" t="n">
        <v>0</v>
      </c>
      <c r="I502" t="n">
        <v>0</v>
      </c>
      <c r="J502" t="n">
        <v>0</v>
      </c>
      <c r="K502" t="n">
        <v>0</v>
      </c>
      <c r="L502" t="n">
        <v>0</v>
      </c>
      <c r="M502" t="n">
        <v>0</v>
      </c>
      <c r="N502" t="n">
        <v>0</v>
      </c>
      <c r="O502" t="n">
        <v>0</v>
      </c>
      <c r="P502" t="n">
        <v>0</v>
      </c>
      <c r="Q502" t="n">
        <v>0</v>
      </c>
      <c r="R502" s="2" t="inlineStr"/>
    </row>
    <row r="503" ht="15" customHeight="1">
      <c r="A503" t="inlineStr">
        <is>
          <t>A 2714-2023</t>
        </is>
      </c>
      <c r="B503" s="1" t="n">
        <v>44944</v>
      </c>
      <c r="C503" s="1" t="n">
        <v>46196</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22897-2023</t>
        </is>
      </c>
      <c r="B504" s="1" t="n">
        <v>45072</v>
      </c>
      <c r="C504" s="1" t="n">
        <v>46196</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1681-2023</t>
        </is>
      </c>
      <c r="B505" s="1" t="n">
        <v>44938</v>
      </c>
      <c r="C505" s="1" t="n">
        <v>46196</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42338-2023</t>
        </is>
      </c>
      <c r="B506" s="1" t="n">
        <v>45180</v>
      </c>
      <c r="C506" s="1" t="n">
        <v>46196</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18918-2025</t>
        </is>
      </c>
      <c r="B507" s="1" t="n">
        <v>45764</v>
      </c>
      <c r="C507" s="1" t="n">
        <v>46196</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11013-2024</t>
        </is>
      </c>
      <c r="B508" s="1" t="n">
        <v>45370</v>
      </c>
      <c r="C508" s="1" t="n">
        <v>46196</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45084-2024</t>
        </is>
      </c>
      <c r="B509" s="1" t="n">
        <v>45575</v>
      </c>
      <c r="C509" s="1" t="n">
        <v>46196</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20356-2022</t>
        </is>
      </c>
      <c r="B510" s="1" t="n">
        <v>44699</v>
      </c>
      <c r="C510" s="1" t="n">
        <v>46196</v>
      </c>
      <c r="D510" t="inlineStr">
        <is>
          <t>GOTLANDS LÄN</t>
        </is>
      </c>
      <c r="E510" t="inlineStr">
        <is>
          <t>GOTLAND</t>
        </is>
      </c>
      <c r="F510" t="inlineStr">
        <is>
          <t>Övriga Aktiebolag</t>
        </is>
      </c>
      <c r="G510" t="n">
        <v>4.4</v>
      </c>
      <c r="H510" t="n">
        <v>0</v>
      </c>
      <c r="I510" t="n">
        <v>0</v>
      </c>
      <c r="J510" t="n">
        <v>0</v>
      </c>
      <c r="K510" t="n">
        <v>0</v>
      </c>
      <c r="L510" t="n">
        <v>0</v>
      </c>
      <c r="M510" t="n">
        <v>0</v>
      </c>
      <c r="N510" t="n">
        <v>0</v>
      </c>
      <c r="O510" t="n">
        <v>0</v>
      </c>
      <c r="P510" t="n">
        <v>0</v>
      </c>
      <c r="Q510" t="n">
        <v>0</v>
      </c>
      <c r="R510" s="2" t="inlineStr"/>
    </row>
    <row r="511" ht="15" customHeight="1">
      <c r="A511" t="inlineStr">
        <is>
          <t>A 5386-2023</t>
        </is>
      </c>
      <c r="B511" s="1" t="n">
        <v>44959</v>
      </c>
      <c r="C511" s="1" t="n">
        <v>46196</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5884-2025</t>
        </is>
      </c>
      <c r="B512" s="1" t="n">
        <v>45695</v>
      </c>
      <c r="C512" s="1" t="n">
        <v>46196</v>
      </c>
      <c r="D512" t="inlineStr">
        <is>
          <t>GOTLANDS LÄN</t>
        </is>
      </c>
      <c r="E512" t="inlineStr">
        <is>
          <t>GOTLAND</t>
        </is>
      </c>
      <c r="G512" t="n">
        <v>2.1</v>
      </c>
      <c r="H512" t="n">
        <v>0</v>
      </c>
      <c r="I512" t="n">
        <v>0</v>
      </c>
      <c r="J512" t="n">
        <v>0</v>
      </c>
      <c r="K512" t="n">
        <v>0</v>
      </c>
      <c r="L512" t="n">
        <v>0</v>
      </c>
      <c r="M512" t="n">
        <v>0</v>
      </c>
      <c r="N512" t="n">
        <v>0</v>
      </c>
      <c r="O512" t="n">
        <v>0</v>
      </c>
      <c r="P512" t="n">
        <v>0</v>
      </c>
      <c r="Q512" t="n">
        <v>0</v>
      </c>
      <c r="R512" s="2" t="inlineStr"/>
    </row>
    <row r="513" ht="15" customHeight="1">
      <c r="A513" t="inlineStr">
        <is>
          <t>A 5897-2025</t>
        </is>
      </c>
      <c r="B513" s="1" t="n">
        <v>45695</v>
      </c>
      <c r="C513" s="1" t="n">
        <v>46196</v>
      </c>
      <c r="D513" t="inlineStr">
        <is>
          <t>GOTLANDS LÄN</t>
        </is>
      </c>
      <c r="E513" t="inlineStr">
        <is>
          <t>GOTLAND</t>
        </is>
      </c>
      <c r="G513" t="n">
        <v>3.7</v>
      </c>
      <c r="H513" t="n">
        <v>0</v>
      </c>
      <c r="I513" t="n">
        <v>0</v>
      </c>
      <c r="J513" t="n">
        <v>0</v>
      </c>
      <c r="K513" t="n">
        <v>0</v>
      </c>
      <c r="L513" t="n">
        <v>0</v>
      </c>
      <c r="M513" t="n">
        <v>0</v>
      </c>
      <c r="N513" t="n">
        <v>0</v>
      </c>
      <c r="O513" t="n">
        <v>0</v>
      </c>
      <c r="P513" t="n">
        <v>0</v>
      </c>
      <c r="Q513" t="n">
        <v>0</v>
      </c>
      <c r="R513" s="2" t="inlineStr"/>
    </row>
    <row r="514" ht="15" customHeight="1">
      <c r="A514" t="inlineStr">
        <is>
          <t>A 5909-2025</t>
        </is>
      </c>
      <c r="B514" s="1" t="n">
        <v>45695</v>
      </c>
      <c r="C514" s="1" t="n">
        <v>46196</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60086-2022</t>
        </is>
      </c>
      <c r="B515" s="1" t="n">
        <v>44909</v>
      </c>
      <c r="C515" s="1" t="n">
        <v>46196</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22704-2023</t>
        </is>
      </c>
      <c r="B516" s="1" t="n">
        <v>45071</v>
      </c>
      <c r="C516" s="1" t="n">
        <v>46196</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25866-2022</t>
        </is>
      </c>
      <c r="B517" s="1" t="n">
        <v>44733</v>
      </c>
      <c r="C517" s="1" t="n">
        <v>46196</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9887-2025</t>
        </is>
      </c>
      <c r="B518" s="1" t="n">
        <v>45716</v>
      </c>
      <c r="C518" s="1" t="n">
        <v>46196</v>
      </c>
      <c r="D518" t="inlineStr">
        <is>
          <t>GOTLANDS LÄN</t>
        </is>
      </c>
      <c r="E518" t="inlineStr">
        <is>
          <t>GOTLAND</t>
        </is>
      </c>
      <c r="G518" t="n">
        <v>7.5</v>
      </c>
      <c r="H518" t="n">
        <v>0</v>
      </c>
      <c r="I518" t="n">
        <v>0</v>
      </c>
      <c r="J518" t="n">
        <v>0</v>
      </c>
      <c r="K518" t="n">
        <v>0</v>
      </c>
      <c r="L518" t="n">
        <v>0</v>
      </c>
      <c r="M518" t="n">
        <v>0</v>
      </c>
      <c r="N518" t="n">
        <v>0</v>
      </c>
      <c r="O518" t="n">
        <v>0</v>
      </c>
      <c r="P518" t="n">
        <v>0</v>
      </c>
      <c r="Q518" t="n">
        <v>0</v>
      </c>
      <c r="R518" s="2" t="inlineStr"/>
    </row>
    <row r="519" ht="15" customHeight="1">
      <c r="A519" t="inlineStr">
        <is>
          <t>A 12210-2024</t>
        </is>
      </c>
      <c r="B519" s="1" t="n">
        <v>45378</v>
      </c>
      <c r="C519" s="1" t="n">
        <v>46196</v>
      </c>
      <c r="D519" t="inlineStr">
        <is>
          <t>GOTLANDS LÄN</t>
        </is>
      </c>
      <c r="E519" t="inlineStr">
        <is>
          <t>GOTLAND</t>
        </is>
      </c>
      <c r="G519" t="n">
        <v>4.1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46196</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31802-2024</t>
        </is>
      </c>
      <c r="B521" s="1" t="n">
        <v>45509</v>
      </c>
      <c r="C521" s="1" t="n">
        <v>46196</v>
      </c>
      <c r="D521" t="inlineStr">
        <is>
          <t>GOTLANDS LÄN</t>
        </is>
      </c>
      <c r="E521" t="inlineStr">
        <is>
          <t>GOTLAND</t>
        </is>
      </c>
      <c r="G521" t="n">
        <v>2.8</v>
      </c>
      <c r="H521" t="n">
        <v>0</v>
      </c>
      <c r="I521" t="n">
        <v>0</v>
      </c>
      <c r="J521" t="n">
        <v>0</v>
      </c>
      <c r="K521" t="n">
        <v>0</v>
      </c>
      <c r="L521" t="n">
        <v>0</v>
      </c>
      <c r="M521" t="n">
        <v>0</v>
      </c>
      <c r="N521" t="n">
        <v>0</v>
      </c>
      <c r="O521" t="n">
        <v>0</v>
      </c>
      <c r="P521" t="n">
        <v>0</v>
      </c>
      <c r="Q521" t="n">
        <v>0</v>
      </c>
      <c r="R521" s="2" t="inlineStr"/>
    </row>
    <row r="522" ht="15" customHeight="1">
      <c r="A522" t="inlineStr">
        <is>
          <t>A 20993-2023</t>
        </is>
      </c>
      <c r="B522" s="1" t="n">
        <v>45056</v>
      </c>
      <c r="C522" s="1" t="n">
        <v>46196</v>
      </c>
      <c r="D522" t="inlineStr">
        <is>
          <t>GOTLANDS LÄN</t>
        </is>
      </c>
      <c r="E522" t="inlineStr">
        <is>
          <t>GOTLAND</t>
        </is>
      </c>
      <c r="G522" t="n">
        <v>7.1</v>
      </c>
      <c r="H522" t="n">
        <v>0</v>
      </c>
      <c r="I522" t="n">
        <v>0</v>
      </c>
      <c r="J522" t="n">
        <v>0</v>
      </c>
      <c r="K522" t="n">
        <v>0</v>
      </c>
      <c r="L522" t="n">
        <v>0</v>
      </c>
      <c r="M522" t="n">
        <v>0</v>
      </c>
      <c r="N522" t="n">
        <v>0</v>
      </c>
      <c r="O522" t="n">
        <v>0</v>
      </c>
      <c r="P522" t="n">
        <v>0</v>
      </c>
      <c r="Q522" t="n">
        <v>0</v>
      </c>
      <c r="R522" s="2" t="inlineStr"/>
    </row>
    <row r="523" ht="15" customHeight="1">
      <c r="A523" t="inlineStr">
        <is>
          <t>A 4420-2025</t>
        </is>
      </c>
      <c r="B523" s="1" t="n">
        <v>45686</v>
      </c>
      <c r="C523" s="1" t="n">
        <v>46196</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14427-2024</t>
        </is>
      </c>
      <c r="B524" s="1" t="n">
        <v>45394</v>
      </c>
      <c r="C524" s="1" t="n">
        <v>46196</v>
      </c>
      <c r="D524" t="inlineStr">
        <is>
          <t>GOTLANDS LÄN</t>
        </is>
      </c>
      <c r="E524" t="inlineStr">
        <is>
          <t>GOTLAND</t>
        </is>
      </c>
      <c r="G524" t="n">
        <v>1.3</v>
      </c>
      <c r="H524" t="n">
        <v>0</v>
      </c>
      <c r="I524" t="n">
        <v>0</v>
      </c>
      <c r="J524" t="n">
        <v>0</v>
      </c>
      <c r="K524" t="n">
        <v>0</v>
      </c>
      <c r="L524" t="n">
        <v>0</v>
      </c>
      <c r="M524" t="n">
        <v>0</v>
      </c>
      <c r="N524" t="n">
        <v>0</v>
      </c>
      <c r="O524" t="n">
        <v>0</v>
      </c>
      <c r="P524" t="n">
        <v>0</v>
      </c>
      <c r="Q524" t="n">
        <v>0</v>
      </c>
      <c r="R524" s="2" t="inlineStr"/>
    </row>
    <row r="525" ht="15" customHeight="1">
      <c r="A525" t="inlineStr">
        <is>
          <t>A 49257-2024</t>
        </is>
      </c>
      <c r="B525" s="1" t="n">
        <v>45595</v>
      </c>
      <c r="C525" s="1" t="n">
        <v>46196</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49315-2024</t>
        </is>
      </c>
      <c r="B526" s="1" t="n">
        <v>45595</v>
      </c>
      <c r="C526" s="1" t="n">
        <v>46196</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27596-2023</t>
        </is>
      </c>
      <c r="B527" s="1" t="n">
        <v>45097</v>
      </c>
      <c r="C527" s="1" t="n">
        <v>46196</v>
      </c>
      <c r="D527" t="inlineStr">
        <is>
          <t>GOTLANDS LÄN</t>
        </is>
      </c>
      <c r="E527" t="inlineStr">
        <is>
          <t>GOTLAND</t>
        </is>
      </c>
      <c r="G527" t="n">
        <v>3.6</v>
      </c>
      <c r="H527" t="n">
        <v>0</v>
      </c>
      <c r="I527" t="n">
        <v>0</v>
      </c>
      <c r="J527" t="n">
        <v>0</v>
      </c>
      <c r="K527" t="n">
        <v>0</v>
      </c>
      <c r="L527" t="n">
        <v>0</v>
      </c>
      <c r="M527" t="n">
        <v>0</v>
      </c>
      <c r="N527" t="n">
        <v>0</v>
      </c>
      <c r="O527" t="n">
        <v>0</v>
      </c>
      <c r="P527" t="n">
        <v>0</v>
      </c>
      <c r="Q527" t="n">
        <v>0</v>
      </c>
      <c r="R527" s="2" t="inlineStr"/>
    </row>
    <row r="528" ht="15" customHeight="1">
      <c r="A528" t="inlineStr">
        <is>
          <t>A 64969-2023</t>
        </is>
      </c>
      <c r="B528" s="1" t="n">
        <v>45284</v>
      </c>
      <c r="C528" s="1" t="n">
        <v>46196</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18223-2025</t>
        </is>
      </c>
      <c r="B529" s="1" t="n">
        <v>45761</v>
      </c>
      <c r="C529" s="1" t="n">
        <v>46196</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46949-2024</t>
        </is>
      </c>
      <c r="B530" s="1" t="n">
        <v>45585</v>
      </c>
      <c r="C530" s="1" t="n">
        <v>46196</v>
      </c>
      <c r="D530" t="inlineStr">
        <is>
          <t>GOTLANDS LÄN</t>
        </is>
      </c>
      <c r="E530" t="inlineStr">
        <is>
          <t>GOTLAND</t>
        </is>
      </c>
      <c r="G530" t="n">
        <v>0.6</v>
      </c>
      <c r="H530" t="n">
        <v>0</v>
      </c>
      <c r="I530" t="n">
        <v>0</v>
      </c>
      <c r="J530" t="n">
        <v>0</v>
      </c>
      <c r="K530" t="n">
        <v>0</v>
      </c>
      <c r="L530" t="n">
        <v>0</v>
      </c>
      <c r="M530" t="n">
        <v>0</v>
      </c>
      <c r="N530" t="n">
        <v>0</v>
      </c>
      <c r="O530" t="n">
        <v>0</v>
      </c>
      <c r="P530" t="n">
        <v>0</v>
      </c>
      <c r="Q530" t="n">
        <v>0</v>
      </c>
      <c r="R530" s="2" t="inlineStr"/>
    </row>
    <row r="531" ht="15" customHeight="1">
      <c r="A531" t="inlineStr">
        <is>
          <t>A 39479-2022</t>
        </is>
      </c>
      <c r="B531" s="1" t="n">
        <v>44818</v>
      </c>
      <c r="C531" s="1" t="n">
        <v>46196</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39496-2022</t>
        </is>
      </c>
      <c r="B532" s="1" t="n">
        <v>44818</v>
      </c>
      <c r="C532" s="1" t="n">
        <v>46196</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46389-2021</t>
        </is>
      </c>
      <c r="B533" s="1" t="n">
        <v>44443</v>
      </c>
      <c r="C533" s="1" t="n">
        <v>46196</v>
      </c>
      <c r="D533" t="inlineStr">
        <is>
          <t>GOTLANDS LÄN</t>
        </is>
      </c>
      <c r="E533" t="inlineStr">
        <is>
          <t>GOTLAND</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44949-2023</t>
        </is>
      </c>
      <c r="B534" s="1" t="n">
        <v>45190</v>
      </c>
      <c r="C534" s="1" t="n">
        <v>46196</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17682-2024</t>
        </is>
      </c>
      <c r="B535" s="1" t="n">
        <v>45418</v>
      </c>
      <c r="C535" s="1" t="n">
        <v>46196</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61897-2024</t>
        </is>
      </c>
      <c r="B536" s="1" t="n">
        <v>45652</v>
      </c>
      <c r="C536" s="1" t="n">
        <v>46196</v>
      </c>
      <c r="D536" t="inlineStr">
        <is>
          <t>GOTLANDS LÄN</t>
        </is>
      </c>
      <c r="E536" t="inlineStr">
        <is>
          <t>GOTLAND</t>
        </is>
      </c>
      <c r="G536" t="n">
        <v>6.4</v>
      </c>
      <c r="H536" t="n">
        <v>0</v>
      </c>
      <c r="I536" t="n">
        <v>0</v>
      </c>
      <c r="J536" t="n">
        <v>0</v>
      </c>
      <c r="K536" t="n">
        <v>0</v>
      </c>
      <c r="L536" t="n">
        <v>0</v>
      </c>
      <c r="M536" t="n">
        <v>0</v>
      </c>
      <c r="N536" t="n">
        <v>0</v>
      </c>
      <c r="O536" t="n">
        <v>0</v>
      </c>
      <c r="P536" t="n">
        <v>0</v>
      </c>
      <c r="Q536" t="n">
        <v>0</v>
      </c>
      <c r="R536" s="2" t="inlineStr"/>
    </row>
    <row r="537" ht="15" customHeight="1">
      <c r="A537" t="inlineStr">
        <is>
          <t>A 12032-2025</t>
        </is>
      </c>
      <c r="B537" s="1" t="n">
        <v>45728</v>
      </c>
      <c r="C537" s="1" t="n">
        <v>46196</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15595-2024</t>
        </is>
      </c>
      <c r="B538" s="1" t="n">
        <v>45401</v>
      </c>
      <c r="C538" s="1" t="n">
        <v>46196</v>
      </c>
      <c r="D538" t="inlineStr">
        <is>
          <t>GOTLANDS LÄN</t>
        </is>
      </c>
      <c r="E538" t="inlineStr">
        <is>
          <t>GOTLAND</t>
        </is>
      </c>
      <c r="G538" t="n">
        <v>6.4</v>
      </c>
      <c r="H538" t="n">
        <v>0</v>
      </c>
      <c r="I538" t="n">
        <v>0</v>
      </c>
      <c r="J538" t="n">
        <v>0</v>
      </c>
      <c r="K538" t="n">
        <v>0</v>
      </c>
      <c r="L538" t="n">
        <v>0</v>
      </c>
      <c r="M538" t="n">
        <v>0</v>
      </c>
      <c r="N538" t="n">
        <v>0</v>
      </c>
      <c r="O538" t="n">
        <v>0</v>
      </c>
      <c r="P538" t="n">
        <v>0</v>
      </c>
      <c r="Q538" t="n">
        <v>0</v>
      </c>
      <c r="R538" s="2" t="inlineStr"/>
    </row>
    <row r="539" ht="15" customHeight="1">
      <c r="A539" t="inlineStr">
        <is>
          <t>A 21164-2024</t>
        </is>
      </c>
      <c r="B539" s="1" t="n">
        <v>45440</v>
      </c>
      <c r="C539" s="1" t="n">
        <v>46196</v>
      </c>
      <c r="D539" t="inlineStr">
        <is>
          <t>GOTLANDS LÄN</t>
        </is>
      </c>
      <c r="E539" t="inlineStr">
        <is>
          <t>GOTLAND</t>
        </is>
      </c>
      <c r="G539" t="n">
        <v>6.3</v>
      </c>
      <c r="H539" t="n">
        <v>0</v>
      </c>
      <c r="I539" t="n">
        <v>0</v>
      </c>
      <c r="J539" t="n">
        <v>0</v>
      </c>
      <c r="K539" t="n">
        <v>0</v>
      </c>
      <c r="L539" t="n">
        <v>0</v>
      </c>
      <c r="M539" t="n">
        <v>0</v>
      </c>
      <c r="N539" t="n">
        <v>0</v>
      </c>
      <c r="O539" t="n">
        <v>0</v>
      </c>
      <c r="P539" t="n">
        <v>0</v>
      </c>
      <c r="Q539" t="n">
        <v>0</v>
      </c>
      <c r="R539" s="2" t="inlineStr"/>
    </row>
    <row r="540" ht="15" customHeight="1">
      <c r="A540" t="inlineStr">
        <is>
          <t>A 17541-2024</t>
        </is>
      </c>
      <c r="B540" s="1" t="n">
        <v>45415</v>
      </c>
      <c r="C540" s="1" t="n">
        <v>46196</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c r="A541" t="inlineStr">
        <is>
          <t>A 21389-2025</t>
        </is>
      </c>
      <c r="B541" s="1" t="n">
        <v>45782</v>
      </c>
      <c r="C541" s="1" t="n">
        <v>46196</v>
      </c>
      <c r="D541" t="inlineStr">
        <is>
          <t>GOTLANDS LÄN</t>
        </is>
      </c>
      <c r="E541" t="inlineStr">
        <is>
          <t>GOTLAND</t>
        </is>
      </c>
      <c r="G541" t="n">
        <v>4.1</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2026-06-23T04:29:18Z</dcterms:created>
  <dcterms:modified xmlns:dcterms="http://purl.org/dc/terms/" xmlns:xsi="http://www.w3.org/2001/XMLSchema-instance" xsi:type="dcterms:W3CDTF">2026-06-23T04:29:18Z</dcterms:modified>
</cp:coreProperties>
</file>