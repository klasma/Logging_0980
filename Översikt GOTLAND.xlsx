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46105</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46105</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46105</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445-2023</t>
        </is>
      </c>
      <c r="B16" s="1" t="n">
        <v>44929</v>
      </c>
      <c r="C16" s="1" t="n">
        <v>46105</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40235-2025</t>
        </is>
      </c>
      <c r="B17" s="1" t="n">
        <v>45894</v>
      </c>
      <c r="C17" s="1" t="n">
        <v>46105</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46105</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46105</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46105</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46105</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6153-2024</t>
        </is>
      </c>
      <c r="B23" s="1" t="n">
        <v>45337</v>
      </c>
      <c r="C23" s="1" t="n">
        <v>46105</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46105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46105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46105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46105</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61697-2023</t>
        </is>
      </c>
      <c r="B28" s="1" t="n">
        <v>45265</v>
      </c>
      <c r="C28" s="1" t="n">
        <v>46105</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17762-2024</t>
        </is>
      </c>
      <c r="B29" s="1" t="n">
        <v>45418</v>
      </c>
      <c r="C29" s="1" t="n">
        <v>46105</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46105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46105</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46105</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46105</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46105</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46105</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46105</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46105</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46105</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46105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46105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46105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46105</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46105</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46105</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46105</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46105</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14354-2024</t>
        </is>
      </c>
      <c r="B47" s="1" t="n">
        <v>45393</v>
      </c>
      <c r="C47" s="1" t="n">
        <v>46105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45248-2024</t>
        </is>
      </c>
      <c r="B48" s="1" t="n">
        <v>45576</v>
      </c>
      <c r="C48" s="1" t="n">
        <v>46105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46105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46105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46105</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46105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46105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46105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46105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46105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46105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46105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46105</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46105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46105</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46105</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46105</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46105</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46105</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46105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46105</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46105</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57773-2025</t>
        </is>
      </c>
      <c r="B72" s="1" t="n">
        <v>45981.56349537037</v>
      </c>
      <c r="C72" s="1" t="n">
        <v>46105</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54527-2023</t>
        </is>
      </c>
      <c r="B73" s="1" t="n">
        <v>45233</v>
      </c>
      <c r="C73" s="1" t="n">
        <v>46105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46105</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46105</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54527-2023</t>
        </is>
      </c>
      <c r="B76" s="1" t="n">
        <v>45233</v>
      </c>
      <c r="C76" s="1" t="n">
        <v>46105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46105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46105</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46105</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46105</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6839-2026</t>
        </is>
      </c>
      <c r="B81" s="1" t="n">
        <v>46057.41193287037</v>
      </c>
      <c r="C81" s="1" t="n">
        <v>46105</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35293-2025</t>
        </is>
      </c>
      <c r="B82" s="1" t="n">
        <v>45854.39438657407</v>
      </c>
      <c r="C82" s="1" t="n">
        <v>46105</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46105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46105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46105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46105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46105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46105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46105</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46105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5904-2024</t>
        </is>
      </c>
      <c r="B91" s="1" t="n">
        <v>45335</v>
      </c>
      <c r="C91" s="1" t="n">
        <v>46105</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1971-2023</t>
        </is>
      </c>
      <c r="B92" s="1" t="n">
        <v>44939</v>
      </c>
      <c r="C92" s="1" t="n">
        <v>46105</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40099-2025</t>
        </is>
      </c>
      <c r="B93" s="1" t="n">
        <v>45894.48462962963</v>
      </c>
      <c r="C93" s="1" t="n">
        <v>46105</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13203-2026</t>
        </is>
      </c>
      <c r="B94" s="1" t="n">
        <v>46093</v>
      </c>
      <c r="C94" s="1" t="n">
        <v>46105</v>
      </c>
      <c r="D94" t="inlineStr">
        <is>
          <t>GOTLANDS LÄN</t>
        </is>
      </c>
      <c r="E94" t="inlineStr">
        <is>
          <t>GOTLAND</t>
        </is>
      </c>
      <c r="G94" t="n">
        <v>4.5</v>
      </c>
      <c r="H94" t="n">
        <v>2</v>
      </c>
      <c r="I94" t="n">
        <v>1</v>
      </c>
      <c r="J94" t="n">
        <v>1</v>
      </c>
      <c r="K94" t="n">
        <v>1</v>
      </c>
      <c r="L94" t="n">
        <v>0</v>
      </c>
      <c r="M94" t="n">
        <v>0</v>
      </c>
      <c r="N94" t="n">
        <v>0</v>
      </c>
      <c r="O94" t="n">
        <v>2</v>
      </c>
      <c r="P94" t="n">
        <v>1</v>
      </c>
      <c r="Q94" t="n">
        <v>4</v>
      </c>
      <c r="R94" s="2" t="inlineStr">
        <is>
          <t>Gotlandsmåra
Svinrot
Nästrot
Grönvit nattviol</t>
        </is>
      </c>
      <c r="S94">
        <f>HYPERLINK("https://klasma.github.io/Logging_0980/artfynd/A 13203-2026 artfynd.xlsx", "A 13203-2026")</f>
        <v/>
      </c>
      <c r="T94">
        <f>HYPERLINK("https://klasma.github.io/Logging_0980/kartor/A 13203-2026 karta.png", "A 13203-2026")</f>
        <v/>
      </c>
      <c r="V94">
        <f>HYPERLINK("https://klasma.github.io/Logging_0980/klagomål/A 13203-2026 FSC-klagomål.docx", "A 13203-2026")</f>
        <v/>
      </c>
      <c r="W94">
        <f>HYPERLINK("https://klasma.github.io/Logging_0980/klagomålsmail/A 13203-2026 FSC-klagomål mail.docx", "A 13203-2026")</f>
        <v/>
      </c>
      <c r="X94">
        <f>HYPERLINK("https://klasma.github.io/Logging_0980/tillsyn/A 13203-2026 tillsynsbegäran.docx", "A 13203-2026")</f>
        <v/>
      </c>
      <c r="Y94">
        <f>HYPERLINK("https://klasma.github.io/Logging_0980/tillsynsmail/A 13203-2026 tillsynsbegäran mail.docx", "A 13203-2026")</f>
        <v/>
      </c>
    </row>
    <row r="95" ht="15" customHeight="1">
      <c r="A95" t="inlineStr">
        <is>
          <t>A 6836-2026</t>
        </is>
      </c>
      <c r="B95" s="1" t="n">
        <v>46057.40902777778</v>
      </c>
      <c r="C95" s="1" t="n">
        <v>46105</v>
      </c>
      <c r="D95" t="inlineStr">
        <is>
          <t>GOTLANDS LÄN</t>
        </is>
      </c>
      <c r="E95" t="inlineStr">
        <is>
          <t>GOTLAND</t>
        </is>
      </c>
      <c r="G95" t="n">
        <v>3.8</v>
      </c>
      <c r="H95" t="n">
        <v>1</v>
      </c>
      <c r="I95" t="n">
        <v>3</v>
      </c>
      <c r="J95" t="n">
        <v>0</v>
      </c>
      <c r="K95" t="n">
        <v>1</v>
      </c>
      <c r="L95" t="n">
        <v>0</v>
      </c>
      <c r="M95" t="n">
        <v>0</v>
      </c>
      <c r="N95" t="n">
        <v>0</v>
      </c>
      <c r="O95" t="n">
        <v>1</v>
      </c>
      <c r="P95" t="n">
        <v>1</v>
      </c>
      <c r="Q95" t="n">
        <v>4</v>
      </c>
      <c r="R95" s="2" t="inlineStr">
        <is>
          <t>Knärot
Fransig jordstjärna
Rödgul trumpetsvamp
Svavelriska</t>
        </is>
      </c>
      <c r="S95">
        <f>HYPERLINK("https://klasma.github.io/Logging_0980/artfynd/A 6836-2026 artfynd.xlsx", "A 6836-2026")</f>
        <v/>
      </c>
      <c r="T95">
        <f>HYPERLINK("https://klasma.github.io/Logging_0980/kartor/A 6836-2026 karta.png", "A 6836-2026")</f>
        <v/>
      </c>
      <c r="U95">
        <f>HYPERLINK("https://klasma.github.io/Logging_0980/knärot/A 6836-2026 karta knärot.png", "A 6836-2026")</f>
        <v/>
      </c>
      <c r="V95">
        <f>HYPERLINK("https://klasma.github.io/Logging_0980/klagomål/A 6836-2026 FSC-klagomål.docx", "A 6836-2026")</f>
        <v/>
      </c>
      <c r="W95">
        <f>HYPERLINK("https://klasma.github.io/Logging_0980/klagomålsmail/A 6836-2026 FSC-klagomål mail.docx", "A 6836-2026")</f>
        <v/>
      </c>
      <c r="X95">
        <f>HYPERLINK("https://klasma.github.io/Logging_0980/tillsyn/A 6836-2026 tillsynsbegäran.docx", "A 6836-2026")</f>
        <v/>
      </c>
      <c r="Y95">
        <f>HYPERLINK("https://klasma.github.io/Logging_0980/tillsynsmail/A 6836-2026 tillsynsbegäran mail.docx", "A 6836-2026")</f>
        <v/>
      </c>
    </row>
    <row r="96" ht="15" customHeight="1">
      <c r="A96" t="inlineStr">
        <is>
          <t>A 20833-2024</t>
        </is>
      </c>
      <c r="B96" s="1" t="n">
        <v>45439</v>
      </c>
      <c r="C96" s="1" t="n">
        <v>46105</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54523-2023</t>
        </is>
      </c>
      <c r="B97" s="1" t="n">
        <v>45233</v>
      </c>
      <c r="C97" s="1" t="n">
        <v>46105</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57463-2025</t>
        </is>
      </c>
      <c r="B98" s="1" t="n">
        <v>45980.54174768519</v>
      </c>
      <c r="C98" s="1" t="n">
        <v>46105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46105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44933-2022</t>
        </is>
      </c>
      <c r="B100" s="1" t="n">
        <v>44841</v>
      </c>
      <c r="C100" s="1" t="n">
        <v>46105</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46105</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46105</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46105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46105</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46105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46105</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30490-2025</t>
        </is>
      </c>
      <c r="B109" s="1" t="n">
        <v>45830</v>
      </c>
      <c r="C109" s="1" t="n">
        <v>46105</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55334-2024</t>
        </is>
      </c>
      <c r="B110" s="1" t="n">
        <v>45621</v>
      </c>
      <c r="C110" s="1" t="n">
        <v>46105</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20831-2024</t>
        </is>
      </c>
      <c r="B111" s="1" t="n">
        <v>45439</v>
      </c>
      <c r="C111" s="1" t="n">
        <v>46105</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49709-2025</t>
        </is>
      </c>
      <c r="B112" s="1" t="n">
        <v>45939.68228009259</v>
      </c>
      <c r="C112" s="1" t="n">
        <v>46105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43013-2022</t>
        </is>
      </c>
      <c r="B113" s="1" t="n">
        <v>44833</v>
      </c>
      <c r="C113" s="1" t="n">
        <v>46105</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46105</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46105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1520-2026</t>
        </is>
      </c>
      <c r="B116" s="1" t="n">
        <v>46034.35891203704</v>
      </c>
      <c r="C116" s="1" t="n">
        <v>46105</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17982-2023</t>
        </is>
      </c>
      <c r="B117" s="1" t="n">
        <v>45040</v>
      </c>
      <c r="C117" s="1" t="n">
        <v>46105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46105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46105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46105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46105</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46105</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46105</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46105</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46105</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46105</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46105</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63162-2025</t>
        </is>
      </c>
      <c r="B129" s="1" t="n">
        <v>46010.37629629629</v>
      </c>
      <c r="C129" s="1" t="n">
        <v>46105</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20838-2024</t>
        </is>
      </c>
      <c r="B130" s="1" t="n">
        <v>45439</v>
      </c>
      <c r="C130" s="1" t="n">
        <v>46105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10274-2026</t>
        </is>
      </c>
      <c r="B131" s="1" t="n">
        <v>46076.58261574074</v>
      </c>
      <c r="C131" s="1" t="n">
        <v>46105</v>
      </c>
      <c r="D131" t="inlineStr">
        <is>
          <t>GOTLANDS LÄN</t>
        </is>
      </c>
      <c r="E131" t="inlineStr">
        <is>
          <t>GOTLAND</t>
        </is>
      </c>
      <c r="G131" t="n">
        <v>9.800000000000001</v>
      </c>
      <c r="H131" t="n">
        <v>1</v>
      </c>
      <c r="I131" t="n">
        <v>0</v>
      </c>
      <c r="J131" t="n">
        <v>0</v>
      </c>
      <c r="K131" t="n">
        <v>1</v>
      </c>
      <c r="L131" t="n">
        <v>0</v>
      </c>
      <c r="M131" t="n">
        <v>0</v>
      </c>
      <c r="N131" t="n">
        <v>0</v>
      </c>
      <c r="O131" t="n">
        <v>1</v>
      </c>
      <c r="P131" t="n">
        <v>1</v>
      </c>
      <c r="Q131" t="n">
        <v>2</v>
      </c>
      <c r="R131" s="2" t="inlineStr">
        <is>
          <t>Gråfingerört
Alvarstånds</t>
        </is>
      </c>
      <c r="S131">
        <f>HYPERLINK("https://klasma.github.io/Logging_0980/artfynd/A 10274-2026 artfynd.xlsx", "A 10274-2026")</f>
        <v/>
      </c>
      <c r="T131">
        <f>HYPERLINK("https://klasma.github.io/Logging_0980/kartor/A 10274-2026 karta.png", "A 10274-2026")</f>
        <v/>
      </c>
      <c r="V131">
        <f>HYPERLINK("https://klasma.github.io/Logging_0980/klagomål/A 10274-2026 FSC-klagomål.docx", "A 10274-2026")</f>
        <v/>
      </c>
      <c r="W131">
        <f>HYPERLINK("https://klasma.github.io/Logging_0980/klagomålsmail/A 10274-2026 FSC-klagomål mail.docx", "A 10274-2026")</f>
        <v/>
      </c>
      <c r="X131">
        <f>HYPERLINK("https://klasma.github.io/Logging_0980/tillsyn/A 10274-2026 tillsynsbegäran.docx", "A 10274-2026")</f>
        <v/>
      </c>
      <c r="Y131">
        <f>HYPERLINK("https://klasma.github.io/Logging_0980/tillsynsmail/A 10274-2026 tillsynsbegäran mail.docx", "A 10274-2026")</f>
        <v/>
      </c>
    </row>
    <row r="132" ht="15" customHeight="1">
      <c r="A132" t="inlineStr">
        <is>
          <t>A 62760-2025</t>
        </is>
      </c>
      <c r="B132" s="1" t="n">
        <v>46008</v>
      </c>
      <c r="C132" s="1" t="n">
        <v>46105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46105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46105</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46105</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46105</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46105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46105</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46105</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46105</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46105</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46105</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46105</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44304-2021</t>
        </is>
      </c>
      <c r="B145" s="1" t="n">
        <v>44434</v>
      </c>
      <c r="C145" s="1" t="n">
        <v>46105</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25977-2024</t>
        </is>
      </c>
      <c r="B146" s="1" t="n">
        <v>45467.69356481481</v>
      </c>
      <c r="C146" s="1" t="n">
        <v>46105</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65927-2021</t>
        </is>
      </c>
      <c r="B147" s="1" t="n">
        <v>44516</v>
      </c>
      <c r="C147" s="1" t="n">
        <v>46105</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26461-2025</t>
        </is>
      </c>
      <c r="B148" s="1" t="n">
        <v>45807.43337962963</v>
      </c>
      <c r="C148" s="1" t="n">
        <v>46105</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11708-2026</t>
        </is>
      </c>
      <c r="B149" s="1" t="n">
        <v>46084</v>
      </c>
      <c r="C149" s="1" t="n">
        <v>46105</v>
      </c>
      <c r="D149" t="inlineStr">
        <is>
          <t>GOTLANDS LÄN</t>
        </is>
      </c>
      <c r="E149" t="inlineStr">
        <is>
          <t>GOTLAND</t>
        </is>
      </c>
      <c r="G149" t="n">
        <v>8.4</v>
      </c>
      <c r="H149" t="n">
        <v>1</v>
      </c>
      <c r="I149" t="n">
        <v>0</v>
      </c>
      <c r="J149" t="n">
        <v>1</v>
      </c>
      <c r="K149" t="n">
        <v>0</v>
      </c>
      <c r="L149" t="n">
        <v>0</v>
      </c>
      <c r="M149" t="n">
        <v>0</v>
      </c>
      <c r="N149" t="n">
        <v>0</v>
      </c>
      <c r="O149" t="n">
        <v>1</v>
      </c>
      <c r="P149" t="n">
        <v>0</v>
      </c>
      <c r="Q149" t="n">
        <v>1</v>
      </c>
      <c r="R149" s="2" t="inlineStr">
        <is>
          <t>Bredarun</t>
        </is>
      </c>
      <c r="S149">
        <f>HYPERLINK("https://klasma.github.io/Logging_0980/artfynd/A 11708-2026 artfynd.xlsx", "A 11708-2026")</f>
        <v/>
      </c>
      <c r="T149">
        <f>HYPERLINK("https://klasma.github.io/Logging_0980/kartor/A 11708-2026 karta.png", "A 11708-2026")</f>
        <v/>
      </c>
      <c r="V149">
        <f>HYPERLINK("https://klasma.github.io/Logging_0980/klagomål/A 11708-2026 FSC-klagomål.docx", "A 11708-2026")</f>
        <v/>
      </c>
      <c r="W149">
        <f>HYPERLINK("https://klasma.github.io/Logging_0980/klagomålsmail/A 11708-2026 FSC-klagomål mail.docx", "A 11708-2026")</f>
        <v/>
      </c>
      <c r="X149">
        <f>HYPERLINK("https://klasma.github.io/Logging_0980/tillsyn/A 11708-2026 tillsynsbegäran.docx", "A 11708-2026")</f>
        <v/>
      </c>
      <c r="Y149">
        <f>HYPERLINK("https://klasma.github.io/Logging_0980/tillsynsmail/A 11708-2026 tillsynsbegäran mail.docx", "A 11708-2026")</f>
        <v/>
      </c>
    </row>
    <row r="150" ht="15" customHeight="1">
      <c r="A150" t="inlineStr">
        <is>
          <t>A 39812-2025</t>
        </is>
      </c>
      <c r="B150" s="1" t="n">
        <v>45891</v>
      </c>
      <c r="C150" s="1" t="n">
        <v>46105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10013-2026</t>
        </is>
      </c>
      <c r="B151" s="1" t="n">
        <v>46073</v>
      </c>
      <c r="C151" s="1" t="n">
        <v>46105</v>
      </c>
      <c r="D151" t="inlineStr">
        <is>
          <t>GOTLANDS LÄN</t>
        </is>
      </c>
      <c r="E151" t="inlineStr">
        <is>
          <t>GOTLAND</t>
        </is>
      </c>
      <c r="G151" t="n">
        <v>10.5</v>
      </c>
      <c r="H151" t="n">
        <v>0</v>
      </c>
      <c r="I151" t="n">
        <v>0</v>
      </c>
      <c r="J151" t="n">
        <v>0</v>
      </c>
      <c r="K151" t="n">
        <v>1</v>
      </c>
      <c r="L151" t="n">
        <v>0</v>
      </c>
      <c r="M151" t="n">
        <v>0</v>
      </c>
      <c r="N151" t="n">
        <v>0</v>
      </c>
      <c r="O151" t="n">
        <v>1</v>
      </c>
      <c r="P151" t="n">
        <v>1</v>
      </c>
      <c r="Q151" t="n">
        <v>1</v>
      </c>
      <c r="R151" s="2" t="inlineStr">
        <is>
          <t>Skogskorn</t>
        </is>
      </c>
      <c r="S151">
        <f>HYPERLINK("https://klasma.github.io/Logging_0980/artfynd/A 10013-2026 artfynd.xlsx", "A 10013-2026")</f>
        <v/>
      </c>
      <c r="T151">
        <f>HYPERLINK("https://klasma.github.io/Logging_0980/kartor/A 10013-2026 karta.png", "A 10013-2026")</f>
        <v/>
      </c>
      <c r="V151">
        <f>HYPERLINK("https://klasma.github.io/Logging_0980/klagomål/A 10013-2026 FSC-klagomål.docx", "A 10013-2026")</f>
        <v/>
      </c>
      <c r="W151">
        <f>HYPERLINK("https://klasma.github.io/Logging_0980/klagomålsmail/A 10013-2026 FSC-klagomål mail.docx", "A 10013-2026")</f>
        <v/>
      </c>
      <c r="X151">
        <f>HYPERLINK("https://klasma.github.io/Logging_0980/tillsyn/A 10013-2026 tillsynsbegäran.docx", "A 10013-2026")</f>
        <v/>
      </c>
      <c r="Y151">
        <f>HYPERLINK("https://klasma.github.io/Logging_0980/tillsynsmail/A 10013-2026 tillsynsbegäran mail.docx", "A 10013-2026")</f>
        <v/>
      </c>
    </row>
    <row r="152" ht="15" customHeight="1">
      <c r="A152" t="inlineStr">
        <is>
          <t>A 35467-2021</t>
        </is>
      </c>
      <c r="B152" s="1" t="n">
        <v>44385</v>
      </c>
      <c r="C152" s="1" t="n">
        <v>46105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34141-2024</t>
        </is>
      </c>
      <c r="B153" s="1" t="n">
        <v>45524.36229166666</v>
      </c>
      <c r="C153" s="1" t="n">
        <v>46105</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44619-2025</t>
        </is>
      </c>
      <c r="B154" s="1" t="n">
        <v>45917</v>
      </c>
      <c r="C154" s="1" t="n">
        <v>46105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9862-2024</t>
        </is>
      </c>
      <c r="B155" s="1" t="n">
        <v>45363</v>
      </c>
      <c r="C155" s="1" t="n">
        <v>46105</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61796-2022</t>
        </is>
      </c>
      <c r="B156" s="1" t="n">
        <v>44917</v>
      </c>
      <c r="C156" s="1" t="n">
        <v>46105</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12924-2025</t>
        </is>
      </c>
      <c r="B157" s="1" t="n">
        <v>45734</v>
      </c>
      <c r="C157" s="1" t="n">
        <v>46105</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49726-2025</t>
        </is>
      </c>
      <c r="B158" s="1" t="n">
        <v>45939.84466435185</v>
      </c>
      <c r="C158" s="1" t="n">
        <v>46105</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15637-2024</t>
        </is>
      </c>
      <c r="B159" s="1" t="n">
        <v>45403.6684837963</v>
      </c>
      <c r="C159" s="1" t="n">
        <v>46105</v>
      </c>
      <c r="D159" t="inlineStr">
        <is>
          <t>GOTLANDS LÄN</t>
        </is>
      </c>
      <c r="E159" t="inlineStr">
        <is>
          <t>GOTLAND</t>
        </is>
      </c>
      <c r="G159" t="n">
        <v>4.1</v>
      </c>
      <c r="H159" t="n">
        <v>1</v>
      </c>
      <c r="I159" t="n">
        <v>0</v>
      </c>
      <c r="J159" t="n">
        <v>0</v>
      </c>
      <c r="K159" t="n">
        <v>0</v>
      </c>
      <c r="L159" t="n">
        <v>0</v>
      </c>
      <c r="M159" t="n">
        <v>0</v>
      </c>
      <c r="N159" t="n">
        <v>0</v>
      </c>
      <c r="O159" t="n">
        <v>0</v>
      </c>
      <c r="P159" t="n">
        <v>0</v>
      </c>
      <c r="Q159" t="n">
        <v>1</v>
      </c>
      <c r="R159" s="2" t="inlineStr">
        <is>
          <t>Blåsippa</t>
        </is>
      </c>
      <c r="S159">
        <f>HYPERLINK("https://klasma.github.io/Logging_0980/artfynd/A 15637-2024 artfynd.xlsx", "A 15637-2024")</f>
        <v/>
      </c>
      <c r="T159">
        <f>HYPERLINK("https://klasma.github.io/Logging_0980/kartor/A 15637-2024 karta.png", "A 15637-2024")</f>
        <v/>
      </c>
      <c r="V159">
        <f>HYPERLINK("https://klasma.github.io/Logging_0980/klagomål/A 15637-2024 FSC-klagomål.docx", "A 15637-2024")</f>
        <v/>
      </c>
      <c r="W159">
        <f>HYPERLINK("https://klasma.github.io/Logging_0980/klagomålsmail/A 15637-2024 FSC-klagomål mail.docx", "A 15637-2024")</f>
        <v/>
      </c>
      <c r="X159">
        <f>HYPERLINK("https://klasma.github.io/Logging_0980/tillsyn/A 15637-2024 tillsynsbegäran.docx", "A 15637-2024")</f>
        <v/>
      </c>
      <c r="Y159">
        <f>HYPERLINK("https://klasma.github.io/Logging_0980/tillsynsmail/A 15637-2024 tillsynsbegäran mail.docx", "A 15637-2024")</f>
        <v/>
      </c>
    </row>
    <row r="160" ht="15" customHeight="1">
      <c r="A160" t="inlineStr">
        <is>
          <t>A 2476-2025</t>
        </is>
      </c>
      <c r="B160" s="1" t="n">
        <v>45673</v>
      </c>
      <c r="C160" s="1" t="n">
        <v>46105</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46105</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46105</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46105</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46105</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46105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46105</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63149-2025</t>
        </is>
      </c>
      <c r="B167" s="1" t="n">
        <v>46010</v>
      </c>
      <c r="C167" s="1" t="n">
        <v>46105</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49304-2024</t>
        </is>
      </c>
      <c r="B168" s="1" t="n">
        <v>45595.54996527778</v>
      </c>
      <c r="C168" s="1" t="n">
        <v>46105</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46105</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46105</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46105</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46105</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46105</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46105</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46105</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46105</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46105</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46105</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46105</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46105</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46105</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46105</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46105</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46105</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46105</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46105</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46105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46105</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46105</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46105</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46105</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46105</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46105</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46105</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46105</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46105</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46105</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46105</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46105</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46105</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46105</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46105</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46105</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46105</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46105</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46105</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46105</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46105</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46105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46105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46105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46105</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46105</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46105</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32330-2024</t>
        </is>
      </c>
      <c r="B232" s="1" t="n">
        <v>45512</v>
      </c>
      <c r="C232" s="1" t="n">
        <v>46105</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46105</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5751-2024</t>
        </is>
      </c>
      <c r="B234" s="1" t="n">
        <v>45335.32702546296</v>
      </c>
      <c r="C234" s="1" t="n">
        <v>46105</v>
      </c>
      <c r="D234" t="inlineStr">
        <is>
          <t>GOTLANDS LÄN</t>
        </is>
      </c>
      <c r="E234" t="inlineStr">
        <is>
          <t>GOTLAND</t>
        </is>
      </c>
      <c r="G234" t="n">
        <v>4.2</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46105</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46105</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22031-2024</t>
        </is>
      </c>
      <c r="B237" s="1" t="n">
        <v>45443.60075231481</v>
      </c>
      <c r="C237" s="1" t="n">
        <v>46105</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46189-2022</t>
        </is>
      </c>
      <c r="B238" s="1" t="n">
        <v>44847</v>
      </c>
      <c r="C238" s="1" t="n">
        <v>46105</v>
      </c>
      <c r="D238" t="inlineStr">
        <is>
          <t>GOTLANDS LÄN</t>
        </is>
      </c>
      <c r="E238" t="inlineStr">
        <is>
          <t>GOTLAND</t>
        </is>
      </c>
      <c r="G238" t="n">
        <v>0.4</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46105</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46105</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65901-2021</t>
        </is>
      </c>
      <c r="B241" s="1" t="n">
        <v>44516</v>
      </c>
      <c r="C241" s="1" t="n">
        <v>46105</v>
      </c>
      <c r="D241" t="inlineStr">
        <is>
          <t>GOTLANDS LÄN</t>
        </is>
      </c>
      <c r="E241" t="inlineStr">
        <is>
          <t>GOTLAND</t>
        </is>
      </c>
      <c r="G241" t="n">
        <v>4.9</v>
      </c>
      <c r="H241" t="n">
        <v>0</v>
      </c>
      <c r="I241" t="n">
        <v>0</v>
      </c>
      <c r="J241" t="n">
        <v>0</v>
      </c>
      <c r="K241" t="n">
        <v>0</v>
      </c>
      <c r="L241" t="n">
        <v>0</v>
      </c>
      <c r="M241" t="n">
        <v>0</v>
      </c>
      <c r="N241" t="n">
        <v>0</v>
      </c>
      <c r="O241" t="n">
        <v>0</v>
      </c>
      <c r="P241" t="n">
        <v>0</v>
      </c>
      <c r="Q241" t="n">
        <v>0</v>
      </c>
      <c r="R241" s="2" t="inlineStr"/>
    </row>
    <row r="242" ht="15" customHeight="1">
      <c r="A242" t="inlineStr">
        <is>
          <t>A 48503-2023</t>
        </is>
      </c>
      <c r="B242" s="1" t="n">
        <v>45207</v>
      </c>
      <c r="C242" s="1" t="n">
        <v>46105</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44649-2021</t>
        </is>
      </c>
      <c r="B243" s="1" t="n">
        <v>44437</v>
      </c>
      <c r="C243" s="1" t="n">
        <v>46105</v>
      </c>
      <c r="D243" t="inlineStr">
        <is>
          <t>GOTLANDS LÄN</t>
        </is>
      </c>
      <c r="E243" t="inlineStr">
        <is>
          <t>GOTLAND</t>
        </is>
      </c>
      <c r="G243" t="n">
        <v>8.1</v>
      </c>
      <c r="H243" t="n">
        <v>0</v>
      </c>
      <c r="I243" t="n">
        <v>0</v>
      </c>
      <c r="J243" t="n">
        <v>0</v>
      </c>
      <c r="K243" t="n">
        <v>0</v>
      </c>
      <c r="L243" t="n">
        <v>0</v>
      </c>
      <c r="M243" t="n">
        <v>0</v>
      </c>
      <c r="N243" t="n">
        <v>0</v>
      </c>
      <c r="O243" t="n">
        <v>0</v>
      </c>
      <c r="P243" t="n">
        <v>0</v>
      </c>
      <c r="Q243" t="n">
        <v>0</v>
      </c>
      <c r="R243" s="2" t="inlineStr"/>
    </row>
    <row r="244" ht="15" customHeight="1">
      <c r="A244" t="inlineStr">
        <is>
          <t>A 9947-2024</t>
        </is>
      </c>
      <c r="B244" s="1" t="n">
        <v>45363</v>
      </c>
      <c r="C244" s="1" t="n">
        <v>46105</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46105</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17682-2024</t>
        </is>
      </c>
      <c r="B246" s="1" t="n">
        <v>45418.42966435185</v>
      </c>
      <c r="C246" s="1" t="n">
        <v>46105</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57522-2022</t>
        </is>
      </c>
      <c r="B247" s="1" t="n">
        <v>44896</v>
      </c>
      <c r="C247" s="1" t="n">
        <v>46105</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63516-2023</t>
        </is>
      </c>
      <c r="B248" s="1" t="n">
        <v>45274</v>
      </c>
      <c r="C248" s="1" t="n">
        <v>46105</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46105</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1681-2023</t>
        </is>
      </c>
      <c r="B250" s="1" t="n">
        <v>44938.39715277778</v>
      </c>
      <c r="C250" s="1" t="n">
        <v>46105</v>
      </c>
      <c r="D250" t="inlineStr">
        <is>
          <t>GOTLANDS LÄN</t>
        </is>
      </c>
      <c r="E250" t="inlineStr">
        <is>
          <t>GOTLAND</t>
        </is>
      </c>
      <c r="G250" t="n">
        <v>2.4</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46105</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1273-2023</t>
        </is>
      </c>
      <c r="B252" s="1" t="n">
        <v>44936</v>
      </c>
      <c r="C252" s="1" t="n">
        <v>46105</v>
      </c>
      <c r="D252" t="inlineStr">
        <is>
          <t>GOTLANDS LÄN</t>
        </is>
      </c>
      <c r="E252" t="inlineStr">
        <is>
          <t>GOTLAND</t>
        </is>
      </c>
      <c r="G252" t="n">
        <v>4.5</v>
      </c>
      <c r="H252" t="n">
        <v>0</v>
      </c>
      <c r="I252" t="n">
        <v>0</v>
      </c>
      <c r="J252" t="n">
        <v>0</v>
      </c>
      <c r="K252" t="n">
        <v>0</v>
      </c>
      <c r="L252" t="n">
        <v>0</v>
      </c>
      <c r="M252" t="n">
        <v>0</v>
      </c>
      <c r="N252" t="n">
        <v>0</v>
      </c>
      <c r="O252" t="n">
        <v>0</v>
      </c>
      <c r="P252" t="n">
        <v>0</v>
      </c>
      <c r="Q252" t="n">
        <v>0</v>
      </c>
      <c r="R252" s="2" t="inlineStr"/>
    </row>
    <row r="253" ht="15" customHeight="1">
      <c r="A253" t="inlineStr">
        <is>
          <t>A 6099-2024</t>
        </is>
      </c>
      <c r="B253" s="1" t="n">
        <v>45337</v>
      </c>
      <c r="C253" s="1" t="n">
        <v>46105</v>
      </c>
      <c r="D253" t="inlineStr">
        <is>
          <t>GOTLANDS LÄN</t>
        </is>
      </c>
      <c r="E253" t="inlineStr">
        <is>
          <t>GOTLAND</t>
        </is>
      </c>
      <c r="G253" t="n">
        <v>12.6</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46105</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45692-2023</t>
        </is>
      </c>
      <c r="B255" s="1" t="n">
        <v>45195</v>
      </c>
      <c r="C255" s="1" t="n">
        <v>46105</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28285-2024</t>
        </is>
      </c>
      <c r="B256" s="1" t="n">
        <v>45477</v>
      </c>
      <c r="C256" s="1" t="n">
        <v>46105</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33876-2024</t>
        </is>
      </c>
      <c r="B257" s="1" t="n">
        <v>45521.87988425926</v>
      </c>
      <c r="C257" s="1" t="n">
        <v>46105</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61100-2022</t>
        </is>
      </c>
      <c r="B258" s="1" t="n">
        <v>44915</v>
      </c>
      <c r="C258" s="1" t="n">
        <v>46105</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61682-2024</t>
        </is>
      </c>
      <c r="B259" s="1" t="n">
        <v>45647.48824074074</v>
      </c>
      <c r="C259" s="1" t="n">
        <v>46105</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11414-2026</t>
        </is>
      </c>
      <c r="B260" s="1" t="n">
        <v>46083.46336805556</v>
      </c>
      <c r="C260" s="1" t="n">
        <v>46105</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11424-2026</t>
        </is>
      </c>
      <c r="B261" s="1" t="n">
        <v>46083.48068287037</v>
      </c>
      <c r="C261" s="1" t="n">
        <v>46105</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26457-2025</t>
        </is>
      </c>
      <c r="B262" s="1" t="n">
        <v>45807.42773148148</v>
      </c>
      <c r="C262" s="1" t="n">
        <v>46105</v>
      </c>
      <c r="D262" t="inlineStr">
        <is>
          <t>GOTLANDS LÄN</t>
        </is>
      </c>
      <c r="E262" t="inlineStr">
        <is>
          <t>GOTLAND</t>
        </is>
      </c>
      <c r="G262" t="n">
        <v>5.7</v>
      </c>
      <c r="H262" t="n">
        <v>0</v>
      </c>
      <c r="I262" t="n">
        <v>0</v>
      </c>
      <c r="J262" t="n">
        <v>0</v>
      </c>
      <c r="K262" t="n">
        <v>0</v>
      </c>
      <c r="L262" t="n">
        <v>0</v>
      </c>
      <c r="M262" t="n">
        <v>0</v>
      </c>
      <c r="N262" t="n">
        <v>0</v>
      </c>
      <c r="O262" t="n">
        <v>0</v>
      </c>
      <c r="P262" t="n">
        <v>0</v>
      </c>
      <c r="Q262" t="n">
        <v>0</v>
      </c>
      <c r="R262" s="2" t="inlineStr"/>
    </row>
    <row r="263" ht="15" customHeight="1">
      <c r="A263" t="inlineStr">
        <is>
          <t>A 26467-2025</t>
        </is>
      </c>
      <c r="B263" s="1" t="n">
        <v>45807.44640046296</v>
      </c>
      <c r="C263" s="1" t="n">
        <v>46105</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53587-2025</t>
        </is>
      </c>
      <c r="B264" s="1" t="n">
        <v>45960.43681712963</v>
      </c>
      <c r="C264" s="1" t="n">
        <v>46105</v>
      </c>
      <c r="D264" t="inlineStr">
        <is>
          <t>GOTLANDS LÄN</t>
        </is>
      </c>
      <c r="E264" t="inlineStr">
        <is>
          <t>GOTLAND</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26465-2025</t>
        </is>
      </c>
      <c r="B265" s="1" t="n">
        <v>45807.44377314814</v>
      </c>
      <c r="C265" s="1" t="n">
        <v>46105</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26660-2025</t>
        </is>
      </c>
      <c r="B266" s="1" t="n">
        <v>45810.39737268518</v>
      </c>
      <c r="C266" s="1" t="n">
        <v>46105</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18993-2025</t>
        </is>
      </c>
      <c r="B267" s="1" t="n">
        <v>45764</v>
      </c>
      <c r="C267" s="1" t="n">
        <v>46105</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53561-2025</t>
        </is>
      </c>
      <c r="B268" s="1" t="n">
        <v>45960.4059375</v>
      </c>
      <c r="C268" s="1" t="n">
        <v>46105</v>
      </c>
      <c r="D268" t="inlineStr">
        <is>
          <t>GOTLANDS LÄN</t>
        </is>
      </c>
      <c r="E268" t="inlineStr">
        <is>
          <t>GOTLAND</t>
        </is>
      </c>
      <c r="F268" t="inlineStr">
        <is>
          <t>Övriga Aktiebolag</t>
        </is>
      </c>
      <c r="G268" t="n">
        <v>2.4</v>
      </c>
      <c r="H268" t="n">
        <v>0</v>
      </c>
      <c r="I268" t="n">
        <v>0</v>
      </c>
      <c r="J268" t="n">
        <v>0</v>
      </c>
      <c r="K268" t="n">
        <v>0</v>
      </c>
      <c r="L268" t="n">
        <v>0</v>
      </c>
      <c r="M268" t="n">
        <v>0</v>
      </c>
      <c r="N268" t="n">
        <v>0</v>
      </c>
      <c r="O268" t="n">
        <v>0</v>
      </c>
      <c r="P268" t="n">
        <v>0</v>
      </c>
      <c r="Q268" t="n">
        <v>0</v>
      </c>
      <c r="R268" s="2" t="inlineStr"/>
    </row>
    <row r="269" ht="15" customHeight="1">
      <c r="A269" t="inlineStr">
        <is>
          <t>A 3253-2026</t>
        </is>
      </c>
      <c r="B269" s="1" t="n">
        <v>46041.58902777778</v>
      </c>
      <c r="C269" s="1" t="n">
        <v>46105</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58388-2022</t>
        </is>
      </c>
      <c r="B270" s="1" t="n">
        <v>44894</v>
      </c>
      <c r="C270" s="1" t="n">
        <v>46105</v>
      </c>
      <c r="D270" t="inlineStr">
        <is>
          <t>GOTLANDS LÄN</t>
        </is>
      </c>
      <c r="E270" t="inlineStr">
        <is>
          <t>GOTLAND</t>
        </is>
      </c>
      <c r="F270" t="inlineStr">
        <is>
          <t>Övriga statliga verk och myndigheter</t>
        </is>
      </c>
      <c r="G270" t="n">
        <v>3.1</v>
      </c>
      <c r="H270" t="n">
        <v>0</v>
      </c>
      <c r="I270" t="n">
        <v>0</v>
      </c>
      <c r="J270" t="n">
        <v>0</v>
      </c>
      <c r="K270" t="n">
        <v>0</v>
      </c>
      <c r="L270" t="n">
        <v>0</v>
      </c>
      <c r="M270" t="n">
        <v>0</v>
      </c>
      <c r="N270" t="n">
        <v>0</v>
      </c>
      <c r="O270" t="n">
        <v>0</v>
      </c>
      <c r="P270" t="n">
        <v>0</v>
      </c>
      <c r="Q270" t="n">
        <v>0</v>
      </c>
      <c r="R270" s="2" t="inlineStr"/>
    </row>
    <row r="271" ht="15" customHeight="1">
      <c r="A271" t="inlineStr">
        <is>
          <t>A 30135-2025</t>
        </is>
      </c>
      <c r="B271" s="1" t="n">
        <v>45826</v>
      </c>
      <c r="C271" s="1" t="n">
        <v>46105</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12599-2025</t>
        </is>
      </c>
      <c r="B272" s="1" t="n">
        <v>45733.29546296296</v>
      </c>
      <c r="C272" s="1" t="n">
        <v>46105</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11982-2026</t>
        </is>
      </c>
      <c r="B273" s="1" t="n">
        <v>46085.6434375</v>
      </c>
      <c r="C273" s="1" t="n">
        <v>46105</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35141-2025</t>
        </is>
      </c>
      <c r="B274" s="1" t="n">
        <v>45852.65206018519</v>
      </c>
      <c r="C274" s="1" t="n">
        <v>46105</v>
      </c>
      <c r="D274" t="inlineStr">
        <is>
          <t>GOTLANDS LÄN</t>
        </is>
      </c>
      <c r="E274" t="inlineStr">
        <is>
          <t>GOTLAND</t>
        </is>
      </c>
      <c r="G274" t="n">
        <v>1</v>
      </c>
      <c r="H274" t="n">
        <v>0</v>
      </c>
      <c r="I274" t="n">
        <v>0</v>
      </c>
      <c r="J274" t="n">
        <v>0</v>
      </c>
      <c r="K274" t="n">
        <v>0</v>
      </c>
      <c r="L274" t="n">
        <v>0</v>
      </c>
      <c r="M274" t="n">
        <v>0</v>
      </c>
      <c r="N274" t="n">
        <v>0</v>
      </c>
      <c r="O274" t="n">
        <v>0</v>
      </c>
      <c r="P274" t="n">
        <v>0</v>
      </c>
      <c r="Q274" t="n">
        <v>0</v>
      </c>
      <c r="R274" s="2" t="inlineStr"/>
    </row>
    <row r="275" ht="15" customHeight="1">
      <c r="A275" t="inlineStr">
        <is>
          <t>A 27371-2025</t>
        </is>
      </c>
      <c r="B275" s="1" t="n">
        <v>45812</v>
      </c>
      <c r="C275" s="1" t="n">
        <v>46105</v>
      </c>
      <c r="D275" t="inlineStr">
        <is>
          <t>GOTLANDS LÄN</t>
        </is>
      </c>
      <c r="E275" t="inlineStr">
        <is>
          <t>GOTLAND</t>
        </is>
      </c>
      <c r="G275" t="n">
        <v>8</v>
      </c>
      <c r="H275" t="n">
        <v>0</v>
      </c>
      <c r="I275" t="n">
        <v>0</v>
      </c>
      <c r="J275" t="n">
        <v>0</v>
      </c>
      <c r="K275" t="n">
        <v>0</v>
      </c>
      <c r="L275" t="n">
        <v>0</v>
      </c>
      <c r="M275" t="n">
        <v>0</v>
      </c>
      <c r="N275" t="n">
        <v>0</v>
      </c>
      <c r="O275" t="n">
        <v>0</v>
      </c>
      <c r="P275" t="n">
        <v>0</v>
      </c>
      <c r="Q275" t="n">
        <v>0</v>
      </c>
      <c r="R275" s="2" t="inlineStr"/>
    </row>
    <row r="276" ht="15" customHeight="1">
      <c r="A276" t="inlineStr">
        <is>
          <t>A 27355-2025</t>
        </is>
      </c>
      <c r="B276" s="1" t="n">
        <v>45812</v>
      </c>
      <c r="C276" s="1" t="n">
        <v>46105</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46105</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6739-2025</t>
        </is>
      </c>
      <c r="B278" s="1" t="n">
        <v>45700</v>
      </c>
      <c r="C278" s="1" t="n">
        <v>46105</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7850-2025</t>
        </is>
      </c>
      <c r="B279" s="1" t="n">
        <v>45706</v>
      </c>
      <c r="C279" s="1" t="n">
        <v>46105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12135-2026</t>
        </is>
      </c>
      <c r="B280" s="1" t="n">
        <v>46086</v>
      </c>
      <c r="C280" s="1" t="n">
        <v>46105</v>
      </c>
      <c r="D280" t="inlineStr">
        <is>
          <t>GOTLANDS LÄN</t>
        </is>
      </c>
      <c r="E280" t="inlineStr">
        <is>
          <t>GOTLAND</t>
        </is>
      </c>
      <c r="G280" t="n">
        <v>3</v>
      </c>
      <c r="H280" t="n">
        <v>0</v>
      </c>
      <c r="I280" t="n">
        <v>0</v>
      </c>
      <c r="J280" t="n">
        <v>0</v>
      </c>
      <c r="K280" t="n">
        <v>0</v>
      </c>
      <c r="L280" t="n">
        <v>0</v>
      </c>
      <c r="M280" t="n">
        <v>0</v>
      </c>
      <c r="N280" t="n">
        <v>0</v>
      </c>
      <c r="O280" t="n">
        <v>0</v>
      </c>
      <c r="P280" t="n">
        <v>0</v>
      </c>
      <c r="Q280" t="n">
        <v>0</v>
      </c>
      <c r="R280" s="2" t="inlineStr"/>
    </row>
    <row r="281" ht="15" customHeight="1">
      <c r="A281" t="inlineStr">
        <is>
          <t>A 8444-2025</t>
        </is>
      </c>
      <c r="B281" s="1" t="n">
        <v>45709</v>
      </c>
      <c r="C281" s="1" t="n">
        <v>46105</v>
      </c>
      <c r="D281" t="inlineStr">
        <is>
          <t>GOTLANDS LÄN</t>
        </is>
      </c>
      <c r="E281" t="inlineStr">
        <is>
          <t>GOTLAND</t>
        </is>
      </c>
      <c r="G281" t="n">
        <v>5.2</v>
      </c>
      <c r="H281" t="n">
        <v>0</v>
      </c>
      <c r="I281" t="n">
        <v>0</v>
      </c>
      <c r="J281" t="n">
        <v>0</v>
      </c>
      <c r="K281" t="n">
        <v>0</v>
      </c>
      <c r="L281" t="n">
        <v>0</v>
      </c>
      <c r="M281" t="n">
        <v>0</v>
      </c>
      <c r="N281" t="n">
        <v>0</v>
      </c>
      <c r="O281" t="n">
        <v>0</v>
      </c>
      <c r="P281" t="n">
        <v>0</v>
      </c>
      <c r="Q281" t="n">
        <v>0</v>
      </c>
      <c r="R281" s="2" t="inlineStr"/>
    </row>
    <row r="282" ht="15" customHeight="1">
      <c r="A282" t="inlineStr">
        <is>
          <t>A 4646-2026</t>
        </is>
      </c>
      <c r="B282" s="1" t="n">
        <v>46048.40357638889</v>
      </c>
      <c r="C282" s="1" t="n">
        <v>46105</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63000-2025</t>
        </is>
      </c>
      <c r="B283" s="1" t="n">
        <v>46009</v>
      </c>
      <c r="C283" s="1" t="n">
        <v>46105</v>
      </c>
      <c r="D283" t="inlineStr">
        <is>
          <t>GOTLANDS LÄN</t>
        </is>
      </c>
      <c r="E283" t="inlineStr">
        <is>
          <t>GOTLAND</t>
        </is>
      </c>
      <c r="F283" t="inlineStr">
        <is>
          <t>Övriga Aktiebolag</t>
        </is>
      </c>
      <c r="G283" t="n">
        <v>1.7</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46105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4662-2026</t>
        </is>
      </c>
      <c r="B285" s="1" t="n">
        <v>46048.40949074074</v>
      </c>
      <c r="C285" s="1" t="n">
        <v>46105</v>
      </c>
      <c r="D285" t="inlineStr">
        <is>
          <t>GOTLANDS LÄN</t>
        </is>
      </c>
      <c r="E285" t="inlineStr">
        <is>
          <t>GOTLAND</t>
        </is>
      </c>
      <c r="G285" t="n">
        <v>7.6</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46105</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62751-2025</t>
        </is>
      </c>
      <c r="B287" s="1" t="n">
        <v>46008</v>
      </c>
      <c r="C287" s="1" t="n">
        <v>46105</v>
      </c>
      <c r="D287" t="inlineStr">
        <is>
          <t>GOTLANDS LÄN</t>
        </is>
      </c>
      <c r="E287" t="inlineStr">
        <is>
          <t>GOTLAND</t>
        </is>
      </c>
      <c r="F287" t="inlineStr">
        <is>
          <t>Övriga Aktiebolag</t>
        </is>
      </c>
      <c r="G287" t="n">
        <v>7.8</v>
      </c>
      <c r="H287" t="n">
        <v>0</v>
      </c>
      <c r="I287" t="n">
        <v>0</v>
      </c>
      <c r="J287" t="n">
        <v>0</v>
      </c>
      <c r="K287" t="n">
        <v>0</v>
      </c>
      <c r="L287" t="n">
        <v>0</v>
      </c>
      <c r="M287" t="n">
        <v>0</v>
      </c>
      <c r="N287" t="n">
        <v>0</v>
      </c>
      <c r="O287" t="n">
        <v>0</v>
      </c>
      <c r="P287" t="n">
        <v>0</v>
      </c>
      <c r="Q287" t="n">
        <v>0</v>
      </c>
      <c r="R287" s="2" t="inlineStr"/>
    </row>
    <row r="288" ht="15" customHeight="1">
      <c r="A288" t="inlineStr">
        <is>
          <t>A 4639-2026</t>
        </is>
      </c>
      <c r="B288" s="1" t="n">
        <v>46048.39880787037</v>
      </c>
      <c r="C288" s="1" t="n">
        <v>46105</v>
      </c>
      <c r="D288" t="inlineStr">
        <is>
          <t>GOTLANDS LÄN</t>
        </is>
      </c>
      <c r="E288" t="inlineStr">
        <is>
          <t>GOTLAND</t>
        </is>
      </c>
      <c r="G288" t="n">
        <v>0.8</v>
      </c>
      <c r="H288" t="n">
        <v>0</v>
      </c>
      <c r="I288" t="n">
        <v>0</v>
      </c>
      <c r="J288" t="n">
        <v>0</v>
      </c>
      <c r="K288" t="n">
        <v>0</v>
      </c>
      <c r="L288" t="n">
        <v>0</v>
      </c>
      <c r="M288" t="n">
        <v>0</v>
      </c>
      <c r="N288" t="n">
        <v>0</v>
      </c>
      <c r="O288" t="n">
        <v>0</v>
      </c>
      <c r="P288" t="n">
        <v>0</v>
      </c>
      <c r="Q288" t="n">
        <v>0</v>
      </c>
      <c r="R288" s="2" t="inlineStr"/>
    </row>
    <row r="289" ht="15" customHeight="1">
      <c r="A289" t="inlineStr">
        <is>
          <t>A 1839-2026</t>
        </is>
      </c>
      <c r="B289" s="1" t="n">
        <v>46035.3942824074</v>
      </c>
      <c r="C289" s="1" t="n">
        <v>46105</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46105</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60384-2025</t>
        </is>
      </c>
      <c r="B291" s="1" t="n">
        <v>45995</v>
      </c>
      <c r="C291" s="1" t="n">
        <v>46105</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4634-2026</t>
        </is>
      </c>
      <c r="B292" s="1" t="n">
        <v>46048.39304398148</v>
      </c>
      <c r="C292" s="1" t="n">
        <v>46105</v>
      </c>
      <c r="D292" t="inlineStr">
        <is>
          <t>GOTLANDS LÄN</t>
        </is>
      </c>
      <c r="E292" t="inlineStr">
        <is>
          <t>GOTLAND</t>
        </is>
      </c>
      <c r="G292" t="n">
        <v>7.8</v>
      </c>
      <c r="H292" t="n">
        <v>0</v>
      </c>
      <c r="I292" t="n">
        <v>0</v>
      </c>
      <c r="J292" t="n">
        <v>0</v>
      </c>
      <c r="K292" t="n">
        <v>0</v>
      </c>
      <c r="L292" t="n">
        <v>0</v>
      </c>
      <c r="M292" t="n">
        <v>0</v>
      </c>
      <c r="N292" t="n">
        <v>0</v>
      </c>
      <c r="O292" t="n">
        <v>0</v>
      </c>
      <c r="P292" t="n">
        <v>0</v>
      </c>
      <c r="Q292" t="n">
        <v>0</v>
      </c>
      <c r="R292" s="2" t="inlineStr"/>
    </row>
    <row r="293" ht="15" customHeight="1">
      <c r="A293" t="inlineStr">
        <is>
          <t>A 39752-2025</t>
        </is>
      </c>
      <c r="B293" s="1" t="n">
        <v>45891</v>
      </c>
      <c r="C293" s="1" t="n">
        <v>46105</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39816-2025</t>
        </is>
      </c>
      <c r="B294" s="1" t="n">
        <v>45891</v>
      </c>
      <c r="C294" s="1" t="n">
        <v>46105</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40103-2025</t>
        </is>
      </c>
      <c r="B295" s="1" t="n">
        <v>45894.4880324074</v>
      </c>
      <c r="C295" s="1" t="n">
        <v>46105</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40373-2025</t>
        </is>
      </c>
      <c r="B296" s="1" t="n">
        <v>45895.51821759259</v>
      </c>
      <c r="C296" s="1" t="n">
        <v>46105</v>
      </c>
      <c r="D296" t="inlineStr">
        <is>
          <t>GOTLANDS LÄN</t>
        </is>
      </c>
      <c r="E296" t="inlineStr">
        <is>
          <t>GOTLAND</t>
        </is>
      </c>
      <c r="G296" t="n">
        <v>0.6</v>
      </c>
      <c r="H296" t="n">
        <v>0</v>
      </c>
      <c r="I296" t="n">
        <v>0</v>
      </c>
      <c r="J296" t="n">
        <v>0</v>
      </c>
      <c r="K296" t="n">
        <v>0</v>
      </c>
      <c r="L296" t="n">
        <v>0</v>
      </c>
      <c r="M296" t="n">
        <v>0</v>
      </c>
      <c r="N296" t="n">
        <v>0</v>
      </c>
      <c r="O296" t="n">
        <v>0</v>
      </c>
      <c r="P296" t="n">
        <v>0</v>
      </c>
      <c r="Q296" t="n">
        <v>0</v>
      </c>
      <c r="R296" s="2" t="inlineStr"/>
    </row>
    <row r="297" ht="15" customHeight="1">
      <c r="A297" t="inlineStr">
        <is>
          <t>A 40499-2025</t>
        </is>
      </c>
      <c r="B297" s="1" t="n">
        <v>45896.32517361111</v>
      </c>
      <c r="C297" s="1" t="n">
        <v>46105</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46105</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4670-2026</t>
        </is>
      </c>
      <c r="B299" s="1" t="n">
        <v>46048.41733796296</v>
      </c>
      <c r="C299" s="1" t="n">
        <v>46105</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19905-2025</t>
        </is>
      </c>
      <c r="B300" s="1" t="n">
        <v>45771</v>
      </c>
      <c r="C300" s="1" t="n">
        <v>46105</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62754-2025</t>
        </is>
      </c>
      <c r="B301" s="1" t="n">
        <v>46008</v>
      </c>
      <c r="C301" s="1" t="n">
        <v>46105</v>
      </c>
      <c r="D301" t="inlineStr">
        <is>
          <t>GOTLANDS LÄN</t>
        </is>
      </c>
      <c r="E301" t="inlineStr">
        <is>
          <t>GOTLAND</t>
        </is>
      </c>
      <c r="F301" t="inlineStr">
        <is>
          <t>Övriga Aktiebolag</t>
        </is>
      </c>
      <c r="G301" t="n">
        <v>2.9</v>
      </c>
      <c r="H301" t="n">
        <v>0</v>
      </c>
      <c r="I301" t="n">
        <v>0</v>
      </c>
      <c r="J301" t="n">
        <v>0</v>
      </c>
      <c r="K301" t="n">
        <v>0</v>
      </c>
      <c r="L301" t="n">
        <v>0</v>
      </c>
      <c r="M301" t="n">
        <v>0</v>
      </c>
      <c r="N301" t="n">
        <v>0</v>
      </c>
      <c r="O301" t="n">
        <v>0</v>
      </c>
      <c r="P301" t="n">
        <v>0</v>
      </c>
      <c r="Q301" t="n">
        <v>0</v>
      </c>
      <c r="R301" s="2" t="inlineStr"/>
    </row>
    <row r="302" ht="15" customHeight="1">
      <c r="A302" t="inlineStr">
        <is>
          <t>A 21792-2024</t>
        </is>
      </c>
      <c r="B302" s="1" t="n">
        <v>45442.64326388889</v>
      </c>
      <c r="C302" s="1" t="n">
        <v>46105</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29196-2025</t>
        </is>
      </c>
      <c r="B303" s="1" t="n">
        <v>45822</v>
      </c>
      <c r="C303" s="1" t="n">
        <v>46105</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46105</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29207-2025</t>
        </is>
      </c>
      <c r="B305" s="1" t="n">
        <v>45823</v>
      </c>
      <c r="C305" s="1" t="n">
        <v>46105</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46105</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41435-2025</t>
        </is>
      </c>
      <c r="B307" s="1" t="n">
        <v>45901.39974537037</v>
      </c>
      <c r="C307" s="1" t="n">
        <v>46105</v>
      </c>
      <c r="D307" t="inlineStr">
        <is>
          <t>GOTLANDS LÄN</t>
        </is>
      </c>
      <c r="E307" t="inlineStr">
        <is>
          <t>GOTLAND</t>
        </is>
      </c>
      <c r="G307" t="n">
        <v>4.9</v>
      </c>
      <c r="H307" t="n">
        <v>0</v>
      </c>
      <c r="I307" t="n">
        <v>0</v>
      </c>
      <c r="J307" t="n">
        <v>0</v>
      </c>
      <c r="K307" t="n">
        <v>0</v>
      </c>
      <c r="L307" t="n">
        <v>0</v>
      </c>
      <c r="M307" t="n">
        <v>0</v>
      </c>
      <c r="N307" t="n">
        <v>0</v>
      </c>
      <c r="O307" t="n">
        <v>0</v>
      </c>
      <c r="P307" t="n">
        <v>0</v>
      </c>
      <c r="Q307" t="n">
        <v>0</v>
      </c>
      <c r="R307" s="2" t="inlineStr"/>
    </row>
    <row r="308" ht="15" customHeight="1">
      <c r="A308" t="inlineStr">
        <is>
          <t>A 58160-2024</t>
        </is>
      </c>
      <c r="B308" s="1" t="n">
        <v>45632.44927083333</v>
      </c>
      <c r="C308" s="1" t="n">
        <v>46105</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46105</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1854-2026</t>
        </is>
      </c>
      <c r="B310" s="1" t="n">
        <v>46035.4171875</v>
      </c>
      <c r="C310" s="1" t="n">
        <v>46105</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13482-2026</t>
        </is>
      </c>
      <c r="B311" s="1" t="n">
        <v>46094</v>
      </c>
      <c r="C311" s="1" t="n">
        <v>46105</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13486-2026</t>
        </is>
      </c>
      <c r="B312" s="1" t="n">
        <v>46094</v>
      </c>
      <c r="C312" s="1" t="n">
        <v>46105</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46105</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3067-2026</t>
        </is>
      </c>
      <c r="B314" s="1" t="n">
        <v>46040.59025462963</v>
      </c>
      <c r="C314" s="1" t="n">
        <v>46105</v>
      </c>
      <c r="D314" t="inlineStr">
        <is>
          <t>GOTLANDS LÄN</t>
        </is>
      </c>
      <c r="E314" t="inlineStr">
        <is>
          <t>GOTLAND</t>
        </is>
      </c>
      <c r="G314" t="n">
        <v>7.8</v>
      </c>
      <c r="H314" t="n">
        <v>0</v>
      </c>
      <c r="I314" t="n">
        <v>0</v>
      </c>
      <c r="J314" t="n">
        <v>0</v>
      </c>
      <c r="K314" t="n">
        <v>0</v>
      </c>
      <c r="L314" t="n">
        <v>0</v>
      </c>
      <c r="M314" t="n">
        <v>0</v>
      </c>
      <c r="N314" t="n">
        <v>0</v>
      </c>
      <c r="O314" t="n">
        <v>0</v>
      </c>
      <c r="P314" t="n">
        <v>0</v>
      </c>
      <c r="Q314" t="n">
        <v>0</v>
      </c>
      <c r="R314" s="2" t="inlineStr"/>
    </row>
    <row r="315" ht="15" customHeight="1">
      <c r="A315" t="inlineStr">
        <is>
          <t>A 32379-2025</t>
        </is>
      </c>
      <c r="B315" s="1" t="n">
        <v>45837</v>
      </c>
      <c r="C315" s="1" t="n">
        <v>46105</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46105</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6218-2026</t>
        </is>
      </c>
      <c r="B317" s="1" t="n">
        <v>46055.42859953704</v>
      </c>
      <c r="C317" s="1" t="n">
        <v>46105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32467-2025</t>
        </is>
      </c>
      <c r="B318" s="1" t="n">
        <v>45838.42111111111</v>
      </c>
      <c r="C318" s="1" t="n">
        <v>46105</v>
      </c>
      <c r="D318" t="inlineStr">
        <is>
          <t>GOTLANDS LÄN</t>
        </is>
      </c>
      <c r="E318" t="inlineStr">
        <is>
          <t>GOTLAND</t>
        </is>
      </c>
      <c r="G318" t="n">
        <v>4.3</v>
      </c>
      <c r="H318" t="n">
        <v>0</v>
      </c>
      <c r="I318" t="n">
        <v>0</v>
      </c>
      <c r="J318" t="n">
        <v>0</v>
      </c>
      <c r="K318" t="n">
        <v>0</v>
      </c>
      <c r="L318" t="n">
        <v>0</v>
      </c>
      <c r="M318" t="n">
        <v>0</v>
      </c>
      <c r="N318" t="n">
        <v>0</v>
      </c>
      <c r="O318" t="n">
        <v>0</v>
      </c>
      <c r="P318" t="n">
        <v>0</v>
      </c>
      <c r="Q318" t="n">
        <v>0</v>
      </c>
      <c r="R318" s="2" t="inlineStr"/>
    </row>
    <row r="319" ht="15" customHeight="1">
      <c r="A319" t="inlineStr">
        <is>
          <t>A 16109-2025</t>
        </is>
      </c>
      <c r="B319" s="1" t="n">
        <v>45750</v>
      </c>
      <c r="C319" s="1" t="n">
        <v>46105</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6207-2026</t>
        </is>
      </c>
      <c r="B320" s="1" t="n">
        <v>46055.42083333333</v>
      </c>
      <c r="C320" s="1" t="n">
        <v>46105</v>
      </c>
      <c r="D320" t="inlineStr">
        <is>
          <t>GOTLANDS LÄN</t>
        </is>
      </c>
      <c r="E320" t="inlineStr">
        <is>
          <t>GOTLAND</t>
        </is>
      </c>
      <c r="G320" t="n">
        <v>7.6</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46105</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33007-2025</t>
        </is>
      </c>
      <c r="B322" s="1" t="n">
        <v>45840</v>
      </c>
      <c r="C322" s="1" t="n">
        <v>46105</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6959-2026</t>
        </is>
      </c>
      <c r="B323" s="1" t="n">
        <v>46057.580625</v>
      </c>
      <c r="C323" s="1" t="n">
        <v>46105</v>
      </c>
      <c r="D323" t="inlineStr">
        <is>
          <t>GOTLANDS LÄN</t>
        </is>
      </c>
      <c r="E323" t="inlineStr">
        <is>
          <t>GOTLAND</t>
        </is>
      </c>
      <c r="F323" t="inlineStr">
        <is>
          <t>Kyrkan</t>
        </is>
      </c>
      <c r="G323" t="n">
        <v>1.2</v>
      </c>
      <c r="H323" t="n">
        <v>0</v>
      </c>
      <c r="I323" t="n">
        <v>0</v>
      </c>
      <c r="J323" t="n">
        <v>0</v>
      </c>
      <c r="K323" t="n">
        <v>0</v>
      </c>
      <c r="L323" t="n">
        <v>0</v>
      </c>
      <c r="M323" t="n">
        <v>0</v>
      </c>
      <c r="N323" t="n">
        <v>0</v>
      </c>
      <c r="O323" t="n">
        <v>0</v>
      </c>
      <c r="P323" t="n">
        <v>0</v>
      </c>
      <c r="Q323" t="n">
        <v>0</v>
      </c>
      <c r="R323" s="2" t="inlineStr"/>
    </row>
    <row r="324" ht="15" customHeight="1">
      <c r="A324" t="inlineStr">
        <is>
          <t>A 17688-2024</t>
        </is>
      </c>
      <c r="B324" s="1" t="n">
        <v>45418.43575231481</v>
      </c>
      <c r="C324" s="1" t="n">
        <v>46105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2134-2026</t>
        </is>
      </c>
      <c r="B325" s="1" t="n">
        <v>46036</v>
      </c>
      <c r="C325" s="1" t="n">
        <v>46105</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2135-2026</t>
        </is>
      </c>
      <c r="B326" s="1" t="n">
        <v>46036</v>
      </c>
      <c r="C326" s="1" t="n">
        <v>46105</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46105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44410-2025</t>
        </is>
      </c>
      <c r="B328" s="1" t="n">
        <v>45916.53699074074</v>
      </c>
      <c r="C328" s="1" t="n">
        <v>46105</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43951-2025</t>
        </is>
      </c>
      <c r="B329" s="1" t="n">
        <v>45915.38119212963</v>
      </c>
      <c r="C329" s="1" t="n">
        <v>46105</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46105</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7837-2024</t>
        </is>
      </c>
      <c r="B331" s="1" t="n">
        <v>45349.83787037037</v>
      </c>
      <c r="C331" s="1" t="n">
        <v>46105</v>
      </c>
      <c r="D331" t="inlineStr">
        <is>
          <t>GOTLANDS LÄN</t>
        </is>
      </c>
      <c r="E331" t="inlineStr">
        <is>
          <t>GOTLAND</t>
        </is>
      </c>
      <c r="G331" t="n">
        <v>5</v>
      </c>
      <c r="H331" t="n">
        <v>0</v>
      </c>
      <c r="I331" t="n">
        <v>0</v>
      </c>
      <c r="J331" t="n">
        <v>0</v>
      </c>
      <c r="K331" t="n">
        <v>0</v>
      </c>
      <c r="L331" t="n">
        <v>0</v>
      </c>
      <c r="M331" t="n">
        <v>0</v>
      </c>
      <c r="N331" t="n">
        <v>0</v>
      </c>
      <c r="O331" t="n">
        <v>0</v>
      </c>
      <c r="P331" t="n">
        <v>0</v>
      </c>
      <c r="Q331" t="n">
        <v>0</v>
      </c>
      <c r="R331" s="2" t="inlineStr"/>
    </row>
    <row r="332" ht="15" customHeight="1">
      <c r="A332" t="inlineStr">
        <is>
          <t>A 6960-2026</t>
        </is>
      </c>
      <c r="B332" s="1" t="n">
        <v>46057.58105324074</v>
      </c>
      <c r="C332" s="1" t="n">
        <v>46105</v>
      </c>
      <c r="D332" t="inlineStr">
        <is>
          <t>GOTLANDS LÄN</t>
        </is>
      </c>
      <c r="E332" t="inlineStr">
        <is>
          <t>GOTLAND</t>
        </is>
      </c>
      <c r="F332" t="inlineStr">
        <is>
          <t>Kyrkan</t>
        </is>
      </c>
      <c r="G332" t="n">
        <v>2.4</v>
      </c>
      <c r="H332" t="n">
        <v>0</v>
      </c>
      <c r="I332" t="n">
        <v>0</v>
      </c>
      <c r="J332" t="n">
        <v>0</v>
      </c>
      <c r="K332" t="n">
        <v>0</v>
      </c>
      <c r="L332" t="n">
        <v>0</v>
      </c>
      <c r="M332" t="n">
        <v>0</v>
      </c>
      <c r="N332" t="n">
        <v>0</v>
      </c>
      <c r="O332" t="n">
        <v>0</v>
      </c>
      <c r="P332" t="n">
        <v>0</v>
      </c>
      <c r="Q332" t="n">
        <v>0</v>
      </c>
      <c r="R332" s="2" t="inlineStr"/>
    </row>
    <row r="333" ht="15" customHeight="1">
      <c r="A333" t="inlineStr">
        <is>
          <t>A 15413-2025</t>
        </is>
      </c>
      <c r="B333" s="1" t="n">
        <v>45747.451875</v>
      </c>
      <c r="C333" s="1" t="n">
        <v>46105</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35123-2025</t>
        </is>
      </c>
      <c r="B334" s="1" t="n">
        <v>45852.614375</v>
      </c>
      <c r="C334" s="1" t="n">
        <v>46105</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35096-2025</t>
        </is>
      </c>
      <c r="B335" s="1" t="n">
        <v>45852.54356481481</v>
      </c>
      <c r="C335" s="1" t="n">
        <v>46105</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14840-2026</t>
        </is>
      </c>
      <c r="B336" s="1" t="n">
        <v>46104.39498842593</v>
      </c>
      <c r="C336" s="1" t="n">
        <v>46105</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30104-2025</t>
        </is>
      </c>
      <c r="B337" s="1" t="n">
        <v>45826.68806712963</v>
      </c>
      <c r="C337" s="1" t="n">
        <v>46105</v>
      </c>
      <c r="D337" t="inlineStr">
        <is>
          <t>GOTLANDS LÄN</t>
        </is>
      </c>
      <c r="E337" t="inlineStr">
        <is>
          <t>GOTLAND</t>
        </is>
      </c>
      <c r="G337" t="n">
        <v>15.4</v>
      </c>
      <c r="H337" t="n">
        <v>0</v>
      </c>
      <c r="I337" t="n">
        <v>0</v>
      </c>
      <c r="J337" t="n">
        <v>0</v>
      </c>
      <c r="K337" t="n">
        <v>0</v>
      </c>
      <c r="L337" t="n">
        <v>0</v>
      </c>
      <c r="M337" t="n">
        <v>0</v>
      </c>
      <c r="N337" t="n">
        <v>0</v>
      </c>
      <c r="O337" t="n">
        <v>0</v>
      </c>
      <c r="P337" t="n">
        <v>0</v>
      </c>
      <c r="Q337" t="n">
        <v>0</v>
      </c>
      <c r="R337" s="2" t="inlineStr"/>
    </row>
    <row r="338" ht="15" customHeight="1">
      <c r="A338" t="inlineStr">
        <is>
          <t>A 35290-2025</t>
        </is>
      </c>
      <c r="B338" s="1" t="n">
        <v>45854.38502314815</v>
      </c>
      <c r="C338" s="1" t="n">
        <v>46105</v>
      </c>
      <c r="D338" t="inlineStr">
        <is>
          <t>GOTLANDS LÄN</t>
        </is>
      </c>
      <c r="E338" t="inlineStr">
        <is>
          <t>GOTLAND</t>
        </is>
      </c>
      <c r="G338" t="n">
        <v>5.4</v>
      </c>
      <c r="H338" t="n">
        <v>0</v>
      </c>
      <c r="I338" t="n">
        <v>0</v>
      </c>
      <c r="J338" t="n">
        <v>0</v>
      </c>
      <c r="K338" t="n">
        <v>0</v>
      </c>
      <c r="L338" t="n">
        <v>0</v>
      </c>
      <c r="M338" t="n">
        <v>0</v>
      </c>
      <c r="N338" t="n">
        <v>0</v>
      </c>
      <c r="O338" t="n">
        <v>0</v>
      </c>
      <c r="P338" t="n">
        <v>0</v>
      </c>
      <c r="Q338" t="n">
        <v>0</v>
      </c>
      <c r="R338" s="2" t="inlineStr"/>
    </row>
    <row r="339" ht="15" customHeight="1">
      <c r="A339" t="inlineStr">
        <is>
          <t>A 7625-2026</t>
        </is>
      </c>
      <c r="B339" s="1" t="n">
        <v>46062.35135416667</v>
      </c>
      <c r="C339" s="1" t="n">
        <v>46105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32669-2024</t>
        </is>
      </c>
      <c r="B340" s="1" t="n">
        <v>45514</v>
      </c>
      <c r="C340" s="1" t="n">
        <v>46105</v>
      </c>
      <c r="D340" t="inlineStr">
        <is>
          <t>GOTLANDS LÄN</t>
        </is>
      </c>
      <c r="E340" t="inlineStr">
        <is>
          <t>GOTLAND</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35537-2025</t>
        </is>
      </c>
      <c r="B341" s="1" t="n">
        <v>45856</v>
      </c>
      <c r="C341" s="1" t="n">
        <v>46105</v>
      </c>
      <c r="D341" t="inlineStr">
        <is>
          <t>GOTLANDS LÄN</t>
        </is>
      </c>
      <c r="E341" t="inlineStr">
        <is>
          <t>GOTLAND</t>
        </is>
      </c>
      <c r="G341" t="n">
        <v>16.8</v>
      </c>
      <c r="H341" t="n">
        <v>0</v>
      </c>
      <c r="I341" t="n">
        <v>0</v>
      </c>
      <c r="J341" t="n">
        <v>0</v>
      </c>
      <c r="K341" t="n">
        <v>0</v>
      </c>
      <c r="L341" t="n">
        <v>0</v>
      </c>
      <c r="M341" t="n">
        <v>0</v>
      </c>
      <c r="N341" t="n">
        <v>0</v>
      </c>
      <c r="O341" t="n">
        <v>0</v>
      </c>
      <c r="P341" t="n">
        <v>0</v>
      </c>
      <c r="Q341" t="n">
        <v>0</v>
      </c>
      <c r="R341" s="2" t="inlineStr"/>
    </row>
    <row r="342" ht="15" customHeight="1">
      <c r="A342" t="inlineStr">
        <is>
          <t>A 5863-2026</t>
        </is>
      </c>
      <c r="B342" s="1" t="n">
        <v>46052.36697916667</v>
      </c>
      <c r="C342" s="1" t="n">
        <v>46105</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7627-2026</t>
        </is>
      </c>
      <c r="B343" s="1" t="n">
        <v>46062.35465277778</v>
      </c>
      <c r="C343" s="1" t="n">
        <v>46105</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46105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62836-2025</t>
        </is>
      </c>
      <c r="B345" s="1" t="n">
        <v>46008</v>
      </c>
      <c r="C345" s="1" t="n">
        <v>46105</v>
      </c>
      <c r="D345" t="inlineStr">
        <is>
          <t>GOTLANDS LÄN</t>
        </is>
      </c>
      <c r="E345" t="inlineStr">
        <is>
          <t>GOTLAND</t>
        </is>
      </c>
      <c r="G345" t="n">
        <v>6.5</v>
      </c>
      <c r="H345" t="n">
        <v>0</v>
      </c>
      <c r="I345" t="n">
        <v>0</v>
      </c>
      <c r="J345" t="n">
        <v>0</v>
      </c>
      <c r="K345" t="n">
        <v>0</v>
      </c>
      <c r="L345" t="n">
        <v>0</v>
      </c>
      <c r="M345" t="n">
        <v>0</v>
      </c>
      <c r="N345" t="n">
        <v>0</v>
      </c>
      <c r="O345" t="n">
        <v>0</v>
      </c>
      <c r="P345" t="n">
        <v>0</v>
      </c>
      <c r="Q345" t="n">
        <v>0</v>
      </c>
      <c r="R345" s="2" t="inlineStr"/>
    </row>
    <row r="346" ht="15" customHeight="1">
      <c r="A346" t="inlineStr">
        <is>
          <t>A 63105-2025</t>
        </is>
      </c>
      <c r="B346" s="1" t="n">
        <v>46009</v>
      </c>
      <c r="C346" s="1" t="n">
        <v>46105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46836-2025</t>
        </is>
      </c>
      <c r="B347" s="1" t="n">
        <v>45928.31511574074</v>
      </c>
      <c r="C347" s="1" t="n">
        <v>46105</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15216-2025</t>
        </is>
      </c>
      <c r="B348" s="1" t="n">
        <v>45744</v>
      </c>
      <c r="C348" s="1" t="n">
        <v>46105</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43790-2024</t>
        </is>
      </c>
      <c r="B349" s="1" t="n">
        <v>45571</v>
      </c>
      <c r="C349" s="1" t="n">
        <v>46105</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46105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30488-2025</t>
        </is>
      </c>
      <c r="B351" s="1" t="n">
        <v>45830</v>
      </c>
      <c r="C351" s="1" t="n">
        <v>46105</v>
      </c>
      <c r="D351" t="inlineStr">
        <is>
          <t>GOTLANDS LÄN</t>
        </is>
      </c>
      <c r="E351" t="inlineStr">
        <is>
          <t>GOTLAND</t>
        </is>
      </c>
      <c r="F351" t="inlineStr">
        <is>
          <t>Kyrkan</t>
        </is>
      </c>
      <c r="G351" t="n">
        <v>3.9</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46105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4568-2025</t>
        </is>
      </c>
      <c r="B353" s="1" t="n">
        <v>45687</v>
      </c>
      <c r="C353" s="1" t="n">
        <v>46105</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46105</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46105</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47637-2025</t>
        </is>
      </c>
      <c r="B356" s="1" t="n">
        <v>45931.49753472222</v>
      </c>
      <c r="C356" s="1" t="n">
        <v>46105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32378-2025</t>
        </is>
      </c>
      <c r="B357" s="1" t="n">
        <v>45837</v>
      </c>
      <c r="C357" s="1" t="n">
        <v>46105</v>
      </c>
      <c r="D357" t="inlineStr">
        <is>
          <t>GOTLANDS LÄN</t>
        </is>
      </c>
      <c r="E357" t="inlineStr">
        <is>
          <t>GOTLAND</t>
        </is>
      </c>
      <c r="G357" t="n">
        <v>4.1</v>
      </c>
      <c r="H357" t="n">
        <v>0</v>
      </c>
      <c r="I357" t="n">
        <v>0</v>
      </c>
      <c r="J357" t="n">
        <v>0</v>
      </c>
      <c r="K357" t="n">
        <v>0</v>
      </c>
      <c r="L357" t="n">
        <v>0</v>
      </c>
      <c r="M357" t="n">
        <v>0</v>
      </c>
      <c r="N357" t="n">
        <v>0</v>
      </c>
      <c r="O357" t="n">
        <v>0</v>
      </c>
      <c r="P357" t="n">
        <v>0</v>
      </c>
      <c r="Q357" t="n">
        <v>0</v>
      </c>
      <c r="R357" s="2" t="inlineStr"/>
    </row>
    <row r="358" ht="15" customHeight="1">
      <c r="A358" t="inlineStr">
        <is>
          <t>A 35512-2023</t>
        </is>
      </c>
      <c r="B358" s="1" t="n">
        <v>45147.25623842593</v>
      </c>
      <c r="C358" s="1" t="n">
        <v>46105</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5905-2024</t>
        </is>
      </c>
      <c r="B359" s="1" t="n">
        <v>45335.88993055555</v>
      </c>
      <c r="C359" s="1" t="n">
        <v>46105</v>
      </c>
      <c r="D359" t="inlineStr">
        <is>
          <t>GOTLANDS LÄN</t>
        </is>
      </c>
      <c r="E359" t="inlineStr">
        <is>
          <t>GOTLAND</t>
        </is>
      </c>
      <c r="G359" t="n">
        <v>3</v>
      </c>
      <c r="H359" t="n">
        <v>0</v>
      </c>
      <c r="I359" t="n">
        <v>0</v>
      </c>
      <c r="J359" t="n">
        <v>0</v>
      </c>
      <c r="K359" t="n">
        <v>0</v>
      </c>
      <c r="L359" t="n">
        <v>0</v>
      </c>
      <c r="M359" t="n">
        <v>0</v>
      </c>
      <c r="N359" t="n">
        <v>0</v>
      </c>
      <c r="O359" t="n">
        <v>0</v>
      </c>
      <c r="P359" t="n">
        <v>0</v>
      </c>
      <c r="Q359" t="n">
        <v>0</v>
      </c>
      <c r="R359" s="2" t="inlineStr"/>
    </row>
    <row r="360" ht="15" customHeight="1">
      <c r="A360" t="inlineStr">
        <is>
          <t>A 35550-2025</t>
        </is>
      </c>
      <c r="B360" s="1" t="n">
        <v>45856.49324074074</v>
      </c>
      <c r="C360" s="1" t="n">
        <v>46105</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46105</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6108-2025</t>
        </is>
      </c>
      <c r="B362" s="1" t="n">
        <v>45698.29880787037</v>
      </c>
      <c r="C362" s="1" t="n">
        <v>46105</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21142-2025</t>
        </is>
      </c>
      <c r="B363" s="1" t="n">
        <v>45779</v>
      </c>
      <c r="C363" s="1" t="n">
        <v>46105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49724-2025</t>
        </is>
      </c>
      <c r="B364" s="1" t="n">
        <v>45939.83730324074</v>
      </c>
      <c r="C364" s="1" t="n">
        <v>46105</v>
      </c>
      <c r="D364" t="inlineStr">
        <is>
          <t>GOTLANDS LÄN</t>
        </is>
      </c>
      <c r="E364" t="inlineStr">
        <is>
          <t>GOTLAND</t>
        </is>
      </c>
      <c r="F364" t="inlineStr">
        <is>
          <t>Kyrkan</t>
        </is>
      </c>
      <c r="G364" t="n">
        <v>3.1</v>
      </c>
      <c r="H364" t="n">
        <v>0</v>
      </c>
      <c r="I364" t="n">
        <v>0</v>
      </c>
      <c r="J364" t="n">
        <v>0</v>
      </c>
      <c r="K364" t="n">
        <v>0</v>
      </c>
      <c r="L364" t="n">
        <v>0</v>
      </c>
      <c r="M364" t="n">
        <v>0</v>
      </c>
      <c r="N364" t="n">
        <v>0</v>
      </c>
      <c r="O364" t="n">
        <v>0</v>
      </c>
      <c r="P364" t="n">
        <v>0</v>
      </c>
      <c r="Q364" t="n">
        <v>0</v>
      </c>
      <c r="R364" s="2" t="inlineStr"/>
    </row>
    <row r="365" ht="15" customHeight="1">
      <c r="A365" t="inlineStr">
        <is>
          <t>A 49730-2025</t>
        </is>
      </c>
      <c r="B365" s="1" t="n">
        <v>45939.87613425926</v>
      </c>
      <c r="C365" s="1" t="n">
        <v>46105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17343-2025</t>
        </is>
      </c>
      <c r="B366" s="1" t="n">
        <v>45756.6687037037</v>
      </c>
      <c r="C366" s="1" t="n">
        <v>46105</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18938-2025</t>
        </is>
      </c>
      <c r="B367" s="1" t="n">
        <v>45764.49172453704</v>
      </c>
      <c r="C367" s="1" t="n">
        <v>46105</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1291-2023</t>
        </is>
      </c>
      <c r="B368" s="1" t="n">
        <v>44936.47561342592</v>
      </c>
      <c r="C368" s="1" t="n">
        <v>46105</v>
      </c>
      <c r="D368" t="inlineStr">
        <is>
          <t>GOTLANDS LÄN</t>
        </is>
      </c>
      <c r="E368" t="inlineStr">
        <is>
          <t>GOTLAND</t>
        </is>
      </c>
      <c r="G368" t="n">
        <v>7.4</v>
      </c>
      <c r="H368" t="n">
        <v>0</v>
      </c>
      <c r="I368" t="n">
        <v>0</v>
      </c>
      <c r="J368" t="n">
        <v>0</v>
      </c>
      <c r="K368" t="n">
        <v>0</v>
      </c>
      <c r="L368" t="n">
        <v>0</v>
      </c>
      <c r="M368" t="n">
        <v>0</v>
      </c>
      <c r="N368" t="n">
        <v>0</v>
      </c>
      <c r="O368" t="n">
        <v>0</v>
      </c>
      <c r="P368" t="n">
        <v>0</v>
      </c>
      <c r="Q368" t="n">
        <v>0</v>
      </c>
      <c r="R368" s="2" t="inlineStr"/>
    </row>
    <row r="369" ht="15" customHeight="1">
      <c r="A369" t="inlineStr">
        <is>
          <t>A 49690-2025</t>
        </is>
      </c>
      <c r="B369" s="1" t="n">
        <v>45939.66730324074</v>
      </c>
      <c r="C369" s="1" t="n">
        <v>46105</v>
      </c>
      <c r="D369" t="inlineStr">
        <is>
          <t>GOTLANDS LÄN</t>
        </is>
      </c>
      <c r="E369" t="inlineStr">
        <is>
          <t>GOTLAND</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33011-2025</t>
        </is>
      </c>
      <c r="B370" s="1" t="n">
        <v>45840</v>
      </c>
      <c r="C370" s="1" t="n">
        <v>46105</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30489-2025</t>
        </is>
      </c>
      <c r="B371" s="1" t="n">
        <v>45830</v>
      </c>
      <c r="C371" s="1" t="n">
        <v>46105</v>
      </c>
      <c r="D371" t="inlineStr">
        <is>
          <t>GOTLANDS LÄN</t>
        </is>
      </c>
      <c r="E371" t="inlineStr">
        <is>
          <t>GOTLAND</t>
        </is>
      </c>
      <c r="G371" t="n">
        <v>4.6</v>
      </c>
      <c r="H371" t="n">
        <v>0</v>
      </c>
      <c r="I371" t="n">
        <v>0</v>
      </c>
      <c r="J371" t="n">
        <v>0</v>
      </c>
      <c r="K371" t="n">
        <v>0</v>
      </c>
      <c r="L371" t="n">
        <v>0</v>
      </c>
      <c r="M371" t="n">
        <v>0</v>
      </c>
      <c r="N371" t="n">
        <v>0</v>
      </c>
      <c r="O371" t="n">
        <v>0</v>
      </c>
      <c r="P371" t="n">
        <v>0</v>
      </c>
      <c r="Q371" t="n">
        <v>0</v>
      </c>
      <c r="R371" s="2" t="inlineStr"/>
    </row>
    <row r="372" ht="15" customHeight="1">
      <c r="A372" t="inlineStr">
        <is>
          <t>A 50421-2025</t>
        </is>
      </c>
      <c r="B372" s="1" t="n">
        <v>45944.66049768519</v>
      </c>
      <c r="C372" s="1" t="n">
        <v>46105</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20307-2025</t>
        </is>
      </c>
      <c r="B373" s="1" t="n">
        <v>45774.95546296296</v>
      </c>
      <c r="C373" s="1" t="n">
        <v>46105</v>
      </c>
      <c r="D373" t="inlineStr">
        <is>
          <t>GOTLANDS LÄN</t>
        </is>
      </c>
      <c r="E373" t="inlineStr">
        <is>
          <t>GOTLAND</t>
        </is>
      </c>
      <c r="G373" t="n">
        <v>6.8</v>
      </c>
      <c r="H373" t="n">
        <v>0</v>
      </c>
      <c r="I373" t="n">
        <v>0</v>
      </c>
      <c r="J373" t="n">
        <v>0</v>
      </c>
      <c r="K373" t="n">
        <v>0</v>
      </c>
      <c r="L373" t="n">
        <v>0</v>
      </c>
      <c r="M373" t="n">
        <v>0</v>
      </c>
      <c r="N373" t="n">
        <v>0</v>
      </c>
      <c r="O373" t="n">
        <v>0</v>
      </c>
      <c r="P373" t="n">
        <v>0</v>
      </c>
      <c r="Q373" t="n">
        <v>0</v>
      </c>
      <c r="R373" s="2" t="inlineStr"/>
    </row>
    <row r="374" ht="15" customHeight="1">
      <c r="A374" t="inlineStr">
        <is>
          <t>A 57652-2023</t>
        </is>
      </c>
      <c r="B374" s="1" t="n">
        <v>45246</v>
      </c>
      <c r="C374" s="1" t="n">
        <v>46105</v>
      </c>
      <c r="D374" t="inlineStr">
        <is>
          <t>GOTLANDS LÄN</t>
        </is>
      </c>
      <c r="E374" t="inlineStr">
        <is>
          <t>GOTLAND</t>
        </is>
      </c>
      <c r="G374" t="n">
        <v>7.2</v>
      </c>
      <c r="H374" t="n">
        <v>0</v>
      </c>
      <c r="I374" t="n">
        <v>0</v>
      </c>
      <c r="J374" t="n">
        <v>0</v>
      </c>
      <c r="K374" t="n">
        <v>0</v>
      </c>
      <c r="L374" t="n">
        <v>0</v>
      </c>
      <c r="M374" t="n">
        <v>0</v>
      </c>
      <c r="N374" t="n">
        <v>0</v>
      </c>
      <c r="O374" t="n">
        <v>0</v>
      </c>
      <c r="P374" t="n">
        <v>0</v>
      </c>
      <c r="Q374" t="n">
        <v>0</v>
      </c>
      <c r="R374" s="2" t="inlineStr"/>
    </row>
    <row r="375" ht="15" customHeight="1">
      <c r="A375" t="inlineStr">
        <is>
          <t>A 50431-2025</t>
        </is>
      </c>
      <c r="B375" s="1" t="n">
        <v>45944.68453703704</v>
      </c>
      <c r="C375" s="1" t="n">
        <v>46105</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50928-2025</t>
        </is>
      </c>
      <c r="B376" s="1" t="n">
        <v>45946.67896990741</v>
      </c>
      <c r="C376" s="1" t="n">
        <v>46105</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49315-2024</t>
        </is>
      </c>
      <c r="B377" s="1" t="n">
        <v>45595</v>
      </c>
      <c r="C377" s="1" t="n">
        <v>46105</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46105</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46105</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46105</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3150-2025</t>
        </is>
      </c>
      <c r="B381" s="1" t="n">
        <v>45679.28974537037</v>
      </c>
      <c r="C381" s="1" t="n">
        <v>46105</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8484-2025</t>
        </is>
      </c>
      <c r="B382" s="1" t="n">
        <v>45709</v>
      </c>
      <c r="C382" s="1" t="n">
        <v>46105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7635-2025</t>
        </is>
      </c>
      <c r="B383" s="1" t="n">
        <v>45705</v>
      </c>
      <c r="C383" s="1" t="n">
        <v>46105</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7636-2025</t>
        </is>
      </c>
      <c r="B384" s="1" t="n">
        <v>45705.7687962963</v>
      </c>
      <c r="C384" s="1" t="n">
        <v>46105</v>
      </c>
      <c r="D384" t="inlineStr">
        <is>
          <t>GOTLANDS LÄN</t>
        </is>
      </c>
      <c r="E384" t="inlineStr">
        <is>
          <t>GOTLAND</t>
        </is>
      </c>
      <c r="G384" t="n">
        <v>0.6</v>
      </c>
      <c r="H384" t="n">
        <v>0</v>
      </c>
      <c r="I384" t="n">
        <v>0</v>
      </c>
      <c r="J384" t="n">
        <v>0</v>
      </c>
      <c r="K384" t="n">
        <v>0</v>
      </c>
      <c r="L384" t="n">
        <v>0</v>
      </c>
      <c r="M384" t="n">
        <v>0</v>
      </c>
      <c r="N384" t="n">
        <v>0</v>
      </c>
      <c r="O384" t="n">
        <v>0</v>
      </c>
      <c r="P384" t="n">
        <v>0</v>
      </c>
      <c r="Q384" t="n">
        <v>0</v>
      </c>
      <c r="R384" s="2" t="inlineStr"/>
    </row>
    <row r="385" ht="15" customHeight="1">
      <c r="A385" t="inlineStr">
        <is>
          <t>A 7639-2025</t>
        </is>
      </c>
      <c r="B385" s="1" t="n">
        <v>45705.77465277778</v>
      </c>
      <c r="C385" s="1" t="n">
        <v>46105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46105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20356-2022</t>
        </is>
      </c>
      <c r="B387" s="1" t="n">
        <v>44699</v>
      </c>
      <c r="C387" s="1" t="n">
        <v>46105</v>
      </c>
      <c r="D387" t="inlineStr">
        <is>
          <t>GOTLANDS LÄN</t>
        </is>
      </c>
      <c r="E387" t="inlineStr">
        <is>
          <t>GOTLAND</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20356-2022</t>
        </is>
      </c>
      <c r="B388" s="1" t="n">
        <v>44699</v>
      </c>
      <c r="C388" s="1" t="n">
        <v>46105</v>
      </c>
      <c r="D388" t="inlineStr">
        <is>
          <t>GOTLANDS LÄN</t>
        </is>
      </c>
      <c r="E388" t="inlineStr">
        <is>
          <t>GOTLAND</t>
        </is>
      </c>
      <c r="F388" t="inlineStr">
        <is>
          <t>Övriga Aktiebolag</t>
        </is>
      </c>
      <c r="G388" t="n">
        <v>4.4</v>
      </c>
      <c r="H388" t="n">
        <v>0</v>
      </c>
      <c r="I388" t="n">
        <v>0</v>
      </c>
      <c r="J388" t="n">
        <v>0</v>
      </c>
      <c r="K388" t="n">
        <v>0</v>
      </c>
      <c r="L388" t="n">
        <v>0</v>
      </c>
      <c r="M388" t="n">
        <v>0</v>
      </c>
      <c r="N388" t="n">
        <v>0</v>
      </c>
      <c r="O388" t="n">
        <v>0</v>
      </c>
      <c r="P388" t="n">
        <v>0</v>
      </c>
      <c r="Q388" t="n">
        <v>0</v>
      </c>
      <c r="R388" s="2" t="inlineStr"/>
    </row>
    <row r="389" ht="15" customHeight="1">
      <c r="A389" t="inlineStr">
        <is>
          <t>A 48734-2022</t>
        </is>
      </c>
      <c r="B389" s="1" t="n">
        <v>44855</v>
      </c>
      <c r="C389" s="1" t="n">
        <v>46105</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14141-2024</t>
        </is>
      </c>
      <c r="B390" s="1" t="n">
        <v>45392.85193287037</v>
      </c>
      <c r="C390" s="1" t="n">
        <v>46105</v>
      </c>
      <c r="D390" t="inlineStr">
        <is>
          <t>GOTLANDS LÄN</t>
        </is>
      </c>
      <c r="E390" t="inlineStr">
        <is>
          <t>GOTLAND</t>
        </is>
      </c>
      <c r="G390" t="n">
        <v>5.3</v>
      </c>
      <c r="H390" t="n">
        <v>0</v>
      </c>
      <c r="I390" t="n">
        <v>0</v>
      </c>
      <c r="J390" t="n">
        <v>0</v>
      </c>
      <c r="K390" t="n">
        <v>0</v>
      </c>
      <c r="L390" t="n">
        <v>0</v>
      </c>
      <c r="M390" t="n">
        <v>0</v>
      </c>
      <c r="N390" t="n">
        <v>0</v>
      </c>
      <c r="O390" t="n">
        <v>0</v>
      </c>
      <c r="P390" t="n">
        <v>0</v>
      </c>
      <c r="Q390" t="n">
        <v>0</v>
      </c>
      <c r="R390" s="2" t="inlineStr"/>
    </row>
    <row r="391" ht="15" customHeight="1">
      <c r="A391" t="inlineStr">
        <is>
          <t>A 29809-2022</t>
        </is>
      </c>
      <c r="B391" s="1" t="n">
        <v>44755.8713425926</v>
      </c>
      <c r="C391" s="1" t="n">
        <v>46105</v>
      </c>
      <c r="D391" t="inlineStr">
        <is>
          <t>GOTLANDS LÄN</t>
        </is>
      </c>
      <c r="E391" t="inlineStr">
        <is>
          <t>GOTLAND</t>
        </is>
      </c>
      <c r="G391" t="n">
        <v>11.5</v>
      </c>
      <c r="H391" t="n">
        <v>0</v>
      </c>
      <c r="I391" t="n">
        <v>0</v>
      </c>
      <c r="J391" t="n">
        <v>0</v>
      </c>
      <c r="K391" t="n">
        <v>0</v>
      </c>
      <c r="L391" t="n">
        <v>0</v>
      </c>
      <c r="M391" t="n">
        <v>0</v>
      </c>
      <c r="N391" t="n">
        <v>0</v>
      </c>
      <c r="O391" t="n">
        <v>0</v>
      </c>
      <c r="P391" t="n">
        <v>0</v>
      </c>
      <c r="Q391" t="n">
        <v>0</v>
      </c>
      <c r="R391" s="2" t="inlineStr"/>
    </row>
    <row r="392" ht="15" customHeight="1">
      <c r="A392" t="inlineStr">
        <is>
          <t>A 52249-2025</t>
        </is>
      </c>
      <c r="B392" s="1" t="n">
        <v>45953.48637731482</v>
      </c>
      <c r="C392" s="1" t="n">
        <v>46105</v>
      </c>
      <c r="D392" t="inlineStr">
        <is>
          <t>GOTLANDS LÄN</t>
        </is>
      </c>
      <c r="E392" t="inlineStr">
        <is>
          <t>GOTLAND</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57685-2022</t>
        </is>
      </c>
      <c r="B393" s="1" t="n">
        <v>44897.4777662037</v>
      </c>
      <c r="C393" s="1" t="n">
        <v>46105</v>
      </c>
      <c r="D393" t="inlineStr">
        <is>
          <t>GOTLANDS LÄN</t>
        </is>
      </c>
      <c r="E393" t="inlineStr">
        <is>
          <t>GOTLAND</t>
        </is>
      </c>
      <c r="G393" t="n">
        <v>3.7</v>
      </c>
      <c r="H393" t="n">
        <v>0</v>
      </c>
      <c r="I393" t="n">
        <v>0</v>
      </c>
      <c r="J393" t="n">
        <v>0</v>
      </c>
      <c r="K393" t="n">
        <v>0</v>
      </c>
      <c r="L393" t="n">
        <v>0</v>
      </c>
      <c r="M393" t="n">
        <v>0</v>
      </c>
      <c r="N393" t="n">
        <v>0</v>
      </c>
      <c r="O393" t="n">
        <v>0</v>
      </c>
      <c r="P393" t="n">
        <v>0</v>
      </c>
      <c r="Q393" t="n">
        <v>0</v>
      </c>
      <c r="R393" s="2" t="inlineStr"/>
    </row>
    <row r="394" ht="15" customHeight="1">
      <c r="A394" t="inlineStr">
        <is>
          <t>A 30815-2023</t>
        </is>
      </c>
      <c r="B394" s="1" t="n">
        <v>45112</v>
      </c>
      <c r="C394" s="1" t="n">
        <v>46105</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46105</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7034-2023</t>
        </is>
      </c>
      <c r="B396" s="1" t="n">
        <v>44968.32108796296</v>
      </c>
      <c r="C396" s="1" t="n">
        <v>46105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7042-2023</t>
        </is>
      </c>
      <c r="B397" s="1" t="n">
        <v>44968</v>
      </c>
      <c r="C397" s="1" t="n">
        <v>46105</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23516-2023</t>
        </is>
      </c>
      <c r="B398" s="1" t="n">
        <v>45076.93391203704</v>
      </c>
      <c r="C398" s="1" t="n">
        <v>46105</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53569-2025</t>
        </is>
      </c>
      <c r="B399" s="1" t="n">
        <v>45960.41155092593</v>
      </c>
      <c r="C399" s="1" t="n">
        <v>46105</v>
      </c>
      <c r="D399" t="inlineStr">
        <is>
          <t>GOTLANDS LÄN</t>
        </is>
      </c>
      <c r="E399" t="inlineStr">
        <is>
          <t>GOTLAND</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64660-2023</t>
        </is>
      </c>
      <c r="B400" s="1" t="n">
        <v>45281.60122685185</v>
      </c>
      <c r="C400" s="1" t="n">
        <v>46105</v>
      </c>
      <c r="D400" t="inlineStr">
        <is>
          <t>GOTLANDS LÄN</t>
        </is>
      </c>
      <c r="E400" t="inlineStr">
        <is>
          <t>GOTLAND</t>
        </is>
      </c>
      <c r="G400" t="n">
        <v>6.3</v>
      </c>
      <c r="H400" t="n">
        <v>0</v>
      </c>
      <c r="I400" t="n">
        <v>0</v>
      </c>
      <c r="J400" t="n">
        <v>0</v>
      </c>
      <c r="K400" t="n">
        <v>0</v>
      </c>
      <c r="L400" t="n">
        <v>0</v>
      </c>
      <c r="M400" t="n">
        <v>0</v>
      </c>
      <c r="N400" t="n">
        <v>0</v>
      </c>
      <c r="O400" t="n">
        <v>0</v>
      </c>
      <c r="P400" t="n">
        <v>0</v>
      </c>
      <c r="Q400" t="n">
        <v>0</v>
      </c>
      <c r="R400" s="2" t="inlineStr"/>
    </row>
    <row r="401" ht="15" customHeight="1">
      <c r="A401" t="inlineStr">
        <is>
          <t>A 53577-2025</t>
        </is>
      </c>
      <c r="B401" s="1" t="n">
        <v>45960.42224537037</v>
      </c>
      <c r="C401" s="1" t="n">
        <v>46105</v>
      </c>
      <c r="D401" t="inlineStr">
        <is>
          <t>GOTLANDS LÄN</t>
        </is>
      </c>
      <c r="E401" t="inlineStr">
        <is>
          <t>GOTLAND</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63763-2023</t>
        </is>
      </c>
      <c r="B402" s="1" t="n">
        <v>45278.33944444444</v>
      </c>
      <c r="C402" s="1" t="n">
        <v>46105</v>
      </c>
      <c r="D402" t="inlineStr">
        <is>
          <t>GOTLANDS LÄN</t>
        </is>
      </c>
      <c r="E402" t="inlineStr">
        <is>
          <t>GOTLAND</t>
        </is>
      </c>
      <c r="G402" t="n">
        <v>0.5</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44508.34518518519</v>
      </c>
      <c r="C403" s="1" t="n">
        <v>46105</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46375-2024</t>
        </is>
      </c>
      <c r="B404" s="1" t="n">
        <v>45582</v>
      </c>
      <c r="C404" s="1" t="n">
        <v>46105</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1734-2025</t>
        </is>
      </c>
      <c r="B405" s="1" t="n">
        <v>45671.3840625</v>
      </c>
      <c r="C405" s="1" t="n">
        <v>46105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20993-2023</t>
        </is>
      </c>
      <c r="B406" s="1" t="n">
        <v>45056</v>
      </c>
      <c r="C406" s="1" t="n">
        <v>46105</v>
      </c>
      <c r="D406" t="inlineStr">
        <is>
          <t>GOTLANDS LÄN</t>
        </is>
      </c>
      <c r="E406" t="inlineStr">
        <is>
          <t>GOTLAND</t>
        </is>
      </c>
      <c r="G406" t="n">
        <v>7.1</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46105</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2125-2025</t>
        </is>
      </c>
      <c r="B408" s="1" t="n">
        <v>45672.64940972222</v>
      </c>
      <c r="C408" s="1" t="n">
        <v>46105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12155-2023</t>
        </is>
      </c>
      <c r="B409" s="1" t="n">
        <v>44998.49106481481</v>
      </c>
      <c r="C409" s="1" t="n">
        <v>46105</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457-2023</t>
        </is>
      </c>
      <c r="B410" s="1" t="n">
        <v>44929.87238425926</v>
      </c>
      <c r="C410" s="1" t="n">
        <v>46105</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459-2023</t>
        </is>
      </c>
      <c r="B411" s="1" t="n">
        <v>44929.87423611111</v>
      </c>
      <c r="C411" s="1" t="n">
        <v>46105</v>
      </c>
      <c r="D411" t="inlineStr">
        <is>
          <t>GOTLANDS LÄN</t>
        </is>
      </c>
      <c r="E411" t="inlineStr">
        <is>
          <t>GOTLAND</t>
        </is>
      </c>
      <c r="G411" t="n">
        <v>4.2</v>
      </c>
      <c r="H411" t="n">
        <v>0</v>
      </c>
      <c r="I411" t="n">
        <v>0</v>
      </c>
      <c r="J411" t="n">
        <v>0</v>
      </c>
      <c r="K411" t="n">
        <v>0</v>
      </c>
      <c r="L411" t="n">
        <v>0</v>
      </c>
      <c r="M411" t="n">
        <v>0</v>
      </c>
      <c r="N411" t="n">
        <v>0</v>
      </c>
      <c r="O411" t="n">
        <v>0</v>
      </c>
      <c r="P411" t="n">
        <v>0</v>
      </c>
      <c r="Q411" t="n">
        <v>0</v>
      </c>
      <c r="R411" s="2" t="inlineStr"/>
    </row>
    <row r="412" ht="15" customHeight="1">
      <c r="A412" t="inlineStr">
        <is>
          <t>A 38234-2023</t>
        </is>
      </c>
      <c r="B412" s="1" t="n">
        <v>45161.56663194444</v>
      </c>
      <c r="C412" s="1" t="n">
        <v>46105</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50744-2024</t>
        </is>
      </c>
      <c r="B413" s="1" t="n">
        <v>45602.4187037037</v>
      </c>
      <c r="C413" s="1" t="n">
        <v>46105</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56799-2025</t>
        </is>
      </c>
      <c r="B414" s="1" t="n">
        <v>45978.43392361111</v>
      </c>
      <c r="C414" s="1" t="n">
        <v>46105</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53934-2024</t>
        </is>
      </c>
      <c r="B415" s="1" t="n">
        <v>45615</v>
      </c>
      <c r="C415" s="1" t="n">
        <v>46105</v>
      </c>
      <c r="D415" t="inlineStr">
        <is>
          <t>GOTLANDS LÄN</t>
        </is>
      </c>
      <c r="E415" t="inlineStr">
        <is>
          <t>GOTLAND</t>
        </is>
      </c>
      <c r="G415" t="n">
        <v>5</v>
      </c>
      <c r="H415" t="n">
        <v>0</v>
      </c>
      <c r="I415" t="n">
        <v>0</v>
      </c>
      <c r="J415" t="n">
        <v>0</v>
      </c>
      <c r="K415" t="n">
        <v>0</v>
      </c>
      <c r="L415" t="n">
        <v>0</v>
      </c>
      <c r="M415" t="n">
        <v>0</v>
      </c>
      <c r="N415" t="n">
        <v>0</v>
      </c>
      <c r="O415" t="n">
        <v>0</v>
      </c>
      <c r="P415" t="n">
        <v>0</v>
      </c>
      <c r="Q415" t="n">
        <v>0</v>
      </c>
      <c r="R415" s="2" t="inlineStr"/>
    </row>
    <row r="416" ht="15" customHeight="1">
      <c r="A416" t="inlineStr">
        <is>
          <t>A 56688-2025</t>
        </is>
      </c>
      <c r="B416" s="1" t="n">
        <v>45975.84331018518</v>
      </c>
      <c r="C416" s="1" t="n">
        <v>46105</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46105</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31264-2021</t>
        </is>
      </c>
      <c r="B418" s="1" t="n">
        <v>44368</v>
      </c>
      <c r="C418" s="1" t="n">
        <v>46105</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43901-2023</t>
        </is>
      </c>
      <c r="B419" s="1" t="n">
        <v>45187</v>
      </c>
      <c r="C419" s="1" t="n">
        <v>46105</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10746-2025</t>
        </is>
      </c>
      <c r="B420" s="1" t="n">
        <v>45722.42766203704</v>
      </c>
      <c r="C420" s="1" t="n">
        <v>46105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46105</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46105</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61962-2024</t>
        </is>
      </c>
      <c r="B423" s="1" t="n">
        <v>45653.54340277778</v>
      </c>
      <c r="C423" s="1" t="n">
        <v>46105</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46105</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5909-2025</t>
        </is>
      </c>
      <c r="B425" s="1" t="n">
        <v>45695.40634259259</v>
      </c>
      <c r="C425" s="1" t="n">
        <v>46105</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10653-2023</t>
        </is>
      </c>
      <c r="B426" s="1" t="n">
        <v>44988.48859953704</v>
      </c>
      <c r="C426" s="1" t="n">
        <v>46105</v>
      </c>
      <c r="D426" t="inlineStr">
        <is>
          <t>GOTLANDS LÄN</t>
        </is>
      </c>
      <c r="E426" t="inlineStr">
        <is>
          <t>GOTLAND</t>
        </is>
      </c>
      <c r="F426" t="inlineStr">
        <is>
          <t>Kyrkan</t>
        </is>
      </c>
      <c r="G426" t="n">
        <v>3</v>
      </c>
      <c r="H426" t="n">
        <v>0</v>
      </c>
      <c r="I426" t="n">
        <v>0</v>
      </c>
      <c r="J426" t="n">
        <v>0</v>
      </c>
      <c r="K426" t="n">
        <v>0</v>
      </c>
      <c r="L426" t="n">
        <v>0</v>
      </c>
      <c r="M426" t="n">
        <v>0</v>
      </c>
      <c r="N426" t="n">
        <v>0</v>
      </c>
      <c r="O426" t="n">
        <v>0</v>
      </c>
      <c r="P426" t="n">
        <v>0</v>
      </c>
      <c r="Q426" t="n">
        <v>0</v>
      </c>
      <c r="R426" s="2" t="inlineStr"/>
    </row>
    <row r="427" ht="15" customHeight="1">
      <c r="A427" t="inlineStr">
        <is>
          <t>A 59197-2025</t>
        </is>
      </c>
      <c r="B427" s="1" t="n">
        <v>45988.59846064815</v>
      </c>
      <c r="C427" s="1" t="n">
        <v>46105</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46105</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43081-2022</t>
        </is>
      </c>
      <c r="B429" s="1" t="n">
        <v>44833</v>
      </c>
      <c r="C429" s="1" t="n">
        <v>46105</v>
      </c>
      <c r="D429" t="inlineStr">
        <is>
          <t>GOTLANDS LÄN</t>
        </is>
      </c>
      <c r="E429" t="inlineStr">
        <is>
          <t>GOTLAND</t>
        </is>
      </c>
      <c r="G429" t="n">
        <v>6.8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46105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36319-2025</t>
        </is>
      </c>
      <c r="B431" s="1" t="n">
        <v>45868</v>
      </c>
      <c r="C431" s="1" t="n">
        <v>46105</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5884-2025</t>
        </is>
      </c>
      <c r="B432" s="1" t="n">
        <v>45695.37482638889</v>
      </c>
      <c r="C432" s="1" t="n">
        <v>46105</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5897-2025</t>
        </is>
      </c>
      <c r="B433" s="1" t="n">
        <v>45695.39273148148</v>
      </c>
      <c r="C433" s="1" t="n">
        <v>46105</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49693-2023</t>
        </is>
      </c>
      <c r="B434" s="1" t="n">
        <v>45212.38138888889</v>
      </c>
      <c r="C434" s="1" t="n">
        <v>46105</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49697-2023</t>
        </is>
      </c>
      <c r="B435" s="1" t="n">
        <v>45212.38909722222</v>
      </c>
      <c r="C435" s="1" t="n">
        <v>46105</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17901-2023</t>
        </is>
      </c>
      <c r="B436" s="1" t="n">
        <v>45039</v>
      </c>
      <c r="C436" s="1" t="n">
        <v>46105</v>
      </c>
      <c r="D436" t="inlineStr">
        <is>
          <t>GOTLANDS LÄN</t>
        </is>
      </c>
      <c r="E436" t="inlineStr">
        <is>
          <t>GOTLAND</t>
        </is>
      </c>
      <c r="F436" t="inlineStr">
        <is>
          <t>Kyrkan</t>
        </is>
      </c>
      <c r="G436" t="n">
        <v>0.6</v>
      </c>
      <c r="H436" t="n">
        <v>0</v>
      </c>
      <c r="I436" t="n">
        <v>0</v>
      </c>
      <c r="J436" t="n">
        <v>0</v>
      </c>
      <c r="K436" t="n">
        <v>0</v>
      </c>
      <c r="L436" t="n">
        <v>0</v>
      </c>
      <c r="M436" t="n">
        <v>0</v>
      </c>
      <c r="N436" t="n">
        <v>0</v>
      </c>
      <c r="O436" t="n">
        <v>0</v>
      </c>
      <c r="P436" t="n">
        <v>0</v>
      </c>
      <c r="Q436" t="n">
        <v>0</v>
      </c>
      <c r="R436" s="2" t="inlineStr"/>
    </row>
    <row r="437" ht="15" customHeight="1">
      <c r="A437" t="inlineStr">
        <is>
          <t>A 52892-2021</t>
        </is>
      </c>
      <c r="B437" s="1" t="n">
        <v>44467.49048611111</v>
      </c>
      <c r="C437" s="1" t="n">
        <v>46105</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46396-2023</t>
        </is>
      </c>
      <c r="B438" s="1" t="n">
        <v>45197</v>
      </c>
      <c r="C438" s="1" t="n">
        <v>46105</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17724-2024</t>
        </is>
      </c>
      <c r="B439" s="1" t="n">
        <v>45418.55096064815</v>
      </c>
      <c r="C439" s="1" t="n">
        <v>46105</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34312-2024</t>
        </is>
      </c>
      <c r="B440" s="1" t="n">
        <v>45524.69703703704</v>
      </c>
      <c r="C440" s="1" t="n">
        <v>46105</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62066-2025</t>
        </is>
      </c>
      <c r="B441" s="1" t="n">
        <v>46006.34738425926</v>
      </c>
      <c r="C441" s="1" t="n">
        <v>46105</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62103-2025</t>
        </is>
      </c>
      <c r="B442" s="1" t="n">
        <v>46006</v>
      </c>
      <c r="C442" s="1" t="n">
        <v>46105</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46105</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47147-2025</t>
        </is>
      </c>
      <c r="B444" s="1" t="n">
        <v>45929</v>
      </c>
      <c r="C444" s="1" t="n">
        <v>46105</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7638-2025</t>
        </is>
      </c>
      <c r="B445" s="1" t="n">
        <v>45705.77306712963</v>
      </c>
      <c r="C445" s="1" t="n">
        <v>46105</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50482-2024</t>
        </is>
      </c>
      <c r="B446" s="1" t="n">
        <v>45601.48114583334</v>
      </c>
      <c r="C446" s="1" t="n">
        <v>46105</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1394-2023</t>
        </is>
      </c>
      <c r="B447" s="1" t="n">
        <v>44936.72997685185</v>
      </c>
      <c r="C447" s="1" t="n">
        <v>46105</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63002-2025</t>
        </is>
      </c>
      <c r="B448" s="1" t="n">
        <v>46009.56564814815</v>
      </c>
      <c r="C448" s="1" t="n">
        <v>46105</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58230-2024</t>
        </is>
      </c>
      <c r="B449" s="1" t="n">
        <v>45632.51625</v>
      </c>
      <c r="C449" s="1" t="n">
        <v>46105</v>
      </c>
      <c r="D449" t="inlineStr">
        <is>
          <t>GOTLANDS LÄN</t>
        </is>
      </c>
      <c r="E449" t="inlineStr">
        <is>
          <t>GOTLAND</t>
        </is>
      </c>
      <c r="G449" t="n">
        <v>7.3</v>
      </c>
      <c r="H449" t="n">
        <v>0</v>
      </c>
      <c r="I449" t="n">
        <v>0</v>
      </c>
      <c r="J449" t="n">
        <v>0</v>
      </c>
      <c r="K449" t="n">
        <v>0</v>
      </c>
      <c r="L449" t="n">
        <v>0</v>
      </c>
      <c r="M449" t="n">
        <v>0</v>
      </c>
      <c r="N449" t="n">
        <v>0</v>
      </c>
      <c r="O449" t="n">
        <v>0</v>
      </c>
      <c r="P449" t="n">
        <v>0</v>
      </c>
      <c r="Q449" t="n">
        <v>0</v>
      </c>
      <c r="R449" s="2" t="inlineStr"/>
    </row>
    <row r="450" ht="15" customHeight="1">
      <c r="A450" t="inlineStr">
        <is>
          <t>A 1462-2025</t>
        </is>
      </c>
      <c r="B450" s="1" t="n">
        <v>45670.36319444444</v>
      </c>
      <c r="C450" s="1" t="n">
        <v>46105</v>
      </c>
      <c r="D450" t="inlineStr">
        <is>
          <t>GOTLANDS LÄN</t>
        </is>
      </c>
      <c r="E450" t="inlineStr">
        <is>
          <t>GOTLAND</t>
        </is>
      </c>
      <c r="G450" t="n">
        <v>2.8</v>
      </c>
      <c r="H450" t="n">
        <v>0</v>
      </c>
      <c r="I450" t="n">
        <v>0</v>
      </c>
      <c r="J450" t="n">
        <v>0</v>
      </c>
      <c r="K450" t="n">
        <v>0</v>
      </c>
      <c r="L450" t="n">
        <v>0</v>
      </c>
      <c r="M450" t="n">
        <v>0</v>
      </c>
      <c r="N450" t="n">
        <v>0</v>
      </c>
      <c r="O450" t="n">
        <v>0</v>
      </c>
      <c r="P450" t="n">
        <v>0</v>
      </c>
      <c r="Q450" t="n">
        <v>0</v>
      </c>
      <c r="R450" s="2" t="inlineStr"/>
    </row>
    <row r="451" ht="15" customHeight="1">
      <c r="A451" t="inlineStr">
        <is>
          <t>A 54584-2025</t>
        </is>
      </c>
      <c r="B451" s="1" t="n">
        <v>45965.71788194445</v>
      </c>
      <c r="C451" s="1" t="n">
        <v>46105</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38649-2025</t>
        </is>
      </c>
      <c r="B452" s="1" t="n">
        <v>45884</v>
      </c>
      <c r="C452" s="1" t="n">
        <v>46105</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46105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25129-2023</t>
        </is>
      </c>
      <c r="B454" s="1" t="n">
        <v>45086.44261574074</v>
      </c>
      <c r="C454" s="1" t="n">
        <v>46105</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24192-2023</t>
        </is>
      </c>
      <c r="B455" s="1" t="n">
        <v>45079</v>
      </c>
      <c r="C455" s="1" t="n">
        <v>46105</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5386-2023</t>
        </is>
      </c>
      <c r="B456" s="1" t="n">
        <v>44959</v>
      </c>
      <c r="C456" s="1" t="n">
        <v>46105</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7026-2023</t>
        </is>
      </c>
      <c r="B457" s="1" t="n">
        <v>44968.30340277778</v>
      </c>
      <c r="C457" s="1" t="n">
        <v>46105</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20855-2023</t>
        </is>
      </c>
      <c r="B458" s="1" t="n">
        <v>45058.82172453704</v>
      </c>
      <c r="C458" s="1" t="n">
        <v>46105</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36-2026</t>
        </is>
      </c>
      <c r="B459" s="1" t="n">
        <v>46024.38886574074</v>
      </c>
      <c r="C459" s="1" t="n">
        <v>46105</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62674-2025</t>
        </is>
      </c>
      <c r="B460" s="1" t="n">
        <v>46008</v>
      </c>
      <c r="C460" s="1" t="n">
        <v>46105</v>
      </c>
      <c r="D460" t="inlineStr">
        <is>
          <t>GOTLANDS LÄN</t>
        </is>
      </c>
      <c r="E460" t="inlineStr">
        <is>
          <t>GOTLAND</t>
        </is>
      </c>
      <c r="G460" t="n">
        <v>5</v>
      </c>
      <c r="H460" t="n">
        <v>0</v>
      </c>
      <c r="I460" t="n">
        <v>0</v>
      </c>
      <c r="J460" t="n">
        <v>0</v>
      </c>
      <c r="K460" t="n">
        <v>0</v>
      </c>
      <c r="L460" t="n">
        <v>0</v>
      </c>
      <c r="M460" t="n">
        <v>0</v>
      </c>
      <c r="N460" t="n">
        <v>0</v>
      </c>
      <c r="O460" t="n">
        <v>0</v>
      </c>
      <c r="P460" t="n">
        <v>0</v>
      </c>
      <c r="Q460" t="n">
        <v>0</v>
      </c>
      <c r="R460" s="2" t="inlineStr"/>
    </row>
    <row r="461" ht="15" customHeight="1">
      <c r="A461" t="inlineStr">
        <is>
          <t>A 1000-2024</t>
        </is>
      </c>
      <c r="B461" s="1" t="n">
        <v>45301.63371527778</v>
      </c>
      <c r="C461" s="1" t="n">
        <v>46105</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1010-2024</t>
        </is>
      </c>
      <c r="B462" s="1" t="n">
        <v>45301</v>
      </c>
      <c r="C462" s="1" t="n">
        <v>46105</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9543-2026</t>
        </is>
      </c>
      <c r="B463" s="1" t="n">
        <v>46071.62486111111</v>
      </c>
      <c r="C463" s="1" t="n">
        <v>46105</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9521-2026</t>
        </is>
      </c>
      <c r="B464" s="1" t="n">
        <v>46071.59969907408</v>
      </c>
      <c r="C464" s="1" t="n">
        <v>46105</v>
      </c>
      <c r="D464" t="inlineStr">
        <is>
          <t>GOTLANDS LÄN</t>
        </is>
      </c>
      <c r="E464" t="inlineStr">
        <is>
          <t>GOTLAND</t>
        </is>
      </c>
      <c r="G464" t="n">
        <v>3.9</v>
      </c>
      <c r="H464" t="n">
        <v>0</v>
      </c>
      <c r="I464" t="n">
        <v>0</v>
      </c>
      <c r="J464" t="n">
        <v>0</v>
      </c>
      <c r="K464" t="n">
        <v>0</v>
      </c>
      <c r="L464" t="n">
        <v>0</v>
      </c>
      <c r="M464" t="n">
        <v>0</v>
      </c>
      <c r="N464" t="n">
        <v>0</v>
      </c>
      <c r="O464" t="n">
        <v>0</v>
      </c>
      <c r="P464" t="n">
        <v>0</v>
      </c>
      <c r="Q464" t="n">
        <v>0</v>
      </c>
      <c r="R464" s="2" t="inlineStr"/>
    </row>
    <row r="465" ht="15" customHeight="1">
      <c r="A465" t="inlineStr">
        <is>
          <t>A 9524-2026</t>
        </is>
      </c>
      <c r="B465" s="1" t="n">
        <v>46071.60108796296</v>
      </c>
      <c r="C465" s="1" t="n">
        <v>46105</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9518-2026</t>
        </is>
      </c>
      <c r="B466" s="1" t="n">
        <v>46071.59653935185</v>
      </c>
      <c r="C466" s="1" t="n">
        <v>46105</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47762-2023</t>
        </is>
      </c>
      <c r="B467" s="1" t="n">
        <v>45203.86256944444</v>
      </c>
      <c r="C467" s="1" t="n">
        <v>46105</v>
      </c>
      <c r="D467" t="inlineStr">
        <is>
          <t>GOTLANDS LÄN</t>
        </is>
      </c>
      <c r="E467" t="inlineStr">
        <is>
          <t>GOTLAND</t>
        </is>
      </c>
      <c r="G467" t="n">
        <v>1.3</v>
      </c>
      <c r="H467" t="n">
        <v>0</v>
      </c>
      <c r="I467" t="n">
        <v>0</v>
      </c>
      <c r="J467" t="n">
        <v>0</v>
      </c>
      <c r="K467" t="n">
        <v>0</v>
      </c>
      <c r="L467" t="n">
        <v>0</v>
      </c>
      <c r="M467" t="n">
        <v>0</v>
      </c>
      <c r="N467" t="n">
        <v>0</v>
      </c>
      <c r="O467" t="n">
        <v>0</v>
      </c>
      <c r="P467" t="n">
        <v>0</v>
      </c>
      <c r="Q467" t="n">
        <v>0</v>
      </c>
      <c r="R467" s="2" t="inlineStr"/>
    </row>
    <row r="468" ht="15" customHeight="1">
      <c r="A468" t="inlineStr">
        <is>
          <t>A 9519-2026</t>
        </is>
      </c>
      <c r="B468" s="1" t="n">
        <v>46071.59820601852</v>
      </c>
      <c r="C468" s="1" t="n">
        <v>46105</v>
      </c>
      <c r="D468" t="inlineStr">
        <is>
          <t>GOTLANDS LÄN</t>
        </is>
      </c>
      <c r="E468" t="inlineStr">
        <is>
          <t>GOTLAND</t>
        </is>
      </c>
      <c r="G468" t="n">
        <v>4</v>
      </c>
      <c r="H468" t="n">
        <v>0</v>
      </c>
      <c r="I468" t="n">
        <v>0</v>
      </c>
      <c r="J468" t="n">
        <v>0</v>
      </c>
      <c r="K468" t="n">
        <v>0</v>
      </c>
      <c r="L468" t="n">
        <v>0</v>
      </c>
      <c r="M468" t="n">
        <v>0</v>
      </c>
      <c r="N468" t="n">
        <v>0</v>
      </c>
      <c r="O468" t="n">
        <v>0</v>
      </c>
      <c r="P468" t="n">
        <v>0</v>
      </c>
      <c r="Q468" t="n">
        <v>0</v>
      </c>
      <c r="R468" s="2" t="inlineStr"/>
    </row>
    <row r="469" ht="15" customHeight="1">
      <c r="A469" t="inlineStr">
        <is>
          <t>A 9540-2026</t>
        </is>
      </c>
      <c r="B469" s="1" t="n">
        <v>46071.61961805556</v>
      </c>
      <c r="C469" s="1" t="n">
        <v>46105</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9504-2026</t>
        </is>
      </c>
      <c r="B470" s="1" t="n">
        <v>46071.57730324074</v>
      </c>
      <c r="C470" s="1" t="n">
        <v>46105</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63152-2025</t>
        </is>
      </c>
      <c r="B471" s="1" t="n">
        <v>46010</v>
      </c>
      <c r="C471" s="1" t="n">
        <v>46105</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46105</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9901-2026</t>
        </is>
      </c>
      <c r="B473" s="1" t="n">
        <v>46073.40391203704</v>
      </c>
      <c r="C473" s="1" t="n">
        <v>46105</v>
      </c>
      <c r="D473" t="inlineStr">
        <is>
          <t>GOTLANDS LÄN</t>
        </is>
      </c>
      <c r="E473" t="inlineStr">
        <is>
          <t>GOTLAND</t>
        </is>
      </c>
      <c r="F473" t="inlineStr">
        <is>
          <t>Kyrkan</t>
        </is>
      </c>
      <c r="G473" t="n">
        <v>0.9</v>
      </c>
      <c r="H473" t="n">
        <v>0</v>
      </c>
      <c r="I473" t="n">
        <v>0</v>
      </c>
      <c r="J473" t="n">
        <v>0</v>
      </c>
      <c r="K473" t="n">
        <v>0</v>
      </c>
      <c r="L473" t="n">
        <v>0</v>
      </c>
      <c r="M473" t="n">
        <v>0</v>
      </c>
      <c r="N473" t="n">
        <v>0</v>
      </c>
      <c r="O473" t="n">
        <v>0</v>
      </c>
      <c r="P473" t="n">
        <v>0</v>
      </c>
      <c r="Q473" t="n">
        <v>0</v>
      </c>
      <c r="R473" s="2" t="inlineStr"/>
    </row>
    <row r="474" ht="15" customHeight="1">
      <c r="A474" t="inlineStr">
        <is>
          <t>A 60086-2022</t>
        </is>
      </c>
      <c r="B474" s="1" t="n">
        <v>44909</v>
      </c>
      <c r="C474" s="1" t="n">
        <v>46105</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28480-2023</t>
        </is>
      </c>
      <c r="B475" s="1" t="n">
        <v>45103</v>
      </c>
      <c r="C475" s="1" t="n">
        <v>46105</v>
      </c>
      <c r="D475" t="inlineStr">
        <is>
          <t>GOTLANDS LÄN</t>
        </is>
      </c>
      <c r="E475" t="inlineStr">
        <is>
          <t>GOTLAND</t>
        </is>
      </c>
      <c r="G475" t="n">
        <v>5.7</v>
      </c>
      <c r="H475" t="n">
        <v>0</v>
      </c>
      <c r="I475" t="n">
        <v>0</v>
      </c>
      <c r="J475" t="n">
        <v>0</v>
      </c>
      <c r="K475" t="n">
        <v>0</v>
      </c>
      <c r="L475" t="n">
        <v>0</v>
      </c>
      <c r="M475" t="n">
        <v>0</v>
      </c>
      <c r="N475" t="n">
        <v>0</v>
      </c>
      <c r="O475" t="n">
        <v>0</v>
      </c>
      <c r="P475" t="n">
        <v>0</v>
      </c>
      <c r="Q475" t="n">
        <v>0</v>
      </c>
      <c r="R475" s="2" t="inlineStr"/>
    </row>
    <row r="476" ht="15" customHeight="1">
      <c r="A476" t="inlineStr">
        <is>
          <t>A 28485-2023</t>
        </is>
      </c>
      <c r="B476" s="1" t="n">
        <v>45103.43731481482</v>
      </c>
      <c r="C476" s="1" t="n">
        <v>46105</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46105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1355-2026</t>
        </is>
      </c>
      <c r="B478" s="1" t="n">
        <v>46031.59909722222</v>
      </c>
      <c r="C478" s="1" t="n">
        <v>46105</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44949-2023</t>
        </is>
      </c>
      <c r="B479" s="1" t="n">
        <v>45190.69520833333</v>
      </c>
      <c r="C479" s="1" t="n">
        <v>46105</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10486-2026</t>
        </is>
      </c>
      <c r="B480" s="1" t="n">
        <v>46077.51425925926</v>
      </c>
      <c r="C480" s="1" t="n">
        <v>46105</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46105</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10284-2026</t>
        </is>
      </c>
      <c r="B482" s="1" t="n">
        <v>46076</v>
      </c>
      <c r="C482" s="1" t="n">
        <v>46105</v>
      </c>
      <c r="D482" t="inlineStr">
        <is>
          <t>GOTLANDS LÄN</t>
        </is>
      </c>
      <c r="E482" t="inlineStr">
        <is>
          <t>GOTLAND</t>
        </is>
      </c>
      <c r="G482" t="n">
        <v>5.2</v>
      </c>
      <c r="H482" t="n">
        <v>0</v>
      </c>
      <c r="I482" t="n">
        <v>0</v>
      </c>
      <c r="J482" t="n">
        <v>0</v>
      </c>
      <c r="K482" t="n">
        <v>0</v>
      </c>
      <c r="L482" t="n">
        <v>0</v>
      </c>
      <c r="M482" t="n">
        <v>0</v>
      </c>
      <c r="N482" t="n">
        <v>0</v>
      </c>
      <c r="O482" t="n">
        <v>0</v>
      </c>
      <c r="P482" t="n">
        <v>0</v>
      </c>
      <c r="Q482" t="n">
        <v>0</v>
      </c>
      <c r="R482" s="2" t="inlineStr"/>
    </row>
    <row r="483" ht="15" customHeight="1">
      <c r="A483" t="inlineStr">
        <is>
          <t>A 1898-2026</t>
        </is>
      </c>
      <c r="B483" s="1" t="n">
        <v>46035.52024305556</v>
      </c>
      <c r="C483" s="1" t="n">
        <v>46105</v>
      </c>
      <c r="D483" t="inlineStr">
        <is>
          <t>GOTLANDS LÄN</t>
        </is>
      </c>
      <c r="E483" t="inlineStr">
        <is>
          <t>GOTLAND</t>
        </is>
      </c>
      <c r="G483" t="n">
        <v>3.7</v>
      </c>
      <c r="H483" t="n">
        <v>0</v>
      </c>
      <c r="I483" t="n">
        <v>0</v>
      </c>
      <c r="J483" t="n">
        <v>0</v>
      </c>
      <c r="K483" t="n">
        <v>0</v>
      </c>
      <c r="L483" t="n">
        <v>0</v>
      </c>
      <c r="M483" t="n">
        <v>0</v>
      </c>
      <c r="N483" t="n">
        <v>0</v>
      </c>
      <c r="O483" t="n">
        <v>0</v>
      </c>
      <c r="P483" t="n">
        <v>0</v>
      </c>
      <c r="Q483" t="n">
        <v>0</v>
      </c>
      <c r="R483" s="2" t="inlineStr"/>
    </row>
    <row r="484" ht="15" customHeight="1">
      <c r="A484" t="inlineStr">
        <is>
          <t>A 3964-2024</t>
        </is>
      </c>
      <c r="B484" s="1" t="n">
        <v>45322</v>
      </c>
      <c r="C484" s="1" t="n">
        <v>46105</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45084-2024</t>
        </is>
      </c>
      <c r="B485" s="1" t="n">
        <v>45575</v>
      </c>
      <c r="C485" s="1" t="n">
        <v>46105</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46105</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5217-2023</t>
        </is>
      </c>
      <c r="B487" s="1" t="n">
        <v>44959.39582175926</v>
      </c>
      <c r="C487" s="1" t="n">
        <v>46105</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1677-2023</t>
        </is>
      </c>
      <c r="B488" s="1" t="n">
        <v>44938</v>
      </c>
      <c r="C488" s="1" t="n">
        <v>46105</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45244-2024</t>
        </is>
      </c>
      <c r="B489" s="1" t="n">
        <v>45576</v>
      </c>
      <c r="C489" s="1" t="n">
        <v>46105</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8260-2023</t>
        </is>
      </c>
      <c r="B490" s="1" t="n">
        <v>44974.61608796296</v>
      </c>
      <c r="C490" s="1" t="n">
        <v>46105</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64969-2023</t>
        </is>
      </c>
      <c r="B491" s="1" t="n">
        <v>45284.54009259259</v>
      </c>
      <c r="C491" s="1" t="n">
        <v>46105</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48843-2024</t>
        </is>
      </c>
      <c r="B492" s="1" t="n">
        <v>45593</v>
      </c>
      <c r="C492" s="1" t="n">
        <v>46105</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17541-2024</t>
        </is>
      </c>
      <c r="B493" s="1" t="n">
        <v>45415</v>
      </c>
      <c r="C493" s="1" t="n">
        <v>46105</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2241-2025</t>
        </is>
      </c>
      <c r="B494" s="1" t="n">
        <v>45673.48710648148</v>
      </c>
      <c r="C494" s="1" t="n">
        <v>46105</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15434-2024</t>
        </is>
      </c>
      <c r="B495" s="1" t="n">
        <v>45401.38836805556</v>
      </c>
      <c r="C495" s="1" t="n">
        <v>46105</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5943-2024</t>
        </is>
      </c>
      <c r="B496" s="1" t="n">
        <v>45336</v>
      </c>
      <c r="C496" s="1" t="n">
        <v>46105</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54073-2022</t>
        </is>
      </c>
      <c r="B497" s="1" t="n">
        <v>44881.50380787037</v>
      </c>
      <c r="C497" s="1" t="n">
        <v>46105</v>
      </c>
      <c r="D497" t="inlineStr">
        <is>
          <t>GOTLANDS LÄN</t>
        </is>
      </c>
      <c r="E497" t="inlineStr">
        <is>
          <t>GOTLAND</t>
        </is>
      </c>
      <c r="G497" t="n">
        <v>3.8</v>
      </c>
      <c r="H497" t="n">
        <v>0</v>
      </c>
      <c r="I497" t="n">
        <v>0</v>
      </c>
      <c r="J497" t="n">
        <v>0</v>
      </c>
      <c r="K497" t="n">
        <v>0</v>
      </c>
      <c r="L497" t="n">
        <v>0</v>
      </c>
      <c r="M497" t="n">
        <v>0</v>
      </c>
      <c r="N497" t="n">
        <v>0</v>
      </c>
      <c r="O497" t="n">
        <v>0</v>
      </c>
      <c r="P497" t="n">
        <v>0</v>
      </c>
      <c r="Q497" t="n">
        <v>0</v>
      </c>
      <c r="R497" s="2" t="inlineStr"/>
    </row>
    <row r="498" ht="15" customHeight="1">
      <c r="A498" t="inlineStr">
        <is>
          <t>A 16361-2024</t>
        </is>
      </c>
      <c r="B498" s="1" t="n">
        <v>45407</v>
      </c>
      <c r="C498" s="1" t="n">
        <v>46105</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41038-2023</t>
        </is>
      </c>
      <c r="B499" s="1" t="n">
        <v>45173.60959490741</v>
      </c>
      <c r="C499" s="1" t="n">
        <v>46105</v>
      </c>
      <c r="D499" t="inlineStr">
        <is>
          <t>GOTLANDS LÄN</t>
        </is>
      </c>
      <c r="E499" t="inlineStr">
        <is>
          <t>GOTLAND</t>
        </is>
      </c>
      <c r="G499" t="n">
        <v>2.7</v>
      </c>
      <c r="H499" t="n">
        <v>0</v>
      </c>
      <c r="I499" t="n">
        <v>0</v>
      </c>
      <c r="J499" t="n">
        <v>0</v>
      </c>
      <c r="K499" t="n">
        <v>0</v>
      </c>
      <c r="L499" t="n">
        <v>0</v>
      </c>
      <c r="M499" t="n">
        <v>0</v>
      </c>
      <c r="N499" t="n">
        <v>0</v>
      </c>
      <c r="O499" t="n">
        <v>0</v>
      </c>
      <c r="P499" t="n">
        <v>0</v>
      </c>
      <c r="Q499" t="n">
        <v>0</v>
      </c>
      <c r="R499" s="2" t="inlineStr"/>
    </row>
    <row r="500" ht="15" customHeight="1">
      <c r="A500" t="inlineStr">
        <is>
          <t>A 14427-2024</t>
        </is>
      </c>
      <c r="B500" s="1" t="n">
        <v>45394</v>
      </c>
      <c r="C500" s="1" t="n">
        <v>46105</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31802-2024</t>
        </is>
      </c>
      <c r="B501" s="1" t="n">
        <v>45509</v>
      </c>
      <c r="C501" s="1" t="n">
        <v>46105</v>
      </c>
      <c r="D501" t="inlineStr">
        <is>
          <t>GOTLANDS LÄN</t>
        </is>
      </c>
      <c r="E501" t="inlineStr">
        <is>
          <t>GOTLAND</t>
        </is>
      </c>
      <c r="G501" t="n">
        <v>2.8</v>
      </c>
      <c r="H501" t="n">
        <v>0</v>
      </c>
      <c r="I501" t="n">
        <v>0</v>
      </c>
      <c r="J501" t="n">
        <v>0</v>
      </c>
      <c r="K501" t="n">
        <v>0</v>
      </c>
      <c r="L501" t="n">
        <v>0</v>
      </c>
      <c r="M501" t="n">
        <v>0</v>
      </c>
      <c r="N501" t="n">
        <v>0</v>
      </c>
      <c r="O501" t="n">
        <v>0</v>
      </c>
      <c r="P501" t="n">
        <v>0</v>
      </c>
      <c r="Q501" t="n">
        <v>0</v>
      </c>
      <c r="R501" s="2" t="inlineStr"/>
    </row>
    <row r="502" ht="15" customHeight="1">
      <c r="A502" t="inlineStr">
        <is>
          <t>A 8036-2022</t>
        </is>
      </c>
      <c r="B502" s="1" t="n">
        <v>44609.44362268518</v>
      </c>
      <c r="C502" s="1" t="n">
        <v>46105</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12846-2025</t>
        </is>
      </c>
      <c r="B503" s="1" t="n">
        <v>45733.65049768519</v>
      </c>
      <c r="C503" s="1" t="n">
        <v>46105</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46949-2024</t>
        </is>
      </c>
      <c r="B504" s="1" t="n">
        <v>45585</v>
      </c>
      <c r="C504" s="1" t="n">
        <v>46105</v>
      </c>
      <c r="D504" t="inlineStr">
        <is>
          <t>GOTLANDS LÄN</t>
        </is>
      </c>
      <c r="E504" t="inlineStr">
        <is>
          <t>GOTLAND</t>
        </is>
      </c>
      <c r="G504" t="n">
        <v>0.6</v>
      </c>
      <c r="H504" t="n">
        <v>0</v>
      </c>
      <c r="I504" t="n">
        <v>0</v>
      </c>
      <c r="J504" t="n">
        <v>0</v>
      </c>
      <c r="K504" t="n">
        <v>0</v>
      </c>
      <c r="L504" t="n">
        <v>0</v>
      </c>
      <c r="M504" t="n">
        <v>0</v>
      </c>
      <c r="N504" t="n">
        <v>0</v>
      </c>
      <c r="O504" t="n">
        <v>0</v>
      </c>
      <c r="P504" t="n">
        <v>0</v>
      </c>
      <c r="Q504" t="n">
        <v>0</v>
      </c>
      <c r="R504" s="2" t="inlineStr"/>
    </row>
    <row r="505" ht="15" customHeight="1">
      <c r="A505" t="inlineStr">
        <is>
          <t>A 10650-2022</t>
        </is>
      </c>
      <c r="B505" s="1" t="n">
        <v>44624.57945601852</v>
      </c>
      <c r="C505" s="1" t="n">
        <v>46105</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11634-2024</t>
        </is>
      </c>
      <c r="B506" s="1" t="n">
        <v>45373</v>
      </c>
      <c r="C506" s="1" t="n">
        <v>46105</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1351-2025</t>
        </is>
      </c>
      <c r="B507" s="1" t="n">
        <v>45667.62246527777</v>
      </c>
      <c r="C507" s="1" t="n">
        <v>46105</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39496-2022</t>
        </is>
      </c>
      <c r="B508" s="1" t="n">
        <v>44818</v>
      </c>
      <c r="C508" s="1" t="n">
        <v>46105</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46105</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46105</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46105</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46105</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21164-2024</t>
        </is>
      </c>
      <c r="B513" s="1" t="n">
        <v>45440</v>
      </c>
      <c r="C513" s="1" t="n">
        <v>46105</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8045-2022</t>
        </is>
      </c>
      <c r="B514" s="1" t="n">
        <v>44609</v>
      </c>
      <c r="C514" s="1" t="n">
        <v>46105</v>
      </c>
      <c r="D514" t="inlineStr">
        <is>
          <t>GOTLANDS LÄN</t>
        </is>
      </c>
      <c r="E514" t="inlineStr">
        <is>
          <t>GOTLAND</t>
        </is>
      </c>
      <c r="G514" t="n">
        <v>7</v>
      </c>
      <c r="H514" t="n">
        <v>0</v>
      </c>
      <c r="I514" t="n">
        <v>0</v>
      </c>
      <c r="J514" t="n">
        <v>0</v>
      </c>
      <c r="K514" t="n">
        <v>0</v>
      </c>
      <c r="L514" t="n">
        <v>0</v>
      </c>
      <c r="M514" t="n">
        <v>0</v>
      </c>
      <c r="N514" t="n">
        <v>0</v>
      </c>
      <c r="O514" t="n">
        <v>0</v>
      </c>
      <c r="P514" t="n">
        <v>0</v>
      </c>
      <c r="Q514" t="n">
        <v>0</v>
      </c>
      <c r="R514" s="2" t="inlineStr"/>
    </row>
    <row r="515" ht="15" customHeight="1">
      <c r="A515" t="inlineStr">
        <is>
          <t>A 22897-2023</t>
        </is>
      </c>
      <c r="B515" s="1" t="n">
        <v>45072.55239583334</v>
      </c>
      <c r="C515" s="1" t="n">
        <v>46105</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61897-2024</t>
        </is>
      </c>
      <c r="B516" s="1" t="n">
        <v>45652.75685185185</v>
      </c>
      <c r="C516" s="1" t="n">
        <v>46105</v>
      </c>
      <c r="D516" t="inlineStr">
        <is>
          <t>GOTLANDS LÄN</t>
        </is>
      </c>
      <c r="E516" t="inlineStr">
        <is>
          <t>GOTLAND</t>
        </is>
      </c>
      <c r="G516" t="n">
        <v>6.4</v>
      </c>
      <c r="H516" t="n">
        <v>0</v>
      </c>
      <c r="I516" t="n">
        <v>0</v>
      </c>
      <c r="J516" t="n">
        <v>0</v>
      </c>
      <c r="K516" t="n">
        <v>0</v>
      </c>
      <c r="L516" t="n">
        <v>0</v>
      </c>
      <c r="M516" t="n">
        <v>0</v>
      </c>
      <c r="N516" t="n">
        <v>0</v>
      </c>
      <c r="O516" t="n">
        <v>0</v>
      </c>
      <c r="P516" t="n">
        <v>0</v>
      </c>
      <c r="Q516" t="n">
        <v>0</v>
      </c>
      <c r="R516" s="2" t="inlineStr"/>
    </row>
    <row r="517" ht="15" customHeight="1">
      <c r="A517" t="inlineStr">
        <is>
          <t>A 49962-2023</t>
        </is>
      </c>
      <c r="B517" s="1" t="n">
        <v>45215.38775462963</v>
      </c>
      <c r="C517" s="1" t="n">
        <v>46105</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20165-2022</t>
        </is>
      </c>
      <c r="B518" s="1" t="n">
        <v>44698.49854166667</v>
      </c>
      <c r="C518" s="1" t="n">
        <v>46105</v>
      </c>
      <c r="D518" t="inlineStr">
        <is>
          <t>GOTLANDS LÄN</t>
        </is>
      </c>
      <c r="E518" t="inlineStr">
        <is>
          <t>GOTLAND</t>
        </is>
      </c>
      <c r="G518" t="n">
        <v>4.1</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46105</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12032-2025</t>
        </is>
      </c>
      <c r="B520" s="1" t="n">
        <v>45728.64472222222</v>
      </c>
      <c r="C520" s="1" t="n">
        <v>46105</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46105</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43231-2023</t>
        </is>
      </c>
      <c r="B522" s="1" t="n">
        <v>45183.47025462963</v>
      </c>
      <c r="C522" s="1" t="n">
        <v>46105</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17532-2024</t>
        </is>
      </c>
      <c r="B523" s="1" t="n">
        <v>45415</v>
      </c>
      <c r="C523" s="1" t="n">
        <v>46105</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3935-2025</t>
        </is>
      </c>
      <c r="B524" s="1" t="n">
        <v>45684.46070601852</v>
      </c>
      <c r="C524" s="1" t="n">
        <v>46105</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20225-2025</t>
        </is>
      </c>
      <c r="B525" s="1" t="n">
        <v>45772.65802083333</v>
      </c>
      <c r="C525" s="1" t="n">
        <v>46105</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883-2025</t>
        </is>
      </c>
      <c r="B526" s="1" t="n">
        <v>45665</v>
      </c>
      <c r="C526" s="1" t="n">
        <v>46105</v>
      </c>
      <c r="D526" t="inlineStr">
        <is>
          <t>GOTLANDS LÄN</t>
        </is>
      </c>
      <c r="E526" t="inlineStr">
        <is>
          <t>GOTLAND</t>
        </is>
      </c>
      <c r="G526" t="n">
        <v>1.3</v>
      </c>
      <c r="H526" t="n">
        <v>0</v>
      </c>
      <c r="I526" t="n">
        <v>0</v>
      </c>
      <c r="J526" t="n">
        <v>0</v>
      </c>
      <c r="K526" t="n">
        <v>0</v>
      </c>
      <c r="L526" t="n">
        <v>0</v>
      </c>
      <c r="M526" t="n">
        <v>0</v>
      </c>
      <c r="N526" t="n">
        <v>0</v>
      </c>
      <c r="O526" t="n">
        <v>0</v>
      </c>
      <c r="P526" t="n">
        <v>0</v>
      </c>
      <c r="Q526" t="n">
        <v>0</v>
      </c>
      <c r="R526" s="2" t="inlineStr"/>
    </row>
    <row r="527" ht="15" customHeight="1">
      <c r="A527" t="inlineStr">
        <is>
          <t>A 1066-2024</t>
        </is>
      </c>
      <c r="B527" s="1" t="n">
        <v>45302.285</v>
      </c>
      <c r="C527" s="1" t="n">
        <v>46105</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17144-2025</t>
        </is>
      </c>
      <c r="B528" s="1" t="n">
        <v>45755.9499537037</v>
      </c>
      <c r="C528" s="1" t="n">
        <v>46105</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46105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46105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581-2023</t>
        </is>
      </c>
      <c r="B531" s="1" t="n">
        <v>44930</v>
      </c>
      <c r="C531" s="1" t="n">
        <v>46105</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61386-2023</t>
        </is>
      </c>
      <c r="B532" s="1" t="n">
        <v>45264</v>
      </c>
      <c r="C532" s="1" t="n">
        <v>46105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873-2024</t>
        </is>
      </c>
      <c r="B533" s="1" t="n">
        <v>45301</v>
      </c>
      <c r="C533" s="1" t="n">
        <v>46105</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49411-2023</t>
        </is>
      </c>
      <c r="B534" s="1" t="n">
        <v>45205</v>
      </c>
      <c r="C534" s="1" t="n">
        <v>46105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22275-2023</t>
        </is>
      </c>
      <c r="B535" s="1" t="n">
        <v>45070.39875</v>
      </c>
      <c r="C535" s="1" t="n">
        <v>46105</v>
      </c>
      <c r="D535" t="inlineStr">
        <is>
          <t>GOTLANDS LÄN</t>
        </is>
      </c>
      <c r="E535" t="inlineStr">
        <is>
          <t>GOTLAND</t>
        </is>
      </c>
      <c r="G535" t="n">
        <v>7.2</v>
      </c>
      <c r="H535" t="n">
        <v>0</v>
      </c>
      <c r="I535" t="n">
        <v>0</v>
      </c>
      <c r="J535" t="n">
        <v>0</v>
      </c>
      <c r="K535" t="n">
        <v>0</v>
      </c>
      <c r="L535" t="n">
        <v>0</v>
      </c>
      <c r="M535" t="n">
        <v>0</v>
      </c>
      <c r="N535" t="n">
        <v>0</v>
      </c>
      <c r="O535" t="n">
        <v>0</v>
      </c>
      <c r="P535" t="n">
        <v>0</v>
      </c>
      <c r="Q535" t="n">
        <v>0</v>
      </c>
      <c r="R535" s="2" t="inlineStr"/>
    </row>
    <row r="536" ht="15" customHeight="1">
      <c r="A536" t="inlineStr">
        <is>
          <t>A 12322-2025</t>
        </is>
      </c>
      <c r="B536" s="1" t="n">
        <v>45730</v>
      </c>
      <c r="C536" s="1" t="n">
        <v>46105</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14797-2024</t>
        </is>
      </c>
      <c r="B537" s="1" t="n">
        <v>45397.87030092593</v>
      </c>
      <c r="C537" s="1" t="n">
        <v>46105</v>
      </c>
      <c r="D537" t="inlineStr">
        <is>
          <t>GOTLANDS LÄN</t>
        </is>
      </c>
      <c r="E537" t="inlineStr">
        <is>
          <t>GOTLAND</t>
        </is>
      </c>
      <c r="G537" t="n">
        <v>8.1</v>
      </c>
      <c r="H537" t="n">
        <v>0</v>
      </c>
      <c r="I537" t="n">
        <v>0</v>
      </c>
      <c r="J537" t="n">
        <v>0</v>
      </c>
      <c r="K537" t="n">
        <v>0</v>
      </c>
      <c r="L537" t="n">
        <v>0</v>
      </c>
      <c r="M537" t="n">
        <v>0</v>
      </c>
      <c r="N537" t="n">
        <v>0</v>
      </c>
      <c r="O537" t="n">
        <v>0</v>
      </c>
      <c r="P537" t="n">
        <v>0</v>
      </c>
      <c r="Q537" t="n">
        <v>0</v>
      </c>
      <c r="R537" s="2" t="inlineStr"/>
    </row>
    <row r="538" ht="15" customHeight="1">
      <c r="A538" t="inlineStr">
        <is>
          <t>A 999-2024</t>
        </is>
      </c>
      <c r="B538" s="1" t="n">
        <v>45301</v>
      </c>
      <c r="C538" s="1" t="n">
        <v>46105</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61596-2023</t>
        </is>
      </c>
      <c r="B539" s="1" t="n">
        <v>45265</v>
      </c>
      <c r="C539" s="1" t="n">
        <v>46105</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14638-2025</t>
        </is>
      </c>
      <c r="B540" s="1" t="n">
        <v>45742</v>
      </c>
      <c r="C540" s="1" t="n">
        <v>46105</v>
      </c>
      <c r="D540" t="inlineStr">
        <is>
          <t>GOTLANDS LÄN</t>
        </is>
      </c>
      <c r="E540" t="inlineStr">
        <is>
          <t>GOTLAND</t>
        </is>
      </c>
      <c r="G540" t="n">
        <v>13.4</v>
      </c>
      <c r="H540" t="n">
        <v>0</v>
      </c>
      <c r="I540" t="n">
        <v>0</v>
      </c>
      <c r="J540" t="n">
        <v>0</v>
      </c>
      <c r="K540" t="n">
        <v>0</v>
      </c>
      <c r="L540" t="n">
        <v>0</v>
      </c>
      <c r="M540" t="n">
        <v>0</v>
      </c>
      <c r="N540" t="n">
        <v>0</v>
      </c>
      <c r="O540" t="n">
        <v>0</v>
      </c>
      <c r="P540" t="n">
        <v>0</v>
      </c>
      <c r="Q540" t="n">
        <v>0</v>
      </c>
      <c r="R540" s="2" t="inlineStr"/>
    </row>
    <row r="541" ht="15" customHeight="1">
      <c r="A541" t="inlineStr">
        <is>
          <t>A 60675-2021</t>
        </is>
      </c>
      <c r="B541" s="1" t="n">
        <v>44496.64855324074</v>
      </c>
      <c r="C541" s="1" t="n">
        <v>46105</v>
      </c>
      <c r="D541" t="inlineStr">
        <is>
          <t>GOTLANDS LÄN</t>
        </is>
      </c>
      <c r="E541" t="inlineStr">
        <is>
          <t>GOTLAND</t>
        </is>
      </c>
      <c r="G541" t="n">
        <v>4.6</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46105</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22287-2022</t>
        </is>
      </c>
      <c r="B543" s="1" t="n">
        <v>44712</v>
      </c>
      <c r="C543" s="1" t="n">
        <v>46105</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54074-2022</t>
        </is>
      </c>
      <c r="B544" s="1" t="n">
        <v>44881</v>
      </c>
      <c r="C544" s="1" t="n">
        <v>46105</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65249-2023</t>
        </is>
      </c>
      <c r="B545" s="1" t="n">
        <v>45290</v>
      </c>
      <c r="C545" s="1" t="n">
        <v>46105</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13910-2025</t>
        </is>
      </c>
      <c r="B546" s="1" t="n">
        <v>45737</v>
      </c>
      <c r="C546" s="1" t="n">
        <v>46105</v>
      </c>
      <c r="D546" t="inlineStr">
        <is>
          <t>GOTLANDS LÄN</t>
        </is>
      </c>
      <c r="E546" t="inlineStr">
        <is>
          <t>GOTLAND</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17780-2022</t>
        </is>
      </c>
      <c r="B547" s="1" t="n">
        <v>44682.82622685185</v>
      </c>
      <c r="C547" s="1" t="n">
        <v>46105</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59986-2022</t>
        </is>
      </c>
      <c r="B548" s="1" t="n">
        <v>44909</v>
      </c>
      <c r="C548" s="1" t="n">
        <v>46105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14536-2021</t>
        </is>
      </c>
      <c r="B549" s="1" t="n">
        <v>44279.66168981481</v>
      </c>
      <c r="C549" s="1" t="n">
        <v>46105</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11874-2024</t>
        </is>
      </c>
      <c r="B550" s="1" t="n">
        <v>45376.46956018519</v>
      </c>
      <c r="C550" s="1" t="n">
        <v>46105</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42041-2024</t>
        </is>
      </c>
      <c r="B551" s="1" t="n">
        <v>45561</v>
      </c>
      <c r="C551" s="1" t="n">
        <v>46105</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61694-2023</t>
        </is>
      </c>
      <c r="B552" s="1" t="n">
        <v>45264</v>
      </c>
      <c r="C552" s="1" t="n">
        <v>46105</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64555-2023</t>
        </is>
      </c>
      <c r="B553" s="1" t="n">
        <v>45281</v>
      </c>
      <c r="C553" s="1" t="n">
        <v>46105</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64831-2023</t>
        </is>
      </c>
      <c r="B554" s="1" t="n">
        <v>45282.44924768519</v>
      </c>
      <c r="C554" s="1" t="n">
        <v>46105</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14804-2021</t>
        </is>
      </c>
      <c r="B555" s="1" t="n">
        <v>44280</v>
      </c>
      <c r="C555" s="1" t="n">
        <v>46105</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999-2023</t>
        </is>
      </c>
      <c r="B556" s="1" t="n">
        <v>44935</v>
      </c>
      <c r="C556" s="1" t="n">
        <v>46105</v>
      </c>
      <c r="D556" t="inlineStr">
        <is>
          <t>GOTLANDS LÄN</t>
        </is>
      </c>
      <c r="E556" t="inlineStr">
        <is>
          <t>GOTLAND</t>
        </is>
      </c>
      <c r="G556" t="n">
        <v>4.7</v>
      </c>
      <c r="H556" t="n">
        <v>0</v>
      </c>
      <c r="I556" t="n">
        <v>0</v>
      </c>
      <c r="J556" t="n">
        <v>0</v>
      </c>
      <c r="K556" t="n">
        <v>0</v>
      </c>
      <c r="L556" t="n">
        <v>0</v>
      </c>
      <c r="M556" t="n">
        <v>0</v>
      </c>
      <c r="N556" t="n">
        <v>0</v>
      </c>
      <c r="O556" t="n">
        <v>0</v>
      </c>
      <c r="P556" t="n">
        <v>0</v>
      </c>
      <c r="Q556" t="n">
        <v>0</v>
      </c>
      <c r="R556" s="2" t="inlineStr"/>
    </row>
    <row r="557" ht="15" customHeight="1">
      <c r="A557" t="inlineStr">
        <is>
          <t>A 27602-2023</t>
        </is>
      </c>
      <c r="B557" s="1" t="n">
        <v>45097</v>
      </c>
      <c r="C557" s="1" t="n">
        <v>46105</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4377-2023</t>
        </is>
      </c>
      <c r="B558" s="1" t="n">
        <v>44955.5502662037</v>
      </c>
      <c r="C558" s="1" t="n">
        <v>46105</v>
      </c>
      <c r="D558" t="inlineStr">
        <is>
          <t>GOTLANDS LÄN</t>
        </is>
      </c>
      <c r="E558" t="inlineStr">
        <is>
          <t>GOTLAND</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4387-2023</t>
        </is>
      </c>
      <c r="B559" s="1" t="n">
        <v>44955.73359953704</v>
      </c>
      <c r="C559" s="1" t="n">
        <v>46105</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46105</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51963-2024</t>
        </is>
      </c>
      <c r="B561" s="1" t="n">
        <v>45607.64833333333</v>
      </c>
      <c r="C561" s="1" t="n">
        <v>46105</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46105</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46105</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26810-2021</t>
        </is>
      </c>
      <c r="B564" s="1" t="n">
        <v>44349.55087962963</v>
      </c>
      <c r="C564" s="1" t="n">
        <v>46105</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46105</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46105</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46105</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46105</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44988.49543981482</v>
      </c>
      <c r="C569" s="1" t="n">
        <v>46105</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44944.55361111111</v>
      </c>
      <c r="C570" s="1" t="n">
        <v>46105</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26891-2024</t>
        </is>
      </c>
      <c r="B571" s="1" t="n">
        <v>45470.65540509259</v>
      </c>
      <c r="C571" s="1" t="n">
        <v>46105</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42007-2023</t>
        </is>
      </c>
      <c r="B572" s="1" t="n">
        <v>45177</v>
      </c>
      <c r="C572" s="1" t="n">
        <v>46105</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9887-2025</t>
        </is>
      </c>
      <c r="B573" s="1" t="n">
        <v>45716</v>
      </c>
      <c r="C573" s="1" t="n">
        <v>46105</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46105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27596-2023</t>
        </is>
      </c>
      <c r="B575" s="1" t="n">
        <v>45097</v>
      </c>
      <c r="C575" s="1" t="n">
        <v>46105</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24825-2024</t>
        </is>
      </c>
      <c r="B576" s="1" t="n">
        <v>45461</v>
      </c>
      <c r="C576" s="1" t="n">
        <v>46105</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6696-2023</t>
        </is>
      </c>
      <c r="B577" s="1" t="n">
        <v>44966.66425925926</v>
      </c>
      <c r="C577" s="1" t="n">
        <v>46105</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21247-2022</t>
        </is>
      </c>
      <c r="B578" s="1" t="n">
        <v>44705.38832175926</v>
      </c>
      <c r="C578" s="1" t="n">
        <v>46105</v>
      </c>
      <c r="D578" t="inlineStr">
        <is>
          <t>GOTLANDS LÄN</t>
        </is>
      </c>
      <c r="E578" t="inlineStr">
        <is>
          <t>GOTLAND</t>
        </is>
      </c>
      <c r="G578" t="n">
        <v>16.2</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44929.87122685185</v>
      </c>
      <c r="C579" s="1" t="n">
        <v>46105</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44944.54896990741</v>
      </c>
      <c r="C580" s="1" t="n">
        <v>46105</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4421-2024</t>
        </is>
      </c>
      <c r="B581" s="1" t="n">
        <v>45327.45173611111</v>
      </c>
      <c r="C581" s="1" t="n">
        <v>46105</v>
      </c>
      <c r="D581" t="inlineStr">
        <is>
          <t>GOTLANDS LÄN</t>
        </is>
      </c>
      <c r="E581" t="inlineStr">
        <is>
          <t>GOTLAND</t>
        </is>
      </c>
      <c r="G581" t="n">
        <v>5.1</v>
      </c>
      <c r="H581" t="n">
        <v>0</v>
      </c>
      <c r="I581" t="n">
        <v>0</v>
      </c>
      <c r="J581" t="n">
        <v>0</v>
      </c>
      <c r="K581" t="n">
        <v>0</v>
      </c>
      <c r="L581" t="n">
        <v>0</v>
      </c>
      <c r="M581" t="n">
        <v>0</v>
      </c>
      <c r="N581" t="n">
        <v>0</v>
      </c>
      <c r="O581" t="n">
        <v>0</v>
      </c>
      <c r="P581" t="n">
        <v>0</v>
      </c>
      <c r="Q581" t="n">
        <v>0</v>
      </c>
      <c r="R581" s="2" t="inlineStr"/>
    </row>
    <row r="582" ht="15" customHeight="1">
      <c r="A582" t="inlineStr">
        <is>
          <t>A 51782-2023</t>
        </is>
      </c>
      <c r="B582" s="1" t="n">
        <v>45222.80952546297</v>
      </c>
      <c r="C582" s="1" t="n">
        <v>46105</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54268-2022</t>
        </is>
      </c>
      <c r="B583" s="1" t="n">
        <v>44882</v>
      </c>
      <c r="C583" s="1" t="n">
        <v>46105</v>
      </c>
      <c r="D583" t="inlineStr">
        <is>
          <t>GOTLANDS LÄN</t>
        </is>
      </c>
      <c r="E583" t="inlineStr">
        <is>
          <t>GOTLAND</t>
        </is>
      </c>
      <c r="G583" t="n">
        <v>2.7</v>
      </c>
      <c r="H583" t="n">
        <v>0</v>
      </c>
      <c r="I583" t="n">
        <v>0</v>
      </c>
      <c r="J583" t="n">
        <v>0</v>
      </c>
      <c r="K583" t="n">
        <v>0</v>
      </c>
      <c r="L583" t="n">
        <v>0</v>
      </c>
      <c r="M583" t="n">
        <v>0</v>
      </c>
      <c r="N583" t="n">
        <v>0</v>
      </c>
      <c r="O583" t="n">
        <v>0</v>
      </c>
      <c r="P583" t="n">
        <v>0</v>
      </c>
      <c r="Q583" t="n">
        <v>0</v>
      </c>
      <c r="R583" s="2" t="inlineStr"/>
    </row>
    <row r="584" ht="15" customHeight="1">
      <c r="A584" t="inlineStr">
        <is>
          <t>A 57534-2022</t>
        </is>
      </c>
      <c r="B584" s="1" t="n">
        <v>44896</v>
      </c>
      <c r="C584" s="1" t="n">
        <v>46105</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46105</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43229-2023</t>
        </is>
      </c>
      <c r="B586" s="1" t="n">
        <v>45183.46704861111</v>
      </c>
      <c r="C586" s="1" t="n">
        <v>46105</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46105</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46105</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22899-2023</t>
        </is>
      </c>
      <c r="B589" s="1" t="n">
        <v>45072</v>
      </c>
      <c r="C589" s="1" t="n">
        <v>46105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23978-2023</t>
        </is>
      </c>
      <c r="B590" s="1" t="n">
        <v>45078</v>
      </c>
      <c r="C590" s="1" t="n">
        <v>46105</v>
      </c>
      <c r="D590" t="inlineStr">
        <is>
          <t>GOTLANDS LÄN</t>
        </is>
      </c>
      <c r="E590" t="inlineStr">
        <is>
          <t>GOTLAND</t>
        </is>
      </c>
      <c r="F590" t="inlineStr">
        <is>
          <t>Naturvårdsverket</t>
        </is>
      </c>
      <c r="G590" t="n">
        <v>1.7</v>
      </c>
      <c r="H590" t="n">
        <v>0</v>
      </c>
      <c r="I590" t="n">
        <v>0</v>
      </c>
      <c r="J590" t="n">
        <v>0</v>
      </c>
      <c r="K590" t="n">
        <v>0</v>
      </c>
      <c r="L590" t="n">
        <v>0</v>
      </c>
      <c r="M590" t="n">
        <v>0</v>
      </c>
      <c r="N590" t="n">
        <v>0</v>
      </c>
      <c r="O590" t="n">
        <v>0</v>
      </c>
      <c r="P590" t="n">
        <v>0</v>
      </c>
      <c r="Q590" t="n">
        <v>0</v>
      </c>
      <c r="R590" s="2" t="inlineStr"/>
    </row>
    <row r="591" ht="15" customHeight="1">
      <c r="A591" t="inlineStr">
        <is>
          <t>A 34407-2023</t>
        </is>
      </c>
      <c r="B591" s="1" t="n">
        <v>45132</v>
      </c>
      <c r="C591" s="1" t="n">
        <v>46105</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46105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27694-2024</t>
        </is>
      </c>
      <c r="B593" s="1" t="n">
        <v>45475</v>
      </c>
      <c r="C593" s="1" t="n">
        <v>46105</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15083-2025</t>
        </is>
      </c>
      <c r="B594" s="1" t="n">
        <v>45743</v>
      </c>
      <c r="C594" s="1" t="n">
        <v>46105</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13037-2025</t>
        </is>
      </c>
      <c r="B595" s="1" t="n">
        <v>45734</v>
      </c>
      <c r="C595" s="1" t="n">
        <v>46105</v>
      </c>
      <c r="D595" t="inlineStr">
        <is>
          <t>GOTLANDS LÄN</t>
        </is>
      </c>
      <c r="E595" t="inlineStr">
        <is>
          <t>GOTLAND</t>
        </is>
      </c>
      <c r="G595" t="n">
        <v>9.5</v>
      </c>
      <c r="H595" t="n">
        <v>0</v>
      </c>
      <c r="I595" t="n">
        <v>0</v>
      </c>
      <c r="J595" t="n">
        <v>0</v>
      </c>
      <c r="K595" t="n">
        <v>0</v>
      </c>
      <c r="L595" t="n">
        <v>0</v>
      </c>
      <c r="M595" t="n">
        <v>0</v>
      </c>
      <c r="N595" t="n">
        <v>0</v>
      </c>
      <c r="O595" t="n">
        <v>0</v>
      </c>
      <c r="P595" t="n">
        <v>0</v>
      </c>
      <c r="Q595" t="n">
        <v>0</v>
      </c>
      <c r="R595" s="2" t="inlineStr"/>
    </row>
    <row r="596" ht="15" customHeight="1">
      <c r="A596" t="inlineStr">
        <is>
          <t>A 458-2023</t>
        </is>
      </c>
      <c r="B596" s="1" t="n">
        <v>44929</v>
      </c>
      <c r="C596" s="1" t="n">
        <v>46105</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44228-2022</t>
        </is>
      </c>
      <c r="B597" s="1" t="n">
        <v>44839.51599537037</v>
      </c>
      <c r="C597" s="1" t="n">
        <v>46105</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58132-2023</t>
        </is>
      </c>
      <c r="B598" s="1" t="n">
        <v>45250</v>
      </c>
      <c r="C598" s="1" t="n">
        <v>46105</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49884-2023</t>
        </is>
      </c>
      <c r="B599" s="1" t="n">
        <v>45213</v>
      </c>
      <c r="C599" s="1" t="n">
        <v>46105</v>
      </c>
      <c r="D599" t="inlineStr">
        <is>
          <t>GOTLANDS LÄN</t>
        </is>
      </c>
      <c r="E599" t="inlineStr">
        <is>
          <t>GOTLAND</t>
        </is>
      </c>
      <c r="G599" t="n">
        <v>8.9</v>
      </c>
      <c r="H599" t="n">
        <v>0</v>
      </c>
      <c r="I599" t="n">
        <v>0</v>
      </c>
      <c r="J599" t="n">
        <v>0</v>
      </c>
      <c r="K599" t="n">
        <v>0</v>
      </c>
      <c r="L599" t="n">
        <v>0</v>
      </c>
      <c r="M599" t="n">
        <v>0</v>
      </c>
      <c r="N599" t="n">
        <v>0</v>
      </c>
      <c r="O599" t="n">
        <v>0</v>
      </c>
      <c r="P599" t="n">
        <v>0</v>
      </c>
      <c r="Q599" t="n">
        <v>0</v>
      </c>
      <c r="R599" s="2" t="inlineStr"/>
    </row>
    <row r="600" ht="15" customHeight="1">
      <c r="A600" t="inlineStr">
        <is>
          <t>A 876-2024</t>
        </is>
      </c>
      <c r="B600" s="1" t="n">
        <v>45301</v>
      </c>
      <c r="C600" s="1" t="n">
        <v>46105</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46105</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46105</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58476-2022</t>
        </is>
      </c>
      <c r="B603" s="1" t="n">
        <v>44902</v>
      </c>
      <c r="C603" s="1" t="n">
        <v>46105</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43200-2023</t>
        </is>
      </c>
      <c r="B604" s="1" t="n">
        <v>45183</v>
      </c>
      <c r="C604" s="1" t="n">
        <v>46105</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43223-2023</t>
        </is>
      </c>
      <c r="B605" s="1" t="n">
        <v>45183.45642361111</v>
      </c>
      <c r="C605" s="1" t="n">
        <v>46105</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46105</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3431-2025</t>
        </is>
      </c>
      <c r="B607" s="1" t="n">
        <v>45680.42935185185</v>
      </c>
      <c r="C607" s="1" t="n">
        <v>46105</v>
      </c>
      <c r="D607" t="inlineStr">
        <is>
          <t>GOTLANDS LÄN</t>
        </is>
      </c>
      <c r="E607" t="inlineStr">
        <is>
          <t>GOTLAND</t>
        </is>
      </c>
      <c r="G607" t="n">
        <v>4.8</v>
      </c>
      <c r="H607" t="n">
        <v>0</v>
      </c>
      <c r="I607" t="n">
        <v>0</v>
      </c>
      <c r="J607" t="n">
        <v>0</v>
      </c>
      <c r="K607" t="n">
        <v>0</v>
      </c>
      <c r="L607" t="n">
        <v>0</v>
      </c>
      <c r="M607" t="n">
        <v>0</v>
      </c>
      <c r="N607" t="n">
        <v>0</v>
      </c>
      <c r="O607" t="n">
        <v>0</v>
      </c>
      <c r="P607" t="n">
        <v>0</v>
      </c>
      <c r="Q607" t="n">
        <v>0</v>
      </c>
      <c r="R607" s="2" t="inlineStr"/>
    </row>
    <row r="608" ht="15" customHeight="1">
      <c r="A608" t="inlineStr">
        <is>
          <t>A 12209-2024</t>
        </is>
      </c>
      <c r="B608" s="1" t="n">
        <v>45378</v>
      </c>
      <c r="C608" s="1" t="n">
        <v>46105</v>
      </c>
      <c r="D608" t="inlineStr">
        <is>
          <t>GOTLANDS LÄN</t>
        </is>
      </c>
      <c r="E608" t="inlineStr">
        <is>
          <t>GOTLAND</t>
        </is>
      </c>
      <c r="G608" t="n">
        <v>5.3</v>
      </c>
      <c r="H608" t="n">
        <v>0</v>
      </c>
      <c r="I608" t="n">
        <v>0</v>
      </c>
      <c r="J608" t="n">
        <v>0</v>
      </c>
      <c r="K608" t="n">
        <v>0</v>
      </c>
      <c r="L608" t="n">
        <v>0</v>
      </c>
      <c r="M608" t="n">
        <v>0</v>
      </c>
      <c r="N608" t="n">
        <v>0</v>
      </c>
      <c r="O608" t="n">
        <v>0</v>
      </c>
      <c r="P608" t="n">
        <v>0</v>
      </c>
      <c r="Q608" t="n">
        <v>0</v>
      </c>
      <c r="R608" s="2" t="inlineStr"/>
    </row>
    <row r="609" ht="15" customHeight="1">
      <c r="A609" t="inlineStr">
        <is>
          <t>A 12210-2024</t>
        </is>
      </c>
      <c r="B609" s="1" t="n">
        <v>45378</v>
      </c>
      <c r="C609" s="1" t="n">
        <v>46105</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1364-2025</t>
        </is>
      </c>
      <c r="B610" s="1" t="n">
        <v>45667.63929398148</v>
      </c>
      <c r="C610" s="1" t="n">
        <v>46105</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15042-2025</t>
        </is>
      </c>
      <c r="B611" s="1" t="n">
        <v>45743</v>
      </c>
      <c r="C611" s="1" t="n">
        <v>46105</v>
      </c>
      <c r="D611" t="inlineStr">
        <is>
          <t>GOTLANDS LÄN</t>
        </is>
      </c>
      <c r="E611" t="inlineStr">
        <is>
          <t>GOTLAND</t>
        </is>
      </c>
      <c r="G611" t="n">
        <v>8.5</v>
      </c>
      <c r="H611" t="n">
        <v>0</v>
      </c>
      <c r="I611" t="n">
        <v>0</v>
      </c>
      <c r="J611" t="n">
        <v>0</v>
      </c>
      <c r="K611" t="n">
        <v>0</v>
      </c>
      <c r="L611" t="n">
        <v>0</v>
      </c>
      <c r="M611" t="n">
        <v>0</v>
      </c>
      <c r="N611" t="n">
        <v>0</v>
      </c>
      <c r="O611" t="n">
        <v>0</v>
      </c>
      <c r="P611" t="n">
        <v>0</v>
      </c>
      <c r="Q611" t="n">
        <v>0</v>
      </c>
      <c r="R611" s="2" t="inlineStr"/>
    </row>
    <row r="612" ht="15" customHeight="1">
      <c r="A612" t="inlineStr">
        <is>
          <t>A 2180-2025</t>
        </is>
      </c>
      <c r="B612" s="1" t="n">
        <v>45673</v>
      </c>
      <c r="C612" s="1" t="n">
        <v>46105</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15436-2025</t>
        </is>
      </c>
      <c r="B613" s="1" t="n">
        <v>45747.47462962963</v>
      </c>
      <c r="C613" s="1" t="n">
        <v>46105</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49257-2024</t>
        </is>
      </c>
      <c r="B614" s="1" t="n">
        <v>45595.47627314815</v>
      </c>
      <c r="C614" s="1" t="n">
        <v>46105</v>
      </c>
      <c r="D614" t="inlineStr">
        <is>
          <t>GOTLANDS LÄN</t>
        </is>
      </c>
      <c r="E614" t="inlineStr">
        <is>
          <t>GOTLAND</t>
        </is>
      </c>
      <c r="G614" t="n">
        <v>6.3</v>
      </c>
      <c r="H614" t="n">
        <v>0</v>
      </c>
      <c r="I614" t="n">
        <v>0</v>
      </c>
      <c r="J614" t="n">
        <v>0</v>
      </c>
      <c r="K614" t="n">
        <v>0</v>
      </c>
      <c r="L614" t="n">
        <v>0</v>
      </c>
      <c r="M614" t="n">
        <v>0</v>
      </c>
      <c r="N614" t="n">
        <v>0</v>
      </c>
      <c r="O614" t="n">
        <v>0</v>
      </c>
      <c r="P614" t="n">
        <v>0</v>
      </c>
      <c r="Q614" t="n">
        <v>0</v>
      </c>
      <c r="R614" s="2" t="inlineStr"/>
    </row>
    <row r="615" ht="15" customHeight="1">
      <c r="A615" t="inlineStr">
        <is>
          <t>A 37202-2024</t>
        </is>
      </c>
      <c r="B615" s="1" t="n">
        <v>45539.67310185185</v>
      </c>
      <c r="C615" s="1" t="n">
        <v>46105</v>
      </c>
      <c r="D615" t="inlineStr">
        <is>
          <t>GOTLANDS LÄN</t>
        </is>
      </c>
      <c r="E615" t="inlineStr">
        <is>
          <t>GOTLAND</t>
        </is>
      </c>
      <c r="G615" t="n">
        <v>0.3</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46105</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2774-2024</t>
        </is>
      </c>
      <c r="B617" s="1" t="n">
        <v>45314.62375</v>
      </c>
      <c r="C617" s="1" t="n">
        <v>46105</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60709-2023</t>
        </is>
      </c>
      <c r="B618" s="1" t="n">
        <v>45260</v>
      </c>
      <c r="C618" s="1" t="n">
        <v>46105</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64208-2021</t>
        </is>
      </c>
      <c r="B619" s="1" t="n">
        <v>44510</v>
      </c>
      <c r="C619" s="1" t="n">
        <v>46105</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39764-2022</t>
        </is>
      </c>
      <c r="B620" s="1" t="n">
        <v>44819</v>
      </c>
      <c r="C620" s="1" t="n">
        <v>46105</v>
      </c>
      <c r="D620" t="inlineStr">
        <is>
          <t>GOTLANDS LÄN</t>
        </is>
      </c>
      <c r="E620" t="inlineStr">
        <is>
          <t>GOTLAND</t>
        </is>
      </c>
      <c r="F620" t="inlineStr">
        <is>
          <t>Kyrkan</t>
        </is>
      </c>
      <c r="G620" t="n">
        <v>3.7</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46105</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30956-2024</t>
        </is>
      </c>
      <c r="B622" s="1" t="n">
        <v>45499.42527777778</v>
      </c>
      <c r="C622" s="1" t="n">
        <v>46105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30892-2024</t>
        </is>
      </c>
      <c r="B623" s="1" t="n">
        <v>45491</v>
      </c>
      <c r="C623" s="1" t="n">
        <v>46105</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45013.69365740741</v>
      </c>
      <c r="C624" s="1" t="n">
        <v>46105</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59469-2024</t>
        </is>
      </c>
      <c r="B625" s="1" t="n">
        <v>45638</v>
      </c>
      <c r="C625" s="1" t="n">
        <v>46105</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7858-2025</t>
        </is>
      </c>
      <c r="B626" s="1" t="n">
        <v>45706.68633101852</v>
      </c>
      <c r="C626" s="1" t="n">
        <v>46105</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53935-2024</t>
        </is>
      </c>
      <c r="B627" s="1" t="n">
        <v>45615</v>
      </c>
      <c r="C627" s="1" t="n">
        <v>46105</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46105</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4420-2025</t>
        </is>
      </c>
      <c r="B629" s="1" t="n">
        <v>45686.47157407407</v>
      </c>
      <c r="C629" s="1" t="n">
        <v>46105</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5891-2025</t>
        </is>
      </c>
      <c r="B630" s="1" t="n">
        <v>45695.38327546296</v>
      </c>
      <c r="C630" s="1" t="n">
        <v>46105</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7835-2024</t>
        </is>
      </c>
      <c r="B631" s="1" t="n">
        <v>45349.83138888889</v>
      </c>
      <c r="C631" s="1" t="n">
        <v>46105</v>
      </c>
      <c r="D631" t="inlineStr">
        <is>
          <t>GOTLANDS LÄN</t>
        </is>
      </c>
      <c r="E631" t="inlineStr">
        <is>
          <t>GOTLAND</t>
        </is>
      </c>
      <c r="G631" t="n">
        <v>3.8</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46105</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46105</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46105</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46105</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46105</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10656-2024</t>
        </is>
      </c>
      <c r="B637" s="1" t="n">
        <v>45368</v>
      </c>
      <c r="C637" s="1" t="n">
        <v>46105</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46105</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21420-2024</t>
        </is>
      </c>
      <c r="B639" s="1" t="n">
        <v>45441.38293981482</v>
      </c>
      <c r="C639" s="1" t="n">
        <v>46105</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23188-2025</t>
        </is>
      </c>
      <c r="B640" s="1" t="n">
        <v>45791</v>
      </c>
      <c r="C640" s="1" t="n">
        <v>46105</v>
      </c>
      <c r="D640" t="inlineStr">
        <is>
          <t>GOTLANDS LÄN</t>
        </is>
      </c>
      <c r="E640" t="inlineStr">
        <is>
          <t>GOTLAND</t>
        </is>
      </c>
      <c r="G640" t="n">
        <v>6.2</v>
      </c>
      <c r="H640" t="n">
        <v>0</v>
      </c>
      <c r="I640" t="n">
        <v>0</v>
      </c>
      <c r="J640" t="n">
        <v>0</v>
      </c>
      <c r="K640" t="n">
        <v>0</v>
      </c>
      <c r="L640" t="n">
        <v>0</v>
      </c>
      <c r="M640" t="n">
        <v>0</v>
      </c>
      <c r="N640" t="n">
        <v>0</v>
      </c>
      <c r="O640" t="n">
        <v>0</v>
      </c>
      <c r="P640" t="n">
        <v>0</v>
      </c>
      <c r="Q640" t="n">
        <v>0</v>
      </c>
      <c r="R640" s="2" t="inlineStr"/>
    </row>
    <row r="641" ht="15" customHeight="1">
      <c r="A641" t="inlineStr">
        <is>
          <t>A 23473-2025</t>
        </is>
      </c>
      <c r="B641" s="1" t="n">
        <v>45792</v>
      </c>
      <c r="C641" s="1" t="n">
        <v>46105</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23856-2025</t>
        </is>
      </c>
      <c r="B642" s="1" t="n">
        <v>45793</v>
      </c>
      <c r="C642" s="1" t="n">
        <v>46105</v>
      </c>
      <c r="D642" t="inlineStr">
        <is>
          <t>GOTLANDS LÄN</t>
        </is>
      </c>
      <c r="E642" t="inlineStr">
        <is>
          <t>GOTLAND</t>
        </is>
      </c>
      <c r="G642" t="n">
        <v>4.4</v>
      </c>
      <c r="H642" t="n">
        <v>0</v>
      </c>
      <c r="I642" t="n">
        <v>0</v>
      </c>
      <c r="J642" t="n">
        <v>0</v>
      </c>
      <c r="K642" t="n">
        <v>0</v>
      </c>
      <c r="L642" t="n">
        <v>0</v>
      </c>
      <c r="M642" t="n">
        <v>0</v>
      </c>
      <c r="N642" t="n">
        <v>0</v>
      </c>
      <c r="O642" t="n">
        <v>0</v>
      </c>
      <c r="P642" t="n">
        <v>0</v>
      </c>
      <c r="Q642" t="n">
        <v>0</v>
      </c>
      <c r="R642" s="2" t="inlineStr"/>
    </row>
    <row r="643" ht="15" customHeight="1">
      <c r="A643" t="inlineStr">
        <is>
          <t>A 15073-2025</t>
        </is>
      </c>
      <c r="B643" s="1" t="n">
        <v>45743</v>
      </c>
      <c r="C643" s="1" t="n">
        <v>46105</v>
      </c>
      <c r="D643" t="inlineStr">
        <is>
          <t>GOTLANDS LÄN</t>
        </is>
      </c>
      <c r="E643" t="inlineStr">
        <is>
          <t>GOTLAND</t>
        </is>
      </c>
      <c r="G643" t="n">
        <v>12.1</v>
      </c>
      <c r="H643" t="n">
        <v>0</v>
      </c>
      <c r="I643" t="n">
        <v>0</v>
      </c>
      <c r="J643" t="n">
        <v>0</v>
      </c>
      <c r="K643" t="n">
        <v>0</v>
      </c>
      <c r="L643" t="n">
        <v>0</v>
      </c>
      <c r="M643" t="n">
        <v>0</v>
      </c>
      <c r="N643" t="n">
        <v>0</v>
      </c>
      <c r="O643" t="n">
        <v>0</v>
      </c>
      <c r="P643" t="n">
        <v>0</v>
      </c>
      <c r="Q643" t="n">
        <v>0</v>
      </c>
      <c r="R643" s="2" t="inlineStr"/>
    </row>
    <row r="644" ht="15" customHeight="1">
      <c r="A644" t="inlineStr">
        <is>
          <t>A 6749-2025</t>
        </is>
      </c>
      <c r="B644" s="1" t="n">
        <v>45700</v>
      </c>
      <c r="C644" s="1" t="n">
        <v>46105</v>
      </c>
      <c r="D644" t="inlineStr">
        <is>
          <t>GOTLANDS LÄN</t>
        </is>
      </c>
      <c r="E644" t="inlineStr">
        <is>
          <t>GOTLAND</t>
        </is>
      </c>
      <c r="G644" t="n">
        <v>4.5</v>
      </c>
      <c r="H644" t="n">
        <v>0</v>
      </c>
      <c r="I644" t="n">
        <v>0</v>
      </c>
      <c r="J644" t="n">
        <v>0</v>
      </c>
      <c r="K644" t="n">
        <v>0</v>
      </c>
      <c r="L644" t="n">
        <v>0</v>
      </c>
      <c r="M644" t="n">
        <v>0</v>
      </c>
      <c r="N644" t="n">
        <v>0</v>
      </c>
      <c r="O644" t="n">
        <v>0</v>
      </c>
      <c r="P644" t="n">
        <v>0</v>
      </c>
      <c r="Q644" t="n">
        <v>0</v>
      </c>
      <c r="R644" s="2" t="inlineStr"/>
    </row>
    <row r="645" ht="15" customHeight="1">
      <c r="A645" t="inlineStr">
        <is>
          <t>A 23698-2025</t>
        </is>
      </c>
      <c r="B645" s="1" t="n">
        <v>45793</v>
      </c>
      <c r="C645" s="1" t="n">
        <v>46105</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5462-2025</t>
        </is>
      </c>
      <c r="B646" s="1" t="n">
        <v>45693.29331018519</v>
      </c>
      <c r="C646" s="1" t="n">
        <v>46105</v>
      </c>
      <c r="D646" t="inlineStr">
        <is>
          <t>GOTLANDS LÄN</t>
        </is>
      </c>
      <c r="E646" t="inlineStr">
        <is>
          <t>GOTLAND</t>
        </is>
      </c>
      <c r="G646" t="n">
        <v>2.6</v>
      </c>
      <c r="H646" t="n">
        <v>0</v>
      </c>
      <c r="I646" t="n">
        <v>0</v>
      </c>
      <c r="J646" t="n">
        <v>0</v>
      </c>
      <c r="K646" t="n">
        <v>0</v>
      </c>
      <c r="L646" t="n">
        <v>0</v>
      </c>
      <c r="M646" t="n">
        <v>0</v>
      </c>
      <c r="N646" t="n">
        <v>0</v>
      </c>
      <c r="O646" t="n">
        <v>0</v>
      </c>
      <c r="P646" t="n">
        <v>0</v>
      </c>
      <c r="Q646" t="n">
        <v>0</v>
      </c>
      <c r="R646" s="2" t="inlineStr"/>
    </row>
    <row r="647">
      <c r="A647" t="inlineStr">
        <is>
          <t>A 25796-2025</t>
        </is>
      </c>
      <c r="B647" s="1" t="n">
        <v>45804.39543981481</v>
      </c>
      <c r="C647" s="1" t="n">
        <v>46105</v>
      </c>
      <c r="D647" t="inlineStr">
        <is>
          <t>GOTLANDS LÄN</t>
        </is>
      </c>
      <c r="E647" t="inlineStr">
        <is>
          <t>GOTLAND</t>
        </is>
      </c>
      <c r="G647" t="n">
        <v>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2026-03-24T11:32:03Z</dcterms:created>
  <dcterms:modified xmlns:dcterms="http://purl.org/dc/terms/" xmlns:xsi="http://www.w3.org/2001/XMLSchema-instance" xsi:type="dcterms:W3CDTF">2026-03-24T11:32:04Z</dcterms:modified>
</cp:coreProperties>
</file>