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45928</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45928</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45928</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922-2023</t>
        </is>
      </c>
      <c r="B10" s="1" t="n">
        <v>44932</v>
      </c>
      <c r="C10" s="1" t="n">
        <v>45928</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42607-2025</t>
        </is>
      </c>
      <c r="B11" s="1" t="n">
        <v>45905</v>
      </c>
      <c r="C11" s="1" t="n">
        <v>45928</v>
      </c>
      <c r="D11" t="inlineStr">
        <is>
          <t>GOTLANDS LÄN</t>
        </is>
      </c>
      <c r="E11" t="inlineStr">
        <is>
          <t>GOTLAND</t>
        </is>
      </c>
      <c r="G11" t="n">
        <v>15.8</v>
      </c>
      <c r="H11" t="n">
        <v>3</v>
      </c>
      <c r="I11" t="n">
        <v>7</v>
      </c>
      <c r="J11" t="n">
        <v>4</v>
      </c>
      <c r="K11" t="n">
        <v>9</v>
      </c>
      <c r="L11" t="n">
        <v>0</v>
      </c>
      <c r="M11" t="n">
        <v>0</v>
      </c>
      <c r="N11" t="n">
        <v>0</v>
      </c>
      <c r="O11" t="n">
        <v>13</v>
      </c>
      <c r="P11" t="n">
        <v>9</v>
      </c>
      <c r="Q11" t="n">
        <v>21</v>
      </c>
      <c r="R11"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1">
        <f>HYPERLINK("https://klasma.github.io/Logging_0980/artfynd/A 42607-2025 artfynd.xlsx", "A 42607-2025")</f>
        <v/>
      </c>
      <c r="T11">
        <f>HYPERLINK("https://klasma.github.io/Logging_0980/kartor/A 42607-2025 karta.png", "A 42607-2025")</f>
        <v/>
      </c>
      <c r="V11">
        <f>HYPERLINK("https://klasma.github.io/Logging_0980/klagomål/A 42607-2025 FSC-klagomål.docx", "A 42607-2025")</f>
        <v/>
      </c>
      <c r="W11">
        <f>HYPERLINK("https://klasma.github.io/Logging_0980/klagomålsmail/A 42607-2025 FSC-klagomål mail.docx", "A 42607-2025")</f>
        <v/>
      </c>
      <c r="X11">
        <f>HYPERLINK("https://klasma.github.io/Logging_0980/tillsyn/A 42607-2025 tillsynsbegäran.docx", "A 42607-2025")</f>
        <v/>
      </c>
      <c r="Y11">
        <f>HYPERLINK("https://klasma.github.io/Logging_0980/tillsynsmail/A 42607-2025 tillsynsbegäran mail.docx", "A 42607-2025")</f>
        <v/>
      </c>
      <c r="Z11">
        <f>HYPERLINK("https://klasma.github.io/Logging_0980/fåglar/A 42607-2025 prioriterade fågelarter.docx", "A 42607-2025")</f>
        <v/>
      </c>
    </row>
    <row r="12" ht="15" customHeight="1">
      <c r="A12" t="inlineStr">
        <is>
          <t>A 10780-2025</t>
        </is>
      </c>
      <c r="B12" s="1" t="n">
        <v>45722.48222222222</v>
      </c>
      <c r="C12" s="1" t="n">
        <v>45928</v>
      </c>
      <c r="D12" t="inlineStr">
        <is>
          <t>GOTLANDS LÄN</t>
        </is>
      </c>
      <c r="E12" t="inlineStr">
        <is>
          <t>GOTLAND</t>
        </is>
      </c>
      <c r="G12" t="n">
        <v>6.1</v>
      </c>
      <c r="H12" t="n">
        <v>11</v>
      </c>
      <c r="I12" t="n">
        <v>8</v>
      </c>
      <c r="J12" t="n">
        <v>6</v>
      </c>
      <c r="K12" t="n">
        <v>1</v>
      </c>
      <c r="L12" t="n">
        <v>1</v>
      </c>
      <c r="M12" t="n">
        <v>0</v>
      </c>
      <c r="N12" t="n">
        <v>0</v>
      </c>
      <c r="O12" t="n">
        <v>8</v>
      </c>
      <c r="P12" t="n">
        <v>2</v>
      </c>
      <c r="Q12" t="n">
        <v>21</v>
      </c>
      <c r="R12"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2">
        <f>HYPERLINK("https://klasma.github.io/Logging_0980/artfynd/A 10780-2025 artfynd.xlsx", "A 10780-2025")</f>
        <v/>
      </c>
      <c r="T12">
        <f>HYPERLINK("https://klasma.github.io/Logging_0980/kartor/A 10780-2025 karta.png", "A 10780-2025")</f>
        <v/>
      </c>
      <c r="U12">
        <f>HYPERLINK("https://klasma.github.io/Logging_0980/knärot/A 10780-2025 karta knärot.png", "A 10780-2025")</f>
        <v/>
      </c>
      <c r="V12">
        <f>HYPERLINK("https://klasma.github.io/Logging_0980/klagomål/A 10780-2025 FSC-klagomål.docx", "A 10780-2025")</f>
        <v/>
      </c>
      <c r="W12">
        <f>HYPERLINK("https://klasma.github.io/Logging_0980/klagomålsmail/A 10780-2025 FSC-klagomål mail.docx", "A 10780-2025")</f>
        <v/>
      </c>
      <c r="X12">
        <f>HYPERLINK("https://klasma.github.io/Logging_0980/tillsyn/A 10780-2025 tillsynsbegäran.docx", "A 10780-2025")</f>
        <v/>
      </c>
      <c r="Y12">
        <f>HYPERLINK("https://klasma.github.io/Logging_0980/tillsynsmail/A 10780-2025 tillsynsbegäran mail.docx", "A 10780-2025")</f>
        <v/>
      </c>
    </row>
    <row r="13" ht="15" customHeight="1">
      <c r="A13" t="inlineStr">
        <is>
          <t>A 569-2023</t>
        </is>
      </c>
      <c r="B13" s="1" t="n">
        <v>44930</v>
      </c>
      <c r="C13" s="1" t="n">
        <v>45928</v>
      </c>
      <c r="D13" t="inlineStr">
        <is>
          <t>GOTLANDS LÄN</t>
        </is>
      </c>
      <c r="E13" t="inlineStr">
        <is>
          <t>GOTLAND</t>
        </is>
      </c>
      <c r="G13" t="n">
        <v>12.8</v>
      </c>
      <c r="H13" t="n">
        <v>2</v>
      </c>
      <c r="I13" t="n">
        <v>5</v>
      </c>
      <c r="J13" t="n">
        <v>8</v>
      </c>
      <c r="K13" t="n">
        <v>5</v>
      </c>
      <c r="L13" t="n">
        <v>0</v>
      </c>
      <c r="M13" t="n">
        <v>0</v>
      </c>
      <c r="N13" t="n">
        <v>0</v>
      </c>
      <c r="O13" t="n">
        <v>13</v>
      </c>
      <c r="P13" t="n">
        <v>5</v>
      </c>
      <c r="Q13" t="n">
        <v>19</v>
      </c>
      <c r="R13"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530-2024</t>
        </is>
      </c>
      <c r="B14" s="1" t="n">
        <v>45299</v>
      </c>
      <c r="C14" s="1" t="n">
        <v>45928</v>
      </c>
      <c r="D14" t="inlineStr">
        <is>
          <t>GOTLANDS LÄN</t>
        </is>
      </c>
      <c r="E14" t="inlineStr">
        <is>
          <t>GOTLAND</t>
        </is>
      </c>
      <c r="G14" t="n">
        <v>6.5</v>
      </c>
      <c r="H14" t="n">
        <v>7</v>
      </c>
      <c r="I14" t="n">
        <v>6</v>
      </c>
      <c r="J14" t="n">
        <v>3</v>
      </c>
      <c r="K14" t="n">
        <v>3</v>
      </c>
      <c r="L14" t="n">
        <v>1</v>
      </c>
      <c r="M14" t="n">
        <v>0</v>
      </c>
      <c r="N14" t="n">
        <v>0</v>
      </c>
      <c r="O14" t="n">
        <v>7</v>
      </c>
      <c r="P14" t="n">
        <v>4</v>
      </c>
      <c r="Q14" t="n">
        <v>18</v>
      </c>
      <c r="R14"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15068-2025</t>
        </is>
      </c>
      <c r="B15" s="1" t="n">
        <v>45743</v>
      </c>
      <c r="C15" s="1" t="n">
        <v>45928</v>
      </c>
      <c r="D15" t="inlineStr">
        <is>
          <t>GOTLANDS LÄN</t>
        </is>
      </c>
      <c r="E15" t="inlineStr">
        <is>
          <t>GOTLAND</t>
        </is>
      </c>
      <c r="G15" t="n">
        <v>37.3</v>
      </c>
      <c r="H15" t="n">
        <v>5</v>
      </c>
      <c r="I15" t="n">
        <v>4</v>
      </c>
      <c r="J15" t="n">
        <v>4</v>
      </c>
      <c r="K15" t="n">
        <v>4</v>
      </c>
      <c r="L15" t="n">
        <v>0</v>
      </c>
      <c r="M15" t="n">
        <v>0</v>
      </c>
      <c r="N15" t="n">
        <v>0</v>
      </c>
      <c r="O15" t="n">
        <v>9</v>
      </c>
      <c r="P15" t="n">
        <v>4</v>
      </c>
      <c r="Q15" t="n">
        <v>18</v>
      </c>
      <c r="R15"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5">
        <f>HYPERLINK("https://klasma.github.io/Logging_0980/artfynd/A 15068-2025 artfynd.xlsx", "A 15068-2025")</f>
        <v/>
      </c>
      <c r="T15">
        <f>HYPERLINK("https://klasma.github.io/Logging_0980/kartor/A 15068-2025 karta.png", "A 15068-2025")</f>
        <v/>
      </c>
      <c r="V15">
        <f>HYPERLINK("https://klasma.github.io/Logging_0980/klagomål/A 15068-2025 FSC-klagomål.docx", "A 15068-2025")</f>
        <v/>
      </c>
      <c r="W15">
        <f>HYPERLINK("https://klasma.github.io/Logging_0980/klagomålsmail/A 15068-2025 FSC-klagomål mail.docx", "A 15068-2025")</f>
        <v/>
      </c>
      <c r="X15">
        <f>HYPERLINK("https://klasma.github.io/Logging_0980/tillsyn/A 15068-2025 tillsynsbegäran.docx", "A 15068-2025")</f>
        <v/>
      </c>
      <c r="Y15">
        <f>HYPERLINK("https://klasma.github.io/Logging_0980/tillsynsmail/A 15068-2025 tillsynsbegäran mail.docx", "A 15068-2025")</f>
        <v/>
      </c>
    </row>
    <row r="16" ht="15" customHeight="1">
      <c r="A16" t="inlineStr">
        <is>
          <t>A 8645-2025</t>
        </is>
      </c>
      <c r="B16" s="1" t="n">
        <v>45712</v>
      </c>
      <c r="C16" s="1" t="n">
        <v>45928</v>
      </c>
      <c r="D16" t="inlineStr">
        <is>
          <t>GOTLANDS LÄN</t>
        </is>
      </c>
      <c r="E16" t="inlineStr">
        <is>
          <t>GOTLAND</t>
        </is>
      </c>
      <c r="G16" t="n">
        <v>21.9</v>
      </c>
      <c r="H16" t="n">
        <v>9</v>
      </c>
      <c r="I16" t="n">
        <v>7</v>
      </c>
      <c r="J16" t="n">
        <v>5</v>
      </c>
      <c r="K16" t="n">
        <v>0</v>
      </c>
      <c r="L16" t="n">
        <v>1</v>
      </c>
      <c r="M16" t="n">
        <v>0</v>
      </c>
      <c r="N16" t="n">
        <v>0</v>
      </c>
      <c r="O16" t="n">
        <v>6</v>
      </c>
      <c r="P16" t="n">
        <v>1</v>
      </c>
      <c r="Q16" t="n">
        <v>17</v>
      </c>
      <c r="R16" s="2" t="inlineStr">
        <is>
          <t>Ask
Dårgräsfjäril
Loppstarr
Solvända
Spillkråka
Svinrot
Blåmossa
Grönpyrola
Kalktallört
Nästrot
Skogsknipprot
Strävlosta
Tvåblad
Grönsiska
Fläcknycklar
Grönvit nattviol
Nattviol</t>
        </is>
      </c>
      <c r="S16">
        <f>HYPERLINK("https://klasma.github.io/Logging_0980/artfynd/A 8645-2025 artfynd.xlsx", "A 8645-2025")</f>
        <v/>
      </c>
      <c r="T16">
        <f>HYPERLINK("https://klasma.github.io/Logging_0980/kartor/A 8645-2025 karta.png", "A 8645-2025")</f>
        <v/>
      </c>
      <c r="V16">
        <f>HYPERLINK("https://klasma.github.io/Logging_0980/klagomål/A 8645-2025 FSC-klagomål.docx", "A 8645-2025")</f>
        <v/>
      </c>
      <c r="W16">
        <f>HYPERLINK("https://klasma.github.io/Logging_0980/klagomålsmail/A 8645-2025 FSC-klagomål mail.docx", "A 8645-2025")</f>
        <v/>
      </c>
      <c r="X16">
        <f>HYPERLINK("https://klasma.github.io/Logging_0980/tillsyn/A 8645-2025 tillsynsbegäran.docx", "A 8645-2025")</f>
        <v/>
      </c>
      <c r="Y16">
        <f>HYPERLINK("https://klasma.github.io/Logging_0980/tillsynsmail/A 8645-2025 tillsynsbegäran mail.docx", "A 8645-2025")</f>
        <v/>
      </c>
      <c r="Z16">
        <f>HYPERLINK("https://klasma.github.io/Logging_0980/fåglar/A 8645-2025 prioriterade fågelarter.docx", "A 8645-2025")</f>
        <v/>
      </c>
    </row>
    <row r="17" ht="15" customHeight="1">
      <c r="A17" t="inlineStr">
        <is>
          <t>A 62551-2022</t>
        </is>
      </c>
      <c r="B17" s="1" t="n">
        <v>44924</v>
      </c>
      <c r="C17" s="1" t="n">
        <v>45928</v>
      </c>
      <c r="D17" t="inlineStr">
        <is>
          <t>GOTLANDS LÄN</t>
        </is>
      </c>
      <c r="E17" t="inlineStr">
        <is>
          <t>GOTLAND</t>
        </is>
      </c>
      <c r="G17" t="n">
        <v>7.9</v>
      </c>
      <c r="H17" t="n">
        <v>2</v>
      </c>
      <c r="I17" t="n">
        <v>9</v>
      </c>
      <c r="J17" t="n">
        <v>5</v>
      </c>
      <c r="K17" t="n">
        <v>2</v>
      </c>
      <c r="L17" t="n">
        <v>0</v>
      </c>
      <c r="M17" t="n">
        <v>0</v>
      </c>
      <c r="N17" t="n">
        <v>0</v>
      </c>
      <c r="O17" t="n">
        <v>7</v>
      </c>
      <c r="P17" t="n">
        <v>2</v>
      </c>
      <c r="Q17" t="n">
        <v>17</v>
      </c>
      <c r="R17"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24575-2025</t>
        </is>
      </c>
      <c r="B18" s="1" t="n">
        <v>45798</v>
      </c>
      <c r="C18" s="1" t="n">
        <v>45928</v>
      </c>
      <c r="D18" t="inlineStr">
        <is>
          <t>GOTLANDS LÄN</t>
        </is>
      </c>
      <c r="E18" t="inlineStr">
        <is>
          <t>GOTLAND</t>
        </is>
      </c>
      <c r="G18" t="n">
        <v>6.7</v>
      </c>
      <c r="H18" t="n">
        <v>9</v>
      </c>
      <c r="I18" t="n">
        <v>6</v>
      </c>
      <c r="J18" t="n">
        <v>6</v>
      </c>
      <c r="K18" t="n">
        <v>1</v>
      </c>
      <c r="L18" t="n">
        <v>0</v>
      </c>
      <c r="M18" t="n">
        <v>0</v>
      </c>
      <c r="N18" t="n">
        <v>0</v>
      </c>
      <c r="O18" t="n">
        <v>7</v>
      </c>
      <c r="P18" t="n">
        <v>1</v>
      </c>
      <c r="Q18" t="n">
        <v>16</v>
      </c>
      <c r="R18" s="2" t="inlineStr">
        <is>
          <t>Knärot
Jordtistel
Reliktbock
Solvända
Spillkråka
Svinrot
Ängsstarr
Blåmossa
Nästrot
Skogsknipprot
Sårläka
Tvåblad
Vit skogslilja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34100-2024</t>
        </is>
      </c>
      <c r="B19" s="1" t="n">
        <v>45523</v>
      </c>
      <c r="C19" s="1" t="n">
        <v>45928</v>
      </c>
      <c r="D19" t="inlineStr">
        <is>
          <t>GOTLANDS LÄN</t>
        </is>
      </c>
      <c r="E19" t="inlineStr">
        <is>
          <t>GOTLAND</t>
        </is>
      </c>
      <c r="F19" t="inlineStr">
        <is>
          <t>Övriga statliga verk och myndigheter</t>
        </is>
      </c>
      <c r="G19" t="n">
        <v>8.5</v>
      </c>
      <c r="H19" t="n">
        <v>3</v>
      </c>
      <c r="I19" t="n">
        <v>7</v>
      </c>
      <c r="J19" t="n">
        <v>3</v>
      </c>
      <c r="K19" t="n">
        <v>2</v>
      </c>
      <c r="L19" t="n">
        <v>0</v>
      </c>
      <c r="M19" t="n">
        <v>0</v>
      </c>
      <c r="N19" t="n">
        <v>0</v>
      </c>
      <c r="O19" t="n">
        <v>6</v>
      </c>
      <c r="P19" t="n">
        <v>2</v>
      </c>
      <c r="Q19" t="n">
        <v>16</v>
      </c>
      <c r="R19"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9">
        <f>HYPERLINK("https://klasma.github.io/Logging_0980/artfynd/A 34100-2024 artfynd.xlsx", "A 34100-2024")</f>
        <v/>
      </c>
      <c r="T19">
        <f>HYPERLINK("https://klasma.github.io/Logging_0980/kartor/A 34100-2024 karta.png", "A 34100-2024")</f>
        <v/>
      </c>
      <c r="V19">
        <f>HYPERLINK("https://klasma.github.io/Logging_0980/klagomål/A 34100-2024 FSC-klagomål.docx", "A 34100-2024")</f>
        <v/>
      </c>
      <c r="W19">
        <f>HYPERLINK("https://klasma.github.io/Logging_0980/klagomålsmail/A 34100-2024 FSC-klagomål mail.docx", "A 34100-2024")</f>
        <v/>
      </c>
      <c r="X19">
        <f>HYPERLINK("https://klasma.github.io/Logging_0980/tillsyn/A 34100-2024 tillsynsbegäran.docx", "A 34100-2024")</f>
        <v/>
      </c>
      <c r="Y19">
        <f>HYPERLINK("https://klasma.github.io/Logging_0980/tillsynsmail/A 34100-2024 tillsynsbegäran mail.docx", "A 34100-2024")</f>
        <v/>
      </c>
      <c r="Z19">
        <f>HYPERLINK("https://klasma.github.io/Logging_0980/fåglar/A 34100-2024 prioriterade fågelarter.docx", "A 34100-2024")</f>
        <v/>
      </c>
    </row>
    <row r="20" ht="15" customHeight="1">
      <c r="A20" t="inlineStr">
        <is>
          <t>A 15629-2024</t>
        </is>
      </c>
      <c r="B20" s="1" t="n">
        <v>45402.78372685185</v>
      </c>
      <c r="C20" s="1" t="n">
        <v>45928</v>
      </c>
      <c r="D20" t="inlineStr">
        <is>
          <t>GOTLANDS LÄN</t>
        </is>
      </c>
      <c r="E20" t="inlineStr">
        <is>
          <t>GOTLAND</t>
        </is>
      </c>
      <c r="G20" t="n">
        <v>6.3</v>
      </c>
      <c r="H20" t="n">
        <v>6</v>
      </c>
      <c r="I20" t="n">
        <v>3</v>
      </c>
      <c r="J20" t="n">
        <v>9</v>
      </c>
      <c r="K20" t="n">
        <v>0</v>
      </c>
      <c r="L20" t="n">
        <v>0</v>
      </c>
      <c r="M20" t="n">
        <v>0</v>
      </c>
      <c r="N20" t="n">
        <v>0</v>
      </c>
      <c r="O20" t="n">
        <v>9</v>
      </c>
      <c r="P20" t="n">
        <v>0</v>
      </c>
      <c r="Q20" t="n">
        <v>15</v>
      </c>
      <c r="R20" s="2" t="inlineStr">
        <is>
          <t>Apollofjäril
Axveronika
Backtimjan
Jordtistel
Kalkkoppmossa
Orellia scorzonerae
Solvända
Spillkråka
Svinrot
Blåmossa
Kattfotslav
Nästrot
Sankt pers nycklar
Blåsippa
Gullviva</t>
        </is>
      </c>
      <c r="S20">
        <f>HYPERLINK("https://klasma.github.io/Logging_0980/artfynd/A 15629-2024 artfynd.xlsx", "A 15629-2024")</f>
        <v/>
      </c>
      <c r="T20">
        <f>HYPERLINK("https://klasma.github.io/Logging_0980/kartor/A 15629-2024 karta.png", "A 15629-2024")</f>
        <v/>
      </c>
      <c r="V20">
        <f>HYPERLINK("https://klasma.github.io/Logging_0980/klagomål/A 15629-2024 FSC-klagomål.docx", "A 15629-2024")</f>
        <v/>
      </c>
      <c r="W20">
        <f>HYPERLINK("https://klasma.github.io/Logging_0980/klagomålsmail/A 15629-2024 FSC-klagomål mail.docx", "A 15629-2024")</f>
        <v/>
      </c>
      <c r="X20">
        <f>HYPERLINK("https://klasma.github.io/Logging_0980/tillsyn/A 15629-2024 tillsynsbegäran.docx", "A 15629-2024")</f>
        <v/>
      </c>
      <c r="Y20">
        <f>HYPERLINK("https://klasma.github.io/Logging_0980/tillsynsmail/A 15629-2024 tillsynsbegäran mail.docx", "A 15629-2024")</f>
        <v/>
      </c>
      <c r="Z20">
        <f>HYPERLINK("https://klasma.github.io/Logging_0980/fåglar/A 15629-2024 prioriterade fågelarter.docx", "A 15629-2024")</f>
        <v/>
      </c>
    </row>
    <row r="21" ht="15" customHeight="1">
      <c r="A21" t="inlineStr">
        <is>
          <t>A 61697-2023</t>
        </is>
      </c>
      <c r="B21" s="1" t="n">
        <v>45265</v>
      </c>
      <c r="C21" s="1" t="n">
        <v>45928</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17762-2024</t>
        </is>
      </c>
      <c r="B22" s="1" t="n">
        <v>45418</v>
      </c>
      <c r="C22" s="1" t="n">
        <v>45928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62132-2023</t>
        </is>
      </c>
      <c r="B23" s="1" t="n">
        <v>45267</v>
      </c>
      <c r="C23" s="1" t="n">
        <v>45928</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6913-2025</t>
        </is>
      </c>
      <c r="B24" s="1" t="n">
        <v>45701.43809027778</v>
      </c>
      <c r="C24" s="1" t="n">
        <v>45928</v>
      </c>
      <c r="D24" t="inlineStr">
        <is>
          <t>GOTLANDS LÄN</t>
        </is>
      </c>
      <c r="E24" t="inlineStr">
        <is>
          <t>GOTLAND</t>
        </is>
      </c>
      <c r="G24" t="n">
        <v>7.2</v>
      </c>
      <c r="H24" t="n">
        <v>7</v>
      </c>
      <c r="I24" t="n">
        <v>5</v>
      </c>
      <c r="J24" t="n">
        <v>7</v>
      </c>
      <c r="K24" t="n">
        <v>0</v>
      </c>
      <c r="L24" t="n">
        <v>1</v>
      </c>
      <c r="M24" t="n">
        <v>0</v>
      </c>
      <c r="N24" t="n">
        <v>0</v>
      </c>
      <c r="O24" t="n">
        <v>8</v>
      </c>
      <c r="P24" t="n">
        <v>1</v>
      </c>
      <c r="Q24" t="n">
        <v>15</v>
      </c>
      <c r="R24" s="2" t="inlineStr">
        <is>
          <t>Ask
Grönsångare
Jordtistel
Loppstarr
Majviva
Spillkråka
Svinrot
Ängsstarr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33728-2025</t>
        </is>
      </c>
      <c r="B25" s="1" t="n">
        <v>45842.29344907407</v>
      </c>
      <c r="C25" s="1" t="n">
        <v>45928</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2222-2024</t>
        </is>
      </c>
      <c r="B26" s="1" t="n">
        <v>45309</v>
      </c>
      <c r="C26" s="1" t="n">
        <v>45928</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45928</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24309-2025</t>
        </is>
      </c>
      <c r="B28" s="1" t="n">
        <v>45797</v>
      </c>
      <c r="C28" s="1" t="n">
        <v>45928</v>
      </c>
      <c r="D28" t="inlineStr">
        <is>
          <t>GOTLANDS LÄN</t>
        </is>
      </c>
      <c r="E28" t="inlineStr">
        <is>
          <t>GOTLAND</t>
        </is>
      </c>
      <c r="F28" t="inlineStr">
        <is>
          <t>Kyrkan</t>
        </is>
      </c>
      <c r="G28" t="n">
        <v>7.8</v>
      </c>
      <c r="H28" t="n">
        <v>11</v>
      </c>
      <c r="I28" t="n">
        <v>6</v>
      </c>
      <c r="J28" t="n">
        <v>3</v>
      </c>
      <c r="K28" t="n">
        <v>1</v>
      </c>
      <c r="L28" t="n">
        <v>1</v>
      </c>
      <c r="M28" t="n">
        <v>0</v>
      </c>
      <c r="N28" t="n">
        <v>0</v>
      </c>
      <c r="O28" t="n">
        <v>5</v>
      </c>
      <c r="P28" t="n">
        <v>2</v>
      </c>
      <c r="Q28" t="n">
        <v>14</v>
      </c>
      <c r="R28" s="2" t="inlineStr">
        <is>
          <t>Grönfink
Garderönn
Dårgräsfjäril
Spillkråka
Svinrot
Grönpyrola
Purpurknipprot
Skogsknipprot
Strävlosta
Tvåblad
Vit skogslilja
Halsbandsflugsnappare
Nattviol
Blåsippa</t>
        </is>
      </c>
      <c r="S28">
        <f>HYPERLINK("https://klasma.github.io/Logging_0980/artfynd/A 24309-2025 artfynd.xlsx", "A 24309-2025")</f>
        <v/>
      </c>
      <c r="T28">
        <f>HYPERLINK("https://klasma.github.io/Logging_0980/kartor/A 24309-2025 karta.png", "A 24309-2025")</f>
        <v/>
      </c>
      <c r="V28">
        <f>HYPERLINK("https://klasma.github.io/Logging_0980/klagomål/A 24309-2025 FSC-klagomål.docx", "A 24309-2025")</f>
        <v/>
      </c>
      <c r="W28">
        <f>HYPERLINK("https://klasma.github.io/Logging_0980/klagomålsmail/A 24309-2025 FSC-klagomål mail.docx", "A 24309-2025")</f>
        <v/>
      </c>
      <c r="X28">
        <f>HYPERLINK("https://klasma.github.io/Logging_0980/tillsyn/A 24309-2025 tillsynsbegäran.docx", "A 24309-2025")</f>
        <v/>
      </c>
      <c r="Y28">
        <f>HYPERLINK("https://klasma.github.io/Logging_0980/tillsynsmail/A 24309-2025 tillsynsbegäran mail.docx", "A 24309-2025")</f>
        <v/>
      </c>
      <c r="Z28">
        <f>HYPERLINK("https://klasma.github.io/Logging_0980/fåglar/A 24309-2025 prioriterade fågelarter.docx", "A 24309-2025")</f>
        <v/>
      </c>
    </row>
    <row r="29" ht="15" customHeight="1">
      <c r="A29" t="inlineStr">
        <is>
          <t>A 44204-2022</t>
        </is>
      </c>
      <c r="B29" s="1" t="n">
        <v>44839</v>
      </c>
      <c r="C29" s="1" t="n">
        <v>45928</v>
      </c>
      <c r="D29" t="inlineStr">
        <is>
          <t>GOTLANDS LÄN</t>
        </is>
      </c>
      <c r="E29" t="inlineStr">
        <is>
          <t>GOTLAND</t>
        </is>
      </c>
      <c r="G29" t="n">
        <v>2.3</v>
      </c>
      <c r="H29" t="n">
        <v>2</v>
      </c>
      <c r="I29" t="n">
        <v>5</v>
      </c>
      <c r="J29" t="n">
        <v>3</v>
      </c>
      <c r="K29" t="n">
        <v>4</v>
      </c>
      <c r="L29" t="n">
        <v>1</v>
      </c>
      <c r="M29" t="n">
        <v>0</v>
      </c>
      <c r="N29" t="n">
        <v>0</v>
      </c>
      <c r="O29" t="n">
        <v>8</v>
      </c>
      <c r="P29" t="n">
        <v>5</v>
      </c>
      <c r="Q29" t="n">
        <v>13</v>
      </c>
      <c r="R29" s="2" t="inlineStr">
        <is>
          <t>Sienamusseron
Bitter taggsvamp
Fläckfingersvamp
Granrotsspindling
Violettfläckig spindling
Duvhök
Odörspindling
Spillkråka
Anisspindling
Blomkålssvamp
Blå slemspindling
Olivspindling
Tjockfotad fingersvamp</t>
        </is>
      </c>
      <c r="S29">
        <f>HYPERLINK("https://klasma.github.io/Logging_0980/artfynd/A 44204-2022 artfynd.xlsx", "A 44204-2022")</f>
        <v/>
      </c>
      <c r="T29">
        <f>HYPERLINK("https://klasma.github.io/Logging_0980/kartor/A 44204-2022 karta.png", "A 44204-2022")</f>
        <v/>
      </c>
      <c r="V29">
        <f>HYPERLINK("https://klasma.github.io/Logging_0980/klagomål/A 44204-2022 FSC-klagomål.docx", "A 44204-2022")</f>
        <v/>
      </c>
      <c r="W29">
        <f>HYPERLINK("https://klasma.github.io/Logging_0980/klagomålsmail/A 44204-2022 FSC-klagomål mail.docx", "A 44204-2022")</f>
        <v/>
      </c>
      <c r="X29">
        <f>HYPERLINK("https://klasma.github.io/Logging_0980/tillsyn/A 44204-2022 tillsynsbegäran.docx", "A 44204-2022")</f>
        <v/>
      </c>
      <c r="Y29">
        <f>HYPERLINK("https://klasma.github.io/Logging_0980/tillsynsmail/A 44204-2022 tillsynsbegäran mail.docx", "A 44204-2022")</f>
        <v/>
      </c>
      <c r="Z29">
        <f>HYPERLINK("https://klasma.github.io/Logging_0980/fåglar/A 44204-2022 prioriterade fågelarter.docx", "A 44204-2022")</f>
        <v/>
      </c>
    </row>
    <row r="30" ht="15" customHeight="1">
      <c r="A30" t="inlineStr">
        <is>
          <t>A 44928-2022</t>
        </is>
      </c>
      <c r="B30" s="1" t="n">
        <v>44841</v>
      </c>
      <c r="C30" s="1" t="n">
        <v>45928</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35141-2022</t>
        </is>
      </c>
      <c r="B31" s="1" t="n">
        <v>44797.53318287037</v>
      </c>
      <c r="C31" s="1" t="n">
        <v>45928</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30236-2025</t>
        </is>
      </c>
      <c r="B32" s="1" t="n">
        <v>45827</v>
      </c>
      <c r="C32" s="1" t="n">
        <v>45928</v>
      </c>
      <c r="D32" t="inlineStr">
        <is>
          <t>GOTLANDS LÄN</t>
        </is>
      </c>
      <c r="E32" t="inlineStr">
        <is>
          <t>GOTLAND</t>
        </is>
      </c>
      <c r="G32" t="n">
        <v>13.6</v>
      </c>
      <c r="H32" t="n">
        <v>8</v>
      </c>
      <c r="I32" t="n">
        <v>6</v>
      </c>
      <c r="J32" t="n">
        <v>4</v>
      </c>
      <c r="K32" t="n">
        <v>0</v>
      </c>
      <c r="L32" t="n">
        <v>0</v>
      </c>
      <c r="M32" t="n">
        <v>0</v>
      </c>
      <c r="N32" t="n">
        <v>0</v>
      </c>
      <c r="O32" t="n">
        <v>4</v>
      </c>
      <c r="P32" t="n">
        <v>0</v>
      </c>
      <c r="Q32" t="n">
        <v>13</v>
      </c>
      <c r="R32" s="2" t="inlineStr">
        <is>
          <t>Jordtistel
Reliktbock
Spillkråka
Svinrot
Blåmossa
Grönpyrola
Nästrot
Purpurknipprot
Tvåblad
Vit skogslilja
Grönvit nattviol
Nattviol
Sankt pers nycklar</t>
        </is>
      </c>
      <c r="S32">
        <f>HYPERLINK("https://klasma.github.io/Logging_0980/artfynd/A 30236-2025 artfynd.xlsx", "A 30236-2025")</f>
        <v/>
      </c>
      <c r="T32">
        <f>HYPERLINK("https://klasma.github.io/Logging_0980/kartor/A 30236-2025 karta.png", "A 30236-2025")</f>
        <v/>
      </c>
      <c r="V32">
        <f>HYPERLINK("https://klasma.github.io/Logging_0980/klagomål/A 30236-2025 FSC-klagomål.docx", "A 30236-2025")</f>
        <v/>
      </c>
      <c r="W32">
        <f>HYPERLINK("https://klasma.github.io/Logging_0980/klagomålsmail/A 30236-2025 FSC-klagomål mail.docx", "A 30236-2025")</f>
        <v/>
      </c>
      <c r="X32">
        <f>HYPERLINK("https://klasma.github.io/Logging_0980/tillsyn/A 30236-2025 tillsynsbegäran.docx", "A 30236-2025")</f>
        <v/>
      </c>
      <c r="Y32">
        <f>HYPERLINK("https://klasma.github.io/Logging_0980/tillsynsmail/A 30236-2025 tillsynsbegäran mail.docx", "A 30236-2025")</f>
        <v/>
      </c>
      <c r="Z32">
        <f>HYPERLINK("https://klasma.github.io/Logging_0980/fåglar/A 30236-2025 prioriterade fågelarter.docx", "A 30236-2025")</f>
        <v/>
      </c>
    </row>
    <row r="33" ht="15" customHeight="1">
      <c r="A33" t="inlineStr">
        <is>
          <t>A 445-2023</t>
        </is>
      </c>
      <c r="B33" s="1" t="n">
        <v>44929</v>
      </c>
      <c r="C33" s="1" t="n">
        <v>45928</v>
      </c>
      <c r="D33" t="inlineStr">
        <is>
          <t>GOTLANDS LÄN</t>
        </is>
      </c>
      <c r="E33" t="inlineStr">
        <is>
          <t>GOTLAND</t>
        </is>
      </c>
      <c r="G33" t="n">
        <v>4.9</v>
      </c>
      <c r="H33" t="n">
        <v>3</v>
      </c>
      <c r="I33" t="n">
        <v>3</v>
      </c>
      <c r="J33" t="n">
        <v>5</v>
      </c>
      <c r="K33" t="n">
        <v>4</v>
      </c>
      <c r="L33" t="n">
        <v>0</v>
      </c>
      <c r="M33" t="n">
        <v>0</v>
      </c>
      <c r="N33" t="n">
        <v>0</v>
      </c>
      <c r="O33" t="n">
        <v>10</v>
      </c>
      <c r="P33" t="n">
        <v>4</v>
      </c>
      <c r="Q33" t="n">
        <v>13</v>
      </c>
      <c r="R33" s="2" t="inlineStr">
        <is>
          <t>Garderönn
Granrotsspindling
Gulsträngad fagerspindling
Taggfingersvamp
Duvhök
Jordtistel
Odörspindling
Spillkråka
Svinrot
Trollspindling
Besk kastanjemusseron
Rödgul trumpetsvamp
Vårärt</t>
        </is>
      </c>
      <c r="S33">
        <f>HYPERLINK("https://klasma.github.io/Logging_0980/artfynd/A 445-2023 artfynd.xlsx", "A 445-2023")</f>
        <v/>
      </c>
      <c r="T33">
        <f>HYPERLINK("https://klasma.github.io/Logging_0980/kartor/A 445-2023 karta.png", "A 445-2023")</f>
        <v/>
      </c>
      <c r="V33">
        <f>HYPERLINK("https://klasma.github.io/Logging_0980/klagomål/A 445-2023 FSC-klagomål.docx", "A 445-2023")</f>
        <v/>
      </c>
      <c r="W33">
        <f>HYPERLINK("https://klasma.github.io/Logging_0980/klagomålsmail/A 445-2023 FSC-klagomål mail.docx", "A 445-2023")</f>
        <v/>
      </c>
      <c r="X33">
        <f>HYPERLINK("https://klasma.github.io/Logging_0980/tillsyn/A 445-2023 tillsynsbegäran.docx", "A 445-2023")</f>
        <v/>
      </c>
      <c r="Y33">
        <f>HYPERLINK("https://klasma.github.io/Logging_0980/tillsynsmail/A 445-2023 tillsynsbegäran mail.docx", "A 445-2023")</f>
        <v/>
      </c>
      <c r="Z33">
        <f>HYPERLINK("https://klasma.github.io/Logging_0980/fåglar/A 445-2023 prioriterade fågelarter.docx", "A 445-2023")</f>
        <v/>
      </c>
    </row>
    <row r="34" ht="15" customHeight="1">
      <c r="A34" t="inlineStr">
        <is>
          <t>A 2804-2023</t>
        </is>
      </c>
      <c r="B34" s="1" t="n">
        <v>44944</v>
      </c>
      <c r="C34" s="1" t="n">
        <v>45928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3324-2023</t>
        </is>
      </c>
      <c r="B35" s="1" t="n">
        <v>44949</v>
      </c>
      <c r="C35" s="1" t="n">
        <v>45928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45928</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45928</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15850-2025</t>
        </is>
      </c>
      <c r="B38" s="1" t="n">
        <v>45748</v>
      </c>
      <c r="C38" s="1" t="n">
        <v>45928</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30542-2025</t>
        </is>
      </c>
      <c r="B39" s="1" t="n">
        <v>45831</v>
      </c>
      <c r="C39" s="1" t="n">
        <v>45928</v>
      </c>
      <c r="D39" t="inlineStr">
        <is>
          <t>GOTLANDS LÄN</t>
        </is>
      </c>
      <c r="E39" t="inlineStr">
        <is>
          <t>GOTLAND</t>
        </is>
      </c>
      <c r="G39" t="n">
        <v>8.300000000000001</v>
      </c>
      <c r="H39" t="n">
        <v>5</v>
      </c>
      <c r="I39" t="n">
        <v>3</v>
      </c>
      <c r="J39" t="n">
        <v>6</v>
      </c>
      <c r="K39" t="n">
        <v>0</v>
      </c>
      <c r="L39" t="n">
        <v>1</v>
      </c>
      <c r="M39" t="n">
        <v>0</v>
      </c>
      <c r="N39" t="n">
        <v>0</v>
      </c>
      <c r="O39" t="n">
        <v>7</v>
      </c>
      <c r="P39" t="n">
        <v>1</v>
      </c>
      <c r="Q39" t="n">
        <v>12</v>
      </c>
      <c r="R39" s="2" t="inlineStr">
        <is>
          <t>Ask
Backtimjan
Dårgräsfjäril
Jordtistel
Solvända
Svinrot
Ängsstarr
Blåmossa
Skogsknipprot
Tvåblad
Brudsporre
Fläcknycklar</t>
        </is>
      </c>
      <c r="S39">
        <f>HYPERLINK("https://klasma.github.io/Logging_0980/artfynd/A 30542-2025 artfynd.xlsx", "A 30542-2025")</f>
        <v/>
      </c>
      <c r="T39">
        <f>HYPERLINK("https://klasma.github.io/Logging_0980/kartor/A 30542-2025 karta.png", "A 30542-2025")</f>
        <v/>
      </c>
      <c r="V39">
        <f>HYPERLINK("https://klasma.github.io/Logging_0980/klagomål/A 30542-2025 FSC-klagomål.docx", "A 30542-2025")</f>
        <v/>
      </c>
      <c r="W39">
        <f>HYPERLINK("https://klasma.github.io/Logging_0980/klagomålsmail/A 30542-2025 FSC-klagomål mail.docx", "A 30542-2025")</f>
        <v/>
      </c>
      <c r="X39">
        <f>HYPERLINK("https://klasma.github.io/Logging_0980/tillsyn/A 30542-2025 tillsynsbegäran.docx", "A 30542-2025")</f>
        <v/>
      </c>
      <c r="Y39">
        <f>HYPERLINK("https://klasma.github.io/Logging_0980/tillsynsmail/A 30542-2025 tillsynsbegäran mail.docx", "A 30542-2025")</f>
        <v/>
      </c>
    </row>
    <row r="40" ht="15" customHeight="1">
      <c r="A40" t="inlineStr">
        <is>
          <t>A 43201-2023</t>
        </is>
      </c>
      <c r="B40" s="1" t="n">
        <v>45183</v>
      </c>
      <c r="C40" s="1" t="n">
        <v>45928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11176-2024</t>
        </is>
      </c>
      <c r="B41" s="1" t="n">
        <v>45371</v>
      </c>
      <c r="C41" s="1" t="n">
        <v>45928</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45928</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1719-2025</t>
        </is>
      </c>
      <c r="B43" s="1" t="n">
        <v>45671</v>
      </c>
      <c r="C43" s="1" t="n">
        <v>45928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584-2023</t>
        </is>
      </c>
      <c r="B44" s="1" t="n">
        <v>44930</v>
      </c>
      <c r="C44" s="1" t="n">
        <v>45928</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33153-2024</t>
        </is>
      </c>
      <c r="B45" s="1" t="n">
        <v>45518</v>
      </c>
      <c r="C45" s="1" t="n">
        <v>45928</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17766-2024</t>
        </is>
      </c>
      <c r="B46" s="1" t="n">
        <v>45418</v>
      </c>
      <c r="C46" s="1" t="n">
        <v>45928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45928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45928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39376-2023</t>
        </is>
      </c>
      <c r="B49" s="1" t="n">
        <v>45166</v>
      </c>
      <c r="C49" s="1" t="n">
        <v>45928</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59132-2024</t>
        </is>
      </c>
      <c r="B50" s="1" t="n">
        <v>45637</v>
      </c>
      <c r="C50" s="1" t="n">
        <v>45928</v>
      </c>
      <c r="D50" t="inlineStr">
        <is>
          <t>GOTLANDS LÄN</t>
        </is>
      </c>
      <c r="E50" t="inlineStr">
        <is>
          <t>GOTLAND</t>
        </is>
      </c>
      <c r="G50" t="n">
        <v>3.5</v>
      </c>
      <c r="H50" t="n">
        <v>0</v>
      </c>
      <c r="I50" t="n">
        <v>1</v>
      </c>
      <c r="J50" t="n">
        <v>4</v>
      </c>
      <c r="K50" t="n">
        <v>3</v>
      </c>
      <c r="L50" t="n">
        <v>0</v>
      </c>
      <c r="M50" t="n">
        <v>0</v>
      </c>
      <c r="N50" t="n">
        <v>0</v>
      </c>
      <c r="O50" t="n">
        <v>8</v>
      </c>
      <c r="P50" t="n">
        <v>3</v>
      </c>
      <c r="Q50" t="n">
        <v>9</v>
      </c>
      <c r="R50" s="2" t="inlineStr">
        <is>
          <t>Almlav
Mörk kraterlav
Pälsticka
Korskovall
Slåtterfibbla
Solvända
Vippärt
Amphisphaeria umbrina
Underviol</t>
        </is>
      </c>
      <c r="S50">
        <f>HYPERLINK("https://klasma.github.io/Logging_0980/artfynd/A 59132-2024 artfynd.xlsx", "A 59132-2024")</f>
        <v/>
      </c>
      <c r="T50">
        <f>HYPERLINK("https://klasma.github.io/Logging_0980/kartor/A 59132-2024 karta.png", "A 59132-2024")</f>
        <v/>
      </c>
      <c r="V50">
        <f>HYPERLINK("https://klasma.github.io/Logging_0980/klagomål/A 59132-2024 FSC-klagomål.docx", "A 59132-2024")</f>
        <v/>
      </c>
      <c r="W50">
        <f>HYPERLINK("https://klasma.github.io/Logging_0980/klagomålsmail/A 59132-2024 FSC-klagomål mail.docx", "A 59132-2024")</f>
        <v/>
      </c>
      <c r="X50">
        <f>HYPERLINK("https://klasma.github.io/Logging_0980/tillsyn/A 59132-2024 tillsynsbegäran.docx", "A 59132-2024")</f>
        <v/>
      </c>
      <c r="Y50">
        <f>HYPERLINK("https://klasma.github.io/Logging_0980/tillsynsmail/A 59132-2024 tillsynsbegäran mail.docx", "A 59132-2024")</f>
        <v/>
      </c>
    </row>
    <row r="51" ht="15" customHeight="1">
      <c r="A51" t="inlineStr">
        <is>
          <t>A 7039-2023</t>
        </is>
      </c>
      <c r="B51" s="1" t="n">
        <v>44968</v>
      </c>
      <c r="C51" s="1" t="n">
        <v>45928</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21467-2024</t>
        </is>
      </c>
      <c r="B52" s="1" t="n">
        <v>45441</v>
      </c>
      <c r="C52" s="1" t="n">
        <v>45928</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1769-2022</t>
        </is>
      </c>
      <c r="B53" s="1" t="n">
        <v>44574</v>
      </c>
      <c r="C53" s="1" t="n">
        <v>45928</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Dactylorhiza incarnata subsp. incarnata
Grönvit nattviol
Kärrknipprot</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2649-2023</t>
        </is>
      </c>
      <c r="B54" s="1" t="n">
        <v>44943</v>
      </c>
      <c r="C54" s="1" t="n">
        <v>45928</v>
      </c>
      <c r="D54" t="inlineStr">
        <is>
          <t>GOTLANDS LÄN</t>
        </is>
      </c>
      <c r="E54" t="inlineStr">
        <is>
          <t>GOTLAND</t>
        </is>
      </c>
      <c r="G54" t="n">
        <v>2.6</v>
      </c>
      <c r="H54" t="n">
        <v>1</v>
      </c>
      <c r="I54" t="n">
        <v>1</v>
      </c>
      <c r="J54" t="n">
        <v>1</v>
      </c>
      <c r="K54" t="n">
        <v>6</v>
      </c>
      <c r="L54" t="n">
        <v>0</v>
      </c>
      <c r="M54" t="n">
        <v>0</v>
      </c>
      <c r="N54" t="n">
        <v>0</v>
      </c>
      <c r="O54" t="n">
        <v>7</v>
      </c>
      <c r="P54" t="n">
        <v>6</v>
      </c>
      <c r="Q54" t="n">
        <v>8</v>
      </c>
      <c r="R54" s="2" t="inlineStr">
        <is>
          <t>Duvspindling
Garderönn
Granrotsspindling
Gul lammticka
Gulsträngad fagerspindling
Violettfläckig spindling
Svinrot
Anisspindling</t>
        </is>
      </c>
      <c r="S54">
        <f>HYPERLINK("https://klasma.github.io/Logging_0980/artfynd/A 2649-2023 artfynd.xlsx", "A 2649-2023")</f>
        <v/>
      </c>
      <c r="T54">
        <f>HYPERLINK("https://klasma.github.io/Logging_0980/kartor/A 2649-2023 karta.png", "A 2649-2023")</f>
        <v/>
      </c>
      <c r="V54">
        <f>HYPERLINK("https://klasma.github.io/Logging_0980/klagomål/A 2649-2023 FSC-klagomål.docx", "A 2649-2023")</f>
        <v/>
      </c>
      <c r="W54">
        <f>HYPERLINK("https://klasma.github.io/Logging_0980/klagomålsmail/A 2649-2023 FSC-klagomål mail.docx", "A 2649-2023")</f>
        <v/>
      </c>
      <c r="X54">
        <f>HYPERLINK("https://klasma.github.io/Logging_0980/tillsyn/A 2649-2023 tillsynsbegäran.docx", "A 2649-2023")</f>
        <v/>
      </c>
      <c r="Y54">
        <f>HYPERLINK("https://klasma.github.io/Logging_0980/tillsynsmail/A 2649-2023 tillsynsbegäran mail.docx", "A 2649-2023")</f>
        <v/>
      </c>
    </row>
    <row r="55" ht="15" customHeight="1">
      <c r="A55" t="inlineStr">
        <is>
          <t>A 45248-2024</t>
        </is>
      </c>
      <c r="B55" s="1" t="n">
        <v>45576</v>
      </c>
      <c r="C55" s="1" t="n">
        <v>45928</v>
      </c>
      <c r="D55" t="inlineStr">
        <is>
          <t>GOTLANDS LÄN</t>
        </is>
      </c>
      <c r="E55" t="inlineStr">
        <is>
          <t>GOTLAND</t>
        </is>
      </c>
      <c r="G55" t="n">
        <v>9.4</v>
      </c>
      <c r="H55" t="n">
        <v>0</v>
      </c>
      <c r="I55" t="n">
        <v>3</v>
      </c>
      <c r="J55" t="n">
        <v>1</v>
      </c>
      <c r="K55" t="n">
        <v>1</v>
      </c>
      <c r="L55" t="n">
        <v>1</v>
      </c>
      <c r="M55" t="n">
        <v>1</v>
      </c>
      <c r="N55" t="n">
        <v>0</v>
      </c>
      <c r="O55" t="n">
        <v>4</v>
      </c>
      <c r="P55" t="n">
        <v>3</v>
      </c>
      <c r="Q55" t="n">
        <v>7</v>
      </c>
      <c r="R55" s="2" t="inlineStr">
        <is>
          <t>Lundalm
Ask
Mjölspindling
Oxtungssvamp
Myskmadra
Stinkbrosking
Underviol</t>
        </is>
      </c>
      <c r="S55">
        <f>HYPERLINK("https://klasma.github.io/Logging_0980/artfynd/A 45248-2024 artfynd.xlsx", "A 45248-2024")</f>
        <v/>
      </c>
      <c r="T55">
        <f>HYPERLINK("https://klasma.github.io/Logging_0980/kartor/A 45248-2024 karta.png", "A 45248-2024")</f>
        <v/>
      </c>
      <c r="V55">
        <f>HYPERLINK("https://klasma.github.io/Logging_0980/klagomål/A 45248-2024 FSC-klagomål.docx", "A 45248-2024")</f>
        <v/>
      </c>
      <c r="W55">
        <f>HYPERLINK("https://klasma.github.io/Logging_0980/klagomålsmail/A 45248-2024 FSC-klagomål mail.docx", "A 45248-2024")</f>
        <v/>
      </c>
      <c r="X55">
        <f>HYPERLINK("https://klasma.github.io/Logging_0980/tillsyn/A 45248-2024 tillsynsbegäran.docx", "A 45248-2024")</f>
        <v/>
      </c>
      <c r="Y55">
        <f>HYPERLINK("https://klasma.github.io/Logging_0980/tillsynsmail/A 45248-2024 tillsynsbegäran mail.docx", "A 45248-2024")</f>
        <v/>
      </c>
    </row>
    <row r="56" ht="15" customHeight="1">
      <c r="A56" t="inlineStr">
        <is>
          <t>A 18541-2024</t>
        </is>
      </c>
      <c r="B56" s="1" t="n">
        <v>45425</v>
      </c>
      <c r="C56" s="1" t="n">
        <v>45928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45928</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4984-2025</t>
        </is>
      </c>
      <c r="B58" s="1" t="n">
        <v>45691.29891203704</v>
      </c>
      <c r="C58" s="1" t="n">
        <v>45928</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10419-2025</t>
        </is>
      </c>
      <c r="B59" s="1" t="n">
        <v>45720</v>
      </c>
      <c r="C59" s="1" t="n">
        <v>45928</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27280-2023</t>
        </is>
      </c>
      <c r="B60" s="1" t="n">
        <v>45096</v>
      </c>
      <c r="C60" s="1" t="n">
        <v>45928</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25205-2021</t>
        </is>
      </c>
      <c r="B61" s="1" t="n">
        <v>44342</v>
      </c>
      <c r="C61" s="1" t="n">
        <v>45928</v>
      </c>
      <c r="D61" t="inlineStr">
        <is>
          <t>GOTLANDS LÄN</t>
        </is>
      </c>
      <c r="E61" t="inlineStr">
        <is>
          <t>GOTLAND</t>
        </is>
      </c>
      <c r="G61" t="n">
        <v>2.8</v>
      </c>
      <c r="H61" t="n">
        <v>0</v>
      </c>
      <c r="I61" t="n">
        <v>4</v>
      </c>
      <c r="J61" t="n">
        <v>0</v>
      </c>
      <c r="K61" t="n">
        <v>1</v>
      </c>
      <c r="L61" t="n">
        <v>1</v>
      </c>
      <c r="M61" t="n">
        <v>0</v>
      </c>
      <c r="N61" t="n">
        <v>0</v>
      </c>
      <c r="O61" t="n">
        <v>2</v>
      </c>
      <c r="P61" t="n">
        <v>2</v>
      </c>
      <c r="Q61" t="n">
        <v>6</v>
      </c>
      <c r="R61" s="2" t="inlineStr">
        <is>
          <t>Ädellav
Mörk kraterlav
Hasselticka
Lönnlav
Rikfruktig blemlav
Slät lönnlav</t>
        </is>
      </c>
      <c r="S61">
        <f>HYPERLINK("https://klasma.github.io/Logging_0980/artfynd/A 25205-2021 artfynd.xlsx", "A 25205-2021")</f>
        <v/>
      </c>
      <c r="T61">
        <f>HYPERLINK("https://klasma.github.io/Logging_0980/kartor/A 25205-2021 karta.png", "A 25205-2021")</f>
        <v/>
      </c>
      <c r="V61">
        <f>HYPERLINK("https://klasma.github.io/Logging_0980/klagomål/A 25205-2021 FSC-klagomål.docx", "A 25205-2021")</f>
        <v/>
      </c>
      <c r="W61">
        <f>HYPERLINK("https://klasma.github.io/Logging_0980/klagomålsmail/A 25205-2021 FSC-klagomål mail.docx", "A 25205-2021")</f>
        <v/>
      </c>
      <c r="X61">
        <f>HYPERLINK("https://klasma.github.io/Logging_0980/tillsyn/A 25205-2021 tillsynsbegäran.docx", "A 25205-2021")</f>
        <v/>
      </c>
      <c r="Y61">
        <f>HYPERLINK("https://klasma.github.io/Logging_0980/tillsynsmail/A 25205-2021 tillsynsbegäran mail.docx", "A 25205-2021")</f>
        <v/>
      </c>
    </row>
    <row r="62" ht="15" customHeight="1">
      <c r="A62" t="inlineStr">
        <is>
          <t>A 7038-2023</t>
        </is>
      </c>
      <c r="B62" s="1" t="n">
        <v>44968</v>
      </c>
      <c r="C62" s="1" t="n">
        <v>45928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446-2023</t>
        </is>
      </c>
      <c r="B63" s="1" t="n">
        <v>44929</v>
      </c>
      <c r="C63" s="1" t="n">
        <v>45928</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2085-2023</t>
        </is>
      </c>
      <c r="B64" s="1" t="n">
        <v>44939</v>
      </c>
      <c r="C64" s="1" t="n">
        <v>45928</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54527-2023</t>
        </is>
      </c>
      <c r="B65" s="1" t="n">
        <v>45233</v>
      </c>
      <c r="C65" s="1" t="n">
        <v>45928</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54527-2023</t>
        </is>
      </c>
      <c r="B66" s="1" t="n">
        <v>45233</v>
      </c>
      <c r="C66" s="1" t="n">
        <v>45928</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16823-2024</t>
        </is>
      </c>
      <c r="B67" s="1" t="n">
        <v>45411</v>
      </c>
      <c r="C67" s="1" t="n">
        <v>45928</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65819-2020</t>
        </is>
      </c>
      <c r="B68" s="1" t="n">
        <v>44174</v>
      </c>
      <c r="C68" s="1" t="n">
        <v>45928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66091-2021</t>
        </is>
      </c>
      <c r="B69" s="1" t="n">
        <v>44517</v>
      </c>
      <c r="C69" s="1" t="n">
        <v>45928</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35293-2025</t>
        </is>
      </c>
      <c r="B70" s="1" t="n">
        <v>45854.39438657407</v>
      </c>
      <c r="C70" s="1" t="n">
        <v>45928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45928</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45928</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44944-2022</t>
        </is>
      </c>
      <c r="B73" s="1" t="n">
        <v>44841</v>
      </c>
      <c r="C73" s="1" t="n">
        <v>45928</v>
      </c>
      <c r="D73" t="inlineStr">
        <is>
          <t>GOTLANDS LÄN</t>
        </is>
      </c>
      <c r="E73" t="inlineStr">
        <is>
          <t>GOTLAND</t>
        </is>
      </c>
      <c r="G73" t="n">
        <v>2.8</v>
      </c>
      <c r="H73" t="n">
        <v>0</v>
      </c>
      <c r="I73" t="n">
        <v>3</v>
      </c>
      <c r="J73" t="n">
        <v>2</v>
      </c>
      <c r="K73" t="n">
        <v>0</v>
      </c>
      <c r="L73" t="n">
        <v>0</v>
      </c>
      <c r="M73" t="n">
        <v>0</v>
      </c>
      <c r="N73" t="n">
        <v>0</v>
      </c>
      <c r="O73" t="n">
        <v>2</v>
      </c>
      <c r="P73" t="n">
        <v>0</v>
      </c>
      <c r="Q73" t="n">
        <v>5</v>
      </c>
      <c r="R73" s="2" t="inlineStr">
        <is>
          <t>Denisespindling
Odörspindling
Anisspindling
Fjällig taggsvamp s.str.
Rödgul trumpetsvamp</t>
        </is>
      </c>
      <c r="S73">
        <f>HYPERLINK("https://klasma.github.io/Logging_0980/artfynd/A 44944-2022 artfynd.xlsx", "A 44944-2022")</f>
        <v/>
      </c>
      <c r="T73">
        <f>HYPERLINK("https://klasma.github.io/Logging_0980/kartor/A 44944-2022 karta.png", "A 44944-2022")</f>
        <v/>
      </c>
      <c r="V73">
        <f>HYPERLINK("https://klasma.github.io/Logging_0980/klagomål/A 44944-2022 FSC-klagomål.docx", "A 44944-2022")</f>
        <v/>
      </c>
      <c r="W73">
        <f>HYPERLINK("https://klasma.github.io/Logging_0980/klagomålsmail/A 44944-2022 FSC-klagomål mail.docx", "A 44944-2022")</f>
        <v/>
      </c>
      <c r="X73">
        <f>HYPERLINK("https://klasma.github.io/Logging_0980/tillsyn/A 44944-2022 tillsynsbegäran.docx", "A 44944-2022")</f>
        <v/>
      </c>
      <c r="Y73">
        <f>HYPERLINK("https://klasma.github.io/Logging_0980/tillsynsmail/A 44944-2022 tillsynsbegäran mail.docx", "A 44944-2022")</f>
        <v/>
      </c>
    </row>
    <row r="74" ht="15" customHeight="1">
      <c r="A74" t="inlineStr">
        <is>
          <t>A 2213-2023</t>
        </is>
      </c>
      <c r="B74" s="1" t="n">
        <v>44942</v>
      </c>
      <c r="C74" s="1" t="n">
        <v>45928</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45928</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39425-2023</t>
        </is>
      </c>
      <c r="B76" s="1" t="n">
        <v>45166</v>
      </c>
      <c r="C76" s="1" t="n">
        <v>45928</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16375-2025</t>
        </is>
      </c>
      <c r="B77" s="1" t="n">
        <v>45751.41064814815</v>
      </c>
      <c r="C77" s="1" t="n">
        <v>45928</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29331-2021</t>
        </is>
      </c>
      <c r="B78" s="1" t="n">
        <v>44361</v>
      </c>
      <c r="C78" s="1" t="n">
        <v>45928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54523-2023</t>
        </is>
      </c>
      <c r="B79" s="1" t="n">
        <v>45233</v>
      </c>
      <c r="C79" s="1" t="n">
        <v>45928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6159-2023</t>
        </is>
      </c>
      <c r="B80" s="1" t="n">
        <v>44964</v>
      </c>
      <c r="C80" s="1" t="n">
        <v>45928</v>
      </c>
      <c r="D80" t="inlineStr">
        <is>
          <t>GOTLANDS LÄN</t>
        </is>
      </c>
      <c r="E80" t="inlineStr">
        <is>
          <t>GOTLAND</t>
        </is>
      </c>
      <c r="G80" t="n">
        <v>2</v>
      </c>
      <c r="H80" t="n">
        <v>0</v>
      </c>
      <c r="I80" t="n">
        <v>2</v>
      </c>
      <c r="J80" t="n">
        <v>2</v>
      </c>
      <c r="K80" t="n">
        <v>0</v>
      </c>
      <c r="L80" t="n">
        <v>0</v>
      </c>
      <c r="M80" t="n">
        <v>0</v>
      </c>
      <c r="N80" t="n">
        <v>0</v>
      </c>
      <c r="O80" t="n">
        <v>2</v>
      </c>
      <c r="P80" t="n">
        <v>0</v>
      </c>
      <c r="Q80" t="n">
        <v>4</v>
      </c>
      <c r="R80" s="2" t="inlineStr">
        <is>
          <t>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20833-2024</t>
        </is>
      </c>
      <c r="B81" s="1" t="n">
        <v>45439</v>
      </c>
      <c r="C81" s="1" t="n">
        <v>45928</v>
      </c>
      <c r="D81" t="inlineStr">
        <is>
          <t>GOTLANDS LÄN</t>
        </is>
      </c>
      <c r="E81" t="inlineStr">
        <is>
          <t>GOTLAND</t>
        </is>
      </c>
      <c r="G81" t="n">
        <v>0.9</v>
      </c>
      <c r="H81" t="n">
        <v>3</v>
      </c>
      <c r="I81" t="n">
        <v>1</v>
      </c>
      <c r="J81" t="n">
        <v>3</v>
      </c>
      <c r="K81" t="n">
        <v>0</v>
      </c>
      <c r="L81" t="n">
        <v>0</v>
      </c>
      <c r="M81" t="n">
        <v>0</v>
      </c>
      <c r="N81" t="n">
        <v>0</v>
      </c>
      <c r="O81" t="n">
        <v>3</v>
      </c>
      <c r="P81" t="n">
        <v>0</v>
      </c>
      <c r="Q81" t="n">
        <v>4</v>
      </c>
      <c r="R81" s="2" t="inlineStr">
        <is>
          <t>Dårgräsfjäril
Spillkråka
Svinrot
Skogsknipprot</t>
        </is>
      </c>
      <c r="S81">
        <f>HYPERLINK("https://klasma.github.io/Logging_0980/artfynd/A 20833-2024 artfynd.xlsx", "A 20833-2024")</f>
        <v/>
      </c>
      <c r="T81">
        <f>HYPERLINK("https://klasma.github.io/Logging_0980/kartor/A 20833-2024 karta.png", "A 20833-2024")</f>
        <v/>
      </c>
      <c r="V81">
        <f>HYPERLINK("https://klasma.github.io/Logging_0980/klagomål/A 20833-2024 FSC-klagomål.docx", "A 20833-2024")</f>
        <v/>
      </c>
      <c r="W81">
        <f>HYPERLINK("https://klasma.github.io/Logging_0980/klagomålsmail/A 20833-2024 FSC-klagomål mail.docx", "A 20833-2024")</f>
        <v/>
      </c>
      <c r="X81">
        <f>HYPERLINK("https://klasma.github.io/Logging_0980/tillsyn/A 20833-2024 tillsynsbegäran.docx", "A 20833-2024")</f>
        <v/>
      </c>
      <c r="Y81">
        <f>HYPERLINK("https://klasma.github.io/Logging_0980/tillsynsmail/A 20833-2024 tillsynsbegäran mail.docx", "A 20833-2024")</f>
        <v/>
      </c>
      <c r="Z81">
        <f>HYPERLINK("https://klasma.github.io/Logging_0980/fåglar/A 20833-2024 prioriterade fågelarter.docx", "A 20833-2024")</f>
        <v/>
      </c>
    </row>
    <row r="82" ht="15" customHeight="1">
      <c r="A82" t="inlineStr">
        <is>
          <t>A 43197-2023</t>
        </is>
      </c>
      <c r="B82" s="1" t="n">
        <v>45183</v>
      </c>
      <c r="C82" s="1" t="n">
        <v>45928</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1971-2023</t>
        </is>
      </c>
      <c r="B83" s="1" t="n">
        <v>44939</v>
      </c>
      <c r="C83" s="1" t="n">
        <v>45928</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64378-2020</t>
        </is>
      </c>
      <c r="B84" s="1" t="n">
        <v>44168</v>
      </c>
      <c r="C84" s="1" t="n">
        <v>45928</v>
      </c>
      <c r="D84" t="inlineStr">
        <is>
          <t>GOTLANDS LÄN</t>
        </is>
      </c>
      <c r="E84" t="inlineStr">
        <is>
          <t>GOTLAND</t>
        </is>
      </c>
      <c r="G84" t="n">
        <v>2.1</v>
      </c>
      <c r="H84" t="n">
        <v>0</v>
      </c>
      <c r="I84" t="n">
        <v>1</v>
      </c>
      <c r="J84" t="n">
        <v>0</v>
      </c>
      <c r="K84" t="n">
        <v>2</v>
      </c>
      <c r="L84" t="n">
        <v>1</v>
      </c>
      <c r="M84" t="n">
        <v>0</v>
      </c>
      <c r="N84" t="n">
        <v>0</v>
      </c>
      <c r="O84" t="n">
        <v>3</v>
      </c>
      <c r="P84" t="n">
        <v>3</v>
      </c>
      <c r="Q84" t="n">
        <v>4</v>
      </c>
      <c r="R84" s="2" t="inlineStr">
        <is>
          <t>Sienamusseron
Bitter taggsvamp
Duvspindling
Fjällig taggsvamp s.str.</t>
        </is>
      </c>
      <c r="S84">
        <f>HYPERLINK("https://klasma.github.io/Logging_0980/artfynd/A 64378-2020 artfynd.xlsx", "A 64378-2020")</f>
        <v/>
      </c>
      <c r="T84">
        <f>HYPERLINK("https://klasma.github.io/Logging_0980/kartor/A 64378-2020 karta.png", "A 64378-2020")</f>
        <v/>
      </c>
      <c r="V84">
        <f>HYPERLINK("https://klasma.github.io/Logging_0980/klagomål/A 64378-2020 FSC-klagomål.docx", "A 64378-2020")</f>
        <v/>
      </c>
      <c r="W84">
        <f>HYPERLINK("https://klasma.github.io/Logging_0980/klagomålsmail/A 64378-2020 FSC-klagomål mail.docx", "A 64378-2020")</f>
        <v/>
      </c>
      <c r="X84">
        <f>HYPERLINK("https://klasma.github.io/Logging_0980/tillsyn/A 64378-2020 tillsynsbegäran.docx", "A 64378-2020")</f>
        <v/>
      </c>
      <c r="Y84">
        <f>HYPERLINK("https://klasma.github.io/Logging_0980/tillsynsmail/A 64378-2020 tillsynsbegäran mail.docx", "A 64378-2020")</f>
        <v/>
      </c>
    </row>
    <row r="85" ht="15" customHeight="1">
      <c r="A85" t="inlineStr">
        <is>
          <t>A 5904-2024</t>
        </is>
      </c>
      <c r="B85" s="1" t="n">
        <v>45335</v>
      </c>
      <c r="C85" s="1" t="n">
        <v>45928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8265-2023</t>
        </is>
      </c>
      <c r="B86" s="1" t="n">
        <v>44974</v>
      </c>
      <c r="C86" s="1" t="n">
        <v>45928</v>
      </c>
      <c r="D86" t="inlineStr">
        <is>
          <t>GOTLANDS LÄN</t>
        </is>
      </c>
      <c r="E86" t="inlineStr">
        <is>
          <t>GOTLAND</t>
        </is>
      </c>
      <c r="G86" t="n">
        <v>3.3</v>
      </c>
      <c r="H86" t="n">
        <v>4</v>
      </c>
      <c r="I86" t="n">
        <v>3</v>
      </c>
      <c r="J86" t="n">
        <v>0</v>
      </c>
      <c r="K86" t="n">
        <v>0</v>
      </c>
      <c r="L86" t="n">
        <v>0</v>
      </c>
      <c r="M86" t="n">
        <v>0</v>
      </c>
      <c r="N86" t="n">
        <v>0</v>
      </c>
      <c r="O86" t="n">
        <v>0</v>
      </c>
      <c r="P86" t="n">
        <v>0</v>
      </c>
      <c r="Q86" t="n">
        <v>4</v>
      </c>
      <c r="R86" s="2" t="inlineStr">
        <is>
          <t>Flugblomster
Purpurknipprot
Tvåblad
Salepsrot</t>
        </is>
      </c>
      <c r="S86">
        <f>HYPERLINK("https://klasma.github.io/Logging_0980/artfynd/A 8265-2023 artfynd.xlsx", "A 8265-2023")</f>
        <v/>
      </c>
      <c r="T86">
        <f>HYPERLINK("https://klasma.github.io/Logging_0980/kartor/A 8265-2023 karta.png", "A 8265-2023")</f>
        <v/>
      </c>
      <c r="V86">
        <f>HYPERLINK("https://klasma.github.io/Logging_0980/klagomål/A 8265-2023 FSC-klagomål.docx", "A 8265-2023")</f>
        <v/>
      </c>
      <c r="W86">
        <f>HYPERLINK("https://klasma.github.io/Logging_0980/klagomålsmail/A 8265-2023 FSC-klagomål mail.docx", "A 8265-2023")</f>
        <v/>
      </c>
      <c r="X86">
        <f>HYPERLINK("https://klasma.github.io/Logging_0980/tillsyn/A 8265-2023 tillsynsbegäran.docx", "A 8265-2023")</f>
        <v/>
      </c>
      <c r="Y86">
        <f>HYPERLINK("https://klasma.github.io/Logging_0980/tillsynsmail/A 8265-2023 tillsynsbegäran mail.docx", "A 8265-2023")</f>
        <v/>
      </c>
    </row>
    <row r="87" ht="15" customHeight="1">
      <c r="A87" t="inlineStr">
        <is>
          <t>A 186-2023</t>
        </is>
      </c>
      <c r="B87" s="1" t="n">
        <v>44928</v>
      </c>
      <c r="C87" s="1" t="n">
        <v>45928</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56717-2024</t>
        </is>
      </c>
      <c r="B88" s="1" t="n">
        <v>45628.3166550926</v>
      </c>
      <c r="C88" s="1" t="n">
        <v>45928</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44933-2022</t>
        </is>
      </c>
      <c r="B89" s="1" t="n">
        <v>44841</v>
      </c>
      <c r="C89" s="1" t="n">
        <v>45928</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2485-2025</t>
        </is>
      </c>
      <c r="B90" s="1" t="n">
        <v>45673</v>
      </c>
      <c r="C90" s="1" t="n">
        <v>45928</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40099-2025</t>
        </is>
      </c>
      <c r="B91" s="1" t="n">
        <v>45894.48462962963</v>
      </c>
      <c r="C91" s="1" t="n">
        <v>45928</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55029-2020</t>
        </is>
      </c>
      <c r="B92" s="1" t="n">
        <v>44130</v>
      </c>
      <c r="C92" s="1" t="n">
        <v>45928</v>
      </c>
      <c r="D92" t="inlineStr">
        <is>
          <t>GOTLANDS LÄN</t>
        </is>
      </c>
      <c r="E92" t="inlineStr">
        <is>
          <t>GOTLAND</t>
        </is>
      </c>
      <c r="G92" t="n">
        <v>6.9</v>
      </c>
      <c r="H92" t="n">
        <v>1</v>
      </c>
      <c r="I92" t="n">
        <v>2</v>
      </c>
      <c r="J92" t="n">
        <v>1</v>
      </c>
      <c r="K92" t="n">
        <v>0</v>
      </c>
      <c r="L92" t="n">
        <v>0</v>
      </c>
      <c r="M92" t="n">
        <v>0</v>
      </c>
      <c r="N92" t="n">
        <v>0</v>
      </c>
      <c r="O92" t="n">
        <v>1</v>
      </c>
      <c r="P92" t="n">
        <v>0</v>
      </c>
      <c r="Q92" t="n">
        <v>3</v>
      </c>
      <c r="R92" s="2" t="inlineStr">
        <is>
          <t>Dårgräsfjäril
Anisspindling
Granbarkgnagare</t>
        </is>
      </c>
      <c r="S92">
        <f>HYPERLINK("https://klasma.github.io/Logging_0980/artfynd/A 55029-2020 artfynd.xlsx", "A 55029-2020")</f>
        <v/>
      </c>
      <c r="T92">
        <f>HYPERLINK("https://klasma.github.io/Logging_0980/kartor/A 55029-2020 karta.png", "A 55029-2020")</f>
        <v/>
      </c>
      <c r="V92">
        <f>HYPERLINK("https://klasma.github.io/Logging_0980/klagomål/A 55029-2020 FSC-klagomål.docx", "A 55029-2020")</f>
        <v/>
      </c>
      <c r="W92">
        <f>HYPERLINK("https://klasma.github.io/Logging_0980/klagomålsmail/A 55029-2020 FSC-klagomål mail.docx", "A 55029-2020")</f>
        <v/>
      </c>
      <c r="X92">
        <f>HYPERLINK("https://klasma.github.io/Logging_0980/tillsyn/A 55029-2020 tillsynsbegäran.docx", "A 55029-2020")</f>
        <v/>
      </c>
      <c r="Y92">
        <f>HYPERLINK("https://klasma.github.io/Logging_0980/tillsynsmail/A 55029-2020 tillsynsbegäran mail.docx", "A 55029-2020")</f>
        <v/>
      </c>
    </row>
    <row r="93" ht="15" customHeight="1">
      <c r="A93" t="inlineStr">
        <is>
          <t>A 65537-2020</t>
        </is>
      </c>
      <c r="B93" s="1" t="n">
        <v>44173</v>
      </c>
      <c r="C93" s="1" t="n">
        <v>45928</v>
      </c>
      <c r="D93" t="inlineStr">
        <is>
          <t>GOTLANDS LÄN</t>
        </is>
      </c>
      <c r="E93" t="inlineStr">
        <is>
          <t>GOTLAND</t>
        </is>
      </c>
      <c r="G93" t="n">
        <v>1.6</v>
      </c>
      <c r="H93" t="n">
        <v>0</v>
      </c>
      <c r="I93" t="n">
        <v>0</v>
      </c>
      <c r="J93" t="n">
        <v>3</v>
      </c>
      <c r="K93" t="n">
        <v>0</v>
      </c>
      <c r="L93" t="n">
        <v>0</v>
      </c>
      <c r="M93" t="n">
        <v>0</v>
      </c>
      <c r="N93" t="n">
        <v>0</v>
      </c>
      <c r="O93" t="n">
        <v>3</v>
      </c>
      <c r="P93" t="n">
        <v>0</v>
      </c>
      <c r="Q93" t="n">
        <v>3</v>
      </c>
      <c r="R93" s="2" t="inlineStr">
        <is>
          <t>Axveronika
Backtimjan
Solvända</t>
        </is>
      </c>
      <c r="S93">
        <f>HYPERLINK("https://klasma.github.io/Logging_0980/artfynd/A 65537-2020 artfynd.xlsx", "A 65537-2020")</f>
        <v/>
      </c>
      <c r="T93">
        <f>HYPERLINK("https://klasma.github.io/Logging_0980/kartor/A 65537-2020 karta.png", "A 65537-2020")</f>
        <v/>
      </c>
      <c r="V93">
        <f>HYPERLINK("https://klasma.github.io/Logging_0980/klagomål/A 65537-2020 FSC-klagomål.docx", "A 65537-2020")</f>
        <v/>
      </c>
      <c r="W93">
        <f>HYPERLINK("https://klasma.github.io/Logging_0980/klagomålsmail/A 65537-2020 FSC-klagomål mail.docx", "A 65537-2020")</f>
        <v/>
      </c>
      <c r="X93">
        <f>HYPERLINK("https://klasma.github.io/Logging_0980/tillsyn/A 65537-2020 tillsynsbegäran.docx", "A 65537-2020")</f>
        <v/>
      </c>
      <c r="Y93">
        <f>HYPERLINK("https://klasma.github.io/Logging_0980/tillsynsmail/A 65537-2020 tillsynsbegäran mail.docx", "A 65537-2020")</f>
        <v/>
      </c>
    </row>
    <row r="94" ht="15" customHeight="1">
      <c r="A94" t="inlineStr">
        <is>
          <t>A 44323-2021</t>
        </is>
      </c>
      <c r="B94" s="1" t="n">
        <v>44434</v>
      </c>
      <c r="C94" s="1" t="n">
        <v>45928</v>
      </c>
      <c r="D94" t="inlineStr">
        <is>
          <t>GOTLANDS LÄN</t>
        </is>
      </c>
      <c r="E94" t="inlineStr">
        <is>
          <t>GOTLAND</t>
        </is>
      </c>
      <c r="G94" t="n">
        <v>7.5</v>
      </c>
      <c r="H94" t="n">
        <v>1</v>
      </c>
      <c r="I94" t="n">
        <v>3</v>
      </c>
      <c r="J94" t="n">
        <v>0</v>
      </c>
      <c r="K94" t="n">
        <v>0</v>
      </c>
      <c r="L94" t="n">
        <v>0</v>
      </c>
      <c r="M94" t="n">
        <v>0</v>
      </c>
      <c r="N94" t="n">
        <v>0</v>
      </c>
      <c r="O94" t="n">
        <v>0</v>
      </c>
      <c r="P94" t="n">
        <v>0</v>
      </c>
      <c r="Q94" t="n">
        <v>3</v>
      </c>
      <c r="R94" s="2" t="inlineStr">
        <is>
          <t>Anisspindling
Barrfagerspindling
Skogsknipprot</t>
        </is>
      </c>
      <c r="S94">
        <f>HYPERLINK("https://klasma.github.io/Logging_0980/artfynd/A 44323-2021 artfynd.xlsx", "A 44323-2021")</f>
        <v/>
      </c>
      <c r="T94">
        <f>HYPERLINK("https://klasma.github.io/Logging_0980/kartor/A 44323-2021 karta.png", "A 44323-2021")</f>
        <v/>
      </c>
      <c r="V94">
        <f>HYPERLINK("https://klasma.github.io/Logging_0980/klagomål/A 44323-2021 FSC-klagomål.docx", "A 44323-2021")</f>
        <v/>
      </c>
      <c r="W94">
        <f>HYPERLINK("https://klasma.github.io/Logging_0980/klagomålsmail/A 44323-2021 FSC-klagomål mail.docx", "A 44323-2021")</f>
        <v/>
      </c>
      <c r="X94">
        <f>HYPERLINK("https://klasma.github.io/Logging_0980/tillsyn/A 44323-2021 tillsynsbegäran.docx", "A 44323-2021")</f>
        <v/>
      </c>
      <c r="Y94">
        <f>HYPERLINK("https://klasma.github.io/Logging_0980/tillsynsmail/A 44323-2021 tillsynsbegäran mail.docx", "A 44323-2021")</f>
        <v/>
      </c>
    </row>
    <row r="95" ht="15" customHeight="1">
      <c r="A95" t="inlineStr">
        <is>
          <t>A 32666-2021</t>
        </is>
      </c>
      <c r="B95" s="1" t="n">
        <v>44375</v>
      </c>
      <c r="C95" s="1" t="n">
        <v>45928</v>
      </c>
      <c r="D95" t="inlineStr">
        <is>
          <t>GOTLANDS LÄN</t>
        </is>
      </c>
      <c r="E95" t="inlineStr">
        <is>
          <t>GOTLAND</t>
        </is>
      </c>
      <c r="G95" t="n">
        <v>0.9</v>
      </c>
      <c r="H95" t="n">
        <v>1</v>
      </c>
      <c r="I95" t="n">
        <v>2</v>
      </c>
      <c r="J95" t="n">
        <v>0</v>
      </c>
      <c r="K95" t="n">
        <v>1</v>
      </c>
      <c r="L95" t="n">
        <v>0</v>
      </c>
      <c r="M95" t="n">
        <v>0</v>
      </c>
      <c r="N95" t="n">
        <v>0</v>
      </c>
      <c r="O95" t="n">
        <v>1</v>
      </c>
      <c r="P95" t="n">
        <v>1</v>
      </c>
      <c r="Q95" t="n">
        <v>3</v>
      </c>
      <c r="R95" s="2" t="inlineStr">
        <is>
          <t>Skogskorn
Myskmadra
Vit skogslilja</t>
        </is>
      </c>
      <c r="S95">
        <f>HYPERLINK("https://klasma.github.io/Logging_0980/artfynd/A 32666-2021 artfynd.xlsx", "A 32666-2021")</f>
        <v/>
      </c>
      <c r="T95">
        <f>HYPERLINK("https://klasma.github.io/Logging_0980/kartor/A 32666-2021 karta.png", "A 32666-2021")</f>
        <v/>
      </c>
      <c r="V95">
        <f>HYPERLINK("https://klasma.github.io/Logging_0980/klagomål/A 32666-2021 FSC-klagomål.docx", "A 32666-2021")</f>
        <v/>
      </c>
      <c r="W95">
        <f>HYPERLINK("https://klasma.github.io/Logging_0980/klagomålsmail/A 32666-2021 FSC-klagomål mail.docx", "A 32666-2021")</f>
        <v/>
      </c>
      <c r="X95">
        <f>HYPERLINK("https://klasma.github.io/Logging_0980/tillsyn/A 32666-2021 tillsynsbegäran.docx", "A 32666-2021")</f>
        <v/>
      </c>
      <c r="Y95">
        <f>HYPERLINK("https://klasma.github.io/Logging_0980/tillsynsmail/A 32666-2021 tillsynsbegäran mail.docx", "A 32666-2021")</f>
        <v/>
      </c>
    </row>
    <row r="96" ht="15" customHeight="1">
      <c r="A96" t="inlineStr">
        <is>
          <t>A 12519-2021</t>
        </is>
      </c>
      <c r="B96" s="1" t="n">
        <v>44269</v>
      </c>
      <c r="C96" s="1" t="n">
        <v>45928</v>
      </c>
      <c r="D96" t="inlineStr">
        <is>
          <t>GOTLANDS LÄN</t>
        </is>
      </c>
      <c r="E96" t="inlineStr">
        <is>
          <t>GOTLAND</t>
        </is>
      </c>
      <c r="F96" t="inlineStr">
        <is>
          <t>Kyrkan</t>
        </is>
      </c>
      <c r="G96" t="n">
        <v>3.4</v>
      </c>
      <c r="H96" t="n">
        <v>0</v>
      </c>
      <c r="I96" t="n">
        <v>2</v>
      </c>
      <c r="J96" t="n">
        <v>1</v>
      </c>
      <c r="K96" t="n">
        <v>0</v>
      </c>
      <c r="L96" t="n">
        <v>0</v>
      </c>
      <c r="M96" t="n">
        <v>0</v>
      </c>
      <c r="N96" t="n">
        <v>0</v>
      </c>
      <c r="O96" t="n">
        <v>1</v>
      </c>
      <c r="P96" t="n">
        <v>0</v>
      </c>
      <c r="Q96" t="n">
        <v>3</v>
      </c>
      <c r="R96" s="2" t="inlineStr">
        <is>
          <t>Loppstarr
Rödgul trumpetsvamp
Vågbandad barkbock</t>
        </is>
      </c>
      <c r="S96">
        <f>HYPERLINK("https://klasma.github.io/Logging_0980/artfynd/A 12519-2021 artfynd.xlsx", "A 12519-2021")</f>
        <v/>
      </c>
      <c r="T96">
        <f>HYPERLINK("https://klasma.github.io/Logging_0980/kartor/A 12519-2021 karta.png", "A 12519-2021")</f>
        <v/>
      </c>
      <c r="V96">
        <f>HYPERLINK("https://klasma.github.io/Logging_0980/klagomål/A 12519-2021 FSC-klagomål.docx", "A 12519-2021")</f>
        <v/>
      </c>
      <c r="W96">
        <f>HYPERLINK("https://klasma.github.io/Logging_0980/klagomålsmail/A 12519-2021 FSC-klagomål mail.docx", "A 12519-2021")</f>
        <v/>
      </c>
      <c r="X96">
        <f>HYPERLINK("https://klasma.github.io/Logging_0980/tillsyn/A 12519-2021 tillsynsbegäran.docx", "A 12519-2021")</f>
        <v/>
      </c>
      <c r="Y96">
        <f>HYPERLINK("https://klasma.github.io/Logging_0980/tillsynsmail/A 12519-2021 tillsynsbegäran mail.docx", "A 12519-2021")</f>
        <v/>
      </c>
    </row>
    <row r="97" ht="15" customHeight="1">
      <c r="A97" t="inlineStr">
        <is>
          <t>A 2332-2021</t>
        </is>
      </c>
      <c r="B97" s="1" t="n">
        <v>44214</v>
      </c>
      <c r="C97" s="1" t="n">
        <v>45928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48126-2022</t>
        </is>
      </c>
      <c r="B98" s="1" t="n">
        <v>44857</v>
      </c>
      <c r="C98" s="1" t="n">
        <v>45928</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32718-2021</t>
        </is>
      </c>
      <c r="B99" s="1" t="n">
        <v>44375</v>
      </c>
      <c r="C99" s="1" t="n">
        <v>45928</v>
      </c>
      <c r="D99" t="inlineStr">
        <is>
          <t>GOTLANDS LÄN</t>
        </is>
      </c>
      <c r="E99" t="inlineStr">
        <is>
          <t>GOTLAND</t>
        </is>
      </c>
      <c r="G99" t="n">
        <v>2.1</v>
      </c>
      <c r="H99" t="n">
        <v>0</v>
      </c>
      <c r="I99" t="n">
        <v>1</v>
      </c>
      <c r="J99" t="n">
        <v>1</v>
      </c>
      <c r="K99" t="n">
        <v>1</v>
      </c>
      <c r="L99" t="n">
        <v>0</v>
      </c>
      <c r="M99" t="n">
        <v>0</v>
      </c>
      <c r="N99" t="n">
        <v>0</v>
      </c>
      <c r="O99" t="n">
        <v>2</v>
      </c>
      <c r="P99" t="n">
        <v>1</v>
      </c>
      <c r="Q99" t="n">
        <v>3</v>
      </c>
      <c r="R99" s="2" t="inlineStr">
        <is>
          <t>Skogskorn
Skugglosta
Strävlosta</t>
        </is>
      </c>
      <c r="S99">
        <f>HYPERLINK("https://klasma.github.io/Logging_0980/artfynd/A 32718-2021 artfynd.xlsx", "A 32718-2021")</f>
        <v/>
      </c>
      <c r="T99">
        <f>HYPERLINK("https://klasma.github.io/Logging_0980/kartor/A 32718-2021 karta.png", "A 32718-2021")</f>
        <v/>
      </c>
      <c r="V99">
        <f>HYPERLINK("https://klasma.github.io/Logging_0980/klagomål/A 32718-2021 FSC-klagomål.docx", "A 32718-2021")</f>
        <v/>
      </c>
      <c r="W99">
        <f>HYPERLINK("https://klasma.github.io/Logging_0980/klagomålsmail/A 32718-2021 FSC-klagomål mail.docx", "A 32718-2021")</f>
        <v/>
      </c>
      <c r="X99">
        <f>HYPERLINK("https://klasma.github.io/Logging_0980/tillsyn/A 32718-2021 tillsynsbegäran.docx", "A 32718-2021")</f>
        <v/>
      </c>
      <c r="Y99">
        <f>HYPERLINK("https://klasma.github.io/Logging_0980/tillsynsmail/A 32718-2021 tillsynsbegäran mail.docx", "A 32718-2021")</f>
        <v/>
      </c>
    </row>
    <row r="100" ht="15" customHeight="1">
      <c r="A100" t="inlineStr">
        <is>
          <t>A 62326-2020</t>
        </is>
      </c>
      <c r="B100" s="1" t="n">
        <v>44160</v>
      </c>
      <c r="C100" s="1" t="n">
        <v>45928</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55334-2024</t>
        </is>
      </c>
      <c r="B101" s="1" t="n">
        <v>45621</v>
      </c>
      <c r="C101" s="1" t="n">
        <v>45928</v>
      </c>
      <c r="D101" t="inlineStr">
        <is>
          <t>GOTLANDS LÄN</t>
        </is>
      </c>
      <c r="E101" t="inlineStr">
        <is>
          <t>GOTLAND</t>
        </is>
      </c>
      <c r="G101" t="n">
        <v>21.7</v>
      </c>
      <c r="H101" t="n">
        <v>0</v>
      </c>
      <c r="I101" t="n">
        <v>3</v>
      </c>
      <c r="J101" t="n">
        <v>0</v>
      </c>
      <c r="K101" t="n">
        <v>0</v>
      </c>
      <c r="L101" t="n">
        <v>0</v>
      </c>
      <c r="M101" t="n">
        <v>0</v>
      </c>
      <c r="N101" t="n">
        <v>0</v>
      </c>
      <c r="O101" t="n">
        <v>0</v>
      </c>
      <c r="P101" t="n">
        <v>0</v>
      </c>
      <c r="Q101" t="n">
        <v>3</v>
      </c>
      <c r="R101" s="2" t="inlineStr">
        <is>
          <t>Anisspindling
Besk kastanjemusseron
Svavelriska</t>
        </is>
      </c>
      <c r="S101">
        <f>HYPERLINK("https://klasma.github.io/Logging_0980/artfynd/A 55334-2024 artfynd.xlsx", "A 55334-2024")</f>
        <v/>
      </c>
      <c r="T101">
        <f>HYPERLINK("https://klasma.github.io/Logging_0980/kartor/A 55334-2024 karta.png", "A 55334-2024")</f>
        <v/>
      </c>
      <c r="V101">
        <f>HYPERLINK("https://klasma.github.io/Logging_0980/klagomål/A 55334-2024 FSC-klagomål.docx", "A 55334-2024")</f>
        <v/>
      </c>
      <c r="W101">
        <f>HYPERLINK("https://klasma.github.io/Logging_0980/klagomålsmail/A 55334-2024 FSC-klagomål mail.docx", "A 55334-2024")</f>
        <v/>
      </c>
      <c r="X101">
        <f>HYPERLINK("https://klasma.github.io/Logging_0980/tillsyn/A 55334-2024 tillsynsbegäran.docx", "A 55334-2024")</f>
        <v/>
      </c>
      <c r="Y101">
        <f>HYPERLINK("https://klasma.github.io/Logging_0980/tillsynsmail/A 55334-2024 tillsynsbegäran mail.docx", "A 55334-2024")</f>
        <v/>
      </c>
    </row>
    <row r="102" ht="15" customHeight="1">
      <c r="A102" t="inlineStr">
        <is>
          <t>A 20831-2024</t>
        </is>
      </c>
      <c r="B102" s="1" t="n">
        <v>45439</v>
      </c>
      <c r="C102" s="1" t="n">
        <v>45928</v>
      </c>
      <c r="D102" t="inlineStr">
        <is>
          <t>GOTLANDS LÄN</t>
        </is>
      </c>
      <c r="E102" t="inlineStr">
        <is>
          <t>GOTLAND</t>
        </is>
      </c>
      <c r="G102" t="n">
        <v>2.9</v>
      </c>
      <c r="H102" t="n">
        <v>2</v>
      </c>
      <c r="I102" t="n">
        <v>1</v>
      </c>
      <c r="J102" t="n">
        <v>2</v>
      </c>
      <c r="K102" t="n">
        <v>0</v>
      </c>
      <c r="L102" t="n">
        <v>0</v>
      </c>
      <c r="M102" t="n">
        <v>0</v>
      </c>
      <c r="N102" t="n">
        <v>0</v>
      </c>
      <c r="O102" t="n">
        <v>2</v>
      </c>
      <c r="P102" t="n">
        <v>0</v>
      </c>
      <c r="Q102" t="n">
        <v>3</v>
      </c>
      <c r="R102" s="2" t="inlineStr">
        <is>
          <t>Dårgräsfjäril
Svinrot
Skogsknipprot</t>
        </is>
      </c>
      <c r="S102">
        <f>HYPERLINK("https://klasma.github.io/Logging_0980/artfynd/A 20831-2024 artfynd.xlsx", "A 20831-2024")</f>
        <v/>
      </c>
      <c r="T102">
        <f>HYPERLINK("https://klasma.github.io/Logging_0980/kartor/A 20831-2024 karta.png", "A 20831-2024")</f>
        <v/>
      </c>
      <c r="V102">
        <f>HYPERLINK("https://klasma.github.io/Logging_0980/klagomål/A 20831-2024 FSC-klagomål.docx", "A 20831-2024")</f>
        <v/>
      </c>
      <c r="W102">
        <f>HYPERLINK("https://klasma.github.io/Logging_0980/klagomålsmail/A 20831-2024 FSC-klagomål mail.docx", "A 20831-2024")</f>
        <v/>
      </c>
      <c r="X102">
        <f>HYPERLINK("https://klasma.github.io/Logging_0980/tillsyn/A 20831-2024 tillsynsbegäran.docx", "A 20831-2024")</f>
        <v/>
      </c>
      <c r="Y102">
        <f>HYPERLINK("https://klasma.github.io/Logging_0980/tillsynsmail/A 20831-2024 tillsynsbegäran mail.docx", "A 20831-2024")</f>
        <v/>
      </c>
    </row>
    <row r="103" ht="15" customHeight="1">
      <c r="A103" t="inlineStr">
        <is>
          <t>A 43013-2022</t>
        </is>
      </c>
      <c r="B103" s="1" t="n">
        <v>44833</v>
      </c>
      <c r="C103" s="1" t="n">
        <v>45928</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45928</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5235-2025</t>
        </is>
      </c>
      <c r="B105" s="1" t="n">
        <v>45692.26797453704</v>
      </c>
      <c r="C105" s="1" t="n">
        <v>45928</v>
      </c>
      <c r="D105" t="inlineStr">
        <is>
          <t>GOTLANDS LÄN</t>
        </is>
      </c>
      <c r="E105" t="inlineStr">
        <is>
          <t>GOTLAND</t>
        </is>
      </c>
      <c r="G105" t="n">
        <v>7.6</v>
      </c>
      <c r="H105" t="n">
        <v>1</v>
      </c>
      <c r="I105" t="n">
        <v>2</v>
      </c>
      <c r="J105" t="n">
        <v>1</v>
      </c>
      <c r="K105" t="n">
        <v>0</v>
      </c>
      <c r="L105" t="n">
        <v>0</v>
      </c>
      <c r="M105" t="n">
        <v>0</v>
      </c>
      <c r="N105" t="n">
        <v>0</v>
      </c>
      <c r="O105" t="n">
        <v>1</v>
      </c>
      <c r="P105" t="n">
        <v>0</v>
      </c>
      <c r="Q105" t="n">
        <v>3</v>
      </c>
      <c r="R105" s="2" t="inlineStr">
        <is>
          <t>Svinrot
Blåmossa
Tvåblad</t>
        </is>
      </c>
      <c r="S105">
        <f>HYPERLINK("https://klasma.github.io/Logging_0980/artfynd/A 5235-2025 artfynd.xlsx", "A 5235-2025")</f>
        <v/>
      </c>
      <c r="T105">
        <f>HYPERLINK("https://klasma.github.io/Logging_0980/kartor/A 5235-2025 karta.png", "A 5235-2025")</f>
        <v/>
      </c>
      <c r="V105">
        <f>HYPERLINK("https://klasma.github.io/Logging_0980/klagomål/A 5235-2025 FSC-klagomål.docx", "A 5235-2025")</f>
        <v/>
      </c>
      <c r="W105">
        <f>HYPERLINK("https://klasma.github.io/Logging_0980/klagomålsmail/A 5235-2025 FSC-klagomål mail.docx", "A 5235-2025")</f>
        <v/>
      </c>
      <c r="X105">
        <f>HYPERLINK("https://klasma.github.io/Logging_0980/tillsyn/A 5235-2025 tillsynsbegäran.docx", "A 5235-2025")</f>
        <v/>
      </c>
      <c r="Y105">
        <f>HYPERLINK("https://klasma.github.io/Logging_0980/tillsynsmail/A 5235-2025 tillsynsbegäran mail.docx", "A 5235-2025")</f>
        <v/>
      </c>
    </row>
    <row r="106" ht="15" customHeight="1">
      <c r="A106" t="inlineStr">
        <is>
          <t>A 53552-2021</t>
        </is>
      </c>
      <c r="B106" s="1" t="n">
        <v>44468</v>
      </c>
      <c r="C106" s="1" t="n">
        <v>45928</v>
      </c>
      <c r="D106" t="inlineStr">
        <is>
          <t>GOTLANDS LÄN</t>
        </is>
      </c>
      <c r="E106" t="inlineStr">
        <is>
          <t>GOTLAND</t>
        </is>
      </c>
      <c r="G106" t="n">
        <v>6.2</v>
      </c>
      <c r="H106" t="n">
        <v>2</v>
      </c>
      <c r="I106" t="n">
        <v>0</v>
      </c>
      <c r="J106" t="n">
        <v>1</v>
      </c>
      <c r="K106" t="n">
        <v>0</v>
      </c>
      <c r="L106" t="n">
        <v>0</v>
      </c>
      <c r="M106" t="n">
        <v>0</v>
      </c>
      <c r="N106" t="n">
        <v>0</v>
      </c>
      <c r="O106" t="n">
        <v>1</v>
      </c>
      <c r="P106" t="n">
        <v>0</v>
      </c>
      <c r="Q106" t="n">
        <v>3</v>
      </c>
      <c r="R106" s="2" t="inlineStr">
        <is>
          <t>Bredbrämad bastardsvärmare
Grönvit nattviol
Gullviva</t>
        </is>
      </c>
      <c r="S106">
        <f>HYPERLINK("https://klasma.github.io/Logging_0980/artfynd/A 53552-2021 artfynd.xlsx", "A 53552-2021")</f>
        <v/>
      </c>
      <c r="T106">
        <f>HYPERLINK("https://klasma.github.io/Logging_0980/kartor/A 53552-2021 karta.png", "A 53552-2021")</f>
        <v/>
      </c>
      <c r="V106">
        <f>HYPERLINK("https://klasma.github.io/Logging_0980/klagomål/A 53552-2021 FSC-klagomål.docx", "A 53552-2021")</f>
        <v/>
      </c>
      <c r="W106">
        <f>HYPERLINK("https://klasma.github.io/Logging_0980/klagomålsmail/A 53552-2021 FSC-klagomål mail.docx", "A 53552-2021")</f>
        <v/>
      </c>
      <c r="X106">
        <f>HYPERLINK("https://klasma.github.io/Logging_0980/tillsyn/A 53552-2021 tillsynsbegäran.docx", "A 53552-2021")</f>
        <v/>
      </c>
      <c r="Y106">
        <f>HYPERLINK("https://klasma.github.io/Logging_0980/tillsynsmail/A 53552-2021 tillsynsbegäran mail.docx", "A 53552-2021")</f>
        <v/>
      </c>
    </row>
    <row r="107" ht="15" customHeight="1">
      <c r="A107" t="inlineStr">
        <is>
          <t>A 17982-2023</t>
        </is>
      </c>
      <c r="B107" s="1" t="n">
        <v>45040</v>
      </c>
      <c r="C107" s="1" t="n">
        <v>45928</v>
      </c>
      <c r="D107" t="inlineStr">
        <is>
          <t>GOTLANDS LÄN</t>
        </is>
      </c>
      <c r="E107" t="inlineStr">
        <is>
          <t>GOTLAND</t>
        </is>
      </c>
      <c r="G107" t="n">
        <v>2.2</v>
      </c>
      <c r="H107" t="n">
        <v>0</v>
      </c>
      <c r="I107" t="n">
        <v>0</v>
      </c>
      <c r="J107" t="n">
        <v>2</v>
      </c>
      <c r="K107" t="n">
        <v>0</v>
      </c>
      <c r="L107" t="n">
        <v>0</v>
      </c>
      <c r="M107" t="n">
        <v>1</v>
      </c>
      <c r="N107" t="n">
        <v>0</v>
      </c>
      <c r="O107" t="n">
        <v>3</v>
      </c>
      <c r="P107" t="n">
        <v>1</v>
      </c>
      <c r="Q107" t="n">
        <v>3</v>
      </c>
      <c r="R107" s="2" t="inlineStr">
        <is>
          <t>Lundalm
Krusfrö
Ängsskära</t>
        </is>
      </c>
      <c r="S107">
        <f>HYPERLINK("https://klasma.github.io/Logging_0980/artfynd/A 17982-2023 artfynd.xlsx", "A 17982-2023")</f>
        <v/>
      </c>
      <c r="T107">
        <f>HYPERLINK("https://klasma.github.io/Logging_0980/kartor/A 17982-2023 karta.png", "A 17982-2023")</f>
        <v/>
      </c>
      <c r="V107">
        <f>HYPERLINK("https://klasma.github.io/Logging_0980/klagomål/A 17982-2023 FSC-klagomål.docx", "A 17982-2023")</f>
        <v/>
      </c>
      <c r="W107">
        <f>HYPERLINK("https://klasma.github.io/Logging_0980/klagomålsmail/A 17982-2023 FSC-klagomål mail.docx", "A 17982-2023")</f>
        <v/>
      </c>
      <c r="X107">
        <f>HYPERLINK("https://klasma.github.io/Logging_0980/tillsyn/A 17982-2023 tillsynsbegäran.docx", "A 17982-2023")</f>
        <v/>
      </c>
      <c r="Y107">
        <f>HYPERLINK("https://klasma.github.io/Logging_0980/tillsynsmail/A 17982-2023 tillsynsbegäran mail.docx", "A 17982-2023")</f>
        <v/>
      </c>
    </row>
    <row r="108" ht="15" customHeight="1">
      <c r="A108" t="inlineStr">
        <is>
          <t>A 17975-2024</t>
        </is>
      </c>
      <c r="B108" s="1" t="n">
        <v>45419.85546296297</v>
      </c>
      <c r="C108" s="1" t="n">
        <v>45928</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30490-2025</t>
        </is>
      </c>
      <c r="B109" s="1" t="n">
        <v>45830</v>
      </c>
      <c r="C109" s="1" t="n">
        <v>45928</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13499-2022</t>
        </is>
      </c>
      <c r="B110" s="1" t="n">
        <v>44647.79203703703</v>
      </c>
      <c r="C110" s="1" t="n">
        <v>45928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12315-2024</t>
        </is>
      </c>
      <c r="B111" s="1" t="n">
        <v>45378.6434837963</v>
      </c>
      <c r="C111" s="1" t="n">
        <v>45928</v>
      </c>
      <c r="D111" t="inlineStr">
        <is>
          <t>GOTLANDS LÄN</t>
        </is>
      </c>
      <c r="E111" t="inlineStr">
        <is>
          <t>GOTLAND</t>
        </is>
      </c>
      <c r="G111" t="n">
        <v>6</v>
      </c>
      <c r="H111" t="n">
        <v>3</v>
      </c>
      <c r="I111" t="n">
        <v>1</v>
      </c>
      <c r="J111" t="n">
        <v>1</v>
      </c>
      <c r="K111" t="n">
        <v>0</v>
      </c>
      <c r="L111" t="n">
        <v>0</v>
      </c>
      <c r="M111" t="n">
        <v>0</v>
      </c>
      <c r="N111" t="n">
        <v>0</v>
      </c>
      <c r="O111" t="n">
        <v>1</v>
      </c>
      <c r="P111" t="n">
        <v>0</v>
      </c>
      <c r="Q111" t="n">
        <v>3</v>
      </c>
      <c r="R111" s="2" t="inlineStr">
        <is>
          <t>Buskskvätta
Tvåblad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29870-2021</t>
        </is>
      </c>
      <c r="B112" s="1" t="n">
        <v>44362</v>
      </c>
      <c r="C112" s="1" t="n">
        <v>45928</v>
      </c>
      <c r="D112" t="inlineStr">
        <is>
          <t>GOTLANDS LÄN</t>
        </is>
      </c>
      <c r="E112" t="inlineStr">
        <is>
          <t>GOTLAND</t>
        </is>
      </c>
      <c r="G112" t="n">
        <v>2.4</v>
      </c>
      <c r="H112" t="n">
        <v>0</v>
      </c>
      <c r="I112" t="n">
        <v>1</v>
      </c>
      <c r="J112" t="n">
        <v>0</v>
      </c>
      <c r="K112" t="n">
        <v>1</v>
      </c>
      <c r="L112" t="n">
        <v>0</v>
      </c>
      <c r="M112" t="n">
        <v>0</v>
      </c>
      <c r="N112" t="n">
        <v>0</v>
      </c>
      <c r="O112" t="n">
        <v>1</v>
      </c>
      <c r="P112" t="n">
        <v>1</v>
      </c>
      <c r="Q112" t="n">
        <v>2</v>
      </c>
      <c r="R112" s="2" t="inlineStr">
        <is>
          <t>Blåfotad fagerspindling
Olivspindling</t>
        </is>
      </c>
      <c r="S112">
        <f>HYPERLINK("https://klasma.github.io/Logging_0980/artfynd/A 29870-2021 artfynd.xlsx", "A 29870-2021")</f>
        <v/>
      </c>
      <c r="T112">
        <f>HYPERLINK("https://klasma.github.io/Logging_0980/kartor/A 29870-2021 karta.png", "A 29870-2021")</f>
        <v/>
      </c>
      <c r="V112">
        <f>HYPERLINK("https://klasma.github.io/Logging_0980/klagomål/A 29870-2021 FSC-klagomål.docx", "A 29870-2021")</f>
        <v/>
      </c>
      <c r="W112">
        <f>HYPERLINK("https://klasma.github.io/Logging_0980/klagomålsmail/A 29870-2021 FSC-klagomål mail.docx", "A 29870-2021")</f>
        <v/>
      </c>
      <c r="X112">
        <f>HYPERLINK("https://klasma.github.io/Logging_0980/tillsyn/A 29870-2021 tillsynsbegäran.docx", "A 29870-2021")</f>
        <v/>
      </c>
      <c r="Y112">
        <f>HYPERLINK("https://klasma.github.io/Logging_0980/tillsynsmail/A 29870-2021 tillsynsbegäran mail.docx", "A 29870-2021")</f>
        <v/>
      </c>
    </row>
    <row r="113" ht="15" customHeight="1">
      <c r="A113" t="inlineStr">
        <is>
          <t>A 26857-2021</t>
        </is>
      </c>
      <c r="B113" s="1" t="n">
        <v>44349.60091435185</v>
      </c>
      <c r="C113" s="1" t="n">
        <v>45928</v>
      </c>
      <c r="D113" t="inlineStr">
        <is>
          <t>GOTLANDS LÄN</t>
        </is>
      </c>
      <c r="E113" t="inlineStr">
        <is>
          <t>GOTLAND</t>
        </is>
      </c>
      <c r="G113" t="n">
        <v>1.9</v>
      </c>
      <c r="H113" t="n">
        <v>0</v>
      </c>
      <c r="I113" t="n">
        <v>0</v>
      </c>
      <c r="J113" t="n">
        <v>2</v>
      </c>
      <c r="K113" t="n">
        <v>0</v>
      </c>
      <c r="L113" t="n">
        <v>0</v>
      </c>
      <c r="M113" t="n">
        <v>0</v>
      </c>
      <c r="N113" t="n">
        <v>0</v>
      </c>
      <c r="O113" t="n">
        <v>2</v>
      </c>
      <c r="P113" t="n">
        <v>0</v>
      </c>
      <c r="Q113" t="n">
        <v>2</v>
      </c>
      <c r="R113" s="2" t="inlineStr">
        <is>
          <t>Jordtistel
Solvända</t>
        </is>
      </c>
      <c r="S113">
        <f>HYPERLINK("https://klasma.github.io/Logging_0980/artfynd/A 26857-2021 artfynd.xlsx", "A 26857-2021")</f>
        <v/>
      </c>
      <c r="T113">
        <f>HYPERLINK("https://klasma.github.io/Logging_0980/kartor/A 26857-2021 karta.png", "A 26857-2021")</f>
        <v/>
      </c>
      <c r="V113">
        <f>HYPERLINK("https://klasma.github.io/Logging_0980/klagomål/A 26857-2021 FSC-klagomål.docx", "A 26857-2021")</f>
        <v/>
      </c>
      <c r="W113">
        <f>HYPERLINK("https://klasma.github.io/Logging_0980/klagomålsmail/A 26857-2021 FSC-klagomål mail.docx", "A 26857-2021")</f>
        <v/>
      </c>
      <c r="X113">
        <f>HYPERLINK("https://klasma.github.io/Logging_0980/tillsyn/A 26857-2021 tillsynsbegäran.docx", "A 26857-2021")</f>
        <v/>
      </c>
      <c r="Y113">
        <f>HYPERLINK("https://klasma.github.io/Logging_0980/tillsynsmail/A 26857-2021 tillsynsbegäran mail.docx", "A 26857-2021")</f>
        <v/>
      </c>
    </row>
    <row r="114" ht="15" customHeight="1">
      <c r="A114" t="inlineStr">
        <is>
          <t>A 51737-2021</t>
        </is>
      </c>
      <c r="B114" s="1" t="n">
        <v>44462.57368055556</v>
      </c>
      <c r="C114" s="1" t="n">
        <v>45928</v>
      </c>
      <c r="D114" t="inlineStr">
        <is>
          <t>GOTLANDS LÄN</t>
        </is>
      </c>
      <c r="E114" t="inlineStr">
        <is>
          <t>GOTLAND</t>
        </is>
      </c>
      <c r="G114" t="n">
        <v>8.6</v>
      </c>
      <c r="H114" t="n">
        <v>0</v>
      </c>
      <c r="I114" t="n">
        <v>1</v>
      </c>
      <c r="J114" t="n">
        <v>1</v>
      </c>
      <c r="K114" t="n">
        <v>0</v>
      </c>
      <c r="L114" t="n">
        <v>0</v>
      </c>
      <c r="M114" t="n">
        <v>0</v>
      </c>
      <c r="N114" t="n">
        <v>0</v>
      </c>
      <c r="O114" t="n">
        <v>1</v>
      </c>
      <c r="P114" t="n">
        <v>0</v>
      </c>
      <c r="Q114" t="n">
        <v>2</v>
      </c>
      <c r="R114" s="2" t="inlineStr">
        <is>
          <t>Igelkott
Kambräken</t>
        </is>
      </c>
      <c r="S114">
        <f>HYPERLINK("https://klasma.github.io/Logging_0980/artfynd/A 51737-2021 artfynd.xlsx", "A 51737-2021")</f>
        <v/>
      </c>
      <c r="T114">
        <f>HYPERLINK("https://klasma.github.io/Logging_0980/kartor/A 51737-2021 karta.png", "A 51737-2021")</f>
        <v/>
      </c>
      <c r="V114">
        <f>HYPERLINK("https://klasma.github.io/Logging_0980/klagomål/A 51737-2021 FSC-klagomål.docx", "A 51737-2021")</f>
        <v/>
      </c>
      <c r="W114">
        <f>HYPERLINK("https://klasma.github.io/Logging_0980/klagomålsmail/A 51737-2021 FSC-klagomål mail.docx", "A 51737-2021")</f>
        <v/>
      </c>
      <c r="X114">
        <f>HYPERLINK("https://klasma.github.io/Logging_0980/tillsyn/A 51737-2021 tillsynsbegäran.docx", "A 51737-2021")</f>
        <v/>
      </c>
      <c r="Y114">
        <f>HYPERLINK("https://klasma.github.io/Logging_0980/tillsynsmail/A 51737-2021 tillsynsbegäran mail.docx", "A 51737-2021")</f>
        <v/>
      </c>
    </row>
    <row r="115" ht="15" customHeight="1">
      <c r="A115" t="inlineStr">
        <is>
          <t>A 16429-2021</t>
        </is>
      </c>
      <c r="B115" s="1" t="n">
        <v>44293</v>
      </c>
      <c r="C115" s="1" t="n">
        <v>45928</v>
      </c>
      <c r="D115" t="inlineStr">
        <is>
          <t>GOTLANDS LÄN</t>
        </is>
      </c>
      <c r="E115" t="inlineStr">
        <is>
          <t>GOTLAND</t>
        </is>
      </c>
      <c r="G115" t="n">
        <v>3.4</v>
      </c>
      <c r="H115" t="n">
        <v>0</v>
      </c>
      <c r="I115" t="n">
        <v>0</v>
      </c>
      <c r="J115" t="n">
        <v>1</v>
      </c>
      <c r="K115" t="n">
        <v>1</v>
      </c>
      <c r="L115" t="n">
        <v>0</v>
      </c>
      <c r="M115" t="n">
        <v>0</v>
      </c>
      <c r="N115" t="n">
        <v>0</v>
      </c>
      <c r="O115" t="n">
        <v>2</v>
      </c>
      <c r="P115" t="n">
        <v>1</v>
      </c>
      <c r="Q115" t="n">
        <v>2</v>
      </c>
      <c r="R115" s="2" t="inlineStr">
        <is>
          <t>Gotlandsmåra
Barrviolspindling</t>
        </is>
      </c>
      <c r="S115">
        <f>HYPERLINK("https://klasma.github.io/Logging_0980/artfynd/A 16429-2021 artfynd.xlsx", "A 16429-2021")</f>
        <v/>
      </c>
      <c r="T115">
        <f>HYPERLINK("https://klasma.github.io/Logging_0980/kartor/A 16429-2021 karta.png", "A 16429-2021")</f>
        <v/>
      </c>
      <c r="V115">
        <f>HYPERLINK("https://klasma.github.io/Logging_0980/klagomål/A 16429-2021 FSC-klagomål.docx", "A 16429-2021")</f>
        <v/>
      </c>
      <c r="W115">
        <f>HYPERLINK("https://klasma.github.io/Logging_0980/klagomålsmail/A 16429-2021 FSC-klagomål mail.docx", "A 16429-2021")</f>
        <v/>
      </c>
      <c r="X115">
        <f>HYPERLINK("https://klasma.github.io/Logging_0980/tillsyn/A 16429-2021 tillsynsbegäran.docx", "A 16429-2021")</f>
        <v/>
      </c>
      <c r="Y115">
        <f>HYPERLINK("https://klasma.github.io/Logging_0980/tillsynsmail/A 16429-2021 tillsynsbegäran mail.docx", "A 16429-2021")</f>
        <v/>
      </c>
    </row>
    <row r="116" ht="15" customHeight="1">
      <c r="A116" t="inlineStr">
        <is>
          <t>A 9930-2021</t>
        </is>
      </c>
      <c r="B116" s="1" t="n">
        <v>44252</v>
      </c>
      <c r="C116" s="1" t="n">
        <v>45928</v>
      </c>
      <c r="D116" t="inlineStr">
        <is>
          <t>GOTLANDS LÄN</t>
        </is>
      </c>
      <c r="E116" t="inlineStr">
        <is>
          <t>GOTLAND</t>
        </is>
      </c>
      <c r="G116" t="n">
        <v>1.9</v>
      </c>
      <c r="H116" t="n">
        <v>0</v>
      </c>
      <c r="I116" t="n">
        <v>0</v>
      </c>
      <c r="J116" t="n">
        <v>0</v>
      </c>
      <c r="K116" t="n">
        <v>0</v>
      </c>
      <c r="L116" t="n">
        <v>1</v>
      </c>
      <c r="M116" t="n">
        <v>1</v>
      </c>
      <c r="N116" t="n">
        <v>0</v>
      </c>
      <c r="O116" t="n">
        <v>2</v>
      </c>
      <c r="P116" t="n">
        <v>2</v>
      </c>
      <c r="Q116" t="n">
        <v>2</v>
      </c>
      <c r="R116" s="2" t="inlineStr">
        <is>
          <t>Lundalm
Ask</t>
        </is>
      </c>
      <c r="S116">
        <f>HYPERLINK("https://klasma.github.io/Logging_0980/artfynd/A 9930-2021 artfynd.xlsx", "A 9930-2021")</f>
        <v/>
      </c>
      <c r="T116">
        <f>HYPERLINK("https://klasma.github.io/Logging_0980/kartor/A 9930-2021 karta.png", "A 9930-2021")</f>
        <v/>
      </c>
      <c r="V116">
        <f>HYPERLINK("https://klasma.github.io/Logging_0980/klagomål/A 9930-2021 FSC-klagomål.docx", "A 9930-2021")</f>
        <v/>
      </c>
      <c r="W116">
        <f>HYPERLINK("https://klasma.github.io/Logging_0980/klagomålsmail/A 9930-2021 FSC-klagomål mail.docx", "A 9930-2021")</f>
        <v/>
      </c>
      <c r="X116">
        <f>HYPERLINK("https://klasma.github.io/Logging_0980/tillsyn/A 9930-2021 tillsynsbegäran.docx", "A 9930-2021")</f>
        <v/>
      </c>
      <c r="Y116">
        <f>HYPERLINK("https://klasma.github.io/Logging_0980/tillsynsmail/A 9930-2021 tillsynsbegäran mail.docx", "A 9930-2021")</f>
        <v/>
      </c>
    </row>
    <row r="117" ht="15" customHeight="1">
      <c r="A117" t="inlineStr">
        <is>
          <t>A 20218-2022</t>
        </is>
      </c>
      <c r="B117" s="1" t="n">
        <v>44698</v>
      </c>
      <c r="C117" s="1" t="n">
        <v>45928</v>
      </c>
      <c r="D117" t="inlineStr">
        <is>
          <t>GOTLANDS LÄN</t>
        </is>
      </c>
      <c r="E117" t="inlineStr">
        <is>
          <t>GOTLAND</t>
        </is>
      </c>
      <c r="G117" t="n">
        <v>4.3</v>
      </c>
      <c r="H117" t="n">
        <v>0</v>
      </c>
      <c r="I117" t="n">
        <v>1</v>
      </c>
      <c r="J117" t="n">
        <v>1</v>
      </c>
      <c r="K117" t="n">
        <v>0</v>
      </c>
      <c r="L117" t="n">
        <v>0</v>
      </c>
      <c r="M117" t="n">
        <v>0</v>
      </c>
      <c r="N117" t="n">
        <v>0</v>
      </c>
      <c r="O117" t="n">
        <v>1</v>
      </c>
      <c r="P117" t="n">
        <v>0</v>
      </c>
      <c r="Q117" t="n">
        <v>2</v>
      </c>
      <c r="R117" s="2" t="inlineStr">
        <is>
          <t>Flattoppad klubbsvamp
Rödgul trumpetsvamp</t>
        </is>
      </c>
      <c r="S117">
        <f>HYPERLINK("https://klasma.github.io/Logging_0980/artfynd/A 20218-2022 artfynd.xlsx", "A 20218-2022")</f>
        <v/>
      </c>
      <c r="T117">
        <f>HYPERLINK("https://klasma.github.io/Logging_0980/kartor/A 20218-2022 karta.png", "A 20218-2022")</f>
        <v/>
      </c>
      <c r="V117">
        <f>HYPERLINK("https://klasma.github.io/Logging_0980/klagomål/A 20218-2022 FSC-klagomål.docx", "A 20218-2022")</f>
        <v/>
      </c>
      <c r="W117">
        <f>HYPERLINK("https://klasma.github.io/Logging_0980/klagomålsmail/A 20218-2022 FSC-klagomål mail.docx", "A 20218-2022")</f>
        <v/>
      </c>
      <c r="X117">
        <f>HYPERLINK("https://klasma.github.io/Logging_0980/tillsyn/A 20218-2022 tillsynsbegäran.docx", "A 20218-2022")</f>
        <v/>
      </c>
      <c r="Y117">
        <f>HYPERLINK("https://klasma.github.io/Logging_0980/tillsynsmail/A 20218-2022 tillsynsbegäran mail.docx", "A 20218-2022")</f>
        <v/>
      </c>
    </row>
    <row r="118" ht="15" customHeight="1">
      <c r="A118" t="inlineStr">
        <is>
          <t>A 60665-2021</t>
        </is>
      </c>
      <c r="B118" s="1" t="n">
        <v>44496</v>
      </c>
      <c r="C118" s="1" t="n">
        <v>45928</v>
      </c>
      <c r="D118" t="inlineStr">
        <is>
          <t>GOTLANDS LÄN</t>
        </is>
      </c>
      <c r="E118" t="inlineStr">
        <is>
          <t>GOTLAND</t>
        </is>
      </c>
      <c r="G118" t="n">
        <v>1.6</v>
      </c>
      <c r="H118" t="n">
        <v>0</v>
      </c>
      <c r="I118" t="n">
        <v>0</v>
      </c>
      <c r="J118" t="n">
        <v>0</v>
      </c>
      <c r="K118" t="n">
        <v>1</v>
      </c>
      <c r="L118" t="n">
        <v>1</v>
      </c>
      <c r="M118" t="n">
        <v>0</v>
      </c>
      <c r="N118" t="n">
        <v>0</v>
      </c>
      <c r="O118" t="n">
        <v>2</v>
      </c>
      <c r="P118" t="n">
        <v>2</v>
      </c>
      <c r="Q118" t="n">
        <v>2</v>
      </c>
      <c r="R118" s="2" t="inlineStr">
        <is>
          <t>Ädellav
Skogskorn</t>
        </is>
      </c>
      <c r="S118">
        <f>HYPERLINK("https://klasma.github.io/Logging_0980/artfynd/A 60665-2021 artfynd.xlsx", "A 60665-2021")</f>
        <v/>
      </c>
      <c r="T118">
        <f>HYPERLINK("https://klasma.github.io/Logging_0980/kartor/A 60665-2021 karta.png", "A 60665-2021")</f>
        <v/>
      </c>
      <c r="V118">
        <f>HYPERLINK("https://klasma.github.io/Logging_0980/klagomål/A 60665-2021 FSC-klagomål.docx", "A 60665-2021")</f>
        <v/>
      </c>
      <c r="W118">
        <f>HYPERLINK("https://klasma.github.io/Logging_0980/klagomålsmail/A 60665-2021 FSC-klagomål mail.docx", "A 60665-2021")</f>
        <v/>
      </c>
      <c r="X118">
        <f>HYPERLINK("https://klasma.github.io/Logging_0980/tillsyn/A 60665-2021 tillsynsbegäran.docx", "A 60665-2021")</f>
        <v/>
      </c>
      <c r="Y118">
        <f>HYPERLINK("https://klasma.github.io/Logging_0980/tillsynsmail/A 60665-2021 tillsynsbegäran mail.docx", "A 60665-2021")</f>
        <v/>
      </c>
    </row>
    <row r="119" ht="15" customHeight="1">
      <c r="A119" t="inlineStr">
        <is>
          <t>A 55649-2024</t>
        </is>
      </c>
      <c r="B119" s="1" t="n">
        <v>45622.63053240741</v>
      </c>
      <c r="C119" s="1" t="n">
        <v>45928</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41238-2025</t>
        </is>
      </c>
      <c r="B120" s="1" t="n">
        <v>45898</v>
      </c>
      <c r="C120" s="1" t="n">
        <v>45928</v>
      </c>
      <c r="D120" t="inlineStr">
        <is>
          <t>GOTLANDS LÄN</t>
        </is>
      </c>
      <c r="E120" t="inlineStr">
        <is>
          <t>GOTLAND</t>
        </is>
      </c>
      <c r="G120" t="n">
        <v>7.1</v>
      </c>
      <c r="H120" t="n">
        <v>1</v>
      </c>
      <c r="I120" t="n">
        <v>2</v>
      </c>
      <c r="J120" t="n">
        <v>0</v>
      </c>
      <c r="K120" t="n">
        <v>0</v>
      </c>
      <c r="L120" t="n">
        <v>0</v>
      </c>
      <c r="M120" t="n">
        <v>0</v>
      </c>
      <c r="N120" t="n">
        <v>0</v>
      </c>
      <c r="O120" t="n">
        <v>0</v>
      </c>
      <c r="P120" t="n">
        <v>0</v>
      </c>
      <c r="Q120" t="n">
        <v>2</v>
      </c>
      <c r="R120" s="2" t="inlineStr">
        <is>
          <t>Granbarkgnagare
Skogsknipprot</t>
        </is>
      </c>
      <c r="S120">
        <f>HYPERLINK("https://klasma.github.io/Logging_0980/artfynd/A 41238-2025 artfynd.xlsx", "A 41238-2025")</f>
        <v/>
      </c>
      <c r="T120">
        <f>HYPERLINK("https://klasma.github.io/Logging_0980/kartor/A 41238-2025 karta.png", "A 41238-2025")</f>
        <v/>
      </c>
      <c r="V120">
        <f>HYPERLINK("https://klasma.github.io/Logging_0980/klagomål/A 41238-2025 FSC-klagomål.docx", "A 41238-2025")</f>
        <v/>
      </c>
      <c r="W120">
        <f>HYPERLINK("https://klasma.github.io/Logging_0980/klagomålsmail/A 41238-2025 FSC-klagomål mail.docx", "A 41238-2025")</f>
        <v/>
      </c>
      <c r="X120">
        <f>HYPERLINK("https://klasma.github.io/Logging_0980/tillsyn/A 41238-2025 tillsynsbegäran.docx", "A 41238-2025")</f>
        <v/>
      </c>
      <c r="Y120">
        <f>HYPERLINK("https://klasma.github.io/Logging_0980/tillsynsmail/A 41238-2025 tillsynsbegäran mail.docx", "A 41238-2025")</f>
        <v/>
      </c>
    </row>
    <row r="121" ht="15" customHeight="1">
      <c r="A121" t="inlineStr">
        <is>
          <t>A 26077-2024</t>
        </is>
      </c>
      <c r="B121" s="1" t="n">
        <v>45467</v>
      </c>
      <c r="C121" s="1" t="n">
        <v>45928</v>
      </c>
      <c r="D121" t="inlineStr">
        <is>
          <t>GOTLANDS LÄN</t>
        </is>
      </c>
      <c r="E121" t="inlineStr">
        <is>
          <t>GOTLAND</t>
        </is>
      </c>
      <c r="G121" t="n">
        <v>4.6</v>
      </c>
      <c r="H121" t="n">
        <v>0</v>
      </c>
      <c r="I121" t="n">
        <v>0</v>
      </c>
      <c r="J121" t="n">
        <v>1</v>
      </c>
      <c r="K121" t="n">
        <v>0</v>
      </c>
      <c r="L121" t="n">
        <v>1</v>
      </c>
      <c r="M121" t="n">
        <v>0</v>
      </c>
      <c r="N121" t="n">
        <v>0</v>
      </c>
      <c r="O121" t="n">
        <v>2</v>
      </c>
      <c r="P121" t="n">
        <v>1</v>
      </c>
      <c r="Q121" t="n">
        <v>2</v>
      </c>
      <c r="R121" s="2" t="inlineStr">
        <is>
          <t>Ask
Tallticka</t>
        </is>
      </c>
      <c r="S121">
        <f>HYPERLINK("https://klasma.github.io/Logging_0980/artfynd/A 26077-2024 artfynd.xlsx", "A 26077-2024")</f>
        <v/>
      </c>
      <c r="T121">
        <f>HYPERLINK("https://klasma.github.io/Logging_0980/kartor/A 26077-2024 karta.png", "A 26077-2024")</f>
        <v/>
      </c>
      <c r="V121">
        <f>HYPERLINK("https://klasma.github.io/Logging_0980/klagomål/A 26077-2024 FSC-klagomål.docx", "A 26077-2024")</f>
        <v/>
      </c>
      <c r="W121">
        <f>HYPERLINK("https://klasma.github.io/Logging_0980/klagomålsmail/A 26077-2024 FSC-klagomål mail.docx", "A 26077-2024")</f>
        <v/>
      </c>
      <c r="X121">
        <f>HYPERLINK("https://klasma.github.io/Logging_0980/tillsyn/A 26077-2024 tillsynsbegäran.docx", "A 26077-2024")</f>
        <v/>
      </c>
      <c r="Y121">
        <f>HYPERLINK("https://klasma.github.io/Logging_0980/tillsynsmail/A 26077-2024 tillsynsbegäran mail.docx", "A 26077-2024")</f>
        <v/>
      </c>
    </row>
    <row r="122" ht="15" customHeight="1">
      <c r="A122" t="inlineStr">
        <is>
          <t>A 58701-2020</t>
        </is>
      </c>
      <c r="B122" s="1" t="n">
        <v>44146</v>
      </c>
      <c r="C122" s="1" t="n">
        <v>45928</v>
      </c>
      <c r="D122" t="inlineStr">
        <is>
          <t>GOTLANDS LÄN</t>
        </is>
      </c>
      <c r="E122" t="inlineStr">
        <is>
          <t>GOTLAND</t>
        </is>
      </c>
      <c r="G122" t="n">
        <v>5.5</v>
      </c>
      <c r="H122" t="n">
        <v>0</v>
      </c>
      <c r="I122" t="n">
        <v>0</v>
      </c>
      <c r="J122" t="n">
        <v>1</v>
      </c>
      <c r="K122" t="n">
        <v>1</v>
      </c>
      <c r="L122" t="n">
        <v>0</v>
      </c>
      <c r="M122" t="n">
        <v>0</v>
      </c>
      <c r="N122" t="n">
        <v>0</v>
      </c>
      <c r="O122" t="n">
        <v>2</v>
      </c>
      <c r="P122" t="n">
        <v>1</v>
      </c>
      <c r="Q122" t="n">
        <v>2</v>
      </c>
      <c r="R122" s="2" t="inlineStr">
        <is>
          <t>Vit taggsvamp
Odörspindling</t>
        </is>
      </c>
      <c r="S122">
        <f>HYPERLINK("https://klasma.github.io/Logging_0980/artfynd/A 58701-2020 artfynd.xlsx", "A 58701-2020")</f>
        <v/>
      </c>
      <c r="T122">
        <f>HYPERLINK("https://klasma.github.io/Logging_0980/kartor/A 58701-2020 karta.png", "A 58701-2020")</f>
        <v/>
      </c>
      <c r="V122">
        <f>HYPERLINK("https://klasma.github.io/Logging_0980/klagomål/A 58701-2020 FSC-klagomål.docx", "A 58701-2020")</f>
        <v/>
      </c>
      <c r="W122">
        <f>HYPERLINK("https://klasma.github.io/Logging_0980/klagomålsmail/A 58701-2020 FSC-klagomål mail.docx", "A 58701-2020")</f>
        <v/>
      </c>
      <c r="X122">
        <f>HYPERLINK("https://klasma.github.io/Logging_0980/tillsyn/A 58701-2020 tillsynsbegäran.docx", "A 58701-2020")</f>
        <v/>
      </c>
      <c r="Y122">
        <f>HYPERLINK("https://klasma.github.io/Logging_0980/tillsynsmail/A 58701-2020 tillsynsbegäran mail.docx", "A 58701-2020")</f>
        <v/>
      </c>
    </row>
    <row r="123" ht="15" customHeight="1">
      <c r="A123" t="inlineStr">
        <is>
          <t>A 28276-2024</t>
        </is>
      </c>
      <c r="B123" s="1" t="n">
        <v>45477</v>
      </c>
      <c r="C123" s="1" t="n">
        <v>45928</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20838-2024</t>
        </is>
      </c>
      <c r="B124" s="1" t="n">
        <v>45439</v>
      </c>
      <c r="C124" s="1" t="n">
        <v>45928</v>
      </c>
      <c r="D124" t="inlineStr">
        <is>
          <t>GOTLANDS LÄN</t>
        </is>
      </c>
      <c r="E124" t="inlineStr">
        <is>
          <t>GOTLAND</t>
        </is>
      </c>
      <c r="G124" t="n">
        <v>0.7</v>
      </c>
      <c r="H124" t="n">
        <v>2</v>
      </c>
      <c r="I124" t="n">
        <v>1</v>
      </c>
      <c r="J124" t="n">
        <v>1</v>
      </c>
      <c r="K124" t="n">
        <v>0</v>
      </c>
      <c r="L124" t="n">
        <v>0</v>
      </c>
      <c r="M124" t="n">
        <v>0</v>
      </c>
      <c r="N124" t="n">
        <v>0</v>
      </c>
      <c r="O124" t="n">
        <v>1</v>
      </c>
      <c r="P124" t="n">
        <v>0</v>
      </c>
      <c r="Q124" t="n">
        <v>2</v>
      </c>
      <c r="R124" s="2" t="inlineStr">
        <is>
          <t>Spillkråka
Skogsknipprot</t>
        </is>
      </c>
      <c r="S124">
        <f>HYPERLINK("https://klasma.github.io/Logging_0980/artfynd/A 20838-2024 artfynd.xlsx", "A 20838-2024")</f>
        <v/>
      </c>
      <c r="T124">
        <f>HYPERLINK("https://klasma.github.io/Logging_0980/kartor/A 20838-2024 karta.png", "A 20838-2024")</f>
        <v/>
      </c>
      <c r="V124">
        <f>HYPERLINK("https://klasma.github.io/Logging_0980/klagomål/A 20838-2024 FSC-klagomål.docx", "A 20838-2024")</f>
        <v/>
      </c>
      <c r="W124">
        <f>HYPERLINK("https://klasma.github.io/Logging_0980/klagomålsmail/A 20838-2024 FSC-klagomål mail.docx", "A 20838-2024")</f>
        <v/>
      </c>
      <c r="X124">
        <f>HYPERLINK("https://klasma.github.io/Logging_0980/tillsyn/A 20838-2024 tillsynsbegäran.docx", "A 20838-2024")</f>
        <v/>
      </c>
      <c r="Y124">
        <f>HYPERLINK("https://klasma.github.io/Logging_0980/tillsynsmail/A 20838-2024 tillsynsbegäran mail.docx", "A 20838-2024")</f>
        <v/>
      </c>
      <c r="Z124">
        <f>HYPERLINK("https://klasma.github.io/Logging_0980/fåglar/A 20838-2024 prioriterade fågelarter.docx", "A 20838-2024")</f>
        <v/>
      </c>
    </row>
    <row r="125" ht="15" customHeight="1">
      <c r="A125" t="inlineStr">
        <is>
          <t>A 21879-2025</t>
        </is>
      </c>
      <c r="B125" s="1" t="n">
        <v>45784.40533564815</v>
      </c>
      <c r="C125" s="1" t="n">
        <v>45928</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64263-2020</t>
        </is>
      </c>
      <c r="B126" s="1" t="n">
        <v>44168</v>
      </c>
      <c r="C126" s="1" t="n">
        <v>45928</v>
      </c>
      <c r="D126" t="inlineStr">
        <is>
          <t>GOTLANDS LÄN</t>
        </is>
      </c>
      <c r="E126" t="inlineStr">
        <is>
          <t>GOTLAND</t>
        </is>
      </c>
      <c r="G126" t="n">
        <v>10.9</v>
      </c>
      <c r="H126" t="n">
        <v>1</v>
      </c>
      <c r="I126" t="n">
        <v>0</v>
      </c>
      <c r="J126" t="n">
        <v>2</v>
      </c>
      <c r="K126" t="n">
        <v>0</v>
      </c>
      <c r="L126" t="n">
        <v>0</v>
      </c>
      <c r="M126" t="n">
        <v>0</v>
      </c>
      <c r="N126" t="n">
        <v>0</v>
      </c>
      <c r="O126" t="n">
        <v>2</v>
      </c>
      <c r="P126" t="n">
        <v>0</v>
      </c>
      <c r="Q126" t="n">
        <v>2</v>
      </c>
      <c r="R126" s="2" t="inlineStr">
        <is>
          <t>Mindre hackspett
Ullticka</t>
        </is>
      </c>
      <c r="S126">
        <f>HYPERLINK("https://klasma.github.io/Logging_0980/artfynd/A 64263-2020 artfynd.xlsx", "A 64263-2020")</f>
        <v/>
      </c>
      <c r="T126">
        <f>HYPERLINK("https://klasma.github.io/Logging_0980/kartor/A 64263-2020 karta.png", "A 64263-2020")</f>
        <v/>
      </c>
      <c r="V126">
        <f>HYPERLINK("https://klasma.github.io/Logging_0980/klagomål/A 64263-2020 FSC-klagomål.docx", "A 64263-2020")</f>
        <v/>
      </c>
      <c r="W126">
        <f>HYPERLINK("https://klasma.github.io/Logging_0980/klagomålsmail/A 64263-2020 FSC-klagomål mail.docx", "A 64263-2020")</f>
        <v/>
      </c>
      <c r="X126">
        <f>HYPERLINK("https://klasma.github.io/Logging_0980/tillsyn/A 64263-2020 tillsynsbegäran.docx", "A 64263-2020")</f>
        <v/>
      </c>
      <c r="Y126">
        <f>HYPERLINK("https://klasma.github.io/Logging_0980/tillsynsmail/A 64263-2020 tillsynsbegäran mail.docx", "A 64263-2020")</f>
        <v/>
      </c>
      <c r="Z126">
        <f>HYPERLINK("https://klasma.github.io/Logging_0980/fåglar/A 64263-2020 prioriterade fågelarter.docx", "A 64263-2020")</f>
        <v/>
      </c>
    </row>
    <row r="127" ht="15" customHeight="1">
      <c r="A127" t="inlineStr">
        <is>
          <t>A 13627-2023</t>
        </is>
      </c>
      <c r="B127" s="1" t="n">
        <v>45006</v>
      </c>
      <c r="C127" s="1" t="n">
        <v>45928</v>
      </c>
      <c r="D127" t="inlineStr">
        <is>
          <t>GOTLANDS LÄN</t>
        </is>
      </c>
      <c r="E127" t="inlineStr">
        <is>
          <t>GOTLAND</t>
        </is>
      </c>
      <c r="G127" t="n">
        <v>10.7</v>
      </c>
      <c r="H127" t="n">
        <v>0</v>
      </c>
      <c r="I127" t="n">
        <v>0</v>
      </c>
      <c r="J127" t="n">
        <v>1</v>
      </c>
      <c r="K127" t="n">
        <v>1</v>
      </c>
      <c r="L127" t="n">
        <v>0</v>
      </c>
      <c r="M127" t="n">
        <v>0</v>
      </c>
      <c r="N127" t="n">
        <v>0</v>
      </c>
      <c r="O127" t="n">
        <v>2</v>
      </c>
      <c r="P127" t="n">
        <v>1</v>
      </c>
      <c r="Q127" t="n">
        <v>2</v>
      </c>
      <c r="R127" s="2" t="inlineStr">
        <is>
          <t>Sammetsbockrot
Igelkott</t>
        </is>
      </c>
      <c r="S127">
        <f>HYPERLINK("https://klasma.github.io/Logging_0980/artfynd/A 13627-2023 artfynd.xlsx", "A 13627-2023")</f>
        <v/>
      </c>
      <c r="T127">
        <f>HYPERLINK("https://klasma.github.io/Logging_0980/kartor/A 13627-2023 karta.png", "A 13627-2023")</f>
        <v/>
      </c>
      <c r="V127">
        <f>HYPERLINK("https://klasma.github.io/Logging_0980/klagomål/A 13627-2023 FSC-klagomål.docx", "A 13627-2023")</f>
        <v/>
      </c>
      <c r="W127">
        <f>HYPERLINK("https://klasma.github.io/Logging_0980/klagomålsmail/A 13627-2023 FSC-klagomål mail.docx", "A 13627-2023")</f>
        <v/>
      </c>
      <c r="X127">
        <f>HYPERLINK("https://klasma.github.io/Logging_0980/tillsyn/A 13627-2023 tillsynsbegäran.docx", "A 13627-2023")</f>
        <v/>
      </c>
      <c r="Y127">
        <f>HYPERLINK("https://klasma.github.io/Logging_0980/tillsynsmail/A 13627-2023 tillsynsbegäran mail.docx", "A 13627-2023")</f>
        <v/>
      </c>
    </row>
    <row r="128" ht="15" customHeight="1">
      <c r="A128" t="inlineStr">
        <is>
          <t>A 54357-2024</t>
        </is>
      </c>
      <c r="B128" s="1" t="n">
        <v>45617.40662037037</v>
      </c>
      <c r="C128" s="1" t="n">
        <v>45928</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45928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45928</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45928</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45928</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24-2021</t>
        </is>
      </c>
      <c r="B133" s="1" t="n">
        <v>44197</v>
      </c>
      <c r="C133" s="1" t="n">
        <v>45928</v>
      </c>
      <c r="D133" t="inlineStr">
        <is>
          <t>GOTLANDS LÄN</t>
        </is>
      </c>
      <c r="E133" t="inlineStr">
        <is>
          <t>GOTLAND</t>
        </is>
      </c>
      <c r="F133" t="inlineStr">
        <is>
          <t>Kyrkan</t>
        </is>
      </c>
      <c r="G133" t="n">
        <v>1.7</v>
      </c>
      <c r="H133" t="n">
        <v>0</v>
      </c>
      <c r="I133" t="n">
        <v>1</v>
      </c>
      <c r="J133" t="n">
        <v>0</v>
      </c>
      <c r="K133" t="n">
        <v>0</v>
      </c>
      <c r="L133" t="n">
        <v>0</v>
      </c>
      <c r="M133" t="n">
        <v>0</v>
      </c>
      <c r="N133" t="n">
        <v>0</v>
      </c>
      <c r="O133" t="n">
        <v>0</v>
      </c>
      <c r="P133" t="n">
        <v>0</v>
      </c>
      <c r="Q133" t="n">
        <v>1</v>
      </c>
      <c r="R133" s="2" t="inlineStr">
        <is>
          <t>Svavelriska</t>
        </is>
      </c>
      <c r="S133">
        <f>HYPERLINK("https://klasma.github.io/Logging_0980/artfynd/A 24-2021 artfynd.xlsx", "A 24-2021")</f>
        <v/>
      </c>
      <c r="T133">
        <f>HYPERLINK("https://klasma.github.io/Logging_0980/kartor/A 24-2021 karta.png", "A 24-2021")</f>
        <v/>
      </c>
      <c r="V133">
        <f>HYPERLINK("https://klasma.github.io/Logging_0980/klagomål/A 24-2021 FSC-klagomål.docx", "A 24-2021")</f>
        <v/>
      </c>
      <c r="W133">
        <f>HYPERLINK("https://klasma.github.io/Logging_0980/klagomålsmail/A 24-2021 FSC-klagomål mail.docx", "A 24-2021")</f>
        <v/>
      </c>
      <c r="X133">
        <f>HYPERLINK("https://klasma.github.io/Logging_0980/tillsyn/A 24-2021 tillsynsbegäran.docx", "A 24-2021")</f>
        <v/>
      </c>
      <c r="Y133">
        <f>HYPERLINK("https://klasma.github.io/Logging_0980/tillsynsmail/A 24-2021 tillsynsbegäran mail.docx", "A 24-2021")</f>
        <v/>
      </c>
    </row>
    <row r="134" ht="15" customHeight="1">
      <c r="A134" t="inlineStr">
        <is>
          <t>A 46362-2021</t>
        </is>
      </c>
      <c r="B134" s="1" t="n">
        <v>44442</v>
      </c>
      <c r="C134" s="1" t="n">
        <v>45928</v>
      </c>
      <c r="D134" t="inlineStr">
        <is>
          <t>GOTLANDS LÄN</t>
        </is>
      </c>
      <c r="E134" t="inlineStr">
        <is>
          <t>GOTLAND</t>
        </is>
      </c>
      <c r="G134" t="n">
        <v>2.1</v>
      </c>
      <c r="H134" t="n">
        <v>0</v>
      </c>
      <c r="I134" t="n">
        <v>0</v>
      </c>
      <c r="J134" t="n">
        <v>1</v>
      </c>
      <c r="K134" t="n">
        <v>0</v>
      </c>
      <c r="L134" t="n">
        <v>0</v>
      </c>
      <c r="M134" t="n">
        <v>0</v>
      </c>
      <c r="N134" t="n">
        <v>0</v>
      </c>
      <c r="O134" t="n">
        <v>1</v>
      </c>
      <c r="P134" t="n">
        <v>0</v>
      </c>
      <c r="Q134" t="n">
        <v>1</v>
      </c>
      <c r="R134" s="2" t="inlineStr">
        <is>
          <t>Igelkott</t>
        </is>
      </c>
      <c r="S134">
        <f>HYPERLINK("https://klasma.github.io/Logging_0980/artfynd/A 46362-2021 artfynd.xlsx", "A 46362-2021")</f>
        <v/>
      </c>
      <c r="T134">
        <f>HYPERLINK("https://klasma.github.io/Logging_0980/kartor/A 46362-2021 karta.png", "A 46362-2021")</f>
        <v/>
      </c>
      <c r="V134">
        <f>HYPERLINK("https://klasma.github.io/Logging_0980/klagomål/A 46362-2021 FSC-klagomål.docx", "A 46362-2021")</f>
        <v/>
      </c>
      <c r="W134">
        <f>HYPERLINK("https://klasma.github.io/Logging_0980/klagomålsmail/A 46362-2021 FSC-klagomål mail.docx", "A 46362-2021")</f>
        <v/>
      </c>
      <c r="X134">
        <f>HYPERLINK("https://klasma.github.io/Logging_0980/tillsyn/A 46362-2021 tillsynsbegäran.docx", "A 46362-2021")</f>
        <v/>
      </c>
      <c r="Y134">
        <f>HYPERLINK("https://klasma.github.io/Logging_0980/tillsynsmail/A 46362-2021 tillsynsbegäran mail.docx", "A 46362-2021")</f>
        <v/>
      </c>
    </row>
    <row r="135" ht="15" customHeight="1">
      <c r="A135" t="inlineStr">
        <is>
          <t>A 35467-2021</t>
        </is>
      </c>
      <c r="B135" s="1" t="n">
        <v>44385</v>
      </c>
      <c r="C135" s="1" t="n">
        <v>45928</v>
      </c>
      <c r="D135" t="inlineStr">
        <is>
          <t>GOTLANDS LÄN</t>
        </is>
      </c>
      <c r="E135" t="inlineStr">
        <is>
          <t>GOTLAND</t>
        </is>
      </c>
      <c r="G135" t="n">
        <v>12.7</v>
      </c>
      <c r="H135" t="n">
        <v>0</v>
      </c>
      <c r="I135" t="n">
        <v>0</v>
      </c>
      <c r="J135" t="n">
        <v>1</v>
      </c>
      <c r="K135" t="n">
        <v>0</v>
      </c>
      <c r="L135" t="n">
        <v>0</v>
      </c>
      <c r="M135" t="n">
        <v>0</v>
      </c>
      <c r="N135" t="n">
        <v>0</v>
      </c>
      <c r="O135" t="n">
        <v>1</v>
      </c>
      <c r="P135" t="n">
        <v>0</v>
      </c>
      <c r="Q135" t="n">
        <v>1</v>
      </c>
      <c r="R135" s="2" t="inlineStr">
        <is>
          <t>Loppstarr</t>
        </is>
      </c>
      <c r="S135">
        <f>HYPERLINK("https://klasma.github.io/Logging_0980/artfynd/A 35467-2021 artfynd.xlsx", "A 35467-2021")</f>
        <v/>
      </c>
      <c r="T135">
        <f>HYPERLINK("https://klasma.github.io/Logging_0980/kartor/A 35467-2021 karta.png", "A 35467-2021")</f>
        <v/>
      </c>
      <c r="V135">
        <f>HYPERLINK("https://klasma.github.io/Logging_0980/klagomål/A 35467-2021 FSC-klagomål.docx", "A 35467-2021")</f>
        <v/>
      </c>
      <c r="W135">
        <f>HYPERLINK("https://klasma.github.io/Logging_0980/klagomålsmail/A 35467-2021 FSC-klagomål mail.docx", "A 35467-2021")</f>
        <v/>
      </c>
      <c r="X135">
        <f>HYPERLINK("https://klasma.github.io/Logging_0980/tillsyn/A 35467-2021 tillsynsbegäran.docx", "A 35467-2021")</f>
        <v/>
      </c>
      <c r="Y135">
        <f>HYPERLINK("https://klasma.github.io/Logging_0980/tillsynsmail/A 35467-2021 tillsynsbegäran mail.docx", "A 35467-2021")</f>
        <v/>
      </c>
    </row>
    <row r="136" ht="15" customHeight="1">
      <c r="A136" t="inlineStr">
        <is>
          <t>A 7485-2021</t>
        </is>
      </c>
      <c r="B136" s="1" t="n">
        <v>44238</v>
      </c>
      <c r="C136" s="1" t="n">
        <v>45928</v>
      </c>
      <c r="D136" t="inlineStr">
        <is>
          <t>GOTLANDS LÄN</t>
        </is>
      </c>
      <c r="E136" t="inlineStr">
        <is>
          <t>GOTLAND</t>
        </is>
      </c>
      <c r="G136" t="n">
        <v>2.9</v>
      </c>
      <c r="H136" t="n">
        <v>1</v>
      </c>
      <c r="I136" t="n">
        <v>0</v>
      </c>
      <c r="J136" t="n">
        <v>1</v>
      </c>
      <c r="K136" t="n">
        <v>0</v>
      </c>
      <c r="L136" t="n">
        <v>0</v>
      </c>
      <c r="M136" t="n">
        <v>0</v>
      </c>
      <c r="N136" t="n">
        <v>0</v>
      </c>
      <c r="O136" t="n">
        <v>1</v>
      </c>
      <c r="P136" t="n">
        <v>0</v>
      </c>
      <c r="Q136" t="n">
        <v>1</v>
      </c>
      <c r="R136" s="2" t="inlineStr">
        <is>
          <t>Spillkråka</t>
        </is>
      </c>
      <c r="S136">
        <f>HYPERLINK("https://klasma.github.io/Logging_0980/artfynd/A 7485-2021 artfynd.xlsx", "A 7485-2021")</f>
        <v/>
      </c>
      <c r="T136">
        <f>HYPERLINK("https://klasma.github.io/Logging_0980/kartor/A 7485-2021 karta.png", "A 7485-2021")</f>
        <v/>
      </c>
      <c r="V136">
        <f>HYPERLINK("https://klasma.github.io/Logging_0980/klagomål/A 7485-2021 FSC-klagomål.docx", "A 7485-2021")</f>
        <v/>
      </c>
      <c r="W136">
        <f>HYPERLINK("https://klasma.github.io/Logging_0980/klagomålsmail/A 7485-2021 FSC-klagomål mail.docx", "A 7485-2021")</f>
        <v/>
      </c>
      <c r="X136">
        <f>HYPERLINK("https://klasma.github.io/Logging_0980/tillsyn/A 7485-2021 tillsynsbegäran.docx", "A 7485-2021")</f>
        <v/>
      </c>
      <c r="Y136">
        <f>HYPERLINK("https://klasma.github.io/Logging_0980/tillsynsmail/A 7485-2021 tillsynsbegäran mail.docx", "A 7485-2021")</f>
        <v/>
      </c>
      <c r="Z136">
        <f>HYPERLINK("https://klasma.github.io/Logging_0980/fåglar/A 7485-2021 prioriterade fågelarter.docx", "A 7485-2021")</f>
        <v/>
      </c>
    </row>
    <row r="137" ht="15" customHeight="1">
      <c r="A137" t="inlineStr">
        <is>
          <t>A 13939-2021</t>
        </is>
      </c>
      <c r="B137" s="1" t="n">
        <v>44277</v>
      </c>
      <c r="C137" s="1" t="n">
        <v>45928</v>
      </c>
      <c r="D137" t="inlineStr">
        <is>
          <t>GOTLANDS LÄN</t>
        </is>
      </c>
      <c r="E137" t="inlineStr">
        <is>
          <t>GOTLAND</t>
        </is>
      </c>
      <c r="G137" t="n">
        <v>1</v>
      </c>
      <c r="H137" t="n">
        <v>0</v>
      </c>
      <c r="I137" t="n">
        <v>0</v>
      </c>
      <c r="J137" t="n">
        <v>1</v>
      </c>
      <c r="K137" t="n">
        <v>0</v>
      </c>
      <c r="L137" t="n">
        <v>0</v>
      </c>
      <c r="M137" t="n">
        <v>0</v>
      </c>
      <c r="N137" t="n">
        <v>0</v>
      </c>
      <c r="O137" t="n">
        <v>1</v>
      </c>
      <c r="P137" t="n">
        <v>0</v>
      </c>
      <c r="Q137" t="n">
        <v>1</v>
      </c>
      <c r="R137" s="2" t="inlineStr">
        <is>
          <t>Axveronika</t>
        </is>
      </c>
      <c r="S137">
        <f>HYPERLINK("https://klasma.github.io/Logging_0980/artfynd/A 13939-2021 artfynd.xlsx", "A 13939-2021")</f>
        <v/>
      </c>
      <c r="T137">
        <f>HYPERLINK("https://klasma.github.io/Logging_0980/kartor/A 13939-2021 karta.png", "A 13939-2021")</f>
        <v/>
      </c>
      <c r="V137">
        <f>HYPERLINK("https://klasma.github.io/Logging_0980/klagomål/A 13939-2021 FSC-klagomål.docx", "A 13939-2021")</f>
        <v/>
      </c>
      <c r="W137">
        <f>HYPERLINK("https://klasma.github.io/Logging_0980/klagomålsmail/A 13939-2021 FSC-klagomål mail.docx", "A 13939-2021")</f>
        <v/>
      </c>
      <c r="X137">
        <f>HYPERLINK("https://klasma.github.io/Logging_0980/tillsyn/A 13939-2021 tillsynsbegäran.docx", "A 13939-2021")</f>
        <v/>
      </c>
      <c r="Y137">
        <f>HYPERLINK("https://klasma.github.io/Logging_0980/tillsynsmail/A 13939-2021 tillsynsbegäran mail.docx", "A 13939-2021")</f>
        <v/>
      </c>
    </row>
    <row r="138" ht="15" customHeight="1">
      <c r="A138" t="inlineStr">
        <is>
          <t>A 10218-2025</t>
        </is>
      </c>
      <c r="B138" s="1" t="n">
        <v>45720</v>
      </c>
      <c r="C138" s="1" t="n">
        <v>45928</v>
      </c>
      <c r="D138" t="inlineStr">
        <is>
          <t>GOTLANDS LÄN</t>
        </is>
      </c>
      <c r="E138" t="inlineStr">
        <is>
          <t>GOTLAND</t>
        </is>
      </c>
      <c r="G138" t="n">
        <v>8.1</v>
      </c>
      <c r="H138" t="n">
        <v>0</v>
      </c>
      <c r="I138" t="n">
        <v>1</v>
      </c>
      <c r="J138" t="n">
        <v>0</v>
      </c>
      <c r="K138" t="n">
        <v>0</v>
      </c>
      <c r="L138" t="n">
        <v>0</v>
      </c>
      <c r="M138" t="n">
        <v>0</v>
      </c>
      <c r="N138" t="n">
        <v>0</v>
      </c>
      <c r="O138" t="n">
        <v>0</v>
      </c>
      <c r="P138" t="n">
        <v>0</v>
      </c>
      <c r="Q138" t="n">
        <v>1</v>
      </c>
      <c r="R138" s="2" t="inlineStr">
        <is>
          <t>Kalktallört</t>
        </is>
      </c>
      <c r="S138">
        <f>HYPERLINK("https://klasma.github.io/Logging_0980/artfynd/A 10218-2025 artfynd.xlsx", "A 10218-2025")</f>
        <v/>
      </c>
      <c r="T138">
        <f>HYPERLINK("https://klasma.github.io/Logging_0980/kartor/A 10218-2025 karta.png", "A 10218-2025")</f>
        <v/>
      </c>
      <c r="V138">
        <f>HYPERLINK("https://klasma.github.io/Logging_0980/klagomål/A 10218-2025 FSC-klagomål.docx", "A 10218-2025")</f>
        <v/>
      </c>
      <c r="W138">
        <f>HYPERLINK("https://klasma.github.io/Logging_0980/klagomålsmail/A 10218-2025 FSC-klagomål mail.docx", "A 10218-2025")</f>
        <v/>
      </c>
      <c r="X138">
        <f>HYPERLINK("https://klasma.github.io/Logging_0980/tillsyn/A 10218-2025 tillsynsbegäran.docx", "A 10218-2025")</f>
        <v/>
      </c>
      <c r="Y138">
        <f>HYPERLINK("https://klasma.github.io/Logging_0980/tillsynsmail/A 10218-2025 tillsynsbegäran mail.docx", "A 10218-2025")</f>
        <v/>
      </c>
    </row>
    <row r="139" ht="15" customHeight="1">
      <c r="A139" t="inlineStr">
        <is>
          <t>A 20429-2025</t>
        </is>
      </c>
      <c r="B139" s="1" t="n">
        <v>45775.47728009259</v>
      </c>
      <c r="C139" s="1" t="n">
        <v>45928</v>
      </c>
      <c r="D139" t="inlineStr">
        <is>
          <t>GOTLANDS LÄN</t>
        </is>
      </c>
      <c r="E139" t="inlineStr">
        <is>
          <t>GOTLAND</t>
        </is>
      </c>
      <c r="G139" t="n">
        <v>1.4</v>
      </c>
      <c r="H139" t="n">
        <v>1</v>
      </c>
      <c r="I139" t="n">
        <v>0</v>
      </c>
      <c r="J139" t="n">
        <v>0</v>
      </c>
      <c r="K139" t="n">
        <v>0</v>
      </c>
      <c r="L139" t="n">
        <v>0</v>
      </c>
      <c r="M139" t="n">
        <v>0</v>
      </c>
      <c r="N139" t="n">
        <v>0</v>
      </c>
      <c r="O139" t="n">
        <v>0</v>
      </c>
      <c r="P139" t="n">
        <v>0</v>
      </c>
      <c r="Q139" t="n">
        <v>1</v>
      </c>
      <c r="R139" s="2" t="inlineStr">
        <is>
          <t>Äkta lopplummer</t>
        </is>
      </c>
      <c r="S139">
        <f>HYPERLINK("https://klasma.github.io/Logging_0980/artfynd/A 20429-2025 artfynd.xlsx", "A 20429-2025")</f>
        <v/>
      </c>
      <c r="T139">
        <f>HYPERLINK("https://klasma.github.io/Logging_0980/kartor/A 20429-2025 karta.png", "A 20429-2025")</f>
        <v/>
      </c>
      <c r="V139">
        <f>HYPERLINK("https://klasma.github.io/Logging_0980/klagomål/A 20429-2025 FSC-klagomål.docx", "A 20429-2025")</f>
        <v/>
      </c>
      <c r="W139">
        <f>HYPERLINK("https://klasma.github.io/Logging_0980/klagomålsmail/A 20429-2025 FSC-klagomål mail.docx", "A 20429-2025")</f>
        <v/>
      </c>
      <c r="X139">
        <f>HYPERLINK("https://klasma.github.io/Logging_0980/tillsyn/A 20429-2025 tillsynsbegäran.docx", "A 20429-2025")</f>
        <v/>
      </c>
      <c r="Y139">
        <f>HYPERLINK("https://klasma.github.io/Logging_0980/tillsynsmail/A 20429-2025 tillsynsbegäran mail.docx", "A 20429-2025")</f>
        <v/>
      </c>
    </row>
    <row r="140" ht="15" customHeight="1">
      <c r="A140" t="inlineStr">
        <is>
          <t>A 12379-2024</t>
        </is>
      </c>
      <c r="B140" s="1" t="n">
        <v>45379.28155092592</v>
      </c>
      <c r="C140" s="1" t="n">
        <v>45928</v>
      </c>
      <c r="D140" t="inlineStr">
        <is>
          <t>GOTLANDS LÄN</t>
        </is>
      </c>
      <c r="E140" t="inlineStr">
        <is>
          <t>GOTLAND</t>
        </is>
      </c>
      <c r="G140" t="n">
        <v>4.4</v>
      </c>
      <c r="H140" t="n">
        <v>0</v>
      </c>
      <c r="I140" t="n">
        <v>0</v>
      </c>
      <c r="J140" t="n">
        <v>1</v>
      </c>
      <c r="K140" t="n">
        <v>0</v>
      </c>
      <c r="L140" t="n">
        <v>0</v>
      </c>
      <c r="M140" t="n">
        <v>0</v>
      </c>
      <c r="N140" t="n">
        <v>0</v>
      </c>
      <c r="O140" t="n">
        <v>1</v>
      </c>
      <c r="P140" t="n">
        <v>0</v>
      </c>
      <c r="Q140" t="n">
        <v>1</v>
      </c>
      <c r="R140" s="2" t="inlineStr">
        <is>
          <t>Svinrot</t>
        </is>
      </c>
      <c r="S140">
        <f>HYPERLINK("https://klasma.github.io/Logging_0980/artfynd/A 12379-2024 artfynd.xlsx", "A 12379-2024")</f>
        <v/>
      </c>
      <c r="T140">
        <f>HYPERLINK("https://klasma.github.io/Logging_0980/kartor/A 12379-2024 karta.png", "A 12379-2024")</f>
        <v/>
      </c>
      <c r="V140">
        <f>HYPERLINK("https://klasma.github.io/Logging_0980/klagomål/A 12379-2024 FSC-klagomål.docx", "A 12379-2024")</f>
        <v/>
      </c>
      <c r="W140">
        <f>HYPERLINK("https://klasma.github.io/Logging_0980/klagomålsmail/A 12379-2024 FSC-klagomål mail.docx", "A 12379-2024")</f>
        <v/>
      </c>
      <c r="X140">
        <f>HYPERLINK("https://klasma.github.io/Logging_0980/tillsyn/A 12379-2024 tillsynsbegäran.docx", "A 12379-2024")</f>
        <v/>
      </c>
      <c r="Y140">
        <f>HYPERLINK("https://klasma.github.io/Logging_0980/tillsynsmail/A 12379-2024 tillsynsbegäran mail.docx", "A 12379-2024")</f>
        <v/>
      </c>
    </row>
    <row r="141" ht="15" customHeight="1">
      <c r="A141" t="inlineStr">
        <is>
          <t>A 17723-2021</t>
        </is>
      </c>
      <c r="B141" s="1" t="n">
        <v>44300</v>
      </c>
      <c r="C141" s="1" t="n">
        <v>45928</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39812-2025</t>
        </is>
      </c>
      <c r="B142" s="1" t="n">
        <v>45891</v>
      </c>
      <c r="C142" s="1" t="n">
        <v>45928</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63299-2020</t>
        </is>
      </c>
      <c r="B143" s="1" t="n">
        <v>44165</v>
      </c>
      <c r="C143" s="1" t="n">
        <v>45928</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15637-2024</t>
        </is>
      </c>
      <c r="B144" s="1" t="n">
        <v>45403.6684837963</v>
      </c>
      <c r="C144" s="1" t="n">
        <v>45928</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27168-2022</t>
        </is>
      </c>
      <c r="B145" s="1" t="n">
        <v>44741</v>
      </c>
      <c r="C145" s="1" t="n">
        <v>45928</v>
      </c>
      <c r="D145" t="inlineStr">
        <is>
          <t>GOTLANDS LÄN</t>
        </is>
      </c>
      <c r="E145" t="inlineStr">
        <is>
          <t>GOTLAND</t>
        </is>
      </c>
      <c r="G145" t="n">
        <v>2.2</v>
      </c>
      <c r="H145" t="n">
        <v>1</v>
      </c>
      <c r="I145" t="n">
        <v>1</v>
      </c>
      <c r="J145" t="n">
        <v>0</v>
      </c>
      <c r="K145" t="n">
        <v>0</v>
      </c>
      <c r="L145" t="n">
        <v>0</v>
      </c>
      <c r="M145" t="n">
        <v>0</v>
      </c>
      <c r="N145" t="n">
        <v>0</v>
      </c>
      <c r="O145" t="n">
        <v>0</v>
      </c>
      <c r="P145" t="n">
        <v>0</v>
      </c>
      <c r="Q145" t="n">
        <v>1</v>
      </c>
      <c r="R145" s="2" t="inlineStr">
        <is>
          <t>Purpurknipprot</t>
        </is>
      </c>
      <c r="S145">
        <f>HYPERLINK("https://klasma.github.io/Logging_0980/artfynd/A 27168-2022 artfynd.xlsx", "A 27168-2022")</f>
        <v/>
      </c>
      <c r="T145">
        <f>HYPERLINK("https://klasma.github.io/Logging_0980/kartor/A 27168-2022 karta.png", "A 27168-2022")</f>
        <v/>
      </c>
      <c r="V145">
        <f>HYPERLINK("https://klasma.github.io/Logging_0980/klagomål/A 27168-2022 FSC-klagomål.docx", "A 27168-2022")</f>
        <v/>
      </c>
      <c r="W145">
        <f>HYPERLINK("https://klasma.github.io/Logging_0980/klagomålsmail/A 27168-2022 FSC-klagomål mail.docx", "A 27168-2022")</f>
        <v/>
      </c>
      <c r="X145">
        <f>HYPERLINK("https://klasma.github.io/Logging_0980/tillsyn/A 27168-2022 tillsynsbegäran.docx", "A 27168-2022")</f>
        <v/>
      </c>
      <c r="Y145">
        <f>HYPERLINK("https://klasma.github.io/Logging_0980/tillsynsmail/A 27168-2022 tillsynsbegäran mail.docx", "A 27168-2022")</f>
        <v/>
      </c>
    </row>
    <row r="146" ht="15" customHeight="1">
      <c r="A146" t="inlineStr">
        <is>
          <t>A 22782-2023</t>
        </is>
      </c>
      <c r="B146" s="1" t="n">
        <v>45072</v>
      </c>
      <c r="C146" s="1" t="n">
        <v>45928</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25977-2024</t>
        </is>
      </c>
      <c r="B147" s="1" t="n">
        <v>45467.69356481481</v>
      </c>
      <c r="C147" s="1" t="n">
        <v>45928</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44619-2025</t>
        </is>
      </c>
      <c r="B148" s="1" t="n">
        <v>45917</v>
      </c>
      <c r="C148" s="1" t="n">
        <v>45928</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2476-2025</t>
        </is>
      </c>
      <c r="B149" s="1" t="n">
        <v>45673</v>
      </c>
      <c r="C149" s="1" t="n">
        <v>45928</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65927-2021</t>
        </is>
      </c>
      <c r="B150" s="1" t="n">
        <v>44516</v>
      </c>
      <c r="C150" s="1" t="n">
        <v>45928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12924-2025</t>
        </is>
      </c>
      <c r="B151" s="1" t="n">
        <v>45734</v>
      </c>
      <c r="C151" s="1" t="n">
        <v>45928</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10995-2023</t>
        </is>
      </c>
      <c r="B152" s="1" t="n">
        <v>44986</v>
      </c>
      <c r="C152" s="1" t="n">
        <v>45928</v>
      </c>
      <c r="D152" t="inlineStr">
        <is>
          <t>GOTLANDS LÄN</t>
        </is>
      </c>
      <c r="E152" t="inlineStr">
        <is>
          <t>GOTLAND</t>
        </is>
      </c>
      <c r="G152" t="n">
        <v>2.8</v>
      </c>
      <c r="H152" t="n">
        <v>0</v>
      </c>
      <c r="I152" t="n">
        <v>0</v>
      </c>
      <c r="J152" t="n">
        <v>0</v>
      </c>
      <c r="K152" t="n">
        <v>1</v>
      </c>
      <c r="L152" t="n">
        <v>0</v>
      </c>
      <c r="M152" t="n">
        <v>0</v>
      </c>
      <c r="N152" t="n">
        <v>0</v>
      </c>
      <c r="O152" t="n">
        <v>1</v>
      </c>
      <c r="P152" t="n">
        <v>1</v>
      </c>
      <c r="Q152" t="n">
        <v>1</v>
      </c>
      <c r="R152" s="2" t="inlineStr">
        <is>
          <t>Violettfläckig spindling</t>
        </is>
      </c>
      <c r="S152">
        <f>HYPERLINK("https://klasma.github.io/Logging_0980/artfynd/A 10995-2023 artfynd.xlsx", "A 10995-2023")</f>
        <v/>
      </c>
      <c r="T152">
        <f>HYPERLINK("https://klasma.github.io/Logging_0980/kartor/A 10995-2023 karta.png", "A 10995-2023")</f>
        <v/>
      </c>
      <c r="V152">
        <f>HYPERLINK("https://klasma.github.io/Logging_0980/klagomål/A 10995-2023 FSC-klagomål.docx", "A 10995-2023")</f>
        <v/>
      </c>
      <c r="W152">
        <f>HYPERLINK("https://klasma.github.io/Logging_0980/klagomålsmail/A 10995-2023 FSC-klagomål mail.docx", "A 10995-2023")</f>
        <v/>
      </c>
      <c r="X152">
        <f>HYPERLINK("https://klasma.github.io/Logging_0980/tillsyn/A 10995-2023 tillsynsbegäran.docx", "A 10995-2023")</f>
        <v/>
      </c>
      <c r="Y152">
        <f>HYPERLINK("https://klasma.github.io/Logging_0980/tillsynsmail/A 10995-2023 tillsynsbegäran mail.docx", "A 10995-2023")</f>
        <v/>
      </c>
    </row>
    <row r="153" ht="15" customHeight="1">
      <c r="A153" t="inlineStr">
        <is>
          <t>A 61796-2022</t>
        </is>
      </c>
      <c r="B153" s="1" t="n">
        <v>44917</v>
      </c>
      <c r="C153" s="1" t="n">
        <v>45928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24245-2022</t>
        </is>
      </c>
      <c r="B154" s="1" t="n">
        <v>44725</v>
      </c>
      <c r="C154" s="1" t="n">
        <v>45928</v>
      </c>
      <c r="D154" t="inlineStr">
        <is>
          <t>GOTLANDS LÄN</t>
        </is>
      </c>
      <c r="E154" t="inlineStr">
        <is>
          <t>GOTLAND</t>
        </is>
      </c>
      <c r="G154" t="n">
        <v>4.9</v>
      </c>
      <c r="H154" t="n">
        <v>0</v>
      </c>
      <c r="I154" t="n">
        <v>0</v>
      </c>
      <c r="J154" t="n">
        <v>0</v>
      </c>
      <c r="K154" t="n">
        <v>0</v>
      </c>
      <c r="L154" t="n">
        <v>1</v>
      </c>
      <c r="M154" t="n">
        <v>0</v>
      </c>
      <c r="N154" t="n">
        <v>0</v>
      </c>
      <c r="O154" t="n">
        <v>1</v>
      </c>
      <c r="P154" t="n">
        <v>1</v>
      </c>
      <c r="Q154" t="n">
        <v>1</v>
      </c>
      <c r="R154" s="2" t="inlineStr">
        <is>
          <t>Slät taggsvamp</t>
        </is>
      </c>
      <c r="S154">
        <f>HYPERLINK("https://klasma.github.io/Logging_0980/artfynd/A 24245-2022 artfynd.xlsx", "A 24245-2022")</f>
        <v/>
      </c>
      <c r="T154">
        <f>HYPERLINK("https://klasma.github.io/Logging_0980/kartor/A 24245-2022 karta.png", "A 24245-2022")</f>
        <v/>
      </c>
      <c r="V154">
        <f>HYPERLINK("https://klasma.github.io/Logging_0980/klagomål/A 24245-2022 FSC-klagomål.docx", "A 24245-2022")</f>
        <v/>
      </c>
      <c r="W154">
        <f>HYPERLINK("https://klasma.github.io/Logging_0980/klagomålsmail/A 24245-2022 FSC-klagomål mail.docx", "A 24245-2022")</f>
        <v/>
      </c>
      <c r="X154">
        <f>HYPERLINK("https://klasma.github.io/Logging_0980/tillsyn/A 24245-2022 tillsynsbegäran.docx", "A 24245-2022")</f>
        <v/>
      </c>
      <c r="Y154">
        <f>HYPERLINK("https://klasma.github.io/Logging_0980/tillsynsmail/A 24245-2022 tillsynsbegäran mail.docx", "A 24245-2022")</f>
        <v/>
      </c>
    </row>
    <row r="155" ht="15" customHeight="1">
      <c r="A155" t="inlineStr">
        <is>
          <t>A 62552-2022</t>
        </is>
      </c>
      <c r="B155" s="1" t="n">
        <v>44924</v>
      </c>
      <c r="C155" s="1" t="n">
        <v>45928</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13939-2021</t>
        </is>
      </c>
      <c r="B156" s="1" t="n">
        <v>44277</v>
      </c>
      <c r="C156" s="1" t="n">
        <v>45928</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44088-2022</t>
        </is>
      </c>
      <c r="B157" s="1" t="n">
        <v>44839</v>
      </c>
      <c r="C157" s="1" t="n">
        <v>45928</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49847-2023</t>
        </is>
      </c>
      <c r="B158" s="1" t="n">
        <v>45212</v>
      </c>
      <c r="C158" s="1" t="n">
        <v>45928</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45928</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44308-2021</t>
        </is>
      </c>
      <c r="B160" s="1" t="n">
        <v>44434</v>
      </c>
      <c r="C160" s="1" t="n">
        <v>45928</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12324-2025</t>
        </is>
      </c>
      <c r="B161" s="1" t="n">
        <v>45730</v>
      </c>
      <c r="C161" s="1" t="n">
        <v>45928</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447-2023</t>
        </is>
      </c>
      <c r="B162" s="1" t="n">
        <v>44929</v>
      </c>
      <c r="C162" s="1" t="n">
        <v>45928</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37591-2023</t>
        </is>
      </c>
      <c r="B163" s="1" t="n">
        <v>45159</v>
      </c>
      <c r="C163" s="1" t="n">
        <v>45928</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21466-2025</t>
        </is>
      </c>
      <c r="B164" s="1" t="n">
        <v>45782</v>
      </c>
      <c r="C164" s="1" t="n">
        <v>45928</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947-2023</t>
        </is>
      </c>
      <c r="B165" s="1" t="n">
        <v>44934</v>
      </c>
      <c r="C165" s="1" t="n">
        <v>45928</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45928</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45928</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10440-2024</t>
        </is>
      </c>
      <c r="B168" s="1" t="n">
        <v>45366.32818287037</v>
      </c>
      <c r="C168" s="1" t="n">
        <v>45928</v>
      </c>
      <c r="D168" t="inlineStr">
        <is>
          <t>GOTLANDS LÄN</t>
        </is>
      </c>
      <c r="E168" t="inlineStr">
        <is>
          <t>GOTLAND</t>
        </is>
      </c>
      <c r="G168" t="n">
        <v>2.5</v>
      </c>
      <c r="H168" t="n">
        <v>1</v>
      </c>
      <c r="I168" t="n">
        <v>0</v>
      </c>
      <c r="J168" t="n">
        <v>1</v>
      </c>
      <c r="K168" t="n">
        <v>0</v>
      </c>
      <c r="L168" t="n">
        <v>0</v>
      </c>
      <c r="M168" t="n">
        <v>0</v>
      </c>
      <c r="N168" t="n">
        <v>0</v>
      </c>
      <c r="O168" t="n">
        <v>1</v>
      </c>
      <c r="P168" t="n">
        <v>0</v>
      </c>
      <c r="Q168" t="n">
        <v>1</v>
      </c>
      <c r="R168" s="2" t="inlineStr">
        <is>
          <t>Mindre hackspett</t>
        </is>
      </c>
      <c r="S168">
        <f>HYPERLINK("https://klasma.github.io/Logging_0980/artfynd/A 10440-2024 artfynd.xlsx", "A 10440-2024")</f>
        <v/>
      </c>
      <c r="T168">
        <f>HYPERLINK("https://klasma.github.io/Logging_0980/kartor/A 10440-2024 karta.png", "A 10440-2024")</f>
        <v/>
      </c>
      <c r="V168">
        <f>HYPERLINK("https://klasma.github.io/Logging_0980/klagomål/A 10440-2024 FSC-klagomål.docx", "A 10440-2024")</f>
        <v/>
      </c>
      <c r="W168">
        <f>HYPERLINK("https://klasma.github.io/Logging_0980/klagomålsmail/A 10440-2024 FSC-klagomål mail.docx", "A 10440-2024")</f>
        <v/>
      </c>
      <c r="X168">
        <f>HYPERLINK("https://klasma.github.io/Logging_0980/tillsyn/A 10440-2024 tillsynsbegäran.docx", "A 10440-2024")</f>
        <v/>
      </c>
      <c r="Y168">
        <f>HYPERLINK("https://klasma.github.io/Logging_0980/tillsynsmail/A 10440-2024 tillsynsbegäran mail.docx", "A 10440-2024")</f>
        <v/>
      </c>
      <c r="Z168">
        <f>HYPERLINK("https://klasma.github.io/Logging_0980/fåglar/A 10440-2024 prioriterade fågelarter.docx", "A 10440-2024")</f>
        <v/>
      </c>
    </row>
    <row r="169" ht="15" customHeight="1">
      <c r="A169" t="inlineStr">
        <is>
          <t>A 64700-2021</t>
        </is>
      </c>
      <c r="B169" s="1" t="n">
        <v>44511</v>
      </c>
      <c r="C169" s="1" t="n">
        <v>45928</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14915-2025</t>
        </is>
      </c>
      <c r="B170" s="1" t="n">
        <v>45743.53121527778</v>
      </c>
      <c r="C170" s="1" t="n">
        <v>45928</v>
      </c>
      <c r="D170" t="inlineStr">
        <is>
          <t>GOTLANDS LÄN</t>
        </is>
      </c>
      <c r="E170" t="inlineStr">
        <is>
          <t>GOTLAND</t>
        </is>
      </c>
      <c r="G170" t="n">
        <v>5.9</v>
      </c>
      <c r="H170" t="n">
        <v>0</v>
      </c>
      <c r="I170" t="n">
        <v>0</v>
      </c>
      <c r="J170" t="n">
        <v>1</v>
      </c>
      <c r="K170" t="n">
        <v>0</v>
      </c>
      <c r="L170" t="n">
        <v>0</v>
      </c>
      <c r="M170" t="n">
        <v>0</v>
      </c>
      <c r="N170" t="n">
        <v>0</v>
      </c>
      <c r="O170" t="n">
        <v>1</v>
      </c>
      <c r="P170" t="n">
        <v>0</v>
      </c>
      <c r="Q170" t="n">
        <v>1</v>
      </c>
      <c r="R170" s="2" t="inlineStr">
        <is>
          <t>Igelkott</t>
        </is>
      </c>
      <c r="S170">
        <f>HYPERLINK("https://klasma.github.io/Logging_0980/artfynd/A 14915-2025 artfynd.xlsx", "A 14915-2025")</f>
        <v/>
      </c>
      <c r="T170">
        <f>HYPERLINK("https://klasma.github.io/Logging_0980/kartor/A 14915-2025 karta.png", "A 14915-2025")</f>
        <v/>
      </c>
      <c r="V170">
        <f>HYPERLINK("https://klasma.github.io/Logging_0980/klagomål/A 14915-2025 FSC-klagomål.docx", "A 14915-2025")</f>
        <v/>
      </c>
      <c r="W170">
        <f>HYPERLINK("https://klasma.github.io/Logging_0980/klagomålsmail/A 14915-2025 FSC-klagomål mail.docx", "A 14915-2025")</f>
        <v/>
      </c>
      <c r="X170">
        <f>HYPERLINK("https://klasma.github.io/Logging_0980/tillsyn/A 14915-2025 tillsynsbegäran.docx", "A 14915-2025")</f>
        <v/>
      </c>
      <c r="Y170">
        <f>HYPERLINK("https://klasma.github.io/Logging_0980/tillsynsmail/A 14915-2025 tillsynsbegäran mail.docx", "A 14915-2025")</f>
        <v/>
      </c>
    </row>
    <row r="171" ht="15" customHeight="1">
      <c r="A171" t="inlineStr">
        <is>
          <t>A 27589-2023</t>
        </is>
      </c>
      <c r="B171" s="1" t="n">
        <v>45097</v>
      </c>
      <c r="C171" s="1" t="n">
        <v>45928</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45928</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45928</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45928</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26461-2025</t>
        </is>
      </c>
      <c r="B175" s="1" t="n">
        <v>45807.43337962963</v>
      </c>
      <c r="C175" s="1" t="n">
        <v>45928</v>
      </c>
      <c r="D175" t="inlineStr">
        <is>
          <t>GOTLANDS LÄN</t>
        </is>
      </c>
      <c r="E175" t="inlineStr">
        <is>
          <t>GOTLAND</t>
        </is>
      </c>
      <c r="G175" t="n">
        <v>4.1</v>
      </c>
      <c r="H175" t="n">
        <v>0</v>
      </c>
      <c r="I175" t="n">
        <v>0</v>
      </c>
      <c r="J175" t="n">
        <v>0</v>
      </c>
      <c r="K175" t="n">
        <v>1</v>
      </c>
      <c r="L175" t="n">
        <v>0</v>
      </c>
      <c r="M175" t="n">
        <v>0</v>
      </c>
      <c r="N175" t="n">
        <v>0</v>
      </c>
      <c r="O175" t="n">
        <v>1</v>
      </c>
      <c r="P175" t="n">
        <v>1</v>
      </c>
      <c r="Q175" t="n">
        <v>1</v>
      </c>
      <c r="R175" s="2" t="inlineStr">
        <is>
          <t>Gotlandsmåra</t>
        </is>
      </c>
      <c r="S175">
        <f>HYPERLINK("https://klasma.github.io/Logging_0980/artfynd/A 26461-2025 artfynd.xlsx", "A 26461-2025")</f>
        <v/>
      </c>
      <c r="T175">
        <f>HYPERLINK("https://klasma.github.io/Logging_0980/kartor/A 26461-2025 karta.png", "A 26461-2025")</f>
        <v/>
      </c>
      <c r="V175">
        <f>HYPERLINK("https://klasma.github.io/Logging_0980/klagomål/A 26461-2025 FSC-klagomål.docx", "A 26461-2025")</f>
        <v/>
      </c>
      <c r="W175">
        <f>HYPERLINK("https://klasma.github.io/Logging_0980/klagomålsmail/A 26461-2025 FSC-klagomål mail.docx", "A 26461-2025")</f>
        <v/>
      </c>
      <c r="X175">
        <f>HYPERLINK("https://klasma.github.io/Logging_0980/tillsyn/A 26461-2025 tillsynsbegäran.docx", "A 26461-2025")</f>
        <v/>
      </c>
      <c r="Y175">
        <f>HYPERLINK("https://klasma.github.io/Logging_0980/tillsynsmail/A 26461-2025 tillsynsbegäran mail.docx", "A 26461-2025")</f>
        <v/>
      </c>
    </row>
    <row r="176" ht="15" customHeight="1">
      <c r="A176" t="inlineStr">
        <is>
          <t>A 34142-2024</t>
        </is>
      </c>
      <c r="B176" s="1" t="n">
        <v>45524.36521990741</v>
      </c>
      <c r="C176" s="1" t="n">
        <v>45928</v>
      </c>
      <c r="D176" t="inlineStr">
        <is>
          <t>GOTLANDS LÄN</t>
        </is>
      </c>
      <c r="E176" t="inlineStr">
        <is>
          <t>GOTLAND</t>
        </is>
      </c>
      <c r="G176" t="n">
        <v>6</v>
      </c>
      <c r="H176" t="n">
        <v>0</v>
      </c>
      <c r="I176" t="n">
        <v>0</v>
      </c>
      <c r="J176" t="n">
        <v>1</v>
      </c>
      <c r="K176" t="n">
        <v>0</v>
      </c>
      <c r="L176" t="n">
        <v>0</v>
      </c>
      <c r="M176" t="n">
        <v>0</v>
      </c>
      <c r="N176" t="n">
        <v>0</v>
      </c>
      <c r="O176" t="n">
        <v>1</v>
      </c>
      <c r="P176" t="n">
        <v>0</v>
      </c>
      <c r="Q176" t="n">
        <v>1</v>
      </c>
      <c r="R176" s="2" t="inlineStr">
        <is>
          <t>Igelkott</t>
        </is>
      </c>
      <c r="S176">
        <f>HYPERLINK("https://klasma.github.io/Logging_0980/artfynd/A 34142-2024 artfynd.xlsx", "A 34142-2024")</f>
        <v/>
      </c>
      <c r="T176">
        <f>HYPERLINK("https://klasma.github.io/Logging_0980/kartor/A 34142-2024 karta.png", "A 34142-2024")</f>
        <v/>
      </c>
      <c r="V176">
        <f>HYPERLINK("https://klasma.github.io/Logging_0980/klagomål/A 34142-2024 FSC-klagomål.docx", "A 34142-2024")</f>
        <v/>
      </c>
      <c r="W176">
        <f>HYPERLINK("https://klasma.github.io/Logging_0980/klagomålsmail/A 34142-2024 FSC-klagomål mail.docx", "A 34142-2024")</f>
        <v/>
      </c>
      <c r="X176">
        <f>HYPERLINK("https://klasma.github.io/Logging_0980/tillsyn/A 34142-2024 tillsynsbegäran.docx", "A 34142-2024")</f>
        <v/>
      </c>
      <c r="Y176">
        <f>HYPERLINK("https://klasma.github.io/Logging_0980/tillsynsmail/A 34142-2024 tillsynsbegäran mail.docx", "A 34142-2024")</f>
        <v/>
      </c>
    </row>
    <row r="177" ht="15" customHeight="1">
      <c r="A177" t="inlineStr">
        <is>
          <t>A 6303-2024</t>
        </is>
      </c>
      <c r="B177" s="1" t="n">
        <v>45338.35376157407</v>
      </c>
      <c r="C177" s="1" t="n">
        <v>45928</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34141-2024</t>
        </is>
      </c>
      <c r="B178" s="1" t="n">
        <v>45524.36229166666</v>
      </c>
      <c r="C178" s="1" t="n">
        <v>45928</v>
      </c>
      <c r="D178" t="inlineStr">
        <is>
          <t>GOTLANDS LÄN</t>
        </is>
      </c>
      <c r="E178" t="inlineStr">
        <is>
          <t>GOTLAND</t>
        </is>
      </c>
      <c r="G178" t="n">
        <v>0.9</v>
      </c>
      <c r="H178" t="n">
        <v>0</v>
      </c>
      <c r="I178" t="n">
        <v>1</v>
      </c>
      <c r="J178" t="n">
        <v>0</v>
      </c>
      <c r="K178" t="n">
        <v>0</v>
      </c>
      <c r="L178" t="n">
        <v>0</v>
      </c>
      <c r="M178" t="n">
        <v>0</v>
      </c>
      <c r="N178" t="n">
        <v>0</v>
      </c>
      <c r="O178" t="n">
        <v>0</v>
      </c>
      <c r="P178" t="n">
        <v>0</v>
      </c>
      <c r="Q178" t="n">
        <v>1</v>
      </c>
      <c r="R178" s="2" t="inlineStr">
        <is>
          <t>Strävlosta</t>
        </is>
      </c>
      <c r="S178">
        <f>HYPERLINK("https://klasma.github.io/Logging_0980/artfynd/A 34141-2024 artfynd.xlsx", "A 34141-2024")</f>
        <v/>
      </c>
      <c r="T178">
        <f>HYPERLINK("https://klasma.github.io/Logging_0980/kartor/A 34141-2024 karta.png", "A 34141-2024")</f>
        <v/>
      </c>
      <c r="V178">
        <f>HYPERLINK("https://klasma.github.io/Logging_0980/klagomål/A 34141-2024 FSC-klagomål.docx", "A 34141-2024")</f>
        <v/>
      </c>
      <c r="W178">
        <f>HYPERLINK("https://klasma.github.io/Logging_0980/klagomålsmail/A 34141-2024 FSC-klagomål mail.docx", "A 34141-2024")</f>
        <v/>
      </c>
      <c r="X178">
        <f>HYPERLINK("https://klasma.github.io/Logging_0980/tillsyn/A 34141-2024 tillsynsbegäran.docx", "A 34141-2024")</f>
        <v/>
      </c>
      <c r="Y178">
        <f>HYPERLINK("https://klasma.github.io/Logging_0980/tillsynsmail/A 34141-2024 tillsynsbegäran mail.docx", "A 34141-2024")</f>
        <v/>
      </c>
    </row>
    <row r="179" ht="15" customHeight="1">
      <c r="A179" t="inlineStr">
        <is>
          <t>A 9862-2024</t>
        </is>
      </c>
      <c r="B179" s="1" t="n">
        <v>45363</v>
      </c>
      <c r="C179" s="1" t="n">
        <v>45928</v>
      </c>
      <c r="D179" t="inlineStr">
        <is>
          <t>GOTLANDS LÄN</t>
        </is>
      </c>
      <c r="E179" t="inlineStr">
        <is>
          <t>GOTLAND</t>
        </is>
      </c>
      <c r="G179" t="n">
        <v>3.5</v>
      </c>
      <c r="H179" t="n">
        <v>1</v>
      </c>
      <c r="I179" t="n">
        <v>0</v>
      </c>
      <c r="J179" t="n">
        <v>0</v>
      </c>
      <c r="K179" t="n">
        <v>0</v>
      </c>
      <c r="L179" t="n">
        <v>0</v>
      </c>
      <c r="M179" t="n">
        <v>0</v>
      </c>
      <c r="N179" t="n">
        <v>0</v>
      </c>
      <c r="O179" t="n">
        <v>0</v>
      </c>
      <c r="P179" t="n">
        <v>0</v>
      </c>
      <c r="Q179" t="n">
        <v>1</v>
      </c>
      <c r="R179" s="2" t="inlineStr">
        <is>
          <t>Nattviol</t>
        </is>
      </c>
      <c r="S179">
        <f>HYPERLINK("https://klasma.github.io/Logging_0980/artfynd/A 9862-2024 artfynd.xlsx", "A 9862-2024")</f>
        <v/>
      </c>
      <c r="T179">
        <f>HYPERLINK("https://klasma.github.io/Logging_0980/kartor/A 9862-2024 karta.png", "A 9862-2024")</f>
        <v/>
      </c>
      <c r="V179">
        <f>HYPERLINK("https://klasma.github.io/Logging_0980/klagomål/A 9862-2024 FSC-klagomål.docx", "A 9862-2024")</f>
        <v/>
      </c>
      <c r="W179">
        <f>HYPERLINK("https://klasma.github.io/Logging_0980/klagomålsmail/A 9862-2024 FSC-klagomål mail.docx", "A 9862-2024")</f>
        <v/>
      </c>
      <c r="X179">
        <f>HYPERLINK("https://klasma.github.io/Logging_0980/tillsyn/A 9862-2024 tillsynsbegäran.docx", "A 9862-2024")</f>
        <v/>
      </c>
      <c r="Y179">
        <f>HYPERLINK("https://klasma.github.io/Logging_0980/tillsynsmail/A 9862-2024 tillsynsbegäran mail.docx", "A 9862-2024")</f>
        <v/>
      </c>
    </row>
    <row r="180" ht="15" customHeight="1">
      <c r="A180" t="inlineStr">
        <is>
          <t>A 34809-2024</t>
        </is>
      </c>
      <c r="B180" s="1" t="n">
        <v>45526</v>
      </c>
      <c r="C180" s="1" t="n">
        <v>45928</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45928</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8725-2025</t>
        </is>
      </c>
      <c r="B182" s="1" t="n">
        <v>45712</v>
      </c>
      <c r="C182" s="1" t="n">
        <v>45928</v>
      </c>
      <c r="D182" t="inlineStr">
        <is>
          <t>GOTLANDS LÄN</t>
        </is>
      </c>
      <c r="E182" t="inlineStr">
        <is>
          <t>GOTLAND</t>
        </is>
      </c>
      <c r="G182" t="n">
        <v>4.4</v>
      </c>
      <c r="H182" t="n">
        <v>1</v>
      </c>
      <c r="I182" t="n">
        <v>0</v>
      </c>
      <c r="J182" t="n">
        <v>1</v>
      </c>
      <c r="K182" t="n">
        <v>0</v>
      </c>
      <c r="L182" t="n">
        <v>0</v>
      </c>
      <c r="M182" t="n">
        <v>0</v>
      </c>
      <c r="N182" t="n">
        <v>0</v>
      </c>
      <c r="O182" t="n">
        <v>1</v>
      </c>
      <c r="P182" t="n">
        <v>0</v>
      </c>
      <c r="Q182" t="n">
        <v>1</v>
      </c>
      <c r="R182" s="2" t="inlineStr">
        <is>
          <t>Spillkråka</t>
        </is>
      </c>
      <c r="S182">
        <f>HYPERLINK("https://klasma.github.io/Logging_0980/artfynd/A 8725-2025 artfynd.xlsx", "A 8725-2025")</f>
        <v/>
      </c>
      <c r="T182">
        <f>HYPERLINK("https://klasma.github.io/Logging_0980/kartor/A 8725-2025 karta.png", "A 8725-2025")</f>
        <v/>
      </c>
      <c r="V182">
        <f>HYPERLINK("https://klasma.github.io/Logging_0980/klagomål/A 8725-2025 FSC-klagomål.docx", "A 8725-2025")</f>
        <v/>
      </c>
      <c r="W182">
        <f>HYPERLINK("https://klasma.github.io/Logging_0980/klagomålsmail/A 8725-2025 FSC-klagomål mail.docx", "A 8725-2025")</f>
        <v/>
      </c>
      <c r="X182">
        <f>HYPERLINK("https://klasma.github.io/Logging_0980/tillsyn/A 8725-2025 tillsynsbegäran.docx", "A 8725-2025")</f>
        <v/>
      </c>
      <c r="Y182">
        <f>HYPERLINK("https://klasma.github.io/Logging_0980/tillsynsmail/A 8725-2025 tillsynsbegäran mail.docx", "A 8725-2025")</f>
        <v/>
      </c>
      <c r="Z182">
        <f>HYPERLINK("https://klasma.github.io/Logging_0980/fåglar/A 8725-2025 prioriterade fågelarter.docx", "A 8725-2025")</f>
        <v/>
      </c>
    </row>
    <row r="183" ht="15" customHeight="1">
      <c r="A183" t="inlineStr">
        <is>
          <t>A 19901-2021</t>
        </is>
      </c>
      <c r="B183" s="1" t="n">
        <v>44312</v>
      </c>
      <c r="C183" s="1" t="n">
        <v>45928</v>
      </c>
      <c r="D183" t="inlineStr">
        <is>
          <t>GOTLANDS LÄN</t>
        </is>
      </c>
      <c r="E183" t="inlineStr">
        <is>
          <t>GOTLAND</t>
        </is>
      </c>
      <c r="G183" t="n">
        <v>4.5</v>
      </c>
      <c r="H183" t="n">
        <v>0</v>
      </c>
      <c r="I183" t="n">
        <v>0</v>
      </c>
      <c r="J183" t="n">
        <v>0</v>
      </c>
      <c r="K183" t="n">
        <v>0</v>
      </c>
      <c r="L183" t="n">
        <v>0</v>
      </c>
      <c r="M183" t="n">
        <v>0</v>
      </c>
      <c r="N183" t="n">
        <v>0</v>
      </c>
      <c r="O183" t="n">
        <v>0</v>
      </c>
      <c r="P183" t="n">
        <v>0</v>
      </c>
      <c r="Q183" t="n">
        <v>0</v>
      </c>
      <c r="R183" s="2" t="inlineStr"/>
    </row>
    <row r="184" ht="15" customHeight="1">
      <c r="A184" t="inlineStr">
        <is>
          <t>A 18038-2021</t>
        </is>
      </c>
      <c r="B184" s="1" t="n">
        <v>44302</v>
      </c>
      <c r="C184" s="1" t="n">
        <v>45928</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36313-2021</t>
        </is>
      </c>
      <c r="B185" s="1" t="n">
        <v>44390</v>
      </c>
      <c r="C185" s="1" t="n">
        <v>45928</v>
      </c>
      <c r="D185" t="inlineStr">
        <is>
          <t>GOTLANDS LÄN</t>
        </is>
      </c>
      <c r="E185" t="inlineStr">
        <is>
          <t>GOTLAND</t>
        </is>
      </c>
      <c r="G185" t="n">
        <v>2.2</v>
      </c>
      <c r="H185" t="n">
        <v>0</v>
      </c>
      <c r="I185" t="n">
        <v>0</v>
      </c>
      <c r="J185" t="n">
        <v>0</v>
      </c>
      <c r="K185" t="n">
        <v>0</v>
      </c>
      <c r="L185" t="n">
        <v>0</v>
      </c>
      <c r="M185" t="n">
        <v>0</v>
      </c>
      <c r="N185" t="n">
        <v>0</v>
      </c>
      <c r="O185" t="n">
        <v>0</v>
      </c>
      <c r="P185" t="n">
        <v>0</v>
      </c>
      <c r="Q185" t="n">
        <v>0</v>
      </c>
      <c r="R185" s="2" t="inlineStr"/>
    </row>
    <row r="186" ht="15" customHeight="1">
      <c r="A186" t="inlineStr">
        <is>
          <t>A 31981-2021</t>
        </is>
      </c>
      <c r="B186" s="1" t="n">
        <v>44370</v>
      </c>
      <c r="C186" s="1" t="n">
        <v>45928</v>
      </c>
      <c r="D186" t="inlineStr">
        <is>
          <t>GOTLANDS LÄN</t>
        </is>
      </c>
      <c r="E186" t="inlineStr">
        <is>
          <t>GOTLAND</t>
        </is>
      </c>
      <c r="G186" t="n">
        <v>6.1</v>
      </c>
      <c r="H186" t="n">
        <v>0</v>
      </c>
      <c r="I186" t="n">
        <v>0</v>
      </c>
      <c r="J186" t="n">
        <v>0</v>
      </c>
      <c r="K186" t="n">
        <v>0</v>
      </c>
      <c r="L186" t="n">
        <v>0</v>
      </c>
      <c r="M186" t="n">
        <v>0</v>
      </c>
      <c r="N186" t="n">
        <v>0</v>
      </c>
      <c r="O186" t="n">
        <v>0</v>
      </c>
      <c r="P186" t="n">
        <v>0</v>
      </c>
      <c r="Q186" t="n">
        <v>0</v>
      </c>
      <c r="R186" s="2" t="inlineStr"/>
    </row>
    <row r="187" ht="15" customHeight="1">
      <c r="A187" t="inlineStr">
        <is>
          <t>A 50892-2021</t>
        </is>
      </c>
      <c r="B187" s="1" t="n">
        <v>44459</v>
      </c>
      <c r="C187" s="1" t="n">
        <v>45928</v>
      </c>
      <c r="D187" t="inlineStr">
        <is>
          <t>GOTLANDS LÄN</t>
        </is>
      </c>
      <c r="E187" t="inlineStr">
        <is>
          <t>GOTLAND</t>
        </is>
      </c>
      <c r="G187" t="n">
        <v>0.8</v>
      </c>
      <c r="H187" t="n">
        <v>0</v>
      </c>
      <c r="I187" t="n">
        <v>0</v>
      </c>
      <c r="J187" t="n">
        <v>0</v>
      </c>
      <c r="K187" t="n">
        <v>0</v>
      </c>
      <c r="L187" t="n">
        <v>0</v>
      </c>
      <c r="M187" t="n">
        <v>0</v>
      </c>
      <c r="N187" t="n">
        <v>0</v>
      </c>
      <c r="O187" t="n">
        <v>0</v>
      </c>
      <c r="P187" t="n">
        <v>0</v>
      </c>
      <c r="Q187" t="n">
        <v>0</v>
      </c>
      <c r="R187" s="2" t="inlineStr"/>
    </row>
    <row r="188" ht="15" customHeight="1">
      <c r="A188" t="inlineStr">
        <is>
          <t>A 59052-2020</t>
        </is>
      </c>
      <c r="B188" s="1" t="n">
        <v>44147</v>
      </c>
      <c r="C188" s="1" t="n">
        <v>45928</v>
      </c>
      <c r="D188" t="inlineStr">
        <is>
          <t>GOTLANDS LÄN</t>
        </is>
      </c>
      <c r="E188" t="inlineStr">
        <is>
          <t>GOTLAND</t>
        </is>
      </c>
      <c r="G188" t="n">
        <v>3.4</v>
      </c>
      <c r="H188" t="n">
        <v>0</v>
      </c>
      <c r="I188" t="n">
        <v>0</v>
      </c>
      <c r="J188" t="n">
        <v>0</v>
      </c>
      <c r="K188" t="n">
        <v>0</v>
      </c>
      <c r="L188" t="n">
        <v>0</v>
      </c>
      <c r="M188" t="n">
        <v>0</v>
      </c>
      <c r="N188" t="n">
        <v>0</v>
      </c>
      <c r="O188" t="n">
        <v>0</v>
      </c>
      <c r="P188" t="n">
        <v>0</v>
      </c>
      <c r="Q188" t="n">
        <v>0</v>
      </c>
      <c r="R188" s="2" t="inlineStr"/>
    </row>
    <row r="189" ht="15" customHeight="1">
      <c r="A189" t="inlineStr">
        <is>
          <t>A 17585-2021</t>
        </is>
      </c>
      <c r="B189" s="1" t="n">
        <v>44299</v>
      </c>
      <c r="C189" s="1" t="n">
        <v>45928</v>
      </c>
      <c r="D189" t="inlineStr">
        <is>
          <t>GOTLANDS LÄN</t>
        </is>
      </c>
      <c r="E189" t="inlineStr">
        <is>
          <t>GOTLAND</t>
        </is>
      </c>
      <c r="G189" t="n">
        <v>5.4</v>
      </c>
      <c r="H189" t="n">
        <v>0</v>
      </c>
      <c r="I189" t="n">
        <v>0</v>
      </c>
      <c r="J189" t="n">
        <v>0</v>
      </c>
      <c r="K189" t="n">
        <v>0</v>
      </c>
      <c r="L189" t="n">
        <v>0</v>
      </c>
      <c r="M189" t="n">
        <v>0</v>
      </c>
      <c r="N189" t="n">
        <v>0</v>
      </c>
      <c r="O189" t="n">
        <v>0</v>
      </c>
      <c r="P189" t="n">
        <v>0</v>
      </c>
      <c r="Q189" t="n">
        <v>0</v>
      </c>
      <c r="R189" s="2" t="inlineStr"/>
    </row>
    <row r="190" ht="15" customHeight="1">
      <c r="A190" t="inlineStr">
        <is>
          <t>A 17199-2021</t>
        </is>
      </c>
      <c r="B190" s="1" t="n">
        <v>44298</v>
      </c>
      <c r="C190" s="1" t="n">
        <v>45928</v>
      </c>
      <c r="D190" t="inlineStr">
        <is>
          <t>GOTLANDS LÄN</t>
        </is>
      </c>
      <c r="E190" t="inlineStr">
        <is>
          <t>GOTLAND</t>
        </is>
      </c>
      <c r="G190" t="n">
        <v>9.6</v>
      </c>
      <c r="H190" t="n">
        <v>0</v>
      </c>
      <c r="I190" t="n">
        <v>0</v>
      </c>
      <c r="J190" t="n">
        <v>0</v>
      </c>
      <c r="K190" t="n">
        <v>0</v>
      </c>
      <c r="L190" t="n">
        <v>0</v>
      </c>
      <c r="M190" t="n">
        <v>0</v>
      </c>
      <c r="N190" t="n">
        <v>0</v>
      </c>
      <c r="O190" t="n">
        <v>0</v>
      </c>
      <c r="P190" t="n">
        <v>0</v>
      </c>
      <c r="Q190" t="n">
        <v>0</v>
      </c>
      <c r="R190" s="2" t="inlineStr"/>
    </row>
    <row r="191" ht="15" customHeight="1">
      <c r="A191" t="inlineStr">
        <is>
          <t>A 11400-2021</t>
        </is>
      </c>
      <c r="B191" s="1" t="n">
        <v>44263</v>
      </c>
      <c r="C191" s="1" t="n">
        <v>45928</v>
      </c>
      <c r="D191" t="inlineStr">
        <is>
          <t>GOTLANDS LÄN</t>
        </is>
      </c>
      <c r="E191" t="inlineStr">
        <is>
          <t>GOTLAND</t>
        </is>
      </c>
      <c r="G191" t="n">
        <v>5.6</v>
      </c>
      <c r="H191" t="n">
        <v>0</v>
      </c>
      <c r="I191" t="n">
        <v>0</v>
      </c>
      <c r="J191" t="n">
        <v>0</v>
      </c>
      <c r="K191" t="n">
        <v>0</v>
      </c>
      <c r="L191" t="n">
        <v>0</v>
      </c>
      <c r="M191" t="n">
        <v>0</v>
      </c>
      <c r="N191" t="n">
        <v>0</v>
      </c>
      <c r="O191" t="n">
        <v>0</v>
      </c>
      <c r="P191" t="n">
        <v>0</v>
      </c>
      <c r="Q191" t="n">
        <v>0</v>
      </c>
      <c r="R191" s="2" t="inlineStr"/>
    </row>
    <row r="192" ht="15" customHeight="1">
      <c r="A192" t="inlineStr">
        <is>
          <t>A 8329-2021</t>
        </is>
      </c>
      <c r="B192" s="1" t="n">
        <v>44244</v>
      </c>
      <c r="C192" s="1" t="n">
        <v>45928</v>
      </c>
      <c r="D192" t="inlineStr">
        <is>
          <t>GOTLANDS LÄN</t>
        </is>
      </c>
      <c r="E192" t="inlineStr">
        <is>
          <t>GOTLAND</t>
        </is>
      </c>
      <c r="F192" t="inlineStr">
        <is>
          <t>Kyrkan</t>
        </is>
      </c>
      <c r="G192" t="n">
        <v>4.5</v>
      </c>
      <c r="H192" t="n">
        <v>0</v>
      </c>
      <c r="I192" t="n">
        <v>0</v>
      </c>
      <c r="J192" t="n">
        <v>0</v>
      </c>
      <c r="K192" t="n">
        <v>0</v>
      </c>
      <c r="L192" t="n">
        <v>0</v>
      </c>
      <c r="M192" t="n">
        <v>0</v>
      </c>
      <c r="N192" t="n">
        <v>0</v>
      </c>
      <c r="O192" t="n">
        <v>0</v>
      </c>
      <c r="P192" t="n">
        <v>0</v>
      </c>
      <c r="Q192" t="n">
        <v>0</v>
      </c>
      <c r="R192" s="2" t="inlineStr"/>
    </row>
    <row r="193" ht="15" customHeight="1">
      <c r="A193" t="inlineStr">
        <is>
          <t>A 53665-2020</t>
        </is>
      </c>
      <c r="B193" s="1" t="n">
        <v>44124.55001157407</v>
      </c>
      <c r="C193" s="1" t="n">
        <v>45928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45928</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45928</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45928</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45928</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45928</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59630-2020</t>
        </is>
      </c>
      <c r="B199" s="1" t="n">
        <v>44150</v>
      </c>
      <c r="C199" s="1" t="n">
        <v>45928</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45928</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45928</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45928</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60356-2020</t>
        </is>
      </c>
      <c r="B203" s="1" t="n">
        <v>44152.71583333334</v>
      </c>
      <c r="C203" s="1" t="n">
        <v>45928</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45928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45928</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45928</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45928</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45928</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45928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45928</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45928</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45928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45928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45928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45928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45928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45928</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45928</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45928</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45928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3271-2021</t>
        </is>
      </c>
      <c r="B221" s="1" t="n">
        <v>44217</v>
      </c>
      <c r="C221" s="1" t="n">
        <v>45928</v>
      </c>
      <c r="D221" t="inlineStr">
        <is>
          <t>GOTLANDS LÄN</t>
        </is>
      </c>
      <c r="E221" t="inlineStr">
        <is>
          <t>GOTLAND</t>
        </is>
      </c>
      <c r="G221" t="n">
        <v>0.7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45928</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45928</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45928</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45928</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45928</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45928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45928</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45928</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45928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45928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22495-2022</t>
        </is>
      </c>
      <c r="B232" s="1" t="n">
        <v>44713.6452199074</v>
      </c>
      <c r="C232" s="1" t="n">
        <v>45928</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45928</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45928</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45928</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37037-2021</t>
        </is>
      </c>
      <c r="B236" s="1" t="n">
        <v>44393.84688657407</v>
      </c>
      <c r="C236" s="1" t="n">
        <v>45928</v>
      </c>
      <c r="D236" t="inlineStr">
        <is>
          <t>GOTLANDS LÄN</t>
        </is>
      </c>
      <c r="E236" t="inlineStr">
        <is>
          <t>GOTLAND</t>
        </is>
      </c>
      <c r="G236" t="n">
        <v>10.2</v>
      </c>
      <c r="H236" t="n">
        <v>0</v>
      </c>
      <c r="I236" t="n">
        <v>0</v>
      </c>
      <c r="J236" t="n">
        <v>0</v>
      </c>
      <c r="K236" t="n">
        <v>0</v>
      </c>
      <c r="L236" t="n">
        <v>0</v>
      </c>
      <c r="M236" t="n">
        <v>0</v>
      </c>
      <c r="N236" t="n">
        <v>0</v>
      </c>
      <c r="O236" t="n">
        <v>0</v>
      </c>
      <c r="P236" t="n">
        <v>0</v>
      </c>
      <c r="Q236" t="n">
        <v>0</v>
      </c>
      <c r="R236" s="2" t="inlineStr"/>
    </row>
    <row r="237" ht="15" customHeight="1">
      <c r="A237" t="inlineStr">
        <is>
          <t>A 32330-2024</t>
        </is>
      </c>
      <c r="B237" s="1" t="n">
        <v>45512</v>
      </c>
      <c r="C237" s="1" t="n">
        <v>45928</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45928</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14413-2022</t>
        </is>
      </c>
      <c r="B239" s="1" t="n">
        <v>44652</v>
      </c>
      <c r="C239" s="1" t="n">
        <v>45928</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45928</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45928</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45928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45928</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45928</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53225-2022</t>
        </is>
      </c>
      <c r="B245" s="1" t="n">
        <v>44876</v>
      </c>
      <c r="C245" s="1" t="n">
        <v>45928</v>
      </c>
      <c r="D245" t="inlineStr">
        <is>
          <t>GOTLANDS LÄN</t>
        </is>
      </c>
      <c r="E245" t="inlineStr">
        <is>
          <t>GOTLAND</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30055-2021</t>
        </is>
      </c>
      <c r="B246" s="1" t="n">
        <v>44363</v>
      </c>
      <c r="C246" s="1" t="n">
        <v>45928</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65393-2021</t>
        </is>
      </c>
      <c r="B247" s="1" t="n">
        <v>44515</v>
      </c>
      <c r="C247" s="1" t="n">
        <v>45928</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1229-2021</t>
        </is>
      </c>
      <c r="B248" s="1" t="n">
        <v>44208</v>
      </c>
      <c r="C248" s="1" t="n">
        <v>45928</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22031-2024</t>
        </is>
      </c>
      <c r="B249" s="1" t="n">
        <v>45443.60075231481</v>
      </c>
      <c r="C249" s="1" t="n">
        <v>45928</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49314-2024</t>
        </is>
      </c>
      <c r="B250" s="1" t="n">
        <v>45595.55893518519</v>
      </c>
      <c r="C250" s="1" t="n">
        <v>45928</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54074-2022</t>
        </is>
      </c>
      <c r="B251" s="1" t="n">
        <v>44881</v>
      </c>
      <c r="C251" s="1" t="n">
        <v>45928</v>
      </c>
      <c r="D251" t="inlineStr">
        <is>
          <t>GOTLANDS LÄN</t>
        </is>
      </c>
      <c r="E251" t="inlineStr">
        <is>
          <t>GOTLAND</t>
        </is>
      </c>
      <c r="G251" t="n">
        <v>0.9</v>
      </c>
      <c r="H251" t="n">
        <v>0</v>
      </c>
      <c r="I251" t="n">
        <v>0</v>
      </c>
      <c r="J251" t="n">
        <v>0</v>
      </c>
      <c r="K251" t="n">
        <v>0</v>
      </c>
      <c r="L251" t="n">
        <v>0</v>
      </c>
      <c r="M251" t="n">
        <v>0</v>
      </c>
      <c r="N251" t="n">
        <v>0</v>
      </c>
      <c r="O251" t="n">
        <v>0</v>
      </c>
      <c r="P251" t="n">
        <v>0</v>
      </c>
      <c r="Q251" t="n">
        <v>0</v>
      </c>
      <c r="R251" s="2" t="inlineStr"/>
    </row>
    <row r="252" ht="15" customHeight="1">
      <c r="A252" t="inlineStr">
        <is>
          <t>A 62120-2020</t>
        </is>
      </c>
      <c r="B252" s="1" t="n">
        <v>44158</v>
      </c>
      <c r="C252" s="1" t="n">
        <v>45928</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45928</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39849-2025</t>
        </is>
      </c>
      <c r="B254" s="1" t="n">
        <v>45891.58502314815</v>
      </c>
      <c r="C254" s="1" t="n">
        <v>45928</v>
      </c>
      <c r="D254" t="inlineStr">
        <is>
          <t>GOTLANDS LÄN</t>
        </is>
      </c>
      <c r="E254" t="inlineStr">
        <is>
          <t>GOTLAND</t>
        </is>
      </c>
      <c r="G254" t="n">
        <v>6.1</v>
      </c>
      <c r="H254" t="n">
        <v>0</v>
      </c>
      <c r="I254" t="n">
        <v>0</v>
      </c>
      <c r="J254" t="n">
        <v>0</v>
      </c>
      <c r="K254" t="n">
        <v>0</v>
      </c>
      <c r="L254" t="n">
        <v>0</v>
      </c>
      <c r="M254" t="n">
        <v>0</v>
      </c>
      <c r="N254" t="n">
        <v>0</v>
      </c>
      <c r="O254" t="n">
        <v>0</v>
      </c>
      <c r="P254" t="n">
        <v>0</v>
      </c>
      <c r="Q254" t="n">
        <v>0</v>
      </c>
      <c r="R254" s="2" t="inlineStr"/>
    </row>
    <row r="255" ht="15" customHeight="1">
      <c r="A255" t="inlineStr">
        <is>
          <t>A 40103-2025</t>
        </is>
      </c>
      <c r="B255" s="1" t="n">
        <v>45894.4880324074</v>
      </c>
      <c r="C255" s="1" t="n">
        <v>45928</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45928</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45928</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57652-2023</t>
        </is>
      </c>
      <c r="B258" s="1" t="n">
        <v>45246</v>
      </c>
      <c r="C258" s="1" t="n">
        <v>45928</v>
      </c>
      <c r="D258" t="inlineStr">
        <is>
          <t>GOTLANDS LÄN</t>
        </is>
      </c>
      <c r="E258" t="inlineStr">
        <is>
          <t>GOTLAND</t>
        </is>
      </c>
      <c r="G258" t="n">
        <v>7.2</v>
      </c>
      <c r="H258" t="n">
        <v>0</v>
      </c>
      <c r="I258" t="n">
        <v>0</v>
      </c>
      <c r="J258" t="n">
        <v>0</v>
      </c>
      <c r="K258" t="n">
        <v>0</v>
      </c>
      <c r="L258" t="n">
        <v>0</v>
      </c>
      <c r="M258" t="n">
        <v>0</v>
      </c>
      <c r="N258" t="n">
        <v>0</v>
      </c>
      <c r="O258" t="n">
        <v>0</v>
      </c>
      <c r="P258" t="n">
        <v>0</v>
      </c>
      <c r="Q258" t="n">
        <v>0</v>
      </c>
      <c r="R258" s="2" t="inlineStr"/>
    </row>
    <row r="259" ht="15" customHeight="1">
      <c r="A259" t="inlineStr">
        <is>
          <t>A 65249-2023</t>
        </is>
      </c>
      <c r="B259" s="1" t="n">
        <v>45290</v>
      </c>
      <c r="C259" s="1" t="n">
        <v>45928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40372-2025</t>
        </is>
      </c>
      <c r="B260" s="1" t="n">
        <v>45895.5162037037</v>
      </c>
      <c r="C260" s="1" t="n">
        <v>45928</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40373-2025</t>
        </is>
      </c>
      <c r="B261" s="1" t="n">
        <v>45895.51821759259</v>
      </c>
      <c r="C261" s="1" t="n">
        <v>45928</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30104-2025</t>
        </is>
      </c>
      <c r="B262" s="1" t="n">
        <v>45826.68806712963</v>
      </c>
      <c r="C262" s="1" t="n">
        <v>45928</v>
      </c>
      <c r="D262" t="inlineStr">
        <is>
          <t>GOTLANDS LÄN</t>
        </is>
      </c>
      <c r="E262" t="inlineStr">
        <is>
          <t>GOTLAND</t>
        </is>
      </c>
      <c r="G262" t="n">
        <v>15.4</v>
      </c>
      <c r="H262" t="n">
        <v>0</v>
      </c>
      <c r="I262" t="n">
        <v>0</v>
      </c>
      <c r="J262" t="n">
        <v>0</v>
      </c>
      <c r="K262" t="n">
        <v>0</v>
      </c>
      <c r="L262" t="n">
        <v>0</v>
      </c>
      <c r="M262" t="n">
        <v>0</v>
      </c>
      <c r="N262" t="n">
        <v>0</v>
      </c>
      <c r="O262" t="n">
        <v>0</v>
      </c>
      <c r="P262" t="n">
        <v>0</v>
      </c>
      <c r="Q262" t="n">
        <v>0</v>
      </c>
      <c r="R262" s="2" t="inlineStr"/>
    </row>
    <row r="263" ht="15" customHeight="1">
      <c r="A263" t="inlineStr">
        <is>
          <t>A 2035-2025</t>
        </is>
      </c>
      <c r="B263" s="1" t="n">
        <v>45672</v>
      </c>
      <c r="C263" s="1" t="n">
        <v>45928</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40499-2025</t>
        </is>
      </c>
      <c r="B264" s="1" t="n">
        <v>45896.32517361111</v>
      </c>
      <c r="C264" s="1" t="n">
        <v>45928</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35290-2025</t>
        </is>
      </c>
      <c r="B265" s="1" t="n">
        <v>45854.38502314815</v>
      </c>
      <c r="C265" s="1" t="n">
        <v>45928</v>
      </c>
      <c r="D265" t="inlineStr">
        <is>
          <t>GOTLANDS LÄN</t>
        </is>
      </c>
      <c r="E265" t="inlineStr">
        <is>
          <t>GOTLAND</t>
        </is>
      </c>
      <c r="G265" t="n">
        <v>5.4</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45928</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45928</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32669-2024</t>
        </is>
      </c>
      <c r="B268" s="1" t="n">
        <v>45514</v>
      </c>
      <c r="C268" s="1" t="n">
        <v>45928</v>
      </c>
      <c r="D268" t="inlineStr">
        <is>
          <t>GOTLANDS LÄN</t>
        </is>
      </c>
      <c r="E268" t="inlineStr">
        <is>
          <t>GOTLAND</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49315-2024</t>
        </is>
      </c>
      <c r="B269" s="1" t="n">
        <v>45595</v>
      </c>
      <c r="C269" s="1" t="n">
        <v>45928</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45106-2024</t>
        </is>
      </c>
      <c r="B270" s="1" t="n">
        <v>45575</v>
      </c>
      <c r="C270" s="1" t="n">
        <v>45928</v>
      </c>
      <c r="D270" t="inlineStr">
        <is>
          <t>GOTLANDS LÄN</t>
        </is>
      </c>
      <c r="E270" t="inlineStr">
        <is>
          <t>GOTLAND</t>
        </is>
      </c>
      <c r="G270" t="n">
        <v>10</v>
      </c>
      <c r="H270" t="n">
        <v>0</v>
      </c>
      <c r="I270" t="n">
        <v>0</v>
      </c>
      <c r="J270" t="n">
        <v>0</v>
      </c>
      <c r="K270" t="n">
        <v>0</v>
      </c>
      <c r="L270" t="n">
        <v>0</v>
      </c>
      <c r="M270" t="n">
        <v>0</v>
      </c>
      <c r="N270" t="n">
        <v>0</v>
      </c>
      <c r="O270" t="n">
        <v>0</v>
      </c>
      <c r="P270" t="n">
        <v>0</v>
      </c>
      <c r="Q270" t="n">
        <v>0</v>
      </c>
      <c r="R270" s="2" t="inlineStr"/>
    </row>
    <row r="271" ht="15" customHeight="1">
      <c r="A271" t="inlineStr">
        <is>
          <t>A 45112-2024</t>
        </is>
      </c>
      <c r="B271" s="1" t="n">
        <v>45575</v>
      </c>
      <c r="C271" s="1" t="n">
        <v>45928</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48503-2023</t>
        </is>
      </c>
      <c r="B272" s="1" t="n">
        <v>45207</v>
      </c>
      <c r="C272" s="1" t="n">
        <v>45928</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35537-2025</t>
        </is>
      </c>
      <c r="B273" s="1" t="n">
        <v>45856</v>
      </c>
      <c r="C273" s="1" t="n">
        <v>45928</v>
      </c>
      <c r="D273" t="inlineStr">
        <is>
          <t>GOTLANDS LÄN</t>
        </is>
      </c>
      <c r="E273" t="inlineStr">
        <is>
          <t>GOTLAND</t>
        </is>
      </c>
      <c r="G273" t="n">
        <v>16.8</v>
      </c>
      <c r="H273" t="n">
        <v>0</v>
      </c>
      <c r="I273" t="n">
        <v>0</v>
      </c>
      <c r="J273" t="n">
        <v>0</v>
      </c>
      <c r="K273" t="n">
        <v>0</v>
      </c>
      <c r="L273" t="n">
        <v>0</v>
      </c>
      <c r="M273" t="n">
        <v>0</v>
      </c>
      <c r="N273" t="n">
        <v>0</v>
      </c>
      <c r="O273" t="n">
        <v>0</v>
      </c>
      <c r="P273" t="n">
        <v>0</v>
      </c>
      <c r="Q273" t="n">
        <v>0</v>
      </c>
      <c r="R273" s="2" t="inlineStr"/>
    </row>
    <row r="274" ht="15" customHeight="1">
      <c r="A274" t="inlineStr">
        <is>
          <t>A 2676-2023</t>
        </is>
      </c>
      <c r="B274" s="1" t="n">
        <v>44944</v>
      </c>
      <c r="C274" s="1" t="n">
        <v>45928</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65901-2021</t>
        </is>
      </c>
      <c r="B275" s="1" t="n">
        <v>44516</v>
      </c>
      <c r="C275" s="1" t="n">
        <v>45928</v>
      </c>
      <c r="D275" t="inlineStr">
        <is>
          <t>GOTLANDS LÄN</t>
        </is>
      </c>
      <c r="E275" t="inlineStr">
        <is>
          <t>GOTLAND</t>
        </is>
      </c>
      <c r="G275" t="n">
        <v>4.9</v>
      </c>
      <c r="H275" t="n">
        <v>0</v>
      </c>
      <c r="I275" t="n">
        <v>0</v>
      </c>
      <c r="J275" t="n">
        <v>0</v>
      </c>
      <c r="K275" t="n">
        <v>0</v>
      </c>
      <c r="L275" t="n">
        <v>0</v>
      </c>
      <c r="M275" t="n">
        <v>0</v>
      </c>
      <c r="N275" t="n">
        <v>0</v>
      </c>
      <c r="O275" t="n">
        <v>0</v>
      </c>
      <c r="P275" t="n">
        <v>0</v>
      </c>
      <c r="Q275" t="n">
        <v>0</v>
      </c>
      <c r="R275" s="2" t="inlineStr"/>
    </row>
    <row r="276" ht="15" customHeight="1">
      <c r="A276" t="inlineStr">
        <is>
          <t>A 35550-2025</t>
        </is>
      </c>
      <c r="B276" s="1" t="n">
        <v>45856.49324074074</v>
      </c>
      <c r="C276" s="1" t="n">
        <v>45928</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13910-2025</t>
        </is>
      </c>
      <c r="B277" s="1" t="n">
        <v>45737</v>
      </c>
      <c r="C277" s="1" t="n">
        <v>45928</v>
      </c>
      <c r="D277" t="inlineStr">
        <is>
          <t>GOTLANDS LÄN</t>
        </is>
      </c>
      <c r="E277" t="inlineStr">
        <is>
          <t>GOTLAND</t>
        </is>
      </c>
      <c r="F277" t="inlineStr">
        <is>
          <t>Kommuner</t>
        </is>
      </c>
      <c r="G277" t="n">
        <v>3.2</v>
      </c>
      <c r="H277" t="n">
        <v>0</v>
      </c>
      <c r="I277" t="n">
        <v>0</v>
      </c>
      <c r="J277" t="n">
        <v>0</v>
      </c>
      <c r="K277" t="n">
        <v>0</v>
      </c>
      <c r="L277" t="n">
        <v>0</v>
      </c>
      <c r="M277" t="n">
        <v>0</v>
      </c>
      <c r="N277" t="n">
        <v>0</v>
      </c>
      <c r="O277" t="n">
        <v>0</v>
      </c>
      <c r="P277" t="n">
        <v>0</v>
      </c>
      <c r="Q277" t="n">
        <v>0</v>
      </c>
      <c r="R277" s="2" t="inlineStr"/>
    </row>
    <row r="278" ht="15" customHeight="1">
      <c r="A278" t="inlineStr">
        <is>
          <t>A 44649-2021</t>
        </is>
      </c>
      <c r="B278" s="1" t="n">
        <v>44437</v>
      </c>
      <c r="C278" s="1" t="n">
        <v>45928</v>
      </c>
      <c r="D278" t="inlineStr">
        <is>
          <t>GOTLANDS LÄN</t>
        </is>
      </c>
      <c r="E278" t="inlineStr">
        <is>
          <t>GOTLAND</t>
        </is>
      </c>
      <c r="G278" t="n">
        <v>8.1</v>
      </c>
      <c r="H278" t="n">
        <v>0</v>
      </c>
      <c r="I278" t="n">
        <v>0</v>
      </c>
      <c r="J278" t="n">
        <v>0</v>
      </c>
      <c r="K278" t="n">
        <v>0</v>
      </c>
      <c r="L278" t="n">
        <v>0</v>
      </c>
      <c r="M278" t="n">
        <v>0</v>
      </c>
      <c r="N278" t="n">
        <v>0</v>
      </c>
      <c r="O278" t="n">
        <v>0</v>
      </c>
      <c r="P278" t="n">
        <v>0</v>
      </c>
      <c r="Q278" t="n">
        <v>0</v>
      </c>
      <c r="R278" s="2" t="inlineStr"/>
    </row>
    <row r="279" ht="15" customHeight="1">
      <c r="A279" t="inlineStr">
        <is>
          <t>A 3150-2025</t>
        </is>
      </c>
      <c r="B279" s="1" t="n">
        <v>45679.28974537037</v>
      </c>
      <c r="C279" s="1" t="n">
        <v>45928</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8484-2025</t>
        </is>
      </c>
      <c r="B280" s="1" t="n">
        <v>45709</v>
      </c>
      <c r="C280" s="1" t="n">
        <v>45928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7635-2025</t>
        </is>
      </c>
      <c r="B281" s="1" t="n">
        <v>45705</v>
      </c>
      <c r="C281" s="1" t="n">
        <v>45928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45705.7687962963</v>
      </c>
      <c r="C282" s="1" t="n">
        <v>45928</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45705.77465277778</v>
      </c>
      <c r="C283" s="1" t="n">
        <v>45928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45928</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41551-2025</t>
        </is>
      </c>
      <c r="B285" s="1" t="n">
        <v>45901.58854166666</v>
      </c>
      <c r="C285" s="1" t="n">
        <v>45928</v>
      </c>
      <c r="D285" t="inlineStr">
        <is>
          <t>GOTLANDS LÄN</t>
        </is>
      </c>
      <c r="E285" t="inlineStr">
        <is>
          <t>GOTLAND</t>
        </is>
      </c>
      <c r="G285" t="n">
        <v>5.6</v>
      </c>
      <c r="H285" t="n">
        <v>0</v>
      </c>
      <c r="I285" t="n">
        <v>0</v>
      </c>
      <c r="J285" t="n">
        <v>0</v>
      </c>
      <c r="K285" t="n">
        <v>0</v>
      </c>
      <c r="L285" t="n">
        <v>0</v>
      </c>
      <c r="M285" t="n">
        <v>0</v>
      </c>
      <c r="N285" t="n">
        <v>0</v>
      </c>
      <c r="O285" t="n">
        <v>0</v>
      </c>
      <c r="P285" t="n">
        <v>0</v>
      </c>
      <c r="Q285" t="n">
        <v>0</v>
      </c>
      <c r="R285" s="2" t="inlineStr"/>
    </row>
    <row r="286" ht="15" customHeight="1">
      <c r="A286" t="inlineStr">
        <is>
          <t>A 9947-2024</t>
        </is>
      </c>
      <c r="B286" s="1" t="n">
        <v>45363</v>
      </c>
      <c r="C286" s="1" t="n">
        <v>45928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41435-2025</t>
        </is>
      </c>
      <c r="B287" s="1" t="n">
        <v>45901.39974537037</v>
      </c>
      <c r="C287" s="1" t="n">
        <v>45928</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44304-2021</t>
        </is>
      </c>
      <c r="B288" s="1" t="n">
        <v>44434</v>
      </c>
      <c r="C288" s="1" t="n">
        <v>45928</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59986-2022</t>
        </is>
      </c>
      <c r="B289" s="1" t="n">
        <v>44909</v>
      </c>
      <c r="C289" s="1" t="n">
        <v>45928</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40235-2025</t>
        </is>
      </c>
      <c r="B290" s="1" t="n">
        <v>45894.74005787037</v>
      </c>
      <c r="C290" s="1" t="n">
        <v>45928</v>
      </c>
      <c r="D290" t="inlineStr">
        <is>
          <t>GOTLANDS LÄN</t>
        </is>
      </c>
      <c r="E290" t="inlineStr">
        <is>
          <t>GOTLAND</t>
        </is>
      </c>
      <c r="G290" t="n">
        <v>10.6</v>
      </c>
      <c r="H290" t="n">
        <v>0</v>
      </c>
      <c r="I290" t="n">
        <v>0</v>
      </c>
      <c r="J290" t="n">
        <v>0</v>
      </c>
      <c r="K290" t="n">
        <v>0</v>
      </c>
      <c r="L290" t="n">
        <v>0</v>
      </c>
      <c r="M290" t="n">
        <v>0</v>
      </c>
      <c r="N290" t="n">
        <v>0</v>
      </c>
      <c r="O290" t="n">
        <v>0</v>
      </c>
      <c r="P290" t="n">
        <v>0</v>
      </c>
      <c r="Q290" t="n">
        <v>0</v>
      </c>
      <c r="R290" s="2" t="inlineStr"/>
    </row>
    <row r="291" ht="15" customHeight="1">
      <c r="A291" t="inlineStr">
        <is>
          <t>A 14536-2021</t>
        </is>
      </c>
      <c r="B291" s="1" t="n">
        <v>44279.66168981481</v>
      </c>
      <c r="C291" s="1" t="n">
        <v>45928</v>
      </c>
      <c r="D291" t="inlineStr">
        <is>
          <t>GOTLANDS LÄN</t>
        </is>
      </c>
      <c r="E291" t="inlineStr">
        <is>
          <t>GOTLAND</t>
        </is>
      </c>
      <c r="G291" t="n">
        <v>8.5</v>
      </c>
      <c r="H291" t="n">
        <v>0</v>
      </c>
      <c r="I291" t="n">
        <v>0</v>
      </c>
      <c r="J291" t="n">
        <v>0</v>
      </c>
      <c r="K291" t="n">
        <v>0</v>
      </c>
      <c r="L291" t="n">
        <v>0</v>
      </c>
      <c r="M291" t="n">
        <v>0</v>
      </c>
      <c r="N291" t="n">
        <v>0</v>
      </c>
      <c r="O291" t="n">
        <v>0</v>
      </c>
      <c r="P291" t="n">
        <v>0</v>
      </c>
      <c r="Q291" t="n">
        <v>0</v>
      </c>
      <c r="R291" s="2" t="inlineStr"/>
    </row>
    <row r="292" ht="15" customHeight="1">
      <c r="A292" t="inlineStr">
        <is>
          <t>A 20356-2022</t>
        </is>
      </c>
      <c r="B292" s="1" t="n">
        <v>44699</v>
      </c>
      <c r="C292" s="1" t="n">
        <v>45928</v>
      </c>
      <c r="D292" t="inlineStr">
        <is>
          <t>GOTLANDS LÄN</t>
        </is>
      </c>
      <c r="E292" t="inlineStr">
        <is>
          <t>GOTLAND</t>
        </is>
      </c>
      <c r="F292" t="inlineStr">
        <is>
          <t>Övriga Aktiebolag</t>
        </is>
      </c>
      <c r="G292" t="n">
        <v>4.4</v>
      </c>
      <c r="H292" t="n">
        <v>0</v>
      </c>
      <c r="I292" t="n">
        <v>0</v>
      </c>
      <c r="J292" t="n">
        <v>0</v>
      </c>
      <c r="K292" t="n">
        <v>0</v>
      </c>
      <c r="L292" t="n">
        <v>0</v>
      </c>
      <c r="M292" t="n">
        <v>0</v>
      </c>
      <c r="N292" t="n">
        <v>0</v>
      </c>
      <c r="O292" t="n">
        <v>0</v>
      </c>
      <c r="P292" t="n">
        <v>0</v>
      </c>
      <c r="Q292" t="n">
        <v>0</v>
      </c>
      <c r="R292" s="2" t="inlineStr"/>
    </row>
    <row r="293" ht="15" customHeight="1">
      <c r="A293" t="inlineStr">
        <is>
          <t>A 48734-2022</t>
        </is>
      </c>
      <c r="B293" s="1" t="n">
        <v>44855</v>
      </c>
      <c r="C293" s="1" t="n">
        <v>45928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14141-2024</t>
        </is>
      </c>
      <c r="B294" s="1" t="n">
        <v>45392.85193287037</v>
      </c>
      <c r="C294" s="1" t="n">
        <v>45928</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29809-2022</t>
        </is>
      </c>
      <c r="B295" s="1" t="n">
        <v>44755.8713425926</v>
      </c>
      <c r="C295" s="1" t="n">
        <v>45928</v>
      </c>
      <c r="D295" t="inlineStr">
        <is>
          <t>GOTLANDS LÄN</t>
        </is>
      </c>
      <c r="E295" t="inlineStr">
        <is>
          <t>GOTLAND</t>
        </is>
      </c>
      <c r="G295" t="n">
        <v>11.5</v>
      </c>
      <c r="H295" t="n">
        <v>0</v>
      </c>
      <c r="I295" t="n">
        <v>0</v>
      </c>
      <c r="J295" t="n">
        <v>0</v>
      </c>
      <c r="K295" t="n">
        <v>0</v>
      </c>
      <c r="L295" t="n">
        <v>0</v>
      </c>
      <c r="M295" t="n">
        <v>0</v>
      </c>
      <c r="N295" t="n">
        <v>0</v>
      </c>
      <c r="O295" t="n">
        <v>0</v>
      </c>
      <c r="P295" t="n">
        <v>0</v>
      </c>
      <c r="Q295" t="n">
        <v>0</v>
      </c>
      <c r="R295" s="2" t="inlineStr"/>
    </row>
    <row r="296" ht="15" customHeight="1">
      <c r="A296" t="inlineStr">
        <is>
          <t>A 17682-2024</t>
        </is>
      </c>
      <c r="B296" s="1" t="n">
        <v>45418.42966435185</v>
      </c>
      <c r="C296" s="1" t="n">
        <v>45928</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57522-2022</t>
        </is>
      </c>
      <c r="B297" s="1" t="n">
        <v>44896</v>
      </c>
      <c r="C297" s="1" t="n">
        <v>45928</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15216-2025</t>
        </is>
      </c>
      <c r="B298" s="1" t="n">
        <v>45744</v>
      </c>
      <c r="C298" s="1" t="n">
        <v>45928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27593-2023</t>
        </is>
      </c>
      <c r="B299" s="1" t="n">
        <v>45097</v>
      </c>
      <c r="C299" s="1" t="n">
        <v>45928</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11874-2024</t>
        </is>
      </c>
      <c r="B300" s="1" t="n">
        <v>45376.46956018519</v>
      </c>
      <c r="C300" s="1" t="n">
        <v>45928</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57685-2022</t>
        </is>
      </c>
      <c r="B301" s="1" t="n">
        <v>44897.4777662037</v>
      </c>
      <c r="C301" s="1" t="n">
        <v>45928</v>
      </c>
      <c r="D301" t="inlineStr">
        <is>
          <t>GOTLANDS LÄN</t>
        </is>
      </c>
      <c r="E301" t="inlineStr">
        <is>
          <t>GOTLAND</t>
        </is>
      </c>
      <c r="G301" t="n">
        <v>3.7</v>
      </c>
      <c r="H301" t="n">
        <v>0</v>
      </c>
      <c r="I301" t="n">
        <v>0</v>
      </c>
      <c r="J301" t="n">
        <v>0</v>
      </c>
      <c r="K301" t="n">
        <v>0</v>
      </c>
      <c r="L301" t="n">
        <v>0</v>
      </c>
      <c r="M301" t="n">
        <v>0</v>
      </c>
      <c r="N301" t="n">
        <v>0</v>
      </c>
      <c r="O301" t="n">
        <v>0</v>
      </c>
      <c r="P301" t="n">
        <v>0</v>
      </c>
      <c r="Q301" t="n">
        <v>0</v>
      </c>
      <c r="R301" s="2" t="inlineStr"/>
    </row>
    <row r="302" ht="15" customHeight="1">
      <c r="A302" t="inlineStr">
        <is>
          <t>A 43790-2024</t>
        </is>
      </c>
      <c r="B302" s="1" t="n">
        <v>45571</v>
      </c>
      <c r="C302" s="1" t="n">
        <v>45928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42041-2024</t>
        </is>
      </c>
      <c r="B303" s="1" t="n">
        <v>45561</v>
      </c>
      <c r="C303" s="1" t="n">
        <v>45928</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61694-2023</t>
        </is>
      </c>
      <c r="B304" s="1" t="n">
        <v>45264</v>
      </c>
      <c r="C304" s="1" t="n">
        <v>45928</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12599-2025</t>
        </is>
      </c>
      <c r="B305" s="1" t="n">
        <v>45733.29546296296</v>
      </c>
      <c r="C305" s="1" t="n">
        <v>45928</v>
      </c>
      <c r="D305" t="inlineStr">
        <is>
          <t>GOTLANDS LÄN</t>
        </is>
      </c>
      <c r="E305" t="inlineStr">
        <is>
          <t>GOTLAND</t>
        </is>
      </c>
      <c r="G305" t="n">
        <v>4.7</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45928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30815-2023</t>
        </is>
      </c>
      <c r="B307" s="1" t="n">
        <v>45112</v>
      </c>
      <c r="C307" s="1" t="n">
        <v>45928</v>
      </c>
      <c r="D307" t="inlineStr">
        <is>
          <t>GOTLANDS LÄN</t>
        </is>
      </c>
      <c r="E307" t="inlineStr">
        <is>
          <t>GOTLAND</t>
        </is>
      </c>
      <c r="G307" t="n">
        <v>6</v>
      </c>
      <c r="H307" t="n">
        <v>0</v>
      </c>
      <c r="I307" t="n">
        <v>0</v>
      </c>
      <c r="J307" t="n">
        <v>0</v>
      </c>
      <c r="K307" t="n">
        <v>0</v>
      </c>
      <c r="L307" t="n">
        <v>0</v>
      </c>
      <c r="M307" t="n">
        <v>0</v>
      </c>
      <c r="N307" t="n">
        <v>0</v>
      </c>
      <c r="O307" t="n">
        <v>0</v>
      </c>
      <c r="P307" t="n">
        <v>0</v>
      </c>
      <c r="Q307" t="n">
        <v>0</v>
      </c>
      <c r="R307" s="2" t="inlineStr"/>
    </row>
    <row r="308" ht="15" customHeight="1">
      <c r="A308" t="inlineStr">
        <is>
          <t>A 30488-2025</t>
        </is>
      </c>
      <c r="B308" s="1" t="n">
        <v>45830</v>
      </c>
      <c r="C308" s="1" t="n">
        <v>45928</v>
      </c>
      <c r="D308" t="inlineStr">
        <is>
          <t>GOTLANDS LÄN</t>
        </is>
      </c>
      <c r="E308" t="inlineStr">
        <is>
          <t>GOTLAND</t>
        </is>
      </c>
      <c r="F308" t="inlineStr">
        <is>
          <t>Kyrkan</t>
        </is>
      </c>
      <c r="G308" t="n">
        <v>3.9</v>
      </c>
      <c r="H308" t="n">
        <v>0</v>
      </c>
      <c r="I308" t="n">
        <v>0</v>
      </c>
      <c r="J308" t="n">
        <v>0</v>
      </c>
      <c r="K308" t="n">
        <v>0</v>
      </c>
      <c r="L308" t="n">
        <v>0</v>
      </c>
      <c r="M308" t="n">
        <v>0</v>
      </c>
      <c r="N308" t="n">
        <v>0</v>
      </c>
      <c r="O308" t="n">
        <v>0</v>
      </c>
      <c r="P308" t="n">
        <v>0</v>
      </c>
      <c r="Q308" t="n">
        <v>0</v>
      </c>
      <c r="R308" s="2" t="inlineStr"/>
    </row>
    <row r="309" ht="15" customHeight="1">
      <c r="A309" t="inlineStr">
        <is>
          <t>A 63516-2023</t>
        </is>
      </c>
      <c r="B309" s="1" t="n">
        <v>45274</v>
      </c>
      <c r="C309" s="1" t="n">
        <v>45928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42608-2025</t>
        </is>
      </c>
      <c r="B310" s="1" t="n">
        <v>45905</v>
      </c>
      <c r="C310" s="1" t="n">
        <v>45928</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17847-2025</t>
        </is>
      </c>
      <c r="B311" s="1" t="n">
        <v>45758</v>
      </c>
      <c r="C311" s="1" t="n">
        <v>45928</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18742-2025</t>
        </is>
      </c>
      <c r="B312" s="1" t="n">
        <v>45763</v>
      </c>
      <c r="C312" s="1" t="n">
        <v>45928</v>
      </c>
      <c r="D312" t="inlineStr">
        <is>
          <t>GOTLANDS LÄN</t>
        </is>
      </c>
      <c r="E312" t="inlineStr">
        <is>
          <t>GOTLAND</t>
        </is>
      </c>
      <c r="G312" t="n">
        <v>3.4</v>
      </c>
      <c r="H312" t="n">
        <v>0</v>
      </c>
      <c r="I312" t="n">
        <v>0</v>
      </c>
      <c r="J312" t="n">
        <v>0</v>
      </c>
      <c r="K312" t="n">
        <v>0</v>
      </c>
      <c r="L312" t="n">
        <v>0</v>
      </c>
      <c r="M312" t="n">
        <v>0</v>
      </c>
      <c r="N312" t="n">
        <v>0</v>
      </c>
      <c r="O312" t="n">
        <v>0</v>
      </c>
      <c r="P312" t="n">
        <v>0</v>
      </c>
      <c r="Q312" t="n">
        <v>0</v>
      </c>
      <c r="R312" s="2" t="inlineStr"/>
    </row>
    <row r="313" ht="15" customHeight="1">
      <c r="A313" t="inlineStr">
        <is>
          <t>A 36319-2025</t>
        </is>
      </c>
      <c r="B313" s="1" t="n">
        <v>45868</v>
      </c>
      <c r="C313" s="1" t="n">
        <v>45928</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35129-2025</t>
        </is>
      </c>
      <c r="B314" s="1" t="n">
        <v>45852.63224537037</v>
      </c>
      <c r="C314" s="1" t="n">
        <v>45928</v>
      </c>
      <c r="D314" t="inlineStr">
        <is>
          <t>GOTLANDS LÄN</t>
        </is>
      </c>
      <c r="E314" t="inlineStr">
        <is>
          <t>GOTLAND</t>
        </is>
      </c>
      <c r="G314" t="n">
        <v>3.2</v>
      </c>
      <c r="H314" t="n">
        <v>0</v>
      </c>
      <c r="I314" t="n">
        <v>0</v>
      </c>
      <c r="J314" t="n">
        <v>0</v>
      </c>
      <c r="K314" t="n">
        <v>0</v>
      </c>
      <c r="L314" t="n">
        <v>0</v>
      </c>
      <c r="M314" t="n">
        <v>0</v>
      </c>
      <c r="N314" t="n">
        <v>0</v>
      </c>
      <c r="O314" t="n">
        <v>0</v>
      </c>
      <c r="P314" t="n">
        <v>0</v>
      </c>
      <c r="Q314" t="n">
        <v>0</v>
      </c>
      <c r="R314" s="2" t="inlineStr"/>
    </row>
    <row r="315" ht="15" customHeight="1">
      <c r="A315" t="inlineStr">
        <is>
          <t>A 7034-2023</t>
        </is>
      </c>
      <c r="B315" s="1" t="n">
        <v>44968.32108796296</v>
      </c>
      <c r="C315" s="1" t="n">
        <v>45928</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7042-2023</t>
        </is>
      </c>
      <c r="B316" s="1" t="n">
        <v>44968</v>
      </c>
      <c r="C316" s="1" t="n">
        <v>45928</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64555-2023</t>
        </is>
      </c>
      <c r="B317" s="1" t="n">
        <v>45281</v>
      </c>
      <c r="C317" s="1" t="n">
        <v>45928</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64831-2023</t>
        </is>
      </c>
      <c r="B318" s="1" t="n">
        <v>45282.44924768519</v>
      </c>
      <c r="C318" s="1" t="n">
        <v>45928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23516-2023</t>
        </is>
      </c>
      <c r="B319" s="1" t="n">
        <v>45076.93391203704</v>
      </c>
      <c r="C319" s="1" t="n">
        <v>45928</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14804-2021</t>
        </is>
      </c>
      <c r="B320" s="1" t="n">
        <v>44280</v>
      </c>
      <c r="C320" s="1" t="n">
        <v>45928</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24001-2021</t>
        </is>
      </c>
      <c r="B321" s="1" t="n">
        <v>44335</v>
      </c>
      <c r="C321" s="1" t="n">
        <v>45928</v>
      </c>
      <c r="D321" t="inlineStr">
        <is>
          <t>GOTLANDS LÄN</t>
        </is>
      </c>
      <c r="E321" t="inlineStr">
        <is>
          <t>GOTLAND</t>
        </is>
      </c>
      <c r="G321" t="n">
        <v>3.4</v>
      </c>
      <c r="H321" t="n">
        <v>0</v>
      </c>
      <c r="I321" t="n">
        <v>0</v>
      </c>
      <c r="J321" t="n">
        <v>0</v>
      </c>
      <c r="K321" t="n">
        <v>0</v>
      </c>
      <c r="L321" t="n">
        <v>0</v>
      </c>
      <c r="M321" t="n">
        <v>0</v>
      </c>
      <c r="N321" t="n">
        <v>0</v>
      </c>
      <c r="O321" t="n">
        <v>0</v>
      </c>
      <c r="P321" t="n">
        <v>0</v>
      </c>
      <c r="Q321" t="n">
        <v>0</v>
      </c>
      <c r="R321" s="2" t="inlineStr"/>
    </row>
    <row r="322" ht="15" customHeight="1">
      <c r="A322" t="inlineStr">
        <is>
          <t>A 999-2023</t>
        </is>
      </c>
      <c r="B322" s="1" t="n">
        <v>44935</v>
      </c>
      <c r="C322" s="1" t="n">
        <v>45928</v>
      </c>
      <c r="D322" t="inlineStr">
        <is>
          <t>GOTLANDS LÄN</t>
        </is>
      </c>
      <c r="E322" t="inlineStr">
        <is>
          <t>GOTLAND</t>
        </is>
      </c>
      <c r="G322" t="n">
        <v>4.7</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45928</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45928</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63763-2023</t>
        </is>
      </c>
      <c r="B325" s="1" t="n">
        <v>45278.33944444444</v>
      </c>
      <c r="C325" s="1" t="n">
        <v>45928</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30365-2024</t>
        </is>
      </c>
      <c r="B326" s="1" t="n">
        <v>45491.3716087963</v>
      </c>
      <c r="C326" s="1" t="n">
        <v>45928</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1681-2023</t>
        </is>
      </c>
      <c r="B327" s="1" t="n">
        <v>44938.39715277778</v>
      </c>
      <c r="C327" s="1" t="n">
        <v>45928</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6099-2024</t>
        </is>
      </c>
      <c r="B328" s="1" t="n">
        <v>45337</v>
      </c>
      <c r="C328" s="1" t="n">
        <v>45928</v>
      </c>
      <c r="D328" t="inlineStr">
        <is>
          <t>GOTLANDS LÄN</t>
        </is>
      </c>
      <c r="E328" t="inlineStr">
        <is>
          <t>GOTLAND</t>
        </is>
      </c>
      <c r="G328" t="n">
        <v>12.6</v>
      </c>
      <c r="H328" t="n">
        <v>0</v>
      </c>
      <c r="I328" t="n">
        <v>0</v>
      </c>
      <c r="J328" t="n">
        <v>0</v>
      </c>
      <c r="K328" t="n">
        <v>0</v>
      </c>
      <c r="L328" t="n">
        <v>0</v>
      </c>
      <c r="M328" t="n">
        <v>0</v>
      </c>
      <c r="N328" t="n">
        <v>0</v>
      </c>
      <c r="O328" t="n">
        <v>0</v>
      </c>
      <c r="P328" t="n">
        <v>0</v>
      </c>
      <c r="Q328" t="n">
        <v>0</v>
      </c>
      <c r="R328" s="2" t="inlineStr"/>
    </row>
    <row r="329" ht="15" customHeight="1">
      <c r="A329" t="inlineStr">
        <is>
          <t>A 4377-2023</t>
        </is>
      </c>
      <c r="B329" s="1" t="n">
        <v>44955.5502662037</v>
      </c>
      <c r="C329" s="1" t="n">
        <v>45928</v>
      </c>
      <c r="D329" t="inlineStr">
        <is>
          <t>GOTLANDS LÄN</t>
        </is>
      </c>
      <c r="E329" t="inlineStr">
        <is>
          <t>GOTLAND</t>
        </is>
      </c>
      <c r="F329" t="inlineStr">
        <is>
          <t>Kyrkan</t>
        </is>
      </c>
      <c r="G329" t="n">
        <v>0.6</v>
      </c>
      <c r="H329" t="n">
        <v>0</v>
      </c>
      <c r="I329" t="n">
        <v>0</v>
      </c>
      <c r="J329" t="n">
        <v>0</v>
      </c>
      <c r="K329" t="n">
        <v>0</v>
      </c>
      <c r="L329" t="n">
        <v>0</v>
      </c>
      <c r="M329" t="n">
        <v>0</v>
      </c>
      <c r="N329" t="n">
        <v>0</v>
      </c>
      <c r="O329" t="n">
        <v>0</v>
      </c>
      <c r="P329" t="n">
        <v>0</v>
      </c>
      <c r="Q329" t="n">
        <v>0</v>
      </c>
      <c r="R329" s="2" t="inlineStr"/>
    </row>
    <row r="330" ht="15" customHeight="1">
      <c r="A330" t="inlineStr">
        <is>
          <t>A 4387-2023</t>
        </is>
      </c>
      <c r="B330" s="1" t="n">
        <v>44955.73359953704</v>
      </c>
      <c r="C330" s="1" t="n">
        <v>45928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63229-2021</t>
        </is>
      </c>
      <c r="B331" s="1" t="n">
        <v>44508.34518518519</v>
      </c>
      <c r="C331" s="1" t="n">
        <v>45928</v>
      </c>
      <c r="D331" t="inlineStr">
        <is>
          <t>GOTLANDS LÄN</t>
        </is>
      </c>
      <c r="E331" t="inlineStr">
        <is>
          <t>GOTLAND</t>
        </is>
      </c>
      <c r="F331" t="inlineStr">
        <is>
          <t>Kyrkan</t>
        </is>
      </c>
      <c r="G331" t="n">
        <v>3.8</v>
      </c>
      <c r="H331" t="n">
        <v>0</v>
      </c>
      <c r="I331" t="n">
        <v>0</v>
      </c>
      <c r="J331" t="n">
        <v>0</v>
      </c>
      <c r="K331" t="n">
        <v>0</v>
      </c>
      <c r="L331" t="n">
        <v>0</v>
      </c>
      <c r="M331" t="n">
        <v>0</v>
      </c>
      <c r="N331" t="n">
        <v>0</v>
      </c>
      <c r="O331" t="n">
        <v>0</v>
      </c>
      <c r="P331" t="n">
        <v>0</v>
      </c>
      <c r="Q331" t="n">
        <v>0</v>
      </c>
      <c r="R331" s="2" t="inlineStr"/>
    </row>
    <row r="332" ht="15" customHeight="1">
      <c r="A332" t="inlineStr">
        <is>
          <t>A 1273-2023</t>
        </is>
      </c>
      <c r="B332" s="1" t="n">
        <v>44936</v>
      </c>
      <c r="C332" s="1" t="n">
        <v>45928</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46375-2024</t>
        </is>
      </c>
      <c r="B333" s="1" t="n">
        <v>45582</v>
      </c>
      <c r="C333" s="1" t="n">
        <v>45928</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58780-2024</t>
        </is>
      </c>
      <c r="B334" s="1" t="n">
        <v>45635.84113425926</v>
      </c>
      <c r="C334" s="1" t="n">
        <v>45928</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39479-2022</t>
        </is>
      </c>
      <c r="B335" s="1" t="n">
        <v>44818</v>
      </c>
      <c r="C335" s="1" t="n">
        <v>45928</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45692-2023</t>
        </is>
      </c>
      <c r="B336" s="1" t="n">
        <v>45195</v>
      </c>
      <c r="C336" s="1" t="n">
        <v>45928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51963-2024</t>
        </is>
      </c>
      <c r="B337" s="1" t="n">
        <v>45607.64833333333</v>
      </c>
      <c r="C337" s="1" t="n">
        <v>45928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45928</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45928</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45928</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22883-2024</t>
        </is>
      </c>
      <c r="B341" s="1" t="n">
        <v>45448.66368055555</v>
      </c>
      <c r="C341" s="1" t="n">
        <v>45928</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811-2023</t>
        </is>
      </c>
      <c r="B342" s="1" t="n">
        <v>44931</v>
      </c>
      <c r="C342" s="1" t="n">
        <v>45928</v>
      </c>
      <c r="D342" t="inlineStr">
        <is>
          <t>GOTLANDS LÄN</t>
        </is>
      </c>
      <c r="E342" t="inlineStr">
        <is>
          <t>GOTLAND</t>
        </is>
      </c>
      <c r="G342" t="n">
        <v>0.6</v>
      </c>
      <c r="H342" t="n">
        <v>0</v>
      </c>
      <c r="I342" t="n">
        <v>0</v>
      </c>
      <c r="J342" t="n">
        <v>0</v>
      </c>
      <c r="K342" t="n">
        <v>0</v>
      </c>
      <c r="L342" t="n">
        <v>0</v>
      </c>
      <c r="M342" t="n">
        <v>0</v>
      </c>
      <c r="N342" t="n">
        <v>0</v>
      </c>
      <c r="O342" t="n">
        <v>0</v>
      </c>
      <c r="P342" t="n">
        <v>0</v>
      </c>
      <c r="Q342" t="n">
        <v>0</v>
      </c>
      <c r="R342" s="2" t="inlineStr"/>
    </row>
    <row r="343" ht="15" customHeight="1">
      <c r="A343" t="inlineStr">
        <is>
          <t>A 46389-2021</t>
        </is>
      </c>
      <c r="B343" s="1" t="n">
        <v>44443</v>
      </c>
      <c r="C343" s="1" t="n">
        <v>45928</v>
      </c>
      <c r="D343" t="inlineStr">
        <is>
          <t>GOTLANDS LÄN</t>
        </is>
      </c>
      <c r="E343" t="inlineStr">
        <is>
          <t>GOTLAND</t>
        </is>
      </c>
      <c r="F343" t="inlineStr">
        <is>
          <t>Kyrkan</t>
        </is>
      </c>
      <c r="G343" t="n">
        <v>2.1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45928</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45928</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61100-2022</t>
        </is>
      </c>
      <c r="B346" s="1" t="n">
        <v>44915</v>
      </c>
      <c r="C346" s="1" t="n">
        <v>45928</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45928</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45928</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45928</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5923-2023</t>
        </is>
      </c>
      <c r="B350" s="1" t="n">
        <v>44963.69503472222</v>
      </c>
      <c r="C350" s="1" t="n">
        <v>45928</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33853-2024</t>
        </is>
      </c>
      <c r="B351" s="1" t="n">
        <v>45520.64298611111</v>
      </c>
      <c r="C351" s="1" t="n">
        <v>45928</v>
      </c>
      <c r="D351" t="inlineStr">
        <is>
          <t>GOTLANDS LÄN</t>
        </is>
      </c>
      <c r="E351" t="inlineStr">
        <is>
          <t>GOTLAND</t>
        </is>
      </c>
      <c r="G351" t="n">
        <v>3.9</v>
      </c>
      <c r="H351" t="n">
        <v>0</v>
      </c>
      <c r="I351" t="n">
        <v>0</v>
      </c>
      <c r="J351" t="n">
        <v>0</v>
      </c>
      <c r="K351" t="n">
        <v>0</v>
      </c>
      <c r="L351" t="n">
        <v>0</v>
      </c>
      <c r="M351" t="n">
        <v>0</v>
      </c>
      <c r="N351" t="n">
        <v>0</v>
      </c>
      <c r="O351" t="n">
        <v>0</v>
      </c>
      <c r="P351" t="n">
        <v>0</v>
      </c>
      <c r="Q351" t="n">
        <v>0</v>
      </c>
      <c r="R351" s="2" t="inlineStr"/>
    </row>
    <row r="352" ht="15" customHeight="1">
      <c r="A352" t="inlineStr">
        <is>
          <t>A 18918-2025</t>
        </is>
      </c>
      <c r="B352" s="1" t="n">
        <v>45764</v>
      </c>
      <c r="C352" s="1" t="n">
        <v>45928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45928</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1734-2025</t>
        </is>
      </c>
      <c r="B354" s="1" t="n">
        <v>45671.3840625</v>
      </c>
      <c r="C354" s="1" t="n">
        <v>45928</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10655-2023</t>
        </is>
      </c>
      <c r="B355" s="1" t="n">
        <v>44988.49543981482</v>
      </c>
      <c r="C355" s="1" t="n">
        <v>45928</v>
      </c>
      <c r="D355" t="inlineStr">
        <is>
          <t>GOTLANDS LÄN</t>
        </is>
      </c>
      <c r="E355" t="inlineStr">
        <is>
          <t>GOTLAND</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20993-2023</t>
        </is>
      </c>
      <c r="B356" s="1" t="n">
        <v>45056</v>
      </c>
      <c r="C356" s="1" t="n">
        <v>45928</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43785-2024</t>
        </is>
      </c>
      <c r="B357" s="1" t="n">
        <v>45570</v>
      </c>
      <c r="C357" s="1" t="n">
        <v>45928</v>
      </c>
      <c r="D357" t="inlineStr">
        <is>
          <t>GOTLANDS LÄN</t>
        </is>
      </c>
      <c r="E357" t="inlineStr">
        <is>
          <t>GOTLAND</t>
        </is>
      </c>
      <c r="G357" t="n">
        <v>12.6</v>
      </c>
      <c r="H357" t="n">
        <v>0</v>
      </c>
      <c r="I357" t="n">
        <v>0</v>
      </c>
      <c r="J357" t="n">
        <v>0</v>
      </c>
      <c r="K357" t="n">
        <v>0</v>
      </c>
      <c r="L357" t="n">
        <v>0</v>
      </c>
      <c r="M357" t="n">
        <v>0</v>
      </c>
      <c r="N357" t="n">
        <v>0</v>
      </c>
      <c r="O357" t="n">
        <v>0</v>
      </c>
      <c r="P357" t="n">
        <v>0</v>
      </c>
      <c r="Q357" t="n">
        <v>0</v>
      </c>
      <c r="R357" s="2" t="inlineStr"/>
    </row>
    <row r="358" ht="15" customHeight="1">
      <c r="A358" t="inlineStr">
        <is>
          <t>A 2719-2023</t>
        </is>
      </c>
      <c r="B358" s="1" t="n">
        <v>44944.55361111111</v>
      </c>
      <c r="C358" s="1" t="n">
        <v>45928</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26891-2024</t>
        </is>
      </c>
      <c r="B359" s="1" t="n">
        <v>45470.65540509259</v>
      </c>
      <c r="C359" s="1" t="n">
        <v>45928</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45928</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12596-2023</t>
        </is>
      </c>
      <c r="B361" s="1" t="n">
        <v>45000.43310185185</v>
      </c>
      <c r="C361" s="1" t="n">
        <v>45928</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9887-2025</t>
        </is>
      </c>
      <c r="B362" s="1" t="n">
        <v>45716</v>
      </c>
      <c r="C362" s="1" t="n">
        <v>45928</v>
      </c>
      <c r="D362" t="inlineStr">
        <is>
          <t>GOTLANDS LÄN</t>
        </is>
      </c>
      <c r="E362" t="inlineStr">
        <is>
          <t>GOTLAND</t>
        </is>
      </c>
      <c r="G362" t="n">
        <v>7.5</v>
      </c>
      <c r="H362" t="n">
        <v>0</v>
      </c>
      <c r="I362" t="n">
        <v>0</v>
      </c>
      <c r="J362" t="n">
        <v>0</v>
      </c>
      <c r="K362" t="n">
        <v>0</v>
      </c>
      <c r="L362" t="n">
        <v>0</v>
      </c>
      <c r="M362" t="n">
        <v>0</v>
      </c>
      <c r="N362" t="n">
        <v>0</v>
      </c>
      <c r="O362" t="n">
        <v>0</v>
      </c>
      <c r="P362" t="n">
        <v>0</v>
      </c>
      <c r="Q362" t="n">
        <v>0</v>
      </c>
      <c r="R362" s="2" t="inlineStr"/>
    </row>
    <row r="363" ht="15" customHeight="1">
      <c r="A363" t="inlineStr">
        <is>
          <t>A 2125-2025</t>
        </is>
      </c>
      <c r="B363" s="1" t="n">
        <v>45672.64940972222</v>
      </c>
      <c r="C363" s="1" t="n">
        <v>45928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12155-2023</t>
        </is>
      </c>
      <c r="B364" s="1" t="n">
        <v>44998.49106481481</v>
      </c>
      <c r="C364" s="1" t="n">
        <v>45928</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457-2023</t>
        </is>
      </c>
      <c r="B365" s="1" t="n">
        <v>44929.87238425926</v>
      </c>
      <c r="C365" s="1" t="n">
        <v>45928</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38165-2023</t>
        </is>
      </c>
      <c r="B366" s="1" t="n">
        <v>45161</v>
      </c>
      <c r="C366" s="1" t="n">
        <v>45928</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6108-2025</t>
        </is>
      </c>
      <c r="B367" s="1" t="n">
        <v>45698.29880787037</v>
      </c>
      <c r="C367" s="1" t="n">
        <v>45928</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45928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459-2023</t>
        </is>
      </c>
      <c r="B369" s="1" t="n">
        <v>44929.87423611111</v>
      </c>
      <c r="C369" s="1" t="n">
        <v>45928</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10158-2025</t>
        </is>
      </c>
      <c r="B370" s="1" t="n">
        <v>45719</v>
      </c>
      <c r="C370" s="1" t="n">
        <v>45928</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38234-2023</t>
        </is>
      </c>
      <c r="B371" s="1" t="n">
        <v>45161.56663194444</v>
      </c>
      <c r="C371" s="1" t="n">
        <v>45928</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45536-2025</t>
        </is>
      </c>
      <c r="B372" s="1" t="n">
        <v>45922</v>
      </c>
      <c r="C372" s="1" t="n">
        <v>45928</v>
      </c>
      <c r="D372" t="inlineStr">
        <is>
          <t>GOTLANDS LÄN</t>
        </is>
      </c>
      <c r="E372" t="inlineStr">
        <is>
          <t>GOTLAND</t>
        </is>
      </c>
      <c r="G372" t="n">
        <v>10.4</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45928</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45928</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45928</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45928</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45928</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45928</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45928</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45928</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45928</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45928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45928</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45928</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45928</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45928</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45928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45928</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45928</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45928</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45928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45928</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45928</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45928</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45928</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45928</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45928</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45928</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45928</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45928</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45928</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45928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45928</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45928</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45928</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45928</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45928</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45928</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45928</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45928</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45928</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45928</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45928</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45928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45928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45928</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45928</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45928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45928</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45928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45928</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45928</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45928</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45928</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45928</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45928</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45928</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45928</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45928</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45928</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45928</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45928</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45928</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45928</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45928</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45928</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45928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45928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45928</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45928</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45928</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45928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45928</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45928</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45928</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45928</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45928</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45928</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45928</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45928</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45928</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45928</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45928</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45928</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45928</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45928</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45928</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45928</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45928</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45928</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45928</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45928</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45928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45928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45928</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45928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45928</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45928</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45928</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45928</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45928</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45928</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45928</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45928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45928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45928</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45928</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45928</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45928</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45928</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45928</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45928</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45928</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45928</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45928</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45928</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45928</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45928</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45928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45928</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45928</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45928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45928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45928</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45928</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45928</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45928</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45928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45928</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45928</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45928</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45928</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45928</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45928</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45928</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45928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45928</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45928</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45928</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45928</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45928</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45928</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45928</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45928</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45928</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45928</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45928</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45928</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45928</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45928</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45928</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45928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45928</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45928</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45928</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45928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45928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45928</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45928</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45928</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45928</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45928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45928</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45928</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45928</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45928</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45928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45928</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45928</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45928</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45928</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45928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45928</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45928</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45928</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45928</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45928</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45928</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45928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45928</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45928</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45928</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45928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45928</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45928</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45928</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45928</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45928</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45928</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45928</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45928</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45928</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45928</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45928</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45928</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45928</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45928</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45928</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45928</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45928</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45928</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45928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45928</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45928</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45928</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45928</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45928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45928</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45928</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45928</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45928</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45928</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45928</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45928</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45928</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45928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45928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45928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45928</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45928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45928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45928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45928</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45928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45928</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45928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45928</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45928</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45928</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45928</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45928</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45928</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45928</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2025-09-28T12:15:44Z</dcterms:created>
  <dcterms:modified xmlns:dcterms="http://purl.org/dc/terms/" xmlns:xsi="http://www.w3.org/2001/XMLSchema-instance" xsi:type="dcterms:W3CDTF">2025-09-28T12:15:44Z</dcterms:modified>
</cp:coreProperties>
</file>