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46201</v>
      </c>
      <c r="D2" t="inlineStr">
        <is>
          <t>GOTLANDS LÄN</t>
        </is>
      </c>
      <c r="E2" t="inlineStr">
        <is>
          <t>GOTLAND</t>
        </is>
      </c>
      <c r="G2" t="n">
        <v>8</v>
      </c>
      <c r="H2" t="n">
        <v>15</v>
      </c>
      <c r="I2" t="n">
        <v>10</v>
      </c>
      <c r="J2" t="n">
        <v>15</v>
      </c>
      <c r="K2" t="n">
        <v>19</v>
      </c>
      <c r="L2" t="n">
        <v>1</v>
      </c>
      <c r="M2" t="n">
        <v>0</v>
      </c>
      <c r="N2" t="n">
        <v>0</v>
      </c>
      <c r="O2" t="n">
        <v>36</v>
      </c>
      <c r="P2" t="n">
        <v>20</v>
      </c>
      <c r="Q2" t="n">
        <v>57</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46201</v>
      </c>
      <c r="D3" t="inlineStr">
        <is>
          <t>GOTLANDS LÄN</t>
        </is>
      </c>
      <c r="E3" t="inlineStr">
        <is>
          <t>GOTLAND</t>
        </is>
      </c>
      <c r="G3" t="n">
        <v>21.5</v>
      </c>
      <c r="H3" t="n">
        <v>13</v>
      </c>
      <c r="I3" t="n">
        <v>16</v>
      </c>
      <c r="J3" t="n">
        <v>13</v>
      </c>
      <c r="K3" t="n">
        <v>10</v>
      </c>
      <c r="L3" t="n">
        <v>0</v>
      </c>
      <c r="M3" t="n">
        <v>0</v>
      </c>
      <c r="N3" t="n">
        <v>0</v>
      </c>
      <c r="O3" t="n">
        <v>23</v>
      </c>
      <c r="P3" t="n">
        <v>10</v>
      </c>
      <c r="Q3" t="n">
        <v>46</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46201</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46201</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46201</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46201</v>
      </c>
      <c r="D7" t="inlineStr">
        <is>
          <t>GOTLANDS LÄN</t>
        </is>
      </c>
      <c r="E7" t="inlineStr">
        <is>
          <t>GOTLAND</t>
        </is>
      </c>
      <c r="G7" t="n">
        <v>11.6</v>
      </c>
      <c r="H7" t="n">
        <v>6</v>
      </c>
      <c r="I7" t="n">
        <v>10</v>
      </c>
      <c r="J7" t="n">
        <v>15</v>
      </c>
      <c r="K7" t="n">
        <v>9</v>
      </c>
      <c r="L7" t="n">
        <v>0</v>
      </c>
      <c r="M7" t="n">
        <v>0</v>
      </c>
      <c r="N7" t="n">
        <v>0</v>
      </c>
      <c r="O7" t="n">
        <v>24</v>
      </c>
      <c r="P7" t="n">
        <v>9</v>
      </c>
      <c r="Q7" t="n">
        <v>37</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c r="Z7">
        <f>HYPERLINK("https://klasma.github.io/Logging_0980/fåglar/A 14450-2023 prioriterade fågelarter.docx", "A 14450-2023")</f>
        <v/>
      </c>
    </row>
    <row r="8" ht="15" customHeight="1">
      <c r="A8" t="inlineStr">
        <is>
          <t>A 30542-2025</t>
        </is>
      </c>
      <c r="B8" s="1" t="n">
        <v>45831</v>
      </c>
      <c r="C8" s="1" t="n">
        <v>46201</v>
      </c>
      <c r="D8" t="inlineStr">
        <is>
          <t>GOTLANDS LÄN</t>
        </is>
      </c>
      <c r="E8" t="inlineStr">
        <is>
          <t>GOTLAND</t>
        </is>
      </c>
      <c r="G8" t="n">
        <v>8.300000000000001</v>
      </c>
      <c r="H8" t="n">
        <v>7</v>
      </c>
      <c r="I8" t="n">
        <v>7</v>
      </c>
      <c r="J8" t="n">
        <v>14</v>
      </c>
      <c r="K8" t="n">
        <v>7</v>
      </c>
      <c r="L8" t="n">
        <v>2</v>
      </c>
      <c r="M8" t="n">
        <v>0</v>
      </c>
      <c r="N8" t="n">
        <v>0</v>
      </c>
      <c r="O8" t="n">
        <v>23</v>
      </c>
      <c r="P8" t="n">
        <v>9</v>
      </c>
      <c r="Q8" t="n">
        <v>34</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46201</v>
      </c>
      <c r="D9" t="inlineStr">
        <is>
          <t>GOTLANDS LÄN</t>
        </is>
      </c>
      <c r="E9" t="inlineStr">
        <is>
          <t>GOTLAND</t>
        </is>
      </c>
      <c r="G9" t="n">
        <v>13.6</v>
      </c>
      <c r="H9" t="n">
        <v>10</v>
      </c>
      <c r="I9" t="n">
        <v>11</v>
      </c>
      <c r="J9" t="n">
        <v>9</v>
      </c>
      <c r="K9" t="n">
        <v>10</v>
      </c>
      <c r="L9" t="n">
        <v>0</v>
      </c>
      <c r="M9" t="n">
        <v>0</v>
      </c>
      <c r="N9" t="n">
        <v>0</v>
      </c>
      <c r="O9" t="n">
        <v>19</v>
      </c>
      <c r="P9" t="n">
        <v>10</v>
      </c>
      <c r="Q9" t="n">
        <v>34</v>
      </c>
      <c r="R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40235-2025</t>
        </is>
      </c>
      <c r="B10" s="1" t="n">
        <v>45894</v>
      </c>
      <c r="C10" s="1" t="n">
        <v>46201</v>
      </c>
      <c r="D10" t="inlineStr">
        <is>
          <t>GOTLANDS LÄN</t>
        </is>
      </c>
      <c r="E10" t="inlineStr">
        <is>
          <t>GOTLAND</t>
        </is>
      </c>
      <c r="G10" t="n">
        <v>10.6</v>
      </c>
      <c r="H10" t="n">
        <v>11</v>
      </c>
      <c r="I10" t="n">
        <v>8</v>
      </c>
      <c r="J10" t="n">
        <v>11</v>
      </c>
      <c r="K10" t="n">
        <v>6</v>
      </c>
      <c r="L10" t="n">
        <v>0</v>
      </c>
      <c r="M10" t="n">
        <v>0</v>
      </c>
      <c r="N10" t="n">
        <v>0</v>
      </c>
      <c r="O10" t="n">
        <v>17</v>
      </c>
      <c r="P10" t="n">
        <v>6</v>
      </c>
      <c r="Q10" t="n">
        <v>33</v>
      </c>
      <c r="R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S10">
        <f>HYPERLINK("https://klasma.github.io/Logging_0980/artfynd/A 40235-2025 artfynd.xlsx", "A 40235-2025")</f>
        <v/>
      </c>
      <c r="T10">
        <f>HYPERLINK("https://klasma.github.io/Logging_0980/kartor/A 40235-2025 karta.png", "A 40235-2025")</f>
        <v/>
      </c>
      <c r="V10">
        <f>HYPERLINK("https://klasma.github.io/Logging_0980/klagomål/A 40235-2025 FSC-klagomål.docx", "A 40235-2025")</f>
        <v/>
      </c>
      <c r="W10">
        <f>HYPERLINK("https://klasma.github.io/Logging_0980/klagomålsmail/A 40235-2025 FSC-klagomål mail.docx", "A 40235-2025")</f>
        <v/>
      </c>
      <c r="X10">
        <f>HYPERLINK("https://klasma.github.io/Logging_0980/tillsyn/A 40235-2025 tillsynsbegäran.docx", "A 40235-2025")</f>
        <v/>
      </c>
      <c r="Y10">
        <f>HYPERLINK("https://klasma.github.io/Logging_0980/tillsynsmail/A 40235-2025 tillsynsbegäran mail.docx", "A 40235-2025")</f>
        <v/>
      </c>
    </row>
    <row r="11" ht="15" customHeight="1">
      <c r="A11" t="inlineStr">
        <is>
          <t>A 43785-2024</t>
        </is>
      </c>
      <c r="B11" s="1" t="n">
        <v>45570</v>
      </c>
      <c r="C11" s="1" t="n">
        <v>46201</v>
      </c>
      <c r="D11" t="inlineStr">
        <is>
          <t>GOTLANDS LÄN</t>
        </is>
      </c>
      <c r="E11" t="inlineStr">
        <is>
          <t>GOTLAND</t>
        </is>
      </c>
      <c r="G11" t="n">
        <v>12.6</v>
      </c>
      <c r="H11" t="n">
        <v>2</v>
      </c>
      <c r="I11" t="n">
        <v>8</v>
      </c>
      <c r="J11" t="n">
        <v>13</v>
      </c>
      <c r="K11" t="n">
        <v>7</v>
      </c>
      <c r="L11" t="n">
        <v>1</v>
      </c>
      <c r="M11" t="n">
        <v>0</v>
      </c>
      <c r="N11" t="n">
        <v>0</v>
      </c>
      <c r="O11" t="n">
        <v>21</v>
      </c>
      <c r="P11" t="n">
        <v>8</v>
      </c>
      <c r="Q11" t="n">
        <v>31</v>
      </c>
      <c r="R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46201</v>
      </c>
      <c r="D12" t="inlineStr">
        <is>
          <t>GOTLANDS LÄN</t>
        </is>
      </c>
      <c r="E12" t="inlineStr">
        <is>
          <t>GOTLAND</t>
        </is>
      </c>
      <c r="G12" t="n">
        <v>20.9</v>
      </c>
      <c r="H12" t="n">
        <v>4</v>
      </c>
      <c r="I12" t="n">
        <v>9</v>
      </c>
      <c r="J12" t="n">
        <v>8</v>
      </c>
      <c r="K12" t="n">
        <v>9</v>
      </c>
      <c r="L12" t="n">
        <v>1</v>
      </c>
      <c r="M12" t="n">
        <v>0</v>
      </c>
      <c r="N12" t="n">
        <v>0</v>
      </c>
      <c r="O12" t="n">
        <v>18</v>
      </c>
      <c r="P12" t="n">
        <v>10</v>
      </c>
      <c r="Q12" t="n">
        <v>30</v>
      </c>
      <c r="R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46201</v>
      </c>
      <c r="D13" t="inlineStr">
        <is>
          <t>GOTLANDS LÄN</t>
        </is>
      </c>
      <c r="E13" t="inlineStr">
        <is>
          <t>GOTLAND</t>
        </is>
      </c>
      <c r="G13" t="n">
        <v>10.4</v>
      </c>
      <c r="H13" t="n">
        <v>3</v>
      </c>
      <c r="I13" t="n">
        <v>6</v>
      </c>
      <c r="J13" t="n">
        <v>10</v>
      </c>
      <c r="K13" t="n">
        <v>8</v>
      </c>
      <c r="L13" t="n">
        <v>2</v>
      </c>
      <c r="M13" t="n">
        <v>0</v>
      </c>
      <c r="N13" t="n">
        <v>0</v>
      </c>
      <c r="O13" t="n">
        <v>21</v>
      </c>
      <c r="P13" t="n">
        <v>10</v>
      </c>
      <c r="Q13" t="n">
        <v>29</v>
      </c>
      <c r="R13"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46201</v>
      </c>
      <c r="D14" t="inlineStr">
        <is>
          <t>GOTLANDS LÄN</t>
        </is>
      </c>
      <c r="E14" t="inlineStr">
        <is>
          <t>GOTLAND</t>
        </is>
      </c>
      <c r="G14" t="n">
        <v>6.9</v>
      </c>
      <c r="H14" t="n">
        <v>4</v>
      </c>
      <c r="I14" t="n">
        <v>8</v>
      </c>
      <c r="J14" t="n">
        <v>7</v>
      </c>
      <c r="K14" t="n">
        <v>7</v>
      </c>
      <c r="L14" t="n">
        <v>0</v>
      </c>
      <c r="M14" t="n">
        <v>0</v>
      </c>
      <c r="N14" t="n">
        <v>0</v>
      </c>
      <c r="O14" t="n">
        <v>14</v>
      </c>
      <c r="P14" t="n">
        <v>7</v>
      </c>
      <c r="Q14" t="n">
        <v>24</v>
      </c>
      <c r="R1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c r="Z14">
        <f>HYPERLINK("https://klasma.github.io/Logging_0980/fåglar/A 922-2023 prioriterade fågelarter.docx", "A 922-2023")</f>
        <v/>
      </c>
    </row>
    <row r="15" ht="15" customHeight="1">
      <c r="A15" t="inlineStr">
        <is>
          <t>A 569-2023</t>
        </is>
      </c>
      <c r="B15" s="1" t="n">
        <v>44930</v>
      </c>
      <c r="C15" s="1" t="n">
        <v>46201</v>
      </c>
      <c r="D15" t="inlineStr">
        <is>
          <t>GOTLANDS LÄN</t>
        </is>
      </c>
      <c r="E15" t="inlineStr">
        <is>
          <t>GOTLAND</t>
        </is>
      </c>
      <c r="G15" t="n">
        <v>12.8</v>
      </c>
      <c r="H15" t="n">
        <v>5</v>
      </c>
      <c r="I15" t="n">
        <v>4</v>
      </c>
      <c r="J15" t="n">
        <v>10</v>
      </c>
      <c r="K15" t="n">
        <v>7</v>
      </c>
      <c r="L15" t="n">
        <v>0</v>
      </c>
      <c r="M15" t="n">
        <v>0</v>
      </c>
      <c r="N15" t="n">
        <v>0</v>
      </c>
      <c r="O15" t="n">
        <v>17</v>
      </c>
      <c r="P15" t="n">
        <v>7</v>
      </c>
      <c r="Q15" t="n">
        <v>24</v>
      </c>
      <c r="R15"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c r="Z15">
        <f>HYPERLINK("https://klasma.github.io/Logging_0980/fåglar/A 569-2023 prioriterade fågelarter.docx", "A 569-2023")</f>
        <v/>
      </c>
    </row>
    <row r="16" ht="15" customHeight="1">
      <c r="A16" t="inlineStr">
        <is>
          <t>A 530-2024</t>
        </is>
      </c>
      <c r="B16" s="1" t="n">
        <v>45299</v>
      </c>
      <c r="C16" s="1" t="n">
        <v>46201</v>
      </c>
      <c r="D16" t="inlineStr">
        <is>
          <t>GOTLANDS LÄN</t>
        </is>
      </c>
      <c r="E16" t="inlineStr">
        <is>
          <t>GOTLAND</t>
        </is>
      </c>
      <c r="G16" t="n">
        <v>6.5</v>
      </c>
      <c r="H16" t="n">
        <v>10</v>
      </c>
      <c r="I16" t="n">
        <v>4</v>
      </c>
      <c r="J16" t="n">
        <v>8</v>
      </c>
      <c r="K16" t="n">
        <v>3</v>
      </c>
      <c r="L16" t="n">
        <v>2</v>
      </c>
      <c r="M16" t="n">
        <v>0</v>
      </c>
      <c r="N16" t="n">
        <v>0</v>
      </c>
      <c r="O16" t="n">
        <v>13</v>
      </c>
      <c r="P16" t="n">
        <v>5</v>
      </c>
      <c r="Q16" t="n">
        <v>23</v>
      </c>
      <c r="R16"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2222-2024</t>
        </is>
      </c>
      <c r="B17" s="1" t="n">
        <v>45309</v>
      </c>
      <c r="C17" s="1" t="n">
        <v>46201</v>
      </c>
      <c r="D17" t="inlineStr">
        <is>
          <t>GOTLANDS LÄN</t>
        </is>
      </c>
      <c r="E17" t="inlineStr">
        <is>
          <t>GOTLAND</t>
        </is>
      </c>
      <c r="F17" t="inlineStr">
        <is>
          <t>Kyrkan</t>
        </is>
      </c>
      <c r="G17" t="n">
        <v>10.6</v>
      </c>
      <c r="H17" t="n">
        <v>1</v>
      </c>
      <c r="I17" t="n">
        <v>5</v>
      </c>
      <c r="J17" t="n">
        <v>10</v>
      </c>
      <c r="K17" t="n">
        <v>6</v>
      </c>
      <c r="L17" t="n">
        <v>0</v>
      </c>
      <c r="M17" t="n">
        <v>0</v>
      </c>
      <c r="N17" t="n">
        <v>0</v>
      </c>
      <c r="O17" t="n">
        <v>16</v>
      </c>
      <c r="P17" t="n">
        <v>6</v>
      </c>
      <c r="Q17" t="n">
        <v>22</v>
      </c>
      <c r="R17"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c r="Z17">
        <f>HYPERLINK("https://klasma.github.io/Logging_0980/fåglar/A 2222-2024 prioriterade fågelarter.docx", "A 2222-2024")</f>
        <v/>
      </c>
    </row>
    <row r="18" ht="15" customHeight="1">
      <c r="A18" t="inlineStr">
        <is>
          <t>A 24575-2025</t>
        </is>
      </c>
      <c r="B18" s="1" t="n">
        <v>45798</v>
      </c>
      <c r="C18" s="1" t="n">
        <v>46201</v>
      </c>
      <c r="D18" t="inlineStr">
        <is>
          <t>GOTLANDS LÄN</t>
        </is>
      </c>
      <c r="E18" t="inlineStr">
        <is>
          <t>GOTLAND</t>
        </is>
      </c>
      <c r="G18" t="n">
        <v>6.7</v>
      </c>
      <c r="H18" t="n">
        <v>10</v>
      </c>
      <c r="I18" t="n">
        <v>5</v>
      </c>
      <c r="J18" t="n">
        <v>10</v>
      </c>
      <c r="K18" t="n">
        <v>1</v>
      </c>
      <c r="L18" t="n">
        <v>1</v>
      </c>
      <c r="M18" t="n">
        <v>0</v>
      </c>
      <c r="N18" t="n">
        <v>0</v>
      </c>
      <c r="O18" t="n">
        <v>12</v>
      </c>
      <c r="P18" t="n">
        <v>2</v>
      </c>
      <c r="Q18" t="n">
        <v>22</v>
      </c>
      <c r="R18" s="2" t="inlineStr">
        <is>
          <t>Ask
Knärot
Axveronika
Backtimjan
Dårgräsfjäril
Jordtistel
Månlåsbräken
Reliktbock
Solvända
Svinrot
Sårläka
Ängsstarr
Grönpyrola
Nästrot
Skogsknipprot
Tvåblad
Vit skogslilja
Ormbär
Spillkråka
Fläcknycklar
Nattviol
Sankt pers nycklar</t>
        </is>
      </c>
      <c r="S18">
        <f>HYPERLINK("https://klasma.github.io/Logging_0980/artfynd/A 24575-2025 artfynd.xlsx", "A 24575-2025")</f>
        <v/>
      </c>
      <c r="T18">
        <f>HYPERLINK("https://klasma.github.io/Logging_0980/kartor/A 24575-2025 karta.png", "A 24575-2025")</f>
        <v/>
      </c>
      <c r="U18">
        <f>HYPERLINK("https://klasma.github.io/Logging_0980/knärot/A 24575-2025 karta knärot.png", "A 24575-2025")</f>
        <v/>
      </c>
      <c r="V18">
        <f>HYPERLINK("https://klasma.github.io/Logging_0980/klagomål/A 24575-2025 FSC-klagomål.docx", "A 24575-2025")</f>
        <v/>
      </c>
      <c r="W18">
        <f>HYPERLINK("https://klasma.github.io/Logging_0980/klagomålsmail/A 24575-2025 FSC-klagomål mail.docx", "A 24575-2025")</f>
        <v/>
      </c>
      <c r="X18">
        <f>HYPERLINK("https://klasma.github.io/Logging_0980/tillsyn/A 24575-2025 tillsynsbegäran.docx", "A 24575-2025")</f>
        <v/>
      </c>
      <c r="Y18">
        <f>HYPERLINK("https://klasma.github.io/Logging_0980/tillsynsmail/A 24575-2025 tillsynsbegäran mail.docx", "A 24575-2025")</f>
        <v/>
      </c>
      <c r="Z18">
        <f>HYPERLINK("https://klasma.github.io/Logging_0980/fåglar/A 24575-2025 prioriterade fågelarter.docx", "A 24575-2025")</f>
        <v/>
      </c>
    </row>
    <row r="19" ht="15" customHeight="1">
      <c r="A19" t="inlineStr">
        <is>
          <t>A 62551-2022</t>
        </is>
      </c>
      <c r="B19" s="1" t="n">
        <v>44924</v>
      </c>
      <c r="C19" s="1" t="n">
        <v>46201</v>
      </c>
      <c r="D19" t="inlineStr">
        <is>
          <t>GOTLANDS LÄN</t>
        </is>
      </c>
      <c r="E19" t="inlineStr">
        <is>
          <t>GOTLAND</t>
        </is>
      </c>
      <c r="G19" t="n">
        <v>7.9</v>
      </c>
      <c r="H19" t="n">
        <v>4</v>
      </c>
      <c r="I19" t="n">
        <v>7</v>
      </c>
      <c r="J19" t="n">
        <v>9</v>
      </c>
      <c r="K19" t="n">
        <v>4</v>
      </c>
      <c r="L19" t="n">
        <v>0</v>
      </c>
      <c r="M19" t="n">
        <v>0</v>
      </c>
      <c r="N19" t="n">
        <v>0</v>
      </c>
      <c r="O19" t="n">
        <v>13</v>
      </c>
      <c r="P19" t="n">
        <v>4</v>
      </c>
      <c r="Q19" t="n">
        <v>21</v>
      </c>
      <c r="R19"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15850-2025</t>
        </is>
      </c>
      <c r="B20" s="1" t="n">
        <v>45748</v>
      </c>
      <c r="C20" s="1" t="n">
        <v>46201</v>
      </c>
      <c r="D20" t="inlineStr">
        <is>
          <t>GOTLANDS LÄN</t>
        </is>
      </c>
      <c r="E20" t="inlineStr">
        <is>
          <t>GOTLAND</t>
        </is>
      </c>
      <c r="G20" t="n">
        <v>5.1</v>
      </c>
      <c r="H20" t="n">
        <v>6</v>
      </c>
      <c r="I20" t="n">
        <v>5</v>
      </c>
      <c r="J20" t="n">
        <v>8</v>
      </c>
      <c r="K20" t="n">
        <v>6</v>
      </c>
      <c r="L20" t="n">
        <v>0</v>
      </c>
      <c r="M20" t="n">
        <v>0</v>
      </c>
      <c r="N20" t="n">
        <v>0</v>
      </c>
      <c r="O20" t="n">
        <v>14</v>
      </c>
      <c r="P20" t="n">
        <v>6</v>
      </c>
      <c r="Q20" t="n">
        <v>21</v>
      </c>
      <c r="R20"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20">
        <f>HYPERLINK("https://klasma.github.io/Logging_0980/artfynd/A 15850-2025 artfynd.xlsx", "A 15850-2025")</f>
        <v/>
      </c>
      <c r="T20">
        <f>HYPERLINK("https://klasma.github.io/Logging_0980/kartor/A 15850-2025 karta.png", "A 15850-2025")</f>
        <v/>
      </c>
      <c r="V20">
        <f>HYPERLINK("https://klasma.github.io/Logging_0980/klagomål/A 15850-2025 FSC-klagomål.docx", "A 15850-2025")</f>
        <v/>
      </c>
      <c r="W20">
        <f>HYPERLINK("https://klasma.github.io/Logging_0980/klagomålsmail/A 15850-2025 FSC-klagomål mail.docx", "A 15850-2025")</f>
        <v/>
      </c>
      <c r="X20">
        <f>HYPERLINK("https://klasma.github.io/Logging_0980/tillsyn/A 15850-2025 tillsynsbegäran.docx", "A 15850-2025")</f>
        <v/>
      </c>
      <c r="Y20">
        <f>HYPERLINK("https://klasma.github.io/Logging_0980/tillsynsmail/A 15850-2025 tillsynsbegäran mail.docx", "A 15850-2025")</f>
        <v/>
      </c>
      <c r="Z20">
        <f>HYPERLINK("https://klasma.github.io/Logging_0980/fåglar/A 15850-2025 prioriterade fågelarter.docx", "A 15850-2025")</f>
        <v/>
      </c>
    </row>
    <row r="21" ht="15" customHeight="1">
      <c r="A21" t="inlineStr">
        <is>
          <t>A 15068-2025</t>
        </is>
      </c>
      <c r="B21" s="1" t="n">
        <v>45743</v>
      </c>
      <c r="C21" s="1" t="n">
        <v>46201</v>
      </c>
      <c r="D21" t="inlineStr">
        <is>
          <t>GOTLANDS LÄN</t>
        </is>
      </c>
      <c r="E21" t="inlineStr">
        <is>
          <t>GOTLAND</t>
        </is>
      </c>
      <c r="G21" t="n">
        <v>37.3</v>
      </c>
      <c r="H21" t="n">
        <v>5</v>
      </c>
      <c r="I21" t="n">
        <v>3</v>
      </c>
      <c r="J21" t="n">
        <v>6</v>
      </c>
      <c r="K21" t="n">
        <v>4</v>
      </c>
      <c r="L21" t="n">
        <v>0</v>
      </c>
      <c r="M21" t="n">
        <v>0</v>
      </c>
      <c r="N21" t="n">
        <v>0</v>
      </c>
      <c r="O21" t="n">
        <v>11</v>
      </c>
      <c r="P21" t="n">
        <v>4</v>
      </c>
      <c r="Q21" t="n">
        <v>19</v>
      </c>
      <c r="R2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46201</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46201</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46201</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46201</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62132-2023</t>
        </is>
      </c>
      <c r="B26" s="1" t="n">
        <v>45267</v>
      </c>
      <c r="C26" s="1" t="n">
        <v>46201</v>
      </c>
      <c r="D26" t="inlineStr">
        <is>
          <t>GOTLANDS LÄN</t>
        </is>
      </c>
      <c r="E26" t="inlineStr">
        <is>
          <t>GOTLAND</t>
        </is>
      </c>
      <c r="G26" t="n">
        <v>13.9</v>
      </c>
      <c r="H26" t="n">
        <v>5</v>
      </c>
      <c r="I26" t="n">
        <v>4</v>
      </c>
      <c r="J26" t="n">
        <v>7</v>
      </c>
      <c r="K26" t="n">
        <v>4</v>
      </c>
      <c r="L26" t="n">
        <v>0</v>
      </c>
      <c r="M26" t="n">
        <v>0</v>
      </c>
      <c r="N26" t="n">
        <v>0</v>
      </c>
      <c r="O26" t="n">
        <v>11</v>
      </c>
      <c r="P26" t="n">
        <v>4</v>
      </c>
      <c r="Q26" t="n">
        <v>17</v>
      </c>
      <c r="R26" s="2" t="inlineStr">
        <is>
          <t>Granrotspindling
Gulsträngad fagerspindling
Källnate
Vit taggsvamp
Backtimjan
Blå slemspindling
Dårgräsfjäril
Jordtistel
Odörspindling
Solvända
Äggspindling
Blåmossa
Mindre märgborre
Nästrot
Skogsknipprot
Spillkråka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46201</v>
      </c>
      <c r="D27" t="inlineStr">
        <is>
          <t>GOTLANDS LÄN</t>
        </is>
      </c>
      <c r="E27" t="inlineStr">
        <is>
          <t>GOTLAND</t>
        </is>
      </c>
      <c r="G27" t="n">
        <v>5.8</v>
      </c>
      <c r="H27" t="n">
        <v>3</v>
      </c>
      <c r="I27" t="n">
        <v>2</v>
      </c>
      <c r="J27" t="n">
        <v>9</v>
      </c>
      <c r="K27" t="n">
        <v>2</v>
      </c>
      <c r="L27" t="n">
        <v>0</v>
      </c>
      <c r="M27" t="n">
        <v>1</v>
      </c>
      <c r="N27" t="n">
        <v>0</v>
      </c>
      <c r="O27" t="n">
        <v>12</v>
      </c>
      <c r="P27" t="n">
        <v>3</v>
      </c>
      <c r="Q27" t="n">
        <v>17</v>
      </c>
      <c r="R27" s="2" t="inlineStr">
        <is>
          <t>Järnek
Gråfingerört
Naveljordstjärna
Axveronika
Backstarr
Backtimjan
Crepis tectorum subsp. tectorum
Grönnopping
Kalkvaxing
Odörspindling
Solvända
Svinrot
Anisspindling
Mindre märgborre
Blåsippa
Nattviol
Sankt pers nycklar</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46201</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2213-2023</t>
        </is>
      </c>
      <c r="B29" s="1" t="n">
        <v>44942</v>
      </c>
      <c r="C29" s="1" t="n">
        <v>46201</v>
      </c>
      <c r="D29" t="inlineStr">
        <is>
          <t>GOTLANDS LÄN</t>
        </is>
      </c>
      <c r="E29" t="inlineStr">
        <is>
          <t>GOTLAND</t>
        </is>
      </c>
      <c r="G29" t="n">
        <v>2.7</v>
      </c>
      <c r="H29" t="n">
        <v>1</v>
      </c>
      <c r="I29" t="n">
        <v>2</v>
      </c>
      <c r="J29" t="n">
        <v>10</v>
      </c>
      <c r="K29" t="n">
        <v>4</v>
      </c>
      <c r="L29" t="n">
        <v>0</v>
      </c>
      <c r="M29" t="n">
        <v>0</v>
      </c>
      <c r="N29" t="n">
        <v>0</v>
      </c>
      <c r="O29" t="n">
        <v>14</v>
      </c>
      <c r="P29" t="n">
        <v>4</v>
      </c>
      <c r="Q29" t="n">
        <v>16</v>
      </c>
      <c r="R29"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29">
        <f>HYPERLINK("https://klasma.github.io/Logging_0980/artfynd/A 2213-2023 artfynd.xlsx", "A 2213-2023")</f>
        <v/>
      </c>
      <c r="T29">
        <f>HYPERLINK("https://klasma.github.io/Logging_0980/kartor/A 2213-2023 karta.png", "A 2213-2023")</f>
        <v/>
      </c>
      <c r="V29">
        <f>HYPERLINK("https://klasma.github.io/Logging_0980/klagomål/A 2213-2023 FSC-klagomål.docx", "A 2213-2023")</f>
        <v/>
      </c>
      <c r="W29">
        <f>HYPERLINK("https://klasma.github.io/Logging_0980/klagomålsmail/A 2213-2023 FSC-klagomål mail.docx", "A 2213-2023")</f>
        <v/>
      </c>
      <c r="X29">
        <f>HYPERLINK("https://klasma.github.io/Logging_0980/tillsyn/A 2213-2023 tillsynsbegäran.docx", "A 2213-2023")</f>
        <v/>
      </c>
      <c r="Y29">
        <f>HYPERLINK("https://klasma.github.io/Logging_0980/tillsynsmail/A 2213-2023 tillsynsbegäran mail.docx", "A 2213-2023")</f>
        <v/>
      </c>
    </row>
    <row r="30" ht="15" customHeight="1">
      <c r="A30" t="inlineStr">
        <is>
          <t>A 25779-2022</t>
        </is>
      </c>
      <c r="B30" s="1" t="n">
        <v>44733</v>
      </c>
      <c r="C30" s="1" t="n">
        <v>46201</v>
      </c>
      <c r="D30" t="inlineStr">
        <is>
          <t>GOTLANDS LÄN</t>
        </is>
      </c>
      <c r="E30" t="inlineStr">
        <is>
          <t>GOTLAND</t>
        </is>
      </c>
      <c r="G30" t="n">
        <v>12.6</v>
      </c>
      <c r="H30" t="n">
        <v>4</v>
      </c>
      <c r="I30" t="n">
        <v>8</v>
      </c>
      <c r="J30" t="n">
        <v>5</v>
      </c>
      <c r="K30" t="n">
        <v>2</v>
      </c>
      <c r="L30" t="n">
        <v>1</v>
      </c>
      <c r="M30" t="n">
        <v>0</v>
      </c>
      <c r="N30" t="n">
        <v>0</v>
      </c>
      <c r="O30" t="n">
        <v>8</v>
      </c>
      <c r="P30" t="n">
        <v>3</v>
      </c>
      <c r="Q30" t="n">
        <v>16</v>
      </c>
      <c r="R30" s="2" t="inlineStr">
        <is>
          <t>Ruttaggsvamp
Duvspindling
Knärot
Blå slemspindling
Flattoppad klubbsvamp
Jordtistel
Odörspindling
Solvända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35141-2022</t>
        </is>
      </c>
      <c r="B31" s="1" t="n">
        <v>44797</v>
      </c>
      <c r="C31" s="1" t="n">
        <v>46201</v>
      </c>
      <c r="D31" t="inlineStr">
        <is>
          <t>GOTLANDS LÄN</t>
        </is>
      </c>
      <c r="E31" t="inlineStr">
        <is>
          <t>GOTLAND</t>
        </is>
      </c>
      <c r="G31" t="n">
        <v>1.8</v>
      </c>
      <c r="H31" t="n">
        <v>1</v>
      </c>
      <c r="I31" t="n">
        <v>8</v>
      </c>
      <c r="J31" t="n">
        <v>4</v>
      </c>
      <c r="K31" t="n">
        <v>4</v>
      </c>
      <c r="L31" t="n">
        <v>0</v>
      </c>
      <c r="M31" t="n">
        <v>0</v>
      </c>
      <c r="N31" t="n">
        <v>0</v>
      </c>
      <c r="O31" t="n">
        <v>8</v>
      </c>
      <c r="P31" t="n">
        <v>4</v>
      </c>
      <c r="Q31" t="n">
        <v>16</v>
      </c>
      <c r="R3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6153-2024</t>
        </is>
      </c>
      <c r="B32" s="1" t="n">
        <v>45337</v>
      </c>
      <c r="C32" s="1" t="n">
        <v>46201</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44204-2022</t>
        </is>
      </c>
      <c r="B33" s="1" t="n">
        <v>44839</v>
      </c>
      <c r="C33" s="1" t="n">
        <v>46201</v>
      </c>
      <c r="D33" t="inlineStr">
        <is>
          <t>GOTLANDS LÄN</t>
        </is>
      </c>
      <c r="E33" t="inlineStr">
        <is>
          <t>GOTLAND</t>
        </is>
      </c>
      <c r="G33" t="n">
        <v>2.3</v>
      </c>
      <c r="H33" t="n">
        <v>4</v>
      </c>
      <c r="I33" t="n">
        <v>3</v>
      </c>
      <c r="J33" t="n">
        <v>6</v>
      </c>
      <c r="K33" t="n">
        <v>3</v>
      </c>
      <c r="L33" t="n">
        <v>2</v>
      </c>
      <c r="M33" t="n">
        <v>0</v>
      </c>
      <c r="N33" t="n">
        <v>0</v>
      </c>
      <c r="O33" t="n">
        <v>11</v>
      </c>
      <c r="P33" t="n">
        <v>5</v>
      </c>
      <c r="Q33" t="n">
        <v>16</v>
      </c>
      <c r="R33"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63872-2021</t>
        </is>
      </c>
      <c r="B34" s="1" t="n">
        <v>44509</v>
      </c>
      <c r="C34" s="1" t="n">
        <v>46201</v>
      </c>
      <c r="D34" t="inlineStr">
        <is>
          <t>GOTLANDS LÄN</t>
        </is>
      </c>
      <c r="E34" t="inlineStr">
        <is>
          <t>GOTLAND</t>
        </is>
      </c>
      <c r="G34" t="n">
        <v>20.5</v>
      </c>
      <c r="H34" t="n">
        <v>3</v>
      </c>
      <c r="I34" t="n">
        <v>1</v>
      </c>
      <c r="J34" t="n">
        <v>5</v>
      </c>
      <c r="K34" t="n">
        <v>6</v>
      </c>
      <c r="L34" t="n">
        <v>0</v>
      </c>
      <c r="M34" t="n">
        <v>0</v>
      </c>
      <c r="N34" t="n">
        <v>0</v>
      </c>
      <c r="O34" t="n">
        <v>11</v>
      </c>
      <c r="P34" t="n">
        <v>6</v>
      </c>
      <c r="Q34" t="n">
        <v>15</v>
      </c>
      <c r="R34" s="2" t="inlineStr">
        <is>
          <t>Duvspindling
Gulsträngad fagerspindling
Lundvaxskivling
Narrspindling
Svartgrön spindling
Tallpraktspindling
Barrfagerspindling
Jordtistel
Jungfrulin
Kristallporing
Odörspindling
Fransig jordstjärna
Blåsippa
Spillkråka
Sankt pers nycklar</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43201-2023</t>
        </is>
      </c>
      <c r="B35" s="1" t="n">
        <v>45183</v>
      </c>
      <c r="C35" s="1" t="n">
        <v>46201</v>
      </c>
      <c r="D35" t="inlineStr">
        <is>
          <t>GOTLANDS LÄN</t>
        </is>
      </c>
      <c r="E35" t="inlineStr">
        <is>
          <t>GOTLAND</t>
        </is>
      </c>
      <c r="G35" t="n">
        <v>5.6</v>
      </c>
      <c r="H35" t="n">
        <v>0</v>
      </c>
      <c r="I35" t="n">
        <v>6</v>
      </c>
      <c r="J35" t="n">
        <v>4</v>
      </c>
      <c r="K35" t="n">
        <v>3</v>
      </c>
      <c r="L35" t="n">
        <v>2</v>
      </c>
      <c r="M35" t="n">
        <v>0</v>
      </c>
      <c r="N35" t="n">
        <v>0</v>
      </c>
      <c r="O35" t="n">
        <v>9</v>
      </c>
      <c r="P35" t="n">
        <v>5</v>
      </c>
      <c r="Q35" t="n">
        <v>15</v>
      </c>
      <c r="R35" s="2" t="inlineStr">
        <is>
          <t>Almlav
Mörk lundlav
Blek kraterlav
Mörk kraterlav
Ädellav
Hjälmbrosklav
Lunglav
Rosa skärelav
Skuggorangelav
Guldlockmossa
Gulpudrad spiklav
Lönnlav
Rostfläck
Slät lönnlav
Vitskivlav</t>
        </is>
      </c>
      <c r="S35">
        <f>HYPERLINK("https://klasma.github.io/Logging_0980/artfynd/A 43201-2023 artfynd.xlsx", "A 43201-2023")</f>
        <v/>
      </c>
      <c r="T35">
        <f>HYPERLINK("https://klasma.github.io/Logging_0980/kartor/A 43201-2023 karta.png", "A 43201-2023")</f>
        <v/>
      </c>
      <c r="V35">
        <f>HYPERLINK("https://klasma.github.io/Logging_0980/klagomål/A 43201-2023 FSC-klagomål.docx", "A 43201-2023")</f>
        <v/>
      </c>
      <c r="W35">
        <f>HYPERLINK("https://klasma.github.io/Logging_0980/klagomålsmail/A 43201-2023 FSC-klagomål mail.docx", "A 43201-2023")</f>
        <v/>
      </c>
      <c r="X35">
        <f>HYPERLINK("https://klasma.github.io/Logging_0980/tillsyn/A 43201-2023 tillsynsbegäran.docx", "A 43201-2023")</f>
        <v/>
      </c>
      <c r="Y35">
        <f>HYPERLINK("https://klasma.github.io/Logging_0980/tillsynsmail/A 43201-2023 tillsynsbegäran mail.docx", "A 43201-2023")</f>
        <v/>
      </c>
    </row>
    <row r="36" ht="15" customHeight="1">
      <c r="A36" t="inlineStr">
        <is>
          <t>A 27759-2026</t>
        </is>
      </c>
      <c r="B36" s="1" t="n">
        <v>46191</v>
      </c>
      <c r="C36" s="1" t="n">
        <v>46201</v>
      </c>
      <c r="D36" t="inlineStr">
        <is>
          <t>GOTLANDS LÄN</t>
        </is>
      </c>
      <c r="E36" t="inlineStr">
        <is>
          <t>GOTLAND</t>
        </is>
      </c>
      <c r="G36" t="n">
        <v>12.1</v>
      </c>
      <c r="H36" t="n">
        <v>3</v>
      </c>
      <c r="I36" t="n">
        <v>5</v>
      </c>
      <c r="J36" t="n">
        <v>1</v>
      </c>
      <c r="K36" t="n">
        <v>4</v>
      </c>
      <c r="L36" t="n">
        <v>0</v>
      </c>
      <c r="M36" t="n">
        <v>2</v>
      </c>
      <c r="N36" t="n">
        <v>0</v>
      </c>
      <c r="O36" t="n">
        <v>7</v>
      </c>
      <c r="P36" t="n">
        <v>6</v>
      </c>
      <c r="Q36" t="n">
        <v>15</v>
      </c>
      <c r="R36" s="2" t="inlineStr">
        <is>
          <t>Cinnoberfläck
Coniocarpon fallax
Aspfjädermossa
Mörk kraterlav
Tvådoftspindling
Ädellav
Odörspindling
Anisspindling
Havstulpanlav
Korallblylav
Pluteus cyanopus
Rikfruktig blemlav
Kråka
Skogsduva
Revlummer</t>
        </is>
      </c>
      <c r="S36">
        <f>HYPERLINK("https://klasma.github.io/Logging_0980/artfynd/A 27759-2026 artfynd.xlsx", "A 27759-2026")</f>
        <v/>
      </c>
      <c r="T36">
        <f>HYPERLINK("https://klasma.github.io/Logging_0980/kartor/A 27759-2026 karta.png", "A 27759-2026")</f>
        <v/>
      </c>
      <c r="V36">
        <f>HYPERLINK("https://klasma.github.io/Logging_0980/klagomål/A 27759-2026 FSC-klagomål.docx", "A 27759-2026")</f>
        <v/>
      </c>
      <c r="W36">
        <f>HYPERLINK("https://klasma.github.io/Logging_0980/klagomålsmail/A 27759-2026 FSC-klagomål mail.docx", "A 27759-2026")</f>
        <v/>
      </c>
      <c r="X36">
        <f>HYPERLINK("https://klasma.github.io/Logging_0980/tillsyn/A 27759-2026 tillsynsbegäran.docx", "A 27759-2026")</f>
        <v/>
      </c>
      <c r="Y36">
        <f>HYPERLINK("https://klasma.github.io/Logging_0980/tillsynsmail/A 27759-2026 tillsynsbegäran mail.docx", "A 27759-2026")</f>
        <v/>
      </c>
    </row>
    <row r="37" ht="15" customHeight="1">
      <c r="A37" t="inlineStr">
        <is>
          <t>A 44928-2022</t>
        </is>
      </c>
      <c r="B37" s="1" t="n">
        <v>44841</v>
      </c>
      <c r="C37" s="1" t="n">
        <v>46201</v>
      </c>
      <c r="D37" t="inlineStr">
        <is>
          <t>GOTLANDS LÄN</t>
        </is>
      </c>
      <c r="E37" t="inlineStr">
        <is>
          <t>GOTLAND</t>
        </is>
      </c>
      <c r="G37" t="n">
        <v>3.7</v>
      </c>
      <c r="H37" t="n">
        <v>1</v>
      </c>
      <c r="I37" t="n">
        <v>4</v>
      </c>
      <c r="J37" t="n">
        <v>5</v>
      </c>
      <c r="K37" t="n">
        <v>3</v>
      </c>
      <c r="L37" t="n">
        <v>1</v>
      </c>
      <c r="M37" t="n">
        <v>0</v>
      </c>
      <c r="N37" t="n">
        <v>0</v>
      </c>
      <c r="O37" t="n">
        <v>10</v>
      </c>
      <c r="P37" t="n">
        <v>4</v>
      </c>
      <c r="Q37" t="n">
        <v>14</v>
      </c>
      <c r="R37" s="2" t="inlineStr">
        <is>
          <t>Barkkvastmossa
Gulsträngad fagerspindling
Mörk kraterlav
Tvillingspindling
Blå slemspindling
Kattfotslav
Odörspindling
Puderspindling
Ängsstarr
Frostig asplav
Anisspindling
Axag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33153-2024</t>
        </is>
      </c>
      <c r="B38" s="1" t="n">
        <v>45518</v>
      </c>
      <c r="C38" s="1" t="n">
        <v>46201</v>
      </c>
      <c r="D38" t="inlineStr">
        <is>
          <t>GOTLANDS LÄN</t>
        </is>
      </c>
      <c r="E38" t="inlineStr">
        <is>
          <t>GOTLAND</t>
        </is>
      </c>
      <c r="G38" t="n">
        <v>10.3</v>
      </c>
      <c r="H38" t="n">
        <v>3</v>
      </c>
      <c r="I38" t="n">
        <v>8</v>
      </c>
      <c r="J38" t="n">
        <v>5</v>
      </c>
      <c r="K38" t="n">
        <v>1</v>
      </c>
      <c r="L38" t="n">
        <v>0</v>
      </c>
      <c r="M38" t="n">
        <v>0</v>
      </c>
      <c r="N38" t="n">
        <v>0</v>
      </c>
      <c r="O38" t="n">
        <v>6</v>
      </c>
      <c r="P38" t="n">
        <v>1</v>
      </c>
      <c r="Q38" t="n">
        <v>14</v>
      </c>
      <c r="R38" s="2" t="inlineStr">
        <is>
          <t>Duvspindling
Blå slemspindling
Flattoppad klubbsvamp
Jordtistel
Odörspindling
Solvända
Nästrot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11176-2024</t>
        </is>
      </c>
      <c r="B39" s="1" t="n">
        <v>45371</v>
      </c>
      <c r="C39" s="1" t="n">
        <v>46201</v>
      </c>
      <c r="D39" t="inlineStr">
        <is>
          <t>GOTLANDS LÄN</t>
        </is>
      </c>
      <c r="E39" t="inlineStr">
        <is>
          <t>GOTLAND</t>
        </is>
      </c>
      <c r="G39" t="n">
        <v>1.7</v>
      </c>
      <c r="H39" t="n">
        <v>0</v>
      </c>
      <c r="I39" t="n">
        <v>4</v>
      </c>
      <c r="J39" t="n">
        <v>3</v>
      </c>
      <c r="K39" t="n">
        <v>7</v>
      </c>
      <c r="L39" t="n">
        <v>0</v>
      </c>
      <c r="M39" t="n">
        <v>0</v>
      </c>
      <c r="N39" t="n">
        <v>0</v>
      </c>
      <c r="O39" t="n">
        <v>10</v>
      </c>
      <c r="P39" t="n">
        <v>7</v>
      </c>
      <c r="Q39" t="n">
        <v>14</v>
      </c>
      <c r="R39" s="2" t="inlineStr">
        <is>
          <t>Granrotspindling
Gul lammticka
Gulsträngad fagerspindling
Svartgrön spindling
Tvillingspindling
Violettfläckig spindling
Vit taggsvamp
Bittermusseron
Blå slemspindling
Odörspindling
Anisspindling
Olivspindling
Rödbrun jordstjärna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46201</v>
      </c>
      <c r="D40" t="inlineStr">
        <is>
          <t>GOTLANDS LÄN</t>
        </is>
      </c>
      <c r="E40" t="inlineStr">
        <is>
          <t>GOTLAND</t>
        </is>
      </c>
      <c r="G40" t="n">
        <v>9.800000000000001</v>
      </c>
      <c r="H40" t="n">
        <v>6</v>
      </c>
      <c r="I40" t="n">
        <v>3</v>
      </c>
      <c r="J40" t="n">
        <v>5</v>
      </c>
      <c r="K40" t="n">
        <v>2</v>
      </c>
      <c r="L40" t="n">
        <v>0</v>
      </c>
      <c r="M40" t="n">
        <v>0</v>
      </c>
      <c r="N40" t="n">
        <v>0</v>
      </c>
      <c r="O40" t="n">
        <v>7</v>
      </c>
      <c r="P40" t="n">
        <v>2</v>
      </c>
      <c r="Q40" t="n">
        <v>14</v>
      </c>
      <c r="R40" s="2" t="inlineStr">
        <is>
          <t>Garderönn
Gråfingerört
Backstarr
Backtimjan
Dårgräsfjäril
Reliktbock
Vippärt
Axag
Grönpyrola
Kragjordstjärna
Spillkråka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14354-2024</t>
        </is>
      </c>
      <c r="B41" s="1" t="n">
        <v>45393</v>
      </c>
      <c r="C41" s="1" t="n">
        <v>46201</v>
      </c>
      <c r="D41" t="inlineStr">
        <is>
          <t>GOTLANDS LÄN</t>
        </is>
      </c>
      <c r="E41" t="inlineStr">
        <is>
          <t>GOTLAND</t>
        </is>
      </c>
      <c r="G41" t="n">
        <v>2.4</v>
      </c>
      <c r="H41" t="n">
        <v>10</v>
      </c>
      <c r="I41" t="n">
        <v>4</v>
      </c>
      <c r="J41" t="n">
        <v>6</v>
      </c>
      <c r="K41" t="n">
        <v>0</v>
      </c>
      <c r="L41" t="n">
        <v>0</v>
      </c>
      <c r="M41" t="n">
        <v>0</v>
      </c>
      <c r="N41" t="n">
        <v>0</v>
      </c>
      <c r="O41" t="n">
        <v>6</v>
      </c>
      <c r="P41" t="n">
        <v>0</v>
      </c>
      <c r="Q41" t="n">
        <v>14</v>
      </c>
      <c r="R41" s="2" t="inlineStr">
        <is>
          <t>Dårgräsfjäril
Entita
Grönsångare
Smedbock
Svinrot
Ängsskära
Blåmossa
Nästrot
Skogsknipprot
Tvåblad
Blåsippa
Spillkråka
Fläcknycklar
Nattviol</t>
        </is>
      </c>
      <c r="S41">
        <f>HYPERLINK("https://klasma.github.io/Logging_0980/artfynd/A 14354-2024 artfynd.xlsx", "A 14354-2024")</f>
        <v/>
      </c>
      <c r="T41">
        <f>HYPERLINK("https://klasma.github.io/Logging_0980/kartor/A 14354-2024 karta.png", "A 14354-2024")</f>
        <v/>
      </c>
      <c r="V41">
        <f>HYPERLINK("https://klasma.github.io/Logging_0980/klagomål/A 14354-2024 FSC-klagomål.docx", "A 14354-2024")</f>
        <v/>
      </c>
      <c r="W41">
        <f>HYPERLINK("https://klasma.github.io/Logging_0980/klagomålsmail/A 14354-2024 FSC-klagomål mail.docx", "A 14354-2024")</f>
        <v/>
      </c>
      <c r="X41">
        <f>HYPERLINK("https://klasma.github.io/Logging_0980/tillsyn/A 14354-2024 tillsynsbegäran.docx", "A 14354-2024")</f>
        <v/>
      </c>
      <c r="Y41">
        <f>HYPERLINK("https://klasma.github.io/Logging_0980/tillsynsmail/A 14354-2024 tillsynsbegäran mail.docx", "A 14354-2024")</f>
        <v/>
      </c>
      <c r="Z41">
        <f>HYPERLINK("https://klasma.github.io/Logging_0980/fåglar/A 14354-2024 prioriterade fågelarter.docx", "A 14354-2024")</f>
        <v/>
      </c>
    </row>
    <row r="42" ht="15" customHeight="1">
      <c r="A42" t="inlineStr">
        <is>
          <t>A 27168-2022</t>
        </is>
      </c>
      <c r="B42" s="1" t="n">
        <v>44741</v>
      </c>
      <c r="C42" s="1" t="n">
        <v>46201</v>
      </c>
      <c r="D42" t="inlineStr">
        <is>
          <t>GOTLANDS LÄN</t>
        </is>
      </c>
      <c r="E42" t="inlineStr">
        <is>
          <t>GOTLAND</t>
        </is>
      </c>
      <c r="G42" t="n">
        <v>2.2</v>
      </c>
      <c r="H42" t="n">
        <v>9</v>
      </c>
      <c r="I42" t="n">
        <v>4</v>
      </c>
      <c r="J42" t="n">
        <v>2</v>
      </c>
      <c r="K42" t="n">
        <v>2</v>
      </c>
      <c r="L42" t="n">
        <v>0</v>
      </c>
      <c r="M42" t="n">
        <v>0</v>
      </c>
      <c r="N42" t="n">
        <v>0</v>
      </c>
      <c r="O42" t="n">
        <v>4</v>
      </c>
      <c r="P42" t="n">
        <v>2</v>
      </c>
      <c r="Q42" t="n">
        <v>13</v>
      </c>
      <c r="R42" s="2" t="inlineStr">
        <is>
          <t>Bredbrämad bastardsvärmare
Gotlandsmåra
Solvända
Svinrot
Purpurknipprot
Skogsknipprot
Tvåblad
Vit skogslilja
Citronfläckad kärrtrollslända
Brudsporre
Fläcknycklar
Kärrknipprot
Nattviol</t>
        </is>
      </c>
      <c r="S42">
        <f>HYPERLINK("https://klasma.github.io/Logging_0980/artfynd/A 27168-2022 artfynd.xlsx", "A 27168-2022")</f>
        <v/>
      </c>
      <c r="T42">
        <f>HYPERLINK("https://klasma.github.io/Logging_0980/kartor/A 27168-2022 karta.png", "A 27168-2022")</f>
        <v/>
      </c>
      <c r="V42">
        <f>HYPERLINK("https://klasma.github.io/Logging_0980/klagomål/A 27168-2022 FSC-klagomål.docx", "A 27168-2022")</f>
        <v/>
      </c>
      <c r="W42">
        <f>HYPERLINK("https://klasma.github.io/Logging_0980/klagomålsmail/A 27168-2022 FSC-klagomål mail.docx", "A 27168-2022")</f>
        <v/>
      </c>
      <c r="X42">
        <f>HYPERLINK("https://klasma.github.io/Logging_0980/tillsyn/A 27168-2022 tillsynsbegäran.docx", "A 27168-2022")</f>
        <v/>
      </c>
      <c r="Y42">
        <f>HYPERLINK("https://klasma.github.io/Logging_0980/tillsynsmail/A 27168-2022 tillsynsbegäran mail.docx", "A 27168-2022")</f>
        <v/>
      </c>
    </row>
    <row r="43" ht="15" customHeight="1">
      <c r="A43" t="inlineStr">
        <is>
          <t>A 63149-2025</t>
        </is>
      </c>
      <c r="B43" s="1" t="n">
        <v>46010</v>
      </c>
      <c r="C43" s="1" t="n">
        <v>46201</v>
      </c>
      <c r="D43" t="inlineStr">
        <is>
          <t>GOTLANDS LÄN</t>
        </is>
      </c>
      <c r="E43" t="inlineStr">
        <is>
          <t>GOTLAND</t>
        </is>
      </c>
      <c r="G43" t="n">
        <v>4.3</v>
      </c>
      <c r="H43" t="n">
        <v>7</v>
      </c>
      <c r="I43" t="n">
        <v>2</v>
      </c>
      <c r="J43" t="n">
        <v>6</v>
      </c>
      <c r="K43" t="n">
        <v>0</v>
      </c>
      <c r="L43" t="n">
        <v>0</v>
      </c>
      <c r="M43" t="n">
        <v>0</v>
      </c>
      <c r="N43" t="n">
        <v>0</v>
      </c>
      <c r="O43" t="n">
        <v>6</v>
      </c>
      <c r="P43" t="n">
        <v>0</v>
      </c>
      <c r="Q43" t="n">
        <v>13</v>
      </c>
      <c r="R43" s="2" t="inlineStr">
        <is>
          <t>Backtimjan
Berggräsfjäril
Dårgräsfjäril
Gulsparv
Solvända
Svinrot
Anisspindling
Skogsknipprot
Ormbär
Spillkråka
Fläcknycklar
Nattviol
Sankt pers nycklar</t>
        </is>
      </c>
      <c r="S43">
        <f>HYPERLINK("https://klasma.github.io/Logging_0980/artfynd/A 63149-2025 artfynd.xlsx", "A 63149-2025")</f>
        <v/>
      </c>
      <c r="T43">
        <f>HYPERLINK("https://klasma.github.io/Logging_0980/kartor/A 63149-2025 karta.png", "A 63149-2025")</f>
        <v/>
      </c>
      <c r="V43">
        <f>HYPERLINK("https://klasma.github.io/Logging_0980/klagomål/A 63149-2025 FSC-klagomål.docx", "A 63149-2025")</f>
        <v/>
      </c>
      <c r="W43">
        <f>HYPERLINK("https://klasma.github.io/Logging_0980/klagomålsmail/A 63149-2025 FSC-klagomål mail.docx", "A 63149-2025")</f>
        <v/>
      </c>
      <c r="X43">
        <f>HYPERLINK("https://klasma.github.io/Logging_0980/tillsyn/A 63149-2025 tillsynsbegäran.docx", "A 63149-2025")</f>
        <v/>
      </c>
      <c r="Y43">
        <f>HYPERLINK("https://klasma.github.io/Logging_0980/tillsynsmail/A 63149-2025 tillsynsbegäran mail.docx", "A 63149-2025")</f>
        <v/>
      </c>
      <c r="Z43">
        <f>HYPERLINK("https://klasma.github.io/Logging_0980/fåglar/A 63149-2025 prioriterade fågelarter.docx", "A 63149-2025")</f>
        <v/>
      </c>
    </row>
    <row r="44" ht="15" customHeight="1">
      <c r="A44" t="inlineStr">
        <is>
          <t>A 37037-2021</t>
        </is>
      </c>
      <c r="B44" s="1" t="n">
        <v>44393</v>
      </c>
      <c r="C44" s="1" t="n">
        <v>46201</v>
      </c>
      <c r="D44" t="inlineStr">
        <is>
          <t>GOTLANDS LÄN</t>
        </is>
      </c>
      <c r="E44" t="inlineStr">
        <is>
          <t>GOTLAND</t>
        </is>
      </c>
      <c r="G44" t="n">
        <v>10.2</v>
      </c>
      <c r="H44" t="n">
        <v>1</v>
      </c>
      <c r="I44" t="n">
        <v>4</v>
      </c>
      <c r="J44" t="n">
        <v>4</v>
      </c>
      <c r="K44" t="n">
        <v>4</v>
      </c>
      <c r="L44" t="n">
        <v>0</v>
      </c>
      <c r="M44" t="n">
        <v>0</v>
      </c>
      <c r="N44" t="n">
        <v>0</v>
      </c>
      <c r="O44" t="n">
        <v>8</v>
      </c>
      <c r="P44" t="n">
        <v>4</v>
      </c>
      <c r="Q44" t="n">
        <v>12</v>
      </c>
      <c r="R44" s="2" t="inlineStr">
        <is>
          <t>Gulsträngad fagerspindling
Svartgrön spindling
Trollspindling
Vit taggsvamp
Apollofjäril
Blå slemspindling
Kattfotslav
Odörspindling
Anisspindling
Olivspindling
Svavelriska
Zontaggsvamp</t>
        </is>
      </c>
      <c r="S44">
        <f>HYPERLINK("https://klasma.github.io/Logging_0980/artfynd/A 37037-2021 artfynd.xlsx", "A 37037-2021")</f>
        <v/>
      </c>
      <c r="T44">
        <f>HYPERLINK("https://klasma.github.io/Logging_0980/kartor/A 37037-2021 karta.png", "A 37037-2021")</f>
        <v/>
      </c>
      <c r="V44">
        <f>HYPERLINK("https://klasma.github.io/Logging_0980/klagomål/A 37037-2021 FSC-klagomål.docx", "A 37037-2021")</f>
        <v/>
      </c>
      <c r="W44">
        <f>HYPERLINK("https://klasma.github.io/Logging_0980/klagomålsmail/A 37037-2021 FSC-klagomål mail.docx", "A 37037-2021")</f>
        <v/>
      </c>
      <c r="X44">
        <f>HYPERLINK("https://klasma.github.io/Logging_0980/tillsyn/A 37037-2021 tillsynsbegäran.docx", "A 37037-2021")</f>
        <v/>
      </c>
      <c r="Y44">
        <f>HYPERLINK("https://klasma.github.io/Logging_0980/tillsynsmail/A 37037-2021 tillsynsbegäran mail.docx", "A 37037-2021")</f>
        <v/>
      </c>
    </row>
    <row r="45" ht="15" customHeight="1">
      <c r="A45" t="inlineStr">
        <is>
          <t>A 3324-2023</t>
        </is>
      </c>
      <c r="B45" s="1" t="n">
        <v>44949</v>
      </c>
      <c r="C45" s="1" t="n">
        <v>46201</v>
      </c>
      <c r="D45" t="inlineStr">
        <is>
          <t>GOTLANDS LÄN</t>
        </is>
      </c>
      <c r="E45" t="inlineStr">
        <is>
          <t>GOTLAND</t>
        </is>
      </c>
      <c r="G45" t="n">
        <v>6.2</v>
      </c>
      <c r="H45" t="n">
        <v>0</v>
      </c>
      <c r="I45" t="n">
        <v>3</v>
      </c>
      <c r="J45" t="n">
        <v>3</v>
      </c>
      <c r="K45" t="n">
        <v>6</v>
      </c>
      <c r="L45" t="n">
        <v>0</v>
      </c>
      <c r="M45" t="n">
        <v>0</v>
      </c>
      <c r="N45" t="n">
        <v>0</v>
      </c>
      <c r="O45" t="n">
        <v>9</v>
      </c>
      <c r="P45" t="n">
        <v>6</v>
      </c>
      <c r="Q45" t="n">
        <v>12</v>
      </c>
      <c r="R45" s="2" t="inlineStr">
        <is>
          <t>Blåfotad fagerspindling
Duvspindling
Granrotspindling
Gulsträngad fagerspindling
Svartgrön spindling
Tvillingspindling
Blå slemspindling
Odörspindling
Äggspindling
Anisspindling
Olivspindling
Rödgul trumpetsvamp</t>
        </is>
      </c>
      <c r="S45">
        <f>HYPERLINK("https://klasma.github.io/Logging_0980/artfynd/A 3324-2023 artfynd.xlsx", "A 3324-2023")</f>
        <v/>
      </c>
      <c r="T45">
        <f>HYPERLINK("https://klasma.github.io/Logging_0980/kartor/A 3324-2023 karta.png", "A 3324-2023")</f>
        <v/>
      </c>
      <c r="V45">
        <f>HYPERLINK("https://klasma.github.io/Logging_0980/klagomål/A 3324-2023 FSC-klagomål.docx", "A 3324-2023")</f>
        <v/>
      </c>
      <c r="W45">
        <f>HYPERLINK("https://klasma.github.io/Logging_0980/klagomålsmail/A 3324-2023 FSC-klagomål mail.docx", "A 3324-2023")</f>
        <v/>
      </c>
      <c r="X45">
        <f>HYPERLINK("https://klasma.github.io/Logging_0980/tillsyn/A 3324-2023 tillsynsbegäran.docx", "A 3324-2023")</f>
        <v/>
      </c>
      <c r="Y45">
        <f>HYPERLINK("https://klasma.github.io/Logging_0980/tillsynsmail/A 3324-2023 tillsynsbegäran mail.docx", "A 3324-2023")</f>
        <v/>
      </c>
    </row>
    <row r="46" ht="15" customHeight="1">
      <c r="A46" t="inlineStr">
        <is>
          <t>A 28287-2024</t>
        </is>
      </c>
      <c r="B46" s="1" t="n">
        <v>45477</v>
      </c>
      <c r="C46" s="1" t="n">
        <v>46201</v>
      </c>
      <c r="D46" t="inlineStr">
        <is>
          <t>GOTLANDS LÄN</t>
        </is>
      </c>
      <c r="E46" t="inlineStr">
        <is>
          <t>GOTLAND</t>
        </is>
      </c>
      <c r="G46" t="n">
        <v>23.4</v>
      </c>
      <c r="H46" t="n">
        <v>2</v>
      </c>
      <c r="I46" t="n">
        <v>0</v>
      </c>
      <c r="J46" t="n">
        <v>10</v>
      </c>
      <c r="K46" t="n">
        <v>0</v>
      </c>
      <c r="L46" t="n">
        <v>1</v>
      </c>
      <c r="M46" t="n">
        <v>0</v>
      </c>
      <c r="N46" t="n">
        <v>0</v>
      </c>
      <c r="O46" t="n">
        <v>11</v>
      </c>
      <c r="P46" t="n">
        <v>1</v>
      </c>
      <c r="Q46" t="n">
        <v>12</v>
      </c>
      <c r="R46" s="2" t="inlineStr">
        <is>
          <t>Ask
Axveronika
Backtimjan
Flentimotej
Gulsparv
Jordtistel
Piggtistel
Silversmygare
Smedbock
Solvända
Vårstarr
Blåsippa</t>
        </is>
      </c>
      <c r="S46">
        <f>HYPERLINK("https://klasma.github.io/Logging_0980/artfynd/A 28287-2024 artfynd.xlsx", "A 28287-2024")</f>
        <v/>
      </c>
      <c r="T46">
        <f>HYPERLINK("https://klasma.github.io/Logging_0980/kartor/A 28287-2024 karta.png", "A 28287-2024")</f>
        <v/>
      </c>
      <c r="V46">
        <f>HYPERLINK("https://klasma.github.io/Logging_0980/klagomål/A 28287-2024 FSC-klagomål.docx", "A 28287-2024")</f>
        <v/>
      </c>
      <c r="W46">
        <f>HYPERLINK("https://klasma.github.io/Logging_0980/klagomålsmail/A 28287-2024 FSC-klagomål mail.docx", "A 28287-2024")</f>
        <v/>
      </c>
      <c r="X46">
        <f>HYPERLINK("https://klasma.github.io/Logging_0980/tillsyn/A 28287-2024 tillsynsbegäran.docx", "A 28287-2024")</f>
        <v/>
      </c>
      <c r="Y46">
        <f>HYPERLINK("https://klasma.github.io/Logging_0980/tillsynsmail/A 28287-2024 tillsynsbegäran mail.docx", "A 28287-2024")</f>
        <v/>
      </c>
      <c r="Z46">
        <f>HYPERLINK("https://klasma.github.io/Logging_0980/fåglar/A 28287-2024 prioriterade fågelarter.docx", "A 28287-2024")</f>
        <v/>
      </c>
    </row>
    <row r="47" ht="15" customHeight="1">
      <c r="A47" t="inlineStr">
        <is>
          <t>A 6052-2024</t>
        </is>
      </c>
      <c r="B47" s="1" t="n">
        <v>45336</v>
      </c>
      <c r="C47" s="1" t="n">
        <v>46201</v>
      </c>
      <c r="D47" t="inlineStr">
        <is>
          <t>GOTLANDS LÄN</t>
        </is>
      </c>
      <c r="E47" t="inlineStr">
        <is>
          <t>GOTLAND</t>
        </is>
      </c>
      <c r="G47" t="n">
        <v>10.3</v>
      </c>
      <c r="H47" t="n">
        <v>1</v>
      </c>
      <c r="I47" t="n">
        <v>3</v>
      </c>
      <c r="J47" t="n">
        <v>7</v>
      </c>
      <c r="K47" t="n">
        <v>2</v>
      </c>
      <c r="L47" t="n">
        <v>0</v>
      </c>
      <c r="M47" t="n">
        <v>0</v>
      </c>
      <c r="N47" t="n">
        <v>0</v>
      </c>
      <c r="O47" t="n">
        <v>9</v>
      </c>
      <c r="P47" t="n">
        <v>2</v>
      </c>
      <c r="Q47" t="n">
        <v>12</v>
      </c>
      <c r="R47" s="2" t="inlineStr">
        <is>
          <t>Lansettfibbla
Narrspindling
Ladlav
Odörspindling
Smedbock
Svinrot
Tallticka
Vippärt
Vårärt
Anisspindling
Nästrot
Olivspindling</t>
        </is>
      </c>
      <c r="S47">
        <f>HYPERLINK("https://klasma.github.io/Logging_0980/artfynd/A 6052-2024 artfynd.xlsx", "A 6052-2024")</f>
        <v/>
      </c>
      <c r="T47">
        <f>HYPERLINK("https://klasma.github.io/Logging_0980/kartor/A 6052-2024 karta.png", "A 6052-2024")</f>
        <v/>
      </c>
      <c r="V47">
        <f>HYPERLINK("https://klasma.github.io/Logging_0980/klagomål/A 6052-2024 FSC-klagomål.docx", "A 6052-2024")</f>
        <v/>
      </c>
      <c r="W47">
        <f>HYPERLINK("https://klasma.github.io/Logging_0980/klagomålsmail/A 6052-2024 FSC-klagomål mail.docx", "A 6052-2024")</f>
        <v/>
      </c>
      <c r="X47">
        <f>HYPERLINK("https://klasma.github.io/Logging_0980/tillsyn/A 6052-2024 tillsynsbegäran.docx", "A 6052-2024")</f>
        <v/>
      </c>
      <c r="Y47">
        <f>HYPERLINK("https://klasma.github.io/Logging_0980/tillsynsmail/A 6052-2024 tillsynsbegäran mail.docx", "A 6052-2024")</f>
        <v/>
      </c>
    </row>
    <row r="48" ht="15" customHeight="1">
      <c r="A48" t="inlineStr">
        <is>
          <t>A 17766-2024</t>
        </is>
      </c>
      <c r="B48" s="1" t="n">
        <v>45418</v>
      </c>
      <c r="C48" s="1" t="n">
        <v>46201</v>
      </c>
      <c r="D48" t="inlineStr">
        <is>
          <t>GOTLANDS LÄN</t>
        </is>
      </c>
      <c r="E48" t="inlineStr">
        <is>
          <t>GOTLAND</t>
        </is>
      </c>
      <c r="G48" t="n">
        <v>1.3</v>
      </c>
      <c r="H48" t="n">
        <v>2</v>
      </c>
      <c r="I48" t="n">
        <v>3</v>
      </c>
      <c r="J48" t="n">
        <v>3</v>
      </c>
      <c r="K48" t="n">
        <v>5</v>
      </c>
      <c r="L48" t="n">
        <v>1</v>
      </c>
      <c r="M48" t="n">
        <v>0</v>
      </c>
      <c r="N48" t="n">
        <v>0</v>
      </c>
      <c r="O48" t="n">
        <v>9</v>
      </c>
      <c r="P48" t="n">
        <v>6</v>
      </c>
      <c r="Q48" t="n">
        <v>12</v>
      </c>
      <c r="R48" s="2" t="inlineStr">
        <is>
          <t>Svartnande fingersvamp
Bredbrämad bastardsvärmare
Gråfingerört
Gulsträngad fagerspindling
Naveljordstjärna
Svartfläckig blåvinge
Fyrflikig jordstjärna
Timjansnyltrot
Vippärt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584-2023</t>
        </is>
      </c>
      <c r="B49" s="1" t="n">
        <v>44930</v>
      </c>
      <c r="C49" s="1" t="n">
        <v>46201</v>
      </c>
      <c r="D49" t="inlineStr">
        <is>
          <t>GOTLANDS LÄN</t>
        </is>
      </c>
      <c r="E49" t="inlineStr">
        <is>
          <t>GOTLAND</t>
        </is>
      </c>
      <c r="G49" t="n">
        <v>27.2</v>
      </c>
      <c r="H49" t="n">
        <v>3</v>
      </c>
      <c r="I49" t="n">
        <v>2</v>
      </c>
      <c r="J49" t="n">
        <v>6</v>
      </c>
      <c r="K49" t="n">
        <v>2</v>
      </c>
      <c r="L49" t="n">
        <v>0</v>
      </c>
      <c r="M49" t="n">
        <v>0</v>
      </c>
      <c r="N49" t="n">
        <v>0</v>
      </c>
      <c r="O49" t="n">
        <v>8</v>
      </c>
      <c r="P49" t="n">
        <v>2</v>
      </c>
      <c r="Q49" t="n">
        <v>11</v>
      </c>
      <c r="R49" s="2" t="inlineStr">
        <is>
          <t>Garderönn
Granrotspindling
Backtimjan
Denisespindling
Dårgräsfjäril
Jungfrulin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27280-2023</t>
        </is>
      </c>
      <c r="B50" s="1" t="n">
        <v>45096</v>
      </c>
      <c r="C50" s="1" t="n">
        <v>46201</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2649-2023</t>
        </is>
      </c>
      <c r="B51" s="1" t="n">
        <v>44943</v>
      </c>
      <c r="C51" s="1" t="n">
        <v>46201</v>
      </c>
      <c r="D51" t="inlineStr">
        <is>
          <t>GOTLANDS LÄN</t>
        </is>
      </c>
      <c r="E51" t="inlineStr">
        <is>
          <t>GOTLAND</t>
        </is>
      </c>
      <c r="G51" t="n">
        <v>2.6</v>
      </c>
      <c r="H51" t="n">
        <v>1</v>
      </c>
      <c r="I51" t="n">
        <v>2</v>
      </c>
      <c r="J51" t="n">
        <v>2</v>
      </c>
      <c r="K51" t="n">
        <v>7</v>
      </c>
      <c r="L51" t="n">
        <v>0</v>
      </c>
      <c r="M51" t="n">
        <v>0</v>
      </c>
      <c r="N51" t="n">
        <v>0</v>
      </c>
      <c r="O51" t="n">
        <v>9</v>
      </c>
      <c r="P51" t="n">
        <v>7</v>
      </c>
      <c r="Q51" t="n">
        <v>11</v>
      </c>
      <c r="R51" s="2" t="inlineStr">
        <is>
          <t>Duvspindling
Garderönn
Granrotspindling
Gul lammticka
Gulsträngad fagerspindling
Svartgrön spindling
Violettfläckig spindling
Blå slemspindling
Svinrot
Anisspindling
Olivspindling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66091-2021</t>
        </is>
      </c>
      <c r="B52" s="1" t="n">
        <v>44517</v>
      </c>
      <c r="C52" s="1" t="n">
        <v>46201</v>
      </c>
      <c r="D52" t="inlineStr">
        <is>
          <t>GOTLANDS LÄN</t>
        </is>
      </c>
      <c r="E52" t="inlineStr">
        <is>
          <t>GOTLAND</t>
        </is>
      </c>
      <c r="G52" t="n">
        <v>11.7</v>
      </c>
      <c r="H52" t="n">
        <v>5</v>
      </c>
      <c r="I52" t="n">
        <v>1</v>
      </c>
      <c r="J52" t="n">
        <v>5</v>
      </c>
      <c r="K52" t="n">
        <v>0</v>
      </c>
      <c r="L52" t="n">
        <v>1</v>
      </c>
      <c r="M52" t="n">
        <v>0</v>
      </c>
      <c r="N52" t="n">
        <v>0</v>
      </c>
      <c r="O52" t="n">
        <v>6</v>
      </c>
      <c r="P52" t="n">
        <v>1</v>
      </c>
      <c r="Q52" t="n">
        <v>10</v>
      </c>
      <c r="R52" s="2" t="inlineStr">
        <is>
          <t>Pärluggla
Axveronika
Göktyta
Kattfotslav
Solvända
Säfferot
Havstulpanlav
Nattskärra
Trädlärka
Salepsrot</t>
        </is>
      </c>
      <c r="S52">
        <f>HYPERLINK("https://klasma.github.io/Logging_0980/artfynd/A 66091-2021 artfynd.xlsx", "A 66091-2021")</f>
        <v/>
      </c>
      <c r="T52">
        <f>HYPERLINK("https://klasma.github.io/Logging_0980/kartor/A 66091-2021 karta.png", "A 66091-2021")</f>
        <v/>
      </c>
      <c r="V52">
        <f>HYPERLINK("https://klasma.github.io/Logging_0980/klagomål/A 66091-2021 FSC-klagomål.docx", "A 66091-2021")</f>
        <v/>
      </c>
      <c r="W52">
        <f>HYPERLINK("https://klasma.github.io/Logging_0980/klagomålsmail/A 66091-2021 FSC-klagomål mail.docx", "A 66091-2021")</f>
        <v/>
      </c>
      <c r="X52">
        <f>HYPERLINK("https://klasma.github.io/Logging_0980/tillsyn/A 66091-2021 tillsynsbegäran.docx", "A 66091-2021")</f>
        <v/>
      </c>
      <c r="Y52">
        <f>HYPERLINK("https://klasma.github.io/Logging_0980/tillsynsmail/A 66091-2021 tillsynsbegäran mail.docx", "A 66091-2021")</f>
        <v/>
      </c>
      <c r="Z52">
        <f>HYPERLINK("https://klasma.github.io/Logging_0980/fåglar/A 66091-2021 prioriterade fågelarter.docx", "A 66091-2021")</f>
        <v/>
      </c>
    </row>
    <row r="53" ht="15" customHeight="1">
      <c r="A53" t="inlineStr">
        <is>
          <t>A 55649-2024</t>
        </is>
      </c>
      <c r="B53" s="1" t="n">
        <v>45622</v>
      </c>
      <c r="C53" s="1" t="n">
        <v>46201</v>
      </c>
      <c r="D53" t="inlineStr">
        <is>
          <t>GOTLANDS LÄN</t>
        </is>
      </c>
      <c r="E53" t="inlineStr">
        <is>
          <t>GOTLAND</t>
        </is>
      </c>
      <c r="G53" t="n">
        <v>4.6</v>
      </c>
      <c r="H53" t="n">
        <v>3</v>
      </c>
      <c r="I53" t="n">
        <v>1</v>
      </c>
      <c r="J53" t="n">
        <v>6</v>
      </c>
      <c r="K53" t="n">
        <v>0</v>
      </c>
      <c r="L53" t="n">
        <v>0</v>
      </c>
      <c r="M53" t="n">
        <v>0</v>
      </c>
      <c r="N53" t="n">
        <v>0</v>
      </c>
      <c r="O53" t="n">
        <v>6</v>
      </c>
      <c r="P53" t="n">
        <v>0</v>
      </c>
      <c r="Q53" t="n">
        <v>10</v>
      </c>
      <c r="R53" s="2" t="inlineStr">
        <is>
          <t>Backtimjan
Jordtistel
Jungfrulin
Solvända
Svinrot
Ängsnätfjäril
Guldlockmossa
Blåsippa
Sankt pers nycklar
Gullviva</t>
        </is>
      </c>
      <c r="S53">
        <f>HYPERLINK("https://klasma.github.io/Logging_0980/artfynd/A 55649-2024 artfynd.xlsx", "A 55649-2024")</f>
        <v/>
      </c>
      <c r="T53">
        <f>HYPERLINK("https://klasma.github.io/Logging_0980/kartor/A 55649-2024 karta.png", "A 55649-2024")</f>
        <v/>
      </c>
      <c r="V53">
        <f>HYPERLINK("https://klasma.github.io/Logging_0980/klagomål/A 55649-2024 FSC-klagomål.docx", "A 55649-2024")</f>
        <v/>
      </c>
      <c r="W53">
        <f>HYPERLINK("https://klasma.github.io/Logging_0980/klagomålsmail/A 55649-2024 FSC-klagomål mail.docx", "A 55649-2024")</f>
        <v/>
      </c>
      <c r="X53">
        <f>HYPERLINK("https://klasma.github.io/Logging_0980/tillsyn/A 55649-2024 tillsynsbegäran.docx", "A 55649-2024")</f>
        <v/>
      </c>
      <c r="Y53">
        <f>HYPERLINK("https://klasma.github.io/Logging_0980/tillsynsmail/A 55649-2024 tillsynsbegäran mail.docx", "A 55649-2024")</f>
        <v/>
      </c>
    </row>
    <row r="54" ht="15" customHeight="1">
      <c r="A54" t="inlineStr">
        <is>
          <t>A 32326-2024</t>
        </is>
      </c>
      <c r="B54" s="1" t="n">
        <v>45512</v>
      </c>
      <c r="C54" s="1" t="n">
        <v>46201</v>
      </c>
      <c r="D54" t="inlineStr">
        <is>
          <t>GOTLANDS LÄN</t>
        </is>
      </c>
      <c r="E54" t="inlineStr">
        <is>
          <t>GOTLAND</t>
        </is>
      </c>
      <c r="G54" t="n">
        <v>9.199999999999999</v>
      </c>
      <c r="H54" t="n">
        <v>4</v>
      </c>
      <c r="I54" t="n">
        <v>2</v>
      </c>
      <c r="J54" t="n">
        <v>5</v>
      </c>
      <c r="K54" t="n">
        <v>1</v>
      </c>
      <c r="L54" t="n">
        <v>0</v>
      </c>
      <c r="M54" t="n">
        <v>0</v>
      </c>
      <c r="N54" t="n">
        <v>0</v>
      </c>
      <c r="O54" t="n">
        <v>6</v>
      </c>
      <c r="P54" t="n">
        <v>1</v>
      </c>
      <c r="Q54" t="n">
        <v>10</v>
      </c>
      <c r="R54" s="2" t="inlineStr">
        <is>
          <t>Tallgångbagge
Backruta
Backtimjan
Jordtistel
Svinrot
Säfferot
Purpurknipprot
Skogsknipprot
Nattskärra
Brudsporre</t>
        </is>
      </c>
      <c r="S54">
        <f>HYPERLINK("https://klasma.github.io/Logging_0980/artfynd/A 32326-2024 artfynd.xlsx", "A 32326-2024")</f>
        <v/>
      </c>
      <c r="T54">
        <f>HYPERLINK("https://klasma.github.io/Logging_0980/kartor/A 32326-2024 karta.png", "A 32326-2024")</f>
        <v/>
      </c>
      <c r="V54">
        <f>HYPERLINK("https://klasma.github.io/Logging_0980/klagomål/A 32326-2024 FSC-klagomål.docx", "A 32326-2024")</f>
        <v/>
      </c>
      <c r="W54">
        <f>HYPERLINK("https://klasma.github.io/Logging_0980/klagomålsmail/A 32326-2024 FSC-klagomål mail.docx", "A 32326-2024")</f>
        <v/>
      </c>
      <c r="X54">
        <f>HYPERLINK("https://klasma.github.io/Logging_0980/tillsyn/A 32326-2024 tillsynsbegäran.docx", "A 32326-2024")</f>
        <v/>
      </c>
      <c r="Y54">
        <f>HYPERLINK("https://klasma.github.io/Logging_0980/tillsynsmail/A 32326-2024 tillsynsbegäran mail.docx", "A 32326-2024")</f>
        <v/>
      </c>
      <c r="Z54">
        <f>HYPERLINK("https://klasma.github.io/Logging_0980/fåglar/A 32326-2024 prioriterade fågelarter.docx", "A 32326-2024")</f>
        <v/>
      </c>
    </row>
    <row r="55" ht="15" customHeight="1">
      <c r="A55" t="inlineStr">
        <is>
          <t>A 186-2023</t>
        </is>
      </c>
      <c r="B55" s="1" t="n">
        <v>44928</v>
      </c>
      <c r="C55" s="1" t="n">
        <v>46201</v>
      </c>
      <c r="D55" t="inlineStr">
        <is>
          <t>GOTLANDS LÄN</t>
        </is>
      </c>
      <c r="E55" t="inlineStr">
        <is>
          <t>GOTLAND</t>
        </is>
      </c>
      <c r="G55" t="n">
        <v>2.2</v>
      </c>
      <c r="H55" t="n">
        <v>2</v>
      </c>
      <c r="I55" t="n">
        <v>4</v>
      </c>
      <c r="J55" t="n">
        <v>4</v>
      </c>
      <c r="K55" t="n">
        <v>2</v>
      </c>
      <c r="L55" t="n">
        <v>0</v>
      </c>
      <c r="M55" t="n">
        <v>0</v>
      </c>
      <c r="N55" t="n">
        <v>0</v>
      </c>
      <c r="O55" t="n">
        <v>6</v>
      </c>
      <c r="P55" t="n">
        <v>2</v>
      </c>
      <c r="Q55" t="n">
        <v>10</v>
      </c>
      <c r="R55" s="2" t="inlineStr">
        <is>
          <t>Svartgrön spindling
Vit taggsvamp
Blå slemspindling
Bronspraktbagge
Odörspindling
Smedbock
Anisspindling
Mindre märgborre
Nästrot
Skogsknipprot</t>
        </is>
      </c>
      <c r="S55">
        <f>HYPERLINK("https://klasma.github.io/Logging_0980/artfynd/A 186-2023 artfynd.xlsx", "A 186-2023")</f>
        <v/>
      </c>
      <c r="T55">
        <f>HYPERLINK("https://klasma.github.io/Logging_0980/kartor/A 186-2023 karta.png", "A 186-2023")</f>
        <v/>
      </c>
      <c r="V55">
        <f>HYPERLINK("https://klasma.github.io/Logging_0980/klagomål/A 186-2023 FSC-klagomål.docx", "A 186-2023")</f>
        <v/>
      </c>
      <c r="W55">
        <f>HYPERLINK("https://klasma.github.io/Logging_0980/klagomålsmail/A 186-2023 FSC-klagomål mail.docx", "A 186-2023")</f>
        <v/>
      </c>
      <c r="X55">
        <f>HYPERLINK("https://klasma.github.io/Logging_0980/tillsyn/A 186-2023 tillsynsbegäran.docx", "A 186-2023")</f>
        <v/>
      </c>
      <c r="Y55">
        <f>HYPERLINK("https://klasma.github.io/Logging_0980/tillsynsmail/A 186-2023 tillsynsbegäran mail.docx", "A 186-2023")</f>
        <v/>
      </c>
    </row>
    <row r="56" ht="15" customHeight="1">
      <c r="A56" t="inlineStr">
        <is>
          <t>A 4984-2025</t>
        </is>
      </c>
      <c r="B56" s="1" t="n">
        <v>45691</v>
      </c>
      <c r="C56" s="1" t="n">
        <v>46201</v>
      </c>
      <c r="D56" t="inlineStr">
        <is>
          <t>GOTLANDS LÄN</t>
        </is>
      </c>
      <c r="E56" t="inlineStr">
        <is>
          <t>GOTLAND</t>
        </is>
      </c>
      <c r="G56" t="n">
        <v>1.3</v>
      </c>
      <c r="H56" t="n">
        <v>6</v>
      </c>
      <c r="I56" t="n">
        <v>2</v>
      </c>
      <c r="J56" t="n">
        <v>4</v>
      </c>
      <c r="K56" t="n">
        <v>0</v>
      </c>
      <c r="L56" t="n">
        <v>0</v>
      </c>
      <c r="M56" t="n">
        <v>0</v>
      </c>
      <c r="N56" t="n">
        <v>0</v>
      </c>
      <c r="O56" t="n">
        <v>4</v>
      </c>
      <c r="P56" t="n">
        <v>0</v>
      </c>
      <c r="Q56" t="n">
        <v>10</v>
      </c>
      <c r="R56" s="2" t="inlineStr">
        <is>
          <t>Gulsparv
Jordtistel
Sminkrot
Svinrot
Grönpyrola
Tvåblad
Ärtsångare
Brudsporre
Kärrknipprot
Nattviol</t>
        </is>
      </c>
      <c r="S56">
        <f>HYPERLINK("https://klasma.github.io/Logging_0980/artfynd/A 4984-2025 artfynd.xlsx", "A 4984-2025")</f>
        <v/>
      </c>
      <c r="T56">
        <f>HYPERLINK("https://klasma.github.io/Logging_0980/kartor/A 4984-2025 karta.png", "A 4984-2025")</f>
        <v/>
      </c>
      <c r="V56">
        <f>HYPERLINK("https://klasma.github.io/Logging_0980/klagomål/A 4984-2025 FSC-klagomål.docx", "A 4984-2025")</f>
        <v/>
      </c>
      <c r="W56">
        <f>HYPERLINK("https://klasma.github.io/Logging_0980/klagomålsmail/A 4984-2025 FSC-klagomål mail.docx", "A 4984-2025")</f>
        <v/>
      </c>
      <c r="X56">
        <f>HYPERLINK("https://klasma.github.io/Logging_0980/tillsyn/A 4984-2025 tillsynsbegäran.docx", "A 4984-2025")</f>
        <v/>
      </c>
      <c r="Y56">
        <f>HYPERLINK("https://klasma.github.io/Logging_0980/tillsynsmail/A 4984-2025 tillsynsbegäran mail.docx", "A 4984-2025")</f>
        <v/>
      </c>
      <c r="Z56">
        <f>HYPERLINK("https://klasma.github.io/Logging_0980/fåglar/A 4984-2025 prioriterade fågelarter.docx", "A 4984-2025")</f>
        <v/>
      </c>
    </row>
    <row r="57" ht="15" customHeight="1">
      <c r="A57" t="inlineStr">
        <is>
          <t>A 44944-2022</t>
        </is>
      </c>
      <c r="B57" s="1" t="n">
        <v>44841</v>
      </c>
      <c r="C57" s="1" t="n">
        <v>46201</v>
      </c>
      <c r="D57" t="inlineStr">
        <is>
          <t>GOTLANDS LÄN</t>
        </is>
      </c>
      <c r="E57" t="inlineStr">
        <is>
          <t>GOTLAND</t>
        </is>
      </c>
      <c r="G57" t="n">
        <v>2.8</v>
      </c>
      <c r="H57" t="n">
        <v>0</v>
      </c>
      <c r="I57" t="n">
        <v>3</v>
      </c>
      <c r="J57" t="n">
        <v>4</v>
      </c>
      <c r="K57" t="n">
        <v>2</v>
      </c>
      <c r="L57" t="n">
        <v>1</v>
      </c>
      <c r="M57" t="n">
        <v>0</v>
      </c>
      <c r="N57" t="n">
        <v>0</v>
      </c>
      <c r="O57" t="n">
        <v>7</v>
      </c>
      <c r="P57" t="n">
        <v>3</v>
      </c>
      <c r="Q57" t="n">
        <v>10</v>
      </c>
      <c r="R57" s="2" t="inlineStr">
        <is>
          <t>Sienamusseron
Bredbrämad bastardsvärmare
Gotlandsmåra
Axveronika
Denisespindling
Fjällig taggsvamp s.str.
Odörspindling
Anisspindling
Olivspindling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22404-2024</t>
        </is>
      </c>
      <c r="B58" s="1" t="n">
        <v>45446</v>
      </c>
      <c r="C58" s="1" t="n">
        <v>46201</v>
      </c>
      <c r="D58" t="inlineStr">
        <is>
          <t>GOTLANDS LÄN</t>
        </is>
      </c>
      <c r="E58" t="inlineStr">
        <is>
          <t>GOTLAND</t>
        </is>
      </c>
      <c r="G58" t="n">
        <v>11.4</v>
      </c>
      <c r="H58" t="n">
        <v>3</v>
      </c>
      <c r="I58" t="n">
        <v>5</v>
      </c>
      <c r="J58" t="n">
        <v>2</v>
      </c>
      <c r="K58" t="n">
        <v>3</v>
      </c>
      <c r="L58" t="n">
        <v>0</v>
      </c>
      <c r="M58" t="n">
        <v>0</v>
      </c>
      <c r="N58" t="n">
        <v>0</v>
      </c>
      <c r="O58" t="n">
        <v>5</v>
      </c>
      <c r="P58" t="n">
        <v>3</v>
      </c>
      <c r="Q58" t="n">
        <v>10</v>
      </c>
      <c r="R58" s="2" t="inlineStr">
        <is>
          <t>Blåfotad fagerspindling
Bullspindling
Vit taggsvamp
Barrfagerspindling
Blå slemspindling
Flugblomster
Purpurknipprot
Rödgul trumpetsvamp
Svavelriska
Tvåblad</t>
        </is>
      </c>
      <c r="S58">
        <f>HYPERLINK("https://klasma.github.io/Logging_0980/artfynd/A 22404-2024 artfynd.xlsx", "A 22404-2024")</f>
        <v/>
      </c>
      <c r="T58">
        <f>HYPERLINK("https://klasma.github.io/Logging_0980/kartor/A 22404-2024 karta.png", "A 22404-2024")</f>
        <v/>
      </c>
      <c r="V58">
        <f>HYPERLINK("https://klasma.github.io/Logging_0980/klagomål/A 22404-2024 FSC-klagomål.docx", "A 22404-2024")</f>
        <v/>
      </c>
      <c r="W58">
        <f>HYPERLINK("https://klasma.github.io/Logging_0980/klagomålsmail/A 22404-2024 FSC-klagomål mail.docx", "A 22404-2024")</f>
        <v/>
      </c>
      <c r="X58">
        <f>HYPERLINK("https://klasma.github.io/Logging_0980/tillsyn/A 22404-2024 tillsynsbegäran.docx", "A 22404-2024")</f>
        <v/>
      </c>
      <c r="Y58">
        <f>HYPERLINK("https://klasma.github.io/Logging_0980/tillsynsmail/A 22404-2024 tillsynsbegäran mail.docx", "A 22404-2024")</f>
        <v/>
      </c>
    </row>
    <row r="59" ht="15" customHeight="1">
      <c r="A59" t="inlineStr">
        <is>
          <t>A 18541-2024</t>
        </is>
      </c>
      <c r="B59" s="1" t="n">
        <v>45425</v>
      </c>
      <c r="C59" s="1" t="n">
        <v>46201</v>
      </c>
      <c r="D59" t="inlineStr">
        <is>
          <t>GOTLANDS LÄN</t>
        </is>
      </c>
      <c r="E59" t="inlineStr">
        <is>
          <t>GOTLAND</t>
        </is>
      </c>
      <c r="F59" t="inlineStr">
        <is>
          <t>Övriga statliga verk och myndigheter</t>
        </is>
      </c>
      <c r="G59" t="n">
        <v>2.2</v>
      </c>
      <c r="H59" t="n">
        <v>7</v>
      </c>
      <c r="I59" t="n">
        <v>2</v>
      </c>
      <c r="J59" t="n">
        <v>4</v>
      </c>
      <c r="K59" t="n">
        <v>1</v>
      </c>
      <c r="L59" t="n">
        <v>0</v>
      </c>
      <c r="M59" t="n">
        <v>0</v>
      </c>
      <c r="N59" t="n">
        <v>0</v>
      </c>
      <c r="O59" t="n">
        <v>5</v>
      </c>
      <c r="P59" t="n">
        <v>1</v>
      </c>
      <c r="Q59" t="n">
        <v>10</v>
      </c>
      <c r="R59" s="2" t="inlineStr">
        <is>
          <t>Garderönn
Backtimjan
Dårgräsfjäril
Solvända
Svinrot
Nästrot
Tvåblad
Kungsfågel
Skogsduva
Fläcknycklar</t>
        </is>
      </c>
      <c r="S59">
        <f>HYPERLINK("https://klasma.github.io/Logging_0980/artfynd/A 18541-2024 artfynd.xlsx", "A 18541-2024")</f>
        <v/>
      </c>
      <c r="T59">
        <f>HYPERLINK("https://klasma.github.io/Logging_0980/kartor/A 18541-2024 karta.png", "A 18541-2024")</f>
        <v/>
      </c>
      <c r="V59">
        <f>HYPERLINK("https://klasma.github.io/Logging_0980/klagomål/A 18541-2024 FSC-klagomål.docx", "A 18541-2024")</f>
        <v/>
      </c>
      <c r="W59">
        <f>HYPERLINK("https://klasma.github.io/Logging_0980/klagomålsmail/A 18541-2024 FSC-klagomål mail.docx", "A 18541-2024")</f>
        <v/>
      </c>
      <c r="X59">
        <f>HYPERLINK("https://klasma.github.io/Logging_0980/tillsyn/A 18541-2024 tillsynsbegäran.docx", "A 18541-2024")</f>
        <v/>
      </c>
      <c r="Y59">
        <f>HYPERLINK("https://klasma.github.io/Logging_0980/tillsynsmail/A 18541-2024 tillsynsbegäran mail.docx", "A 18541-2024")</f>
        <v/>
      </c>
    </row>
    <row r="60" ht="15" customHeight="1">
      <c r="A60" t="inlineStr">
        <is>
          <t>A 45248-2024</t>
        </is>
      </c>
      <c r="B60" s="1" t="n">
        <v>45576</v>
      </c>
      <c r="C60" s="1" t="n">
        <v>46201</v>
      </c>
      <c r="D60" t="inlineStr">
        <is>
          <t>GOTLANDS LÄN</t>
        </is>
      </c>
      <c r="E60" t="inlineStr">
        <is>
          <t>GOTLAND</t>
        </is>
      </c>
      <c r="G60" t="n">
        <v>9.4</v>
      </c>
      <c r="H60" t="n">
        <v>0</v>
      </c>
      <c r="I60" t="n">
        <v>5</v>
      </c>
      <c r="J60" t="n">
        <v>3</v>
      </c>
      <c r="K60" t="n">
        <v>0</v>
      </c>
      <c r="L60" t="n">
        <v>2</v>
      </c>
      <c r="M60" t="n">
        <v>0</v>
      </c>
      <c r="N60" t="n">
        <v>0</v>
      </c>
      <c r="O60" t="n">
        <v>5</v>
      </c>
      <c r="P60" t="n">
        <v>2</v>
      </c>
      <c r="Q60" t="n">
        <v>10</v>
      </c>
      <c r="R60" s="2" t="inlineStr">
        <is>
          <t>Ask
Lundalm
Blå slemspindling
Mjölspindling
Oxtungssvamp
Bolmörtsskivling
Myskmadra
Stinkbrosking
Toppvaxing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7039-2023</t>
        </is>
      </c>
      <c r="B61" s="1" t="n">
        <v>44968</v>
      </c>
      <c r="C61" s="1" t="n">
        <v>46201</v>
      </c>
      <c r="D61" t="inlineStr">
        <is>
          <t>GOTLANDS LÄN</t>
        </is>
      </c>
      <c r="E61" t="inlineStr">
        <is>
          <t>GOTLAND</t>
        </is>
      </c>
      <c r="G61" t="n">
        <v>2.9</v>
      </c>
      <c r="H61" t="n">
        <v>1</v>
      </c>
      <c r="I61" t="n">
        <v>3</v>
      </c>
      <c r="J61" t="n">
        <v>2</v>
      </c>
      <c r="K61" t="n">
        <v>2</v>
      </c>
      <c r="L61" t="n">
        <v>0</v>
      </c>
      <c r="M61" t="n">
        <v>1</v>
      </c>
      <c r="N61" t="n">
        <v>0</v>
      </c>
      <c r="O61" t="n">
        <v>6</v>
      </c>
      <c r="P61" t="n">
        <v>3</v>
      </c>
      <c r="Q61" t="n">
        <v>9</v>
      </c>
      <c r="R61" s="2" t="inlineStr">
        <is>
          <t>Stor blanklav
Mörk kraterlav
Ädellav
Dårgräsfjäril
Svinrot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39376-2023</t>
        </is>
      </c>
      <c r="B62" s="1" t="n">
        <v>45166</v>
      </c>
      <c r="C62" s="1" t="n">
        <v>46201</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1769-2022</t>
        </is>
      </c>
      <c r="B63" s="1" t="n">
        <v>44574</v>
      </c>
      <c r="C63" s="1" t="n">
        <v>46201</v>
      </c>
      <c r="D63" t="inlineStr">
        <is>
          <t>GOTLANDS LÄN</t>
        </is>
      </c>
      <c r="E63" t="inlineStr">
        <is>
          <t>GOTLAND</t>
        </is>
      </c>
      <c r="G63" t="n">
        <v>31.3</v>
      </c>
      <c r="H63" t="n">
        <v>5</v>
      </c>
      <c r="I63" t="n">
        <v>1</v>
      </c>
      <c r="J63" t="n">
        <v>4</v>
      </c>
      <c r="K63" t="n">
        <v>0</v>
      </c>
      <c r="L63" t="n">
        <v>0</v>
      </c>
      <c r="M63" t="n">
        <v>0</v>
      </c>
      <c r="N63" t="n">
        <v>0</v>
      </c>
      <c r="O63" t="n">
        <v>4</v>
      </c>
      <c r="P63" t="n">
        <v>0</v>
      </c>
      <c r="Q63" t="n">
        <v>9</v>
      </c>
      <c r="R63" s="2" t="inlineStr">
        <is>
          <t>Axveronika
Loppstarr
Majviva
Ängsstarr
Flugblomster
Brudsporre
Grönvit nattviol
Kärrknipprot
Vanliga ängsnycklar</t>
        </is>
      </c>
      <c r="S63">
        <f>HYPERLINK("https://klasma.github.io/Logging_0980/artfynd/A 1769-2022 artfynd.xlsx", "A 1769-2022")</f>
        <v/>
      </c>
      <c r="T63">
        <f>HYPERLINK("https://klasma.github.io/Logging_0980/kartor/A 1769-2022 karta.png", "A 1769-2022")</f>
        <v/>
      </c>
      <c r="V63">
        <f>HYPERLINK("https://klasma.github.io/Logging_0980/klagomål/A 1769-2022 FSC-klagomål.docx", "A 1769-2022")</f>
        <v/>
      </c>
      <c r="W63">
        <f>HYPERLINK("https://klasma.github.io/Logging_0980/klagomålsmail/A 1769-2022 FSC-klagomål mail.docx", "A 1769-2022")</f>
        <v/>
      </c>
      <c r="X63">
        <f>HYPERLINK("https://klasma.github.io/Logging_0980/tillsyn/A 1769-2022 tillsynsbegäran.docx", "A 1769-2022")</f>
        <v/>
      </c>
      <c r="Y63">
        <f>HYPERLINK("https://klasma.github.io/Logging_0980/tillsynsmail/A 1769-2022 tillsynsbegäran mail.docx", "A 1769-2022")</f>
        <v/>
      </c>
    </row>
    <row r="64" ht="15" customHeight="1">
      <c r="A64" t="inlineStr">
        <is>
          <t>A 20833-2024</t>
        </is>
      </c>
      <c r="B64" s="1" t="n">
        <v>45439</v>
      </c>
      <c r="C64" s="1" t="n">
        <v>46201</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17328-2026</t>
        </is>
      </c>
      <c r="B65" s="1" t="n">
        <v>46119</v>
      </c>
      <c r="C65" s="1" t="n">
        <v>46201</v>
      </c>
      <c r="D65" t="inlineStr">
        <is>
          <t>GOTLANDS LÄN</t>
        </is>
      </c>
      <c r="E65" t="inlineStr">
        <is>
          <t>GOTLAND</t>
        </is>
      </c>
      <c r="F65" t="inlineStr">
        <is>
          <t>Kyrkan</t>
        </is>
      </c>
      <c r="G65" t="n">
        <v>4</v>
      </c>
      <c r="H65" t="n">
        <v>3</v>
      </c>
      <c r="I65" t="n">
        <v>0</v>
      </c>
      <c r="J65" t="n">
        <v>6</v>
      </c>
      <c r="K65" t="n">
        <v>1</v>
      </c>
      <c r="L65" t="n">
        <v>1</v>
      </c>
      <c r="M65" t="n">
        <v>0</v>
      </c>
      <c r="N65" t="n">
        <v>0</v>
      </c>
      <c r="O65" t="n">
        <v>8</v>
      </c>
      <c r="P65" t="n">
        <v>2</v>
      </c>
      <c r="Q65" t="n">
        <v>9</v>
      </c>
      <c r="R65" s="2" t="inlineStr">
        <is>
          <t>Ask
Garderönn
Backtimjan
Bergjohannesört
Dårgräsfjäril
Jordtistel
Solvända
Svinrot
Spillkråka</t>
        </is>
      </c>
      <c r="S65">
        <f>HYPERLINK("https://klasma.github.io/Logging_0980/artfynd/A 17328-2026 artfynd.xlsx", "A 17328-2026")</f>
        <v/>
      </c>
      <c r="T65">
        <f>HYPERLINK("https://klasma.github.io/Logging_0980/kartor/A 17328-2026 karta.png", "A 17328-2026")</f>
        <v/>
      </c>
      <c r="V65">
        <f>HYPERLINK("https://klasma.github.io/Logging_0980/klagomål/A 17328-2026 FSC-klagomål.docx", "A 17328-2026")</f>
        <v/>
      </c>
      <c r="W65">
        <f>HYPERLINK("https://klasma.github.io/Logging_0980/klagomålsmail/A 17328-2026 FSC-klagomål mail.docx", "A 17328-2026")</f>
        <v/>
      </c>
      <c r="X65">
        <f>HYPERLINK("https://klasma.github.io/Logging_0980/tillsyn/A 17328-2026 tillsynsbegäran.docx", "A 17328-2026")</f>
        <v/>
      </c>
      <c r="Y65">
        <f>HYPERLINK("https://klasma.github.io/Logging_0980/tillsynsmail/A 17328-2026 tillsynsbegäran mail.docx", "A 17328-2026")</f>
        <v/>
      </c>
      <c r="Z65">
        <f>HYPERLINK("https://klasma.github.io/Logging_0980/fåglar/A 17328-2026 prioriterade fågelarter.docx", "A 17328-2026")</f>
        <v/>
      </c>
    </row>
    <row r="66" ht="15" customHeight="1">
      <c r="A66" t="inlineStr">
        <is>
          <t>A 7038-2023</t>
        </is>
      </c>
      <c r="B66" s="1" t="n">
        <v>44968</v>
      </c>
      <c r="C66" s="1" t="n">
        <v>46201</v>
      </c>
      <c r="D66" t="inlineStr">
        <is>
          <t>GOTLANDS LÄN</t>
        </is>
      </c>
      <c r="E66" t="inlineStr">
        <is>
          <t>GOTLAND</t>
        </is>
      </c>
      <c r="G66" t="n">
        <v>5.2</v>
      </c>
      <c r="H66" t="n">
        <v>1</v>
      </c>
      <c r="I66" t="n">
        <v>2</v>
      </c>
      <c r="J66" t="n">
        <v>1</v>
      </c>
      <c r="K66" t="n">
        <v>2</v>
      </c>
      <c r="L66" t="n">
        <v>1</v>
      </c>
      <c r="M66" t="n">
        <v>0</v>
      </c>
      <c r="N66" t="n">
        <v>0</v>
      </c>
      <c r="O66" t="n">
        <v>6</v>
      </c>
      <c r="P66" t="n">
        <v>3</v>
      </c>
      <c r="Q66" t="n">
        <v>8</v>
      </c>
      <c r="R66" s="2" t="inlineStr">
        <is>
          <t>Liten ädellav
Tät korallorangelav
Ädellav
Dårgräsfjäril
Blemlavsklotter
Frostig asplav
Guldlockmossa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44308-2021</t>
        </is>
      </c>
      <c r="B67" s="1" t="n">
        <v>44434</v>
      </c>
      <c r="C67" s="1" t="n">
        <v>46201</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54527-2023</t>
        </is>
      </c>
      <c r="B68" s="1" t="n">
        <v>45233</v>
      </c>
      <c r="C68" s="1" t="n">
        <v>46201</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1971-2023</t>
        </is>
      </c>
      <c r="B69" s="1" t="n">
        <v>44939</v>
      </c>
      <c r="C69" s="1" t="n">
        <v>46201</v>
      </c>
      <c r="D69" t="inlineStr">
        <is>
          <t>GOTLANDS LÄN</t>
        </is>
      </c>
      <c r="E69" t="inlineStr">
        <is>
          <t>GOTLAND</t>
        </is>
      </c>
      <c r="G69" t="n">
        <v>5.5</v>
      </c>
      <c r="H69" t="n">
        <v>0</v>
      </c>
      <c r="I69" t="n">
        <v>3</v>
      </c>
      <c r="J69" t="n">
        <v>3</v>
      </c>
      <c r="K69" t="n">
        <v>2</v>
      </c>
      <c r="L69" t="n">
        <v>0</v>
      </c>
      <c r="M69" t="n">
        <v>0</v>
      </c>
      <c r="N69" t="n">
        <v>0</v>
      </c>
      <c r="O69" t="n">
        <v>5</v>
      </c>
      <c r="P69" t="n">
        <v>2</v>
      </c>
      <c r="Q69" t="n">
        <v>8</v>
      </c>
      <c r="R69" s="2" t="inlineStr">
        <is>
          <t>Granrotspindling
Gulsträngad fagerspindling
Fjällig taggsvamp s.str.
Sandviol
Svinrot
Blomkålssvamp
Olivspindling
Rödbrun jordstjärna</t>
        </is>
      </c>
      <c r="S69">
        <f>HYPERLINK("https://klasma.github.io/Logging_0980/artfynd/A 1971-2023 artfynd.xlsx", "A 1971-2023")</f>
        <v/>
      </c>
      <c r="T69">
        <f>HYPERLINK("https://klasma.github.io/Logging_0980/kartor/A 1971-2023 karta.png", "A 1971-2023")</f>
        <v/>
      </c>
      <c r="V69">
        <f>HYPERLINK("https://klasma.github.io/Logging_0980/klagomål/A 1971-2023 FSC-klagomål.docx", "A 1971-2023")</f>
        <v/>
      </c>
      <c r="W69">
        <f>HYPERLINK("https://klasma.github.io/Logging_0980/klagomålsmail/A 1971-2023 FSC-klagomål mail.docx", "A 1971-2023")</f>
        <v/>
      </c>
      <c r="X69">
        <f>HYPERLINK("https://klasma.github.io/Logging_0980/tillsyn/A 1971-2023 tillsynsbegäran.docx", "A 1971-2023")</f>
        <v/>
      </c>
      <c r="Y69">
        <f>HYPERLINK("https://klasma.github.io/Logging_0980/tillsynsmail/A 1971-2023 tillsynsbegäran mail.docx", "A 1971-2023")</f>
        <v/>
      </c>
    </row>
    <row r="70" ht="15" customHeight="1">
      <c r="A70" t="inlineStr">
        <is>
          <t>A 54527-2023</t>
        </is>
      </c>
      <c r="B70" s="1" t="n">
        <v>45233</v>
      </c>
      <c r="C70" s="1" t="n">
        <v>46201</v>
      </c>
      <c r="D70" t="inlineStr">
        <is>
          <t>GOTLANDS LÄN</t>
        </is>
      </c>
      <c r="E70" t="inlineStr">
        <is>
          <t>GOTLAND</t>
        </is>
      </c>
      <c r="G70" t="n">
        <v>28.5</v>
      </c>
      <c r="H70" t="n">
        <v>2</v>
      </c>
      <c r="I70" t="n">
        <v>0</v>
      </c>
      <c r="J70" t="n">
        <v>4</v>
      </c>
      <c r="K70" t="n">
        <v>1</v>
      </c>
      <c r="L70" t="n">
        <v>1</v>
      </c>
      <c r="M70" t="n">
        <v>0</v>
      </c>
      <c r="N70" t="n">
        <v>0</v>
      </c>
      <c r="O70" t="n">
        <v>6</v>
      </c>
      <c r="P70" t="n">
        <v>2</v>
      </c>
      <c r="Q70" t="n">
        <v>8</v>
      </c>
      <c r="R70" s="2" t="inlineStr">
        <is>
          <t>Ask
Sexfläckig bastardsvärmare
Backstarr
Backtimjan
Jordtistel
Solvända
Nattskärra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c r="Z70">
        <f>HYPERLINK("https://klasma.github.io/Logging_0980/fåglar/A 54527-2023 prioriterade fågelarter.docx", "A 54527-2023")</f>
        <v/>
      </c>
    </row>
    <row r="71" ht="15" customHeight="1">
      <c r="A71" t="inlineStr">
        <is>
          <t>A 446-2023</t>
        </is>
      </c>
      <c r="B71" s="1" t="n">
        <v>44929</v>
      </c>
      <c r="C71" s="1" t="n">
        <v>46201</v>
      </c>
      <c r="D71" t="inlineStr">
        <is>
          <t>GOTLANDS LÄN</t>
        </is>
      </c>
      <c r="E71" t="inlineStr">
        <is>
          <t>GOTLAND</t>
        </is>
      </c>
      <c r="G71" t="n">
        <v>7.1</v>
      </c>
      <c r="H71" t="n">
        <v>4</v>
      </c>
      <c r="I71" t="n">
        <v>3</v>
      </c>
      <c r="J71" t="n">
        <v>3</v>
      </c>
      <c r="K71" t="n">
        <v>1</v>
      </c>
      <c r="L71" t="n">
        <v>0</v>
      </c>
      <c r="M71" t="n">
        <v>0</v>
      </c>
      <c r="N71" t="n">
        <v>0</v>
      </c>
      <c r="O71" t="n">
        <v>4</v>
      </c>
      <c r="P71" t="n">
        <v>1</v>
      </c>
      <c r="Q71" t="n">
        <v>8</v>
      </c>
      <c r="R71" s="2" t="inlineStr">
        <is>
          <t>Svartgrön spindling
Backtimjan
Dårgräsfjäril
Äggspindling
Nästrot
Skogsknipprot
Svavelriska
Spillkråka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57773-2025</t>
        </is>
      </c>
      <c r="B72" s="1" t="n">
        <v>45981</v>
      </c>
      <c r="C72" s="1" t="n">
        <v>46201</v>
      </c>
      <c r="D72" t="inlineStr">
        <is>
          <t>GOTLANDS LÄN</t>
        </is>
      </c>
      <c r="E72" t="inlineStr">
        <is>
          <t>GOTLAND</t>
        </is>
      </c>
      <c r="G72" t="n">
        <v>4.4</v>
      </c>
      <c r="H72" t="n">
        <v>0</v>
      </c>
      <c r="I72" t="n">
        <v>5</v>
      </c>
      <c r="J72" t="n">
        <v>1</v>
      </c>
      <c r="K72" t="n">
        <v>2</v>
      </c>
      <c r="L72" t="n">
        <v>0</v>
      </c>
      <c r="M72" t="n">
        <v>0</v>
      </c>
      <c r="N72" t="n">
        <v>0</v>
      </c>
      <c r="O72" t="n">
        <v>3</v>
      </c>
      <c r="P72" t="n">
        <v>2</v>
      </c>
      <c r="Q72" t="n">
        <v>8</v>
      </c>
      <c r="R72" s="2" t="inlineStr">
        <is>
          <t>Duvspindling
Mörkfjällig olivspindling
Backklöver
Besk kastanjemusseron
Brun klibbskivling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20831-2024</t>
        </is>
      </c>
      <c r="B73" s="1" t="n">
        <v>45439</v>
      </c>
      <c r="C73" s="1" t="n">
        <v>46201</v>
      </c>
      <c r="D73" t="inlineStr">
        <is>
          <t>GOTLANDS LÄN</t>
        </is>
      </c>
      <c r="E73" t="inlineStr">
        <is>
          <t>GOTLAND</t>
        </is>
      </c>
      <c r="G73" t="n">
        <v>2.9</v>
      </c>
      <c r="H73" t="n">
        <v>2</v>
      </c>
      <c r="I73" t="n">
        <v>1</v>
      </c>
      <c r="J73" t="n">
        <v>6</v>
      </c>
      <c r="K73" t="n">
        <v>1</v>
      </c>
      <c r="L73" t="n">
        <v>0</v>
      </c>
      <c r="M73" t="n">
        <v>0</v>
      </c>
      <c r="N73" t="n">
        <v>0</v>
      </c>
      <c r="O73" t="n">
        <v>7</v>
      </c>
      <c r="P73" t="n">
        <v>1</v>
      </c>
      <c r="Q73" t="n">
        <v>8</v>
      </c>
      <c r="R73" s="2" t="inlineStr">
        <is>
          <t>Vit taggsvamp
Axveronika
Backtimjan
Dårgräsfjäril
Jordtistel
Solvända
Svinrot
Skogsknipprot</t>
        </is>
      </c>
      <c r="S73">
        <f>HYPERLINK("https://klasma.github.io/Logging_0980/artfynd/A 20831-2024 artfynd.xlsx", "A 20831-2024")</f>
        <v/>
      </c>
      <c r="T73">
        <f>HYPERLINK("https://klasma.github.io/Logging_0980/kartor/A 20831-2024 karta.png", "A 20831-2024")</f>
        <v/>
      </c>
      <c r="V73">
        <f>HYPERLINK("https://klasma.github.io/Logging_0980/klagomål/A 20831-2024 FSC-klagomål.docx", "A 20831-2024")</f>
        <v/>
      </c>
      <c r="W73">
        <f>HYPERLINK("https://klasma.github.io/Logging_0980/klagomålsmail/A 20831-2024 FSC-klagomål mail.docx", "A 20831-2024")</f>
        <v/>
      </c>
      <c r="X73">
        <f>HYPERLINK("https://klasma.github.io/Logging_0980/tillsyn/A 20831-2024 tillsynsbegäran.docx", "A 20831-2024")</f>
        <v/>
      </c>
      <c r="Y73">
        <f>HYPERLINK("https://klasma.github.io/Logging_0980/tillsynsmail/A 20831-2024 tillsynsbegäran mail.docx", "A 20831-2024")</f>
        <v/>
      </c>
    </row>
    <row r="74" ht="15" customHeight="1">
      <c r="A74" t="inlineStr">
        <is>
          <t>A 6836-2026</t>
        </is>
      </c>
      <c r="B74" s="1" t="n">
        <v>46057</v>
      </c>
      <c r="C74" s="1" t="n">
        <v>46201</v>
      </c>
      <c r="D74" t="inlineStr">
        <is>
          <t>GOTLANDS LÄN</t>
        </is>
      </c>
      <c r="E74" t="inlineStr">
        <is>
          <t>GOTLAND</t>
        </is>
      </c>
      <c r="G74" t="n">
        <v>3.8</v>
      </c>
      <c r="H74" t="n">
        <v>1</v>
      </c>
      <c r="I74" t="n">
        <v>3</v>
      </c>
      <c r="J74" t="n">
        <v>2</v>
      </c>
      <c r="K74" t="n">
        <v>3</v>
      </c>
      <c r="L74" t="n">
        <v>0</v>
      </c>
      <c r="M74" t="n">
        <v>0</v>
      </c>
      <c r="N74" t="n">
        <v>0</v>
      </c>
      <c r="O74" t="n">
        <v>5</v>
      </c>
      <c r="P74" t="n">
        <v>3</v>
      </c>
      <c r="Q74" t="n">
        <v>8</v>
      </c>
      <c r="R74" s="2" t="inlineStr">
        <is>
          <t>Knärot
Svartgrön spindling
Violettfläckig spindling
Odörspindling
Skarp dropptaggsvamp
Fransig jordstjärna
Rödgul trumpetsvamp
Svavelriska</t>
        </is>
      </c>
      <c r="S74">
        <f>HYPERLINK("https://klasma.github.io/Logging_0980/artfynd/A 6836-2026 artfynd.xlsx", "A 6836-2026")</f>
        <v/>
      </c>
      <c r="T74">
        <f>HYPERLINK("https://klasma.github.io/Logging_0980/kartor/A 6836-2026 karta.png", "A 6836-2026")</f>
        <v/>
      </c>
      <c r="U74">
        <f>HYPERLINK("https://klasma.github.io/Logging_0980/knärot/A 6836-2026 karta knärot.png", "A 6836-2026")</f>
        <v/>
      </c>
      <c r="V74">
        <f>HYPERLINK("https://klasma.github.io/Logging_0980/klagomål/A 6836-2026 FSC-klagomål.docx", "A 6836-2026")</f>
        <v/>
      </c>
      <c r="W74">
        <f>HYPERLINK("https://klasma.github.io/Logging_0980/klagomålsmail/A 6836-2026 FSC-klagomål mail.docx", "A 6836-2026")</f>
        <v/>
      </c>
      <c r="X74">
        <f>HYPERLINK("https://klasma.github.io/Logging_0980/tillsyn/A 6836-2026 tillsynsbegäran.docx", "A 6836-2026")</f>
        <v/>
      </c>
      <c r="Y74">
        <f>HYPERLINK("https://klasma.github.io/Logging_0980/tillsynsmail/A 6836-2026 tillsynsbegäran mail.docx", "A 6836-2026")</f>
        <v/>
      </c>
    </row>
    <row r="75" ht="15" customHeight="1">
      <c r="A75" t="inlineStr">
        <is>
          <t>A 51737-2021</t>
        </is>
      </c>
      <c r="B75" s="1" t="n">
        <v>44462</v>
      </c>
      <c r="C75" s="1" t="n">
        <v>46201</v>
      </c>
      <c r="D75" t="inlineStr">
        <is>
          <t>GOTLANDS LÄN</t>
        </is>
      </c>
      <c r="E75" t="inlineStr">
        <is>
          <t>GOTLAND</t>
        </is>
      </c>
      <c r="G75" t="n">
        <v>8.6</v>
      </c>
      <c r="H75" t="n">
        <v>1</v>
      </c>
      <c r="I75" t="n">
        <v>4</v>
      </c>
      <c r="J75" t="n">
        <v>2</v>
      </c>
      <c r="K75" t="n">
        <v>1</v>
      </c>
      <c r="L75" t="n">
        <v>0</v>
      </c>
      <c r="M75" t="n">
        <v>0</v>
      </c>
      <c r="N75" t="n">
        <v>0</v>
      </c>
      <c r="O75" t="n">
        <v>3</v>
      </c>
      <c r="P75" t="n">
        <v>1</v>
      </c>
      <c r="Q75" t="n">
        <v>7</v>
      </c>
      <c r="R75" s="2" t="inlineStr">
        <is>
          <t>Igelkott
Blå slemspindling
Vårärt
Blåmossa
Kambräken
Skogsknipprot
Västlig hakmossa</t>
        </is>
      </c>
      <c r="S75">
        <f>HYPERLINK("https://klasma.github.io/Logging_0980/artfynd/A 51737-2021 artfynd.xlsx", "A 51737-2021")</f>
        <v/>
      </c>
      <c r="T75">
        <f>HYPERLINK("https://klasma.github.io/Logging_0980/kartor/A 51737-2021 karta.png", "A 51737-2021")</f>
        <v/>
      </c>
      <c r="V75">
        <f>HYPERLINK("https://klasma.github.io/Logging_0980/klagomål/A 51737-2021 FSC-klagomål.docx", "A 51737-2021")</f>
        <v/>
      </c>
      <c r="W75">
        <f>HYPERLINK("https://klasma.github.io/Logging_0980/klagomålsmail/A 51737-2021 FSC-klagomål mail.docx", "A 51737-2021")</f>
        <v/>
      </c>
      <c r="X75">
        <f>HYPERLINK("https://klasma.github.io/Logging_0980/tillsyn/A 51737-2021 tillsynsbegäran.docx", "A 51737-2021")</f>
        <v/>
      </c>
      <c r="Y75">
        <f>HYPERLINK("https://klasma.github.io/Logging_0980/tillsynsmail/A 51737-2021 tillsynsbegäran mail.docx", "A 51737-2021")</f>
        <v/>
      </c>
    </row>
    <row r="76" ht="15" customHeight="1">
      <c r="A76" t="inlineStr">
        <is>
          <t>A 2085-2023</t>
        </is>
      </c>
      <c r="B76" s="1" t="n">
        <v>44939</v>
      </c>
      <c r="C76" s="1" t="n">
        <v>46201</v>
      </c>
      <c r="D76" t="inlineStr">
        <is>
          <t>GOTLANDS LÄN</t>
        </is>
      </c>
      <c r="E76" t="inlineStr">
        <is>
          <t>GOTLAND</t>
        </is>
      </c>
      <c r="G76" t="n">
        <v>0.9</v>
      </c>
      <c r="H76" t="n">
        <v>2</v>
      </c>
      <c r="I76" t="n">
        <v>4</v>
      </c>
      <c r="J76" t="n">
        <v>2</v>
      </c>
      <c r="K76" t="n">
        <v>0</v>
      </c>
      <c r="L76" t="n">
        <v>0</v>
      </c>
      <c r="M76" t="n">
        <v>0</v>
      </c>
      <c r="N76" t="n">
        <v>0</v>
      </c>
      <c r="O76" t="n">
        <v>2</v>
      </c>
      <c r="P76" t="n">
        <v>0</v>
      </c>
      <c r="Q76" t="n">
        <v>7</v>
      </c>
      <c r="R76" s="2" t="inlineStr">
        <is>
          <t>Blå slemspindling
Kattfotslav
Blåmossa
Mindre märgborre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6159-2023</t>
        </is>
      </c>
      <c r="B77" s="1" t="n">
        <v>44964</v>
      </c>
      <c r="C77" s="1" t="n">
        <v>46201</v>
      </c>
      <c r="D77" t="inlineStr">
        <is>
          <t>GOTLANDS LÄN</t>
        </is>
      </c>
      <c r="E77" t="inlineStr">
        <is>
          <t>GOTLAND</t>
        </is>
      </c>
      <c r="G77" t="n">
        <v>2</v>
      </c>
      <c r="H77" t="n">
        <v>0</v>
      </c>
      <c r="I77" t="n">
        <v>2</v>
      </c>
      <c r="J77" t="n">
        <v>2</v>
      </c>
      <c r="K77" t="n">
        <v>1</v>
      </c>
      <c r="L77" t="n">
        <v>1</v>
      </c>
      <c r="M77" t="n">
        <v>1</v>
      </c>
      <c r="N77" t="n">
        <v>0</v>
      </c>
      <c r="O77" t="n">
        <v>5</v>
      </c>
      <c r="P77" t="n">
        <v>3</v>
      </c>
      <c r="Q77" t="n">
        <v>7</v>
      </c>
      <c r="R77" s="2" t="inlineStr">
        <is>
          <t>Coniocarpon fallax
Knölig taggsvamp
Gyllenspindling
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35293-2025</t>
        </is>
      </c>
      <c r="B78" s="1" t="n">
        <v>45854</v>
      </c>
      <c r="C78" s="1" t="n">
        <v>46201</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10419-2025</t>
        </is>
      </c>
      <c r="B79" s="1" t="n">
        <v>45720</v>
      </c>
      <c r="C79" s="1" t="n">
        <v>46201</v>
      </c>
      <c r="D79" t="inlineStr">
        <is>
          <t>GOTLANDS LÄN</t>
        </is>
      </c>
      <c r="E79" t="inlineStr">
        <is>
          <t>GOTLAND</t>
        </is>
      </c>
      <c r="G79" t="n">
        <v>1.2</v>
      </c>
      <c r="H79" t="n">
        <v>0</v>
      </c>
      <c r="I79" t="n">
        <v>2</v>
      </c>
      <c r="J79" t="n">
        <v>3</v>
      </c>
      <c r="K79" t="n">
        <v>2</v>
      </c>
      <c r="L79" t="n">
        <v>0</v>
      </c>
      <c r="M79" t="n">
        <v>0</v>
      </c>
      <c r="N79" t="n">
        <v>0</v>
      </c>
      <c r="O79" t="n">
        <v>5</v>
      </c>
      <c r="P79" t="n">
        <v>2</v>
      </c>
      <c r="Q79" t="n">
        <v>7</v>
      </c>
      <c r="R79" s="2" t="inlineStr">
        <is>
          <t>Mörkfjällig olivspindling
Violettfläckig spindling
Blå slemspindling
Fjällig taggsvamp s.str.
Kryddspindling
Anisspindling
Olivspindling</t>
        </is>
      </c>
      <c r="S79">
        <f>HYPERLINK("https://klasma.github.io/Logging_0980/artfynd/A 10419-2025 artfynd.xlsx", "A 10419-2025")</f>
        <v/>
      </c>
      <c r="T79">
        <f>HYPERLINK("https://klasma.github.io/Logging_0980/kartor/A 10419-2025 karta.png", "A 10419-2025")</f>
        <v/>
      </c>
      <c r="V79">
        <f>HYPERLINK("https://klasma.github.io/Logging_0980/klagomål/A 10419-2025 FSC-klagomål.docx", "A 10419-2025")</f>
        <v/>
      </c>
      <c r="W79">
        <f>HYPERLINK("https://klasma.github.io/Logging_0980/klagomålsmail/A 10419-2025 FSC-klagomål mail.docx", "A 10419-2025")</f>
        <v/>
      </c>
      <c r="X79">
        <f>HYPERLINK("https://klasma.github.io/Logging_0980/tillsyn/A 10419-2025 tillsynsbegäran.docx", "A 10419-2025")</f>
        <v/>
      </c>
      <c r="Y79">
        <f>HYPERLINK("https://klasma.github.io/Logging_0980/tillsynsmail/A 10419-2025 tillsynsbegäran mail.docx", "A 10419-2025")</f>
        <v/>
      </c>
    </row>
    <row r="80" ht="15" customHeight="1">
      <c r="A80" t="inlineStr">
        <is>
          <t>A 34142-2024</t>
        </is>
      </c>
      <c r="B80" s="1" t="n">
        <v>45524</v>
      </c>
      <c r="C80" s="1" t="n">
        <v>46201</v>
      </c>
      <c r="D80" t="inlineStr">
        <is>
          <t>GOTLANDS LÄN</t>
        </is>
      </c>
      <c r="E80" t="inlineStr">
        <is>
          <t>GOTLAND</t>
        </is>
      </c>
      <c r="G80" t="n">
        <v>6</v>
      </c>
      <c r="H80" t="n">
        <v>1</v>
      </c>
      <c r="I80" t="n">
        <v>2</v>
      </c>
      <c r="J80" t="n">
        <v>3</v>
      </c>
      <c r="K80" t="n">
        <v>2</v>
      </c>
      <c r="L80" t="n">
        <v>0</v>
      </c>
      <c r="M80" t="n">
        <v>0</v>
      </c>
      <c r="N80" t="n">
        <v>0</v>
      </c>
      <c r="O80" t="n">
        <v>5</v>
      </c>
      <c r="P80" t="n">
        <v>2</v>
      </c>
      <c r="Q80" t="n">
        <v>7</v>
      </c>
      <c r="R80" s="2" t="inlineStr">
        <is>
          <t>Duvspindling
Igelkott
Blå slemspindling
Odörspindling
Rödfläckig zontaggsvamp
Anisspindling
Nästrot</t>
        </is>
      </c>
      <c r="S80">
        <f>HYPERLINK("https://klasma.github.io/Logging_0980/artfynd/A 34142-2024 artfynd.xlsx", "A 34142-2024")</f>
        <v/>
      </c>
      <c r="T80">
        <f>HYPERLINK("https://klasma.github.io/Logging_0980/kartor/A 34142-2024 karta.png", "A 34142-2024")</f>
        <v/>
      </c>
      <c r="V80">
        <f>HYPERLINK("https://klasma.github.io/Logging_0980/klagomål/A 34142-2024 FSC-klagomål.docx", "A 34142-2024")</f>
        <v/>
      </c>
      <c r="W80">
        <f>HYPERLINK("https://klasma.github.io/Logging_0980/klagomålsmail/A 34142-2024 FSC-klagomål mail.docx", "A 34142-2024")</f>
        <v/>
      </c>
      <c r="X80">
        <f>HYPERLINK("https://klasma.github.io/Logging_0980/tillsyn/A 34142-2024 tillsynsbegäran.docx", "A 34142-2024")</f>
        <v/>
      </c>
      <c r="Y80">
        <f>HYPERLINK("https://klasma.github.io/Logging_0980/tillsynsmail/A 34142-2024 tillsynsbegäran mail.docx", "A 34142-2024")</f>
        <v/>
      </c>
    </row>
    <row r="81" ht="15" customHeight="1">
      <c r="A81" t="inlineStr">
        <is>
          <t>A 63152-2025</t>
        </is>
      </c>
      <c r="B81" s="1" t="n">
        <v>46010</v>
      </c>
      <c r="C81" s="1" t="n">
        <v>46201</v>
      </c>
      <c r="D81" t="inlineStr">
        <is>
          <t>GOTLANDS LÄN</t>
        </is>
      </c>
      <c r="E81" t="inlineStr">
        <is>
          <t>GOTLAND</t>
        </is>
      </c>
      <c r="G81" t="n">
        <v>1.5</v>
      </c>
      <c r="H81" t="n">
        <v>4</v>
      </c>
      <c r="I81" t="n">
        <v>1</v>
      </c>
      <c r="J81" t="n">
        <v>3</v>
      </c>
      <c r="K81" t="n">
        <v>0</v>
      </c>
      <c r="L81" t="n">
        <v>0</v>
      </c>
      <c r="M81" t="n">
        <v>0</v>
      </c>
      <c r="N81" t="n">
        <v>0</v>
      </c>
      <c r="O81" t="n">
        <v>3</v>
      </c>
      <c r="P81" t="n">
        <v>0</v>
      </c>
      <c r="Q81" t="n">
        <v>7</v>
      </c>
      <c r="R81" s="2" t="inlineStr">
        <is>
          <t>Berggräsfjäril
Dårgräsfjäril
Svinrot
Nästrot
Spillkråka
Sälg
Sankt pers nycklar</t>
        </is>
      </c>
      <c r="S81">
        <f>HYPERLINK("https://klasma.github.io/Logging_0980/artfynd/A 63152-2025 artfynd.xlsx", "A 63152-2025")</f>
        <v/>
      </c>
      <c r="T81">
        <f>HYPERLINK("https://klasma.github.io/Logging_0980/kartor/A 63152-2025 karta.png", "A 63152-2025")</f>
        <v/>
      </c>
      <c r="V81">
        <f>HYPERLINK("https://klasma.github.io/Logging_0980/klagomål/A 63152-2025 FSC-klagomål.docx", "A 63152-2025")</f>
        <v/>
      </c>
      <c r="W81">
        <f>HYPERLINK("https://klasma.github.io/Logging_0980/klagomålsmail/A 63152-2025 FSC-klagomål mail.docx", "A 63152-2025")</f>
        <v/>
      </c>
      <c r="X81">
        <f>HYPERLINK("https://klasma.github.io/Logging_0980/tillsyn/A 63152-2025 tillsynsbegäran.docx", "A 63152-2025")</f>
        <v/>
      </c>
      <c r="Y81">
        <f>HYPERLINK("https://klasma.github.io/Logging_0980/tillsynsmail/A 63152-2025 tillsynsbegäran mail.docx", "A 63152-2025")</f>
        <v/>
      </c>
      <c r="Z81">
        <f>HYPERLINK("https://klasma.github.io/Logging_0980/fåglar/A 63152-2025 prioriterade fågelarter.docx", "A 63152-2025")</f>
        <v/>
      </c>
    </row>
    <row r="82" ht="15" customHeight="1">
      <c r="A82" t="inlineStr">
        <is>
          <t>A 26987-2026</t>
        </is>
      </c>
      <c r="B82" s="1" t="n">
        <v>46185</v>
      </c>
      <c r="C82" s="1" t="n">
        <v>46201</v>
      </c>
      <c r="D82" t="inlineStr">
        <is>
          <t>GOTLANDS LÄN</t>
        </is>
      </c>
      <c r="E82" t="inlineStr">
        <is>
          <t>GOTLAND</t>
        </is>
      </c>
      <c r="G82" t="n">
        <v>4.6</v>
      </c>
      <c r="H82" t="n">
        <v>1</v>
      </c>
      <c r="I82" t="n">
        <v>1</v>
      </c>
      <c r="J82" t="n">
        <v>4</v>
      </c>
      <c r="K82" t="n">
        <v>1</v>
      </c>
      <c r="L82" t="n">
        <v>0</v>
      </c>
      <c r="M82" t="n">
        <v>0</v>
      </c>
      <c r="N82" t="n">
        <v>0</v>
      </c>
      <c r="O82" t="n">
        <v>5</v>
      </c>
      <c r="P82" t="n">
        <v>1</v>
      </c>
      <c r="Q82" t="n">
        <v>7</v>
      </c>
      <c r="R82" s="2" t="inlineStr">
        <is>
          <t>Granrotspindling
Backtimjan
Blå slemspindling
Odörspindling
Solvända
Svavelriska
Spillkråka</t>
        </is>
      </c>
      <c r="S82">
        <f>HYPERLINK("https://klasma.github.io/Logging_0980/artfynd/A 26987-2026 artfynd.xlsx", "A 26987-2026")</f>
        <v/>
      </c>
      <c r="T82">
        <f>HYPERLINK("https://klasma.github.io/Logging_0980/kartor/A 26987-2026 karta.png", "A 26987-2026")</f>
        <v/>
      </c>
      <c r="V82">
        <f>HYPERLINK("https://klasma.github.io/Logging_0980/klagomål/A 26987-2026 FSC-klagomål.docx", "A 26987-2026")</f>
        <v/>
      </c>
      <c r="W82">
        <f>HYPERLINK("https://klasma.github.io/Logging_0980/klagomålsmail/A 26987-2026 FSC-klagomål mail.docx", "A 26987-2026")</f>
        <v/>
      </c>
      <c r="X82">
        <f>HYPERLINK("https://klasma.github.io/Logging_0980/tillsyn/A 26987-2026 tillsynsbegäran.docx", "A 26987-2026")</f>
        <v/>
      </c>
      <c r="Y82">
        <f>HYPERLINK("https://klasma.github.io/Logging_0980/tillsynsmail/A 26987-2026 tillsynsbegäran mail.docx", "A 26987-2026")</f>
        <v/>
      </c>
      <c r="Z82">
        <f>HYPERLINK("https://klasma.github.io/Logging_0980/fåglar/A 26987-2026 prioriterade fågelarter.docx", "A 26987-2026")</f>
        <v/>
      </c>
    </row>
    <row r="83" ht="15" customHeight="1">
      <c r="A83" t="inlineStr">
        <is>
          <t>A 43200-2023</t>
        </is>
      </c>
      <c r="B83" s="1" t="n">
        <v>45183</v>
      </c>
      <c r="C83" s="1" t="n">
        <v>46201</v>
      </c>
      <c r="D83" t="inlineStr">
        <is>
          <t>GOTLANDS LÄN</t>
        </is>
      </c>
      <c r="E83" t="inlineStr">
        <is>
          <t>GOTLAND</t>
        </is>
      </c>
      <c r="G83" t="n">
        <v>0.5</v>
      </c>
      <c r="H83" t="n">
        <v>2</v>
      </c>
      <c r="I83" t="n">
        <v>3</v>
      </c>
      <c r="J83" t="n">
        <v>3</v>
      </c>
      <c r="K83" t="n">
        <v>0</v>
      </c>
      <c r="L83" t="n">
        <v>0</v>
      </c>
      <c r="M83" t="n">
        <v>0</v>
      </c>
      <c r="N83" t="n">
        <v>0</v>
      </c>
      <c r="O83" t="n">
        <v>3</v>
      </c>
      <c r="P83" t="n">
        <v>0</v>
      </c>
      <c r="Q83" t="n">
        <v>6</v>
      </c>
      <c r="R83" s="2" t="inlineStr">
        <is>
          <t>Kattfotslav
Sårläka
Vårärt
Kalktallört
Nästrot
Skogsknipprot</t>
        </is>
      </c>
      <c r="S83">
        <f>HYPERLINK("https://klasma.github.io/Logging_0980/artfynd/A 43200-2023 artfynd.xlsx", "A 43200-2023")</f>
        <v/>
      </c>
      <c r="T83">
        <f>HYPERLINK("https://klasma.github.io/Logging_0980/kartor/A 43200-2023 karta.png", "A 43200-2023")</f>
        <v/>
      </c>
      <c r="V83">
        <f>HYPERLINK("https://klasma.github.io/Logging_0980/klagomål/A 43200-2023 FSC-klagomål.docx", "A 43200-2023")</f>
        <v/>
      </c>
      <c r="W83">
        <f>HYPERLINK("https://klasma.github.io/Logging_0980/klagomålsmail/A 43200-2023 FSC-klagomål mail.docx", "A 43200-2023")</f>
        <v/>
      </c>
      <c r="X83">
        <f>HYPERLINK("https://klasma.github.io/Logging_0980/tillsyn/A 43200-2023 tillsynsbegäran.docx", "A 43200-2023")</f>
        <v/>
      </c>
      <c r="Y83">
        <f>HYPERLINK("https://klasma.github.io/Logging_0980/tillsynsmail/A 43200-2023 tillsynsbegäran mail.docx", "A 43200-2023")</f>
        <v/>
      </c>
    </row>
    <row r="84" ht="15" customHeight="1">
      <c r="A84" t="inlineStr">
        <is>
          <t>A 64208-2021</t>
        </is>
      </c>
      <c r="B84" s="1" t="n">
        <v>44510</v>
      </c>
      <c r="C84" s="1" t="n">
        <v>46201</v>
      </c>
      <c r="D84" t="inlineStr">
        <is>
          <t>GOTLANDS LÄN</t>
        </is>
      </c>
      <c r="E84" t="inlineStr">
        <is>
          <t>GOTLAND</t>
        </is>
      </c>
      <c r="G84" t="n">
        <v>4.7</v>
      </c>
      <c r="H84" t="n">
        <v>2</v>
      </c>
      <c r="I84" t="n">
        <v>0</v>
      </c>
      <c r="J84" t="n">
        <v>4</v>
      </c>
      <c r="K84" t="n">
        <v>1</v>
      </c>
      <c r="L84" t="n">
        <v>0</v>
      </c>
      <c r="M84" t="n">
        <v>0</v>
      </c>
      <c r="N84" t="n">
        <v>0</v>
      </c>
      <c r="O84" t="n">
        <v>5</v>
      </c>
      <c r="P84" t="n">
        <v>1</v>
      </c>
      <c r="Q84" t="n">
        <v>6</v>
      </c>
      <c r="R84" s="2" t="inlineStr">
        <is>
          <t>Svartfläckig blåvinge
Axveronika
Backtimjan
Jordtistel
Solvända
Alvarstånds</t>
        </is>
      </c>
      <c r="S84">
        <f>HYPERLINK("https://klasma.github.io/Logging_0980/artfynd/A 64208-2021 artfynd.xlsx", "A 64208-2021")</f>
        <v/>
      </c>
      <c r="T84">
        <f>HYPERLINK("https://klasma.github.io/Logging_0980/kartor/A 64208-2021 karta.png", "A 64208-2021")</f>
        <v/>
      </c>
      <c r="V84">
        <f>HYPERLINK("https://klasma.github.io/Logging_0980/klagomål/A 64208-2021 FSC-klagomål.docx", "A 64208-2021")</f>
        <v/>
      </c>
      <c r="W84">
        <f>HYPERLINK("https://klasma.github.io/Logging_0980/klagomålsmail/A 64208-2021 FSC-klagomål mail.docx", "A 64208-2021")</f>
        <v/>
      </c>
      <c r="X84">
        <f>HYPERLINK("https://klasma.github.io/Logging_0980/tillsyn/A 64208-2021 tillsynsbegäran.docx", "A 64208-2021")</f>
        <v/>
      </c>
      <c r="Y84">
        <f>HYPERLINK("https://klasma.github.io/Logging_0980/tillsynsmail/A 64208-2021 tillsynsbegäran mail.docx", "A 64208-2021")</f>
        <v/>
      </c>
    </row>
    <row r="85" ht="15" customHeight="1">
      <c r="A85" t="inlineStr">
        <is>
          <t>A 48126-2022</t>
        </is>
      </c>
      <c r="B85" s="1" t="n">
        <v>44857</v>
      </c>
      <c r="C85" s="1" t="n">
        <v>46201</v>
      </c>
      <c r="D85" t="inlineStr">
        <is>
          <t>GOTLANDS LÄN</t>
        </is>
      </c>
      <c r="E85" t="inlineStr">
        <is>
          <t>GOTLAND</t>
        </is>
      </c>
      <c r="G85" t="n">
        <v>9.800000000000001</v>
      </c>
      <c r="H85" t="n">
        <v>3</v>
      </c>
      <c r="I85" t="n">
        <v>0</v>
      </c>
      <c r="J85" t="n">
        <v>3</v>
      </c>
      <c r="K85" t="n">
        <v>0</v>
      </c>
      <c r="L85" t="n">
        <v>0</v>
      </c>
      <c r="M85" t="n">
        <v>0</v>
      </c>
      <c r="N85" t="n">
        <v>0</v>
      </c>
      <c r="O85" t="n">
        <v>3</v>
      </c>
      <c r="P85" t="n">
        <v>0</v>
      </c>
      <c r="Q85" t="n">
        <v>6</v>
      </c>
      <c r="R85" s="2" t="inlineStr">
        <is>
          <t>Jordtistel
Jungfrulin
Svinrot
Spillkråka
Näktergal
Skogsduva</t>
        </is>
      </c>
      <c r="S85">
        <f>HYPERLINK("https://klasma.github.io/Logging_0980/artfynd/A 48126-2022 artfynd.xlsx", "A 48126-2022")</f>
        <v/>
      </c>
      <c r="T85">
        <f>HYPERLINK("https://klasma.github.io/Logging_0980/kartor/A 48126-2022 karta.png", "A 48126-2022")</f>
        <v/>
      </c>
      <c r="V85">
        <f>HYPERLINK("https://klasma.github.io/Logging_0980/klagomål/A 48126-2022 FSC-klagomål.docx", "A 48126-2022")</f>
        <v/>
      </c>
      <c r="W85">
        <f>HYPERLINK("https://klasma.github.io/Logging_0980/klagomålsmail/A 48126-2022 FSC-klagomål mail.docx", "A 48126-2022")</f>
        <v/>
      </c>
      <c r="X85">
        <f>HYPERLINK("https://klasma.github.io/Logging_0980/tillsyn/A 48126-2022 tillsynsbegäran.docx", "A 48126-2022")</f>
        <v/>
      </c>
      <c r="Y85">
        <f>HYPERLINK("https://klasma.github.io/Logging_0980/tillsynsmail/A 48126-2022 tillsynsbegäran mail.docx", "A 48126-2022")</f>
        <v/>
      </c>
      <c r="Z85">
        <f>HYPERLINK("https://klasma.github.io/Logging_0980/fåglar/A 48126-2022 prioriterade fågelarter.docx", "A 48126-2022")</f>
        <v/>
      </c>
    </row>
    <row r="86" ht="15" customHeight="1">
      <c r="A86" t="inlineStr">
        <is>
          <t>A 20838-2024</t>
        </is>
      </c>
      <c r="B86" s="1" t="n">
        <v>45439</v>
      </c>
      <c r="C86" s="1" t="n">
        <v>46201</v>
      </c>
      <c r="D86" t="inlineStr">
        <is>
          <t>GOTLANDS LÄN</t>
        </is>
      </c>
      <c r="E86" t="inlineStr">
        <is>
          <t>GOTLAND</t>
        </is>
      </c>
      <c r="G86" t="n">
        <v>0.7</v>
      </c>
      <c r="H86" t="n">
        <v>4</v>
      </c>
      <c r="I86" t="n">
        <v>2</v>
      </c>
      <c r="J86" t="n">
        <v>3</v>
      </c>
      <c r="K86" t="n">
        <v>0</v>
      </c>
      <c r="L86" t="n">
        <v>0</v>
      </c>
      <c r="M86" t="n">
        <v>0</v>
      </c>
      <c r="N86" t="n">
        <v>0</v>
      </c>
      <c r="O86" t="n">
        <v>3</v>
      </c>
      <c r="P86" t="n">
        <v>0</v>
      </c>
      <c r="Q86" t="n">
        <v>6</v>
      </c>
      <c r="R86" s="2" t="inlineStr">
        <is>
          <t>Backtimjan
Dårgräsfjäril
Solvända
Skogsknipprot
Tvåblad
Spillkråka</t>
        </is>
      </c>
      <c r="S86">
        <f>HYPERLINK("https://klasma.github.io/Logging_0980/artfynd/A 20838-2024 artfynd.xlsx", "A 20838-2024")</f>
        <v/>
      </c>
      <c r="T86">
        <f>HYPERLINK("https://klasma.github.io/Logging_0980/kartor/A 20838-2024 karta.png", "A 20838-2024")</f>
        <v/>
      </c>
      <c r="V86">
        <f>HYPERLINK("https://klasma.github.io/Logging_0980/klagomål/A 20838-2024 FSC-klagomål.docx", "A 20838-2024")</f>
        <v/>
      </c>
      <c r="W86">
        <f>HYPERLINK("https://klasma.github.io/Logging_0980/klagomålsmail/A 20838-2024 FSC-klagomål mail.docx", "A 20838-2024")</f>
        <v/>
      </c>
      <c r="X86">
        <f>HYPERLINK("https://klasma.github.io/Logging_0980/tillsyn/A 20838-2024 tillsynsbegäran.docx", "A 20838-2024")</f>
        <v/>
      </c>
      <c r="Y86">
        <f>HYPERLINK("https://klasma.github.io/Logging_0980/tillsynsmail/A 20838-2024 tillsynsbegäran mail.docx", "A 20838-2024")</f>
        <v/>
      </c>
      <c r="Z86">
        <f>HYPERLINK("https://klasma.github.io/Logging_0980/fåglar/A 20838-2024 prioriterade fågelarter.docx", "A 20838-2024")</f>
        <v/>
      </c>
    </row>
    <row r="87" ht="15" customHeight="1">
      <c r="A87" t="inlineStr">
        <is>
          <t>A 16823-2024</t>
        </is>
      </c>
      <c r="B87" s="1" t="n">
        <v>45411</v>
      </c>
      <c r="C87" s="1" t="n">
        <v>46201</v>
      </c>
      <c r="D87" t="inlineStr">
        <is>
          <t>GOTLANDS LÄN</t>
        </is>
      </c>
      <c r="E87" t="inlineStr">
        <is>
          <t>GOTLAND</t>
        </is>
      </c>
      <c r="G87" t="n">
        <v>25.4</v>
      </c>
      <c r="H87" t="n">
        <v>5</v>
      </c>
      <c r="I87" t="n">
        <v>1</v>
      </c>
      <c r="J87" t="n">
        <v>2</v>
      </c>
      <c r="K87" t="n">
        <v>0</v>
      </c>
      <c r="L87" t="n">
        <v>0</v>
      </c>
      <c r="M87" t="n">
        <v>0</v>
      </c>
      <c r="N87" t="n">
        <v>0</v>
      </c>
      <c r="O87" t="n">
        <v>2</v>
      </c>
      <c r="P87" t="n">
        <v>0</v>
      </c>
      <c r="Q87" t="n">
        <v>6</v>
      </c>
      <c r="R87" s="2" t="inlineStr">
        <is>
          <t>Gulsparv
Jordtistel
Flugblomster
Brudsporre
Johannesnycklar
Sankt pers nycklar</t>
        </is>
      </c>
      <c r="S87">
        <f>HYPERLINK("https://klasma.github.io/Logging_0980/artfynd/A 16823-2024 artfynd.xlsx", "A 16823-2024")</f>
        <v/>
      </c>
      <c r="T87">
        <f>HYPERLINK("https://klasma.github.io/Logging_0980/kartor/A 16823-2024 karta.png", "A 16823-2024")</f>
        <v/>
      </c>
      <c r="V87">
        <f>HYPERLINK("https://klasma.github.io/Logging_0980/klagomål/A 16823-2024 FSC-klagomål.docx", "A 16823-2024")</f>
        <v/>
      </c>
      <c r="W87">
        <f>HYPERLINK("https://klasma.github.io/Logging_0980/klagomålsmail/A 16823-2024 FSC-klagomål mail.docx", "A 16823-2024")</f>
        <v/>
      </c>
      <c r="X87">
        <f>HYPERLINK("https://klasma.github.io/Logging_0980/tillsyn/A 16823-2024 tillsynsbegäran.docx", "A 16823-2024")</f>
        <v/>
      </c>
      <c r="Y87">
        <f>HYPERLINK("https://klasma.github.io/Logging_0980/tillsynsmail/A 16823-2024 tillsynsbegäran mail.docx", "A 16823-2024")</f>
        <v/>
      </c>
      <c r="Z87">
        <f>HYPERLINK("https://klasma.github.io/Logging_0980/fåglar/A 16823-2024 prioriterade fågelarter.docx", "A 16823-2024")</f>
        <v/>
      </c>
    </row>
    <row r="88" ht="15" customHeight="1">
      <c r="A88" t="inlineStr">
        <is>
          <t>A 49709-2025</t>
        </is>
      </c>
      <c r="B88" s="1" t="n">
        <v>45939</v>
      </c>
      <c r="C88" s="1" t="n">
        <v>46201</v>
      </c>
      <c r="D88" t="inlineStr">
        <is>
          <t>GOTLANDS LÄN</t>
        </is>
      </c>
      <c r="E88" t="inlineStr">
        <is>
          <t>GOTLAND</t>
        </is>
      </c>
      <c r="G88" t="n">
        <v>10.2</v>
      </c>
      <c r="H88" t="n">
        <v>1</v>
      </c>
      <c r="I88" t="n">
        <v>3</v>
      </c>
      <c r="J88" t="n">
        <v>3</v>
      </c>
      <c r="K88" t="n">
        <v>0</v>
      </c>
      <c r="L88" t="n">
        <v>0</v>
      </c>
      <c r="M88" t="n">
        <v>0</v>
      </c>
      <c r="N88" t="n">
        <v>0</v>
      </c>
      <c r="O88" t="n">
        <v>3</v>
      </c>
      <c r="P88" t="n">
        <v>0</v>
      </c>
      <c r="Q88" t="n">
        <v>6</v>
      </c>
      <c r="R88" s="2" t="inlineStr">
        <is>
          <t>Mindre hackspett
Mörk dunört
Tallticka
Blåmossa
Grovticka
Kambräken</t>
        </is>
      </c>
      <c r="S88">
        <f>HYPERLINK("https://klasma.github.io/Logging_0980/artfynd/A 49709-2025 artfynd.xlsx", "A 49709-2025")</f>
        <v/>
      </c>
      <c r="T88">
        <f>HYPERLINK("https://klasma.github.io/Logging_0980/kartor/A 49709-2025 karta.png", "A 49709-2025")</f>
        <v/>
      </c>
      <c r="V88">
        <f>HYPERLINK("https://klasma.github.io/Logging_0980/klagomål/A 49709-2025 FSC-klagomål.docx", "A 49709-2025")</f>
        <v/>
      </c>
      <c r="W88">
        <f>HYPERLINK("https://klasma.github.io/Logging_0980/klagomålsmail/A 49709-2025 FSC-klagomål mail.docx", "A 49709-2025")</f>
        <v/>
      </c>
      <c r="X88">
        <f>HYPERLINK("https://klasma.github.io/Logging_0980/tillsyn/A 49709-2025 tillsynsbegäran.docx", "A 49709-2025")</f>
        <v/>
      </c>
      <c r="Y88">
        <f>HYPERLINK("https://klasma.github.io/Logging_0980/tillsynsmail/A 49709-2025 tillsynsbegäran mail.docx", "A 49709-2025")</f>
        <v/>
      </c>
      <c r="Z88">
        <f>HYPERLINK("https://klasma.github.io/Logging_0980/fåglar/A 49709-2025 prioriterade fågelarter.docx", "A 49709-2025")</f>
        <v/>
      </c>
    </row>
    <row r="89" ht="15" customHeight="1">
      <c r="A89" t="inlineStr">
        <is>
          <t>A 73144-2021</t>
        </is>
      </c>
      <c r="B89" s="1" t="n">
        <v>44550</v>
      </c>
      <c r="C89" s="1" t="n">
        <v>46201</v>
      </c>
      <c r="D89" t="inlineStr">
        <is>
          <t>GOTLANDS LÄN</t>
        </is>
      </c>
      <c r="E89" t="inlineStr">
        <is>
          <t>GOTLAND</t>
        </is>
      </c>
      <c r="G89" t="n">
        <v>1.9</v>
      </c>
      <c r="H89" t="n">
        <v>0</v>
      </c>
      <c r="I89" t="n">
        <v>1</v>
      </c>
      <c r="J89" t="n">
        <v>1</v>
      </c>
      <c r="K89" t="n">
        <v>3</v>
      </c>
      <c r="L89" t="n">
        <v>0</v>
      </c>
      <c r="M89" t="n">
        <v>0</v>
      </c>
      <c r="N89" t="n">
        <v>0</v>
      </c>
      <c r="O89" t="n">
        <v>4</v>
      </c>
      <c r="P89" t="n">
        <v>3</v>
      </c>
      <c r="Q89" t="n">
        <v>5</v>
      </c>
      <c r="R89" s="2" t="inlineStr">
        <is>
          <t>Igelkott
Skogskorn
Svartgrön spindling
Äggspindling
Kambräken</t>
        </is>
      </c>
      <c r="S89">
        <f>HYPERLINK("https://klasma.github.io/Logging_0980/artfynd/A 73144-2021 artfynd.xlsx", "A 73144-2021")</f>
        <v/>
      </c>
      <c r="T89">
        <f>HYPERLINK("https://klasma.github.io/Logging_0980/kartor/A 73144-2021 karta.png", "A 73144-2021")</f>
        <v/>
      </c>
      <c r="V89">
        <f>HYPERLINK("https://klasma.github.io/Logging_0980/klagomål/A 73144-2021 FSC-klagomål.docx", "A 73144-2021")</f>
        <v/>
      </c>
      <c r="W89">
        <f>HYPERLINK("https://klasma.github.io/Logging_0980/klagomålsmail/A 73144-2021 FSC-klagomål mail.docx", "A 73144-2021")</f>
        <v/>
      </c>
      <c r="X89">
        <f>HYPERLINK("https://klasma.github.io/Logging_0980/tillsyn/A 73144-2021 tillsynsbegäran.docx", "A 73144-2021")</f>
        <v/>
      </c>
      <c r="Y89">
        <f>HYPERLINK("https://klasma.github.io/Logging_0980/tillsynsmail/A 73144-2021 tillsynsbegäran mail.docx", "A 73144-2021")</f>
        <v/>
      </c>
    </row>
    <row r="90" ht="15" customHeight="1">
      <c r="A90" t="inlineStr">
        <is>
          <t>A 43197-2023</t>
        </is>
      </c>
      <c r="B90" s="1" t="n">
        <v>45183</v>
      </c>
      <c r="C90" s="1" t="n">
        <v>46201</v>
      </c>
      <c r="D90" t="inlineStr">
        <is>
          <t>GOTLANDS LÄN</t>
        </is>
      </c>
      <c r="E90" t="inlineStr">
        <is>
          <t>GOTLAND</t>
        </is>
      </c>
      <c r="G90" t="n">
        <v>3.7</v>
      </c>
      <c r="H90" t="n">
        <v>2</v>
      </c>
      <c r="I90" t="n">
        <v>1</v>
      </c>
      <c r="J90" t="n">
        <v>1</v>
      </c>
      <c r="K90" t="n">
        <v>1</v>
      </c>
      <c r="L90" t="n">
        <v>1</v>
      </c>
      <c r="M90" t="n">
        <v>0</v>
      </c>
      <c r="N90" t="n">
        <v>0</v>
      </c>
      <c r="O90" t="n">
        <v>3</v>
      </c>
      <c r="P90" t="n">
        <v>2</v>
      </c>
      <c r="Q90" t="n">
        <v>5</v>
      </c>
      <c r="R90" s="2" t="inlineStr">
        <is>
          <t>Ask
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42936-2024</t>
        </is>
      </c>
      <c r="B91" s="1" t="n">
        <v>45567</v>
      </c>
      <c r="C91" s="1" t="n">
        <v>46201</v>
      </c>
      <c r="D91" t="inlineStr">
        <is>
          <t>GOTLANDS LÄN</t>
        </is>
      </c>
      <c r="E91" t="inlineStr">
        <is>
          <t>GOTLAND</t>
        </is>
      </c>
      <c r="G91" t="n">
        <v>3.4</v>
      </c>
      <c r="H91" t="n">
        <v>0</v>
      </c>
      <c r="I91" t="n">
        <v>1</v>
      </c>
      <c r="J91" t="n">
        <v>3</v>
      </c>
      <c r="K91" t="n">
        <v>1</v>
      </c>
      <c r="L91" t="n">
        <v>0</v>
      </c>
      <c r="M91" t="n">
        <v>0</v>
      </c>
      <c r="N91" t="n">
        <v>0</v>
      </c>
      <c r="O91" t="n">
        <v>4</v>
      </c>
      <c r="P91" t="n">
        <v>1</v>
      </c>
      <c r="Q91" t="n">
        <v>5</v>
      </c>
      <c r="R91" s="2" t="inlineStr">
        <is>
          <t>Vit taggsvamp
Barrfagerspindling
Blå slemspindling
Äggspindling
Svavelriska</t>
        </is>
      </c>
      <c r="S91">
        <f>HYPERLINK("https://klasma.github.io/Logging_0980/artfynd/A 42936-2024 artfynd.xlsx", "A 42936-2024")</f>
        <v/>
      </c>
      <c r="T91">
        <f>HYPERLINK("https://klasma.github.io/Logging_0980/kartor/A 42936-2024 karta.png", "A 42936-2024")</f>
        <v/>
      </c>
      <c r="V91">
        <f>HYPERLINK("https://klasma.github.io/Logging_0980/klagomål/A 42936-2024 FSC-klagomål.docx", "A 42936-2024")</f>
        <v/>
      </c>
      <c r="W91">
        <f>HYPERLINK("https://klasma.github.io/Logging_0980/klagomålsmail/A 42936-2024 FSC-klagomål mail.docx", "A 42936-2024")</f>
        <v/>
      </c>
      <c r="X91">
        <f>HYPERLINK("https://klasma.github.io/Logging_0980/tillsyn/A 42936-2024 tillsynsbegäran.docx", "A 42936-2024")</f>
        <v/>
      </c>
      <c r="Y91">
        <f>HYPERLINK("https://klasma.github.io/Logging_0980/tillsynsmail/A 42936-2024 tillsynsbegäran mail.docx", "A 42936-2024")</f>
        <v/>
      </c>
    </row>
    <row r="92" ht="15" customHeight="1">
      <c r="A92" t="inlineStr">
        <is>
          <t>A 39425-2023</t>
        </is>
      </c>
      <c r="B92" s="1" t="n">
        <v>45166</v>
      </c>
      <c r="C92" s="1" t="n">
        <v>46201</v>
      </c>
      <c r="D92" t="inlineStr">
        <is>
          <t>GOTLANDS LÄN</t>
        </is>
      </c>
      <c r="E92" t="inlineStr">
        <is>
          <t>GOTLAND</t>
        </is>
      </c>
      <c r="G92" t="n">
        <v>3.9</v>
      </c>
      <c r="H92" t="n">
        <v>1</v>
      </c>
      <c r="I92" t="n">
        <v>3</v>
      </c>
      <c r="J92" t="n">
        <v>0</v>
      </c>
      <c r="K92" t="n">
        <v>1</v>
      </c>
      <c r="L92" t="n">
        <v>1</v>
      </c>
      <c r="M92" t="n">
        <v>0</v>
      </c>
      <c r="N92" t="n">
        <v>0</v>
      </c>
      <c r="O92" t="n">
        <v>2</v>
      </c>
      <c r="P92" t="n">
        <v>2</v>
      </c>
      <c r="Q92" t="n">
        <v>5</v>
      </c>
      <c r="R92" s="2" t="inlineStr">
        <is>
          <t>Violgubbe
Knärot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54055-2022</t>
        </is>
      </c>
      <c r="B93" s="1" t="n">
        <v>44881</v>
      </c>
      <c r="C93" s="1" t="n">
        <v>46201</v>
      </c>
      <c r="D93" t="inlineStr">
        <is>
          <t>GOTLANDS LÄN</t>
        </is>
      </c>
      <c r="E93" t="inlineStr">
        <is>
          <t>GOTLAND</t>
        </is>
      </c>
      <c r="G93" t="n">
        <v>4.6</v>
      </c>
      <c r="H93" t="n">
        <v>0</v>
      </c>
      <c r="I93" t="n">
        <v>2</v>
      </c>
      <c r="J93" t="n">
        <v>2</v>
      </c>
      <c r="K93" t="n">
        <v>1</v>
      </c>
      <c r="L93" t="n">
        <v>0</v>
      </c>
      <c r="M93" t="n">
        <v>0</v>
      </c>
      <c r="N93" t="n">
        <v>0</v>
      </c>
      <c r="O93" t="n">
        <v>3</v>
      </c>
      <c r="P93" t="n">
        <v>1</v>
      </c>
      <c r="Q93" t="n">
        <v>5</v>
      </c>
      <c r="R93" s="2" t="inlineStr">
        <is>
          <t>Duvspindling
Kryddspindling
Odörspindling
Diskvaxskivling
Olivspindling</t>
        </is>
      </c>
      <c r="S93">
        <f>HYPERLINK("https://klasma.github.io/Logging_0980/artfynd/A 54055-2022 artfynd.xlsx", "A 54055-2022")</f>
        <v/>
      </c>
      <c r="T93">
        <f>HYPERLINK("https://klasma.github.io/Logging_0980/kartor/A 54055-2022 karta.png", "A 54055-2022")</f>
        <v/>
      </c>
      <c r="V93">
        <f>HYPERLINK("https://klasma.github.io/Logging_0980/klagomål/A 54055-2022 FSC-klagomål.docx", "A 54055-2022")</f>
        <v/>
      </c>
      <c r="W93">
        <f>HYPERLINK("https://klasma.github.io/Logging_0980/klagomålsmail/A 54055-2022 FSC-klagomål mail.docx", "A 54055-2022")</f>
        <v/>
      </c>
      <c r="X93">
        <f>HYPERLINK("https://klasma.github.io/Logging_0980/tillsyn/A 54055-2022 tillsynsbegäran.docx", "A 54055-2022")</f>
        <v/>
      </c>
      <c r="Y93">
        <f>HYPERLINK("https://klasma.github.io/Logging_0980/tillsynsmail/A 54055-2022 tillsynsbegäran mail.docx", "A 54055-2022")</f>
        <v/>
      </c>
    </row>
    <row r="94" ht="15" customHeight="1">
      <c r="A94" t="inlineStr">
        <is>
          <t>A 5904-2024</t>
        </is>
      </c>
      <c r="B94" s="1" t="n">
        <v>45335</v>
      </c>
      <c r="C94" s="1" t="n">
        <v>46201</v>
      </c>
      <c r="D94" t="inlineStr">
        <is>
          <t>GOTLANDS LÄN</t>
        </is>
      </c>
      <c r="E94" t="inlineStr">
        <is>
          <t>GOTLAND</t>
        </is>
      </c>
      <c r="G94" t="n">
        <v>6.4</v>
      </c>
      <c r="H94" t="n">
        <v>1</v>
      </c>
      <c r="I94" t="n">
        <v>1</v>
      </c>
      <c r="J94" t="n">
        <v>3</v>
      </c>
      <c r="K94" t="n">
        <v>0</v>
      </c>
      <c r="L94" t="n">
        <v>0</v>
      </c>
      <c r="M94" t="n">
        <v>0</v>
      </c>
      <c r="N94" t="n">
        <v>0</v>
      </c>
      <c r="O94" t="n">
        <v>3</v>
      </c>
      <c r="P94" t="n">
        <v>0</v>
      </c>
      <c r="Q94" t="n">
        <v>5</v>
      </c>
      <c r="R94" s="2" t="inlineStr">
        <is>
          <t>Backstarr
Backtimjan
Kattfotslav
Blåmossa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8265-2023</t>
        </is>
      </c>
      <c r="B95" s="1" t="n">
        <v>44974</v>
      </c>
      <c r="C95" s="1" t="n">
        <v>46201</v>
      </c>
      <c r="D95" t="inlineStr">
        <is>
          <t>GOTLANDS LÄN</t>
        </is>
      </c>
      <c r="E95" t="inlineStr">
        <is>
          <t>GOTLAND</t>
        </is>
      </c>
      <c r="G95" t="n">
        <v>3.3</v>
      </c>
      <c r="H95" t="n">
        <v>4</v>
      </c>
      <c r="I95" t="n">
        <v>3</v>
      </c>
      <c r="J95" t="n">
        <v>1</v>
      </c>
      <c r="K95" t="n">
        <v>0</v>
      </c>
      <c r="L95" t="n">
        <v>0</v>
      </c>
      <c r="M95" t="n">
        <v>0</v>
      </c>
      <c r="N95" t="n">
        <v>0</v>
      </c>
      <c r="O95" t="n">
        <v>1</v>
      </c>
      <c r="P95" t="n">
        <v>0</v>
      </c>
      <c r="Q95" t="n">
        <v>5</v>
      </c>
      <c r="R95" s="2" t="inlineStr">
        <is>
          <t>Säfferot
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57463-2025</t>
        </is>
      </c>
      <c r="B96" s="1" t="n">
        <v>45980</v>
      </c>
      <c r="C96" s="1" t="n">
        <v>46201</v>
      </c>
      <c r="D96" t="inlineStr">
        <is>
          <t>GOTLANDS LÄN</t>
        </is>
      </c>
      <c r="E96" t="inlineStr">
        <is>
          <t>GOTLAND</t>
        </is>
      </c>
      <c r="G96" t="n">
        <v>3.8</v>
      </c>
      <c r="H96" t="n">
        <v>0</v>
      </c>
      <c r="I96" t="n">
        <v>0</v>
      </c>
      <c r="J96" t="n">
        <v>2</v>
      </c>
      <c r="K96" t="n">
        <v>3</v>
      </c>
      <c r="L96" t="n">
        <v>0</v>
      </c>
      <c r="M96" t="n">
        <v>0</v>
      </c>
      <c r="N96" t="n">
        <v>0</v>
      </c>
      <c r="O96" t="n">
        <v>5</v>
      </c>
      <c r="P96" t="n">
        <v>3</v>
      </c>
      <c r="Q96" t="n">
        <v>5</v>
      </c>
      <c r="R96" s="2" t="inlineStr">
        <is>
          <t>Bullspindling
Gulsträngad fagerspindling
Tvillingspindling
Blå slemspindling
Odörspindling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44323-2021</t>
        </is>
      </c>
      <c r="B97" s="1" t="n">
        <v>44434</v>
      </c>
      <c r="C97" s="1" t="n">
        <v>46201</v>
      </c>
      <c r="D97" t="inlineStr">
        <is>
          <t>GOTLANDS LÄN</t>
        </is>
      </c>
      <c r="E97" t="inlineStr">
        <is>
          <t>GOTLAND</t>
        </is>
      </c>
      <c r="G97" t="n">
        <v>7.5</v>
      </c>
      <c r="H97" t="n">
        <v>2</v>
      </c>
      <c r="I97" t="n">
        <v>2</v>
      </c>
      <c r="J97" t="n">
        <v>1</v>
      </c>
      <c r="K97" t="n">
        <v>0</v>
      </c>
      <c r="L97" t="n">
        <v>0</v>
      </c>
      <c r="M97" t="n">
        <v>0</v>
      </c>
      <c r="N97" t="n">
        <v>0</v>
      </c>
      <c r="O97" t="n">
        <v>1</v>
      </c>
      <c r="P97" t="n">
        <v>0</v>
      </c>
      <c r="Q97" t="n">
        <v>4</v>
      </c>
      <c r="R97" s="2" t="inlineStr">
        <is>
          <t>Barrfagerspindling
Anisspindling
Skogsknipprot
Kråka</t>
        </is>
      </c>
      <c r="S97">
        <f>HYPERLINK("https://klasma.github.io/Logging_0980/artfynd/A 44323-2021 artfynd.xlsx", "A 44323-2021")</f>
        <v/>
      </c>
      <c r="T97">
        <f>HYPERLINK("https://klasma.github.io/Logging_0980/kartor/A 44323-2021 karta.png", "A 44323-2021")</f>
        <v/>
      </c>
      <c r="V97">
        <f>HYPERLINK("https://klasma.github.io/Logging_0980/klagomål/A 44323-2021 FSC-klagomål.docx", "A 44323-2021")</f>
        <v/>
      </c>
      <c r="W97">
        <f>HYPERLINK("https://klasma.github.io/Logging_0980/klagomålsmail/A 44323-2021 FSC-klagomål mail.docx", "A 44323-2021")</f>
        <v/>
      </c>
      <c r="X97">
        <f>HYPERLINK("https://klasma.github.io/Logging_0980/tillsyn/A 44323-2021 tillsynsbegäran.docx", "A 44323-2021")</f>
        <v/>
      </c>
      <c r="Y97">
        <f>HYPERLINK("https://klasma.github.io/Logging_0980/tillsynsmail/A 44323-2021 tillsynsbegäran mail.docx", "A 44323-2021")</f>
        <v/>
      </c>
    </row>
    <row r="98" ht="15" customHeight="1">
      <c r="A98" t="inlineStr">
        <is>
          <t>A 61386-2023</t>
        </is>
      </c>
      <c r="B98" s="1" t="n">
        <v>45264</v>
      </c>
      <c r="C98" s="1" t="n">
        <v>46201</v>
      </c>
      <c r="D98" t="inlineStr">
        <is>
          <t>GOTLANDS LÄN</t>
        </is>
      </c>
      <c r="E98" t="inlineStr">
        <is>
          <t>GOTLAND</t>
        </is>
      </c>
      <c r="G98" t="n">
        <v>0.7</v>
      </c>
      <c r="H98" t="n">
        <v>0</v>
      </c>
      <c r="I98" t="n">
        <v>3</v>
      </c>
      <c r="J98" t="n">
        <v>0</v>
      </c>
      <c r="K98" t="n">
        <v>1</v>
      </c>
      <c r="L98" t="n">
        <v>0</v>
      </c>
      <c r="M98" t="n">
        <v>0</v>
      </c>
      <c r="N98" t="n">
        <v>0</v>
      </c>
      <c r="O98" t="n">
        <v>1</v>
      </c>
      <c r="P98" t="n">
        <v>1</v>
      </c>
      <c r="Q98" t="n">
        <v>4</v>
      </c>
      <c r="R98" s="2" t="inlineStr">
        <is>
          <t>Ädellav
Korallblylav
Lönnlav
Rikfruktig blemlav</t>
        </is>
      </c>
      <c r="S98">
        <f>HYPERLINK("https://klasma.github.io/Logging_0980/artfynd/A 61386-2023 artfynd.xlsx", "A 61386-2023")</f>
        <v/>
      </c>
      <c r="T98">
        <f>HYPERLINK("https://klasma.github.io/Logging_0980/kartor/A 61386-2023 karta.png", "A 61386-2023")</f>
        <v/>
      </c>
      <c r="V98">
        <f>HYPERLINK("https://klasma.github.io/Logging_0980/klagomål/A 61386-2023 FSC-klagomål.docx", "A 61386-2023")</f>
        <v/>
      </c>
      <c r="W98">
        <f>HYPERLINK("https://klasma.github.io/Logging_0980/klagomålsmail/A 61386-2023 FSC-klagomål mail.docx", "A 61386-2023")</f>
        <v/>
      </c>
      <c r="X98">
        <f>HYPERLINK("https://klasma.github.io/Logging_0980/tillsyn/A 61386-2023 tillsynsbegäran.docx", "A 61386-2023")</f>
        <v/>
      </c>
      <c r="Y98">
        <f>HYPERLINK("https://klasma.github.io/Logging_0980/tillsynsmail/A 61386-2023 tillsynsbegäran mail.docx", "A 61386-2023")</f>
        <v/>
      </c>
    </row>
    <row r="99" ht="15" customHeight="1">
      <c r="A99" t="inlineStr">
        <is>
          <t>A 5235-2025</t>
        </is>
      </c>
      <c r="B99" s="1" t="n">
        <v>45692</v>
      </c>
      <c r="C99" s="1" t="n">
        <v>46201</v>
      </c>
      <c r="D99" t="inlineStr">
        <is>
          <t>GOTLANDS LÄN</t>
        </is>
      </c>
      <c r="E99" t="inlineStr">
        <is>
          <t>GOTLAND</t>
        </is>
      </c>
      <c r="G99" t="n">
        <v>7.6</v>
      </c>
      <c r="H99" t="n">
        <v>2</v>
      </c>
      <c r="I99" t="n">
        <v>2</v>
      </c>
      <c r="J99" t="n">
        <v>2</v>
      </c>
      <c r="K99" t="n">
        <v>0</v>
      </c>
      <c r="L99" t="n">
        <v>0</v>
      </c>
      <c r="M99" t="n">
        <v>0</v>
      </c>
      <c r="N99" t="n">
        <v>0</v>
      </c>
      <c r="O99" t="n">
        <v>2</v>
      </c>
      <c r="P99" t="n">
        <v>0</v>
      </c>
      <c r="Q99" t="n">
        <v>4</v>
      </c>
      <c r="R99" s="2" t="inlineStr">
        <is>
          <t>Dårgräsfjäril
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2485-2025</t>
        </is>
      </c>
      <c r="B100" s="1" t="n">
        <v>45673</v>
      </c>
      <c r="C100" s="1" t="n">
        <v>46201</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1273-2023</t>
        </is>
      </c>
      <c r="B101" s="1" t="n">
        <v>44936</v>
      </c>
      <c r="C101" s="1" t="n">
        <v>46201</v>
      </c>
      <c r="D101" t="inlineStr">
        <is>
          <t>GOTLANDS LÄN</t>
        </is>
      </c>
      <c r="E101" t="inlineStr">
        <is>
          <t>GOTLAND</t>
        </is>
      </c>
      <c r="G101" t="n">
        <v>4.5</v>
      </c>
      <c r="H101" t="n">
        <v>2</v>
      </c>
      <c r="I101" t="n">
        <v>1</v>
      </c>
      <c r="J101" t="n">
        <v>2</v>
      </c>
      <c r="K101" t="n">
        <v>1</v>
      </c>
      <c r="L101" t="n">
        <v>0</v>
      </c>
      <c r="M101" t="n">
        <v>0</v>
      </c>
      <c r="N101" t="n">
        <v>0</v>
      </c>
      <c r="O101" t="n">
        <v>3</v>
      </c>
      <c r="P101" t="n">
        <v>1</v>
      </c>
      <c r="Q101" t="n">
        <v>4</v>
      </c>
      <c r="R101" s="2" t="inlineStr">
        <is>
          <t>Garderönn
Svinrot
Vårärt
Skogsknipprot</t>
        </is>
      </c>
      <c r="S101">
        <f>HYPERLINK("https://klasma.github.io/Logging_0980/artfynd/A 1273-2023 artfynd.xlsx", "A 1273-2023")</f>
        <v/>
      </c>
      <c r="T101">
        <f>HYPERLINK("https://klasma.github.io/Logging_0980/kartor/A 1273-2023 karta.png", "A 1273-2023")</f>
        <v/>
      </c>
      <c r="V101">
        <f>HYPERLINK("https://klasma.github.io/Logging_0980/klagomål/A 1273-2023 FSC-klagomål.docx", "A 1273-2023")</f>
        <v/>
      </c>
      <c r="W101">
        <f>HYPERLINK("https://klasma.github.io/Logging_0980/klagomålsmail/A 1273-2023 FSC-klagomål mail.docx", "A 1273-2023")</f>
        <v/>
      </c>
      <c r="X101">
        <f>HYPERLINK("https://klasma.github.io/Logging_0980/tillsyn/A 1273-2023 tillsynsbegäran.docx", "A 1273-2023")</f>
        <v/>
      </c>
      <c r="Y101">
        <f>HYPERLINK("https://klasma.github.io/Logging_0980/tillsynsmail/A 1273-2023 tillsynsbegäran mail.docx", "A 1273-2023")</f>
        <v/>
      </c>
    </row>
    <row r="102" ht="15" customHeight="1">
      <c r="A102" t="inlineStr">
        <is>
          <t>A 56717-2024</t>
        </is>
      </c>
      <c r="B102" s="1" t="n">
        <v>45628</v>
      </c>
      <c r="C102" s="1" t="n">
        <v>46201</v>
      </c>
      <c r="D102" t="inlineStr">
        <is>
          <t>GOTLANDS LÄN</t>
        </is>
      </c>
      <c r="E102" t="inlineStr">
        <is>
          <t>GOTLAND</t>
        </is>
      </c>
      <c r="G102" t="n">
        <v>9.699999999999999</v>
      </c>
      <c r="H102" t="n">
        <v>0</v>
      </c>
      <c r="I102" t="n">
        <v>1</v>
      </c>
      <c r="J102" t="n">
        <v>3</v>
      </c>
      <c r="K102" t="n">
        <v>0</v>
      </c>
      <c r="L102" t="n">
        <v>0</v>
      </c>
      <c r="M102" t="n">
        <v>0</v>
      </c>
      <c r="N102" t="n">
        <v>0</v>
      </c>
      <c r="O102" t="n">
        <v>3</v>
      </c>
      <c r="P102" t="n">
        <v>0</v>
      </c>
      <c r="Q102" t="n">
        <v>4</v>
      </c>
      <c r="R102" s="2" t="inlineStr">
        <is>
          <t>Fjällig taggsvamp s.str.
Kattfotslav
Odörspindling
Havstulpanlav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44304-2021</t>
        </is>
      </c>
      <c r="B103" s="1" t="n">
        <v>44434</v>
      </c>
      <c r="C103" s="1" t="n">
        <v>46201</v>
      </c>
      <c r="D103" t="inlineStr">
        <is>
          <t>GOTLANDS LÄN</t>
        </is>
      </c>
      <c r="E103" t="inlineStr">
        <is>
          <t>GOTLAND</t>
        </is>
      </c>
      <c r="G103" t="n">
        <v>5.8</v>
      </c>
      <c r="H103" t="n">
        <v>2</v>
      </c>
      <c r="I103" t="n">
        <v>0</v>
      </c>
      <c r="J103" t="n">
        <v>2</v>
      </c>
      <c r="K103" t="n">
        <v>0</v>
      </c>
      <c r="L103" t="n">
        <v>0</v>
      </c>
      <c r="M103" t="n">
        <v>0</v>
      </c>
      <c r="N103" t="n">
        <v>0</v>
      </c>
      <c r="O103" t="n">
        <v>2</v>
      </c>
      <c r="P103" t="n">
        <v>0</v>
      </c>
      <c r="Q103" t="n">
        <v>4</v>
      </c>
      <c r="R103" s="2" t="inlineStr">
        <is>
          <t>Majviva
Svinrot
Blåsippa
Nattviol</t>
        </is>
      </c>
      <c r="S103">
        <f>HYPERLINK("https://klasma.github.io/Logging_0980/artfynd/A 44304-2021 artfynd.xlsx", "A 44304-2021")</f>
        <v/>
      </c>
      <c r="T103">
        <f>HYPERLINK("https://klasma.github.io/Logging_0980/kartor/A 44304-2021 karta.png", "A 44304-2021")</f>
        <v/>
      </c>
      <c r="V103">
        <f>HYPERLINK("https://klasma.github.io/Logging_0980/klagomål/A 44304-2021 FSC-klagomål.docx", "A 44304-2021")</f>
        <v/>
      </c>
      <c r="W103">
        <f>HYPERLINK("https://klasma.github.io/Logging_0980/klagomålsmail/A 44304-2021 FSC-klagomål mail.docx", "A 44304-2021")</f>
        <v/>
      </c>
      <c r="X103">
        <f>HYPERLINK("https://klasma.github.io/Logging_0980/tillsyn/A 44304-2021 tillsynsbegäran.docx", "A 44304-2021")</f>
        <v/>
      </c>
      <c r="Y103">
        <f>HYPERLINK("https://klasma.github.io/Logging_0980/tillsynsmail/A 44304-2021 tillsynsbegäran mail.docx", "A 44304-2021")</f>
        <v/>
      </c>
    </row>
    <row r="104" ht="15" customHeight="1">
      <c r="A104" t="inlineStr">
        <is>
          <t>A 61100-2022</t>
        </is>
      </c>
      <c r="B104" s="1" t="n">
        <v>44915</v>
      </c>
      <c r="C104" s="1" t="n">
        <v>46201</v>
      </c>
      <c r="D104" t="inlineStr">
        <is>
          <t>GOTLANDS LÄN</t>
        </is>
      </c>
      <c r="E104" t="inlineStr">
        <is>
          <t>GOTLAND</t>
        </is>
      </c>
      <c r="G104" t="n">
        <v>1.4</v>
      </c>
      <c r="H104" t="n">
        <v>3</v>
      </c>
      <c r="I104" t="n">
        <v>0</v>
      </c>
      <c r="J104" t="n">
        <v>2</v>
      </c>
      <c r="K104" t="n">
        <v>1</v>
      </c>
      <c r="L104" t="n">
        <v>0</v>
      </c>
      <c r="M104" t="n">
        <v>0</v>
      </c>
      <c r="N104" t="n">
        <v>0</v>
      </c>
      <c r="O104" t="n">
        <v>3</v>
      </c>
      <c r="P104" t="n">
        <v>1</v>
      </c>
      <c r="Q104" t="n">
        <v>4</v>
      </c>
      <c r="R104" s="2" t="inlineStr">
        <is>
          <t>Garderönn
Dårgräsfjäril
Solvända
Gullviva</t>
        </is>
      </c>
      <c r="S104">
        <f>HYPERLINK("https://klasma.github.io/Logging_0980/artfynd/A 61100-2022 artfynd.xlsx", "A 61100-2022")</f>
        <v/>
      </c>
      <c r="T104">
        <f>HYPERLINK("https://klasma.github.io/Logging_0980/kartor/A 61100-2022 karta.png", "A 61100-2022")</f>
        <v/>
      </c>
      <c r="V104">
        <f>HYPERLINK("https://klasma.github.io/Logging_0980/klagomål/A 61100-2022 FSC-klagomål.docx", "A 61100-2022")</f>
        <v/>
      </c>
      <c r="W104">
        <f>HYPERLINK("https://klasma.github.io/Logging_0980/klagomålsmail/A 61100-2022 FSC-klagomål mail.docx", "A 61100-2022")</f>
        <v/>
      </c>
      <c r="X104">
        <f>HYPERLINK("https://klasma.github.io/Logging_0980/tillsyn/A 61100-2022 tillsynsbegäran.docx", "A 61100-2022")</f>
        <v/>
      </c>
      <c r="Y104">
        <f>HYPERLINK("https://klasma.github.io/Logging_0980/tillsynsmail/A 61100-2022 tillsynsbegäran mail.docx", "A 61100-2022")</f>
        <v/>
      </c>
    </row>
    <row r="105" ht="15" customHeight="1">
      <c r="A105" t="inlineStr">
        <is>
          <t>A 37591-2023</t>
        </is>
      </c>
      <c r="B105" s="1" t="n">
        <v>45159</v>
      </c>
      <c r="C105" s="1" t="n">
        <v>46201</v>
      </c>
      <c r="D105" t="inlineStr">
        <is>
          <t>GOTLANDS LÄN</t>
        </is>
      </c>
      <c r="E105" t="inlineStr">
        <is>
          <t>GOTLAND</t>
        </is>
      </c>
      <c r="G105" t="n">
        <v>8.300000000000001</v>
      </c>
      <c r="H105" t="n">
        <v>1</v>
      </c>
      <c r="I105" t="n">
        <v>0</v>
      </c>
      <c r="J105" t="n">
        <v>3</v>
      </c>
      <c r="K105" t="n">
        <v>0</v>
      </c>
      <c r="L105" t="n">
        <v>0</v>
      </c>
      <c r="M105" t="n">
        <v>0</v>
      </c>
      <c r="N105" t="n">
        <v>0</v>
      </c>
      <c r="O105" t="n">
        <v>3</v>
      </c>
      <c r="P105" t="n">
        <v>0</v>
      </c>
      <c r="Q105" t="n">
        <v>4</v>
      </c>
      <c r="R105" s="2" t="inlineStr">
        <is>
          <t>Bergjohannesört
Solvända
Ängsstarr
Vanlig snok</t>
        </is>
      </c>
      <c r="S105">
        <f>HYPERLINK("https://klasma.github.io/Logging_0980/artfynd/A 37591-2023 artfynd.xlsx", "A 37591-2023")</f>
        <v/>
      </c>
      <c r="T105">
        <f>HYPERLINK("https://klasma.github.io/Logging_0980/kartor/A 37591-2023 karta.png", "A 37591-2023")</f>
        <v/>
      </c>
      <c r="V105">
        <f>HYPERLINK("https://klasma.github.io/Logging_0980/klagomål/A 37591-2023 FSC-klagomål.docx", "A 37591-2023")</f>
        <v/>
      </c>
      <c r="W105">
        <f>HYPERLINK("https://klasma.github.io/Logging_0980/klagomålsmail/A 37591-2023 FSC-klagomål mail.docx", "A 37591-2023")</f>
        <v/>
      </c>
      <c r="X105">
        <f>HYPERLINK("https://klasma.github.io/Logging_0980/tillsyn/A 37591-2023 tillsynsbegäran.docx", "A 37591-2023")</f>
        <v/>
      </c>
      <c r="Y105">
        <f>HYPERLINK("https://klasma.github.io/Logging_0980/tillsynsmail/A 37591-2023 tillsynsbegäran mail.docx", "A 37591-2023")</f>
        <v/>
      </c>
    </row>
    <row r="106" ht="15" customHeight="1">
      <c r="A106" t="inlineStr">
        <is>
          <t>A 54523-2023</t>
        </is>
      </c>
      <c r="B106" s="1" t="n">
        <v>45233</v>
      </c>
      <c r="C106" s="1" t="n">
        <v>46201</v>
      </c>
      <c r="D106" t="inlineStr">
        <is>
          <t>GOTLANDS LÄN</t>
        </is>
      </c>
      <c r="E106" t="inlineStr">
        <is>
          <t>GOTLAND</t>
        </is>
      </c>
      <c r="G106" t="n">
        <v>3.7</v>
      </c>
      <c r="H106" t="n">
        <v>2</v>
      </c>
      <c r="I106" t="n">
        <v>0</v>
      </c>
      <c r="J106" t="n">
        <v>1</v>
      </c>
      <c r="K106" t="n">
        <v>1</v>
      </c>
      <c r="L106" t="n">
        <v>0</v>
      </c>
      <c r="M106" t="n">
        <v>0</v>
      </c>
      <c r="N106" t="n">
        <v>0</v>
      </c>
      <c r="O106" t="n">
        <v>2</v>
      </c>
      <c r="P106" t="n">
        <v>1</v>
      </c>
      <c r="Q106" t="n">
        <v>4</v>
      </c>
      <c r="R106" s="2" t="inlineStr">
        <is>
          <t>Sommarklynne
Åkerkulla
Brudsporre
Kärrknipprot</t>
        </is>
      </c>
      <c r="S106">
        <f>HYPERLINK("https://klasma.github.io/Logging_0980/artfynd/A 54523-2023 artfynd.xlsx", "A 54523-2023")</f>
        <v/>
      </c>
      <c r="T106">
        <f>HYPERLINK("https://klasma.github.io/Logging_0980/kartor/A 54523-2023 karta.png", "A 54523-2023")</f>
        <v/>
      </c>
      <c r="V106">
        <f>HYPERLINK("https://klasma.github.io/Logging_0980/klagomål/A 54523-2023 FSC-klagomål.docx", "A 54523-2023")</f>
        <v/>
      </c>
      <c r="W106">
        <f>HYPERLINK("https://klasma.github.io/Logging_0980/klagomålsmail/A 54523-2023 FSC-klagomål mail.docx", "A 54523-2023")</f>
        <v/>
      </c>
      <c r="X106">
        <f>HYPERLINK("https://klasma.github.io/Logging_0980/tillsyn/A 54523-2023 tillsynsbegäran.docx", "A 54523-2023")</f>
        <v/>
      </c>
      <c r="Y106">
        <f>HYPERLINK("https://klasma.github.io/Logging_0980/tillsynsmail/A 54523-2023 tillsynsbegäran mail.docx", "A 54523-2023")</f>
        <v/>
      </c>
    </row>
    <row r="107" ht="15" customHeight="1">
      <c r="A107" t="inlineStr">
        <is>
          <t>A 6218-2026</t>
        </is>
      </c>
      <c r="B107" s="1" t="n">
        <v>46055</v>
      </c>
      <c r="C107" s="1" t="n">
        <v>46201</v>
      </c>
      <c r="D107" t="inlineStr">
        <is>
          <t>GOTLANDS LÄN</t>
        </is>
      </c>
      <c r="E107" t="inlineStr">
        <is>
          <t>GOTLAND</t>
        </is>
      </c>
      <c r="G107" t="n">
        <v>4.3</v>
      </c>
      <c r="H107" t="n">
        <v>3</v>
      </c>
      <c r="I107" t="n">
        <v>1</v>
      </c>
      <c r="J107" t="n">
        <v>1</v>
      </c>
      <c r="K107" t="n">
        <v>0</v>
      </c>
      <c r="L107" t="n">
        <v>0</v>
      </c>
      <c r="M107" t="n">
        <v>0</v>
      </c>
      <c r="N107" t="n">
        <v>0</v>
      </c>
      <c r="O107" t="n">
        <v>1</v>
      </c>
      <c r="P107" t="n">
        <v>0</v>
      </c>
      <c r="Q107" t="n">
        <v>4</v>
      </c>
      <c r="R107" s="2" t="inlineStr">
        <is>
          <t>Dårgräsfjäril
Tvåblad
Ormbär
Nattviol</t>
        </is>
      </c>
      <c r="S107">
        <f>HYPERLINK("https://klasma.github.io/Logging_0980/artfynd/A 6218-2026 artfynd.xlsx", "A 6218-2026")</f>
        <v/>
      </c>
      <c r="T107">
        <f>HYPERLINK("https://klasma.github.io/Logging_0980/kartor/A 6218-2026 karta.png", "A 6218-2026")</f>
        <v/>
      </c>
      <c r="V107">
        <f>HYPERLINK("https://klasma.github.io/Logging_0980/klagomål/A 6218-2026 FSC-klagomål.docx", "A 6218-2026")</f>
        <v/>
      </c>
      <c r="W107">
        <f>HYPERLINK("https://klasma.github.io/Logging_0980/klagomålsmail/A 6218-2026 FSC-klagomål mail.docx", "A 6218-2026")</f>
        <v/>
      </c>
      <c r="X107">
        <f>HYPERLINK("https://klasma.github.io/Logging_0980/tillsyn/A 6218-2026 tillsynsbegäran.docx", "A 6218-2026")</f>
        <v/>
      </c>
      <c r="Y107">
        <f>HYPERLINK("https://klasma.github.io/Logging_0980/tillsynsmail/A 6218-2026 tillsynsbegäran mail.docx", "A 6218-2026")</f>
        <v/>
      </c>
    </row>
    <row r="108" ht="15" customHeight="1">
      <c r="A108" t="inlineStr">
        <is>
          <t>A 16997-2026</t>
        </is>
      </c>
      <c r="B108" s="1" t="n">
        <v>46114</v>
      </c>
      <c r="C108" s="1" t="n">
        <v>46201</v>
      </c>
      <c r="D108" t="inlineStr">
        <is>
          <t>GOTLANDS LÄN</t>
        </is>
      </c>
      <c r="E108" t="inlineStr">
        <is>
          <t>GOTLAND</t>
        </is>
      </c>
      <c r="G108" t="n">
        <v>0.7</v>
      </c>
      <c r="H108" t="n">
        <v>0</v>
      </c>
      <c r="I108" t="n">
        <v>3</v>
      </c>
      <c r="J108" t="n">
        <v>0</v>
      </c>
      <c r="K108" t="n">
        <v>0</v>
      </c>
      <c r="L108" t="n">
        <v>1</v>
      </c>
      <c r="M108" t="n">
        <v>0</v>
      </c>
      <c r="N108" t="n">
        <v>0</v>
      </c>
      <c r="O108" t="n">
        <v>1</v>
      </c>
      <c r="P108" t="n">
        <v>1</v>
      </c>
      <c r="Q108" t="n">
        <v>4</v>
      </c>
      <c r="R108" s="2" t="inlineStr">
        <is>
          <t>Ask
Hasselticka
Läderskål
Stubbspretmossa</t>
        </is>
      </c>
      <c r="S108">
        <f>HYPERLINK("https://klasma.github.io/Logging_0980/artfynd/A 16997-2026 artfynd.xlsx", "A 16997-2026")</f>
        <v/>
      </c>
      <c r="T108">
        <f>HYPERLINK("https://klasma.github.io/Logging_0980/kartor/A 16997-2026 karta.png", "A 16997-2026")</f>
        <v/>
      </c>
      <c r="V108">
        <f>HYPERLINK("https://klasma.github.io/Logging_0980/klagomål/A 16997-2026 FSC-klagomål.docx", "A 16997-2026")</f>
        <v/>
      </c>
      <c r="W108">
        <f>HYPERLINK("https://klasma.github.io/Logging_0980/klagomålsmail/A 16997-2026 FSC-klagomål mail.docx", "A 16997-2026")</f>
        <v/>
      </c>
      <c r="X108">
        <f>HYPERLINK("https://klasma.github.io/Logging_0980/tillsyn/A 16997-2026 tillsynsbegäran.docx", "A 16997-2026")</f>
        <v/>
      </c>
      <c r="Y108">
        <f>HYPERLINK("https://klasma.github.io/Logging_0980/tillsynsmail/A 16997-2026 tillsynsbegäran mail.docx", "A 16997-2026")</f>
        <v/>
      </c>
    </row>
    <row r="109" ht="15" customHeight="1">
      <c r="A109" t="inlineStr">
        <is>
          <t>A 6839-2026</t>
        </is>
      </c>
      <c r="B109" s="1" t="n">
        <v>46057</v>
      </c>
      <c r="C109" s="1" t="n">
        <v>46201</v>
      </c>
      <c r="D109" t="inlineStr">
        <is>
          <t>GOTLANDS LÄN</t>
        </is>
      </c>
      <c r="E109" t="inlineStr">
        <is>
          <t>GOTLAND</t>
        </is>
      </c>
      <c r="G109" t="n">
        <v>4.9</v>
      </c>
      <c r="H109" t="n">
        <v>0</v>
      </c>
      <c r="I109" t="n">
        <v>1</v>
      </c>
      <c r="J109" t="n">
        <v>0</v>
      </c>
      <c r="K109" t="n">
        <v>3</v>
      </c>
      <c r="L109" t="n">
        <v>0</v>
      </c>
      <c r="M109" t="n">
        <v>0</v>
      </c>
      <c r="N109" t="n">
        <v>0</v>
      </c>
      <c r="O109" t="n">
        <v>3</v>
      </c>
      <c r="P109" t="n">
        <v>3</v>
      </c>
      <c r="Q109" t="n">
        <v>4</v>
      </c>
      <c r="R109" s="2" t="inlineStr">
        <is>
          <t>Mörk kraterlav
Skogskorn
Ädellav
Besk kastanjemusseron</t>
        </is>
      </c>
      <c r="S109">
        <f>HYPERLINK("https://klasma.github.io/Logging_0980/artfynd/A 6839-2026 artfynd.xlsx", "A 6839-2026")</f>
        <v/>
      </c>
      <c r="T109">
        <f>HYPERLINK("https://klasma.github.io/Logging_0980/kartor/A 6839-2026 karta.png", "A 6839-2026")</f>
        <v/>
      </c>
      <c r="V109">
        <f>HYPERLINK("https://klasma.github.io/Logging_0980/klagomål/A 6839-2026 FSC-klagomål.docx", "A 6839-2026")</f>
        <v/>
      </c>
      <c r="W109">
        <f>HYPERLINK("https://klasma.github.io/Logging_0980/klagomålsmail/A 6839-2026 FSC-klagomål mail.docx", "A 6839-2026")</f>
        <v/>
      </c>
      <c r="X109">
        <f>HYPERLINK("https://klasma.github.io/Logging_0980/tillsyn/A 6839-2026 tillsynsbegäran.docx", "A 6839-2026")</f>
        <v/>
      </c>
      <c r="Y109">
        <f>HYPERLINK("https://klasma.github.io/Logging_0980/tillsynsmail/A 6839-2026 tillsynsbegäran mail.docx", "A 6839-2026")</f>
        <v/>
      </c>
    </row>
    <row r="110" ht="15" customHeight="1">
      <c r="A110" t="inlineStr">
        <is>
          <t>A 7625-2026</t>
        </is>
      </c>
      <c r="B110" s="1" t="n">
        <v>46062</v>
      </c>
      <c r="C110" s="1" t="n">
        <v>46201</v>
      </c>
      <c r="D110" t="inlineStr">
        <is>
          <t>GOTLANDS LÄN</t>
        </is>
      </c>
      <c r="E110" t="inlineStr">
        <is>
          <t>GOTLAND</t>
        </is>
      </c>
      <c r="G110" t="n">
        <v>2.1</v>
      </c>
      <c r="H110" t="n">
        <v>1</v>
      </c>
      <c r="I110" t="n">
        <v>0</v>
      </c>
      <c r="J110" t="n">
        <v>4</v>
      </c>
      <c r="K110" t="n">
        <v>0</v>
      </c>
      <c r="L110" t="n">
        <v>0</v>
      </c>
      <c r="M110" t="n">
        <v>0</v>
      </c>
      <c r="N110" t="n">
        <v>0</v>
      </c>
      <c r="O110" t="n">
        <v>4</v>
      </c>
      <c r="P110" t="n">
        <v>0</v>
      </c>
      <c r="Q110" t="n">
        <v>4</v>
      </c>
      <c r="R110" s="2" t="inlineStr">
        <is>
          <t>Backstarr
Backtimjan
Dårgräsfjäril
Solvända</t>
        </is>
      </c>
      <c r="S110">
        <f>HYPERLINK("https://klasma.github.io/Logging_0980/artfynd/A 7625-2026 artfynd.xlsx", "A 7625-2026")</f>
        <v/>
      </c>
      <c r="T110">
        <f>HYPERLINK("https://klasma.github.io/Logging_0980/kartor/A 7625-2026 karta.png", "A 7625-2026")</f>
        <v/>
      </c>
      <c r="V110">
        <f>HYPERLINK("https://klasma.github.io/Logging_0980/klagomål/A 7625-2026 FSC-klagomål.docx", "A 7625-2026")</f>
        <v/>
      </c>
      <c r="W110">
        <f>HYPERLINK("https://klasma.github.io/Logging_0980/klagomålsmail/A 7625-2026 FSC-klagomål mail.docx", "A 7625-2026")</f>
        <v/>
      </c>
      <c r="X110">
        <f>HYPERLINK("https://klasma.github.io/Logging_0980/tillsyn/A 7625-2026 tillsynsbegäran.docx", "A 7625-2026")</f>
        <v/>
      </c>
      <c r="Y110">
        <f>HYPERLINK("https://klasma.github.io/Logging_0980/tillsynsmail/A 7625-2026 tillsynsbegäran mail.docx", "A 7625-2026")</f>
        <v/>
      </c>
    </row>
    <row r="111" ht="15" customHeight="1">
      <c r="A111" t="inlineStr">
        <is>
          <t>A 32666-2021</t>
        </is>
      </c>
      <c r="B111" s="1" t="n">
        <v>44375</v>
      </c>
      <c r="C111" s="1" t="n">
        <v>46201</v>
      </c>
      <c r="D111" t="inlineStr">
        <is>
          <t>GOTLANDS LÄN</t>
        </is>
      </c>
      <c r="E111" t="inlineStr">
        <is>
          <t>GOTLAND</t>
        </is>
      </c>
      <c r="G111" t="n">
        <v>0.9</v>
      </c>
      <c r="H111" t="n">
        <v>1</v>
      </c>
      <c r="I111" t="n">
        <v>2</v>
      </c>
      <c r="J111" t="n">
        <v>0</v>
      </c>
      <c r="K111" t="n">
        <v>1</v>
      </c>
      <c r="L111" t="n">
        <v>0</v>
      </c>
      <c r="M111" t="n">
        <v>0</v>
      </c>
      <c r="N111" t="n">
        <v>0</v>
      </c>
      <c r="O111" t="n">
        <v>1</v>
      </c>
      <c r="P111" t="n">
        <v>1</v>
      </c>
      <c r="Q111" t="n">
        <v>3</v>
      </c>
      <c r="R111" s="2" t="inlineStr">
        <is>
          <t>Skogskorn
Myskmadra
Vit skogslilja</t>
        </is>
      </c>
      <c r="S111">
        <f>HYPERLINK("https://klasma.github.io/Logging_0980/artfynd/A 32666-2021 artfynd.xlsx", "A 32666-2021")</f>
        <v/>
      </c>
      <c r="T111">
        <f>HYPERLINK("https://klasma.github.io/Logging_0980/kartor/A 32666-2021 karta.png", "A 32666-2021")</f>
        <v/>
      </c>
      <c r="V111">
        <f>HYPERLINK("https://klasma.github.io/Logging_0980/klagomål/A 32666-2021 FSC-klagomål.docx", "A 32666-2021")</f>
        <v/>
      </c>
      <c r="W111">
        <f>HYPERLINK("https://klasma.github.io/Logging_0980/klagomålsmail/A 32666-2021 FSC-klagomål mail.docx", "A 32666-2021")</f>
        <v/>
      </c>
      <c r="X111">
        <f>HYPERLINK("https://klasma.github.io/Logging_0980/tillsyn/A 32666-2021 tillsynsbegäran.docx", "A 32666-2021")</f>
        <v/>
      </c>
      <c r="Y111">
        <f>HYPERLINK("https://klasma.github.io/Logging_0980/tillsynsmail/A 32666-2021 tillsynsbegäran mail.docx", "A 32666-2021")</f>
        <v/>
      </c>
    </row>
    <row r="112" ht="15" customHeight="1">
      <c r="A112" t="inlineStr">
        <is>
          <t>A 32718-2021</t>
        </is>
      </c>
      <c r="B112" s="1" t="n">
        <v>44375</v>
      </c>
      <c r="C112" s="1" t="n">
        <v>46201</v>
      </c>
      <c r="D112" t="inlineStr">
        <is>
          <t>GOTLANDS LÄN</t>
        </is>
      </c>
      <c r="E112" t="inlineStr">
        <is>
          <t>GOTLAND</t>
        </is>
      </c>
      <c r="G112" t="n">
        <v>2.1</v>
      </c>
      <c r="H112" t="n">
        <v>0</v>
      </c>
      <c r="I112" t="n">
        <v>1</v>
      </c>
      <c r="J112" t="n">
        <v>1</v>
      </c>
      <c r="K112" t="n">
        <v>1</v>
      </c>
      <c r="L112" t="n">
        <v>0</v>
      </c>
      <c r="M112" t="n">
        <v>0</v>
      </c>
      <c r="N112" t="n">
        <v>0</v>
      </c>
      <c r="O112" t="n">
        <v>2</v>
      </c>
      <c r="P112" t="n">
        <v>1</v>
      </c>
      <c r="Q112" t="n">
        <v>3</v>
      </c>
      <c r="R112" s="2" t="inlineStr">
        <is>
          <t>Skogskorn
Skugglosta
Strävlosta</t>
        </is>
      </c>
      <c r="S112">
        <f>HYPERLINK("https://klasma.github.io/Logging_0980/artfynd/A 32718-2021 artfynd.xlsx", "A 32718-2021")</f>
        <v/>
      </c>
      <c r="T112">
        <f>HYPERLINK("https://klasma.github.io/Logging_0980/kartor/A 32718-2021 karta.png", "A 32718-2021")</f>
        <v/>
      </c>
      <c r="V112">
        <f>HYPERLINK("https://klasma.github.io/Logging_0980/klagomål/A 32718-2021 FSC-klagomål.docx", "A 32718-2021")</f>
        <v/>
      </c>
      <c r="W112">
        <f>HYPERLINK("https://klasma.github.io/Logging_0980/klagomålsmail/A 32718-2021 FSC-klagomål mail.docx", "A 32718-2021")</f>
        <v/>
      </c>
      <c r="X112">
        <f>HYPERLINK("https://klasma.github.io/Logging_0980/tillsyn/A 32718-2021 tillsynsbegäran.docx", "A 32718-2021")</f>
        <v/>
      </c>
      <c r="Y112">
        <f>HYPERLINK("https://klasma.github.io/Logging_0980/tillsynsmail/A 32718-2021 tillsynsbegäran mail.docx", "A 32718-2021")</f>
        <v/>
      </c>
    </row>
    <row r="113" ht="15" customHeight="1">
      <c r="A113" t="inlineStr">
        <is>
          <t>A 43013-2022</t>
        </is>
      </c>
      <c r="B113" s="1" t="n">
        <v>44833</v>
      </c>
      <c r="C113" s="1" t="n">
        <v>46201</v>
      </c>
      <c r="D113" t="inlineStr">
        <is>
          <t>GOTLANDS LÄN</t>
        </is>
      </c>
      <c r="E113" t="inlineStr">
        <is>
          <t>GOTLAND</t>
        </is>
      </c>
      <c r="G113" t="n">
        <v>9.300000000000001</v>
      </c>
      <c r="H113" t="n">
        <v>0</v>
      </c>
      <c r="I113" t="n">
        <v>1</v>
      </c>
      <c r="J113" t="n">
        <v>1</v>
      </c>
      <c r="K113" t="n">
        <v>1</v>
      </c>
      <c r="L113" t="n">
        <v>0</v>
      </c>
      <c r="M113" t="n">
        <v>0</v>
      </c>
      <c r="N113" t="n">
        <v>0</v>
      </c>
      <c r="O113" t="n">
        <v>2</v>
      </c>
      <c r="P113" t="n">
        <v>1</v>
      </c>
      <c r="Q113" t="n">
        <v>3</v>
      </c>
      <c r="R113" s="2" t="inlineStr">
        <is>
          <t>Violettfläckig spindling
Blå slemspindling
Anisspindling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65927-2021</t>
        </is>
      </c>
      <c r="B114" s="1" t="n">
        <v>44516</v>
      </c>
      <c r="C114" s="1" t="n">
        <v>46201</v>
      </c>
      <c r="D114" t="inlineStr">
        <is>
          <t>GOTLANDS LÄN</t>
        </is>
      </c>
      <c r="E114" t="inlineStr">
        <is>
          <t>GOTLAND</t>
        </is>
      </c>
      <c r="G114" t="n">
        <v>3.1</v>
      </c>
      <c r="H114" t="n">
        <v>2</v>
      </c>
      <c r="I114" t="n">
        <v>0</v>
      </c>
      <c r="J114" t="n">
        <v>2</v>
      </c>
      <c r="K114" t="n">
        <v>0</v>
      </c>
      <c r="L114" t="n">
        <v>0</v>
      </c>
      <c r="M114" t="n">
        <v>0</v>
      </c>
      <c r="N114" t="n">
        <v>0</v>
      </c>
      <c r="O114" t="n">
        <v>2</v>
      </c>
      <c r="P114" t="n">
        <v>0</v>
      </c>
      <c r="Q114" t="n">
        <v>3</v>
      </c>
      <c r="R114" s="2" t="inlineStr">
        <is>
          <t>Grenigt kungsljus
Åkerkulla
Gullviva</t>
        </is>
      </c>
      <c r="S114">
        <f>HYPERLINK("https://klasma.github.io/Logging_0980/artfynd/A 65927-2021 artfynd.xlsx", "A 65927-2021")</f>
        <v/>
      </c>
      <c r="T114">
        <f>HYPERLINK("https://klasma.github.io/Logging_0980/kartor/A 65927-2021 karta.png", "A 65927-2021")</f>
        <v/>
      </c>
      <c r="V114">
        <f>HYPERLINK("https://klasma.github.io/Logging_0980/klagomål/A 65927-2021 FSC-klagomål.docx", "A 65927-2021")</f>
        <v/>
      </c>
      <c r="W114">
        <f>HYPERLINK("https://klasma.github.io/Logging_0980/klagomålsmail/A 65927-2021 FSC-klagomål mail.docx", "A 65927-2021")</f>
        <v/>
      </c>
      <c r="X114">
        <f>HYPERLINK("https://klasma.github.io/Logging_0980/tillsyn/A 65927-2021 tillsynsbegäran.docx", "A 65927-2021")</f>
        <v/>
      </c>
      <c r="Y114">
        <f>HYPERLINK("https://klasma.github.io/Logging_0980/tillsynsmail/A 65927-2021 tillsynsbegäran mail.docx", "A 65927-2021")</f>
        <v/>
      </c>
    </row>
    <row r="115" ht="15" customHeight="1">
      <c r="A115" t="inlineStr">
        <is>
          <t>A 13499-2022</t>
        </is>
      </c>
      <c r="B115" s="1" t="n">
        <v>44647</v>
      </c>
      <c r="C115" s="1" t="n">
        <v>46201</v>
      </c>
      <c r="D115" t="inlineStr">
        <is>
          <t>GOTLANDS LÄN</t>
        </is>
      </c>
      <c r="E115" t="inlineStr">
        <is>
          <t>GOTLAND</t>
        </is>
      </c>
      <c r="G115" t="n">
        <v>6.8</v>
      </c>
      <c r="H115" t="n">
        <v>3</v>
      </c>
      <c r="I115" t="n">
        <v>0</v>
      </c>
      <c r="J115" t="n">
        <v>0</v>
      </c>
      <c r="K115" t="n">
        <v>0</v>
      </c>
      <c r="L115" t="n">
        <v>0</v>
      </c>
      <c r="M115" t="n">
        <v>0</v>
      </c>
      <c r="N115" t="n">
        <v>0</v>
      </c>
      <c r="O115" t="n">
        <v>0</v>
      </c>
      <c r="P115" t="n">
        <v>0</v>
      </c>
      <c r="Q115" t="n">
        <v>3</v>
      </c>
      <c r="R115" s="2" t="inlineStr">
        <is>
          <t>Blåsippa
Spillkråka
Sankt pers nycklar</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61561-2023</t>
        </is>
      </c>
      <c r="B116" s="1" t="n">
        <v>45265</v>
      </c>
      <c r="C116" s="1" t="n">
        <v>46201</v>
      </c>
      <c r="D116" t="inlineStr">
        <is>
          <t>GOTLANDS LÄN</t>
        </is>
      </c>
      <c r="E116" t="inlineStr">
        <is>
          <t>GOTLAND</t>
        </is>
      </c>
      <c r="G116" t="n">
        <v>7.4</v>
      </c>
      <c r="H116" t="n">
        <v>0</v>
      </c>
      <c r="I116" t="n">
        <v>0</v>
      </c>
      <c r="J116" t="n">
        <v>3</v>
      </c>
      <c r="K116" t="n">
        <v>0</v>
      </c>
      <c r="L116" t="n">
        <v>0</v>
      </c>
      <c r="M116" t="n">
        <v>0</v>
      </c>
      <c r="N116" t="n">
        <v>0</v>
      </c>
      <c r="O116" t="n">
        <v>3</v>
      </c>
      <c r="P116" t="n">
        <v>0</v>
      </c>
      <c r="Q116" t="n">
        <v>3</v>
      </c>
      <c r="R116" s="2" t="inlineStr">
        <is>
          <t>Jordtistel
Loppstarr
Solvända</t>
        </is>
      </c>
      <c r="S116">
        <f>HYPERLINK("https://klasma.github.io/Logging_0980/artfynd/A 61561-2023 artfynd.xlsx", "A 61561-2023")</f>
        <v/>
      </c>
      <c r="T116">
        <f>HYPERLINK("https://klasma.github.io/Logging_0980/kartor/A 61561-2023 karta.png", "A 61561-2023")</f>
        <v/>
      </c>
      <c r="V116">
        <f>HYPERLINK("https://klasma.github.io/Logging_0980/klagomål/A 61561-2023 FSC-klagomål.docx", "A 61561-2023")</f>
        <v/>
      </c>
      <c r="W116">
        <f>HYPERLINK("https://klasma.github.io/Logging_0980/klagomålsmail/A 61561-2023 FSC-klagomål mail.docx", "A 61561-2023")</f>
        <v/>
      </c>
      <c r="X116">
        <f>HYPERLINK("https://klasma.github.io/Logging_0980/tillsyn/A 61561-2023 tillsynsbegäran.docx", "A 61561-2023")</f>
        <v/>
      </c>
      <c r="Y116">
        <f>HYPERLINK("https://klasma.github.io/Logging_0980/tillsynsmail/A 61561-2023 tillsynsbegäran mail.docx", "A 61561-2023")</f>
        <v/>
      </c>
    </row>
    <row r="117" ht="15" customHeight="1">
      <c r="A117" t="inlineStr">
        <is>
          <t>A 54357-2024</t>
        </is>
      </c>
      <c r="B117" s="1" t="n">
        <v>45617</v>
      </c>
      <c r="C117" s="1" t="n">
        <v>46201</v>
      </c>
      <c r="D117" t="inlineStr">
        <is>
          <t>GOTLANDS LÄN</t>
        </is>
      </c>
      <c r="E117" t="inlineStr">
        <is>
          <t>GOTLAND</t>
        </is>
      </c>
      <c r="G117" t="n">
        <v>1.5</v>
      </c>
      <c r="H117" t="n">
        <v>1</v>
      </c>
      <c r="I117" t="n">
        <v>1</v>
      </c>
      <c r="J117" t="n">
        <v>1</v>
      </c>
      <c r="K117" t="n">
        <v>0</v>
      </c>
      <c r="L117" t="n">
        <v>0</v>
      </c>
      <c r="M117" t="n">
        <v>0</v>
      </c>
      <c r="N117" t="n">
        <v>0</v>
      </c>
      <c r="O117" t="n">
        <v>1</v>
      </c>
      <c r="P117" t="n">
        <v>0</v>
      </c>
      <c r="Q117" t="n">
        <v>3</v>
      </c>
      <c r="R117" s="2" t="inlineStr">
        <is>
          <t>Loppstarr
Grov fjädermossa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34312-2024</t>
        </is>
      </c>
      <c r="B118" s="1" t="n">
        <v>45524</v>
      </c>
      <c r="C118" s="1" t="n">
        <v>46201</v>
      </c>
      <c r="D118" t="inlineStr">
        <is>
          <t>GOTLANDS LÄN</t>
        </is>
      </c>
      <c r="E118" t="inlineStr">
        <is>
          <t>GOTLAND</t>
        </is>
      </c>
      <c r="G118" t="n">
        <v>2</v>
      </c>
      <c r="H118" t="n">
        <v>1</v>
      </c>
      <c r="I118" t="n">
        <v>0</v>
      </c>
      <c r="J118" t="n">
        <v>2</v>
      </c>
      <c r="K118" t="n">
        <v>0</v>
      </c>
      <c r="L118" t="n">
        <v>0</v>
      </c>
      <c r="M118" t="n">
        <v>0</v>
      </c>
      <c r="N118" t="n">
        <v>0</v>
      </c>
      <c r="O118" t="n">
        <v>2</v>
      </c>
      <c r="P118" t="n">
        <v>0</v>
      </c>
      <c r="Q118" t="n">
        <v>3</v>
      </c>
      <c r="R118" s="2" t="inlineStr">
        <is>
          <t>Svinrot
Ängsstarr
Sankt pers nycklar</t>
        </is>
      </c>
      <c r="S118">
        <f>HYPERLINK("https://klasma.github.io/Logging_0980/artfynd/A 34312-2024 artfynd.xlsx", "A 34312-2024")</f>
        <v/>
      </c>
      <c r="T118">
        <f>HYPERLINK("https://klasma.github.io/Logging_0980/kartor/A 34312-2024 karta.png", "A 34312-2024")</f>
        <v/>
      </c>
      <c r="V118">
        <f>HYPERLINK("https://klasma.github.io/Logging_0980/klagomål/A 34312-2024 FSC-klagomål.docx", "A 34312-2024")</f>
        <v/>
      </c>
      <c r="W118">
        <f>HYPERLINK("https://klasma.github.io/Logging_0980/klagomålsmail/A 34312-2024 FSC-klagomål mail.docx", "A 34312-2024")</f>
        <v/>
      </c>
      <c r="X118">
        <f>HYPERLINK("https://klasma.github.io/Logging_0980/tillsyn/A 34312-2024 tillsynsbegäran.docx", "A 34312-2024")</f>
        <v/>
      </c>
      <c r="Y118">
        <f>HYPERLINK("https://klasma.github.io/Logging_0980/tillsynsmail/A 34312-2024 tillsynsbegäran mail.docx", "A 34312-2024")</f>
        <v/>
      </c>
    </row>
    <row r="119" ht="15" customHeight="1">
      <c r="A119" t="inlineStr">
        <is>
          <t>A 17975-2024</t>
        </is>
      </c>
      <c r="B119" s="1" t="n">
        <v>45419</v>
      </c>
      <c r="C119" s="1" t="n">
        <v>46201</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53552-2021</t>
        </is>
      </c>
      <c r="B120" s="1" t="n">
        <v>44468</v>
      </c>
      <c r="C120" s="1" t="n">
        <v>46201</v>
      </c>
      <c r="D120" t="inlineStr">
        <is>
          <t>GOTLANDS LÄN</t>
        </is>
      </c>
      <c r="E120" t="inlineStr">
        <is>
          <t>GOTLAND</t>
        </is>
      </c>
      <c r="G120" t="n">
        <v>6.2</v>
      </c>
      <c r="H120" t="n">
        <v>2</v>
      </c>
      <c r="I120" t="n">
        <v>0</v>
      </c>
      <c r="J120" t="n">
        <v>0</v>
      </c>
      <c r="K120" t="n">
        <v>1</v>
      </c>
      <c r="L120" t="n">
        <v>0</v>
      </c>
      <c r="M120" t="n">
        <v>0</v>
      </c>
      <c r="N120" t="n">
        <v>0</v>
      </c>
      <c r="O120" t="n">
        <v>1</v>
      </c>
      <c r="P120" t="n">
        <v>1</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2476-2025</t>
        </is>
      </c>
      <c r="B121" s="1" t="n">
        <v>45673</v>
      </c>
      <c r="C121" s="1" t="n">
        <v>46201</v>
      </c>
      <c r="D121" t="inlineStr">
        <is>
          <t>GOTLANDS LÄN</t>
        </is>
      </c>
      <c r="E121" t="inlineStr">
        <is>
          <t>GOTLAND</t>
        </is>
      </c>
      <c r="G121" t="n">
        <v>3.1</v>
      </c>
      <c r="H121" t="n">
        <v>0</v>
      </c>
      <c r="I121" t="n">
        <v>1</v>
      </c>
      <c r="J121" t="n">
        <v>2</v>
      </c>
      <c r="K121" t="n">
        <v>0</v>
      </c>
      <c r="L121" t="n">
        <v>0</v>
      </c>
      <c r="M121" t="n">
        <v>0</v>
      </c>
      <c r="N121" t="n">
        <v>0</v>
      </c>
      <c r="O121" t="n">
        <v>2</v>
      </c>
      <c r="P121" t="n">
        <v>0</v>
      </c>
      <c r="Q121" t="n">
        <v>3</v>
      </c>
      <c r="R121" s="2" t="inlineStr">
        <is>
          <t>Barrviolspindling
Kryddspindling
Strimspindling</t>
        </is>
      </c>
      <c r="S121">
        <f>HYPERLINK("https://klasma.github.io/Logging_0980/artfynd/A 2476-2025 artfynd.xlsx", "A 2476-2025")</f>
        <v/>
      </c>
      <c r="T121">
        <f>HYPERLINK("https://klasma.github.io/Logging_0980/kartor/A 2476-2025 karta.png", "A 2476-2025")</f>
        <v/>
      </c>
      <c r="V121">
        <f>HYPERLINK("https://klasma.github.io/Logging_0980/klagomål/A 2476-2025 FSC-klagomål.docx", "A 2476-2025")</f>
        <v/>
      </c>
      <c r="W121">
        <f>HYPERLINK("https://klasma.github.io/Logging_0980/klagomålsmail/A 2476-2025 FSC-klagomål mail.docx", "A 2476-2025")</f>
        <v/>
      </c>
      <c r="X121">
        <f>HYPERLINK("https://klasma.github.io/Logging_0980/tillsyn/A 2476-2025 tillsynsbegäran.docx", "A 2476-2025")</f>
        <v/>
      </c>
      <c r="Y121">
        <f>HYPERLINK("https://klasma.github.io/Logging_0980/tillsynsmail/A 2476-2025 tillsynsbegäran mail.docx", "A 2476-2025")</f>
        <v/>
      </c>
    </row>
    <row r="122" ht="15" customHeight="1">
      <c r="A122" t="inlineStr">
        <is>
          <t>A 12315-2024</t>
        </is>
      </c>
      <c r="B122" s="1" t="n">
        <v>45378</v>
      </c>
      <c r="C122" s="1" t="n">
        <v>46201</v>
      </c>
      <c r="D122" t="inlineStr">
        <is>
          <t>GOTLANDS LÄN</t>
        </is>
      </c>
      <c r="E122" t="inlineStr">
        <is>
          <t>GOTLAND</t>
        </is>
      </c>
      <c r="G122" t="n">
        <v>6</v>
      </c>
      <c r="H122" t="n">
        <v>3</v>
      </c>
      <c r="I122" t="n">
        <v>1</v>
      </c>
      <c r="J122" t="n">
        <v>0</v>
      </c>
      <c r="K122" t="n">
        <v>0</v>
      </c>
      <c r="L122" t="n">
        <v>0</v>
      </c>
      <c r="M122" t="n">
        <v>0</v>
      </c>
      <c r="N122" t="n">
        <v>0</v>
      </c>
      <c r="O122" t="n">
        <v>0</v>
      </c>
      <c r="P122" t="n">
        <v>0</v>
      </c>
      <c r="Q122" t="n">
        <v>3</v>
      </c>
      <c r="R122" s="2" t="inlineStr">
        <is>
          <t>Tvåblad
Buskskvätta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row>
    <row r="123" ht="15" customHeight="1">
      <c r="A123" t="inlineStr">
        <is>
          <t>A 37222-2021</t>
        </is>
      </c>
      <c r="B123" s="1" t="n">
        <v>44396</v>
      </c>
      <c r="C123" s="1" t="n">
        <v>46201</v>
      </c>
      <c r="D123" t="inlineStr">
        <is>
          <t>GOTLANDS LÄN</t>
        </is>
      </c>
      <c r="E123" t="inlineStr">
        <is>
          <t>GOTLAND</t>
        </is>
      </c>
      <c r="G123" t="n">
        <v>3</v>
      </c>
      <c r="H123" t="n">
        <v>3</v>
      </c>
      <c r="I123" t="n">
        <v>1</v>
      </c>
      <c r="J123" t="n">
        <v>1</v>
      </c>
      <c r="K123" t="n">
        <v>0</v>
      </c>
      <c r="L123" t="n">
        <v>0</v>
      </c>
      <c r="M123" t="n">
        <v>0</v>
      </c>
      <c r="N123" t="n">
        <v>0</v>
      </c>
      <c r="O123" t="n">
        <v>1</v>
      </c>
      <c r="P123" t="n">
        <v>0</v>
      </c>
      <c r="Q123" t="n">
        <v>3</v>
      </c>
      <c r="R123" s="2" t="inlineStr">
        <is>
          <t>Mindre hackspett
Skogsknipprot
Bergfink</t>
        </is>
      </c>
      <c r="S123">
        <f>HYPERLINK("https://klasma.github.io/Logging_0980/artfynd/A 37222-2021 artfynd.xlsx", "A 37222-2021")</f>
        <v/>
      </c>
      <c r="T123">
        <f>HYPERLINK("https://klasma.github.io/Logging_0980/kartor/A 37222-2021 karta.png", "A 37222-2021")</f>
        <v/>
      </c>
      <c r="V123">
        <f>HYPERLINK("https://klasma.github.io/Logging_0980/klagomål/A 37222-2021 FSC-klagomål.docx", "A 37222-2021")</f>
        <v/>
      </c>
      <c r="W123">
        <f>HYPERLINK("https://klasma.github.io/Logging_0980/klagomålsmail/A 37222-2021 FSC-klagomål mail.docx", "A 37222-2021")</f>
        <v/>
      </c>
      <c r="X123">
        <f>HYPERLINK("https://klasma.github.io/Logging_0980/tillsyn/A 37222-2021 tillsynsbegäran.docx", "A 37222-2021")</f>
        <v/>
      </c>
      <c r="Y123">
        <f>HYPERLINK("https://klasma.github.io/Logging_0980/tillsynsmail/A 37222-2021 tillsynsbegäran mail.docx", "A 37222-2021")</f>
        <v/>
      </c>
      <c r="Z123">
        <f>HYPERLINK("https://klasma.github.io/Logging_0980/fåglar/A 37222-2021 prioriterade fågelarter.docx", "A 37222-2021")</f>
        <v/>
      </c>
    </row>
    <row r="124" ht="15" customHeight="1">
      <c r="A124" t="inlineStr">
        <is>
          <t>A 17982-2023</t>
        </is>
      </c>
      <c r="B124" s="1" t="n">
        <v>45040</v>
      </c>
      <c r="C124" s="1" t="n">
        <v>46201</v>
      </c>
      <c r="D124" t="inlineStr">
        <is>
          <t>GOTLANDS LÄN</t>
        </is>
      </c>
      <c r="E124" t="inlineStr">
        <is>
          <t>GOTLAND</t>
        </is>
      </c>
      <c r="G124" t="n">
        <v>2.2</v>
      </c>
      <c r="H124" t="n">
        <v>0</v>
      </c>
      <c r="I124" t="n">
        <v>0</v>
      </c>
      <c r="J124" t="n">
        <v>2</v>
      </c>
      <c r="K124" t="n">
        <v>0</v>
      </c>
      <c r="L124" t="n">
        <v>1</v>
      </c>
      <c r="M124" t="n">
        <v>0</v>
      </c>
      <c r="N124" t="n">
        <v>0</v>
      </c>
      <c r="O124" t="n">
        <v>3</v>
      </c>
      <c r="P124" t="n">
        <v>1</v>
      </c>
      <c r="Q124" t="n">
        <v>3</v>
      </c>
      <c r="R124" s="2" t="inlineStr">
        <is>
          <t>Lundalm
Krusfrö
Ängsskära</t>
        </is>
      </c>
      <c r="S124">
        <f>HYPERLINK("https://klasma.github.io/Logging_0980/artfynd/A 17982-2023 artfynd.xlsx", "A 17982-2023")</f>
        <v/>
      </c>
      <c r="T124">
        <f>HYPERLINK("https://klasma.github.io/Logging_0980/kartor/A 17982-2023 karta.png", "A 17982-2023")</f>
        <v/>
      </c>
      <c r="V124">
        <f>HYPERLINK("https://klasma.github.io/Logging_0980/klagomål/A 17982-2023 FSC-klagomål.docx", "A 17982-2023")</f>
        <v/>
      </c>
      <c r="W124">
        <f>HYPERLINK("https://klasma.github.io/Logging_0980/klagomålsmail/A 17982-2023 FSC-klagomål mail.docx", "A 17982-2023")</f>
        <v/>
      </c>
      <c r="X124">
        <f>HYPERLINK("https://klasma.github.io/Logging_0980/tillsyn/A 17982-2023 tillsynsbegäran.docx", "A 17982-2023")</f>
        <v/>
      </c>
      <c r="Y124">
        <f>HYPERLINK("https://klasma.github.io/Logging_0980/tillsynsmail/A 17982-2023 tillsynsbegäran mail.docx", "A 17982-2023")</f>
        <v/>
      </c>
    </row>
    <row r="125" ht="15" customHeight="1">
      <c r="A125" t="inlineStr">
        <is>
          <t>A 63576-2021</t>
        </is>
      </c>
      <c r="B125" s="1" t="n">
        <v>44508</v>
      </c>
      <c r="C125" s="1" t="n">
        <v>46201</v>
      </c>
      <c r="D125" t="inlineStr">
        <is>
          <t>GOTLANDS LÄN</t>
        </is>
      </c>
      <c r="E125" t="inlineStr">
        <is>
          <t>GOTLAND</t>
        </is>
      </c>
      <c r="F125" t="inlineStr">
        <is>
          <t>Kyrkan</t>
        </is>
      </c>
      <c r="G125" t="n">
        <v>4.1</v>
      </c>
      <c r="H125" t="n">
        <v>1</v>
      </c>
      <c r="I125" t="n">
        <v>1</v>
      </c>
      <c r="J125" t="n">
        <v>2</v>
      </c>
      <c r="K125" t="n">
        <v>0</v>
      </c>
      <c r="L125" t="n">
        <v>0</v>
      </c>
      <c r="M125" t="n">
        <v>0</v>
      </c>
      <c r="N125" t="n">
        <v>0</v>
      </c>
      <c r="O125" t="n">
        <v>2</v>
      </c>
      <c r="P125" t="n">
        <v>0</v>
      </c>
      <c r="Q125" t="n">
        <v>3</v>
      </c>
      <c r="R125" s="2" t="inlineStr">
        <is>
          <t>Dårgräsfjäril
Loppstarr
Stubbspretmossa</t>
        </is>
      </c>
      <c r="S125">
        <f>HYPERLINK("https://klasma.github.io/Logging_0980/artfynd/A 63576-2021 artfynd.xlsx", "A 63576-2021")</f>
        <v/>
      </c>
      <c r="T125">
        <f>HYPERLINK("https://klasma.github.io/Logging_0980/kartor/A 63576-2021 karta.png", "A 63576-2021")</f>
        <v/>
      </c>
      <c r="V125">
        <f>HYPERLINK("https://klasma.github.io/Logging_0980/klagomål/A 63576-2021 FSC-klagomål.docx", "A 63576-2021")</f>
        <v/>
      </c>
      <c r="W125">
        <f>HYPERLINK("https://klasma.github.io/Logging_0980/klagomålsmail/A 63576-2021 FSC-klagomål mail.docx", "A 63576-2021")</f>
        <v/>
      </c>
      <c r="X125">
        <f>HYPERLINK("https://klasma.github.io/Logging_0980/tillsyn/A 63576-2021 tillsynsbegäran.docx", "A 63576-2021")</f>
        <v/>
      </c>
      <c r="Y125">
        <f>HYPERLINK("https://klasma.github.io/Logging_0980/tillsynsmail/A 63576-2021 tillsynsbegäran mail.docx", "A 63576-2021")</f>
        <v/>
      </c>
    </row>
    <row r="126" ht="15" customHeight="1">
      <c r="A126" t="inlineStr">
        <is>
          <t>A 35574-2024</t>
        </is>
      </c>
      <c r="B126" s="1" t="n">
        <v>45531</v>
      </c>
      <c r="C126" s="1" t="n">
        <v>46201</v>
      </c>
      <c r="D126" t="inlineStr">
        <is>
          <t>GOTLANDS LÄN</t>
        </is>
      </c>
      <c r="E126" t="inlineStr">
        <is>
          <t>GOTLAND</t>
        </is>
      </c>
      <c r="G126" t="n">
        <v>5.7</v>
      </c>
      <c r="H126" t="n">
        <v>0</v>
      </c>
      <c r="I126" t="n">
        <v>2</v>
      </c>
      <c r="J126" t="n">
        <v>1</v>
      </c>
      <c r="K126" t="n">
        <v>0</v>
      </c>
      <c r="L126" t="n">
        <v>0</v>
      </c>
      <c r="M126" t="n">
        <v>0</v>
      </c>
      <c r="N126" t="n">
        <v>0</v>
      </c>
      <c r="O126" t="n">
        <v>1</v>
      </c>
      <c r="P126" t="n">
        <v>0</v>
      </c>
      <c r="Q126" t="n">
        <v>3</v>
      </c>
      <c r="R126" s="2" t="inlineStr">
        <is>
          <t>Svinrot
Kambräken
Murgröna</t>
        </is>
      </c>
      <c r="S126">
        <f>HYPERLINK("https://klasma.github.io/Logging_0980/artfynd/A 35574-2024 artfynd.xlsx", "A 35574-2024")</f>
        <v/>
      </c>
      <c r="T126">
        <f>HYPERLINK("https://klasma.github.io/Logging_0980/kartor/A 35574-2024 karta.png", "A 35574-2024")</f>
        <v/>
      </c>
      <c r="V126">
        <f>HYPERLINK("https://klasma.github.io/Logging_0980/klagomål/A 35574-2024 FSC-klagomål.docx", "A 35574-2024")</f>
        <v/>
      </c>
      <c r="W126">
        <f>HYPERLINK("https://klasma.github.io/Logging_0980/klagomålsmail/A 35574-2024 FSC-klagomål mail.docx", "A 35574-2024")</f>
        <v/>
      </c>
      <c r="X126">
        <f>HYPERLINK("https://klasma.github.io/Logging_0980/tillsyn/A 35574-2024 tillsynsbegäran.docx", "A 35574-2024")</f>
        <v/>
      </c>
      <c r="Y126">
        <f>HYPERLINK("https://klasma.github.io/Logging_0980/tillsynsmail/A 35574-2024 tillsynsbegäran mail.docx", "A 35574-2024")</f>
        <v/>
      </c>
    </row>
    <row r="127" ht="15" customHeight="1">
      <c r="A127" t="inlineStr">
        <is>
          <t>A 10440-2024</t>
        </is>
      </c>
      <c r="B127" s="1" t="n">
        <v>45366</v>
      </c>
      <c r="C127" s="1" t="n">
        <v>46201</v>
      </c>
      <c r="D127" t="inlineStr">
        <is>
          <t>GOTLANDS LÄN</t>
        </is>
      </c>
      <c r="E127" t="inlineStr">
        <is>
          <t>GOTLAND</t>
        </is>
      </c>
      <c r="G127" t="n">
        <v>2.5</v>
      </c>
      <c r="H127" t="n">
        <v>2</v>
      </c>
      <c r="I127" t="n">
        <v>1</v>
      </c>
      <c r="J127" t="n">
        <v>1</v>
      </c>
      <c r="K127" t="n">
        <v>0</v>
      </c>
      <c r="L127" t="n">
        <v>0</v>
      </c>
      <c r="M127" t="n">
        <v>0</v>
      </c>
      <c r="N127" t="n">
        <v>0</v>
      </c>
      <c r="O127" t="n">
        <v>1</v>
      </c>
      <c r="P127" t="n">
        <v>0</v>
      </c>
      <c r="Q127" t="n">
        <v>3</v>
      </c>
      <c r="R127" s="2" t="inlineStr">
        <is>
          <t>Mindre hackspett
Blåmossa
Blåsippa</t>
        </is>
      </c>
      <c r="S127">
        <f>HYPERLINK("https://klasma.github.io/Logging_0980/artfynd/A 10440-2024 artfynd.xlsx", "A 10440-2024")</f>
        <v/>
      </c>
      <c r="T127">
        <f>HYPERLINK("https://klasma.github.io/Logging_0980/kartor/A 10440-2024 karta.png", "A 10440-2024")</f>
        <v/>
      </c>
      <c r="V127">
        <f>HYPERLINK("https://klasma.github.io/Logging_0980/klagomål/A 10440-2024 FSC-klagomål.docx", "A 10440-2024")</f>
        <v/>
      </c>
      <c r="W127">
        <f>HYPERLINK("https://klasma.github.io/Logging_0980/klagomålsmail/A 10440-2024 FSC-klagomål mail.docx", "A 10440-2024")</f>
        <v/>
      </c>
      <c r="X127">
        <f>HYPERLINK("https://klasma.github.io/Logging_0980/tillsyn/A 10440-2024 tillsynsbegäran.docx", "A 10440-2024")</f>
        <v/>
      </c>
      <c r="Y127">
        <f>HYPERLINK("https://klasma.github.io/Logging_0980/tillsynsmail/A 10440-2024 tillsynsbegäran mail.docx", "A 10440-2024")</f>
        <v/>
      </c>
      <c r="Z127">
        <f>HYPERLINK("https://klasma.github.io/Logging_0980/fåglar/A 10440-2024 prioriterade fågelarter.docx", "A 10440-2024")</f>
        <v/>
      </c>
    </row>
    <row r="128" ht="15" customHeight="1">
      <c r="A128" t="inlineStr">
        <is>
          <t>A 43219-2023</t>
        </is>
      </c>
      <c r="B128" s="1" t="n">
        <v>45183</v>
      </c>
      <c r="C128" s="1" t="n">
        <v>46201</v>
      </c>
      <c r="D128" t="inlineStr">
        <is>
          <t>GOTLANDS LÄN</t>
        </is>
      </c>
      <c r="E128" t="inlineStr">
        <is>
          <t>GOTLAND</t>
        </is>
      </c>
      <c r="G128" t="n">
        <v>3.6</v>
      </c>
      <c r="H128" t="n">
        <v>1</v>
      </c>
      <c r="I128" t="n">
        <v>0</v>
      </c>
      <c r="J128" t="n">
        <v>1</v>
      </c>
      <c r="K128" t="n">
        <v>1</v>
      </c>
      <c r="L128" t="n">
        <v>0</v>
      </c>
      <c r="M128" t="n">
        <v>0</v>
      </c>
      <c r="N128" t="n">
        <v>0</v>
      </c>
      <c r="O128" t="n">
        <v>2</v>
      </c>
      <c r="P128" t="n">
        <v>1</v>
      </c>
      <c r="Q128" t="n">
        <v>3</v>
      </c>
      <c r="R128" s="2" t="inlineStr">
        <is>
          <t>Gotlandsmåra
Axveronika
Skogsduva</t>
        </is>
      </c>
      <c r="S128">
        <f>HYPERLINK("https://klasma.github.io/Logging_0980/artfynd/A 43219-2023 artfynd.xlsx", "A 43219-2023")</f>
        <v/>
      </c>
      <c r="T128">
        <f>HYPERLINK("https://klasma.github.io/Logging_0980/kartor/A 43219-2023 karta.png", "A 43219-2023")</f>
        <v/>
      </c>
      <c r="V128">
        <f>HYPERLINK("https://klasma.github.io/Logging_0980/klagomål/A 43219-2023 FSC-klagomål.docx", "A 43219-2023")</f>
        <v/>
      </c>
      <c r="W128">
        <f>HYPERLINK("https://klasma.github.io/Logging_0980/klagomålsmail/A 43219-2023 FSC-klagomål mail.docx", "A 43219-2023")</f>
        <v/>
      </c>
      <c r="X128">
        <f>HYPERLINK("https://klasma.github.io/Logging_0980/tillsyn/A 43219-2023 tillsynsbegäran.docx", "A 43219-2023")</f>
        <v/>
      </c>
      <c r="Y128">
        <f>HYPERLINK("https://klasma.github.io/Logging_0980/tillsynsmail/A 43219-2023 tillsynsbegäran mail.docx", "A 43219-2023")</f>
        <v/>
      </c>
    </row>
    <row r="129" ht="15" customHeight="1">
      <c r="A129" t="inlineStr">
        <is>
          <t>A 19322-2026</t>
        </is>
      </c>
      <c r="B129" s="1" t="n">
        <v>46129</v>
      </c>
      <c r="C129" s="1" t="n">
        <v>46201</v>
      </c>
      <c r="D129" t="inlineStr">
        <is>
          <t>GOTLANDS LÄN</t>
        </is>
      </c>
      <c r="E129" t="inlineStr">
        <is>
          <t>GOTLAND</t>
        </is>
      </c>
      <c r="G129" t="n">
        <v>1</v>
      </c>
      <c r="H129" t="n">
        <v>2</v>
      </c>
      <c r="I129" t="n">
        <v>1</v>
      </c>
      <c r="J129" t="n">
        <v>2</v>
      </c>
      <c r="K129" t="n">
        <v>0</v>
      </c>
      <c r="L129" t="n">
        <v>0</v>
      </c>
      <c r="M129" t="n">
        <v>0</v>
      </c>
      <c r="N129" t="n">
        <v>0</v>
      </c>
      <c r="O129" t="n">
        <v>2</v>
      </c>
      <c r="P129" t="n">
        <v>0</v>
      </c>
      <c r="Q129" t="n">
        <v>3</v>
      </c>
      <c r="R129" s="2" t="inlineStr">
        <is>
          <t>Gulsparv
Svinrot
Tvåblad</t>
        </is>
      </c>
      <c r="S129">
        <f>HYPERLINK("https://klasma.github.io/Logging_0980/artfynd/A 19322-2026 artfynd.xlsx", "A 19322-2026")</f>
        <v/>
      </c>
      <c r="T129">
        <f>HYPERLINK("https://klasma.github.io/Logging_0980/kartor/A 19322-2026 karta.png", "A 19322-2026")</f>
        <v/>
      </c>
      <c r="V129">
        <f>HYPERLINK("https://klasma.github.io/Logging_0980/klagomål/A 19322-2026 FSC-klagomål.docx", "A 19322-2026")</f>
        <v/>
      </c>
      <c r="W129">
        <f>HYPERLINK("https://klasma.github.io/Logging_0980/klagomålsmail/A 19322-2026 FSC-klagomål mail.docx", "A 19322-2026")</f>
        <v/>
      </c>
      <c r="X129">
        <f>HYPERLINK("https://klasma.github.io/Logging_0980/tillsyn/A 19322-2026 tillsynsbegäran.docx", "A 19322-2026")</f>
        <v/>
      </c>
      <c r="Y129">
        <f>HYPERLINK("https://klasma.github.io/Logging_0980/tillsynsmail/A 19322-2026 tillsynsbegäran mail.docx", "A 19322-2026")</f>
        <v/>
      </c>
      <c r="Z129">
        <f>HYPERLINK("https://klasma.github.io/Logging_0980/fåglar/A 19322-2026 prioriterade fågelarter.docx", "A 19322-2026")</f>
        <v/>
      </c>
    </row>
    <row r="130" ht="15" customHeight="1">
      <c r="A130" t="inlineStr">
        <is>
          <t>A 26992-2026</t>
        </is>
      </c>
      <c r="B130" s="1" t="n">
        <v>46185</v>
      </c>
      <c r="C130" s="1" t="n">
        <v>46201</v>
      </c>
      <c r="D130" t="inlineStr">
        <is>
          <t>GOTLANDS LÄN</t>
        </is>
      </c>
      <c r="E130" t="inlineStr">
        <is>
          <t>GOTLAND</t>
        </is>
      </c>
      <c r="G130" t="n">
        <v>0.8</v>
      </c>
      <c r="H130" t="n">
        <v>2</v>
      </c>
      <c r="I130" t="n">
        <v>1</v>
      </c>
      <c r="J130" t="n">
        <v>1</v>
      </c>
      <c r="K130" t="n">
        <v>0</v>
      </c>
      <c r="L130" t="n">
        <v>0</v>
      </c>
      <c r="M130" t="n">
        <v>0</v>
      </c>
      <c r="N130" t="n">
        <v>0</v>
      </c>
      <c r="O130" t="n">
        <v>1</v>
      </c>
      <c r="P130" t="n">
        <v>0</v>
      </c>
      <c r="Q130" t="n">
        <v>3</v>
      </c>
      <c r="R130" s="2" t="inlineStr">
        <is>
          <t>Svinrot
Nästrot
Blåsippa</t>
        </is>
      </c>
      <c r="S130">
        <f>HYPERLINK("https://klasma.github.io/Logging_0980/artfynd/A 26992-2026 artfynd.xlsx", "A 26992-2026")</f>
        <v/>
      </c>
      <c r="T130">
        <f>HYPERLINK("https://klasma.github.io/Logging_0980/kartor/A 26992-2026 karta.png", "A 26992-2026")</f>
        <v/>
      </c>
      <c r="V130">
        <f>HYPERLINK("https://klasma.github.io/Logging_0980/klagomål/A 26992-2026 FSC-klagomål.docx", "A 26992-2026")</f>
        <v/>
      </c>
      <c r="W130">
        <f>HYPERLINK("https://klasma.github.io/Logging_0980/klagomålsmail/A 26992-2026 FSC-klagomål mail.docx", "A 26992-2026")</f>
        <v/>
      </c>
      <c r="X130">
        <f>HYPERLINK("https://klasma.github.io/Logging_0980/tillsyn/A 26992-2026 tillsynsbegäran.docx", "A 26992-2026")</f>
        <v/>
      </c>
      <c r="Y130">
        <f>HYPERLINK("https://klasma.github.io/Logging_0980/tillsynsmail/A 26992-2026 tillsynsbegäran mail.docx", "A 26992-2026")</f>
        <v/>
      </c>
    </row>
    <row r="131" ht="15" customHeight="1">
      <c r="A131" t="inlineStr">
        <is>
          <t>A 44207-2022</t>
        </is>
      </c>
      <c r="B131" s="1" t="n">
        <v>44839</v>
      </c>
      <c r="C131" s="1" t="n">
        <v>46201</v>
      </c>
      <c r="D131" t="inlineStr">
        <is>
          <t>GOTLANDS LÄN</t>
        </is>
      </c>
      <c r="E131" t="inlineStr">
        <is>
          <t>GOTLAND</t>
        </is>
      </c>
      <c r="G131" t="n">
        <v>3.8</v>
      </c>
      <c r="H131" t="n">
        <v>0</v>
      </c>
      <c r="I131" t="n">
        <v>0</v>
      </c>
      <c r="J131" t="n">
        <v>1</v>
      </c>
      <c r="K131" t="n">
        <v>1</v>
      </c>
      <c r="L131" t="n">
        <v>0</v>
      </c>
      <c r="M131" t="n">
        <v>0</v>
      </c>
      <c r="N131" t="n">
        <v>0</v>
      </c>
      <c r="O131" t="n">
        <v>2</v>
      </c>
      <c r="P131" t="n">
        <v>1</v>
      </c>
      <c r="Q131" t="n">
        <v>2</v>
      </c>
      <c r="R131" s="2" t="inlineStr">
        <is>
          <t>Violettfläckig spindling
Odörspindling</t>
        </is>
      </c>
      <c r="S131">
        <f>HYPERLINK("https://klasma.github.io/Logging_0980/artfynd/A 44207-2022 artfynd.xlsx", "A 44207-2022")</f>
        <v/>
      </c>
      <c r="T131">
        <f>HYPERLINK("https://klasma.github.io/Logging_0980/kartor/A 44207-2022 karta.png", "A 44207-2022")</f>
        <v/>
      </c>
      <c r="V131">
        <f>HYPERLINK("https://klasma.github.io/Logging_0980/klagomål/A 44207-2022 FSC-klagomål.docx", "A 44207-2022")</f>
        <v/>
      </c>
      <c r="W131">
        <f>HYPERLINK("https://klasma.github.io/Logging_0980/klagomålsmail/A 44207-2022 FSC-klagomål mail.docx", "A 44207-2022")</f>
        <v/>
      </c>
      <c r="X131">
        <f>HYPERLINK("https://klasma.github.io/Logging_0980/tillsyn/A 44207-2022 tillsynsbegäran.docx", "A 44207-2022")</f>
        <v/>
      </c>
      <c r="Y131">
        <f>HYPERLINK("https://klasma.github.io/Logging_0980/tillsynsmail/A 44207-2022 tillsynsbegäran mail.docx", "A 44207-2022")</f>
        <v/>
      </c>
    </row>
    <row r="132" ht="15" customHeight="1">
      <c r="A132" t="inlineStr">
        <is>
          <t>A 60665-2021</t>
        </is>
      </c>
      <c r="B132" s="1" t="n">
        <v>44496</v>
      </c>
      <c r="C132" s="1" t="n">
        <v>46201</v>
      </c>
      <c r="D132" t="inlineStr">
        <is>
          <t>GOTLANDS LÄN</t>
        </is>
      </c>
      <c r="E132" t="inlineStr">
        <is>
          <t>GOTLAND</t>
        </is>
      </c>
      <c r="G132" t="n">
        <v>1.6</v>
      </c>
      <c r="H132" t="n">
        <v>0</v>
      </c>
      <c r="I132" t="n">
        <v>0</v>
      </c>
      <c r="J132" t="n">
        <v>0</v>
      </c>
      <c r="K132" t="n">
        <v>2</v>
      </c>
      <c r="L132" t="n">
        <v>0</v>
      </c>
      <c r="M132" t="n">
        <v>0</v>
      </c>
      <c r="N132" t="n">
        <v>0</v>
      </c>
      <c r="O132" t="n">
        <v>2</v>
      </c>
      <c r="P132" t="n">
        <v>2</v>
      </c>
      <c r="Q132" t="n">
        <v>2</v>
      </c>
      <c r="R132" s="2" t="inlineStr">
        <is>
          <t>Skogskorn
Ädellav</t>
        </is>
      </c>
      <c r="S132">
        <f>HYPERLINK("https://klasma.github.io/Logging_0980/artfynd/A 60665-2021 artfynd.xlsx", "A 60665-2021")</f>
        <v/>
      </c>
      <c r="T132">
        <f>HYPERLINK("https://klasma.github.io/Logging_0980/kartor/A 60665-2021 karta.png", "A 60665-2021")</f>
        <v/>
      </c>
      <c r="V132">
        <f>HYPERLINK("https://klasma.github.io/Logging_0980/klagomål/A 60665-2021 FSC-klagomål.docx", "A 60665-2021")</f>
        <v/>
      </c>
      <c r="W132">
        <f>HYPERLINK("https://klasma.github.io/Logging_0980/klagomålsmail/A 60665-2021 FSC-klagomål mail.docx", "A 60665-2021")</f>
        <v/>
      </c>
      <c r="X132">
        <f>HYPERLINK("https://klasma.github.io/Logging_0980/tillsyn/A 60665-2021 tillsynsbegäran.docx", "A 60665-2021")</f>
        <v/>
      </c>
      <c r="Y132">
        <f>HYPERLINK("https://klasma.github.io/Logging_0980/tillsynsmail/A 60665-2021 tillsynsbegäran mail.docx", "A 60665-2021")</f>
        <v/>
      </c>
    </row>
    <row r="133" ht="15" customHeight="1">
      <c r="A133" t="inlineStr">
        <is>
          <t>A 7070-2022</t>
        </is>
      </c>
      <c r="B133" s="1" t="n">
        <v>44603</v>
      </c>
      <c r="C133" s="1" t="n">
        <v>46201</v>
      </c>
      <c r="D133" t="inlineStr">
        <is>
          <t>GOTLANDS LÄN</t>
        </is>
      </c>
      <c r="E133" t="inlineStr">
        <is>
          <t>GOTLAND</t>
        </is>
      </c>
      <c r="G133" t="n">
        <v>2.6</v>
      </c>
      <c r="H133" t="n">
        <v>0</v>
      </c>
      <c r="I133" t="n">
        <v>1</v>
      </c>
      <c r="J133" t="n">
        <v>1</v>
      </c>
      <c r="K133" t="n">
        <v>0</v>
      </c>
      <c r="L133" t="n">
        <v>0</v>
      </c>
      <c r="M133" t="n">
        <v>0</v>
      </c>
      <c r="N133" t="n">
        <v>0</v>
      </c>
      <c r="O133" t="n">
        <v>1</v>
      </c>
      <c r="P133" t="n">
        <v>0</v>
      </c>
      <c r="Q133" t="n">
        <v>2</v>
      </c>
      <c r="R133" s="2" t="inlineStr">
        <is>
          <t>Kattfotslav
Blåmossa</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27589-2023</t>
        </is>
      </c>
      <c r="B134" s="1" t="n">
        <v>45097</v>
      </c>
      <c r="C134" s="1" t="n">
        <v>46201</v>
      </c>
      <c r="D134" t="inlineStr">
        <is>
          <t>GOTLANDS LÄN</t>
        </is>
      </c>
      <c r="E134" t="inlineStr">
        <is>
          <t>GOTLAND</t>
        </is>
      </c>
      <c r="G134" t="n">
        <v>5.4</v>
      </c>
      <c r="H134" t="n">
        <v>0</v>
      </c>
      <c r="I134" t="n">
        <v>1</v>
      </c>
      <c r="J134" t="n">
        <v>0</v>
      </c>
      <c r="K134" t="n">
        <v>0</v>
      </c>
      <c r="L134" t="n">
        <v>1</v>
      </c>
      <c r="M134" t="n">
        <v>0</v>
      </c>
      <c r="N134" t="n">
        <v>0</v>
      </c>
      <c r="O134" t="n">
        <v>1</v>
      </c>
      <c r="P134" t="n">
        <v>1</v>
      </c>
      <c r="Q134" t="n">
        <v>2</v>
      </c>
      <c r="R134" s="2" t="inlineStr">
        <is>
          <t>Skogsalm
Underviol</t>
        </is>
      </c>
      <c r="S134">
        <f>HYPERLINK("https://klasma.github.io/Logging_0980/artfynd/A 27589-2023 artfynd.xlsx", "A 27589-2023")</f>
        <v/>
      </c>
      <c r="T134">
        <f>HYPERLINK("https://klasma.github.io/Logging_0980/kartor/A 27589-2023 karta.png", "A 27589-2023")</f>
        <v/>
      </c>
      <c r="V134">
        <f>HYPERLINK("https://klasma.github.io/Logging_0980/klagomål/A 27589-2023 FSC-klagomål.docx", "A 27589-2023")</f>
        <v/>
      </c>
      <c r="W134">
        <f>HYPERLINK("https://klasma.github.io/Logging_0980/klagomålsmail/A 27589-2023 FSC-klagomål mail.docx", "A 27589-2023")</f>
        <v/>
      </c>
      <c r="X134">
        <f>HYPERLINK("https://klasma.github.io/Logging_0980/tillsyn/A 27589-2023 tillsynsbegäran.docx", "A 27589-2023")</f>
        <v/>
      </c>
      <c r="Y134">
        <f>HYPERLINK("https://klasma.github.io/Logging_0980/tillsynsmail/A 27589-2023 tillsynsbegäran mail.docx", "A 27589-2023")</f>
        <v/>
      </c>
    </row>
    <row r="135" ht="15" customHeight="1">
      <c r="A135" t="inlineStr">
        <is>
          <t>A 28261-2024</t>
        </is>
      </c>
      <c r="B135" s="1" t="n">
        <v>45477</v>
      </c>
      <c r="C135" s="1" t="n">
        <v>46201</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1010-2024</t>
        </is>
      </c>
      <c r="B136" s="1" t="n">
        <v>45301</v>
      </c>
      <c r="C136" s="1" t="n">
        <v>46201</v>
      </c>
      <c r="D136" t="inlineStr">
        <is>
          <t>GOTLANDS LÄN</t>
        </is>
      </c>
      <c r="E136" t="inlineStr">
        <is>
          <t>GOTLAND</t>
        </is>
      </c>
      <c r="G136" t="n">
        <v>2.4</v>
      </c>
      <c r="H136" t="n">
        <v>0</v>
      </c>
      <c r="I136" t="n">
        <v>2</v>
      </c>
      <c r="J136" t="n">
        <v>0</v>
      </c>
      <c r="K136" t="n">
        <v>0</v>
      </c>
      <c r="L136" t="n">
        <v>0</v>
      </c>
      <c r="M136" t="n">
        <v>0</v>
      </c>
      <c r="N136" t="n">
        <v>0</v>
      </c>
      <c r="O136" t="n">
        <v>0</v>
      </c>
      <c r="P136" t="n">
        <v>0</v>
      </c>
      <c r="Q136" t="n">
        <v>2</v>
      </c>
      <c r="R136" s="2" t="inlineStr">
        <is>
          <t>Anisspindling
Diskvaxskivling</t>
        </is>
      </c>
      <c r="S136">
        <f>HYPERLINK("https://klasma.github.io/Logging_0980/artfynd/A 1010-2024 artfynd.xlsx", "A 1010-2024")</f>
        <v/>
      </c>
      <c r="T136">
        <f>HYPERLINK("https://klasma.github.io/Logging_0980/kartor/A 1010-2024 karta.png", "A 1010-2024")</f>
        <v/>
      </c>
      <c r="V136">
        <f>HYPERLINK("https://klasma.github.io/Logging_0980/klagomål/A 1010-2024 FSC-klagomål.docx", "A 1010-2024")</f>
        <v/>
      </c>
      <c r="W136">
        <f>HYPERLINK("https://klasma.github.io/Logging_0980/klagomålsmail/A 1010-2024 FSC-klagomål mail.docx", "A 1010-2024")</f>
        <v/>
      </c>
      <c r="X136">
        <f>HYPERLINK("https://klasma.github.io/Logging_0980/tillsyn/A 1010-2024 tillsynsbegäran.docx", "A 1010-2024")</f>
        <v/>
      </c>
      <c r="Y136">
        <f>HYPERLINK("https://klasma.github.io/Logging_0980/tillsynsmail/A 1010-2024 tillsynsbegäran mail.docx", "A 1010-2024")</f>
        <v/>
      </c>
    </row>
    <row r="137" ht="15" customHeight="1">
      <c r="A137" t="inlineStr">
        <is>
          <t>A 20218-2022</t>
        </is>
      </c>
      <c r="B137" s="1" t="n">
        <v>44698</v>
      </c>
      <c r="C137" s="1" t="n">
        <v>46201</v>
      </c>
      <c r="D137" t="inlineStr">
        <is>
          <t>GOTLANDS LÄN</t>
        </is>
      </c>
      <c r="E137" t="inlineStr">
        <is>
          <t>GOTLAND</t>
        </is>
      </c>
      <c r="G137" t="n">
        <v>4.3</v>
      </c>
      <c r="H137" t="n">
        <v>0</v>
      </c>
      <c r="I137" t="n">
        <v>1</v>
      </c>
      <c r="J137" t="n">
        <v>1</v>
      </c>
      <c r="K137" t="n">
        <v>0</v>
      </c>
      <c r="L137" t="n">
        <v>0</v>
      </c>
      <c r="M137" t="n">
        <v>0</v>
      </c>
      <c r="N137" t="n">
        <v>0</v>
      </c>
      <c r="O137" t="n">
        <v>1</v>
      </c>
      <c r="P137" t="n">
        <v>0</v>
      </c>
      <c r="Q137" t="n">
        <v>2</v>
      </c>
      <c r="R137" s="2" t="inlineStr">
        <is>
          <t>Flattoppad klubbsvamp
Rödgul trumpetsvamp</t>
        </is>
      </c>
      <c r="S137">
        <f>HYPERLINK("https://klasma.github.io/Logging_0980/artfynd/A 20218-2022 artfynd.xlsx", "A 20218-2022")</f>
        <v/>
      </c>
      <c r="T137">
        <f>HYPERLINK("https://klasma.github.io/Logging_0980/kartor/A 20218-2022 karta.png", "A 20218-2022")</f>
        <v/>
      </c>
      <c r="V137">
        <f>HYPERLINK("https://klasma.github.io/Logging_0980/klagomål/A 20218-2022 FSC-klagomål.docx", "A 20218-2022")</f>
        <v/>
      </c>
      <c r="W137">
        <f>HYPERLINK("https://klasma.github.io/Logging_0980/klagomålsmail/A 20218-2022 FSC-klagomål mail.docx", "A 20218-2022")</f>
        <v/>
      </c>
      <c r="X137">
        <f>HYPERLINK("https://klasma.github.io/Logging_0980/tillsyn/A 20218-2022 tillsynsbegäran.docx", "A 20218-2022")</f>
        <v/>
      </c>
      <c r="Y137">
        <f>HYPERLINK("https://klasma.github.io/Logging_0980/tillsynsmail/A 20218-2022 tillsynsbegäran mail.docx", "A 20218-2022")</f>
        <v/>
      </c>
    </row>
    <row r="138" ht="15" customHeight="1">
      <c r="A138" t="inlineStr">
        <is>
          <t>A 49411-2023</t>
        </is>
      </c>
      <c r="B138" s="1" t="n">
        <v>45205</v>
      </c>
      <c r="C138" s="1" t="n">
        <v>46201</v>
      </c>
      <c r="D138" t="inlineStr">
        <is>
          <t>GOTLANDS LÄN</t>
        </is>
      </c>
      <c r="E138" t="inlineStr">
        <is>
          <t>GOTLAND</t>
        </is>
      </c>
      <c r="G138" t="n">
        <v>2</v>
      </c>
      <c r="H138" t="n">
        <v>1</v>
      </c>
      <c r="I138" t="n">
        <v>1</v>
      </c>
      <c r="J138" t="n">
        <v>1</v>
      </c>
      <c r="K138" t="n">
        <v>0</v>
      </c>
      <c r="L138" t="n">
        <v>0</v>
      </c>
      <c r="M138" t="n">
        <v>0</v>
      </c>
      <c r="N138" t="n">
        <v>0</v>
      </c>
      <c r="O138" t="n">
        <v>1</v>
      </c>
      <c r="P138" t="n">
        <v>0</v>
      </c>
      <c r="Q138" t="n">
        <v>2</v>
      </c>
      <c r="R138" s="2" t="inlineStr">
        <is>
          <t>Svinrot
Tvåblad</t>
        </is>
      </c>
      <c r="S138">
        <f>HYPERLINK("https://klasma.github.io/Logging_0980/artfynd/A 49411-2023 artfynd.xlsx", "A 49411-2023")</f>
        <v/>
      </c>
      <c r="T138">
        <f>HYPERLINK("https://klasma.github.io/Logging_0980/kartor/A 49411-2023 karta.png", "A 49411-2023")</f>
        <v/>
      </c>
      <c r="V138">
        <f>HYPERLINK("https://klasma.github.io/Logging_0980/klagomål/A 49411-2023 FSC-klagomål.docx", "A 49411-2023")</f>
        <v/>
      </c>
      <c r="W138">
        <f>HYPERLINK("https://klasma.github.io/Logging_0980/klagomålsmail/A 49411-2023 FSC-klagomål mail.docx", "A 49411-2023")</f>
        <v/>
      </c>
      <c r="X138">
        <f>HYPERLINK("https://klasma.github.io/Logging_0980/tillsyn/A 49411-2023 tillsynsbegäran.docx", "A 49411-2023")</f>
        <v/>
      </c>
      <c r="Y138">
        <f>HYPERLINK("https://klasma.github.io/Logging_0980/tillsynsmail/A 49411-2023 tillsynsbegäran mail.docx", "A 49411-2023")</f>
        <v/>
      </c>
    </row>
    <row r="139" ht="15" customHeight="1">
      <c r="A139" t="inlineStr">
        <is>
          <t>A 12209-2024</t>
        </is>
      </c>
      <c r="B139" s="1" t="n">
        <v>45378</v>
      </c>
      <c r="C139" s="1" t="n">
        <v>46201</v>
      </c>
      <c r="D139" t="inlineStr">
        <is>
          <t>GOTLANDS LÄN</t>
        </is>
      </c>
      <c r="E139" t="inlineStr">
        <is>
          <t>GOTLAND</t>
        </is>
      </c>
      <c r="G139" t="n">
        <v>5.3</v>
      </c>
      <c r="H139" t="n">
        <v>0</v>
      </c>
      <c r="I139" t="n">
        <v>0</v>
      </c>
      <c r="J139" t="n">
        <v>1</v>
      </c>
      <c r="K139" t="n">
        <v>1</v>
      </c>
      <c r="L139" t="n">
        <v>0</v>
      </c>
      <c r="M139" t="n">
        <v>0</v>
      </c>
      <c r="N139" t="n">
        <v>0</v>
      </c>
      <c r="O139" t="n">
        <v>2</v>
      </c>
      <c r="P139" t="n">
        <v>1</v>
      </c>
      <c r="Q139" t="n">
        <v>2</v>
      </c>
      <c r="R139" s="2" t="inlineStr">
        <is>
          <t>Oxhorndyvel
Krokhorndyvel</t>
        </is>
      </c>
      <c r="S139">
        <f>HYPERLINK("https://klasma.github.io/Logging_0980/artfynd/A 12209-2024 artfynd.xlsx", "A 12209-2024")</f>
        <v/>
      </c>
      <c r="T139">
        <f>HYPERLINK("https://klasma.github.io/Logging_0980/kartor/A 12209-2024 karta.png", "A 12209-2024")</f>
        <v/>
      </c>
      <c r="V139">
        <f>HYPERLINK("https://klasma.github.io/Logging_0980/klagomål/A 12209-2024 FSC-klagomål.docx", "A 12209-2024")</f>
        <v/>
      </c>
      <c r="W139">
        <f>HYPERLINK("https://klasma.github.io/Logging_0980/klagomålsmail/A 12209-2024 FSC-klagomål mail.docx", "A 12209-2024")</f>
        <v/>
      </c>
      <c r="X139">
        <f>HYPERLINK("https://klasma.github.io/Logging_0980/tillsyn/A 12209-2024 tillsynsbegäran.docx", "A 12209-2024")</f>
        <v/>
      </c>
      <c r="Y139">
        <f>HYPERLINK("https://klasma.github.io/Logging_0980/tillsynsmail/A 12209-2024 tillsynsbegäran mail.docx", "A 12209-2024")</f>
        <v/>
      </c>
    </row>
    <row r="140" ht="15" customHeight="1">
      <c r="A140" t="inlineStr">
        <is>
          <t>A 26077-2024</t>
        </is>
      </c>
      <c r="B140" s="1" t="n">
        <v>45467</v>
      </c>
      <c r="C140" s="1" t="n">
        <v>46201</v>
      </c>
      <c r="D140" t="inlineStr">
        <is>
          <t>GOTLANDS LÄN</t>
        </is>
      </c>
      <c r="E140" t="inlineStr">
        <is>
          <t>GOTLAND</t>
        </is>
      </c>
      <c r="G140" t="n">
        <v>4.6</v>
      </c>
      <c r="H140" t="n">
        <v>0</v>
      </c>
      <c r="I140" t="n">
        <v>0</v>
      </c>
      <c r="J140" t="n">
        <v>1</v>
      </c>
      <c r="K140" t="n">
        <v>0</v>
      </c>
      <c r="L140" t="n">
        <v>1</v>
      </c>
      <c r="M140" t="n">
        <v>0</v>
      </c>
      <c r="N140" t="n">
        <v>0</v>
      </c>
      <c r="O140" t="n">
        <v>2</v>
      </c>
      <c r="P140" t="n">
        <v>1</v>
      </c>
      <c r="Q140" t="n">
        <v>2</v>
      </c>
      <c r="R140" s="2" t="inlineStr">
        <is>
          <t>Ask
Tallticka</t>
        </is>
      </c>
      <c r="S140">
        <f>HYPERLINK("https://klasma.github.io/Logging_0980/artfynd/A 26077-2024 artfynd.xlsx", "A 26077-2024")</f>
        <v/>
      </c>
      <c r="T140">
        <f>HYPERLINK("https://klasma.github.io/Logging_0980/kartor/A 26077-2024 karta.png", "A 26077-2024")</f>
        <v/>
      </c>
      <c r="V140">
        <f>HYPERLINK("https://klasma.github.io/Logging_0980/klagomål/A 26077-2024 FSC-klagomål.docx", "A 26077-2024")</f>
        <v/>
      </c>
      <c r="W140">
        <f>HYPERLINK("https://klasma.github.io/Logging_0980/klagomålsmail/A 26077-2024 FSC-klagomål mail.docx", "A 26077-2024")</f>
        <v/>
      </c>
      <c r="X140">
        <f>HYPERLINK("https://klasma.github.io/Logging_0980/tillsyn/A 26077-2024 tillsynsbegäran.docx", "A 26077-2024")</f>
        <v/>
      </c>
      <c r="Y140">
        <f>HYPERLINK("https://klasma.github.io/Logging_0980/tillsynsmail/A 26077-2024 tillsynsbegäran mail.docx", "A 26077-2024")</f>
        <v/>
      </c>
    </row>
    <row r="141" ht="15" customHeight="1">
      <c r="A141" t="inlineStr">
        <is>
          <t>A 28276-2024</t>
        </is>
      </c>
      <c r="B141" s="1" t="n">
        <v>45477</v>
      </c>
      <c r="C141" s="1" t="n">
        <v>46201</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8036-2022</t>
        </is>
      </c>
      <c r="B142" s="1" t="n">
        <v>44609</v>
      </c>
      <c r="C142" s="1" t="n">
        <v>46201</v>
      </c>
      <c r="D142" t="inlineStr">
        <is>
          <t>GOTLANDS LÄN</t>
        </is>
      </c>
      <c r="E142" t="inlineStr">
        <is>
          <t>GOTLAND</t>
        </is>
      </c>
      <c r="G142" t="n">
        <v>6.1</v>
      </c>
      <c r="H142" t="n">
        <v>2</v>
      </c>
      <c r="I142" t="n">
        <v>0</v>
      </c>
      <c r="J142" t="n">
        <v>1</v>
      </c>
      <c r="K142" t="n">
        <v>1</v>
      </c>
      <c r="L142" t="n">
        <v>0</v>
      </c>
      <c r="M142" t="n">
        <v>0</v>
      </c>
      <c r="N142" t="n">
        <v>0</v>
      </c>
      <c r="O142" t="n">
        <v>2</v>
      </c>
      <c r="P142" t="n">
        <v>1</v>
      </c>
      <c r="Q142" t="n">
        <v>2</v>
      </c>
      <c r="R142" s="2" t="inlineStr">
        <is>
          <t>Grönfink
Grönsångare</t>
        </is>
      </c>
      <c r="S142">
        <f>HYPERLINK("https://klasma.github.io/Logging_0980/artfynd/A 8036-2022 artfynd.xlsx", "A 8036-2022")</f>
        <v/>
      </c>
      <c r="T142">
        <f>HYPERLINK("https://klasma.github.io/Logging_0980/kartor/A 8036-2022 karta.png", "A 8036-2022")</f>
        <v/>
      </c>
      <c r="V142">
        <f>HYPERLINK("https://klasma.github.io/Logging_0980/klagomål/A 8036-2022 FSC-klagomål.docx", "A 8036-2022")</f>
        <v/>
      </c>
      <c r="W142">
        <f>HYPERLINK("https://klasma.github.io/Logging_0980/klagomålsmail/A 8036-2022 FSC-klagomål mail.docx", "A 8036-2022")</f>
        <v/>
      </c>
      <c r="X142">
        <f>HYPERLINK("https://klasma.github.io/Logging_0980/tillsyn/A 8036-2022 tillsynsbegäran.docx", "A 8036-2022")</f>
        <v/>
      </c>
      <c r="Y142">
        <f>HYPERLINK("https://klasma.github.io/Logging_0980/tillsynsmail/A 8036-2022 tillsynsbegäran mail.docx", "A 8036-2022")</f>
        <v/>
      </c>
      <c r="Z142">
        <f>HYPERLINK("https://klasma.github.io/Logging_0980/fåglar/A 8036-2022 prioriterade fågelarter.docx", "A 8036-2022")</f>
        <v/>
      </c>
    </row>
    <row r="143" ht="15" customHeight="1">
      <c r="A143" t="inlineStr">
        <is>
          <t>A 49314-2024</t>
        </is>
      </c>
      <c r="B143" s="1" t="n">
        <v>45595</v>
      </c>
      <c r="C143" s="1" t="n">
        <v>46201</v>
      </c>
      <c r="D143" t="inlineStr">
        <is>
          <t>GOTLANDS LÄN</t>
        </is>
      </c>
      <c r="E143" t="inlineStr">
        <is>
          <t>GOTLAND</t>
        </is>
      </c>
      <c r="G143" t="n">
        <v>1.1</v>
      </c>
      <c r="H143" t="n">
        <v>0</v>
      </c>
      <c r="I143" t="n">
        <v>1</v>
      </c>
      <c r="J143" t="n">
        <v>0</v>
      </c>
      <c r="K143" t="n">
        <v>1</v>
      </c>
      <c r="L143" t="n">
        <v>0</v>
      </c>
      <c r="M143" t="n">
        <v>0</v>
      </c>
      <c r="N143" t="n">
        <v>0</v>
      </c>
      <c r="O143" t="n">
        <v>1</v>
      </c>
      <c r="P143" t="n">
        <v>1</v>
      </c>
      <c r="Q143" t="n">
        <v>2</v>
      </c>
      <c r="R143" s="2" t="inlineStr">
        <is>
          <t>Skogskorn
Underviol</t>
        </is>
      </c>
      <c r="S143">
        <f>HYPERLINK("https://klasma.github.io/Logging_0980/artfynd/A 49314-2024 artfynd.xlsx", "A 49314-2024")</f>
        <v/>
      </c>
      <c r="T143">
        <f>HYPERLINK("https://klasma.github.io/Logging_0980/kartor/A 49314-2024 karta.png", "A 49314-2024")</f>
        <v/>
      </c>
      <c r="V143">
        <f>HYPERLINK("https://klasma.github.io/Logging_0980/klagomål/A 49314-2024 FSC-klagomål.docx", "A 49314-2024")</f>
        <v/>
      </c>
      <c r="W143">
        <f>HYPERLINK("https://klasma.github.io/Logging_0980/klagomålsmail/A 49314-2024 FSC-klagomål mail.docx", "A 49314-2024")</f>
        <v/>
      </c>
      <c r="X143">
        <f>HYPERLINK("https://klasma.github.io/Logging_0980/tillsyn/A 49314-2024 tillsynsbegäran.docx", "A 49314-2024")</f>
        <v/>
      </c>
      <c r="Y143">
        <f>HYPERLINK("https://klasma.github.io/Logging_0980/tillsynsmail/A 49314-2024 tillsynsbegäran mail.docx", "A 49314-2024")</f>
        <v/>
      </c>
    </row>
    <row r="144" ht="15" customHeight="1">
      <c r="A144" t="inlineStr">
        <is>
          <t>A 33011-2025</t>
        </is>
      </c>
      <c r="B144" s="1" t="n">
        <v>45840</v>
      </c>
      <c r="C144" s="1" t="n">
        <v>46201</v>
      </c>
      <c r="D144" t="inlineStr">
        <is>
          <t>GOTLANDS LÄN</t>
        </is>
      </c>
      <c r="E144" t="inlineStr">
        <is>
          <t>GOTLAND</t>
        </is>
      </c>
      <c r="G144" t="n">
        <v>1.7</v>
      </c>
      <c r="H144" t="n">
        <v>2</v>
      </c>
      <c r="I144" t="n">
        <v>0</v>
      </c>
      <c r="J144" t="n">
        <v>1</v>
      </c>
      <c r="K144" t="n">
        <v>1</v>
      </c>
      <c r="L144" t="n">
        <v>0</v>
      </c>
      <c r="M144" t="n">
        <v>0</v>
      </c>
      <c r="N144" t="n">
        <v>0</v>
      </c>
      <c r="O144" t="n">
        <v>2</v>
      </c>
      <c r="P144" t="n">
        <v>1</v>
      </c>
      <c r="Q144" t="n">
        <v>2</v>
      </c>
      <c r="R144" s="2" t="inlineStr">
        <is>
          <t>Hasselsnok
Mindre hackspett</t>
        </is>
      </c>
      <c r="S144">
        <f>HYPERLINK("https://klasma.github.io/Logging_0980/artfynd/A 33011-2025 artfynd.xlsx", "A 33011-2025")</f>
        <v/>
      </c>
      <c r="T144">
        <f>HYPERLINK("https://klasma.github.io/Logging_0980/kartor/A 33011-2025 karta.png", "A 33011-2025")</f>
        <v/>
      </c>
      <c r="V144">
        <f>HYPERLINK("https://klasma.github.io/Logging_0980/klagomål/A 33011-2025 FSC-klagomål.docx", "A 33011-2025")</f>
        <v/>
      </c>
      <c r="W144">
        <f>HYPERLINK("https://klasma.github.io/Logging_0980/klagomålsmail/A 33011-2025 FSC-klagomål mail.docx", "A 33011-2025")</f>
        <v/>
      </c>
      <c r="X144">
        <f>HYPERLINK("https://klasma.github.io/Logging_0980/tillsyn/A 33011-2025 tillsynsbegäran.docx", "A 33011-2025")</f>
        <v/>
      </c>
      <c r="Y144">
        <f>HYPERLINK("https://klasma.github.io/Logging_0980/tillsynsmail/A 33011-2025 tillsynsbegäran mail.docx", "A 33011-2025")</f>
        <v/>
      </c>
      <c r="Z144">
        <f>HYPERLINK("https://klasma.github.io/Logging_0980/fåglar/A 33011-2025 prioriterade fågelarter.docx", "A 33011-2025")</f>
        <v/>
      </c>
    </row>
    <row r="145" ht="15" customHeight="1">
      <c r="A145" t="inlineStr">
        <is>
          <t>A 63162-2025</t>
        </is>
      </c>
      <c r="B145" s="1" t="n">
        <v>46010</v>
      </c>
      <c r="C145" s="1" t="n">
        <v>46201</v>
      </c>
      <c r="D145" t="inlineStr">
        <is>
          <t>GOTLANDS LÄN</t>
        </is>
      </c>
      <c r="E145" t="inlineStr">
        <is>
          <t>GOTLAND</t>
        </is>
      </c>
      <c r="G145" t="n">
        <v>3.5</v>
      </c>
      <c r="H145" t="n">
        <v>0</v>
      </c>
      <c r="I145" t="n">
        <v>1</v>
      </c>
      <c r="J145" t="n">
        <v>0</v>
      </c>
      <c r="K145" t="n">
        <v>1</v>
      </c>
      <c r="L145" t="n">
        <v>0</v>
      </c>
      <c r="M145" t="n">
        <v>0</v>
      </c>
      <c r="N145" t="n">
        <v>0</v>
      </c>
      <c r="O145" t="n">
        <v>1</v>
      </c>
      <c r="P145" t="n">
        <v>1</v>
      </c>
      <c r="Q145" t="n">
        <v>2</v>
      </c>
      <c r="R145" s="2" t="inlineStr">
        <is>
          <t>Gotlandsmåra
Myskmadra</t>
        </is>
      </c>
      <c r="S145">
        <f>HYPERLINK("https://klasma.github.io/Logging_0980/artfynd/A 63162-2025 artfynd.xlsx", "A 63162-2025")</f>
        <v/>
      </c>
      <c r="T145">
        <f>HYPERLINK("https://klasma.github.io/Logging_0980/kartor/A 63162-2025 karta.png", "A 63162-2025")</f>
        <v/>
      </c>
      <c r="V145">
        <f>HYPERLINK("https://klasma.github.io/Logging_0980/klagomål/A 63162-2025 FSC-klagomål.docx", "A 63162-2025")</f>
        <v/>
      </c>
      <c r="W145">
        <f>HYPERLINK("https://klasma.github.io/Logging_0980/klagomålsmail/A 63162-2025 FSC-klagomål mail.docx", "A 63162-2025")</f>
        <v/>
      </c>
      <c r="X145">
        <f>HYPERLINK("https://klasma.github.io/Logging_0980/tillsyn/A 63162-2025 tillsynsbegäran.docx", "A 63162-2025")</f>
        <v/>
      </c>
      <c r="Y145">
        <f>HYPERLINK("https://klasma.github.io/Logging_0980/tillsynsmail/A 63162-2025 tillsynsbegäran mail.docx", "A 63162-2025")</f>
        <v/>
      </c>
    </row>
    <row r="146" ht="15" customHeight="1">
      <c r="A146" t="inlineStr">
        <is>
          <t>A 62760-2025</t>
        </is>
      </c>
      <c r="B146" s="1" t="n">
        <v>46008</v>
      </c>
      <c r="C146" s="1" t="n">
        <v>46201</v>
      </c>
      <c r="D146" t="inlineStr">
        <is>
          <t>GOTLANDS LÄN</t>
        </is>
      </c>
      <c r="E146" t="inlineStr">
        <is>
          <t>GOTLAND</t>
        </is>
      </c>
      <c r="F146" t="inlineStr">
        <is>
          <t>Övriga Aktiebolag</t>
        </is>
      </c>
      <c r="G146" t="n">
        <v>4.6</v>
      </c>
      <c r="H146" t="n">
        <v>1</v>
      </c>
      <c r="I146" t="n">
        <v>1</v>
      </c>
      <c r="J146" t="n">
        <v>1</v>
      </c>
      <c r="K146" t="n">
        <v>0</v>
      </c>
      <c r="L146" t="n">
        <v>0</v>
      </c>
      <c r="M146" t="n">
        <v>0</v>
      </c>
      <c r="N146" t="n">
        <v>0</v>
      </c>
      <c r="O146" t="n">
        <v>1</v>
      </c>
      <c r="P146" t="n">
        <v>0</v>
      </c>
      <c r="Q146" t="n">
        <v>2</v>
      </c>
      <c r="R146" s="2" t="inlineStr">
        <is>
          <t>Vårärt
Nästrot</t>
        </is>
      </c>
      <c r="S146">
        <f>HYPERLINK("https://klasma.github.io/Logging_0980/artfynd/A 62760-2025 artfynd.xlsx", "A 62760-2025")</f>
        <v/>
      </c>
      <c r="T146">
        <f>HYPERLINK("https://klasma.github.io/Logging_0980/kartor/A 62760-2025 karta.png", "A 62760-2025")</f>
        <v/>
      </c>
      <c r="V146">
        <f>HYPERLINK("https://klasma.github.io/Logging_0980/klagomål/A 62760-2025 FSC-klagomål.docx", "A 62760-2025")</f>
        <v/>
      </c>
      <c r="W146">
        <f>HYPERLINK("https://klasma.github.io/Logging_0980/klagomålsmail/A 62760-2025 FSC-klagomål mail.docx", "A 62760-2025")</f>
        <v/>
      </c>
      <c r="X146">
        <f>HYPERLINK("https://klasma.github.io/Logging_0980/tillsyn/A 62760-2025 tillsynsbegäran.docx", "A 62760-2025")</f>
        <v/>
      </c>
      <c r="Y146">
        <f>HYPERLINK("https://klasma.github.io/Logging_0980/tillsynsmail/A 62760-2025 tillsynsbegäran mail.docx", "A 62760-2025")</f>
        <v/>
      </c>
    </row>
    <row r="147" ht="15" customHeight="1">
      <c r="A147" t="inlineStr">
        <is>
          <t>A 11708-2026</t>
        </is>
      </c>
      <c r="B147" s="1" t="n">
        <v>46084</v>
      </c>
      <c r="C147" s="1" t="n">
        <v>46201</v>
      </c>
      <c r="D147" t="inlineStr">
        <is>
          <t>GOTLANDS LÄN</t>
        </is>
      </c>
      <c r="E147" t="inlineStr">
        <is>
          <t>GOTLAND</t>
        </is>
      </c>
      <c r="G147" t="n">
        <v>8.4</v>
      </c>
      <c r="H147" t="n">
        <v>1</v>
      </c>
      <c r="I147" t="n">
        <v>0</v>
      </c>
      <c r="J147" t="n">
        <v>0</v>
      </c>
      <c r="K147" t="n">
        <v>1</v>
      </c>
      <c r="L147" t="n">
        <v>0</v>
      </c>
      <c r="M147" t="n">
        <v>0</v>
      </c>
      <c r="N147" t="n">
        <v>0</v>
      </c>
      <c r="O147" t="n">
        <v>1</v>
      </c>
      <c r="P147" t="n">
        <v>1</v>
      </c>
      <c r="Q147" t="n">
        <v>2</v>
      </c>
      <c r="R147" s="2" t="inlineStr">
        <is>
          <t>Toppjungfrulin
Bredarun</t>
        </is>
      </c>
      <c r="S147">
        <f>HYPERLINK("https://klasma.github.io/Logging_0980/artfynd/A 11708-2026 artfynd.xlsx", "A 11708-2026")</f>
        <v/>
      </c>
      <c r="T147">
        <f>HYPERLINK("https://klasma.github.io/Logging_0980/kartor/A 11708-2026 karta.png", "A 11708-2026")</f>
        <v/>
      </c>
      <c r="V147">
        <f>HYPERLINK("https://klasma.github.io/Logging_0980/klagomål/A 11708-2026 FSC-klagomål.docx", "A 11708-2026")</f>
        <v/>
      </c>
      <c r="W147">
        <f>HYPERLINK("https://klasma.github.io/Logging_0980/klagomålsmail/A 11708-2026 FSC-klagomål mail.docx", "A 11708-2026")</f>
        <v/>
      </c>
      <c r="X147">
        <f>HYPERLINK("https://klasma.github.io/Logging_0980/tillsyn/A 11708-2026 tillsynsbegäran.docx", "A 11708-2026")</f>
        <v/>
      </c>
      <c r="Y147">
        <f>HYPERLINK("https://klasma.github.io/Logging_0980/tillsynsmail/A 11708-2026 tillsynsbegäran mail.docx", "A 11708-2026")</f>
        <v/>
      </c>
    </row>
    <row r="148" ht="15" customHeight="1">
      <c r="A148" t="inlineStr">
        <is>
          <t>A 883-2025</t>
        </is>
      </c>
      <c r="B148" s="1" t="n">
        <v>45665</v>
      </c>
      <c r="C148" s="1" t="n">
        <v>46201</v>
      </c>
      <c r="D148" t="inlineStr">
        <is>
          <t>GOTLANDS LÄN</t>
        </is>
      </c>
      <c r="E148" t="inlineStr">
        <is>
          <t>GOTLAND</t>
        </is>
      </c>
      <c r="G148" t="n">
        <v>1.3</v>
      </c>
      <c r="H148" t="n">
        <v>0</v>
      </c>
      <c r="I148" t="n">
        <v>2</v>
      </c>
      <c r="J148" t="n">
        <v>0</v>
      </c>
      <c r="K148" t="n">
        <v>0</v>
      </c>
      <c r="L148" t="n">
        <v>0</v>
      </c>
      <c r="M148" t="n">
        <v>0</v>
      </c>
      <c r="N148" t="n">
        <v>0</v>
      </c>
      <c r="O148" t="n">
        <v>0</v>
      </c>
      <c r="P148" t="n">
        <v>0</v>
      </c>
      <c r="Q148" t="n">
        <v>2</v>
      </c>
      <c r="R148" s="2" t="inlineStr">
        <is>
          <t>Axag
Kärrlilja</t>
        </is>
      </c>
      <c r="S148">
        <f>HYPERLINK("https://klasma.github.io/Logging_0980/artfynd/A 883-2025 artfynd.xlsx", "A 883-2025")</f>
        <v/>
      </c>
      <c r="T148">
        <f>HYPERLINK("https://klasma.github.io/Logging_0980/kartor/A 883-2025 karta.png", "A 883-2025")</f>
        <v/>
      </c>
      <c r="V148">
        <f>HYPERLINK("https://klasma.github.io/Logging_0980/klagomål/A 883-2025 FSC-klagomål.docx", "A 883-2025")</f>
        <v/>
      </c>
      <c r="W148">
        <f>HYPERLINK("https://klasma.github.io/Logging_0980/klagomålsmail/A 883-2025 FSC-klagomål mail.docx", "A 883-2025")</f>
        <v/>
      </c>
      <c r="X148">
        <f>HYPERLINK("https://klasma.github.io/Logging_0980/tillsyn/A 883-2025 tillsynsbegäran.docx", "A 883-2025")</f>
        <v/>
      </c>
      <c r="Y148">
        <f>HYPERLINK("https://klasma.github.io/Logging_0980/tillsynsmail/A 883-2025 tillsynsbegäran mail.docx", "A 883-2025")</f>
        <v/>
      </c>
    </row>
    <row r="149" ht="15" customHeight="1">
      <c r="A149" t="inlineStr">
        <is>
          <t>A 27621-2026</t>
        </is>
      </c>
      <c r="B149" s="1" t="n">
        <v>46190</v>
      </c>
      <c r="C149" s="1" t="n">
        <v>46201</v>
      </c>
      <c r="D149" t="inlineStr">
        <is>
          <t>GOTLANDS LÄN</t>
        </is>
      </c>
      <c r="E149" t="inlineStr">
        <is>
          <t>GOTLAND</t>
        </is>
      </c>
      <c r="G149" t="n">
        <v>6</v>
      </c>
      <c r="H149" t="n">
        <v>2</v>
      </c>
      <c r="I149" t="n">
        <v>0</v>
      </c>
      <c r="J149" t="n">
        <v>1</v>
      </c>
      <c r="K149" t="n">
        <v>0</v>
      </c>
      <c r="L149" t="n">
        <v>0</v>
      </c>
      <c r="M149" t="n">
        <v>0</v>
      </c>
      <c r="N149" t="n">
        <v>0</v>
      </c>
      <c r="O149" t="n">
        <v>1</v>
      </c>
      <c r="P149" t="n">
        <v>0</v>
      </c>
      <c r="Q149" t="n">
        <v>2</v>
      </c>
      <c r="R149" s="2" t="inlineStr">
        <is>
          <t>Adam och eva
Spillkråka</t>
        </is>
      </c>
      <c r="S149">
        <f>HYPERLINK("https://klasma.github.io/Logging_0980/artfynd/A 27621-2026 artfynd.xlsx", "A 27621-2026")</f>
        <v/>
      </c>
      <c r="T149">
        <f>HYPERLINK("https://klasma.github.io/Logging_0980/kartor/A 27621-2026 karta.png", "A 27621-2026")</f>
        <v/>
      </c>
      <c r="V149">
        <f>HYPERLINK("https://klasma.github.io/Logging_0980/klagomål/A 27621-2026 FSC-klagomål.docx", "A 27621-2026")</f>
        <v/>
      </c>
      <c r="W149">
        <f>HYPERLINK("https://klasma.github.io/Logging_0980/klagomålsmail/A 27621-2026 FSC-klagomål mail.docx", "A 27621-2026")</f>
        <v/>
      </c>
      <c r="X149">
        <f>HYPERLINK("https://klasma.github.io/Logging_0980/tillsyn/A 27621-2026 tillsynsbegäran.docx", "A 27621-2026")</f>
        <v/>
      </c>
      <c r="Y149">
        <f>HYPERLINK("https://klasma.github.io/Logging_0980/tillsynsmail/A 27621-2026 tillsynsbegäran mail.docx", "A 27621-2026")</f>
        <v/>
      </c>
      <c r="Z149">
        <f>HYPERLINK("https://klasma.github.io/Logging_0980/fåglar/A 27621-2026 prioriterade fågelarter.docx", "A 27621-2026")</f>
        <v/>
      </c>
    </row>
    <row r="150" ht="15" customHeight="1">
      <c r="A150" t="inlineStr">
        <is>
          <t>A 46362-2021</t>
        </is>
      </c>
      <c r="B150" s="1" t="n">
        <v>44442</v>
      </c>
      <c r="C150" s="1" t="n">
        <v>46201</v>
      </c>
      <c r="D150" t="inlineStr">
        <is>
          <t>GOTLANDS LÄN</t>
        </is>
      </c>
      <c r="E150" t="inlineStr">
        <is>
          <t>GOTLAND</t>
        </is>
      </c>
      <c r="G150" t="n">
        <v>2.1</v>
      </c>
      <c r="H150" t="n">
        <v>0</v>
      </c>
      <c r="I150" t="n">
        <v>0</v>
      </c>
      <c r="J150" t="n">
        <v>0</v>
      </c>
      <c r="K150" t="n">
        <v>1</v>
      </c>
      <c r="L150" t="n">
        <v>0</v>
      </c>
      <c r="M150" t="n">
        <v>0</v>
      </c>
      <c r="N150" t="n">
        <v>0</v>
      </c>
      <c r="O150" t="n">
        <v>1</v>
      </c>
      <c r="P150" t="n">
        <v>1</v>
      </c>
      <c r="Q150" t="n">
        <v>1</v>
      </c>
      <c r="R150" s="2" t="inlineStr">
        <is>
          <t>Igelkott</t>
        </is>
      </c>
      <c r="S150">
        <f>HYPERLINK("https://klasma.github.io/Logging_0980/artfynd/A 46362-2021 artfynd.xlsx", "A 46362-2021")</f>
        <v/>
      </c>
      <c r="T150">
        <f>HYPERLINK("https://klasma.github.io/Logging_0980/kartor/A 46362-2021 karta.png", "A 46362-2021")</f>
        <v/>
      </c>
      <c r="V150">
        <f>HYPERLINK("https://klasma.github.io/Logging_0980/klagomål/A 46362-2021 FSC-klagomål.docx", "A 46362-2021")</f>
        <v/>
      </c>
      <c r="W150">
        <f>HYPERLINK("https://klasma.github.io/Logging_0980/klagomålsmail/A 46362-2021 FSC-klagomål mail.docx", "A 46362-2021")</f>
        <v/>
      </c>
      <c r="X150">
        <f>HYPERLINK("https://klasma.github.io/Logging_0980/tillsyn/A 46362-2021 tillsynsbegäran.docx", "A 46362-2021")</f>
        <v/>
      </c>
      <c r="Y150">
        <f>HYPERLINK("https://klasma.github.io/Logging_0980/tillsynsmail/A 46362-2021 tillsynsbegäran mail.docx", "A 46362-2021")</f>
        <v/>
      </c>
    </row>
    <row r="151" ht="15" customHeight="1">
      <c r="A151" t="inlineStr">
        <is>
          <t>A 32691-2021</t>
        </is>
      </c>
      <c r="B151" s="1" t="n">
        <v>44375</v>
      </c>
      <c r="C151" s="1" t="n">
        <v>46201</v>
      </c>
      <c r="D151" t="inlineStr">
        <is>
          <t>GOTLANDS LÄN</t>
        </is>
      </c>
      <c r="E151" t="inlineStr">
        <is>
          <t>GOTLAND</t>
        </is>
      </c>
      <c r="G151" t="n">
        <v>0.8</v>
      </c>
      <c r="H151" t="n">
        <v>1</v>
      </c>
      <c r="I151" t="n">
        <v>0</v>
      </c>
      <c r="J151" t="n">
        <v>0</v>
      </c>
      <c r="K151" t="n">
        <v>0</v>
      </c>
      <c r="L151" t="n">
        <v>0</v>
      </c>
      <c r="M151" t="n">
        <v>0</v>
      </c>
      <c r="N151" t="n">
        <v>0</v>
      </c>
      <c r="O151" t="n">
        <v>0</v>
      </c>
      <c r="P151" t="n">
        <v>0</v>
      </c>
      <c r="Q151" t="n">
        <v>1</v>
      </c>
      <c r="R151" s="2" t="inlineStr">
        <is>
          <t>Kalkkrassing</t>
        </is>
      </c>
      <c r="S151">
        <f>HYPERLINK("https://klasma.github.io/Logging_0980/artfynd/A 32691-2021 artfynd.xlsx", "A 32691-2021")</f>
        <v/>
      </c>
      <c r="T151">
        <f>HYPERLINK("https://klasma.github.io/Logging_0980/kartor/A 32691-2021 karta.png", "A 32691-2021")</f>
        <v/>
      </c>
      <c r="V151">
        <f>HYPERLINK("https://klasma.github.io/Logging_0980/klagomål/A 32691-2021 FSC-klagomål.docx", "A 32691-2021")</f>
        <v/>
      </c>
      <c r="W151">
        <f>HYPERLINK("https://klasma.github.io/Logging_0980/klagomålsmail/A 32691-2021 FSC-klagomål mail.docx", "A 32691-2021")</f>
        <v/>
      </c>
      <c r="X151">
        <f>HYPERLINK("https://klasma.github.io/Logging_0980/tillsyn/A 32691-2021 tillsynsbegäran.docx", "A 32691-2021")</f>
        <v/>
      </c>
      <c r="Y151">
        <f>HYPERLINK("https://klasma.github.io/Logging_0980/tillsynsmail/A 32691-2021 tillsynsbegäran mail.docx", "A 32691-2021")</f>
        <v/>
      </c>
    </row>
    <row r="152" ht="15" customHeight="1">
      <c r="A152" t="inlineStr">
        <is>
          <t>A 11029-2022</t>
        </is>
      </c>
      <c r="B152" s="1" t="n">
        <v>44628</v>
      </c>
      <c r="C152" s="1" t="n">
        <v>46201</v>
      </c>
      <c r="D152" t="inlineStr">
        <is>
          <t>GOTLANDS LÄN</t>
        </is>
      </c>
      <c r="E152" t="inlineStr">
        <is>
          <t>GOTLAND</t>
        </is>
      </c>
      <c r="G152" t="n">
        <v>1.8</v>
      </c>
      <c r="H152" t="n">
        <v>0</v>
      </c>
      <c r="I152" t="n">
        <v>1</v>
      </c>
      <c r="J152" t="n">
        <v>0</v>
      </c>
      <c r="K152" t="n">
        <v>0</v>
      </c>
      <c r="L152" t="n">
        <v>0</v>
      </c>
      <c r="M152" t="n">
        <v>0</v>
      </c>
      <c r="N152" t="n">
        <v>0</v>
      </c>
      <c r="O152" t="n">
        <v>0</v>
      </c>
      <c r="P152" t="n">
        <v>0</v>
      </c>
      <c r="Q152" t="n">
        <v>1</v>
      </c>
      <c r="R152" s="2" t="inlineStr">
        <is>
          <t>Olivspindling</t>
        </is>
      </c>
      <c r="S152">
        <f>HYPERLINK("https://klasma.github.io/Logging_0980/artfynd/A 11029-2022 artfynd.xlsx", "A 11029-2022")</f>
        <v/>
      </c>
      <c r="T152">
        <f>HYPERLINK("https://klasma.github.io/Logging_0980/kartor/A 11029-2022 karta.png", "A 11029-2022")</f>
        <v/>
      </c>
      <c r="V152">
        <f>HYPERLINK("https://klasma.github.io/Logging_0980/klagomål/A 11029-2022 FSC-klagomål.docx", "A 11029-2022")</f>
        <v/>
      </c>
      <c r="W152">
        <f>HYPERLINK("https://klasma.github.io/Logging_0980/klagomålsmail/A 11029-2022 FSC-klagomål mail.docx", "A 11029-2022")</f>
        <v/>
      </c>
      <c r="X152">
        <f>HYPERLINK("https://klasma.github.io/Logging_0980/tillsyn/A 11029-2022 tillsynsbegäran.docx", "A 11029-2022")</f>
        <v/>
      </c>
      <c r="Y152">
        <f>HYPERLINK("https://klasma.github.io/Logging_0980/tillsynsmail/A 11029-2022 tillsynsbegäran mail.docx", "A 11029-2022")</f>
        <v/>
      </c>
    </row>
    <row r="153" ht="15" customHeight="1">
      <c r="A153" t="inlineStr">
        <is>
          <t>A 31239-2022</t>
        </is>
      </c>
      <c r="B153" s="1" t="n">
        <v>44771</v>
      </c>
      <c r="C153" s="1" t="n">
        <v>46201</v>
      </c>
      <c r="D153" t="inlineStr">
        <is>
          <t>GOTLANDS LÄN</t>
        </is>
      </c>
      <c r="E153" t="inlineStr">
        <is>
          <t>GOTLAND</t>
        </is>
      </c>
      <c r="G153" t="n">
        <v>1.9</v>
      </c>
      <c r="H153" t="n">
        <v>0</v>
      </c>
      <c r="I153" t="n">
        <v>0</v>
      </c>
      <c r="J153" t="n">
        <v>1</v>
      </c>
      <c r="K153" t="n">
        <v>0</v>
      </c>
      <c r="L153" t="n">
        <v>0</v>
      </c>
      <c r="M153" t="n">
        <v>0</v>
      </c>
      <c r="N153" t="n">
        <v>0</v>
      </c>
      <c r="O153" t="n">
        <v>1</v>
      </c>
      <c r="P153" t="n">
        <v>0</v>
      </c>
      <c r="Q153" t="n">
        <v>1</v>
      </c>
      <c r="R153" s="2" t="inlineStr">
        <is>
          <t>Barrviolspindling</t>
        </is>
      </c>
      <c r="S153">
        <f>HYPERLINK("https://klasma.github.io/Logging_0980/artfynd/A 31239-2022 artfynd.xlsx", "A 31239-2022")</f>
        <v/>
      </c>
      <c r="T153">
        <f>HYPERLINK("https://klasma.github.io/Logging_0980/kartor/A 31239-2022 karta.png", "A 31239-2022")</f>
        <v/>
      </c>
      <c r="V153">
        <f>HYPERLINK("https://klasma.github.io/Logging_0980/klagomål/A 31239-2022 FSC-klagomål.docx", "A 31239-2022")</f>
        <v/>
      </c>
      <c r="W153">
        <f>HYPERLINK("https://klasma.github.io/Logging_0980/klagomålsmail/A 31239-2022 FSC-klagomål mail.docx", "A 31239-2022")</f>
        <v/>
      </c>
      <c r="X153">
        <f>HYPERLINK("https://klasma.github.io/Logging_0980/tillsyn/A 31239-2022 tillsynsbegäran.docx", "A 31239-2022")</f>
        <v/>
      </c>
      <c r="Y153">
        <f>HYPERLINK("https://klasma.github.io/Logging_0980/tillsynsmail/A 31239-2022 tillsynsbegäran mail.docx", "A 31239-2022")</f>
        <v/>
      </c>
    </row>
    <row r="154" ht="15" customHeight="1">
      <c r="A154" t="inlineStr">
        <is>
          <t>A 17354-2022</t>
        </is>
      </c>
      <c r="B154" s="1" t="n">
        <v>44678</v>
      </c>
      <c r="C154" s="1" t="n">
        <v>46201</v>
      </c>
      <c r="D154" t="inlineStr">
        <is>
          <t>GOTLANDS LÄN</t>
        </is>
      </c>
      <c r="E154" t="inlineStr">
        <is>
          <t>GOTLAND</t>
        </is>
      </c>
      <c r="G154" t="n">
        <v>7.1</v>
      </c>
      <c r="H154" t="n">
        <v>0</v>
      </c>
      <c r="I154" t="n">
        <v>0</v>
      </c>
      <c r="J154" t="n">
        <v>1</v>
      </c>
      <c r="K154" t="n">
        <v>0</v>
      </c>
      <c r="L154" t="n">
        <v>0</v>
      </c>
      <c r="M154" t="n">
        <v>0</v>
      </c>
      <c r="N154" t="n">
        <v>0</v>
      </c>
      <c r="O154" t="n">
        <v>1</v>
      </c>
      <c r="P154" t="n">
        <v>0</v>
      </c>
      <c r="Q154" t="n">
        <v>1</v>
      </c>
      <c r="R154" s="2" t="inlineStr">
        <is>
          <t>Grådådra</t>
        </is>
      </c>
      <c r="S154">
        <f>HYPERLINK("https://klasma.github.io/Logging_0980/artfynd/A 17354-2022 artfynd.xlsx", "A 17354-2022")</f>
        <v/>
      </c>
      <c r="T154">
        <f>HYPERLINK("https://klasma.github.io/Logging_0980/kartor/A 17354-2022 karta.png", "A 17354-2022")</f>
        <v/>
      </c>
      <c r="V154">
        <f>HYPERLINK("https://klasma.github.io/Logging_0980/klagomål/A 17354-2022 FSC-klagomål.docx", "A 17354-2022")</f>
        <v/>
      </c>
      <c r="W154">
        <f>HYPERLINK("https://klasma.github.io/Logging_0980/klagomålsmail/A 17354-2022 FSC-klagomål mail.docx", "A 17354-2022")</f>
        <v/>
      </c>
      <c r="X154">
        <f>HYPERLINK("https://klasma.github.io/Logging_0980/tillsyn/A 17354-2022 tillsynsbegäran.docx", "A 17354-2022")</f>
        <v/>
      </c>
      <c r="Y154">
        <f>HYPERLINK("https://klasma.github.io/Logging_0980/tillsynsmail/A 17354-2022 tillsynsbegäran mail.docx", "A 17354-2022")</f>
        <v/>
      </c>
    </row>
    <row r="155" ht="15" customHeight="1">
      <c r="A155" t="inlineStr">
        <is>
          <t>A 63229-2021</t>
        </is>
      </c>
      <c r="B155" s="1" t="n">
        <v>44508</v>
      </c>
      <c r="C155" s="1" t="n">
        <v>46201</v>
      </c>
      <c r="D155" t="inlineStr">
        <is>
          <t>GOTLANDS LÄN</t>
        </is>
      </c>
      <c r="E155" t="inlineStr">
        <is>
          <t>GOTLAND</t>
        </is>
      </c>
      <c r="F155" t="inlineStr">
        <is>
          <t>Kyrkan</t>
        </is>
      </c>
      <c r="G155" t="n">
        <v>3.8</v>
      </c>
      <c r="H155" t="n">
        <v>0</v>
      </c>
      <c r="I155" t="n">
        <v>0</v>
      </c>
      <c r="J155" t="n">
        <v>1</v>
      </c>
      <c r="K155" t="n">
        <v>0</v>
      </c>
      <c r="L155" t="n">
        <v>0</v>
      </c>
      <c r="M155" t="n">
        <v>0</v>
      </c>
      <c r="N155" t="n">
        <v>0</v>
      </c>
      <c r="O155" t="n">
        <v>1</v>
      </c>
      <c r="P155" t="n">
        <v>0</v>
      </c>
      <c r="Q155" t="n">
        <v>1</v>
      </c>
      <c r="R155" s="2" t="inlineStr">
        <is>
          <t>Backtimjan</t>
        </is>
      </c>
      <c r="S155">
        <f>HYPERLINK("https://klasma.github.io/Logging_0980/artfynd/A 63229-2021 artfynd.xlsx", "A 63229-2021")</f>
        <v/>
      </c>
      <c r="T155">
        <f>HYPERLINK("https://klasma.github.io/Logging_0980/kartor/A 63229-2021 karta.png", "A 63229-2021")</f>
        <v/>
      </c>
      <c r="V155">
        <f>HYPERLINK("https://klasma.github.io/Logging_0980/klagomål/A 63229-2021 FSC-klagomål.docx", "A 63229-2021")</f>
        <v/>
      </c>
      <c r="W155">
        <f>HYPERLINK("https://klasma.github.io/Logging_0980/klagomålsmail/A 63229-2021 FSC-klagomål mail.docx", "A 63229-2021")</f>
        <v/>
      </c>
      <c r="X155">
        <f>HYPERLINK("https://klasma.github.io/Logging_0980/tillsyn/A 63229-2021 tillsynsbegäran.docx", "A 63229-2021")</f>
        <v/>
      </c>
      <c r="Y155">
        <f>HYPERLINK("https://klasma.github.io/Logging_0980/tillsynsmail/A 63229-2021 tillsynsbegäran mail.docx", "A 63229-2021")</f>
        <v/>
      </c>
    </row>
    <row r="156" ht="15" customHeight="1">
      <c r="A156" t="inlineStr">
        <is>
          <t>A 24245-2022</t>
        </is>
      </c>
      <c r="B156" s="1" t="n">
        <v>44725</v>
      </c>
      <c r="C156" s="1" t="n">
        <v>46201</v>
      </c>
      <c r="D156" t="inlineStr">
        <is>
          <t>GOTLANDS LÄN</t>
        </is>
      </c>
      <c r="E156" t="inlineStr">
        <is>
          <t>GOTLAND</t>
        </is>
      </c>
      <c r="G156" t="n">
        <v>4.9</v>
      </c>
      <c r="H156" t="n">
        <v>0</v>
      </c>
      <c r="I156" t="n">
        <v>0</v>
      </c>
      <c r="J156" t="n">
        <v>0</v>
      </c>
      <c r="K156" t="n">
        <v>0</v>
      </c>
      <c r="L156" t="n">
        <v>1</v>
      </c>
      <c r="M156" t="n">
        <v>0</v>
      </c>
      <c r="N156" t="n">
        <v>0</v>
      </c>
      <c r="O156" t="n">
        <v>1</v>
      </c>
      <c r="P156" t="n">
        <v>1</v>
      </c>
      <c r="Q156" t="n">
        <v>1</v>
      </c>
      <c r="R156" s="2" t="inlineStr">
        <is>
          <t>Slät taggsvamp</t>
        </is>
      </c>
      <c r="S156">
        <f>HYPERLINK("https://klasma.github.io/Logging_0980/artfynd/A 24245-2022 artfynd.xlsx", "A 24245-2022")</f>
        <v/>
      </c>
      <c r="T156">
        <f>HYPERLINK("https://klasma.github.io/Logging_0980/kartor/A 24245-2022 karta.png", "A 24245-2022")</f>
        <v/>
      </c>
      <c r="V156">
        <f>HYPERLINK("https://klasma.github.io/Logging_0980/klagomål/A 24245-2022 FSC-klagomål.docx", "A 24245-2022")</f>
        <v/>
      </c>
      <c r="W156">
        <f>HYPERLINK("https://klasma.github.io/Logging_0980/klagomålsmail/A 24245-2022 FSC-klagomål mail.docx", "A 24245-2022")</f>
        <v/>
      </c>
      <c r="X156">
        <f>HYPERLINK("https://klasma.github.io/Logging_0980/tillsyn/A 24245-2022 tillsynsbegäran.docx", "A 24245-2022")</f>
        <v/>
      </c>
      <c r="Y156">
        <f>HYPERLINK("https://klasma.github.io/Logging_0980/tillsynsmail/A 24245-2022 tillsynsbegäran mail.docx", "A 24245-2022")</f>
        <v/>
      </c>
    </row>
    <row r="157" ht="15" customHeight="1">
      <c r="A157" t="inlineStr">
        <is>
          <t>A 22883-2024</t>
        </is>
      </c>
      <c r="B157" s="1" t="n">
        <v>45448</v>
      </c>
      <c r="C157" s="1" t="n">
        <v>46201</v>
      </c>
      <c r="D157" t="inlineStr">
        <is>
          <t>GOTLANDS LÄN</t>
        </is>
      </c>
      <c r="E157" t="inlineStr">
        <is>
          <t>GOTLAND</t>
        </is>
      </c>
      <c r="G157" t="n">
        <v>0.5</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22883-2024 artfynd.xlsx", "A 22883-2024")</f>
        <v/>
      </c>
      <c r="T157">
        <f>HYPERLINK("https://klasma.github.io/Logging_0980/kartor/A 22883-2024 karta.png", "A 22883-2024")</f>
        <v/>
      </c>
      <c r="V157">
        <f>HYPERLINK("https://klasma.github.io/Logging_0980/klagomål/A 22883-2024 FSC-klagomål.docx", "A 22883-2024")</f>
        <v/>
      </c>
      <c r="W157">
        <f>HYPERLINK("https://klasma.github.io/Logging_0980/klagomålsmail/A 22883-2024 FSC-klagomål mail.docx", "A 22883-2024")</f>
        <v/>
      </c>
      <c r="X157">
        <f>HYPERLINK("https://klasma.github.io/Logging_0980/tillsyn/A 22883-2024 tillsynsbegäran.docx", "A 22883-2024")</f>
        <v/>
      </c>
      <c r="Y157">
        <f>HYPERLINK("https://klasma.github.io/Logging_0980/tillsynsmail/A 22883-2024 tillsynsbegäran mail.docx", "A 22883-2024")</f>
        <v/>
      </c>
    </row>
    <row r="158" ht="15" customHeight="1">
      <c r="A158" t="inlineStr">
        <is>
          <t>A 40294-2022</t>
        </is>
      </c>
      <c r="B158" s="1" t="n">
        <v>44821</v>
      </c>
      <c r="C158" s="1" t="n">
        <v>46201</v>
      </c>
      <c r="D158" t="inlineStr">
        <is>
          <t>GOTLANDS LÄN</t>
        </is>
      </c>
      <c r="E158" t="inlineStr">
        <is>
          <t>GOTLAND</t>
        </is>
      </c>
      <c r="G158" t="n">
        <v>1.6</v>
      </c>
      <c r="H158" t="n">
        <v>0</v>
      </c>
      <c r="I158" t="n">
        <v>0</v>
      </c>
      <c r="J158" t="n">
        <v>0</v>
      </c>
      <c r="K158" t="n">
        <v>1</v>
      </c>
      <c r="L158" t="n">
        <v>0</v>
      </c>
      <c r="M158" t="n">
        <v>0</v>
      </c>
      <c r="N158" t="n">
        <v>0</v>
      </c>
      <c r="O158" t="n">
        <v>1</v>
      </c>
      <c r="P158" t="n">
        <v>1</v>
      </c>
      <c r="Q158" t="n">
        <v>1</v>
      </c>
      <c r="R158" s="2" t="inlineStr">
        <is>
          <t>Gotlandsmåra</t>
        </is>
      </c>
      <c r="S158">
        <f>HYPERLINK("https://klasma.github.io/Logging_0980/artfynd/A 40294-2022 artfynd.xlsx", "A 40294-2022")</f>
        <v/>
      </c>
      <c r="T158">
        <f>HYPERLINK("https://klasma.github.io/Logging_0980/kartor/A 40294-2022 karta.png", "A 40294-2022")</f>
        <v/>
      </c>
      <c r="V158">
        <f>HYPERLINK("https://klasma.github.io/Logging_0980/klagomål/A 40294-2022 FSC-klagomål.docx", "A 40294-2022")</f>
        <v/>
      </c>
      <c r="W158">
        <f>HYPERLINK("https://klasma.github.io/Logging_0980/klagomålsmail/A 40294-2022 FSC-klagomål mail.docx", "A 40294-2022")</f>
        <v/>
      </c>
      <c r="X158">
        <f>HYPERLINK("https://klasma.github.io/Logging_0980/tillsyn/A 40294-2022 tillsynsbegäran.docx", "A 40294-2022")</f>
        <v/>
      </c>
      <c r="Y158">
        <f>HYPERLINK("https://klasma.github.io/Logging_0980/tillsynsmail/A 40294-2022 tillsynsbegäran mail.docx", "A 40294-2022")</f>
        <v/>
      </c>
    </row>
    <row r="159" ht="15" customHeight="1">
      <c r="A159" t="inlineStr">
        <is>
          <t>A 27602-2023</t>
        </is>
      </c>
      <c r="B159" s="1" t="n">
        <v>45097</v>
      </c>
      <c r="C159" s="1" t="n">
        <v>46201</v>
      </c>
      <c r="D159" t="inlineStr">
        <is>
          <t>GOTLANDS LÄN</t>
        </is>
      </c>
      <c r="E159" t="inlineStr">
        <is>
          <t>GOTLAND</t>
        </is>
      </c>
      <c r="G159" t="n">
        <v>2.7</v>
      </c>
      <c r="H159" t="n">
        <v>1</v>
      </c>
      <c r="I159" t="n">
        <v>0</v>
      </c>
      <c r="J159" t="n">
        <v>0</v>
      </c>
      <c r="K159" t="n">
        <v>0</v>
      </c>
      <c r="L159" t="n">
        <v>0</v>
      </c>
      <c r="M159" t="n">
        <v>0</v>
      </c>
      <c r="N159" t="n">
        <v>0</v>
      </c>
      <c r="O159" t="n">
        <v>0</v>
      </c>
      <c r="P159" t="n">
        <v>0</v>
      </c>
      <c r="Q159" t="n">
        <v>1</v>
      </c>
      <c r="R159" s="2" t="inlineStr">
        <is>
          <t>Blåsippa</t>
        </is>
      </c>
      <c r="S159">
        <f>HYPERLINK("https://klasma.github.io/Logging_0980/artfynd/A 27602-2023 artfynd.xlsx", "A 27602-2023")</f>
        <v/>
      </c>
      <c r="T159">
        <f>HYPERLINK("https://klasma.github.io/Logging_0980/kartor/A 27602-2023 karta.png", "A 27602-2023")</f>
        <v/>
      </c>
      <c r="V159">
        <f>HYPERLINK("https://klasma.github.io/Logging_0980/klagomål/A 27602-2023 FSC-klagomål.docx", "A 27602-2023")</f>
        <v/>
      </c>
      <c r="W159">
        <f>HYPERLINK("https://klasma.github.io/Logging_0980/klagomålsmail/A 27602-2023 FSC-klagomål mail.docx", "A 27602-2023")</f>
        <v/>
      </c>
      <c r="X159">
        <f>HYPERLINK("https://klasma.github.io/Logging_0980/tillsyn/A 27602-2023 tillsynsbegäran.docx", "A 27602-2023")</f>
        <v/>
      </c>
      <c r="Y159">
        <f>HYPERLINK("https://klasma.github.io/Logging_0980/tillsynsmail/A 27602-2023 tillsynsbegäran mail.docx", "A 27602-2023")</f>
        <v/>
      </c>
    </row>
    <row r="160" ht="15" customHeight="1">
      <c r="A160" t="inlineStr">
        <is>
          <t>A 27593-2023</t>
        </is>
      </c>
      <c r="B160" s="1" t="n">
        <v>45097</v>
      </c>
      <c r="C160" s="1" t="n">
        <v>46201</v>
      </c>
      <c r="D160" t="inlineStr">
        <is>
          <t>GOTLANDS LÄN</t>
        </is>
      </c>
      <c r="E160" t="inlineStr">
        <is>
          <t>GOTLAND</t>
        </is>
      </c>
      <c r="G160" t="n">
        <v>3.1</v>
      </c>
      <c r="H160" t="n">
        <v>1</v>
      </c>
      <c r="I160" t="n">
        <v>0</v>
      </c>
      <c r="J160" t="n">
        <v>0</v>
      </c>
      <c r="K160" t="n">
        <v>0</v>
      </c>
      <c r="L160" t="n">
        <v>1</v>
      </c>
      <c r="M160" t="n">
        <v>0</v>
      </c>
      <c r="N160" t="n">
        <v>0</v>
      </c>
      <c r="O160" t="n">
        <v>1</v>
      </c>
      <c r="P160" t="n">
        <v>1</v>
      </c>
      <c r="Q160" t="n">
        <v>1</v>
      </c>
      <c r="R160" s="2" t="inlineStr">
        <is>
          <t>Spjutsporre</t>
        </is>
      </c>
      <c r="S160">
        <f>HYPERLINK("https://klasma.github.io/Logging_0980/artfynd/A 27593-2023 artfynd.xlsx", "A 27593-2023")</f>
        <v/>
      </c>
      <c r="T160">
        <f>HYPERLINK("https://klasma.github.io/Logging_0980/kartor/A 27593-2023 karta.png", "A 27593-2023")</f>
        <v/>
      </c>
      <c r="V160">
        <f>HYPERLINK("https://klasma.github.io/Logging_0980/klagomål/A 27593-2023 FSC-klagomål.docx", "A 27593-2023")</f>
        <v/>
      </c>
      <c r="W160">
        <f>HYPERLINK("https://klasma.github.io/Logging_0980/klagomålsmail/A 27593-2023 FSC-klagomål mail.docx", "A 27593-2023")</f>
        <v/>
      </c>
      <c r="X160">
        <f>HYPERLINK("https://klasma.github.io/Logging_0980/tillsyn/A 27593-2023 tillsynsbegäran.docx", "A 27593-2023")</f>
        <v/>
      </c>
      <c r="Y160">
        <f>HYPERLINK("https://klasma.github.io/Logging_0980/tillsynsmail/A 27593-2023 tillsynsbegäran mail.docx", "A 27593-2023")</f>
        <v/>
      </c>
    </row>
    <row r="161" ht="15" customHeight="1">
      <c r="A161" t="inlineStr">
        <is>
          <t>A 44088-2022</t>
        </is>
      </c>
      <c r="B161" s="1" t="n">
        <v>44839</v>
      </c>
      <c r="C161" s="1" t="n">
        <v>46201</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947-2023</t>
        </is>
      </c>
      <c r="B162" s="1" t="n">
        <v>44934</v>
      </c>
      <c r="C162" s="1" t="n">
        <v>46201</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69112-2021</t>
        </is>
      </c>
      <c r="B163" s="1" t="n">
        <v>44530</v>
      </c>
      <c r="C163" s="1" t="n">
        <v>46201</v>
      </c>
      <c r="D163" t="inlineStr">
        <is>
          <t>GOTLANDS LÄN</t>
        </is>
      </c>
      <c r="E163" t="inlineStr">
        <is>
          <t>GOTLAND</t>
        </is>
      </c>
      <c r="G163" t="n">
        <v>4.2</v>
      </c>
      <c r="H163" t="n">
        <v>0</v>
      </c>
      <c r="I163" t="n">
        <v>0</v>
      </c>
      <c r="J163" t="n">
        <v>1</v>
      </c>
      <c r="K163" t="n">
        <v>0</v>
      </c>
      <c r="L163" t="n">
        <v>0</v>
      </c>
      <c r="M163" t="n">
        <v>0</v>
      </c>
      <c r="N163" t="n">
        <v>0</v>
      </c>
      <c r="O163" t="n">
        <v>1</v>
      </c>
      <c r="P163" t="n">
        <v>0</v>
      </c>
      <c r="Q163" t="n">
        <v>1</v>
      </c>
      <c r="R163" s="2" t="inlineStr">
        <is>
          <t>Sårläka</t>
        </is>
      </c>
      <c r="S163">
        <f>HYPERLINK("https://klasma.github.io/Logging_0980/artfynd/A 69112-2021 artfynd.xlsx", "A 69112-2021")</f>
        <v/>
      </c>
      <c r="T163">
        <f>HYPERLINK("https://klasma.github.io/Logging_0980/kartor/A 69112-2021 karta.png", "A 69112-2021")</f>
        <v/>
      </c>
      <c r="V163">
        <f>HYPERLINK("https://klasma.github.io/Logging_0980/klagomål/A 69112-2021 FSC-klagomål.docx", "A 69112-2021")</f>
        <v/>
      </c>
      <c r="W163">
        <f>HYPERLINK("https://klasma.github.io/Logging_0980/klagomålsmail/A 69112-2021 FSC-klagomål mail.docx", "A 69112-2021")</f>
        <v/>
      </c>
      <c r="X163">
        <f>HYPERLINK("https://klasma.github.io/Logging_0980/tillsyn/A 69112-2021 tillsynsbegäran.docx", "A 69112-2021")</f>
        <v/>
      </c>
      <c r="Y163">
        <f>HYPERLINK("https://klasma.github.io/Logging_0980/tillsynsmail/A 69112-2021 tillsynsbegäran mail.docx", "A 69112-2021")</f>
        <v/>
      </c>
    </row>
    <row r="164" ht="15" customHeight="1">
      <c r="A164" t="inlineStr">
        <is>
          <t>A 46189-2022</t>
        </is>
      </c>
      <c r="B164" s="1" t="n">
        <v>44847</v>
      </c>
      <c r="C164" s="1" t="n">
        <v>46201</v>
      </c>
      <c r="D164" t="inlineStr">
        <is>
          <t>GOTLANDS LÄN</t>
        </is>
      </c>
      <c r="E164" t="inlineStr">
        <is>
          <t>GOTLAND</t>
        </is>
      </c>
      <c r="G164" t="n">
        <v>0.4</v>
      </c>
      <c r="H164" t="n">
        <v>0</v>
      </c>
      <c r="I164" t="n">
        <v>0</v>
      </c>
      <c r="J164" t="n">
        <v>1</v>
      </c>
      <c r="K164" t="n">
        <v>0</v>
      </c>
      <c r="L164" t="n">
        <v>0</v>
      </c>
      <c r="M164" t="n">
        <v>0</v>
      </c>
      <c r="N164" t="n">
        <v>0</v>
      </c>
      <c r="O164" t="n">
        <v>1</v>
      </c>
      <c r="P164" t="n">
        <v>0</v>
      </c>
      <c r="Q164" t="n">
        <v>1</v>
      </c>
      <c r="R164" s="2" t="inlineStr">
        <is>
          <t>Stjälkröksvamp</t>
        </is>
      </c>
      <c r="S164">
        <f>HYPERLINK("https://klasma.github.io/Logging_0980/artfynd/A 46189-2022 artfynd.xlsx", "A 46189-2022")</f>
        <v/>
      </c>
      <c r="T164">
        <f>HYPERLINK("https://klasma.github.io/Logging_0980/kartor/A 46189-2022 karta.png", "A 46189-2022")</f>
        <v/>
      </c>
      <c r="V164">
        <f>HYPERLINK("https://klasma.github.io/Logging_0980/klagomål/A 46189-2022 FSC-klagomål.docx", "A 46189-2022")</f>
        <v/>
      </c>
      <c r="W164">
        <f>HYPERLINK("https://klasma.github.io/Logging_0980/klagomålsmail/A 46189-2022 FSC-klagomål mail.docx", "A 46189-2022")</f>
        <v/>
      </c>
      <c r="X164">
        <f>HYPERLINK("https://klasma.github.io/Logging_0980/tillsyn/A 46189-2022 tillsynsbegäran.docx", "A 46189-2022")</f>
        <v/>
      </c>
      <c r="Y164">
        <f>HYPERLINK("https://klasma.github.io/Logging_0980/tillsynsmail/A 46189-2022 tillsynsbegäran mail.docx", "A 46189-2022")</f>
        <v/>
      </c>
    </row>
    <row r="165" ht="15" customHeight="1">
      <c r="A165" t="inlineStr">
        <is>
          <t>A 5751-2024</t>
        </is>
      </c>
      <c r="B165" s="1" t="n">
        <v>45335</v>
      </c>
      <c r="C165" s="1" t="n">
        <v>46201</v>
      </c>
      <c r="D165" t="inlineStr">
        <is>
          <t>GOTLANDS LÄN</t>
        </is>
      </c>
      <c r="E165" t="inlineStr">
        <is>
          <t>GOTLAND</t>
        </is>
      </c>
      <c r="G165" t="n">
        <v>4.2</v>
      </c>
      <c r="H165" t="n">
        <v>0</v>
      </c>
      <c r="I165" t="n">
        <v>0</v>
      </c>
      <c r="J165" t="n">
        <v>1</v>
      </c>
      <c r="K165" t="n">
        <v>0</v>
      </c>
      <c r="L165" t="n">
        <v>0</v>
      </c>
      <c r="M165" t="n">
        <v>0</v>
      </c>
      <c r="N165" t="n">
        <v>0</v>
      </c>
      <c r="O165" t="n">
        <v>1</v>
      </c>
      <c r="P165" t="n">
        <v>0</v>
      </c>
      <c r="Q165" t="n">
        <v>1</v>
      </c>
      <c r="R165" s="2" t="inlineStr">
        <is>
          <t>Svinrot</t>
        </is>
      </c>
      <c r="S165">
        <f>HYPERLINK("https://klasma.github.io/Logging_0980/artfynd/A 5751-2024 artfynd.xlsx", "A 5751-2024")</f>
        <v/>
      </c>
      <c r="T165">
        <f>HYPERLINK("https://klasma.github.io/Logging_0980/kartor/A 5751-2024 karta.png", "A 5751-2024")</f>
        <v/>
      </c>
      <c r="V165">
        <f>HYPERLINK("https://klasma.github.io/Logging_0980/klagomål/A 5751-2024 FSC-klagomål.docx", "A 5751-2024")</f>
        <v/>
      </c>
      <c r="W165">
        <f>HYPERLINK("https://klasma.github.io/Logging_0980/klagomålsmail/A 5751-2024 FSC-klagomål mail.docx", "A 5751-2024")</f>
        <v/>
      </c>
      <c r="X165">
        <f>HYPERLINK("https://klasma.github.io/Logging_0980/tillsyn/A 5751-2024 tillsynsbegäran.docx", "A 5751-2024")</f>
        <v/>
      </c>
      <c r="Y165">
        <f>HYPERLINK("https://klasma.github.io/Logging_0980/tillsynsmail/A 5751-2024 tillsynsbegäran mail.docx", "A 5751-2024")</f>
        <v/>
      </c>
    </row>
    <row r="166" ht="15" customHeight="1">
      <c r="A166" t="inlineStr">
        <is>
          <t>A 49693-2023</t>
        </is>
      </c>
      <c r="B166" s="1" t="n">
        <v>45212</v>
      </c>
      <c r="C166" s="1" t="n">
        <v>46201</v>
      </c>
      <c r="D166" t="inlineStr">
        <is>
          <t>GOTLANDS LÄN</t>
        </is>
      </c>
      <c r="E166" t="inlineStr">
        <is>
          <t>GOTLAND</t>
        </is>
      </c>
      <c r="G166" t="n">
        <v>2.4</v>
      </c>
      <c r="H166" t="n">
        <v>0</v>
      </c>
      <c r="I166" t="n">
        <v>0</v>
      </c>
      <c r="J166" t="n">
        <v>0</v>
      </c>
      <c r="K166" t="n">
        <v>1</v>
      </c>
      <c r="L166" t="n">
        <v>0</v>
      </c>
      <c r="M166" t="n">
        <v>0</v>
      </c>
      <c r="N166" t="n">
        <v>0</v>
      </c>
      <c r="O166" t="n">
        <v>1</v>
      </c>
      <c r="P166" t="n">
        <v>1</v>
      </c>
      <c r="Q166" t="n">
        <v>1</v>
      </c>
      <c r="R166" s="2" t="inlineStr">
        <is>
          <t>Vit taggsvamp</t>
        </is>
      </c>
      <c r="S166">
        <f>HYPERLINK("https://klasma.github.io/Logging_0980/artfynd/A 49693-2023 artfynd.xlsx", "A 49693-2023")</f>
        <v/>
      </c>
      <c r="T166">
        <f>HYPERLINK("https://klasma.github.io/Logging_0980/kartor/A 49693-2023 karta.png", "A 49693-2023")</f>
        <v/>
      </c>
      <c r="V166">
        <f>HYPERLINK("https://klasma.github.io/Logging_0980/klagomål/A 49693-2023 FSC-klagomål.docx", "A 49693-2023")</f>
        <v/>
      </c>
      <c r="W166">
        <f>HYPERLINK("https://klasma.github.io/Logging_0980/klagomålsmail/A 49693-2023 FSC-klagomål mail.docx", "A 49693-2023")</f>
        <v/>
      </c>
      <c r="X166">
        <f>HYPERLINK("https://klasma.github.io/Logging_0980/tillsyn/A 49693-2023 tillsynsbegäran.docx", "A 49693-2023")</f>
        <v/>
      </c>
      <c r="Y166">
        <f>HYPERLINK("https://klasma.github.io/Logging_0980/tillsynsmail/A 49693-2023 tillsynsbegäran mail.docx", "A 49693-2023")</f>
        <v/>
      </c>
    </row>
    <row r="167" ht="15" customHeight="1">
      <c r="A167" t="inlineStr">
        <is>
          <t>A 1477-2024</t>
        </is>
      </c>
      <c r="B167" s="1" t="n">
        <v>45305</v>
      </c>
      <c r="C167" s="1" t="n">
        <v>46201</v>
      </c>
      <c r="D167" t="inlineStr">
        <is>
          <t>GOTLANDS LÄN</t>
        </is>
      </c>
      <c r="E167" t="inlineStr">
        <is>
          <t>GOTLAND</t>
        </is>
      </c>
      <c r="G167" t="n">
        <v>6.9</v>
      </c>
      <c r="H167" t="n">
        <v>0</v>
      </c>
      <c r="I167" t="n">
        <v>0</v>
      </c>
      <c r="J167" t="n">
        <v>0</v>
      </c>
      <c r="K167" t="n">
        <v>1</v>
      </c>
      <c r="L167" t="n">
        <v>0</v>
      </c>
      <c r="M167" t="n">
        <v>0</v>
      </c>
      <c r="N167" t="n">
        <v>0</v>
      </c>
      <c r="O167" t="n">
        <v>1</v>
      </c>
      <c r="P167" t="n">
        <v>1</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7042-2023</t>
        </is>
      </c>
      <c r="B168" s="1" t="n">
        <v>44968</v>
      </c>
      <c r="C168" s="1" t="n">
        <v>46201</v>
      </c>
      <c r="D168" t="inlineStr">
        <is>
          <t>GOTLANDS LÄN</t>
        </is>
      </c>
      <c r="E168" t="inlineStr">
        <is>
          <t>GOTLAND</t>
        </is>
      </c>
      <c r="G168" t="n">
        <v>0.7</v>
      </c>
      <c r="H168" t="n">
        <v>1</v>
      </c>
      <c r="I168" t="n">
        <v>1</v>
      </c>
      <c r="J168" t="n">
        <v>0</v>
      </c>
      <c r="K168" t="n">
        <v>0</v>
      </c>
      <c r="L168" t="n">
        <v>0</v>
      </c>
      <c r="M168" t="n">
        <v>0</v>
      </c>
      <c r="N168" t="n">
        <v>0</v>
      </c>
      <c r="O168" t="n">
        <v>0</v>
      </c>
      <c r="P168" t="n">
        <v>0</v>
      </c>
      <c r="Q168" t="n">
        <v>1</v>
      </c>
      <c r="R168" s="2" t="inlineStr">
        <is>
          <t>Purpurknipprot</t>
        </is>
      </c>
      <c r="S168">
        <f>HYPERLINK("https://klasma.github.io/Logging_0980/artfynd/A 7042-2023 artfynd.xlsx", "A 7042-2023")</f>
        <v/>
      </c>
      <c r="T168">
        <f>HYPERLINK("https://klasma.github.io/Logging_0980/kartor/A 7042-2023 karta.png", "A 7042-2023")</f>
        <v/>
      </c>
      <c r="V168">
        <f>HYPERLINK("https://klasma.github.io/Logging_0980/klagomål/A 7042-2023 FSC-klagomål.docx", "A 7042-2023")</f>
        <v/>
      </c>
      <c r="W168">
        <f>HYPERLINK("https://klasma.github.io/Logging_0980/klagomålsmail/A 7042-2023 FSC-klagomål mail.docx", "A 7042-2023")</f>
        <v/>
      </c>
      <c r="X168">
        <f>HYPERLINK("https://klasma.github.io/Logging_0980/tillsyn/A 7042-2023 tillsynsbegäran.docx", "A 7042-2023")</f>
        <v/>
      </c>
      <c r="Y168">
        <f>HYPERLINK("https://klasma.github.io/Logging_0980/tillsynsmail/A 7042-2023 tillsynsbegäran mail.docx", "A 7042-2023")</f>
        <v/>
      </c>
    </row>
    <row r="169" ht="15" customHeight="1">
      <c r="A169" t="inlineStr">
        <is>
          <t>A 49847-2023</t>
        </is>
      </c>
      <c r="B169" s="1" t="n">
        <v>45212</v>
      </c>
      <c r="C169" s="1" t="n">
        <v>46201</v>
      </c>
      <c r="D169" t="inlineStr">
        <is>
          <t>GOTLANDS LÄN</t>
        </is>
      </c>
      <c r="E169" t="inlineStr">
        <is>
          <t>GOTLAND</t>
        </is>
      </c>
      <c r="G169" t="n">
        <v>35.2</v>
      </c>
      <c r="H169" t="n">
        <v>0</v>
      </c>
      <c r="I169" t="n">
        <v>0</v>
      </c>
      <c r="J169" t="n">
        <v>0</v>
      </c>
      <c r="K169" t="n">
        <v>1</v>
      </c>
      <c r="L169" t="n">
        <v>0</v>
      </c>
      <c r="M169" t="n">
        <v>0</v>
      </c>
      <c r="N169" t="n">
        <v>0</v>
      </c>
      <c r="O169" t="n">
        <v>1</v>
      </c>
      <c r="P169" t="n">
        <v>1</v>
      </c>
      <c r="Q169" t="n">
        <v>1</v>
      </c>
      <c r="R169" s="2" t="inlineStr">
        <is>
          <t>Strandviol</t>
        </is>
      </c>
      <c r="S169">
        <f>HYPERLINK("https://klasma.github.io/Logging_0980/artfynd/A 49847-2023 artfynd.xlsx", "A 49847-2023")</f>
        <v/>
      </c>
      <c r="T169">
        <f>HYPERLINK("https://klasma.github.io/Logging_0980/kartor/A 49847-2023 karta.png", "A 49847-2023")</f>
        <v/>
      </c>
      <c r="V169">
        <f>HYPERLINK("https://klasma.github.io/Logging_0980/klagomål/A 49847-2023 FSC-klagomål.docx", "A 49847-2023")</f>
        <v/>
      </c>
      <c r="W169">
        <f>HYPERLINK("https://klasma.github.io/Logging_0980/klagomålsmail/A 49847-2023 FSC-klagomål mail.docx", "A 49847-2023")</f>
        <v/>
      </c>
      <c r="X169">
        <f>HYPERLINK("https://klasma.github.io/Logging_0980/tillsyn/A 49847-2023 tillsynsbegäran.docx", "A 49847-2023")</f>
        <v/>
      </c>
      <c r="Y169">
        <f>HYPERLINK("https://klasma.github.io/Logging_0980/tillsynsmail/A 49847-2023 tillsynsbegäran mail.docx", "A 49847-2023")</f>
        <v/>
      </c>
    </row>
    <row r="170" ht="15" customHeight="1">
      <c r="A170" t="inlineStr">
        <is>
          <t>A 46545-2024</t>
        </is>
      </c>
      <c r="B170" s="1" t="n">
        <v>45582</v>
      </c>
      <c r="C170" s="1" t="n">
        <v>46201</v>
      </c>
      <c r="D170" t="inlineStr">
        <is>
          <t>GOTLANDS LÄN</t>
        </is>
      </c>
      <c r="E170" t="inlineStr">
        <is>
          <t>GOTLAND</t>
        </is>
      </c>
      <c r="G170" t="n">
        <v>1.2</v>
      </c>
      <c r="H170" t="n">
        <v>0</v>
      </c>
      <c r="I170" t="n">
        <v>0</v>
      </c>
      <c r="J170" t="n">
        <v>0</v>
      </c>
      <c r="K170" t="n">
        <v>1</v>
      </c>
      <c r="L170" t="n">
        <v>0</v>
      </c>
      <c r="M170" t="n">
        <v>0</v>
      </c>
      <c r="N170" t="n">
        <v>0</v>
      </c>
      <c r="O170" t="n">
        <v>1</v>
      </c>
      <c r="P170" t="n">
        <v>1</v>
      </c>
      <c r="Q170" t="n">
        <v>1</v>
      </c>
      <c r="R170" s="2" t="inlineStr">
        <is>
          <t>Källnate</t>
        </is>
      </c>
      <c r="S170">
        <f>HYPERLINK("https://klasma.github.io/Logging_0980/artfynd/A 46545-2024 artfynd.xlsx", "A 46545-2024")</f>
        <v/>
      </c>
      <c r="T170">
        <f>HYPERLINK("https://klasma.github.io/Logging_0980/kartor/A 46545-2024 karta.png", "A 46545-2024")</f>
        <v/>
      </c>
      <c r="V170">
        <f>HYPERLINK("https://klasma.github.io/Logging_0980/klagomål/A 46545-2024 FSC-klagomål.docx", "A 46545-2024")</f>
        <v/>
      </c>
      <c r="W170">
        <f>HYPERLINK("https://klasma.github.io/Logging_0980/klagomålsmail/A 46545-2024 FSC-klagomål mail.docx", "A 46545-2024")</f>
        <v/>
      </c>
      <c r="X170">
        <f>HYPERLINK("https://klasma.github.io/Logging_0980/tillsyn/A 46545-2024 tillsynsbegäran.docx", "A 46545-2024")</f>
        <v/>
      </c>
      <c r="Y170">
        <f>HYPERLINK("https://klasma.github.io/Logging_0980/tillsynsmail/A 46545-2024 tillsynsbegäran mail.docx", "A 46545-2024")</f>
        <v/>
      </c>
    </row>
    <row r="171" ht="15" customHeight="1">
      <c r="A171" t="inlineStr">
        <is>
          <t>A 999-2023</t>
        </is>
      </c>
      <c r="B171" s="1" t="n">
        <v>44935</v>
      </c>
      <c r="C171" s="1" t="n">
        <v>46201</v>
      </c>
      <c r="D171" t="inlineStr">
        <is>
          <t>GOTLANDS LÄN</t>
        </is>
      </c>
      <c r="E171" t="inlineStr">
        <is>
          <t>GOTLAND</t>
        </is>
      </c>
      <c r="G171" t="n">
        <v>4.7</v>
      </c>
      <c r="H171" t="n">
        <v>1</v>
      </c>
      <c r="I171" t="n">
        <v>0</v>
      </c>
      <c r="J171" t="n">
        <v>0</v>
      </c>
      <c r="K171" t="n">
        <v>1</v>
      </c>
      <c r="L171" t="n">
        <v>0</v>
      </c>
      <c r="M171" t="n">
        <v>0</v>
      </c>
      <c r="N171" t="n">
        <v>0</v>
      </c>
      <c r="O171" t="n">
        <v>1</v>
      </c>
      <c r="P171" t="n">
        <v>1</v>
      </c>
      <c r="Q171" t="n">
        <v>1</v>
      </c>
      <c r="R171" s="2" t="inlineStr">
        <is>
          <t>Garderönn</t>
        </is>
      </c>
      <c r="S171">
        <f>HYPERLINK("https://klasma.github.io/Logging_0980/artfynd/A 999-2023 artfynd.xlsx", "A 999-2023")</f>
        <v/>
      </c>
      <c r="T171">
        <f>HYPERLINK("https://klasma.github.io/Logging_0980/kartor/A 999-2023 karta.png", "A 999-2023")</f>
        <v/>
      </c>
      <c r="V171">
        <f>HYPERLINK("https://klasma.github.io/Logging_0980/klagomål/A 999-2023 FSC-klagomål.docx", "A 999-2023")</f>
        <v/>
      </c>
      <c r="W171">
        <f>HYPERLINK("https://klasma.github.io/Logging_0980/klagomålsmail/A 999-2023 FSC-klagomål mail.docx", "A 999-2023")</f>
        <v/>
      </c>
      <c r="X171">
        <f>HYPERLINK("https://klasma.github.io/Logging_0980/tillsyn/A 999-2023 tillsynsbegäran.docx", "A 999-2023")</f>
        <v/>
      </c>
      <c r="Y171">
        <f>HYPERLINK("https://klasma.github.io/Logging_0980/tillsynsmail/A 999-2023 tillsynsbegäran mail.docx", "A 999-2023")</f>
        <v/>
      </c>
    </row>
    <row r="172" ht="15" customHeight="1">
      <c r="A172" t="inlineStr">
        <is>
          <t>A 57534-2022</t>
        </is>
      </c>
      <c r="B172" s="1" t="n">
        <v>44896</v>
      </c>
      <c r="C172" s="1" t="n">
        <v>46201</v>
      </c>
      <c r="D172" t="inlineStr">
        <is>
          <t>GOTLANDS LÄN</t>
        </is>
      </c>
      <c r="E172" t="inlineStr">
        <is>
          <t>GOTLAND</t>
        </is>
      </c>
      <c r="G172" t="n">
        <v>0.6</v>
      </c>
      <c r="H172" t="n">
        <v>0</v>
      </c>
      <c r="I172" t="n">
        <v>1</v>
      </c>
      <c r="J172" t="n">
        <v>0</v>
      </c>
      <c r="K172" t="n">
        <v>0</v>
      </c>
      <c r="L172" t="n">
        <v>0</v>
      </c>
      <c r="M172" t="n">
        <v>0</v>
      </c>
      <c r="N172" t="n">
        <v>0</v>
      </c>
      <c r="O172" t="n">
        <v>0</v>
      </c>
      <c r="P172" t="n">
        <v>0</v>
      </c>
      <c r="Q172" t="n">
        <v>1</v>
      </c>
      <c r="R172" s="2" t="inlineStr">
        <is>
          <t>Myskmadra</t>
        </is>
      </c>
      <c r="S172">
        <f>HYPERLINK("https://klasma.github.io/Logging_0980/artfynd/A 57534-2022 artfynd.xlsx", "A 57534-2022")</f>
        <v/>
      </c>
      <c r="T172">
        <f>HYPERLINK("https://klasma.github.io/Logging_0980/kartor/A 57534-2022 karta.png", "A 57534-2022")</f>
        <v/>
      </c>
      <c r="V172">
        <f>HYPERLINK("https://klasma.github.io/Logging_0980/klagomål/A 57534-2022 FSC-klagomål.docx", "A 57534-2022")</f>
        <v/>
      </c>
      <c r="W172">
        <f>HYPERLINK("https://klasma.github.io/Logging_0980/klagomålsmail/A 57534-2022 FSC-klagomål mail.docx", "A 57534-2022")</f>
        <v/>
      </c>
      <c r="X172">
        <f>HYPERLINK("https://klasma.github.io/Logging_0980/tillsyn/A 57534-2022 tillsynsbegäran.docx", "A 57534-2022")</f>
        <v/>
      </c>
      <c r="Y172">
        <f>HYPERLINK("https://klasma.github.io/Logging_0980/tillsynsmail/A 57534-2022 tillsynsbegäran mail.docx", "A 57534-2022")</f>
        <v/>
      </c>
    </row>
    <row r="173" ht="15" customHeight="1">
      <c r="A173" t="inlineStr">
        <is>
          <t>A 6303-2024</t>
        </is>
      </c>
      <c r="B173" s="1" t="n">
        <v>45338</v>
      </c>
      <c r="C173" s="1" t="n">
        <v>46201</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62552-2022</t>
        </is>
      </c>
      <c r="B174" s="1" t="n">
        <v>44924</v>
      </c>
      <c r="C174" s="1" t="n">
        <v>46201</v>
      </c>
      <c r="D174" t="inlineStr">
        <is>
          <t>GOTLANDS LÄN</t>
        </is>
      </c>
      <c r="E174" t="inlineStr">
        <is>
          <t>GOTLAND</t>
        </is>
      </c>
      <c r="G174" t="n">
        <v>1.6</v>
      </c>
      <c r="H174" t="n">
        <v>0</v>
      </c>
      <c r="I174" t="n">
        <v>0</v>
      </c>
      <c r="J174" t="n">
        <v>1</v>
      </c>
      <c r="K174" t="n">
        <v>0</v>
      </c>
      <c r="L174" t="n">
        <v>0</v>
      </c>
      <c r="M174" t="n">
        <v>0</v>
      </c>
      <c r="N174" t="n">
        <v>0</v>
      </c>
      <c r="O174" t="n">
        <v>1</v>
      </c>
      <c r="P174" t="n">
        <v>0</v>
      </c>
      <c r="Q174" t="n">
        <v>1</v>
      </c>
      <c r="R174" s="2" t="inlineStr">
        <is>
          <t>Äggspindling</t>
        </is>
      </c>
      <c r="S174">
        <f>HYPERLINK("https://klasma.github.io/Logging_0980/artfynd/A 62552-2022 artfynd.xlsx", "A 62552-2022")</f>
        <v/>
      </c>
      <c r="T174">
        <f>HYPERLINK("https://klasma.github.io/Logging_0980/kartor/A 62552-2022 karta.png", "A 62552-2022")</f>
        <v/>
      </c>
      <c r="V174">
        <f>HYPERLINK("https://klasma.github.io/Logging_0980/klagomål/A 62552-2022 FSC-klagomål.docx", "A 62552-2022")</f>
        <v/>
      </c>
      <c r="W174">
        <f>HYPERLINK("https://klasma.github.io/Logging_0980/klagomålsmail/A 62552-2022 FSC-klagomål mail.docx", "A 62552-2022")</f>
        <v/>
      </c>
      <c r="X174">
        <f>HYPERLINK("https://klasma.github.io/Logging_0980/tillsyn/A 62552-2022 tillsynsbegäran.docx", "A 62552-2022")</f>
        <v/>
      </c>
      <c r="Y174">
        <f>HYPERLINK("https://klasma.github.io/Logging_0980/tillsynsmail/A 62552-2022 tillsynsbegäran mail.docx", "A 62552-2022")</f>
        <v/>
      </c>
    </row>
    <row r="175" ht="15" customHeight="1">
      <c r="A175" t="inlineStr">
        <is>
          <t>A 1677-2023</t>
        </is>
      </c>
      <c r="B175" s="1" t="n">
        <v>44938</v>
      </c>
      <c r="C175" s="1" t="n">
        <v>46201</v>
      </c>
      <c r="D175" t="inlineStr">
        <is>
          <t>GOTLANDS LÄN</t>
        </is>
      </c>
      <c r="E175" t="inlineStr">
        <is>
          <t>GOTLAND</t>
        </is>
      </c>
      <c r="G175" t="n">
        <v>1.6</v>
      </c>
      <c r="H175" t="n">
        <v>0</v>
      </c>
      <c r="I175" t="n">
        <v>0</v>
      </c>
      <c r="J175" t="n">
        <v>1</v>
      </c>
      <c r="K175" t="n">
        <v>0</v>
      </c>
      <c r="L175" t="n">
        <v>0</v>
      </c>
      <c r="M175" t="n">
        <v>0</v>
      </c>
      <c r="N175" t="n">
        <v>0</v>
      </c>
      <c r="O175" t="n">
        <v>1</v>
      </c>
      <c r="P175" t="n">
        <v>0</v>
      </c>
      <c r="Q175" t="n">
        <v>1</v>
      </c>
      <c r="R175" s="2" t="inlineStr">
        <is>
          <t>Strandrosettmossa</t>
        </is>
      </c>
      <c r="S175">
        <f>HYPERLINK("https://klasma.github.io/Logging_0980/artfynd/A 1677-2023 artfynd.xlsx", "A 1677-2023")</f>
        <v/>
      </c>
      <c r="T175">
        <f>HYPERLINK("https://klasma.github.io/Logging_0980/kartor/A 1677-2023 karta.png", "A 1677-2023")</f>
        <v/>
      </c>
      <c r="V175">
        <f>HYPERLINK("https://klasma.github.io/Logging_0980/klagomål/A 1677-2023 FSC-klagomål.docx", "A 1677-2023")</f>
        <v/>
      </c>
      <c r="W175">
        <f>HYPERLINK("https://klasma.github.io/Logging_0980/klagomålsmail/A 1677-2023 FSC-klagomål mail.docx", "A 1677-2023")</f>
        <v/>
      </c>
      <c r="X175">
        <f>HYPERLINK("https://klasma.github.io/Logging_0980/tillsyn/A 1677-2023 tillsynsbegäran.docx", "A 1677-2023")</f>
        <v/>
      </c>
      <c r="Y175">
        <f>HYPERLINK("https://klasma.github.io/Logging_0980/tillsynsmail/A 1677-2023 tillsynsbegäran mail.docx", "A 1677-2023")</f>
        <v/>
      </c>
    </row>
    <row r="176" ht="15" customHeight="1">
      <c r="A176" t="inlineStr">
        <is>
          <t>A 25977-2024</t>
        </is>
      </c>
      <c r="B176" s="1" t="n">
        <v>45467</v>
      </c>
      <c r="C176" s="1" t="n">
        <v>46201</v>
      </c>
      <c r="D176" t="inlineStr">
        <is>
          <t>GOTLANDS LÄN</t>
        </is>
      </c>
      <c r="E176" t="inlineStr">
        <is>
          <t>GOTLAND</t>
        </is>
      </c>
      <c r="G176" t="n">
        <v>3</v>
      </c>
      <c r="H176" t="n">
        <v>1</v>
      </c>
      <c r="I176" t="n">
        <v>0</v>
      </c>
      <c r="J176" t="n">
        <v>0</v>
      </c>
      <c r="K176" t="n">
        <v>0</v>
      </c>
      <c r="L176" t="n">
        <v>0</v>
      </c>
      <c r="M176" t="n">
        <v>0</v>
      </c>
      <c r="N176" t="n">
        <v>0</v>
      </c>
      <c r="O176" t="n">
        <v>0</v>
      </c>
      <c r="P176" t="n">
        <v>0</v>
      </c>
      <c r="Q176" t="n">
        <v>1</v>
      </c>
      <c r="R176" s="2" t="inlineStr">
        <is>
          <t>Nattviol</t>
        </is>
      </c>
      <c r="S176">
        <f>HYPERLINK("https://klasma.github.io/Logging_0980/artfynd/A 25977-2024 artfynd.xlsx", "A 25977-2024")</f>
        <v/>
      </c>
      <c r="T176">
        <f>HYPERLINK("https://klasma.github.io/Logging_0980/kartor/A 25977-2024 karta.png", "A 25977-2024")</f>
        <v/>
      </c>
      <c r="V176">
        <f>HYPERLINK("https://klasma.github.io/Logging_0980/klagomål/A 25977-2024 FSC-klagomål.docx", "A 25977-2024")</f>
        <v/>
      </c>
      <c r="W176">
        <f>HYPERLINK("https://klasma.github.io/Logging_0980/klagomålsmail/A 25977-2024 FSC-klagomål mail.docx", "A 25977-2024")</f>
        <v/>
      </c>
      <c r="X176">
        <f>HYPERLINK("https://klasma.github.io/Logging_0980/tillsyn/A 25977-2024 tillsynsbegäran.docx", "A 25977-2024")</f>
        <v/>
      </c>
      <c r="Y176">
        <f>HYPERLINK("https://klasma.github.io/Logging_0980/tillsynsmail/A 25977-2024 tillsynsbegäran mail.docx", "A 25977-2024")</f>
        <v/>
      </c>
    </row>
    <row r="177" ht="15" customHeight="1">
      <c r="A177" t="inlineStr">
        <is>
          <t>A 62915-2021</t>
        </is>
      </c>
      <c r="B177" s="1" t="n">
        <v>44504</v>
      </c>
      <c r="C177" s="1" t="n">
        <v>46201</v>
      </c>
      <c r="D177" t="inlineStr">
        <is>
          <t>GOTLANDS LÄN</t>
        </is>
      </c>
      <c r="E177" t="inlineStr">
        <is>
          <t>GOTLAND</t>
        </is>
      </c>
      <c r="G177" t="n">
        <v>1.1</v>
      </c>
      <c r="H177" t="n">
        <v>1</v>
      </c>
      <c r="I177" t="n">
        <v>0</v>
      </c>
      <c r="J177" t="n">
        <v>0</v>
      </c>
      <c r="K177" t="n">
        <v>0</v>
      </c>
      <c r="L177" t="n">
        <v>0</v>
      </c>
      <c r="M177" t="n">
        <v>0</v>
      </c>
      <c r="N177" t="n">
        <v>0</v>
      </c>
      <c r="O177" t="n">
        <v>0</v>
      </c>
      <c r="P177" t="n">
        <v>0</v>
      </c>
      <c r="Q177" t="n">
        <v>1</v>
      </c>
      <c r="R177" s="2" t="inlineStr">
        <is>
          <t>Bredarun</t>
        </is>
      </c>
      <c r="S177">
        <f>HYPERLINK("https://klasma.github.io/Logging_0980/artfynd/A 62915-2021 artfynd.xlsx", "A 62915-2021")</f>
        <v/>
      </c>
      <c r="T177">
        <f>HYPERLINK("https://klasma.github.io/Logging_0980/kartor/A 62915-2021 karta.png", "A 62915-2021")</f>
        <v/>
      </c>
      <c r="V177">
        <f>HYPERLINK("https://klasma.github.io/Logging_0980/klagomål/A 62915-2021 FSC-klagomål.docx", "A 62915-2021")</f>
        <v/>
      </c>
      <c r="W177">
        <f>HYPERLINK("https://klasma.github.io/Logging_0980/klagomålsmail/A 62915-2021 FSC-klagomål mail.docx", "A 62915-2021")</f>
        <v/>
      </c>
      <c r="X177">
        <f>HYPERLINK("https://klasma.github.io/Logging_0980/tillsyn/A 62915-2021 tillsynsbegäran.docx", "A 62915-2021")</f>
        <v/>
      </c>
      <c r="Y177">
        <f>HYPERLINK("https://klasma.github.io/Logging_0980/tillsynsmail/A 62915-2021 tillsynsbegäran mail.docx", "A 62915-2021")</f>
        <v/>
      </c>
    </row>
    <row r="178" ht="15" customHeight="1">
      <c r="A178" t="inlineStr">
        <is>
          <t>A 7637-2025</t>
        </is>
      </c>
      <c r="B178" s="1" t="n">
        <v>45705</v>
      </c>
      <c r="C178" s="1" t="n">
        <v>46201</v>
      </c>
      <c r="D178" t="inlineStr">
        <is>
          <t>GOTLANDS LÄN</t>
        </is>
      </c>
      <c r="E178" t="inlineStr">
        <is>
          <t>GOTLAND</t>
        </is>
      </c>
      <c r="G178" t="n">
        <v>3.7</v>
      </c>
      <c r="H178" t="n">
        <v>0</v>
      </c>
      <c r="I178" t="n">
        <v>0</v>
      </c>
      <c r="J178" t="n">
        <v>0</v>
      </c>
      <c r="K178" t="n">
        <v>0</v>
      </c>
      <c r="L178" t="n">
        <v>1</v>
      </c>
      <c r="M178" t="n">
        <v>0</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6739-2025</t>
        </is>
      </c>
      <c r="B179" s="1" t="n">
        <v>45700</v>
      </c>
      <c r="C179" s="1" t="n">
        <v>46201</v>
      </c>
      <c r="D179" t="inlineStr">
        <is>
          <t>GOTLANDS LÄN</t>
        </is>
      </c>
      <c r="E179" t="inlineStr">
        <is>
          <t>GOTLAND</t>
        </is>
      </c>
      <c r="G179" t="n">
        <v>4.5</v>
      </c>
      <c r="H179" t="n">
        <v>1</v>
      </c>
      <c r="I179" t="n">
        <v>0</v>
      </c>
      <c r="J179" t="n">
        <v>0</v>
      </c>
      <c r="K179" t="n">
        <v>0</v>
      </c>
      <c r="L179" t="n">
        <v>0</v>
      </c>
      <c r="M179" t="n">
        <v>0</v>
      </c>
      <c r="N179" t="n">
        <v>0</v>
      </c>
      <c r="O179" t="n">
        <v>0</v>
      </c>
      <c r="P179" t="n">
        <v>0</v>
      </c>
      <c r="Q179" t="n">
        <v>1</v>
      </c>
      <c r="R179" s="2" t="inlineStr">
        <is>
          <t>Röd glada</t>
        </is>
      </c>
      <c r="S179">
        <f>HYPERLINK("https://klasma.github.io/Logging_0980/artfynd/A 6739-2025 artfynd.xlsx", "A 6739-2025")</f>
        <v/>
      </c>
      <c r="T179">
        <f>HYPERLINK("https://klasma.github.io/Logging_0980/kartor/A 6739-2025 karta.png", "A 6739-2025")</f>
        <v/>
      </c>
      <c r="V179">
        <f>HYPERLINK("https://klasma.github.io/Logging_0980/klagomål/A 6739-2025 FSC-klagomål.docx", "A 6739-2025")</f>
        <v/>
      </c>
      <c r="W179">
        <f>HYPERLINK("https://klasma.github.io/Logging_0980/klagomålsmail/A 6739-2025 FSC-klagomål mail.docx", "A 6739-2025")</f>
        <v/>
      </c>
      <c r="X179">
        <f>HYPERLINK("https://klasma.github.io/Logging_0980/tillsyn/A 6739-2025 tillsynsbegäran.docx", "A 6739-2025")</f>
        <v/>
      </c>
      <c r="Y179">
        <f>HYPERLINK("https://klasma.github.io/Logging_0980/tillsynsmail/A 6739-2025 tillsynsbegäran mail.docx", "A 6739-2025")</f>
        <v/>
      </c>
      <c r="Z179">
        <f>HYPERLINK("https://klasma.github.io/Logging_0980/fåglar/A 6739-2025 prioriterade fågelarter.docx", "A 6739-2025")</f>
        <v/>
      </c>
    </row>
    <row r="180" ht="15" customHeight="1">
      <c r="A180" t="inlineStr">
        <is>
          <t>A 56115-2023</t>
        </is>
      </c>
      <c r="B180" s="1" t="n">
        <v>45236</v>
      </c>
      <c r="C180" s="1" t="n">
        <v>46201</v>
      </c>
      <c r="D180" t="inlineStr">
        <is>
          <t>GOTLANDS LÄN</t>
        </is>
      </c>
      <c r="E180" t="inlineStr">
        <is>
          <t>GOTLAND</t>
        </is>
      </c>
      <c r="G180" t="n">
        <v>2</v>
      </c>
      <c r="H180" t="n">
        <v>1</v>
      </c>
      <c r="I180" t="n">
        <v>1</v>
      </c>
      <c r="J180" t="n">
        <v>0</v>
      </c>
      <c r="K180" t="n">
        <v>0</v>
      </c>
      <c r="L180" t="n">
        <v>0</v>
      </c>
      <c r="M180" t="n">
        <v>0</v>
      </c>
      <c r="N180" t="n">
        <v>0</v>
      </c>
      <c r="O180" t="n">
        <v>0</v>
      </c>
      <c r="P180" t="n">
        <v>0</v>
      </c>
      <c r="Q180" t="n">
        <v>1</v>
      </c>
      <c r="R180" s="2" t="inlineStr">
        <is>
          <t>Skogsknipprot</t>
        </is>
      </c>
      <c r="S180">
        <f>HYPERLINK("https://klasma.github.io/Logging_0980/artfynd/A 56115-2023 artfynd.xlsx", "A 56115-2023")</f>
        <v/>
      </c>
      <c r="T180">
        <f>HYPERLINK("https://klasma.github.io/Logging_0980/kartor/A 56115-2023 karta.png", "A 56115-2023")</f>
        <v/>
      </c>
      <c r="V180">
        <f>HYPERLINK("https://klasma.github.io/Logging_0980/klagomål/A 56115-2023 FSC-klagomål.docx", "A 56115-2023")</f>
        <v/>
      </c>
      <c r="W180">
        <f>HYPERLINK("https://klasma.github.io/Logging_0980/klagomålsmail/A 56115-2023 FSC-klagomål mail.docx", "A 56115-2023")</f>
        <v/>
      </c>
      <c r="X180">
        <f>HYPERLINK("https://klasma.github.io/Logging_0980/tillsyn/A 56115-2023 tillsynsbegäran.docx", "A 56115-2023")</f>
        <v/>
      </c>
      <c r="Y180">
        <f>HYPERLINK("https://klasma.github.io/Logging_0980/tillsynsmail/A 56115-2023 tillsynsbegäran mail.docx", "A 56115-2023")</f>
        <v/>
      </c>
    </row>
    <row r="181" ht="15" customHeight="1">
      <c r="A181" t="inlineStr">
        <is>
          <t>A 447-2023</t>
        </is>
      </c>
      <c r="B181" s="1" t="n">
        <v>44929</v>
      </c>
      <c r="C181" s="1" t="n">
        <v>46201</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1066-2024</t>
        </is>
      </c>
      <c r="B182" s="1" t="n">
        <v>45302</v>
      </c>
      <c r="C182" s="1" t="n">
        <v>46201</v>
      </c>
      <c r="D182" t="inlineStr">
        <is>
          <t>GOTLANDS LÄN</t>
        </is>
      </c>
      <c r="E182" t="inlineStr">
        <is>
          <t>GOTLAND</t>
        </is>
      </c>
      <c r="G182" t="n">
        <v>1.4</v>
      </c>
      <c r="H182" t="n">
        <v>0</v>
      </c>
      <c r="I182" t="n">
        <v>0</v>
      </c>
      <c r="J182" t="n">
        <v>1</v>
      </c>
      <c r="K182" t="n">
        <v>0</v>
      </c>
      <c r="L182" t="n">
        <v>0</v>
      </c>
      <c r="M182" t="n">
        <v>0</v>
      </c>
      <c r="N182" t="n">
        <v>0</v>
      </c>
      <c r="O182" t="n">
        <v>1</v>
      </c>
      <c r="P182" t="n">
        <v>0</v>
      </c>
      <c r="Q182" t="n">
        <v>1</v>
      </c>
      <c r="R182" s="2" t="inlineStr">
        <is>
          <t>Svinrot</t>
        </is>
      </c>
      <c r="S182">
        <f>HYPERLINK("https://klasma.github.io/Logging_0980/artfynd/A 1066-2024 artfynd.xlsx", "A 1066-2024")</f>
        <v/>
      </c>
      <c r="T182">
        <f>HYPERLINK("https://klasma.github.io/Logging_0980/kartor/A 1066-2024 karta.png", "A 1066-2024")</f>
        <v/>
      </c>
      <c r="V182">
        <f>HYPERLINK("https://klasma.github.io/Logging_0980/klagomål/A 1066-2024 FSC-klagomål.docx", "A 1066-2024")</f>
        <v/>
      </c>
      <c r="W182">
        <f>HYPERLINK("https://klasma.github.io/Logging_0980/klagomålsmail/A 1066-2024 FSC-klagomål mail.docx", "A 1066-2024")</f>
        <v/>
      </c>
      <c r="X182">
        <f>HYPERLINK("https://klasma.github.io/Logging_0980/tillsyn/A 1066-2024 tillsynsbegäran.docx", "A 1066-2024")</f>
        <v/>
      </c>
      <c r="Y182">
        <f>HYPERLINK("https://klasma.github.io/Logging_0980/tillsynsmail/A 1066-2024 tillsynsbegäran mail.docx", "A 1066-2024")</f>
        <v/>
      </c>
    </row>
    <row r="183" ht="15" customHeight="1">
      <c r="A183" t="inlineStr">
        <is>
          <t>A 34809-2024</t>
        </is>
      </c>
      <c r="B183" s="1" t="n">
        <v>45526</v>
      </c>
      <c r="C183" s="1" t="n">
        <v>46201</v>
      </c>
      <c r="D183" t="inlineStr">
        <is>
          <t>GOTLANDS LÄN</t>
        </is>
      </c>
      <c r="E183" t="inlineStr">
        <is>
          <t>GOTLAND</t>
        </is>
      </c>
      <c r="G183" t="n">
        <v>9.9</v>
      </c>
      <c r="H183" t="n">
        <v>1</v>
      </c>
      <c r="I183" t="n">
        <v>0</v>
      </c>
      <c r="J183" t="n">
        <v>1</v>
      </c>
      <c r="K183" t="n">
        <v>0</v>
      </c>
      <c r="L183" t="n">
        <v>0</v>
      </c>
      <c r="M183" t="n">
        <v>0</v>
      </c>
      <c r="N183" t="n">
        <v>0</v>
      </c>
      <c r="O183" t="n">
        <v>1</v>
      </c>
      <c r="P183" t="n">
        <v>0</v>
      </c>
      <c r="Q183" t="n">
        <v>1</v>
      </c>
      <c r="R183" s="2" t="inlineStr">
        <is>
          <t>Brun ögontröst</t>
        </is>
      </c>
      <c r="S183">
        <f>HYPERLINK("https://klasma.github.io/Logging_0980/artfynd/A 34809-2024 artfynd.xlsx", "A 34809-2024")</f>
        <v/>
      </c>
      <c r="T183">
        <f>HYPERLINK("https://klasma.github.io/Logging_0980/kartor/A 34809-2024 karta.png", "A 34809-2024")</f>
        <v/>
      </c>
      <c r="V183">
        <f>HYPERLINK("https://klasma.github.io/Logging_0980/klagomål/A 34809-2024 FSC-klagomål.docx", "A 34809-2024")</f>
        <v/>
      </c>
      <c r="W183">
        <f>HYPERLINK("https://klasma.github.io/Logging_0980/klagomålsmail/A 34809-2024 FSC-klagomål mail.docx", "A 34809-2024")</f>
        <v/>
      </c>
      <c r="X183">
        <f>HYPERLINK("https://klasma.github.io/Logging_0980/tillsyn/A 34809-2024 tillsynsbegäran.docx", "A 34809-2024")</f>
        <v/>
      </c>
      <c r="Y183">
        <f>HYPERLINK("https://klasma.github.io/Logging_0980/tillsynsmail/A 34809-2024 tillsynsbegäran mail.docx", "A 34809-2024")</f>
        <v/>
      </c>
    </row>
    <row r="184" ht="15" customHeight="1">
      <c r="A184" t="inlineStr">
        <is>
          <t>A 9862-2024</t>
        </is>
      </c>
      <c r="B184" s="1" t="n">
        <v>45363</v>
      </c>
      <c r="C184" s="1" t="n">
        <v>46201</v>
      </c>
      <c r="D184" t="inlineStr">
        <is>
          <t>GOTLANDS LÄN</t>
        </is>
      </c>
      <c r="E184" t="inlineStr">
        <is>
          <t>GOTLAND</t>
        </is>
      </c>
      <c r="G184" t="n">
        <v>3.5</v>
      </c>
      <c r="H184" t="n">
        <v>1</v>
      </c>
      <c r="I184" t="n">
        <v>0</v>
      </c>
      <c r="J184" t="n">
        <v>0</v>
      </c>
      <c r="K184" t="n">
        <v>0</v>
      </c>
      <c r="L184" t="n">
        <v>0</v>
      </c>
      <c r="M184" t="n">
        <v>0</v>
      </c>
      <c r="N184" t="n">
        <v>0</v>
      </c>
      <c r="O184" t="n">
        <v>0</v>
      </c>
      <c r="P184" t="n">
        <v>0</v>
      </c>
      <c r="Q184" t="n">
        <v>1</v>
      </c>
      <c r="R184" s="2" t="inlineStr">
        <is>
          <t>Nattviol</t>
        </is>
      </c>
      <c r="S184">
        <f>HYPERLINK("https://klasma.github.io/Logging_0980/artfynd/A 9862-2024 artfynd.xlsx", "A 9862-2024")</f>
        <v/>
      </c>
      <c r="T184">
        <f>HYPERLINK("https://klasma.github.io/Logging_0980/kartor/A 9862-2024 karta.png", "A 9862-2024")</f>
        <v/>
      </c>
      <c r="V184">
        <f>HYPERLINK("https://klasma.github.io/Logging_0980/klagomål/A 9862-2024 FSC-klagomål.docx", "A 9862-2024")</f>
        <v/>
      </c>
      <c r="W184">
        <f>HYPERLINK("https://klasma.github.io/Logging_0980/klagomålsmail/A 9862-2024 FSC-klagomål mail.docx", "A 9862-2024")</f>
        <v/>
      </c>
      <c r="X184">
        <f>HYPERLINK("https://klasma.github.io/Logging_0980/tillsyn/A 9862-2024 tillsynsbegäran.docx", "A 9862-2024")</f>
        <v/>
      </c>
      <c r="Y184">
        <f>HYPERLINK("https://klasma.github.io/Logging_0980/tillsynsmail/A 9862-2024 tillsynsbegäran mail.docx", "A 9862-2024")</f>
        <v/>
      </c>
    </row>
    <row r="185" ht="15" customHeight="1">
      <c r="A185" t="inlineStr">
        <is>
          <t>A 34141-2024</t>
        </is>
      </c>
      <c r="B185" s="1" t="n">
        <v>45524</v>
      </c>
      <c r="C185" s="1" t="n">
        <v>46201</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49304-2024</t>
        </is>
      </c>
      <c r="B186" s="1" t="n">
        <v>45595</v>
      </c>
      <c r="C186" s="1" t="n">
        <v>46201</v>
      </c>
      <c r="D186" t="inlineStr">
        <is>
          <t>GOTLANDS LÄN</t>
        </is>
      </c>
      <c r="E186" t="inlineStr">
        <is>
          <t>GOTLAND</t>
        </is>
      </c>
      <c r="G186" t="n">
        <v>10.8</v>
      </c>
      <c r="H186" t="n">
        <v>0</v>
      </c>
      <c r="I186" t="n">
        <v>0</v>
      </c>
      <c r="J186" t="n">
        <v>1</v>
      </c>
      <c r="K186" t="n">
        <v>0</v>
      </c>
      <c r="L186" t="n">
        <v>0</v>
      </c>
      <c r="M186" t="n">
        <v>0</v>
      </c>
      <c r="N186" t="n">
        <v>0</v>
      </c>
      <c r="O186" t="n">
        <v>1</v>
      </c>
      <c r="P186" t="n">
        <v>0</v>
      </c>
      <c r="Q186" t="n">
        <v>1</v>
      </c>
      <c r="R186" s="2" t="inlineStr">
        <is>
          <t>Åkerranunkel</t>
        </is>
      </c>
      <c r="S186">
        <f>HYPERLINK("https://klasma.github.io/Logging_0980/artfynd/A 49304-2024 artfynd.xlsx", "A 49304-2024")</f>
        <v/>
      </c>
      <c r="T186">
        <f>HYPERLINK("https://klasma.github.io/Logging_0980/kartor/A 49304-2024 karta.png", "A 49304-2024")</f>
        <v/>
      </c>
      <c r="V186">
        <f>HYPERLINK("https://klasma.github.io/Logging_0980/klagomål/A 49304-2024 FSC-klagomål.docx", "A 49304-2024")</f>
        <v/>
      </c>
      <c r="W186">
        <f>HYPERLINK("https://klasma.github.io/Logging_0980/klagomålsmail/A 49304-2024 FSC-klagomål mail.docx", "A 49304-2024")</f>
        <v/>
      </c>
      <c r="X186">
        <f>HYPERLINK("https://klasma.github.io/Logging_0980/tillsyn/A 49304-2024 tillsynsbegäran.docx", "A 49304-2024")</f>
        <v/>
      </c>
      <c r="Y186">
        <f>HYPERLINK("https://klasma.github.io/Logging_0980/tillsynsmail/A 49304-2024 tillsynsbegäran mail.docx", "A 49304-2024")</f>
        <v/>
      </c>
    </row>
    <row r="187" ht="15" customHeight="1">
      <c r="A187" t="inlineStr">
        <is>
          <t>A 61796-2022</t>
        </is>
      </c>
      <c r="B187" s="1" t="n">
        <v>44917</v>
      </c>
      <c r="C187" s="1" t="n">
        <v>46201</v>
      </c>
      <c r="D187" t="inlineStr">
        <is>
          <t>GOTLANDS LÄN</t>
        </is>
      </c>
      <c r="E187" t="inlineStr">
        <is>
          <t>GOTLAND</t>
        </is>
      </c>
      <c r="G187" t="n">
        <v>1.5</v>
      </c>
      <c r="H187" t="n">
        <v>1</v>
      </c>
      <c r="I187" t="n">
        <v>0</v>
      </c>
      <c r="J187" t="n">
        <v>0</v>
      </c>
      <c r="K187" t="n">
        <v>0</v>
      </c>
      <c r="L187" t="n">
        <v>0</v>
      </c>
      <c r="M187" t="n">
        <v>0</v>
      </c>
      <c r="N187" t="n">
        <v>0</v>
      </c>
      <c r="O187" t="n">
        <v>0</v>
      </c>
      <c r="P187" t="n">
        <v>0</v>
      </c>
      <c r="Q187" t="n">
        <v>1</v>
      </c>
      <c r="R187" s="2" t="inlineStr">
        <is>
          <t>Skogsduva</t>
        </is>
      </c>
      <c r="S187">
        <f>HYPERLINK("https://klasma.github.io/Logging_0980/artfynd/A 61796-2022 artfynd.xlsx", "A 61796-2022")</f>
        <v/>
      </c>
      <c r="T187">
        <f>HYPERLINK("https://klasma.github.io/Logging_0980/kartor/A 61796-2022 karta.png", "A 61796-2022")</f>
        <v/>
      </c>
      <c r="V187">
        <f>HYPERLINK("https://klasma.github.io/Logging_0980/klagomål/A 61796-2022 FSC-klagomål.docx", "A 61796-2022")</f>
        <v/>
      </c>
      <c r="W187">
        <f>HYPERLINK("https://klasma.github.io/Logging_0980/klagomålsmail/A 61796-2022 FSC-klagomål mail.docx", "A 61796-2022")</f>
        <v/>
      </c>
      <c r="X187">
        <f>HYPERLINK("https://klasma.github.io/Logging_0980/tillsyn/A 61796-2022 tillsynsbegäran.docx", "A 61796-2022")</f>
        <v/>
      </c>
      <c r="Y187">
        <f>HYPERLINK("https://klasma.github.io/Logging_0980/tillsynsmail/A 61796-2022 tillsynsbegäran mail.docx", "A 61796-2022")</f>
        <v/>
      </c>
    </row>
    <row r="188" ht="15" customHeight="1">
      <c r="A188" t="inlineStr">
        <is>
          <t>A 29809-2022</t>
        </is>
      </c>
      <c r="B188" s="1" t="n">
        <v>44755</v>
      </c>
      <c r="C188" s="1" t="n">
        <v>46201</v>
      </c>
      <c r="D188" t="inlineStr">
        <is>
          <t>GOTLANDS LÄN</t>
        </is>
      </c>
      <c r="E188" t="inlineStr">
        <is>
          <t>GOTLAND</t>
        </is>
      </c>
      <c r="G188" t="n">
        <v>11.5</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29809-2022 artfynd.xlsx", "A 29809-2022")</f>
        <v/>
      </c>
      <c r="T188">
        <f>HYPERLINK("https://klasma.github.io/Logging_0980/kartor/A 29809-2022 karta.png", "A 29809-2022")</f>
        <v/>
      </c>
      <c r="V188">
        <f>HYPERLINK("https://klasma.github.io/Logging_0980/klagomål/A 29809-2022 FSC-klagomål.docx", "A 29809-2022")</f>
        <v/>
      </c>
      <c r="W188">
        <f>HYPERLINK("https://klasma.github.io/Logging_0980/klagomålsmail/A 29809-2022 FSC-klagomål mail.docx", "A 29809-2022")</f>
        <v/>
      </c>
      <c r="X188">
        <f>HYPERLINK("https://klasma.github.io/Logging_0980/tillsyn/A 29809-2022 tillsynsbegäran.docx", "A 29809-2022")</f>
        <v/>
      </c>
      <c r="Y188">
        <f>HYPERLINK("https://klasma.github.io/Logging_0980/tillsynsmail/A 29809-2022 tillsynsbegäran mail.docx", "A 29809-2022")</f>
        <v/>
      </c>
    </row>
    <row r="189" ht="15" customHeight="1">
      <c r="A189" t="inlineStr">
        <is>
          <t>A 30104-2025</t>
        </is>
      </c>
      <c r="B189" s="1" t="n">
        <v>45826</v>
      </c>
      <c r="C189" s="1" t="n">
        <v>46201</v>
      </c>
      <c r="D189" t="inlineStr">
        <is>
          <t>GOTLANDS LÄN</t>
        </is>
      </c>
      <c r="E189" t="inlineStr">
        <is>
          <t>GOTLAND</t>
        </is>
      </c>
      <c r="G189" t="n">
        <v>15.4</v>
      </c>
      <c r="H189" t="n">
        <v>0</v>
      </c>
      <c r="I189" t="n">
        <v>1</v>
      </c>
      <c r="J189" t="n">
        <v>0</v>
      </c>
      <c r="K189" t="n">
        <v>0</v>
      </c>
      <c r="L189" t="n">
        <v>0</v>
      </c>
      <c r="M189" t="n">
        <v>0</v>
      </c>
      <c r="N189" t="n">
        <v>0</v>
      </c>
      <c r="O189" t="n">
        <v>0</v>
      </c>
      <c r="P189" t="n">
        <v>0</v>
      </c>
      <c r="Q189" t="n">
        <v>1</v>
      </c>
      <c r="R189" s="2" t="inlineStr">
        <is>
          <t>Blåmossa</t>
        </is>
      </c>
      <c r="S189">
        <f>HYPERLINK("https://klasma.github.io/Logging_0980/artfynd/A 30104-2025 artfynd.xlsx", "A 30104-2025")</f>
        <v/>
      </c>
      <c r="T189">
        <f>HYPERLINK("https://klasma.github.io/Logging_0980/kartor/A 30104-2025 karta.png", "A 30104-2025")</f>
        <v/>
      </c>
      <c r="V189">
        <f>HYPERLINK("https://klasma.github.io/Logging_0980/klagomål/A 30104-2025 FSC-klagomål.docx", "A 30104-2025")</f>
        <v/>
      </c>
      <c r="W189">
        <f>HYPERLINK("https://klasma.github.io/Logging_0980/klagomålsmail/A 30104-2025 FSC-klagomål mail.docx", "A 30104-2025")</f>
        <v/>
      </c>
      <c r="X189">
        <f>HYPERLINK("https://klasma.github.io/Logging_0980/tillsyn/A 30104-2025 tillsynsbegäran.docx", "A 30104-2025")</f>
        <v/>
      </c>
      <c r="Y189">
        <f>HYPERLINK("https://klasma.github.io/Logging_0980/tillsynsmail/A 30104-2025 tillsynsbegäran mail.docx", "A 30104-2025")</f>
        <v/>
      </c>
    </row>
    <row r="190" ht="15" customHeight="1">
      <c r="A190" t="inlineStr">
        <is>
          <t>A 10995-2023</t>
        </is>
      </c>
      <c r="B190" s="1" t="n">
        <v>44986</v>
      </c>
      <c r="C190" s="1" t="n">
        <v>46201</v>
      </c>
      <c r="D190" t="inlineStr">
        <is>
          <t>GOTLANDS LÄN</t>
        </is>
      </c>
      <c r="E190" t="inlineStr">
        <is>
          <t>GOTLAND</t>
        </is>
      </c>
      <c r="G190" t="n">
        <v>2.8</v>
      </c>
      <c r="H190" t="n">
        <v>0</v>
      </c>
      <c r="I190" t="n">
        <v>0</v>
      </c>
      <c r="J190" t="n">
        <v>0</v>
      </c>
      <c r="K190" t="n">
        <v>1</v>
      </c>
      <c r="L190" t="n">
        <v>0</v>
      </c>
      <c r="M190" t="n">
        <v>0</v>
      </c>
      <c r="N190" t="n">
        <v>0</v>
      </c>
      <c r="O190" t="n">
        <v>1</v>
      </c>
      <c r="P190" t="n">
        <v>1</v>
      </c>
      <c r="Q190" t="n">
        <v>1</v>
      </c>
      <c r="R190" s="2" t="inlineStr">
        <is>
          <t>Violettfläckig spindling</t>
        </is>
      </c>
      <c r="S190">
        <f>HYPERLINK("https://klasma.github.io/Logging_0980/artfynd/A 10995-2023 artfynd.xlsx", "A 10995-2023")</f>
        <v/>
      </c>
      <c r="T190">
        <f>HYPERLINK("https://klasma.github.io/Logging_0980/kartor/A 10995-2023 karta.png", "A 10995-2023")</f>
        <v/>
      </c>
      <c r="V190">
        <f>HYPERLINK("https://klasma.github.io/Logging_0980/klagomål/A 10995-2023 FSC-klagomål.docx", "A 10995-2023")</f>
        <v/>
      </c>
      <c r="W190">
        <f>HYPERLINK("https://klasma.github.io/Logging_0980/klagomålsmail/A 10995-2023 FSC-klagomål mail.docx", "A 10995-2023")</f>
        <v/>
      </c>
      <c r="X190">
        <f>HYPERLINK("https://klasma.github.io/Logging_0980/tillsyn/A 10995-2023 tillsynsbegäran.docx", "A 10995-2023")</f>
        <v/>
      </c>
      <c r="Y190">
        <f>HYPERLINK("https://klasma.github.io/Logging_0980/tillsynsmail/A 10995-2023 tillsynsbegäran mail.docx", "A 10995-2023")</f>
        <v/>
      </c>
    </row>
    <row r="191" ht="15" customHeight="1">
      <c r="A191" t="inlineStr">
        <is>
          <t>A 22782-2023</t>
        </is>
      </c>
      <c r="B191" s="1" t="n">
        <v>45072</v>
      </c>
      <c r="C191" s="1" t="n">
        <v>46201</v>
      </c>
      <c r="D191" t="inlineStr">
        <is>
          <t>GOTLANDS LÄN</t>
        </is>
      </c>
      <c r="E191" t="inlineStr">
        <is>
          <t>GOTLAND</t>
        </is>
      </c>
      <c r="F191" t="inlineStr">
        <is>
          <t>Kyrkan</t>
        </is>
      </c>
      <c r="G191" t="n">
        <v>3.1</v>
      </c>
      <c r="H191" t="n">
        <v>1</v>
      </c>
      <c r="I191" t="n">
        <v>0</v>
      </c>
      <c r="J191" t="n">
        <v>0</v>
      </c>
      <c r="K191" t="n">
        <v>0</v>
      </c>
      <c r="L191" t="n">
        <v>0</v>
      </c>
      <c r="M191" t="n">
        <v>0</v>
      </c>
      <c r="N191" t="n">
        <v>0</v>
      </c>
      <c r="O191" t="n">
        <v>0</v>
      </c>
      <c r="P191" t="n">
        <v>0</v>
      </c>
      <c r="Q191" t="n">
        <v>1</v>
      </c>
      <c r="R191" s="2" t="inlineStr">
        <is>
          <t>Ängsnycklar × skogsnycklar</t>
        </is>
      </c>
      <c r="S191">
        <f>HYPERLINK("https://klasma.github.io/Logging_0980/artfynd/A 22782-2023 artfynd.xlsx", "A 22782-2023")</f>
        <v/>
      </c>
      <c r="T191">
        <f>HYPERLINK("https://klasma.github.io/Logging_0980/kartor/A 22782-2023 karta.png", "A 22782-2023")</f>
        <v/>
      </c>
      <c r="V191">
        <f>HYPERLINK("https://klasma.github.io/Logging_0980/klagomål/A 22782-2023 FSC-klagomål.docx", "A 22782-2023")</f>
        <v/>
      </c>
      <c r="W191">
        <f>HYPERLINK("https://klasma.github.io/Logging_0980/klagomålsmail/A 22782-2023 FSC-klagomål mail.docx", "A 22782-2023")</f>
        <v/>
      </c>
      <c r="X191">
        <f>HYPERLINK("https://klasma.github.io/Logging_0980/tillsyn/A 22782-2023 tillsynsbegäran.docx", "A 22782-2023")</f>
        <v/>
      </c>
      <c r="Y191">
        <f>HYPERLINK("https://klasma.github.io/Logging_0980/tillsynsmail/A 22782-2023 tillsynsbegäran mail.docx", "A 22782-2023")</f>
        <v/>
      </c>
    </row>
    <row r="192" ht="15" customHeight="1">
      <c r="A192" t="inlineStr">
        <is>
          <t>A 10218-2025</t>
        </is>
      </c>
      <c r="B192" s="1" t="n">
        <v>45720</v>
      </c>
      <c r="C192" s="1" t="n">
        <v>46201</v>
      </c>
      <c r="D192" t="inlineStr">
        <is>
          <t>GOTLANDS LÄN</t>
        </is>
      </c>
      <c r="E192" t="inlineStr">
        <is>
          <t>GOTLAND</t>
        </is>
      </c>
      <c r="G192" t="n">
        <v>8.1</v>
      </c>
      <c r="H192" t="n">
        <v>0</v>
      </c>
      <c r="I192" t="n">
        <v>1</v>
      </c>
      <c r="J192" t="n">
        <v>0</v>
      </c>
      <c r="K192" t="n">
        <v>0</v>
      </c>
      <c r="L192" t="n">
        <v>0</v>
      </c>
      <c r="M192" t="n">
        <v>0</v>
      </c>
      <c r="N192" t="n">
        <v>0</v>
      </c>
      <c r="O192" t="n">
        <v>0</v>
      </c>
      <c r="P192" t="n">
        <v>0</v>
      </c>
      <c r="Q192" t="n">
        <v>1</v>
      </c>
      <c r="R192" s="2" t="inlineStr">
        <is>
          <t>Kalktallört</t>
        </is>
      </c>
      <c r="S192">
        <f>HYPERLINK("https://klasma.github.io/Logging_0980/artfynd/A 10218-2025 artfynd.xlsx", "A 10218-2025")</f>
        <v/>
      </c>
      <c r="T192">
        <f>HYPERLINK("https://klasma.github.io/Logging_0980/kartor/A 10218-2025 karta.png", "A 10218-2025")</f>
        <v/>
      </c>
      <c r="V192">
        <f>HYPERLINK("https://klasma.github.io/Logging_0980/klagomål/A 10218-2025 FSC-klagomål.docx", "A 10218-2025")</f>
        <v/>
      </c>
      <c r="W192">
        <f>HYPERLINK("https://klasma.github.io/Logging_0980/klagomålsmail/A 10218-2025 FSC-klagomål mail.docx", "A 10218-2025")</f>
        <v/>
      </c>
      <c r="X192">
        <f>HYPERLINK("https://klasma.github.io/Logging_0980/tillsyn/A 10218-2025 tillsynsbegäran.docx", "A 10218-2025")</f>
        <v/>
      </c>
      <c r="Y192">
        <f>HYPERLINK("https://klasma.github.io/Logging_0980/tillsynsmail/A 10218-2025 tillsynsbegäran mail.docx", "A 10218-2025")</f>
        <v/>
      </c>
    </row>
    <row r="193" ht="15" customHeight="1">
      <c r="A193" t="inlineStr">
        <is>
          <t>A 30489-2025</t>
        </is>
      </c>
      <c r="B193" s="1" t="n">
        <v>45830</v>
      </c>
      <c r="C193" s="1" t="n">
        <v>46201</v>
      </c>
      <c r="D193" t="inlineStr">
        <is>
          <t>GOTLANDS LÄN</t>
        </is>
      </c>
      <c r="E193" t="inlineStr">
        <is>
          <t>GOTLAND</t>
        </is>
      </c>
      <c r="G193" t="n">
        <v>4.6</v>
      </c>
      <c r="H193" t="n">
        <v>0</v>
      </c>
      <c r="I193" t="n">
        <v>0</v>
      </c>
      <c r="J193" t="n">
        <v>1</v>
      </c>
      <c r="K193" t="n">
        <v>0</v>
      </c>
      <c r="L193" t="n">
        <v>0</v>
      </c>
      <c r="M193" t="n">
        <v>0</v>
      </c>
      <c r="N193" t="n">
        <v>0</v>
      </c>
      <c r="O193" t="n">
        <v>1</v>
      </c>
      <c r="P193" t="n">
        <v>0</v>
      </c>
      <c r="Q193" t="n">
        <v>1</v>
      </c>
      <c r="R193" s="2" t="inlineStr">
        <is>
          <t>Skarp dropptaggsvamp</t>
        </is>
      </c>
      <c r="S193">
        <f>HYPERLINK("https://klasma.github.io/Logging_0980/artfynd/A 30489-2025 artfynd.xlsx", "A 30489-2025")</f>
        <v/>
      </c>
      <c r="T193">
        <f>HYPERLINK("https://klasma.github.io/Logging_0980/kartor/A 30489-2025 karta.png", "A 30489-2025")</f>
        <v/>
      </c>
      <c r="V193">
        <f>HYPERLINK("https://klasma.github.io/Logging_0980/klagomål/A 30489-2025 FSC-klagomål.docx", "A 30489-2025")</f>
        <v/>
      </c>
      <c r="W193">
        <f>HYPERLINK("https://klasma.github.io/Logging_0980/klagomålsmail/A 30489-2025 FSC-klagomål mail.docx", "A 30489-2025")</f>
        <v/>
      </c>
      <c r="X193">
        <f>HYPERLINK("https://klasma.github.io/Logging_0980/tillsyn/A 30489-2025 tillsynsbegäran.docx", "A 30489-2025")</f>
        <v/>
      </c>
      <c r="Y193">
        <f>HYPERLINK("https://klasma.github.io/Logging_0980/tillsynsmail/A 30489-2025 tillsynsbegäran mail.docx", "A 30489-2025")</f>
        <v/>
      </c>
    </row>
    <row r="194" ht="15" customHeight="1">
      <c r="A194" t="inlineStr">
        <is>
          <t>A 12379-2024</t>
        </is>
      </c>
      <c r="B194" s="1" t="n">
        <v>45379</v>
      </c>
      <c r="C194" s="1" t="n">
        <v>46201</v>
      </c>
      <c r="D194" t="inlineStr">
        <is>
          <t>GOTLANDS LÄN</t>
        </is>
      </c>
      <c r="E194" t="inlineStr">
        <is>
          <t>GOTLAND</t>
        </is>
      </c>
      <c r="G194" t="n">
        <v>4.4</v>
      </c>
      <c r="H194" t="n">
        <v>0</v>
      </c>
      <c r="I194" t="n">
        <v>0</v>
      </c>
      <c r="J194" t="n">
        <v>1</v>
      </c>
      <c r="K194" t="n">
        <v>0</v>
      </c>
      <c r="L194" t="n">
        <v>0</v>
      </c>
      <c r="M194" t="n">
        <v>0</v>
      </c>
      <c r="N194" t="n">
        <v>0</v>
      </c>
      <c r="O194" t="n">
        <v>1</v>
      </c>
      <c r="P194" t="n">
        <v>0</v>
      </c>
      <c r="Q194" t="n">
        <v>1</v>
      </c>
      <c r="R194" s="2" t="inlineStr">
        <is>
          <t>Svinrot</t>
        </is>
      </c>
      <c r="S194">
        <f>HYPERLINK("https://klasma.github.io/Logging_0980/artfynd/A 12379-2024 artfynd.xlsx", "A 12379-2024")</f>
        <v/>
      </c>
      <c r="T194">
        <f>HYPERLINK("https://klasma.github.io/Logging_0980/kartor/A 12379-2024 karta.png", "A 12379-2024")</f>
        <v/>
      </c>
      <c r="V194">
        <f>HYPERLINK("https://klasma.github.io/Logging_0980/klagomål/A 12379-2024 FSC-klagomål.docx", "A 12379-2024")</f>
        <v/>
      </c>
      <c r="W194">
        <f>HYPERLINK("https://klasma.github.io/Logging_0980/klagomålsmail/A 12379-2024 FSC-klagomål mail.docx", "A 12379-2024")</f>
        <v/>
      </c>
      <c r="X194">
        <f>HYPERLINK("https://klasma.github.io/Logging_0980/tillsyn/A 12379-2024 tillsynsbegäran.docx", "A 12379-2024")</f>
        <v/>
      </c>
      <c r="Y194">
        <f>HYPERLINK("https://klasma.github.io/Logging_0980/tillsynsmail/A 12379-2024 tillsynsbegäran mail.docx", "A 12379-2024")</f>
        <v/>
      </c>
    </row>
    <row r="195" ht="15" customHeight="1">
      <c r="A195" t="inlineStr">
        <is>
          <t>A 64700-2021</t>
        </is>
      </c>
      <c r="B195" s="1" t="n">
        <v>44511</v>
      </c>
      <c r="C195" s="1" t="n">
        <v>46201</v>
      </c>
      <c r="D195" t="inlineStr">
        <is>
          <t>GOTLANDS LÄN</t>
        </is>
      </c>
      <c r="E195" t="inlineStr">
        <is>
          <t>GOTLAND</t>
        </is>
      </c>
      <c r="F195" t="inlineStr">
        <is>
          <t>Naturvårdsverket</t>
        </is>
      </c>
      <c r="G195" t="n">
        <v>2.4</v>
      </c>
      <c r="H195" t="n">
        <v>1</v>
      </c>
      <c r="I195" t="n">
        <v>0</v>
      </c>
      <c r="J195" t="n">
        <v>1</v>
      </c>
      <c r="K195" t="n">
        <v>0</v>
      </c>
      <c r="L195" t="n">
        <v>0</v>
      </c>
      <c r="M195" t="n">
        <v>0</v>
      </c>
      <c r="N195" t="n">
        <v>0</v>
      </c>
      <c r="O195" t="n">
        <v>1</v>
      </c>
      <c r="P195" t="n">
        <v>0</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15637-2024</t>
        </is>
      </c>
      <c r="B196" s="1" t="n">
        <v>45403</v>
      </c>
      <c r="C196" s="1" t="n">
        <v>46201</v>
      </c>
      <c r="D196" t="inlineStr">
        <is>
          <t>GOTLANDS LÄN</t>
        </is>
      </c>
      <c r="E196" t="inlineStr">
        <is>
          <t>GOTLAND</t>
        </is>
      </c>
      <c r="G196" t="n">
        <v>4.1</v>
      </c>
      <c r="H196" t="n">
        <v>1</v>
      </c>
      <c r="I196" t="n">
        <v>0</v>
      </c>
      <c r="J196" t="n">
        <v>0</v>
      </c>
      <c r="K196" t="n">
        <v>0</v>
      </c>
      <c r="L196" t="n">
        <v>0</v>
      </c>
      <c r="M196" t="n">
        <v>0</v>
      </c>
      <c r="N196" t="n">
        <v>0</v>
      </c>
      <c r="O196" t="n">
        <v>0</v>
      </c>
      <c r="P196" t="n">
        <v>0</v>
      </c>
      <c r="Q196" t="n">
        <v>1</v>
      </c>
      <c r="R196" s="2" t="inlineStr">
        <is>
          <t>Blåsippa</t>
        </is>
      </c>
      <c r="S196">
        <f>HYPERLINK("https://klasma.github.io/Logging_0980/artfynd/A 15637-2024 artfynd.xlsx", "A 15637-2024")</f>
        <v/>
      </c>
      <c r="T196">
        <f>HYPERLINK("https://klasma.github.io/Logging_0980/kartor/A 15637-2024 karta.png", "A 15637-2024")</f>
        <v/>
      </c>
      <c r="V196">
        <f>HYPERLINK("https://klasma.github.io/Logging_0980/klagomål/A 15637-2024 FSC-klagomål.docx", "A 15637-2024")</f>
        <v/>
      </c>
      <c r="W196">
        <f>HYPERLINK("https://klasma.github.io/Logging_0980/klagomålsmail/A 15637-2024 FSC-klagomål mail.docx", "A 15637-2024")</f>
        <v/>
      </c>
      <c r="X196">
        <f>HYPERLINK("https://klasma.github.io/Logging_0980/tillsyn/A 15637-2024 tillsynsbegäran.docx", "A 15637-2024")</f>
        <v/>
      </c>
      <c r="Y196">
        <f>HYPERLINK("https://klasma.github.io/Logging_0980/tillsynsmail/A 15637-2024 tillsynsbegäran mail.docx", "A 15637-2024")</f>
        <v/>
      </c>
    </row>
    <row r="197" ht="15" customHeight="1">
      <c r="A197" t="inlineStr">
        <is>
          <t>A 4568-2025</t>
        </is>
      </c>
      <c r="B197" s="1" t="n">
        <v>45687</v>
      </c>
      <c r="C197" s="1" t="n">
        <v>46201</v>
      </c>
      <c r="D197" t="inlineStr">
        <is>
          <t>GOTLANDS LÄN</t>
        </is>
      </c>
      <c r="E197" t="inlineStr">
        <is>
          <t>GOTLAND</t>
        </is>
      </c>
      <c r="G197" t="n">
        <v>1.9</v>
      </c>
      <c r="H197" t="n">
        <v>0</v>
      </c>
      <c r="I197" t="n">
        <v>0</v>
      </c>
      <c r="J197" t="n">
        <v>1</v>
      </c>
      <c r="K197" t="n">
        <v>0</v>
      </c>
      <c r="L197" t="n">
        <v>0</v>
      </c>
      <c r="M197" t="n">
        <v>0</v>
      </c>
      <c r="N197" t="n">
        <v>0</v>
      </c>
      <c r="O197" t="n">
        <v>1</v>
      </c>
      <c r="P197" t="n">
        <v>0</v>
      </c>
      <c r="Q197" t="n">
        <v>1</v>
      </c>
      <c r="R197" s="2" t="inlineStr">
        <is>
          <t>Backfryle</t>
        </is>
      </c>
      <c r="S197">
        <f>HYPERLINK("https://klasma.github.io/Logging_0980/artfynd/A 4568-2025 artfynd.xlsx", "A 4568-2025")</f>
        <v/>
      </c>
      <c r="T197">
        <f>HYPERLINK("https://klasma.github.io/Logging_0980/kartor/A 4568-2025 karta.png", "A 4568-2025")</f>
        <v/>
      </c>
      <c r="V197">
        <f>HYPERLINK("https://klasma.github.io/Logging_0980/klagomål/A 4568-2025 FSC-klagomål.docx", "A 4568-2025")</f>
        <v/>
      </c>
      <c r="W197">
        <f>HYPERLINK("https://klasma.github.io/Logging_0980/klagomålsmail/A 4568-2025 FSC-klagomål mail.docx", "A 4568-2025")</f>
        <v/>
      </c>
      <c r="X197">
        <f>HYPERLINK("https://klasma.github.io/Logging_0980/tillsyn/A 4568-2025 tillsynsbegäran.docx", "A 4568-2025")</f>
        <v/>
      </c>
      <c r="Y197">
        <f>HYPERLINK("https://klasma.github.io/Logging_0980/tillsynsmail/A 4568-2025 tillsynsbegäran mail.docx", "A 4568-2025")</f>
        <v/>
      </c>
    </row>
    <row r="198" ht="15" customHeight="1">
      <c r="A198" t="inlineStr">
        <is>
          <t>A 35467-2021</t>
        </is>
      </c>
      <c r="B198" s="1" t="n">
        <v>44385</v>
      </c>
      <c r="C198" s="1" t="n">
        <v>46201</v>
      </c>
      <c r="D198" t="inlineStr">
        <is>
          <t>GOTLANDS LÄN</t>
        </is>
      </c>
      <c r="E198" t="inlineStr">
        <is>
          <t>GOTLAND</t>
        </is>
      </c>
      <c r="G198" t="n">
        <v>12.7</v>
      </c>
      <c r="H198" t="n">
        <v>0</v>
      </c>
      <c r="I198" t="n">
        <v>0</v>
      </c>
      <c r="J198" t="n">
        <v>1</v>
      </c>
      <c r="K198" t="n">
        <v>0</v>
      </c>
      <c r="L198" t="n">
        <v>0</v>
      </c>
      <c r="M198" t="n">
        <v>0</v>
      </c>
      <c r="N198" t="n">
        <v>0</v>
      </c>
      <c r="O198" t="n">
        <v>1</v>
      </c>
      <c r="P198" t="n">
        <v>0</v>
      </c>
      <c r="Q198" t="n">
        <v>1</v>
      </c>
      <c r="R198" s="2" t="inlineStr">
        <is>
          <t>Loppstarr</t>
        </is>
      </c>
      <c r="S198">
        <f>HYPERLINK("https://klasma.github.io/Logging_0980/artfynd/A 35467-2021 artfynd.xlsx", "A 35467-2021")</f>
        <v/>
      </c>
      <c r="T198">
        <f>HYPERLINK("https://klasma.github.io/Logging_0980/kartor/A 35467-2021 karta.png", "A 35467-2021")</f>
        <v/>
      </c>
      <c r="V198">
        <f>HYPERLINK("https://klasma.github.io/Logging_0980/klagomål/A 35467-2021 FSC-klagomål.docx", "A 35467-2021")</f>
        <v/>
      </c>
      <c r="W198">
        <f>HYPERLINK("https://klasma.github.io/Logging_0980/klagomålsmail/A 35467-2021 FSC-klagomål mail.docx", "A 35467-2021")</f>
        <v/>
      </c>
      <c r="X198">
        <f>HYPERLINK("https://klasma.github.io/Logging_0980/tillsyn/A 35467-2021 tillsynsbegäran.docx", "A 35467-2021")</f>
        <v/>
      </c>
      <c r="Y198">
        <f>HYPERLINK("https://klasma.github.io/Logging_0980/tillsynsmail/A 35467-2021 tillsynsbegäran mail.docx", "A 35467-2021")</f>
        <v/>
      </c>
    </row>
    <row r="199" ht="15" customHeight="1">
      <c r="A199" t="inlineStr">
        <is>
          <t>A 23856-2025</t>
        </is>
      </c>
      <c r="B199" s="1" t="n">
        <v>45793</v>
      </c>
      <c r="C199" s="1" t="n">
        <v>46201</v>
      </c>
      <c r="D199" t="inlineStr">
        <is>
          <t>GOTLANDS LÄN</t>
        </is>
      </c>
      <c r="E199" t="inlineStr">
        <is>
          <t>GOTLAND</t>
        </is>
      </c>
      <c r="G199" t="n">
        <v>4.4</v>
      </c>
      <c r="H199" t="n">
        <v>0</v>
      </c>
      <c r="I199" t="n">
        <v>0</v>
      </c>
      <c r="J199" t="n">
        <v>1</v>
      </c>
      <c r="K199" t="n">
        <v>0</v>
      </c>
      <c r="L199" t="n">
        <v>0</v>
      </c>
      <c r="M199" t="n">
        <v>0</v>
      </c>
      <c r="N199" t="n">
        <v>0</v>
      </c>
      <c r="O199" t="n">
        <v>1</v>
      </c>
      <c r="P199" t="n">
        <v>0</v>
      </c>
      <c r="Q199" t="n">
        <v>1</v>
      </c>
      <c r="R199" s="2" t="inlineStr">
        <is>
          <t>Vittåtel</t>
        </is>
      </c>
      <c r="S199">
        <f>HYPERLINK("https://klasma.github.io/Logging_0980/artfynd/A 23856-2025 artfynd.xlsx", "A 23856-2025")</f>
        <v/>
      </c>
      <c r="T199">
        <f>HYPERLINK("https://klasma.github.io/Logging_0980/kartor/A 23856-2025 karta.png", "A 23856-2025")</f>
        <v/>
      </c>
      <c r="V199">
        <f>HYPERLINK("https://klasma.github.io/Logging_0980/klagomål/A 23856-2025 FSC-klagomål.docx", "A 23856-2025")</f>
        <v/>
      </c>
      <c r="W199">
        <f>HYPERLINK("https://klasma.github.io/Logging_0980/klagomålsmail/A 23856-2025 FSC-klagomål mail.docx", "A 23856-2025")</f>
        <v/>
      </c>
      <c r="X199">
        <f>HYPERLINK("https://klasma.github.io/Logging_0980/tillsyn/A 23856-2025 tillsynsbegäran.docx", "A 23856-2025")</f>
        <v/>
      </c>
      <c r="Y199">
        <f>HYPERLINK("https://klasma.github.io/Logging_0980/tillsynsmail/A 23856-2025 tillsynsbegäran mail.docx", "A 23856-2025")</f>
        <v/>
      </c>
    </row>
    <row r="200" ht="15" customHeight="1">
      <c r="A200" t="inlineStr">
        <is>
          <t>A 5909-2025</t>
        </is>
      </c>
      <c r="B200" s="1" t="n">
        <v>45695</v>
      </c>
      <c r="C200" s="1" t="n">
        <v>46201</v>
      </c>
      <c r="D200" t="inlineStr">
        <is>
          <t>GOTLANDS LÄN</t>
        </is>
      </c>
      <c r="E200" t="inlineStr">
        <is>
          <t>GOTLAND</t>
        </is>
      </c>
      <c r="G200" t="n">
        <v>2.9</v>
      </c>
      <c r="H200" t="n">
        <v>1</v>
      </c>
      <c r="I200" t="n">
        <v>1</v>
      </c>
      <c r="J200" t="n">
        <v>0</v>
      </c>
      <c r="K200" t="n">
        <v>0</v>
      </c>
      <c r="L200" t="n">
        <v>0</v>
      </c>
      <c r="M200" t="n">
        <v>0</v>
      </c>
      <c r="N200" t="n">
        <v>0</v>
      </c>
      <c r="O200" t="n">
        <v>0</v>
      </c>
      <c r="P200" t="n">
        <v>0</v>
      </c>
      <c r="Q200" t="n">
        <v>1</v>
      </c>
      <c r="R200" s="2" t="inlineStr">
        <is>
          <t>Skogsknipprot</t>
        </is>
      </c>
      <c r="S200">
        <f>HYPERLINK("https://klasma.github.io/Logging_0980/artfynd/A 5909-2025 artfynd.xlsx", "A 5909-2025")</f>
        <v/>
      </c>
      <c r="T200">
        <f>HYPERLINK("https://klasma.github.io/Logging_0980/kartor/A 5909-2025 karta.png", "A 5909-2025")</f>
        <v/>
      </c>
      <c r="V200">
        <f>HYPERLINK("https://klasma.github.io/Logging_0980/klagomål/A 5909-2025 FSC-klagomål.docx", "A 5909-2025")</f>
        <v/>
      </c>
      <c r="W200">
        <f>HYPERLINK("https://klasma.github.io/Logging_0980/klagomålsmail/A 5909-2025 FSC-klagomål mail.docx", "A 5909-2025")</f>
        <v/>
      </c>
      <c r="X200">
        <f>HYPERLINK("https://klasma.github.io/Logging_0980/tillsyn/A 5909-2025 tillsynsbegäran.docx", "A 5909-2025")</f>
        <v/>
      </c>
      <c r="Y200">
        <f>HYPERLINK("https://klasma.github.io/Logging_0980/tillsynsmail/A 5909-2025 tillsynsbegäran mail.docx", "A 5909-2025")</f>
        <v/>
      </c>
    </row>
    <row r="201" ht="15" customHeight="1">
      <c r="A201" t="inlineStr">
        <is>
          <t>A 11982-2026</t>
        </is>
      </c>
      <c r="B201" s="1" t="n">
        <v>46085</v>
      </c>
      <c r="C201" s="1" t="n">
        <v>46201</v>
      </c>
      <c r="D201" t="inlineStr">
        <is>
          <t>GOTLANDS LÄN</t>
        </is>
      </c>
      <c r="E201" t="inlineStr">
        <is>
          <t>GOTLAND</t>
        </is>
      </c>
      <c r="G201" t="n">
        <v>2.2</v>
      </c>
      <c r="H201" t="n">
        <v>0</v>
      </c>
      <c r="I201" t="n">
        <v>0</v>
      </c>
      <c r="J201" t="n">
        <v>1</v>
      </c>
      <c r="K201" t="n">
        <v>0</v>
      </c>
      <c r="L201" t="n">
        <v>0</v>
      </c>
      <c r="M201" t="n">
        <v>0</v>
      </c>
      <c r="N201" t="n">
        <v>0</v>
      </c>
      <c r="O201" t="n">
        <v>1</v>
      </c>
      <c r="P201" t="n">
        <v>0</v>
      </c>
      <c r="Q201" t="n">
        <v>1</v>
      </c>
      <c r="R201" s="2" t="inlineStr">
        <is>
          <t>Småtörel</t>
        </is>
      </c>
      <c r="S201">
        <f>HYPERLINK("https://klasma.github.io/Logging_0980/artfynd/A 11982-2026 artfynd.xlsx", "A 11982-2026")</f>
        <v/>
      </c>
      <c r="T201">
        <f>HYPERLINK("https://klasma.github.io/Logging_0980/kartor/A 11982-2026 karta.png", "A 11982-2026")</f>
        <v/>
      </c>
      <c r="V201">
        <f>HYPERLINK("https://klasma.github.io/Logging_0980/klagomål/A 11982-2026 FSC-klagomål.docx", "A 11982-2026")</f>
        <v/>
      </c>
      <c r="W201">
        <f>HYPERLINK("https://klasma.github.io/Logging_0980/klagomålsmail/A 11982-2026 FSC-klagomål mail.docx", "A 11982-2026")</f>
        <v/>
      </c>
      <c r="X201">
        <f>HYPERLINK("https://klasma.github.io/Logging_0980/tillsyn/A 11982-2026 tillsynsbegäran.docx", "A 11982-2026")</f>
        <v/>
      </c>
      <c r="Y201">
        <f>HYPERLINK("https://klasma.github.io/Logging_0980/tillsynsmail/A 11982-2026 tillsynsbegäran mail.docx", "A 11982-2026")</f>
        <v/>
      </c>
    </row>
    <row r="202" ht="15" customHeight="1">
      <c r="A202" t="inlineStr">
        <is>
          <t>A 13482-2026</t>
        </is>
      </c>
      <c r="B202" s="1" t="n">
        <v>46094</v>
      </c>
      <c r="C202" s="1" t="n">
        <v>46201</v>
      </c>
      <c r="D202" t="inlineStr">
        <is>
          <t>GOTLANDS LÄN</t>
        </is>
      </c>
      <c r="E202" t="inlineStr">
        <is>
          <t>GOTLAND</t>
        </is>
      </c>
      <c r="G202" t="n">
        <v>1.7</v>
      </c>
      <c r="H202" t="n">
        <v>1</v>
      </c>
      <c r="I202" t="n">
        <v>0</v>
      </c>
      <c r="J202" t="n">
        <v>0</v>
      </c>
      <c r="K202" t="n">
        <v>0</v>
      </c>
      <c r="L202" t="n">
        <v>0</v>
      </c>
      <c r="M202" t="n">
        <v>0</v>
      </c>
      <c r="N202" t="n">
        <v>0</v>
      </c>
      <c r="O202" t="n">
        <v>0</v>
      </c>
      <c r="P202" t="n">
        <v>0</v>
      </c>
      <c r="Q202" t="n">
        <v>1</v>
      </c>
      <c r="R202" s="2" t="inlineStr">
        <is>
          <t>Spillkråka</t>
        </is>
      </c>
      <c r="S202">
        <f>HYPERLINK("https://klasma.github.io/Logging_0980/artfynd/A 13482-2026 artfynd.xlsx", "A 13482-2026")</f>
        <v/>
      </c>
      <c r="T202">
        <f>HYPERLINK("https://klasma.github.io/Logging_0980/kartor/A 13482-2026 karta.png", "A 13482-2026")</f>
        <v/>
      </c>
      <c r="V202">
        <f>HYPERLINK("https://klasma.github.io/Logging_0980/klagomål/A 13482-2026 FSC-klagomål.docx", "A 13482-2026")</f>
        <v/>
      </c>
      <c r="W202">
        <f>HYPERLINK("https://klasma.github.io/Logging_0980/klagomålsmail/A 13482-2026 FSC-klagomål mail.docx", "A 13482-2026")</f>
        <v/>
      </c>
      <c r="X202">
        <f>HYPERLINK("https://klasma.github.io/Logging_0980/tillsyn/A 13482-2026 tillsynsbegäran.docx", "A 13482-2026")</f>
        <v/>
      </c>
      <c r="Y202">
        <f>HYPERLINK("https://klasma.github.io/Logging_0980/tillsynsmail/A 13482-2026 tillsynsbegäran mail.docx", "A 13482-2026")</f>
        <v/>
      </c>
      <c r="Z202">
        <f>HYPERLINK("https://klasma.github.io/Logging_0980/fåglar/A 13482-2026 prioriterade fågelarter.docx", "A 13482-2026")</f>
        <v/>
      </c>
    </row>
    <row r="203" ht="15" customHeight="1">
      <c r="A203" t="inlineStr">
        <is>
          <t>A 4662-2026</t>
        </is>
      </c>
      <c r="B203" s="1" t="n">
        <v>46048</v>
      </c>
      <c r="C203" s="1" t="n">
        <v>46201</v>
      </c>
      <c r="D203" t="inlineStr">
        <is>
          <t>GOTLANDS LÄN</t>
        </is>
      </c>
      <c r="E203" t="inlineStr">
        <is>
          <t>GOTLAND</t>
        </is>
      </c>
      <c r="G203" t="n">
        <v>7.6</v>
      </c>
      <c r="H203" t="n">
        <v>0</v>
      </c>
      <c r="I203" t="n">
        <v>0</v>
      </c>
      <c r="J203" t="n">
        <v>0</v>
      </c>
      <c r="K203" t="n">
        <v>1</v>
      </c>
      <c r="L203" t="n">
        <v>0</v>
      </c>
      <c r="M203" t="n">
        <v>0</v>
      </c>
      <c r="N203" t="n">
        <v>0</v>
      </c>
      <c r="O203" t="n">
        <v>1</v>
      </c>
      <c r="P203" t="n">
        <v>1</v>
      </c>
      <c r="Q203" t="n">
        <v>1</v>
      </c>
      <c r="R203" s="2" t="inlineStr">
        <is>
          <t>Strandviol</t>
        </is>
      </c>
      <c r="S203">
        <f>HYPERLINK("https://klasma.github.io/Logging_0980/artfynd/A 4662-2026 artfynd.xlsx", "A 4662-2026")</f>
        <v/>
      </c>
      <c r="T203">
        <f>HYPERLINK("https://klasma.github.io/Logging_0980/kartor/A 4662-2026 karta.png", "A 4662-2026")</f>
        <v/>
      </c>
      <c r="V203">
        <f>HYPERLINK("https://klasma.github.io/Logging_0980/klagomål/A 4662-2026 FSC-klagomål.docx", "A 4662-2026")</f>
        <v/>
      </c>
      <c r="W203">
        <f>HYPERLINK("https://klasma.github.io/Logging_0980/klagomålsmail/A 4662-2026 FSC-klagomål mail.docx", "A 4662-2026")</f>
        <v/>
      </c>
      <c r="X203">
        <f>HYPERLINK("https://klasma.github.io/Logging_0980/tillsyn/A 4662-2026 tillsynsbegäran.docx", "A 4662-2026")</f>
        <v/>
      </c>
      <c r="Y203">
        <f>HYPERLINK("https://klasma.github.io/Logging_0980/tillsynsmail/A 4662-2026 tillsynsbegäran mail.docx", "A 4662-2026")</f>
        <v/>
      </c>
    </row>
    <row r="204" ht="15" customHeight="1">
      <c r="A204" t="inlineStr">
        <is>
          <t>A 17000-2026</t>
        </is>
      </c>
      <c r="B204" s="1" t="n">
        <v>46114</v>
      </c>
      <c r="C204" s="1" t="n">
        <v>46201</v>
      </c>
      <c r="D204" t="inlineStr">
        <is>
          <t>GOTLANDS LÄN</t>
        </is>
      </c>
      <c r="E204" t="inlineStr">
        <is>
          <t>GOTLAND</t>
        </is>
      </c>
      <c r="G204" t="n">
        <v>1.9</v>
      </c>
      <c r="H204" t="n">
        <v>1</v>
      </c>
      <c r="I204" t="n">
        <v>0</v>
      </c>
      <c r="J204" t="n">
        <v>0</v>
      </c>
      <c r="K204" t="n">
        <v>0</v>
      </c>
      <c r="L204" t="n">
        <v>0</v>
      </c>
      <c r="M204" t="n">
        <v>0</v>
      </c>
      <c r="N204" t="n">
        <v>0</v>
      </c>
      <c r="O204" t="n">
        <v>0</v>
      </c>
      <c r="P204" t="n">
        <v>0</v>
      </c>
      <c r="Q204" t="n">
        <v>1</v>
      </c>
      <c r="R204" s="2" t="inlineStr">
        <is>
          <t>Kalkkrassing</t>
        </is>
      </c>
      <c r="S204">
        <f>HYPERLINK("https://klasma.github.io/Logging_0980/artfynd/A 17000-2026 artfynd.xlsx", "A 17000-2026")</f>
        <v/>
      </c>
      <c r="T204">
        <f>HYPERLINK("https://klasma.github.io/Logging_0980/kartor/A 17000-2026 karta.png", "A 17000-2026")</f>
        <v/>
      </c>
      <c r="V204">
        <f>HYPERLINK("https://klasma.github.io/Logging_0980/klagomål/A 17000-2026 FSC-klagomål.docx", "A 17000-2026")</f>
        <v/>
      </c>
      <c r="W204">
        <f>HYPERLINK("https://klasma.github.io/Logging_0980/klagomålsmail/A 17000-2026 FSC-klagomål mail.docx", "A 17000-2026")</f>
        <v/>
      </c>
      <c r="X204">
        <f>HYPERLINK("https://klasma.github.io/Logging_0980/tillsyn/A 17000-2026 tillsynsbegäran.docx", "A 17000-2026")</f>
        <v/>
      </c>
      <c r="Y204">
        <f>HYPERLINK("https://klasma.github.io/Logging_0980/tillsynsmail/A 17000-2026 tillsynsbegäran mail.docx", "A 17000-2026")</f>
        <v/>
      </c>
    </row>
    <row r="205" ht="15" customHeight="1">
      <c r="A205" t="inlineStr">
        <is>
          <t>A 17854-2026</t>
        </is>
      </c>
      <c r="B205" s="1" t="n">
        <v>46121</v>
      </c>
      <c r="C205" s="1" t="n">
        <v>46201</v>
      </c>
      <c r="D205" t="inlineStr">
        <is>
          <t>GOTLANDS LÄN</t>
        </is>
      </c>
      <c r="E205" t="inlineStr">
        <is>
          <t>GOTLAND</t>
        </is>
      </c>
      <c r="G205" t="n">
        <v>6.6</v>
      </c>
      <c r="H205" t="n">
        <v>0</v>
      </c>
      <c r="I205" t="n">
        <v>0</v>
      </c>
      <c r="J205" t="n">
        <v>1</v>
      </c>
      <c r="K205" t="n">
        <v>0</v>
      </c>
      <c r="L205" t="n">
        <v>0</v>
      </c>
      <c r="M205" t="n">
        <v>0</v>
      </c>
      <c r="N205" t="n">
        <v>0</v>
      </c>
      <c r="O205" t="n">
        <v>1</v>
      </c>
      <c r="P205" t="n">
        <v>0</v>
      </c>
      <c r="Q205" t="n">
        <v>1</v>
      </c>
      <c r="R205" s="2" t="inlineStr">
        <is>
          <t>Blå slemspindling</t>
        </is>
      </c>
      <c r="S205">
        <f>HYPERLINK("https://klasma.github.io/Logging_0980/artfynd/A 17854-2026 artfynd.xlsx", "A 17854-2026")</f>
        <v/>
      </c>
      <c r="T205">
        <f>HYPERLINK("https://klasma.github.io/Logging_0980/kartor/A 17854-2026 karta.png", "A 17854-2026")</f>
        <v/>
      </c>
      <c r="V205">
        <f>HYPERLINK("https://klasma.github.io/Logging_0980/klagomål/A 17854-2026 FSC-klagomål.docx", "A 17854-2026")</f>
        <v/>
      </c>
      <c r="W205">
        <f>HYPERLINK("https://klasma.github.io/Logging_0980/klagomålsmail/A 17854-2026 FSC-klagomål mail.docx", "A 17854-2026")</f>
        <v/>
      </c>
      <c r="X205">
        <f>HYPERLINK("https://klasma.github.io/Logging_0980/tillsyn/A 17854-2026 tillsynsbegäran.docx", "A 17854-2026")</f>
        <v/>
      </c>
      <c r="Y205">
        <f>HYPERLINK("https://klasma.github.io/Logging_0980/tillsynsmail/A 17854-2026 tillsynsbegäran mail.docx", "A 17854-2026")</f>
        <v/>
      </c>
    </row>
    <row r="206" ht="15" customHeight="1">
      <c r="A206" t="inlineStr">
        <is>
          <t>A 18036-2026</t>
        </is>
      </c>
      <c r="B206" s="1" t="n">
        <v>46125</v>
      </c>
      <c r="C206" s="1" t="n">
        <v>46201</v>
      </c>
      <c r="D206" t="inlineStr">
        <is>
          <t>GOTLANDS LÄN</t>
        </is>
      </c>
      <c r="E206" t="inlineStr">
        <is>
          <t>GOTLAND</t>
        </is>
      </c>
      <c r="G206" t="n">
        <v>1.8</v>
      </c>
      <c r="H206" t="n">
        <v>0</v>
      </c>
      <c r="I206" t="n">
        <v>0</v>
      </c>
      <c r="J206" t="n">
        <v>1</v>
      </c>
      <c r="K206" t="n">
        <v>0</v>
      </c>
      <c r="L206" t="n">
        <v>0</v>
      </c>
      <c r="M206" t="n">
        <v>0</v>
      </c>
      <c r="N206" t="n">
        <v>0</v>
      </c>
      <c r="O206" t="n">
        <v>1</v>
      </c>
      <c r="P206" t="n">
        <v>0</v>
      </c>
      <c r="Q206" t="n">
        <v>1</v>
      </c>
      <c r="R206" s="2" t="inlineStr">
        <is>
          <t>Sommarfibbla</t>
        </is>
      </c>
      <c r="S206">
        <f>HYPERLINK("https://klasma.github.io/Logging_0980/artfynd/A 18036-2026 artfynd.xlsx", "A 18036-2026")</f>
        <v/>
      </c>
      <c r="T206">
        <f>HYPERLINK("https://klasma.github.io/Logging_0980/kartor/A 18036-2026 karta.png", "A 18036-2026")</f>
        <v/>
      </c>
      <c r="V206">
        <f>HYPERLINK("https://klasma.github.io/Logging_0980/klagomål/A 18036-2026 FSC-klagomål.docx", "A 18036-2026")</f>
        <v/>
      </c>
      <c r="W206">
        <f>HYPERLINK("https://klasma.github.io/Logging_0980/klagomålsmail/A 18036-2026 FSC-klagomål mail.docx", "A 18036-2026")</f>
        <v/>
      </c>
      <c r="X206">
        <f>HYPERLINK("https://klasma.github.io/Logging_0980/tillsyn/A 18036-2026 tillsynsbegäran.docx", "A 18036-2026")</f>
        <v/>
      </c>
      <c r="Y206">
        <f>HYPERLINK("https://klasma.github.io/Logging_0980/tillsynsmail/A 18036-2026 tillsynsbegäran mail.docx", "A 18036-2026")</f>
        <v/>
      </c>
    </row>
    <row r="207" ht="15" customHeight="1">
      <c r="A207" t="inlineStr">
        <is>
          <t>A 5863-2026</t>
        </is>
      </c>
      <c r="B207" s="1" t="n">
        <v>46052</v>
      </c>
      <c r="C207" s="1" t="n">
        <v>46201</v>
      </c>
      <c r="D207" t="inlineStr">
        <is>
          <t>GOTLANDS LÄN</t>
        </is>
      </c>
      <c r="E207" t="inlineStr">
        <is>
          <t>GOTLAND</t>
        </is>
      </c>
      <c r="G207" t="n">
        <v>1.8</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5863-2026 artfynd.xlsx", "A 5863-2026")</f>
        <v/>
      </c>
      <c r="T207">
        <f>HYPERLINK("https://klasma.github.io/Logging_0980/kartor/A 5863-2026 karta.png", "A 5863-2026")</f>
        <v/>
      </c>
      <c r="V207">
        <f>HYPERLINK("https://klasma.github.io/Logging_0980/klagomål/A 5863-2026 FSC-klagomål.docx", "A 5863-2026")</f>
        <v/>
      </c>
      <c r="W207">
        <f>HYPERLINK("https://klasma.github.io/Logging_0980/klagomålsmail/A 5863-2026 FSC-klagomål mail.docx", "A 5863-2026")</f>
        <v/>
      </c>
      <c r="X207">
        <f>HYPERLINK("https://klasma.github.io/Logging_0980/tillsyn/A 5863-2026 tillsynsbegäran.docx", "A 5863-2026")</f>
        <v/>
      </c>
      <c r="Y207">
        <f>HYPERLINK("https://klasma.github.io/Logging_0980/tillsynsmail/A 5863-2026 tillsynsbegäran mail.docx", "A 5863-2026")</f>
        <v/>
      </c>
    </row>
    <row r="208" ht="15" customHeight="1">
      <c r="A208" t="inlineStr">
        <is>
          <t>A 27343-2026</t>
        </is>
      </c>
      <c r="B208" s="1" t="n">
        <v>46188</v>
      </c>
      <c r="C208" s="1" t="n">
        <v>46201</v>
      </c>
      <c r="D208" t="inlineStr">
        <is>
          <t>GOTLANDS LÄN</t>
        </is>
      </c>
      <c r="E208" t="inlineStr">
        <is>
          <t>GOTLAND</t>
        </is>
      </c>
      <c r="G208" t="n">
        <v>1.1</v>
      </c>
      <c r="H208" t="n">
        <v>1</v>
      </c>
      <c r="I208" t="n">
        <v>1</v>
      </c>
      <c r="J208" t="n">
        <v>0</v>
      </c>
      <c r="K208" t="n">
        <v>0</v>
      </c>
      <c r="L208" t="n">
        <v>0</v>
      </c>
      <c r="M208" t="n">
        <v>0</v>
      </c>
      <c r="N208" t="n">
        <v>0</v>
      </c>
      <c r="O208" t="n">
        <v>0</v>
      </c>
      <c r="P208" t="n">
        <v>0</v>
      </c>
      <c r="Q208" t="n">
        <v>1</v>
      </c>
      <c r="R208" s="2" t="inlineStr">
        <is>
          <t>Skogsknipprot</t>
        </is>
      </c>
      <c r="S208">
        <f>HYPERLINK("https://klasma.github.io/Logging_0980/artfynd/A 27343-2026 artfynd.xlsx", "A 27343-2026")</f>
        <v/>
      </c>
      <c r="T208">
        <f>HYPERLINK("https://klasma.github.io/Logging_0980/kartor/A 27343-2026 karta.png", "A 27343-2026")</f>
        <v/>
      </c>
      <c r="V208">
        <f>HYPERLINK("https://klasma.github.io/Logging_0980/klagomål/A 27343-2026 FSC-klagomål.docx", "A 27343-2026")</f>
        <v/>
      </c>
      <c r="W208">
        <f>HYPERLINK("https://klasma.github.io/Logging_0980/klagomålsmail/A 27343-2026 FSC-klagomål mail.docx", "A 27343-2026")</f>
        <v/>
      </c>
      <c r="X208">
        <f>HYPERLINK("https://klasma.github.io/Logging_0980/tillsyn/A 27343-2026 tillsynsbegäran.docx", "A 27343-2026")</f>
        <v/>
      </c>
      <c r="Y208">
        <f>HYPERLINK("https://klasma.github.io/Logging_0980/tillsynsmail/A 27343-2026 tillsynsbegäran mail.docx", "A 27343-2026")</f>
        <v/>
      </c>
    </row>
    <row r="209" ht="15" customHeight="1">
      <c r="A209" t="inlineStr">
        <is>
          <t>A 21396-2026</t>
        </is>
      </c>
      <c r="B209" s="1" t="n">
        <v>46148</v>
      </c>
      <c r="C209" s="1" t="n">
        <v>46201</v>
      </c>
      <c r="D209" t="inlineStr">
        <is>
          <t>GOTLANDS LÄN</t>
        </is>
      </c>
      <c r="E209" t="inlineStr">
        <is>
          <t>GOTLAND</t>
        </is>
      </c>
      <c r="G209" t="n">
        <v>6.1</v>
      </c>
      <c r="H209" t="n">
        <v>0</v>
      </c>
      <c r="I209" t="n">
        <v>0</v>
      </c>
      <c r="J209" t="n">
        <v>0</v>
      </c>
      <c r="K209" t="n">
        <v>1</v>
      </c>
      <c r="L209" t="n">
        <v>0</v>
      </c>
      <c r="M209" t="n">
        <v>0</v>
      </c>
      <c r="N209" t="n">
        <v>0</v>
      </c>
      <c r="O209" t="n">
        <v>1</v>
      </c>
      <c r="P209" t="n">
        <v>1</v>
      </c>
      <c r="Q209" t="n">
        <v>1</v>
      </c>
      <c r="R209" s="2" t="inlineStr">
        <is>
          <t>Oxhorndyvel</t>
        </is>
      </c>
      <c r="S209">
        <f>HYPERLINK("https://klasma.github.io/Logging_0980/artfynd/A 21396-2026 artfynd.xlsx", "A 21396-2026")</f>
        <v/>
      </c>
      <c r="T209">
        <f>HYPERLINK("https://klasma.github.io/Logging_0980/kartor/A 21396-2026 karta.png", "A 21396-2026")</f>
        <v/>
      </c>
      <c r="V209">
        <f>HYPERLINK("https://klasma.github.io/Logging_0980/klagomål/A 21396-2026 FSC-klagomål.docx", "A 21396-2026")</f>
        <v/>
      </c>
      <c r="W209">
        <f>HYPERLINK("https://klasma.github.io/Logging_0980/klagomålsmail/A 21396-2026 FSC-klagomål mail.docx", "A 21396-2026")</f>
        <v/>
      </c>
      <c r="X209">
        <f>HYPERLINK("https://klasma.github.io/Logging_0980/tillsyn/A 21396-2026 tillsynsbegäran.docx", "A 21396-2026")</f>
        <v/>
      </c>
      <c r="Y209">
        <f>HYPERLINK("https://klasma.github.io/Logging_0980/tillsynsmail/A 21396-2026 tillsynsbegäran mail.docx", "A 21396-2026")</f>
        <v/>
      </c>
    </row>
    <row r="210" ht="15" customHeight="1">
      <c r="A210" t="inlineStr">
        <is>
          <t>A 36313-2021</t>
        </is>
      </c>
      <c r="B210" s="1" t="n">
        <v>44390</v>
      </c>
      <c r="C210" s="1" t="n">
        <v>46201</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46201</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46201</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24235-2022</t>
        </is>
      </c>
      <c r="B213" s="1" t="n">
        <v>44725</v>
      </c>
      <c r="C213" s="1" t="n">
        <v>46201</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32647-2021</t>
        </is>
      </c>
      <c r="B214" s="1" t="n">
        <v>44375</v>
      </c>
      <c r="C214" s="1" t="n">
        <v>46201</v>
      </c>
      <c r="D214" t="inlineStr">
        <is>
          <t>GOTLANDS LÄN</t>
        </is>
      </c>
      <c r="E214" t="inlineStr">
        <is>
          <t>GOTLAND</t>
        </is>
      </c>
      <c r="G214" t="n">
        <v>1.7</v>
      </c>
      <c r="H214" t="n">
        <v>0</v>
      </c>
      <c r="I214" t="n">
        <v>0</v>
      </c>
      <c r="J214" t="n">
        <v>0</v>
      </c>
      <c r="K214" t="n">
        <v>0</v>
      </c>
      <c r="L214" t="n">
        <v>0</v>
      </c>
      <c r="M214" t="n">
        <v>0</v>
      </c>
      <c r="N214" t="n">
        <v>0</v>
      </c>
      <c r="O214" t="n">
        <v>0</v>
      </c>
      <c r="P214" t="n">
        <v>0</v>
      </c>
      <c r="Q214" t="n">
        <v>0</v>
      </c>
      <c r="R214" s="2" t="inlineStr"/>
    </row>
    <row r="215" ht="15" customHeight="1">
      <c r="A215" t="inlineStr">
        <is>
          <t>A 16858-2022</t>
        </is>
      </c>
      <c r="B215" s="1" t="n">
        <v>44674</v>
      </c>
      <c r="C215" s="1" t="n">
        <v>46201</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46201</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46201</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46201</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v>
      </c>
      <c r="C219" s="1" t="n">
        <v>46201</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42688-2021</t>
        </is>
      </c>
      <c r="B220" s="1" t="n">
        <v>44428</v>
      </c>
      <c r="C220" s="1" t="n">
        <v>46201</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46201</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24123-2022</t>
        </is>
      </c>
      <c r="B222" s="1" t="n">
        <v>44725</v>
      </c>
      <c r="C222" s="1" t="n">
        <v>46201</v>
      </c>
      <c r="D222" t="inlineStr">
        <is>
          <t>GOTLANDS LÄN</t>
        </is>
      </c>
      <c r="E222" t="inlineStr">
        <is>
          <t>GOTLAND</t>
        </is>
      </c>
      <c r="G222" t="n">
        <v>6</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46201</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46201</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60607-2021</t>
        </is>
      </c>
      <c r="B225" s="1" t="n">
        <v>44496</v>
      </c>
      <c r="C225" s="1" t="n">
        <v>46201</v>
      </c>
      <c r="D225" t="inlineStr">
        <is>
          <t>GOTLANDS LÄN</t>
        </is>
      </c>
      <c r="E225" t="inlineStr">
        <is>
          <t>GOTLAND</t>
        </is>
      </c>
      <c r="G225" t="n">
        <v>0.6</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46201</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46201</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46201</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71010-2021</t>
        </is>
      </c>
      <c r="B229" s="1" t="n">
        <v>44538</v>
      </c>
      <c r="C229" s="1" t="n">
        <v>46201</v>
      </c>
      <c r="D229" t="inlineStr">
        <is>
          <t>GOTLANDS LÄN</t>
        </is>
      </c>
      <c r="E229" t="inlineStr">
        <is>
          <t>GOTLAND</t>
        </is>
      </c>
      <c r="G229" t="n">
        <v>0.5</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v>
      </c>
      <c r="C230" s="1" t="n">
        <v>46201</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46201</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20855-2023</t>
        </is>
      </c>
      <c r="B232" s="1" t="n">
        <v>45058</v>
      </c>
      <c r="C232" s="1" t="n">
        <v>46201</v>
      </c>
      <c r="D232" t="inlineStr">
        <is>
          <t>GOTLANDS LÄN</t>
        </is>
      </c>
      <c r="E232" t="inlineStr">
        <is>
          <t>GOTLAND</t>
        </is>
      </c>
      <c r="G232" t="n">
        <v>1.7</v>
      </c>
      <c r="H232" t="n">
        <v>0</v>
      </c>
      <c r="I232" t="n">
        <v>0</v>
      </c>
      <c r="J232" t="n">
        <v>0</v>
      </c>
      <c r="K232" t="n">
        <v>0</v>
      </c>
      <c r="L232" t="n">
        <v>0</v>
      </c>
      <c r="M232" t="n">
        <v>0</v>
      </c>
      <c r="N232" t="n">
        <v>0</v>
      </c>
      <c r="O232" t="n">
        <v>0</v>
      </c>
      <c r="P232" t="n">
        <v>0</v>
      </c>
      <c r="Q232" t="n">
        <v>0</v>
      </c>
      <c r="R232" s="2" t="inlineStr"/>
    </row>
    <row r="233" ht="15" customHeight="1">
      <c r="A233" t="inlineStr">
        <is>
          <t>A 17901-2023</t>
        </is>
      </c>
      <c r="B233" s="1" t="n">
        <v>45039</v>
      </c>
      <c r="C233" s="1" t="n">
        <v>46201</v>
      </c>
      <c r="D233" t="inlineStr">
        <is>
          <t>GOTLANDS LÄN</t>
        </is>
      </c>
      <c r="E233" t="inlineStr">
        <is>
          <t>GOTLAND</t>
        </is>
      </c>
      <c r="F233" t="inlineStr">
        <is>
          <t>Kyrkan</t>
        </is>
      </c>
      <c r="G233" t="n">
        <v>0.6</v>
      </c>
      <c r="H233" t="n">
        <v>0</v>
      </c>
      <c r="I233" t="n">
        <v>0</v>
      </c>
      <c r="J233" t="n">
        <v>0</v>
      </c>
      <c r="K233" t="n">
        <v>0</v>
      </c>
      <c r="L233" t="n">
        <v>0</v>
      </c>
      <c r="M233" t="n">
        <v>0</v>
      </c>
      <c r="N233" t="n">
        <v>0</v>
      </c>
      <c r="O233" t="n">
        <v>0</v>
      </c>
      <c r="P233" t="n">
        <v>0</v>
      </c>
      <c r="Q233" t="n">
        <v>0</v>
      </c>
      <c r="R233" s="2" t="inlineStr"/>
    </row>
    <row r="234" ht="15" customHeight="1">
      <c r="A234" t="inlineStr">
        <is>
          <t>A 456-2023</t>
        </is>
      </c>
      <c r="B234" s="1" t="n">
        <v>44929</v>
      </c>
      <c r="C234" s="1" t="n">
        <v>46201</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60709-2023</t>
        </is>
      </c>
      <c r="B235" s="1" t="n">
        <v>45260</v>
      </c>
      <c r="C235" s="1" t="n">
        <v>46201</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1000-2024</t>
        </is>
      </c>
      <c r="B236" s="1" t="n">
        <v>45301</v>
      </c>
      <c r="C236" s="1" t="n">
        <v>46201</v>
      </c>
      <c r="D236" t="inlineStr">
        <is>
          <t>GOTLANDS LÄN</t>
        </is>
      </c>
      <c r="E236" t="inlineStr">
        <is>
          <t>GOTLAND</t>
        </is>
      </c>
      <c r="G236" t="n">
        <v>1</v>
      </c>
      <c r="H236" t="n">
        <v>0</v>
      </c>
      <c r="I236" t="n">
        <v>0</v>
      </c>
      <c r="J236" t="n">
        <v>0</v>
      </c>
      <c r="K236" t="n">
        <v>0</v>
      </c>
      <c r="L236" t="n">
        <v>0</v>
      </c>
      <c r="M236" t="n">
        <v>0</v>
      </c>
      <c r="N236" t="n">
        <v>0</v>
      </c>
      <c r="O236" t="n">
        <v>0</v>
      </c>
      <c r="P236" t="n">
        <v>0</v>
      </c>
      <c r="Q236" t="n">
        <v>0</v>
      </c>
      <c r="R236" s="2" t="inlineStr"/>
    </row>
    <row r="237" ht="15" customHeight="1">
      <c r="A237" t="inlineStr">
        <is>
          <t>A 65249-2023</t>
        </is>
      </c>
      <c r="B237" s="1" t="n">
        <v>45290</v>
      </c>
      <c r="C237" s="1" t="n">
        <v>46201</v>
      </c>
      <c r="D237" t="inlineStr">
        <is>
          <t>GOTLANDS LÄN</t>
        </is>
      </c>
      <c r="E237" t="inlineStr">
        <is>
          <t>GOTLAND</t>
        </is>
      </c>
      <c r="G237" t="n">
        <v>2.4</v>
      </c>
      <c r="H237" t="n">
        <v>0</v>
      </c>
      <c r="I237" t="n">
        <v>0</v>
      </c>
      <c r="J237" t="n">
        <v>0</v>
      </c>
      <c r="K237" t="n">
        <v>0</v>
      </c>
      <c r="L237" t="n">
        <v>0</v>
      </c>
      <c r="M237" t="n">
        <v>0</v>
      </c>
      <c r="N237" t="n">
        <v>0</v>
      </c>
      <c r="O237" t="n">
        <v>0</v>
      </c>
      <c r="P237" t="n">
        <v>0</v>
      </c>
      <c r="Q237" t="n">
        <v>0</v>
      </c>
      <c r="R237" s="2" t="inlineStr"/>
    </row>
    <row r="238" ht="15" customHeight="1">
      <c r="A238" t="inlineStr">
        <is>
          <t>A 30956-2024</t>
        </is>
      </c>
      <c r="B238" s="1" t="n">
        <v>45499</v>
      </c>
      <c r="C238" s="1" t="n">
        <v>46201</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12596-2023</t>
        </is>
      </c>
      <c r="B239" s="1" t="n">
        <v>45000</v>
      </c>
      <c r="C239" s="1" t="n">
        <v>46201</v>
      </c>
      <c r="D239" t="inlineStr">
        <is>
          <t>GOTLANDS LÄN</t>
        </is>
      </c>
      <c r="E239" t="inlineStr">
        <is>
          <t>GOTLAND</t>
        </is>
      </c>
      <c r="G239" t="n">
        <v>4.1</v>
      </c>
      <c r="H239" t="n">
        <v>0</v>
      </c>
      <c r="I239" t="n">
        <v>0</v>
      </c>
      <c r="J239" t="n">
        <v>0</v>
      </c>
      <c r="K239" t="n">
        <v>0</v>
      </c>
      <c r="L239" t="n">
        <v>0</v>
      </c>
      <c r="M239" t="n">
        <v>0</v>
      </c>
      <c r="N239" t="n">
        <v>0</v>
      </c>
      <c r="O239" t="n">
        <v>0</v>
      </c>
      <c r="P239" t="n">
        <v>0</v>
      </c>
      <c r="Q239" t="n">
        <v>0</v>
      </c>
      <c r="R239" s="2" t="inlineStr"/>
    </row>
    <row r="240" ht="15" customHeight="1">
      <c r="A240" t="inlineStr">
        <is>
          <t>A 3150-2025</t>
        </is>
      </c>
      <c r="B240" s="1" t="n">
        <v>45679</v>
      </c>
      <c r="C240" s="1" t="n">
        <v>46201</v>
      </c>
      <c r="D240" t="inlineStr">
        <is>
          <t>GOTLANDS LÄN</t>
        </is>
      </c>
      <c r="E240" t="inlineStr">
        <is>
          <t>GOTLAND</t>
        </is>
      </c>
      <c r="G240" t="n">
        <v>2.5</v>
      </c>
      <c r="H240" t="n">
        <v>0</v>
      </c>
      <c r="I240" t="n">
        <v>0</v>
      </c>
      <c r="J240" t="n">
        <v>0</v>
      </c>
      <c r="K240" t="n">
        <v>0</v>
      </c>
      <c r="L240" t="n">
        <v>0</v>
      </c>
      <c r="M240" t="n">
        <v>0</v>
      </c>
      <c r="N240" t="n">
        <v>0</v>
      </c>
      <c r="O240" t="n">
        <v>0</v>
      </c>
      <c r="P240" t="n">
        <v>0</v>
      </c>
      <c r="Q240" t="n">
        <v>0</v>
      </c>
      <c r="R240" s="2" t="inlineStr"/>
    </row>
    <row r="241" ht="15" customHeight="1">
      <c r="A241" t="inlineStr">
        <is>
          <t>A 8045-2022</t>
        </is>
      </c>
      <c r="B241" s="1" t="n">
        <v>44609</v>
      </c>
      <c r="C241" s="1" t="n">
        <v>46201</v>
      </c>
      <c r="D241" t="inlineStr">
        <is>
          <t>GOTLANDS LÄN</t>
        </is>
      </c>
      <c r="E241" t="inlineStr">
        <is>
          <t>GOTLAND</t>
        </is>
      </c>
      <c r="G241" t="n">
        <v>7</v>
      </c>
      <c r="H241" t="n">
        <v>0</v>
      </c>
      <c r="I241" t="n">
        <v>0</v>
      </c>
      <c r="J241" t="n">
        <v>0</v>
      </c>
      <c r="K241" t="n">
        <v>0</v>
      </c>
      <c r="L241" t="n">
        <v>0</v>
      </c>
      <c r="M241" t="n">
        <v>0</v>
      </c>
      <c r="N241" t="n">
        <v>0</v>
      </c>
      <c r="O241" t="n">
        <v>0</v>
      </c>
      <c r="P241" t="n">
        <v>0</v>
      </c>
      <c r="Q241" t="n">
        <v>0</v>
      </c>
      <c r="R241" s="2" t="inlineStr"/>
    </row>
    <row r="242" ht="15" customHeight="1">
      <c r="A242" t="inlineStr">
        <is>
          <t>A 61596-2023</t>
        </is>
      </c>
      <c r="B242" s="1" t="n">
        <v>45265</v>
      </c>
      <c r="C242" s="1" t="n">
        <v>46201</v>
      </c>
      <c r="D242" t="inlineStr">
        <is>
          <t>GOTLANDS LÄN</t>
        </is>
      </c>
      <c r="E242" t="inlineStr">
        <is>
          <t>GOTLAND</t>
        </is>
      </c>
      <c r="G242" t="n">
        <v>1.7</v>
      </c>
      <c r="H242" t="n">
        <v>0</v>
      </c>
      <c r="I242" t="n">
        <v>0</v>
      </c>
      <c r="J242" t="n">
        <v>0</v>
      </c>
      <c r="K242" t="n">
        <v>0</v>
      </c>
      <c r="L242" t="n">
        <v>0</v>
      </c>
      <c r="M242" t="n">
        <v>0</v>
      </c>
      <c r="N242" t="n">
        <v>0</v>
      </c>
      <c r="O242" t="n">
        <v>0</v>
      </c>
      <c r="P242" t="n">
        <v>0</v>
      </c>
      <c r="Q242" t="n">
        <v>0</v>
      </c>
      <c r="R242" s="2" t="inlineStr"/>
    </row>
    <row r="243" ht="15" customHeight="1">
      <c r="A243" t="inlineStr">
        <is>
          <t>A 999-2024</t>
        </is>
      </c>
      <c r="B243" s="1" t="n">
        <v>45301</v>
      </c>
      <c r="C243" s="1" t="n">
        <v>46201</v>
      </c>
      <c r="D243" t="inlineStr">
        <is>
          <t>GOTLANDS LÄN</t>
        </is>
      </c>
      <c r="E243" t="inlineStr">
        <is>
          <t>GOTLAND</t>
        </is>
      </c>
      <c r="G243" t="n">
        <v>1</v>
      </c>
      <c r="H243" t="n">
        <v>0</v>
      </c>
      <c r="I243" t="n">
        <v>0</v>
      </c>
      <c r="J243" t="n">
        <v>0</v>
      </c>
      <c r="K243" t="n">
        <v>0</v>
      </c>
      <c r="L243" t="n">
        <v>0</v>
      </c>
      <c r="M243" t="n">
        <v>0</v>
      </c>
      <c r="N243" t="n">
        <v>0</v>
      </c>
      <c r="O243" t="n">
        <v>0</v>
      </c>
      <c r="P243" t="n">
        <v>0</v>
      </c>
      <c r="Q243" t="n">
        <v>0</v>
      </c>
      <c r="R243" s="2" t="inlineStr"/>
    </row>
    <row r="244" ht="15" customHeight="1">
      <c r="A244" t="inlineStr">
        <is>
          <t>A 65901-2021</t>
        </is>
      </c>
      <c r="B244" s="1" t="n">
        <v>44516</v>
      </c>
      <c r="C244" s="1" t="n">
        <v>46201</v>
      </c>
      <c r="D244" t="inlineStr">
        <is>
          <t>GOTLANDS LÄN</t>
        </is>
      </c>
      <c r="E244" t="inlineStr">
        <is>
          <t>GOTLAND</t>
        </is>
      </c>
      <c r="G244" t="n">
        <v>4.9</v>
      </c>
      <c r="H244" t="n">
        <v>0</v>
      </c>
      <c r="I244" t="n">
        <v>0</v>
      </c>
      <c r="J244" t="n">
        <v>0</v>
      </c>
      <c r="K244" t="n">
        <v>0</v>
      </c>
      <c r="L244" t="n">
        <v>0</v>
      </c>
      <c r="M244" t="n">
        <v>0</v>
      </c>
      <c r="N244" t="n">
        <v>0</v>
      </c>
      <c r="O244" t="n">
        <v>0</v>
      </c>
      <c r="P244" t="n">
        <v>0</v>
      </c>
      <c r="Q244" t="n">
        <v>0</v>
      </c>
      <c r="R244" s="2" t="inlineStr"/>
    </row>
    <row r="245" ht="15" customHeight="1">
      <c r="A245" t="inlineStr">
        <is>
          <t>A 873-2024</t>
        </is>
      </c>
      <c r="B245" s="1" t="n">
        <v>45301</v>
      </c>
      <c r="C245" s="1" t="n">
        <v>46201</v>
      </c>
      <c r="D245" t="inlineStr">
        <is>
          <t>GOTLANDS LÄN</t>
        </is>
      </c>
      <c r="E245" t="inlineStr">
        <is>
          <t>GOTLAND</t>
        </is>
      </c>
      <c r="G245" t="n">
        <v>2.7</v>
      </c>
      <c r="H245" t="n">
        <v>0</v>
      </c>
      <c r="I245" t="n">
        <v>0</v>
      </c>
      <c r="J245" t="n">
        <v>0</v>
      </c>
      <c r="K245" t="n">
        <v>0</v>
      </c>
      <c r="L245" t="n">
        <v>0</v>
      </c>
      <c r="M245" t="n">
        <v>0</v>
      </c>
      <c r="N245" t="n">
        <v>0</v>
      </c>
      <c r="O245" t="n">
        <v>0</v>
      </c>
      <c r="P245" t="n">
        <v>0</v>
      </c>
      <c r="Q245" t="n">
        <v>0</v>
      </c>
      <c r="R245" s="2" t="inlineStr"/>
    </row>
    <row r="246" ht="15" customHeight="1">
      <c r="A246" t="inlineStr">
        <is>
          <t>A 42041-2024</t>
        </is>
      </c>
      <c r="B246" s="1" t="n">
        <v>45561</v>
      </c>
      <c r="C246" s="1" t="n">
        <v>46201</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v>
      </c>
      <c r="C247" s="1" t="n">
        <v>46201</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47762-2023</t>
        </is>
      </c>
      <c r="B248" s="1" t="n">
        <v>45203</v>
      </c>
      <c r="C248" s="1" t="n">
        <v>46201</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58780-2024</t>
        </is>
      </c>
      <c r="B249" s="1" t="n">
        <v>45635</v>
      </c>
      <c r="C249" s="1" t="n">
        <v>46201</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12322-2025</t>
        </is>
      </c>
      <c r="B250" s="1" t="n">
        <v>45730</v>
      </c>
      <c r="C250" s="1" t="n">
        <v>46201</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v>
      </c>
      <c r="C251" s="1" t="n">
        <v>46201</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24192-2023</t>
        </is>
      </c>
      <c r="B252" s="1" t="n">
        <v>45079</v>
      </c>
      <c r="C252" s="1" t="n">
        <v>46201</v>
      </c>
      <c r="D252" t="inlineStr">
        <is>
          <t>GOTLANDS LÄN</t>
        </is>
      </c>
      <c r="E252" t="inlineStr">
        <is>
          <t>GOTLAND</t>
        </is>
      </c>
      <c r="G252" t="n">
        <v>2.1</v>
      </c>
      <c r="H252" t="n">
        <v>0</v>
      </c>
      <c r="I252" t="n">
        <v>0</v>
      </c>
      <c r="J252" t="n">
        <v>0</v>
      </c>
      <c r="K252" t="n">
        <v>0</v>
      </c>
      <c r="L252" t="n">
        <v>0</v>
      </c>
      <c r="M252" t="n">
        <v>0</v>
      </c>
      <c r="N252" t="n">
        <v>0</v>
      </c>
      <c r="O252" t="n">
        <v>0</v>
      </c>
      <c r="P252" t="n">
        <v>0</v>
      </c>
      <c r="Q252" t="n">
        <v>0</v>
      </c>
      <c r="R252" s="2" t="inlineStr"/>
    </row>
    <row r="253" ht="15" customHeight="1">
      <c r="A253" t="inlineStr">
        <is>
          <t>A 30282-2022</t>
        </is>
      </c>
      <c r="B253" s="1" t="n">
        <v>44760</v>
      </c>
      <c r="C253" s="1" t="n">
        <v>46201</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7835-2024</t>
        </is>
      </c>
      <c r="B254" s="1" t="n">
        <v>45349</v>
      </c>
      <c r="C254" s="1" t="n">
        <v>46201</v>
      </c>
      <c r="D254" t="inlineStr">
        <is>
          <t>GOTLANDS LÄN</t>
        </is>
      </c>
      <c r="E254" t="inlineStr">
        <is>
          <t>GOTLAND</t>
        </is>
      </c>
      <c r="G254" t="n">
        <v>3.8</v>
      </c>
      <c r="H254" t="n">
        <v>0</v>
      </c>
      <c r="I254" t="n">
        <v>0</v>
      </c>
      <c r="J254" t="n">
        <v>0</v>
      </c>
      <c r="K254" t="n">
        <v>0</v>
      </c>
      <c r="L254" t="n">
        <v>0</v>
      </c>
      <c r="M254" t="n">
        <v>0</v>
      </c>
      <c r="N254" t="n">
        <v>0</v>
      </c>
      <c r="O254" t="n">
        <v>0</v>
      </c>
      <c r="P254" t="n">
        <v>0</v>
      </c>
      <c r="Q254" t="n">
        <v>0</v>
      </c>
      <c r="R254" s="2" t="inlineStr"/>
    </row>
    <row r="255" ht="15" customHeight="1">
      <c r="A255" t="inlineStr">
        <is>
          <t>A 10650-2022</t>
        </is>
      </c>
      <c r="B255" s="1" t="n">
        <v>44624</v>
      </c>
      <c r="C255" s="1" t="n">
        <v>46201</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13498-2022</t>
        </is>
      </c>
      <c r="B256" s="1" t="n">
        <v>44647</v>
      </c>
      <c r="C256" s="1" t="n">
        <v>46201</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13500-2022</t>
        </is>
      </c>
      <c r="B257" s="1" t="n">
        <v>44647</v>
      </c>
      <c r="C257" s="1" t="n">
        <v>46201</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28425-2023</t>
        </is>
      </c>
      <c r="B258" s="1" t="n">
        <v>45102</v>
      </c>
      <c r="C258" s="1" t="n">
        <v>46201</v>
      </c>
      <c r="D258" t="inlineStr">
        <is>
          <t>GOTLANDS LÄN</t>
        </is>
      </c>
      <c r="E258" t="inlineStr">
        <is>
          <t>GOTLAND</t>
        </is>
      </c>
      <c r="G258" t="n">
        <v>0.5</v>
      </c>
      <c r="H258" t="n">
        <v>0</v>
      </c>
      <c r="I258" t="n">
        <v>0</v>
      </c>
      <c r="J258" t="n">
        <v>0</v>
      </c>
      <c r="K258" t="n">
        <v>0</v>
      </c>
      <c r="L258" t="n">
        <v>0</v>
      </c>
      <c r="M258" t="n">
        <v>0</v>
      </c>
      <c r="N258" t="n">
        <v>0</v>
      </c>
      <c r="O258" t="n">
        <v>0</v>
      </c>
      <c r="P258" t="n">
        <v>0</v>
      </c>
      <c r="Q258" t="n">
        <v>0</v>
      </c>
      <c r="R258" s="2" t="inlineStr"/>
    </row>
    <row r="259" ht="15" customHeight="1">
      <c r="A259" t="inlineStr">
        <is>
          <t>A 54073-2022</t>
        </is>
      </c>
      <c r="B259" s="1" t="n">
        <v>44881</v>
      </c>
      <c r="C259" s="1" t="n">
        <v>46201</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13037-2025</t>
        </is>
      </c>
      <c r="B260" s="1" t="n">
        <v>45734</v>
      </c>
      <c r="C260" s="1" t="n">
        <v>46201</v>
      </c>
      <c r="D260" t="inlineStr">
        <is>
          <t>GOTLANDS LÄN</t>
        </is>
      </c>
      <c r="E260" t="inlineStr">
        <is>
          <t>GOTLAND</t>
        </is>
      </c>
      <c r="G260" t="n">
        <v>9.5</v>
      </c>
      <c r="H260" t="n">
        <v>0</v>
      </c>
      <c r="I260" t="n">
        <v>0</v>
      </c>
      <c r="J260" t="n">
        <v>0</v>
      </c>
      <c r="K260" t="n">
        <v>0</v>
      </c>
      <c r="L260" t="n">
        <v>0</v>
      </c>
      <c r="M260" t="n">
        <v>0</v>
      </c>
      <c r="N260" t="n">
        <v>0</v>
      </c>
      <c r="O260" t="n">
        <v>0</v>
      </c>
      <c r="P260" t="n">
        <v>0</v>
      </c>
      <c r="Q260" t="n">
        <v>0</v>
      </c>
      <c r="R260" s="2" t="inlineStr"/>
    </row>
    <row r="261" ht="15" customHeight="1">
      <c r="A261" t="inlineStr">
        <is>
          <t>A 3964-2024</t>
        </is>
      </c>
      <c r="B261" s="1" t="n">
        <v>45322</v>
      </c>
      <c r="C261" s="1" t="n">
        <v>46201</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21247-2022</t>
        </is>
      </c>
      <c r="B262" s="1" t="n">
        <v>44705</v>
      </c>
      <c r="C262" s="1" t="n">
        <v>46201</v>
      </c>
      <c r="D262" t="inlineStr">
        <is>
          <t>GOTLANDS LÄN</t>
        </is>
      </c>
      <c r="E262" t="inlineStr">
        <is>
          <t>GOTLAND</t>
        </is>
      </c>
      <c r="G262" t="n">
        <v>16.2</v>
      </c>
      <c r="H262" t="n">
        <v>0</v>
      </c>
      <c r="I262" t="n">
        <v>0</v>
      </c>
      <c r="J262" t="n">
        <v>0</v>
      </c>
      <c r="K262" t="n">
        <v>0</v>
      </c>
      <c r="L262" t="n">
        <v>0</v>
      </c>
      <c r="M262" t="n">
        <v>0</v>
      </c>
      <c r="N262" t="n">
        <v>0</v>
      </c>
      <c r="O262" t="n">
        <v>0</v>
      </c>
      <c r="P262" t="n">
        <v>0</v>
      </c>
      <c r="Q262" t="n">
        <v>0</v>
      </c>
      <c r="R262" s="2" t="inlineStr"/>
    </row>
    <row r="263" ht="15" customHeight="1">
      <c r="A263" t="inlineStr">
        <is>
          <t>A 7026-2023</t>
        </is>
      </c>
      <c r="B263" s="1" t="n">
        <v>44968</v>
      </c>
      <c r="C263" s="1" t="n">
        <v>46201</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52892-2021</t>
        </is>
      </c>
      <c r="B264" s="1" t="n">
        <v>44467</v>
      </c>
      <c r="C264" s="1" t="n">
        <v>46201</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1351-2025</t>
        </is>
      </c>
      <c r="B265" s="1" t="n">
        <v>45667</v>
      </c>
      <c r="C265" s="1" t="n">
        <v>46201</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49874-2024</t>
        </is>
      </c>
      <c r="B266" s="1" t="n">
        <v>45597</v>
      </c>
      <c r="C266" s="1" t="n">
        <v>46201</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10746-2025</t>
        </is>
      </c>
      <c r="B267" s="1" t="n">
        <v>45722</v>
      </c>
      <c r="C267" s="1" t="n">
        <v>46201</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17780-2022</t>
        </is>
      </c>
      <c r="B268" s="1" t="n">
        <v>44682</v>
      </c>
      <c r="C268" s="1" t="n">
        <v>46201</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63516-2023</t>
        </is>
      </c>
      <c r="B269" s="1" t="n">
        <v>45274</v>
      </c>
      <c r="C269" s="1" t="n">
        <v>46201</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51782-2023</t>
        </is>
      </c>
      <c r="B270" s="1" t="n">
        <v>45222</v>
      </c>
      <c r="C270" s="1" t="n">
        <v>46201</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53935-2024</t>
        </is>
      </c>
      <c r="B271" s="1" t="n">
        <v>45615</v>
      </c>
      <c r="C271" s="1" t="n">
        <v>46201</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60675-2021</t>
        </is>
      </c>
      <c r="B272" s="1" t="n">
        <v>44496</v>
      </c>
      <c r="C272" s="1" t="n">
        <v>46201</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43229-2023</t>
        </is>
      </c>
      <c r="B273" s="1" t="n">
        <v>45183</v>
      </c>
      <c r="C273" s="1" t="n">
        <v>46201</v>
      </c>
      <c r="D273" t="inlineStr">
        <is>
          <t>GOTLANDS LÄN</t>
        </is>
      </c>
      <c r="E273" t="inlineStr">
        <is>
          <t>GOTLAND</t>
        </is>
      </c>
      <c r="G273" t="n">
        <v>7.1</v>
      </c>
      <c r="H273" t="n">
        <v>0</v>
      </c>
      <c r="I273" t="n">
        <v>0</v>
      </c>
      <c r="J273" t="n">
        <v>0</v>
      </c>
      <c r="K273" t="n">
        <v>0</v>
      </c>
      <c r="L273" t="n">
        <v>0</v>
      </c>
      <c r="M273" t="n">
        <v>0</v>
      </c>
      <c r="N273" t="n">
        <v>0</v>
      </c>
      <c r="O273" t="n">
        <v>0</v>
      </c>
      <c r="P273" t="n">
        <v>0</v>
      </c>
      <c r="Q273" t="n">
        <v>0</v>
      </c>
      <c r="R273" s="2" t="inlineStr"/>
    </row>
    <row r="274" ht="15" customHeight="1">
      <c r="A274" t="inlineStr">
        <is>
          <t>A 5217-2023</t>
        </is>
      </c>
      <c r="B274" s="1" t="n">
        <v>44959</v>
      </c>
      <c r="C274" s="1" t="n">
        <v>46201</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14638-2025</t>
        </is>
      </c>
      <c r="B275" s="1" t="n">
        <v>45742</v>
      </c>
      <c r="C275" s="1" t="n">
        <v>46201</v>
      </c>
      <c r="D275" t="inlineStr">
        <is>
          <t>GOTLANDS LÄN</t>
        </is>
      </c>
      <c r="E275" t="inlineStr">
        <is>
          <t>GOTLAND</t>
        </is>
      </c>
      <c r="G275" t="n">
        <v>13.4</v>
      </c>
      <c r="H275" t="n">
        <v>0</v>
      </c>
      <c r="I275" t="n">
        <v>0</v>
      </c>
      <c r="J275" t="n">
        <v>0</v>
      </c>
      <c r="K275" t="n">
        <v>0</v>
      </c>
      <c r="L275" t="n">
        <v>0</v>
      </c>
      <c r="M275" t="n">
        <v>0</v>
      </c>
      <c r="N275" t="n">
        <v>0</v>
      </c>
      <c r="O275" t="n">
        <v>0</v>
      </c>
      <c r="P275" t="n">
        <v>0</v>
      </c>
      <c r="Q275" t="n">
        <v>0</v>
      </c>
      <c r="R275" s="2" t="inlineStr"/>
    </row>
    <row r="276" ht="15" customHeight="1">
      <c r="A276" t="inlineStr">
        <is>
          <t>A 41038-2023</t>
        </is>
      </c>
      <c r="B276" s="1" t="n">
        <v>45173</v>
      </c>
      <c r="C276" s="1" t="n">
        <v>46201</v>
      </c>
      <c r="D276" t="inlineStr">
        <is>
          <t>GOTLANDS LÄN</t>
        </is>
      </c>
      <c r="E276" t="inlineStr">
        <is>
          <t>GOTLAND</t>
        </is>
      </c>
      <c r="G276" t="n">
        <v>2.7</v>
      </c>
      <c r="H276" t="n">
        <v>0</v>
      </c>
      <c r="I276" t="n">
        <v>0</v>
      </c>
      <c r="J276" t="n">
        <v>0</v>
      </c>
      <c r="K276" t="n">
        <v>0</v>
      </c>
      <c r="L276" t="n">
        <v>0</v>
      </c>
      <c r="M276" t="n">
        <v>0</v>
      </c>
      <c r="N276" t="n">
        <v>0</v>
      </c>
      <c r="O276" t="n">
        <v>0</v>
      </c>
      <c r="P276" t="n">
        <v>0</v>
      </c>
      <c r="Q276" t="n">
        <v>0</v>
      </c>
      <c r="R276" s="2" t="inlineStr"/>
    </row>
    <row r="277" ht="15" customHeight="1">
      <c r="A277" t="inlineStr">
        <is>
          <t>A 48734-2022</t>
        </is>
      </c>
      <c r="B277" s="1" t="n">
        <v>44855</v>
      </c>
      <c r="C277" s="1" t="n">
        <v>46201</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23516-2023</t>
        </is>
      </c>
      <c r="B278" s="1" t="n">
        <v>45076</v>
      </c>
      <c r="C278" s="1" t="n">
        <v>46201</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43231-2023</t>
        </is>
      </c>
      <c r="B279" s="1" t="n">
        <v>45183</v>
      </c>
      <c r="C279" s="1" t="n">
        <v>46201</v>
      </c>
      <c r="D279" t="inlineStr">
        <is>
          <t>GOTLANDS LÄN</t>
        </is>
      </c>
      <c r="E279" t="inlineStr">
        <is>
          <t>GOTLAND</t>
        </is>
      </c>
      <c r="G279" t="n">
        <v>3.6</v>
      </c>
      <c r="H279" t="n">
        <v>0</v>
      </c>
      <c r="I279" t="n">
        <v>0</v>
      </c>
      <c r="J279" t="n">
        <v>0</v>
      </c>
      <c r="K279" t="n">
        <v>0</v>
      </c>
      <c r="L279" t="n">
        <v>0</v>
      </c>
      <c r="M279" t="n">
        <v>0</v>
      </c>
      <c r="N279" t="n">
        <v>0</v>
      </c>
      <c r="O279" t="n">
        <v>0</v>
      </c>
      <c r="P279" t="n">
        <v>0</v>
      </c>
      <c r="Q279" t="n">
        <v>0</v>
      </c>
      <c r="R279" s="2" t="inlineStr"/>
    </row>
    <row r="280" ht="15" customHeight="1">
      <c r="A280" t="inlineStr">
        <is>
          <t>A 64555-2023</t>
        </is>
      </c>
      <c r="B280" s="1" t="n">
        <v>45281</v>
      </c>
      <c r="C280" s="1" t="n">
        <v>46201</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4421-2024</t>
        </is>
      </c>
      <c r="B281" s="1" t="n">
        <v>45327</v>
      </c>
      <c r="C281" s="1" t="n">
        <v>46201</v>
      </c>
      <c r="D281" t="inlineStr">
        <is>
          <t>GOTLANDS LÄN</t>
        </is>
      </c>
      <c r="E281" t="inlineStr">
        <is>
          <t>GOTLAND</t>
        </is>
      </c>
      <c r="G281" t="n">
        <v>5.1</v>
      </c>
      <c r="H281" t="n">
        <v>0</v>
      </c>
      <c r="I281" t="n">
        <v>0</v>
      </c>
      <c r="J281" t="n">
        <v>0</v>
      </c>
      <c r="K281" t="n">
        <v>0</v>
      </c>
      <c r="L281" t="n">
        <v>0</v>
      </c>
      <c r="M281" t="n">
        <v>0</v>
      </c>
      <c r="N281" t="n">
        <v>0</v>
      </c>
      <c r="O281" t="n">
        <v>0</v>
      </c>
      <c r="P281" t="n">
        <v>0</v>
      </c>
      <c r="Q281" t="n">
        <v>0</v>
      </c>
      <c r="R281" s="2" t="inlineStr"/>
    </row>
    <row r="282" ht="15" customHeight="1">
      <c r="A282" t="inlineStr">
        <is>
          <t>A 457-2023</t>
        </is>
      </c>
      <c r="B282" s="1" t="n">
        <v>44929</v>
      </c>
      <c r="C282" s="1" t="n">
        <v>46201</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459-2023</t>
        </is>
      </c>
      <c r="B283" s="1" t="n">
        <v>44929</v>
      </c>
      <c r="C283" s="1" t="n">
        <v>46201</v>
      </c>
      <c r="D283" t="inlineStr">
        <is>
          <t>GOTLANDS LÄN</t>
        </is>
      </c>
      <c r="E283" t="inlineStr">
        <is>
          <t>GOTLAND</t>
        </is>
      </c>
      <c r="G283" t="n">
        <v>4.2</v>
      </c>
      <c r="H283" t="n">
        <v>0</v>
      </c>
      <c r="I283" t="n">
        <v>0</v>
      </c>
      <c r="J283" t="n">
        <v>0</v>
      </c>
      <c r="K283" t="n">
        <v>0</v>
      </c>
      <c r="L283" t="n">
        <v>0</v>
      </c>
      <c r="M283" t="n">
        <v>0</v>
      </c>
      <c r="N283" t="n">
        <v>0</v>
      </c>
      <c r="O283" t="n">
        <v>0</v>
      </c>
      <c r="P283" t="n">
        <v>0</v>
      </c>
      <c r="Q283" t="n">
        <v>0</v>
      </c>
      <c r="R283" s="2" t="inlineStr"/>
    </row>
    <row r="284" ht="15" customHeight="1">
      <c r="A284" t="inlineStr">
        <is>
          <t>A 25866-2022</t>
        </is>
      </c>
      <c r="B284" s="1" t="n">
        <v>44733</v>
      </c>
      <c r="C284" s="1" t="n">
        <v>46201</v>
      </c>
      <c r="D284" t="inlineStr">
        <is>
          <t>GOTLANDS LÄN</t>
        </is>
      </c>
      <c r="E284" t="inlineStr">
        <is>
          <t>GOTLAND</t>
        </is>
      </c>
      <c r="G284" t="n">
        <v>2.9</v>
      </c>
      <c r="H284" t="n">
        <v>0</v>
      </c>
      <c r="I284" t="n">
        <v>0</v>
      </c>
      <c r="J284" t="n">
        <v>0</v>
      </c>
      <c r="K284" t="n">
        <v>0</v>
      </c>
      <c r="L284" t="n">
        <v>0</v>
      </c>
      <c r="M284" t="n">
        <v>0</v>
      </c>
      <c r="N284" t="n">
        <v>0</v>
      </c>
      <c r="O284" t="n">
        <v>0</v>
      </c>
      <c r="P284" t="n">
        <v>0</v>
      </c>
      <c r="Q284" t="n">
        <v>0</v>
      </c>
      <c r="R284" s="2" t="inlineStr"/>
    </row>
    <row r="285" ht="15" customHeight="1">
      <c r="A285" t="inlineStr">
        <is>
          <t>A 20165-2022</t>
        </is>
      </c>
      <c r="B285" s="1" t="n">
        <v>44698</v>
      </c>
      <c r="C285" s="1" t="n">
        <v>46201</v>
      </c>
      <c r="D285" t="inlineStr">
        <is>
          <t>GOTLANDS LÄN</t>
        </is>
      </c>
      <c r="E285" t="inlineStr">
        <is>
          <t>GOTLAND</t>
        </is>
      </c>
      <c r="G285" t="n">
        <v>4.1</v>
      </c>
      <c r="H285" t="n">
        <v>0</v>
      </c>
      <c r="I285" t="n">
        <v>0</v>
      </c>
      <c r="J285" t="n">
        <v>0</v>
      </c>
      <c r="K285" t="n">
        <v>0</v>
      </c>
      <c r="L285" t="n">
        <v>0</v>
      </c>
      <c r="M285" t="n">
        <v>0</v>
      </c>
      <c r="N285" t="n">
        <v>0</v>
      </c>
      <c r="O285" t="n">
        <v>0</v>
      </c>
      <c r="P285" t="n">
        <v>0</v>
      </c>
      <c r="Q285" t="n">
        <v>0</v>
      </c>
      <c r="R285" s="2" t="inlineStr"/>
    </row>
    <row r="286" ht="15" customHeight="1">
      <c r="A286" t="inlineStr">
        <is>
          <t>A 876-2024</t>
        </is>
      </c>
      <c r="B286" s="1" t="n">
        <v>45301</v>
      </c>
      <c r="C286" s="1" t="n">
        <v>46201</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26891-2024</t>
        </is>
      </c>
      <c r="B287" s="1" t="n">
        <v>45470</v>
      </c>
      <c r="C287" s="1" t="n">
        <v>46201</v>
      </c>
      <c r="D287" t="inlineStr">
        <is>
          <t>GOTLANDS LÄN</t>
        </is>
      </c>
      <c r="E287" t="inlineStr">
        <is>
          <t>GOTLAND</t>
        </is>
      </c>
      <c r="G287" t="n">
        <v>0.8</v>
      </c>
      <c r="H287" t="n">
        <v>0</v>
      </c>
      <c r="I287" t="n">
        <v>0</v>
      </c>
      <c r="J287" t="n">
        <v>0</v>
      </c>
      <c r="K287" t="n">
        <v>0</v>
      </c>
      <c r="L287" t="n">
        <v>0</v>
      </c>
      <c r="M287" t="n">
        <v>0</v>
      </c>
      <c r="N287" t="n">
        <v>0</v>
      </c>
      <c r="O287" t="n">
        <v>0</v>
      </c>
      <c r="P287" t="n">
        <v>0</v>
      </c>
      <c r="Q287" t="n">
        <v>0</v>
      </c>
      <c r="R287" s="2" t="inlineStr"/>
    </row>
    <row r="288" ht="15" customHeight="1">
      <c r="A288" t="inlineStr">
        <is>
          <t>A 57652-2023</t>
        </is>
      </c>
      <c r="B288" s="1" t="n">
        <v>45246</v>
      </c>
      <c r="C288" s="1" t="n">
        <v>46201</v>
      </c>
      <c r="D288" t="inlineStr">
        <is>
          <t>GOTLANDS LÄN</t>
        </is>
      </c>
      <c r="E288" t="inlineStr">
        <is>
          <t>GOTLAND</t>
        </is>
      </c>
      <c r="G288" t="n">
        <v>7.2</v>
      </c>
      <c r="H288" t="n">
        <v>0</v>
      </c>
      <c r="I288" t="n">
        <v>0</v>
      </c>
      <c r="J288" t="n">
        <v>0</v>
      </c>
      <c r="K288" t="n">
        <v>0</v>
      </c>
      <c r="L288" t="n">
        <v>0</v>
      </c>
      <c r="M288" t="n">
        <v>0</v>
      </c>
      <c r="N288" t="n">
        <v>0</v>
      </c>
      <c r="O288" t="n">
        <v>0</v>
      </c>
      <c r="P288" t="n">
        <v>0</v>
      </c>
      <c r="Q288" t="n">
        <v>0</v>
      </c>
      <c r="R288" s="2" t="inlineStr"/>
    </row>
    <row r="289" ht="15" customHeight="1">
      <c r="A289" t="inlineStr">
        <is>
          <t>A 33876-2024</t>
        </is>
      </c>
      <c r="B289" s="1" t="n">
        <v>45521</v>
      </c>
      <c r="C289" s="1" t="n">
        <v>46201</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5923-2023</t>
        </is>
      </c>
      <c r="B290" s="1" t="n">
        <v>44963</v>
      </c>
      <c r="C290" s="1" t="n">
        <v>46201</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57522-2022</t>
        </is>
      </c>
      <c r="B291" s="1" t="n">
        <v>44896</v>
      </c>
      <c r="C291" s="1" t="n">
        <v>46201</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43223-2023</t>
        </is>
      </c>
      <c r="B292" s="1" t="n">
        <v>45183</v>
      </c>
      <c r="C292" s="1" t="n">
        <v>46201</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14797-2024</t>
        </is>
      </c>
      <c r="B293" s="1" t="n">
        <v>45397</v>
      </c>
      <c r="C293" s="1" t="n">
        <v>46201</v>
      </c>
      <c r="D293" t="inlineStr">
        <is>
          <t>GOTLANDS LÄN</t>
        </is>
      </c>
      <c r="E293" t="inlineStr">
        <is>
          <t>GOTLAND</t>
        </is>
      </c>
      <c r="G293" t="n">
        <v>8.1</v>
      </c>
      <c r="H293" t="n">
        <v>0</v>
      </c>
      <c r="I293" t="n">
        <v>0</v>
      </c>
      <c r="J293" t="n">
        <v>0</v>
      </c>
      <c r="K293" t="n">
        <v>0</v>
      </c>
      <c r="L293" t="n">
        <v>0</v>
      </c>
      <c r="M293" t="n">
        <v>0</v>
      </c>
      <c r="N293" t="n">
        <v>0</v>
      </c>
      <c r="O293" t="n">
        <v>0</v>
      </c>
      <c r="P293" t="n">
        <v>0</v>
      </c>
      <c r="Q293" t="n">
        <v>0</v>
      </c>
      <c r="R293" s="2" t="inlineStr"/>
    </row>
    <row r="294" ht="15" customHeight="1">
      <c r="A294" t="inlineStr">
        <is>
          <t>A 50482-2024</t>
        </is>
      </c>
      <c r="B294" s="1" t="n">
        <v>45601</v>
      </c>
      <c r="C294" s="1" t="n">
        <v>46201</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61962-2024</t>
        </is>
      </c>
      <c r="B295" s="1" t="n">
        <v>45653</v>
      </c>
      <c r="C295" s="1" t="n">
        <v>46201</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59469-2024</t>
        </is>
      </c>
      <c r="B296" s="1" t="n">
        <v>45638</v>
      </c>
      <c r="C296" s="1" t="n">
        <v>46201</v>
      </c>
      <c r="D296" t="inlineStr">
        <is>
          <t>GOTLANDS LÄN</t>
        </is>
      </c>
      <c r="E296" t="inlineStr">
        <is>
          <t>GOTLAND</t>
        </is>
      </c>
      <c r="G296" t="n">
        <v>0.4</v>
      </c>
      <c r="H296" t="n">
        <v>0</v>
      </c>
      <c r="I296" t="n">
        <v>0</v>
      </c>
      <c r="J296" t="n">
        <v>0</v>
      </c>
      <c r="K296" t="n">
        <v>0</v>
      </c>
      <c r="L296" t="n">
        <v>0</v>
      </c>
      <c r="M296" t="n">
        <v>0</v>
      </c>
      <c r="N296" t="n">
        <v>0</v>
      </c>
      <c r="O296" t="n">
        <v>0</v>
      </c>
      <c r="P296" t="n">
        <v>0</v>
      </c>
      <c r="Q296" t="n">
        <v>0</v>
      </c>
      <c r="R296" s="2" t="inlineStr"/>
    </row>
    <row r="297" ht="15" customHeight="1">
      <c r="A297" t="inlineStr">
        <is>
          <t>A 7837-2024</t>
        </is>
      </c>
      <c r="B297" s="1" t="n">
        <v>45349</v>
      </c>
      <c r="C297" s="1" t="n">
        <v>46201</v>
      </c>
      <c r="D297" t="inlineStr">
        <is>
          <t>GOTLANDS LÄN</t>
        </is>
      </c>
      <c r="E297" t="inlineStr">
        <is>
          <t>GOTLAND</t>
        </is>
      </c>
      <c r="G297" t="n">
        <v>5</v>
      </c>
      <c r="H297" t="n">
        <v>0</v>
      </c>
      <c r="I297" t="n">
        <v>0</v>
      </c>
      <c r="J297" t="n">
        <v>0</v>
      </c>
      <c r="K297" t="n">
        <v>0</v>
      </c>
      <c r="L297" t="n">
        <v>0</v>
      </c>
      <c r="M297" t="n">
        <v>0</v>
      </c>
      <c r="N297" t="n">
        <v>0</v>
      </c>
      <c r="O297" t="n">
        <v>0</v>
      </c>
      <c r="P297" t="n">
        <v>0</v>
      </c>
      <c r="Q297" t="n">
        <v>0</v>
      </c>
      <c r="R297" s="2" t="inlineStr"/>
    </row>
    <row r="298" ht="15" customHeight="1">
      <c r="A298" t="inlineStr">
        <is>
          <t>A 5943-2024</t>
        </is>
      </c>
      <c r="B298" s="1" t="n">
        <v>45336</v>
      </c>
      <c r="C298" s="1" t="n">
        <v>46201</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38234-2023</t>
        </is>
      </c>
      <c r="B299" s="1" t="n">
        <v>45161</v>
      </c>
      <c r="C299" s="1" t="n">
        <v>46201</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1394-2023</t>
        </is>
      </c>
      <c r="B300" s="1" t="n">
        <v>44936</v>
      </c>
      <c r="C300" s="1" t="n">
        <v>46201</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2676-2023</t>
        </is>
      </c>
      <c r="B301" s="1" t="n">
        <v>44944</v>
      </c>
      <c r="C301" s="1" t="n">
        <v>46201</v>
      </c>
      <c r="D301" t="inlineStr">
        <is>
          <t>GOTLANDS LÄN</t>
        </is>
      </c>
      <c r="E301" t="inlineStr">
        <is>
          <t>GOTLAND</t>
        </is>
      </c>
      <c r="G301" t="n">
        <v>0.7</v>
      </c>
      <c r="H301" t="n">
        <v>0</v>
      </c>
      <c r="I301" t="n">
        <v>0</v>
      </c>
      <c r="J301" t="n">
        <v>0</v>
      </c>
      <c r="K301" t="n">
        <v>0</v>
      </c>
      <c r="L301" t="n">
        <v>0</v>
      </c>
      <c r="M301" t="n">
        <v>0</v>
      </c>
      <c r="N301" t="n">
        <v>0</v>
      </c>
      <c r="O301" t="n">
        <v>0</v>
      </c>
      <c r="P301" t="n">
        <v>0</v>
      </c>
      <c r="Q301" t="n">
        <v>0</v>
      </c>
      <c r="R301" s="2" t="inlineStr"/>
    </row>
    <row r="302" ht="15" customHeight="1">
      <c r="A302" t="inlineStr">
        <is>
          <t>A 4387-2023</t>
        </is>
      </c>
      <c r="B302" s="1" t="n">
        <v>44955</v>
      </c>
      <c r="C302" s="1" t="n">
        <v>46201</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37728-2024</t>
        </is>
      </c>
      <c r="B303" s="1" t="n">
        <v>45541</v>
      </c>
      <c r="C303" s="1" t="n">
        <v>46201</v>
      </c>
      <c r="D303" t="inlineStr">
        <is>
          <t>GOTLANDS LÄN</t>
        </is>
      </c>
      <c r="E303" t="inlineStr">
        <is>
          <t>GOTLAND</t>
        </is>
      </c>
      <c r="G303" t="n">
        <v>0.4</v>
      </c>
      <c r="H303" t="n">
        <v>0</v>
      </c>
      <c r="I303" t="n">
        <v>0</v>
      </c>
      <c r="J303" t="n">
        <v>0</v>
      </c>
      <c r="K303" t="n">
        <v>0</v>
      </c>
      <c r="L303" t="n">
        <v>0</v>
      </c>
      <c r="M303" t="n">
        <v>0</v>
      </c>
      <c r="N303" t="n">
        <v>0</v>
      </c>
      <c r="O303" t="n">
        <v>0</v>
      </c>
      <c r="P303" t="n">
        <v>0</v>
      </c>
      <c r="Q303" t="n">
        <v>0</v>
      </c>
      <c r="R303" s="2" t="inlineStr"/>
    </row>
    <row r="304" ht="15" customHeight="1">
      <c r="A304" t="inlineStr">
        <is>
          <t>A 6696-2023</t>
        </is>
      </c>
      <c r="B304" s="1" t="n">
        <v>44966</v>
      </c>
      <c r="C304" s="1" t="n">
        <v>46201</v>
      </c>
      <c r="D304" t="inlineStr">
        <is>
          <t>GOTLANDS LÄN</t>
        </is>
      </c>
      <c r="E304" t="inlineStr">
        <is>
          <t>GOTLAND</t>
        </is>
      </c>
      <c r="G304" t="n">
        <v>1.5</v>
      </c>
      <c r="H304" t="n">
        <v>0</v>
      </c>
      <c r="I304" t="n">
        <v>0</v>
      </c>
      <c r="J304" t="n">
        <v>0</v>
      </c>
      <c r="K304" t="n">
        <v>0</v>
      </c>
      <c r="L304" t="n">
        <v>0</v>
      </c>
      <c r="M304" t="n">
        <v>0</v>
      </c>
      <c r="N304" t="n">
        <v>0</v>
      </c>
      <c r="O304" t="n">
        <v>0</v>
      </c>
      <c r="P304" t="n">
        <v>0</v>
      </c>
      <c r="Q304" t="n">
        <v>0</v>
      </c>
      <c r="R304" s="2" t="inlineStr"/>
    </row>
    <row r="305" ht="15" customHeight="1">
      <c r="A305" t="inlineStr">
        <is>
          <t>A 28485-2023</t>
        </is>
      </c>
      <c r="B305" s="1" t="n">
        <v>45103</v>
      </c>
      <c r="C305" s="1" t="n">
        <v>46201</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4990-2025</t>
        </is>
      </c>
      <c r="B306" s="1" t="n">
        <v>45691</v>
      </c>
      <c r="C306" s="1" t="n">
        <v>46201</v>
      </c>
      <c r="D306" t="inlineStr">
        <is>
          <t>GOTLANDS LÄN</t>
        </is>
      </c>
      <c r="E306" t="inlineStr">
        <is>
          <t>GOTLAND</t>
        </is>
      </c>
      <c r="G306" t="n">
        <v>7.7</v>
      </c>
      <c r="H306" t="n">
        <v>0</v>
      </c>
      <c r="I306" t="n">
        <v>0</v>
      </c>
      <c r="J306" t="n">
        <v>0</v>
      </c>
      <c r="K306" t="n">
        <v>0</v>
      </c>
      <c r="L306" t="n">
        <v>0</v>
      </c>
      <c r="M306" t="n">
        <v>0</v>
      </c>
      <c r="N306" t="n">
        <v>0</v>
      </c>
      <c r="O306" t="n">
        <v>0</v>
      </c>
      <c r="P306" t="n">
        <v>0</v>
      </c>
      <c r="Q306" t="n">
        <v>0</v>
      </c>
      <c r="R306" s="2" t="inlineStr"/>
    </row>
    <row r="307" ht="15" customHeight="1">
      <c r="A307" t="inlineStr">
        <is>
          <t>A 9887-2025</t>
        </is>
      </c>
      <c r="B307" s="1" t="n">
        <v>45716</v>
      </c>
      <c r="C307" s="1" t="n">
        <v>46201</v>
      </c>
      <c r="D307" t="inlineStr">
        <is>
          <t>GOTLANDS LÄN</t>
        </is>
      </c>
      <c r="E307" t="inlineStr">
        <is>
          <t>GOTLAND</t>
        </is>
      </c>
      <c r="G307" t="n">
        <v>7.5</v>
      </c>
      <c r="H307" t="n">
        <v>0</v>
      </c>
      <c r="I307" t="n">
        <v>0</v>
      </c>
      <c r="J307" t="n">
        <v>0</v>
      </c>
      <c r="K307" t="n">
        <v>0</v>
      </c>
      <c r="L307" t="n">
        <v>0</v>
      </c>
      <c r="M307" t="n">
        <v>0</v>
      </c>
      <c r="N307" t="n">
        <v>0</v>
      </c>
      <c r="O307" t="n">
        <v>0</v>
      </c>
      <c r="P307" t="n">
        <v>0</v>
      </c>
      <c r="Q307" t="n">
        <v>0</v>
      </c>
      <c r="R307" s="2" t="inlineStr"/>
    </row>
    <row r="308" ht="15" customHeight="1">
      <c r="A308" t="inlineStr">
        <is>
          <t>A 46527-2023</t>
        </is>
      </c>
      <c r="B308" s="1" t="n">
        <v>45197</v>
      </c>
      <c r="C308" s="1" t="n">
        <v>46201</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12210-2024</t>
        </is>
      </c>
      <c r="B309" s="1" t="n">
        <v>45378</v>
      </c>
      <c r="C309" s="1" t="n">
        <v>46201</v>
      </c>
      <c r="D309" t="inlineStr">
        <is>
          <t>GOTLANDS LÄN</t>
        </is>
      </c>
      <c r="E309" t="inlineStr">
        <is>
          <t>GOTLAND</t>
        </is>
      </c>
      <c r="G309" t="n">
        <v>4.1</v>
      </c>
      <c r="H309" t="n">
        <v>0</v>
      </c>
      <c r="I309" t="n">
        <v>0</v>
      </c>
      <c r="J309" t="n">
        <v>0</v>
      </c>
      <c r="K309" t="n">
        <v>0</v>
      </c>
      <c r="L309" t="n">
        <v>0</v>
      </c>
      <c r="M309" t="n">
        <v>0</v>
      </c>
      <c r="N309" t="n">
        <v>0</v>
      </c>
      <c r="O309" t="n">
        <v>0</v>
      </c>
      <c r="P309" t="n">
        <v>0</v>
      </c>
      <c r="Q309" t="n">
        <v>0</v>
      </c>
      <c r="R309" s="2" t="inlineStr"/>
    </row>
    <row r="310" ht="15" customHeight="1">
      <c r="A310" t="inlineStr">
        <is>
          <t>A 59986-2022</t>
        </is>
      </c>
      <c r="B310" s="1" t="n">
        <v>44909</v>
      </c>
      <c r="C310" s="1" t="n">
        <v>46201</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17724-2024</t>
        </is>
      </c>
      <c r="B311" s="1" t="n">
        <v>45418</v>
      </c>
      <c r="C311" s="1" t="n">
        <v>46201</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22275-2023</t>
        </is>
      </c>
      <c r="B312" s="1" t="n">
        <v>45070</v>
      </c>
      <c r="C312" s="1" t="n">
        <v>46201</v>
      </c>
      <c r="D312" t="inlineStr">
        <is>
          <t>GOTLANDS LÄN</t>
        </is>
      </c>
      <c r="E312" t="inlineStr">
        <is>
          <t>GOTLAND</t>
        </is>
      </c>
      <c r="G312" t="n">
        <v>7.2</v>
      </c>
      <c r="H312" t="n">
        <v>0</v>
      </c>
      <c r="I312" t="n">
        <v>0</v>
      </c>
      <c r="J312" t="n">
        <v>0</v>
      </c>
      <c r="K312" t="n">
        <v>0</v>
      </c>
      <c r="L312" t="n">
        <v>0</v>
      </c>
      <c r="M312" t="n">
        <v>0</v>
      </c>
      <c r="N312" t="n">
        <v>0</v>
      </c>
      <c r="O312" t="n">
        <v>0</v>
      </c>
      <c r="P312" t="n">
        <v>0</v>
      </c>
      <c r="Q312" t="n">
        <v>0</v>
      </c>
      <c r="R312" s="2" t="inlineStr"/>
    </row>
    <row r="313" ht="15" customHeight="1">
      <c r="A313" t="inlineStr">
        <is>
          <t>A 23978-2023</t>
        </is>
      </c>
      <c r="B313" s="1" t="n">
        <v>45078</v>
      </c>
      <c r="C313" s="1" t="n">
        <v>46201</v>
      </c>
      <c r="D313" t="inlineStr">
        <is>
          <t>GOTLANDS LÄN</t>
        </is>
      </c>
      <c r="E313" t="inlineStr">
        <is>
          <t>GOTLAND</t>
        </is>
      </c>
      <c r="F313" t="inlineStr">
        <is>
          <t>Naturvårdsverket</t>
        </is>
      </c>
      <c r="G313" t="n">
        <v>1.7</v>
      </c>
      <c r="H313" t="n">
        <v>0</v>
      </c>
      <c r="I313" t="n">
        <v>0</v>
      </c>
      <c r="J313" t="n">
        <v>0</v>
      </c>
      <c r="K313" t="n">
        <v>0</v>
      </c>
      <c r="L313" t="n">
        <v>0</v>
      </c>
      <c r="M313" t="n">
        <v>0</v>
      </c>
      <c r="N313" t="n">
        <v>0</v>
      </c>
      <c r="O313" t="n">
        <v>0</v>
      </c>
      <c r="P313" t="n">
        <v>0</v>
      </c>
      <c r="Q313" t="n">
        <v>0</v>
      </c>
      <c r="R313" s="2" t="inlineStr"/>
    </row>
    <row r="314" ht="15" customHeight="1">
      <c r="A314" t="inlineStr">
        <is>
          <t>A 49884-2023</t>
        </is>
      </c>
      <c r="B314" s="1" t="n">
        <v>45213</v>
      </c>
      <c r="C314" s="1" t="n">
        <v>46201</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14635-2023</t>
        </is>
      </c>
      <c r="B315" s="1" t="n">
        <v>45013</v>
      </c>
      <c r="C315" s="1" t="n">
        <v>46201</v>
      </c>
      <c r="D315" t="inlineStr">
        <is>
          <t>GOTLANDS LÄN</t>
        </is>
      </c>
      <c r="E315" t="inlineStr">
        <is>
          <t>GOTLAND</t>
        </is>
      </c>
      <c r="G315" t="n">
        <v>3.1</v>
      </c>
      <c r="H315" t="n">
        <v>0</v>
      </c>
      <c r="I315" t="n">
        <v>0</v>
      </c>
      <c r="J315" t="n">
        <v>0</v>
      </c>
      <c r="K315" t="n">
        <v>0</v>
      </c>
      <c r="L315" t="n">
        <v>0</v>
      </c>
      <c r="M315" t="n">
        <v>0</v>
      </c>
      <c r="N315" t="n">
        <v>0</v>
      </c>
      <c r="O315" t="n">
        <v>0</v>
      </c>
      <c r="P315" t="n">
        <v>0</v>
      </c>
      <c r="Q315" t="n">
        <v>0</v>
      </c>
      <c r="R315" s="2" t="inlineStr"/>
    </row>
    <row r="316" ht="15" customHeight="1">
      <c r="A316" t="inlineStr">
        <is>
          <t>A 63763-2023</t>
        </is>
      </c>
      <c r="B316" s="1" t="n">
        <v>45278</v>
      </c>
      <c r="C316" s="1" t="n">
        <v>46201</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31802-2024</t>
        </is>
      </c>
      <c r="B317" s="1" t="n">
        <v>45509</v>
      </c>
      <c r="C317" s="1" t="n">
        <v>46201</v>
      </c>
      <c r="D317" t="inlineStr">
        <is>
          <t>GOTLANDS LÄN</t>
        </is>
      </c>
      <c r="E317" t="inlineStr">
        <is>
          <t>GOTLAND</t>
        </is>
      </c>
      <c r="G317" t="n">
        <v>2.8</v>
      </c>
      <c r="H317" t="n">
        <v>0</v>
      </c>
      <c r="I317" t="n">
        <v>0</v>
      </c>
      <c r="J317" t="n">
        <v>0</v>
      </c>
      <c r="K317" t="n">
        <v>0</v>
      </c>
      <c r="L317" t="n">
        <v>0</v>
      </c>
      <c r="M317" t="n">
        <v>0</v>
      </c>
      <c r="N317" t="n">
        <v>0</v>
      </c>
      <c r="O317" t="n">
        <v>0</v>
      </c>
      <c r="P317" t="n">
        <v>0</v>
      </c>
      <c r="Q317" t="n">
        <v>0</v>
      </c>
      <c r="R317" s="2" t="inlineStr"/>
    </row>
    <row r="318" ht="15" customHeight="1">
      <c r="A318" t="inlineStr">
        <is>
          <t>A 7636-2025</t>
        </is>
      </c>
      <c r="B318" s="1" t="n">
        <v>45705</v>
      </c>
      <c r="C318" s="1" t="n">
        <v>46201</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7639-2025</t>
        </is>
      </c>
      <c r="B319" s="1" t="n">
        <v>45705</v>
      </c>
      <c r="C319" s="1" t="n">
        <v>46201</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61682-2024</t>
        </is>
      </c>
      <c r="B320" s="1" t="n">
        <v>45647</v>
      </c>
      <c r="C320" s="1" t="n">
        <v>46201</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15434-2024</t>
        </is>
      </c>
      <c r="B321" s="1" t="n">
        <v>45401</v>
      </c>
      <c r="C321" s="1" t="n">
        <v>46201</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12846-2025</t>
        </is>
      </c>
      <c r="B322" s="1" t="n">
        <v>45733</v>
      </c>
      <c r="C322" s="1" t="n">
        <v>46201</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20993-2023</t>
        </is>
      </c>
      <c r="B323" s="1" t="n">
        <v>45056</v>
      </c>
      <c r="C323" s="1" t="n">
        <v>46201</v>
      </c>
      <c r="D323" t="inlineStr">
        <is>
          <t>GOTLANDS LÄN</t>
        </is>
      </c>
      <c r="E323" t="inlineStr">
        <is>
          <t>GOTLAND</t>
        </is>
      </c>
      <c r="G323" t="n">
        <v>7.1</v>
      </c>
      <c r="H323" t="n">
        <v>0</v>
      </c>
      <c r="I323" t="n">
        <v>0</v>
      </c>
      <c r="J323" t="n">
        <v>0</v>
      </c>
      <c r="K323" t="n">
        <v>0</v>
      </c>
      <c r="L323" t="n">
        <v>0</v>
      </c>
      <c r="M323" t="n">
        <v>0</v>
      </c>
      <c r="N323" t="n">
        <v>0</v>
      </c>
      <c r="O323" t="n">
        <v>0</v>
      </c>
      <c r="P323" t="n">
        <v>0</v>
      </c>
      <c r="Q323" t="n">
        <v>0</v>
      </c>
      <c r="R323" s="2" t="inlineStr"/>
    </row>
    <row r="324" ht="15" customHeight="1">
      <c r="A324" t="inlineStr">
        <is>
          <t>A 49697-2023</t>
        </is>
      </c>
      <c r="B324" s="1" t="n">
        <v>45212</v>
      </c>
      <c r="C324" s="1" t="n">
        <v>46201</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7034-2023</t>
        </is>
      </c>
      <c r="B325" s="1" t="n">
        <v>44968</v>
      </c>
      <c r="C325" s="1" t="n">
        <v>46201</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48503-2023</t>
        </is>
      </c>
      <c r="B326" s="1" t="n">
        <v>45207</v>
      </c>
      <c r="C326" s="1" t="n">
        <v>46201</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54074-2022</t>
        </is>
      </c>
      <c r="B327" s="1" t="n">
        <v>44881</v>
      </c>
      <c r="C327" s="1" t="n">
        <v>46201</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24825-2024</t>
        </is>
      </c>
      <c r="B328" s="1" t="n">
        <v>45461</v>
      </c>
      <c r="C328" s="1" t="n">
        <v>46201</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61694-2023</t>
        </is>
      </c>
      <c r="B329" s="1" t="n">
        <v>45264</v>
      </c>
      <c r="C329" s="1" t="n">
        <v>46201</v>
      </c>
      <c r="D329" t="inlineStr">
        <is>
          <t>GOTLANDS LÄN</t>
        </is>
      </c>
      <c r="E329" t="inlineStr">
        <is>
          <t>GOTLAND</t>
        </is>
      </c>
      <c r="G329" t="n">
        <v>4.6</v>
      </c>
      <c r="H329" t="n">
        <v>0</v>
      </c>
      <c r="I329" t="n">
        <v>0</v>
      </c>
      <c r="J329" t="n">
        <v>0</v>
      </c>
      <c r="K329" t="n">
        <v>0</v>
      </c>
      <c r="L329" t="n">
        <v>0</v>
      </c>
      <c r="M329" t="n">
        <v>0</v>
      </c>
      <c r="N329" t="n">
        <v>0</v>
      </c>
      <c r="O329" t="n">
        <v>0</v>
      </c>
      <c r="P329" t="n">
        <v>0</v>
      </c>
      <c r="Q329" t="n">
        <v>0</v>
      </c>
      <c r="R329" s="2" t="inlineStr"/>
    </row>
    <row r="330" ht="15" customHeight="1">
      <c r="A330" t="inlineStr">
        <is>
          <t>A 54268-2022</t>
        </is>
      </c>
      <c r="B330" s="1" t="n">
        <v>44882</v>
      </c>
      <c r="C330" s="1" t="n">
        <v>46201</v>
      </c>
      <c r="D330" t="inlineStr">
        <is>
          <t>GOTLANDS LÄN</t>
        </is>
      </c>
      <c r="E330" t="inlineStr">
        <is>
          <t>GOTLAND</t>
        </is>
      </c>
      <c r="G330" t="n">
        <v>2.7</v>
      </c>
      <c r="H330" t="n">
        <v>0</v>
      </c>
      <c r="I330" t="n">
        <v>0</v>
      </c>
      <c r="J330" t="n">
        <v>0</v>
      </c>
      <c r="K330" t="n">
        <v>0</v>
      </c>
      <c r="L330" t="n">
        <v>0</v>
      </c>
      <c r="M330" t="n">
        <v>0</v>
      </c>
      <c r="N330" t="n">
        <v>0</v>
      </c>
      <c r="O330" t="n">
        <v>0</v>
      </c>
      <c r="P330" t="n">
        <v>0</v>
      </c>
      <c r="Q330" t="n">
        <v>0</v>
      </c>
      <c r="R330" s="2" t="inlineStr"/>
    </row>
    <row r="331" ht="15" customHeight="1">
      <c r="A331" t="inlineStr">
        <is>
          <t>A 1446-2025</t>
        </is>
      </c>
      <c r="B331" s="1" t="n">
        <v>45669</v>
      </c>
      <c r="C331" s="1" t="n">
        <v>46201</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1462-2025</t>
        </is>
      </c>
      <c r="B332" s="1" t="n">
        <v>45670</v>
      </c>
      <c r="C332" s="1" t="n">
        <v>46201</v>
      </c>
      <c r="D332" t="inlineStr">
        <is>
          <t>GOTLANDS LÄN</t>
        </is>
      </c>
      <c r="E332" t="inlineStr">
        <is>
          <t>GOTLAND</t>
        </is>
      </c>
      <c r="G332" t="n">
        <v>2.8</v>
      </c>
      <c r="H332" t="n">
        <v>0</v>
      </c>
      <c r="I332" t="n">
        <v>0</v>
      </c>
      <c r="J332" t="n">
        <v>0</v>
      </c>
      <c r="K332" t="n">
        <v>0</v>
      </c>
      <c r="L332" t="n">
        <v>0</v>
      </c>
      <c r="M332" t="n">
        <v>0</v>
      </c>
      <c r="N332" t="n">
        <v>0</v>
      </c>
      <c r="O332" t="n">
        <v>0</v>
      </c>
      <c r="P332" t="n">
        <v>0</v>
      </c>
      <c r="Q332" t="n">
        <v>0</v>
      </c>
      <c r="R332" s="2" t="inlineStr"/>
    </row>
    <row r="333" ht="15" customHeight="1">
      <c r="A333" t="inlineStr">
        <is>
          <t>A 22031-2024</t>
        </is>
      </c>
      <c r="B333" s="1" t="n">
        <v>45443</v>
      </c>
      <c r="C333" s="1" t="n">
        <v>46201</v>
      </c>
      <c r="D333" t="inlineStr">
        <is>
          <t>GOTLANDS LÄN</t>
        </is>
      </c>
      <c r="E333" t="inlineStr">
        <is>
          <t>GOTLAND</t>
        </is>
      </c>
      <c r="G333" t="n">
        <v>2.3</v>
      </c>
      <c r="H333" t="n">
        <v>0</v>
      </c>
      <c r="I333" t="n">
        <v>0</v>
      </c>
      <c r="J333" t="n">
        <v>0</v>
      </c>
      <c r="K333" t="n">
        <v>0</v>
      </c>
      <c r="L333" t="n">
        <v>0</v>
      </c>
      <c r="M333" t="n">
        <v>0</v>
      </c>
      <c r="N333" t="n">
        <v>0</v>
      </c>
      <c r="O333" t="n">
        <v>0</v>
      </c>
      <c r="P333" t="n">
        <v>0</v>
      </c>
      <c r="Q333" t="n">
        <v>0</v>
      </c>
      <c r="R333" s="2" t="inlineStr"/>
    </row>
    <row r="334" ht="15" customHeight="1">
      <c r="A334" t="inlineStr">
        <is>
          <t>A 17688-2024</t>
        </is>
      </c>
      <c r="B334" s="1" t="n">
        <v>45418</v>
      </c>
      <c r="C334" s="1" t="n">
        <v>46201</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48843-2024</t>
        </is>
      </c>
      <c r="B335" s="1" t="n">
        <v>45593</v>
      </c>
      <c r="C335" s="1" t="n">
        <v>46201</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57685-2022</t>
        </is>
      </c>
      <c r="B336" s="1" t="n">
        <v>44897</v>
      </c>
      <c r="C336" s="1" t="n">
        <v>46201</v>
      </c>
      <c r="D336" t="inlineStr">
        <is>
          <t>GOTLANDS LÄN</t>
        </is>
      </c>
      <c r="E336" t="inlineStr">
        <is>
          <t>GOTLAND</t>
        </is>
      </c>
      <c r="G336" t="n">
        <v>3.7</v>
      </c>
      <c r="H336" t="n">
        <v>0</v>
      </c>
      <c r="I336" t="n">
        <v>0</v>
      </c>
      <c r="J336" t="n">
        <v>0</v>
      </c>
      <c r="K336" t="n">
        <v>0</v>
      </c>
      <c r="L336" t="n">
        <v>0</v>
      </c>
      <c r="M336" t="n">
        <v>0</v>
      </c>
      <c r="N336" t="n">
        <v>0</v>
      </c>
      <c r="O336" t="n">
        <v>0</v>
      </c>
      <c r="P336" t="n">
        <v>0</v>
      </c>
      <c r="Q336" t="n">
        <v>0</v>
      </c>
      <c r="R336" s="2" t="inlineStr"/>
    </row>
    <row r="337" ht="15" customHeight="1">
      <c r="A337" t="inlineStr">
        <is>
          <t>A 811-2023</t>
        </is>
      </c>
      <c r="B337" s="1" t="n">
        <v>44931</v>
      </c>
      <c r="C337" s="1" t="n">
        <v>46201</v>
      </c>
      <c r="D337" t="inlineStr">
        <is>
          <t>GOTLANDS LÄN</t>
        </is>
      </c>
      <c r="E337" t="inlineStr">
        <is>
          <t>GOTLAND</t>
        </is>
      </c>
      <c r="G337" t="n">
        <v>0.6</v>
      </c>
      <c r="H337" t="n">
        <v>0</v>
      </c>
      <c r="I337" t="n">
        <v>0</v>
      </c>
      <c r="J337" t="n">
        <v>0</v>
      </c>
      <c r="K337" t="n">
        <v>0</v>
      </c>
      <c r="L337" t="n">
        <v>0</v>
      </c>
      <c r="M337" t="n">
        <v>0</v>
      </c>
      <c r="N337" t="n">
        <v>0</v>
      </c>
      <c r="O337" t="n">
        <v>0</v>
      </c>
      <c r="P337" t="n">
        <v>0</v>
      </c>
      <c r="Q337" t="n">
        <v>0</v>
      </c>
      <c r="R337" s="2" t="inlineStr"/>
    </row>
    <row r="338" ht="15" customHeight="1">
      <c r="A338" t="inlineStr">
        <is>
          <t>A 5905-2024</t>
        </is>
      </c>
      <c r="B338" s="1" t="n">
        <v>45335</v>
      </c>
      <c r="C338" s="1" t="n">
        <v>46201</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27694-2024</t>
        </is>
      </c>
      <c r="B339" s="1" t="n">
        <v>45475</v>
      </c>
      <c r="C339" s="1" t="n">
        <v>46201</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3431-2025</t>
        </is>
      </c>
      <c r="B340" s="1" t="n">
        <v>45680</v>
      </c>
      <c r="C340" s="1" t="n">
        <v>46201</v>
      </c>
      <c r="D340" t="inlineStr">
        <is>
          <t>GOTLANDS LÄN</t>
        </is>
      </c>
      <c r="E340" t="inlineStr">
        <is>
          <t>GOTLAND</t>
        </is>
      </c>
      <c r="G340" t="n">
        <v>4.8</v>
      </c>
      <c r="H340" t="n">
        <v>0</v>
      </c>
      <c r="I340" t="n">
        <v>0</v>
      </c>
      <c r="J340" t="n">
        <v>0</v>
      </c>
      <c r="K340" t="n">
        <v>0</v>
      </c>
      <c r="L340" t="n">
        <v>0</v>
      </c>
      <c r="M340" t="n">
        <v>0</v>
      </c>
      <c r="N340" t="n">
        <v>0</v>
      </c>
      <c r="O340" t="n">
        <v>0</v>
      </c>
      <c r="P340" t="n">
        <v>0</v>
      </c>
      <c r="Q340" t="n">
        <v>0</v>
      </c>
      <c r="R340" s="2" t="inlineStr"/>
    </row>
    <row r="341" ht="15" customHeight="1">
      <c r="A341" t="inlineStr">
        <is>
          <t>A 34407-2023</t>
        </is>
      </c>
      <c r="B341" s="1" t="n">
        <v>45132</v>
      </c>
      <c r="C341" s="1" t="n">
        <v>46201</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30892-2024</t>
        </is>
      </c>
      <c r="B342" s="1" t="n">
        <v>45491</v>
      </c>
      <c r="C342" s="1" t="n">
        <v>46201</v>
      </c>
      <c r="D342" t="inlineStr">
        <is>
          <t>GOTLANDS LÄN</t>
        </is>
      </c>
      <c r="E342" t="inlineStr">
        <is>
          <t>GOTLAND</t>
        </is>
      </c>
      <c r="G342" t="n">
        <v>6.1</v>
      </c>
      <c r="H342" t="n">
        <v>0</v>
      </c>
      <c r="I342" t="n">
        <v>0</v>
      </c>
      <c r="J342" t="n">
        <v>0</v>
      </c>
      <c r="K342" t="n">
        <v>0</v>
      </c>
      <c r="L342" t="n">
        <v>0</v>
      </c>
      <c r="M342" t="n">
        <v>0</v>
      </c>
      <c r="N342" t="n">
        <v>0</v>
      </c>
      <c r="O342" t="n">
        <v>0</v>
      </c>
      <c r="P342" t="n">
        <v>0</v>
      </c>
      <c r="Q342" t="n">
        <v>0</v>
      </c>
      <c r="R342" s="2" t="inlineStr"/>
    </row>
    <row r="343" ht="15" customHeight="1">
      <c r="A343" t="inlineStr">
        <is>
          <t>A 32958-2021</t>
        </is>
      </c>
      <c r="B343" s="1" t="n">
        <v>44376</v>
      </c>
      <c r="C343" s="1" t="n">
        <v>46201</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39764-2022</t>
        </is>
      </c>
      <c r="B344" s="1" t="n">
        <v>44819</v>
      </c>
      <c r="C344" s="1" t="n">
        <v>46201</v>
      </c>
      <c r="D344" t="inlineStr">
        <is>
          <t>GOTLANDS LÄN</t>
        </is>
      </c>
      <c r="E344" t="inlineStr">
        <is>
          <t>GOTLAND</t>
        </is>
      </c>
      <c r="F344" t="inlineStr">
        <is>
          <t>Kyrkan</t>
        </is>
      </c>
      <c r="G344" t="n">
        <v>3.7</v>
      </c>
      <c r="H344" t="n">
        <v>0</v>
      </c>
      <c r="I344" t="n">
        <v>0</v>
      </c>
      <c r="J344" t="n">
        <v>0</v>
      </c>
      <c r="K344" t="n">
        <v>0</v>
      </c>
      <c r="L344" t="n">
        <v>0</v>
      </c>
      <c r="M344" t="n">
        <v>0</v>
      </c>
      <c r="N344" t="n">
        <v>0</v>
      </c>
      <c r="O344" t="n">
        <v>0</v>
      </c>
      <c r="P344" t="n">
        <v>0</v>
      </c>
      <c r="Q344" t="n">
        <v>0</v>
      </c>
      <c r="R344" s="2" t="inlineStr"/>
    </row>
    <row r="345" ht="15" customHeight="1">
      <c r="A345" t="inlineStr">
        <is>
          <t>A 6099-2024</t>
        </is>
      </c>
      <c r="B345" s="1" t="n">
        <v>45337</v>
      </c>
      <c r="C345" s="1" t="n">
        <v>46201</v>
      </c>
      <c r="D345" t="inlineStr">
        <is>
          <t>GOTLANDS LÄN</t>
        </is>
      </c>
      <c r="E345" t="inlineStr">
        <is>
          <t>GOTLAND</t>
        </is>
      </c>
      <c r="G345" t="n">
        <v>12.6</v>
      </c>
      <c r="H345" t="n">
        <v>0</v>
      </c>
      <c r="I345" t="n">
        <v>0</v>
      </c>
      <c r="J345" t="n">
        <v>0</v>
      </c>
      <c r="K345" t="n">
        <v>0</v>
      </c>
      <c r="L345" t="n">
        <v>0</v>
      </c>
      <c r="M345" t="n">
        <v>0</v>
      </c>
      <c r="N345" t="n">
        <v>0</v>
      </c>
      <c r="O345" t="n">
        <v>0</v>
      </c>
      <c r="P345" t="n">
        <v>0</v>
      </c>
      <c r="Q345" t="n">
        <v>0</v>
      </c>
      <c r="R345" s="2" t="inlineStr"/>
    </row>
    <row r="346" ht="15" customHeight="1">
      <c r="A346" t="inlineStr">
        <is>
          <t>A 8260-2023</t>
        </is>
      </c>
      <c r="B346" s="1" t="n">
        <v>44974</v>
      </c>
      <c r="C346" s="1" t="n">
        <v>46201</v>
      </c>
      <c r="D346" t="inlineStr">
        <is>
          <t>GOTLANDS LÄN</t>
        </is>
      </c>
      <c r="E346" t="inlineStr">
        <is>
          <t>GOTLAND</t>
        </is>
      </c>
      <c r="G346" t="n">
        <v>2.9</v>
      </c>
      <c r="H346" t="n">
        <v>0</v>
      </c>
      <c r="I346" t="n">
        <v>0</v>
      </c>
      <c r="J346" t="n">
        <v>0</v>
      </c>
      <c r="K346" t="n">
        <v>0</v>
      </c>
      <c r="L346" t="n">
        <v>0</v>
      </c>
      <c r="M346" t="n">
        <v>0</v>
      </c>
      <c r="N346" t="n">
        <v>0</v>
      </c>
      <c r="O346" t="n">
        <v>0</v>
      </c>
      <c r="P346" t="n">
        <v>0</v>
      </c>
      <c r="Q346" t="n">
        <v>0</v>
      </c>
      <c r="R346" s="2" t="inlineStr"/>
    </row>
    <row r="347" ht="15" customHeight="1">
      <c r="A347" t="inlineStr">
        <is>
          <t>A 22287-2022</t>
        </is>
      </c>
      <c r="B347" s="1" t="n">
        <v>44712</v>
      </c>
      <c r="C347" s="1" t="n">
        <v>46201</v>
      </c>
      <c r="D347" t="inlineStr">
        <is>
          <t>GOTLANDS LÄN</t>
        </is>
      </c>
      <c r="E347" t="inlineStr">
        <is>
          <t>GOTLAND</t>
        </is>
      </c>
      <c r="G347" t="n">
        <v>6.1</v>
      </c>
      <c r="H347" t="n">
        <v>0</v>
      </c>
      <c r="I347" t="n">
        <v>0</v>
      </c>
      <c r="J347" t="n">
        <v>0</v>
      </c>
      <c r="K347" t="n">
        <v>0</v>
      </c>
      <c r="L347" t="n">
        <v>0</v>
      </c>
      <c r="M347" t="n">
        <v>0</v>
      </c>
      <c r="N347" t="n">
        <v>0</v>
      </c>
      <c r="O347" t="n">
        <v>0</v>
      </c>
      <c r="P347" t="n">
        <v>0</v>
      </c>
      <c r="Q347" t="n">
        <v>0</v>
      </c>
      <c r="R347" s="2" t="inlineStr"/>
    </row>
    <row r="348" ht="15" customHeight="1">
      <c r="A348" t="inlineStr">
        <is>
          <t>A 7858-2025</t>
        </is>
      </c>
      <c r="B348" s="1" t="n">
        <v>45706</v>
      </c>
      <c r="C348" s="1" t="n">
        <v>46201</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2125-2025</t>
        </is>
      </c>
      <c r="B349" s="1" t="n">
        <v>45672</v>
      </c>
      <c r="C349" s="1" t="n">
        <v>46201</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10653-2023</t>
        </is>
      </c>
      <c r="B350" s="1" t="n">
        <v>44988</v>
      </c>
      <c r="C350" s="1" t="n">
        <v>46201</v>
      </c>
      <c r="D350" t="inlineStr">
        <is>
          <t>GOTLANDS LÄN</t>
        </is>
      </c>
      <c r="E350" t="inlineStr">
        <is>
          <t>GOTLAND</t>
        </is>
      </c>
      <c r="F350" t="inlineStr">
        <is>
          <t>Kyrkan</t>
        </is>
      </c>
      <c r="G350" t="n">
        <v>3</v>
      </c>
      <c r="H350" t="n">
        <v>0</v>
      </c>
      <c r="I350" t="n">
        <v>0</v>
      </c>
      <c r="J350" t="n">
        <v>0</v>
      </c>
      <c r="K350" t="n">
        <v>0</v>
      </c>
      <c r="L350" t="n">
        <v>0</v>
      </c>
      <c r="M350" t="n">
        <v>0</v>
      </c>
      <c r="N350" t="n">
        <v>0</v>
      </c>
      <c r="O350" t="n">
        <v>0</v>
      </c>
      <c r="P350" t="n">
        <v>0</v>
      </c>
      <c r="Q350" t="n">
        <v>0</v>
      </c>
      <c r="R350" s="2" t="inlineStr"/>
    </row>
    <row r="351" ht="15" customHeight="1">
      <c r="A351" t="inlineStr">
        <is>
          <t>A 35512-2023</t>
        </is>
      </c>
      <c r="B351" s="1" t="n">
        <v>45147</v>
      </c>
      <c r="C351" s="1" t="n">
        <v>46201</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4420-2025</t>
        </is>
      </c>
      <c r="B352" s="1" t="n">
        <v>45686</v>
      </c>
      <c r="C352" s="1" t="n">
        <v>46201</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11874-2024</t>
        </is>
      </c>
      <c r="B353" s="1" t="n">
        <v>45376</v>
      </c>
      <c r="C353" s="1" t="n">
        <v>46201</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12155-2023</t>
        </is>
      </c>
      <c r="B354" s="1" t="n">
        <v>44998</v>
      </c>
      <c r="C354" s="1" t="n">
        <v>46201</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64660-2023</t>
        </is>
      </c>
      <c r="B355" s="1" t="n">
        <v>45281</v>
      </c>
      <c r="C355" s="1" t="n">
        <v>46201</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14427-2024</t>
        </is>
      </c>
      <c r="B356" s="1" t="n">
        <v>45394</v>
      </c>
      <c r="C356" s="1" t="n">
        <v>46201</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2774-2024</t>
        </is>
      </c>
      <c r="B357" s="1" t="n">
        <v>45314</v>
      </c>
      <c r="C357" s="1" t="n">
        <v>46201</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64831-2023</t>
        </is>
      </c>
      <c r="B358" s="1" t="n">
        <v>45282</v>
      </c>
      <c r="C358" s="1" t="n">
        <v>46201</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9947-2024</t>
        </is>
      </c>
      <c r="B359" s="1" t="n">
        <v>45363</v>
      </c>
      <c r="C359" s="1" t="n">
        <v>46201</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42007-2023</t>
        </is>
      </c>
      <c r="B360" s="1" t="n">
        <v>45177</v>
      </c>
      <c r="C360" s="1" t="n">
        <v>46201</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49257-2024</t>
        </is>
      </c>
      <c r="B361" s="1" t="n">
        <v>45595</v>
      </c>
      <c r="C361" s="1" t="n">
        <v>46201</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49315-2024</t>
        </is>
      </c>
      <c r="B362" s="1" t="n">
        <v>45595</v>
      </c>
      <c r="C362" s="1" t="n">
        <v>46201</v>
      </c>
      <c r="D362" t="inlineStr">
        <is>
          <t>GOTLANDS LÄN</t>
        </is>
      </c>
      <c r="E362" t="inlineStr">
        <is>
          <t>GOTLAND</t>
        </is>
      </c>
      <c r="G362" t="n">
        <v>1.5</v>
      </c>
      <c r="H362" t="n">
        <v>0</v>
      </c>
      <c r="I362" t="n">
        <v>0</v>
      </c>
      <c r="J362" t="n">
        <v>0</v>
      </c>
      <c r="K362" t="n">
        <v>0</v>
      </c>
      <c r="L362" t="n">
        <v>0</v>
      </c>
      <c r="M362" t="n">
        <v>0</v>
      </c>
      <c r="N362" t="n">
        <v>0</v>
      </c>
      <c r="O362" t="n">
        <v>0</v>
      </c>
      <c r="P362" t="n">
        <v>0</v>
      </c>
      <c r="Q362" t="n">
        <v>0</v>
      </c>
      <c r="R362" s="2" t="inlineStr"/>
    </row>
    <row r="363" ht="15" customHeight="1">
      <c r="A363" t="inlineStr">
        <is>
          <t>A 27355-2025</t>
        </is>
      </c>
      <c r="B363" s="1" t="n">
        <v>45812</v>
      </c>
      <c r="C363" s="1" t="n">
        <v>46201</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7638-2025</t>
        </is>
      </c>
      <c r="B364" s="1" t="n">
        <v>45705</v>
      </c>
      <c r="C364" s="1" t="n">
        <v>46201</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7850-2025</t>
        </is>
      </c>
      <c r="B365" s="1" t="n">
        <v>45706</v>
      </c>
      <c r="C365" s="1" t="n">
        <v>46201</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15083-2025</t>
        </is>
      </c>
      <c r="B366" s="1" t="n">
        <v>45743</v>
      </c>
      <c r="C366" s="1" t="n">
        <v>46201</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4377-2023</t>
        </is>
      </c>
      <c r="B367" s="1" t="n">
        <v>44955</v>
      </c>
      <c r="C367" s="1" t="n">
        <v>46201</v>
      </c>
      <c r="D367" t="inlineStr">
        <is>
          <t>GOTLANDS LÄN</t>
        </is>
      </c>
      <c r="E367" t="inlineStr">
        <is>
          <t>GOTLAND</t>
        </is>
      </c>
      <c r="F367" t="inlineStr">
        <is>
          <t>Kyrkan</t>
        </is>
      </c>
      <c r="G367" t="n">
        <v>0.6</v>
      </c>
      <c r="H367" t="n">
        <v>0</v>
      </c>
      <c r="I367" t="n">
        <v>0</v>
      </c>
      <c r="J367" t="n">
        <v>0</v>
      </c>
      <c r="K367" t="n">
        <v>0</v>
      </c>
      <c r="L367" t="n">
        <v>0</v>
      </c>
      <c r="M367" t="n">
        <v>0</v>
      </c>
      <c r="N367" t="n">
        <v>0</v>
      </c>
      <c r="O367" t="n">
        <v>0</v>
      </c>
      <c r="P367" t="n">
        <v>0</v>
      </c>
      <c r="Q367" t="n">
        <v>0</v>
      </c>
      <c r="R367" s="2" t="inlineStr"/>
    </row>
    <row r="368" ht="15" customHeight="1">
      <c r="A368" t="inlineStr">
        <is>
          <t>A 8444-2025</t>
        </is>
      </c>
      <c r="B368" s="1" t="n">
        <v>45709</v>
      </c>
      <c r="C368" s="1" t="n">
        <v>46201</v>
      </c>
      <c r="D368" t="inlineStr">
        <is>
          <t>GOTLANDS LÄN</t>
        </is>
      </c>
      <c r="E368" t="inlineStr">
        <is>
          <t>GOTLAND</t>
        </is>
      </c>
      <c r="G368" t="n">
        <v>5.2</v>
      </c>
      <c r="H368" t="n">
        <v>0</v>
      </c>
      <c r="I368" t="n">
        <v>0</v>
      </c>
      <c r="J368" t="n">
        <v>0</v>
      </c>
      <c r="K368" t="n">
        <v>0</v>
      </c>
      <c r="L368" t="n">
        <v>0</v>
      </c>
      <c r="M368" t="n">
        <v>0</v>
      </c>
      <c r="N368" t="n">
        <v>0</v>
      </c>
      <c r="O368" t="n">
        <v>0</v>
      </c>
      <c r="P368" t="n">
        <v>0</v>
      </c>
      <c r="Q368" t="n">
        <v>0</v>
      </c>
      <c r="R368" s="2" t="inlineStr"/>
    </row>
    <row r="369" ht="15" customHeight="1">
      <c r="A369" t="inlineStr">
        <is>
          <t>A 19905-2025</t>
        </is>
      </c>
      <c r="B369" s="1" t="n">
        <v>45771</v>
      </c>
      <c r="C369" s="1" t="n">
        <v>46201</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27596-2023</t>
        </is>
      </c>
      <c r="B370" s="1" t="n">
        <v>45097</v>
      </c>
      <c r="C370" s="1" t="n">
        <v>46201</v>
      </c>
      <c r="D370" t="inlineStr">
        <is>
          <t>GOTLANDS LÄN</t>
        </is>
      </c>
      <c r="E370" t="inlineStr">
        <is>
          <t>GOTLAND</t>
        </is>
      </c>
      <c r="G370" t="n">
        <v>3.6</v>
      </c>
      <c r="H370" t="n">
        <v>0</v>
      </c>
      <c r="I370" t="n">
        <v>0</v>
      </c>
      <c r="J370" t="n">
        <v>0</v>
      </c>
      <c r="K370" t="n">
        <v>0</v>
      </c>
      <c r="L370" t="n">
        <v>0</v>
      </c>
      <c r="M370" t="n">
        <v>0</v>
      </c>
      <c r="N370" t="n">
        <v>0</v>
      </c>
      <c r="O370" t="n">
        <v>0</v>
      </c>
      <c r="P370" t="n">
        <v>0</v>
      </c>
      <c r="Q370" t="n">
        <v>0</v>
      </c>
      <c r="R370" s="2" t="inlineStr"/>
    </row>
    <row r="371" ht="15" customHeight="1">
      <c r="A371" t="inlineStr">
        <is>
          <t>A 64969-2023</t>
        </is>
      </c>
      <c r="B371" s="1" t="n">
        <v>45284</v>
      </c>
      <c r="C371" s="1" t="n">
        <v>46201</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43901-2023</t>
        </is>
      </c>
      <c r="B372" s="1" t="n">
        <v>45187</v>
      </c>
      <c r="C372" s="1" t="n">
        <v>46201</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17532-2024</t>
        </is>
      </c>
      <c r="B373" s="1" t="n">
        <v>45415</v>
      </c>
      <c r="C373" s="1" t="n">
        <v>46201</v>
      </c>
      <c r="D373" t="inlineStr">
        <is>
          <t>GOTLANDS LÄN</t>
        </is>
      </c>
      <c r="E373" t="inlineStr">
        <is>
          <t>GOTLAND</t>
        </is>
      </c>
      <c r="G373" t="n">
        <v>4.3</v>
      </c>
      <c r="H373" t="n">
        <v>0</v>
      </c>
      <c r="I373" t="n">
        <v>0</v>
      </c>
      <c r="J373" t="n">
        <v>0</v>
      </c>
      <c r="K373" t="n">
        <v>0</v>
      </c>
      <c r="L373" t="n">
        <v>0</v>
      </c>
      <c r="M373" t="n">
        <v>0</v>
      </c>
      <c r="N373" t="n">
        <v>0</v>
      </c>
      <c r="O373" t="n">
        <v>0</v>
      </c>
      <c r="P373" t="n">
        <v>0</v>
      </c>
      <c r="Q373" t="n">
        <v>0</v>
      </c>
      <c r="R373" s="2" t="inlineStr"/>
    </row>
    <row r="374" ht="15" customHeight="1">
      <c r="A374" t="inlineStr">
        <is>
          <t>A 29196-2025</t>
        </is>
      </c>
      <c r="B374" s="1" t="n">
        <v>45822</v>
      </c>
      <c r="C374" s="1" t="n">
        <v>46201</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18223-2025</t>
        </is>
      </c>
      <c r="B375" s="1" t="n">
        <v>45761</v>
      </c>
      <c r="C375" s="1" t="n">
        <v>46201</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46949-2024</t>
        </is>
      </c>
      <c r="B376" s="1" t="n">
        <v>45585</v>
      </c>
      <c r="C376" s="1" t="n">
        <v>46201</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30061-2025</t>
        </is>
      </c>
      <c r="B377" s="1" t="n">
        <v>45826</v>
      </c>
      <c r="C377" s="1" t="n">
        <v>46201</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37202-2024</t>
        </is>
      </c>
      <c r="B378" s="1" t="n">
        <v>45539</v>
      </c>
      <c r="C378" s="1" t="n">
        <v>46201</v>
      </c>
      <c r="D378" t="inlineStr">
        <is>
          <t>GOTLANDS LÄN</t>
        </is>
      </c>
      <c r="E378" t="inlineStr">
        <is>
          <t>GOTLAND</t>
        </is>
      </c>
      <c r="G378" t="n">
        <v>0.3</v>
      </c>
      <c r="H378" t="n">
        <v>0</v>
      </c>
      <c r="I378" t="n">
        <v>0</v>
      </c>
      <c r="J378" t="n">
        <v>0</v>
      </c>
      <c r="K378" t="n">
        <v>0</v>
      </c>
      <c r="L378" t="n">
        <v>0</v>
      </c>
      <c r="M378" t="n">
        <v>0</v>
      </c>
      <c r="N378" t="n">
        <v>0</v>
      </c>
      <c r="O378" t="n">
        <v>0</v>
      </c>
      <c r="P378" t="n">
        <v>0</v>
      </c>
      <c r="Q378" t="n">
        <v>0</v>
      </c>
      <c r="R378" s="2" t="inlineStr"/>
    </row>
    <row r="379" ht="15" customHeight="1">
      <c r="A379" t="inlineStr">
        <is>
          <t>A 39479-2022</t>
        </is>
      </c>
      <c r="B379" s="1" t="n">
        <v>44818</v>
      </c>
      <c r="C379" s="1" t="n">
        <v>46201</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39496-2022</t>
        </is>
      </c>
      <c r="B380" s="1" t="n">
        <v>44818</v>
      </c>
      <c r="C380" s="1" t="n">
        <v>46201</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58160-2024</t>
        </is>
      </c>
      <c r="B381" s="1" t="n">
        <v>45632</v>
      </c>
      <c r="C381" s="1" t="n">
        <v>46201</v>
      </c>
      <c r="D381" t="inlineStr">
        <is>
          <t>GOTLANDS LÄN</t>
        </is>
      </c>
      <c r="E381" t="inlineStr">
        <is>
          <t>GOTLAND</t>
        </is>
      </c>
      <c r="G381" t="n">
        <v>5.6</v>
      </c>
      <c r="H381" t="n">
        <v>0</v>
      </c>
      <c r="I381" t="n">
        <v>0</v>
      </c>
      <c r="J381" t="n">
        <v>0</v>
      </c>
      <c r="K381" t="n">
        <v>0</v>
      </c>
      <c r="L381" t="n">
        <v>0</v>
      </c>
      <c r="M381" t="n">
        <v>0</v>
      </c>
      <c r="N381" t="n">
        <v>0</v>
      </c>
      <c r="O381" t="n">
        <v>0</v>
      </c>
      <c r="P381" t="n">
        <v>0</v>
      </c>
      <c r="Q381" t="n">
        <v>0</v>
      </c>
      <c r="R381" s="2" t="inlineStr"/>
    </row>
    <row r="382" ht="15" customHeight="1">
      <c r="A382" t="inlineStr">
        <is>
          <t>A 46396-2023</t>
        </is>
      </c>
      <c r="B382" s="1" t="n">
        <v>45197</v>
      </c>
      <c r="C382" s="1" t="n">
        <v>46201</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30815-2023</t>
        </is>
      </c>
      <c r="B383" s="1" t="n">
        <v>45112</v>
      </c>
      <c r="C383" s="1" t="n">
        <v>46201</v>
      </c>
      <c r="D383" t="inlineStr">
        <is>
          <t>GOTLANDS LÄN</t>
        </is>
      </c>
      <c r="E383" t="inlineStr">
        <is>
          <t>GOTLAND</t>
        </is>
      </c>
      <c r="G383" t="n">
        <v>6</v>
      </c>
      <c r="H383" t="n">
        <v>0</v>
      </c>
      <c r="I383" t="n">
        <v>0</v>
      </c>
      <c r="J383" t="n">
        <v>0</v>
      </c>
      <c r="K383" t="n">
        <v>0</v>
      </c>
      <c r="L383" t="n">
        <v>0</v>
      </c>
      <c r="M383" t="n">
        <v>0</v>
      </c>
      <c r="N383" t="n">
        <v>0</v>
      </c>
      <c r="O383" t="n">
        <v>0</v>
      </c>
      <c r="P383" t="n">
        <v>0</v>
      </c>
      <c r="Q383" t="n">
        <v>0</v>
      </c>
      <c r="R383" s="2" t="inlineStr"/>
    </row>
    <row r="384" ht="15" customHeight="1">
      <c r="A384" t="inlineStr">
        <is>
          <t>A 46400-2023</t>
        </is>
      </c>
      <c r="B384" s="1" t="n">
        <v>45197</v>
      </c>
      <c r="C384" s="1" t="n">
        <v>46201</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10492-2023</t>
        </is>
      </c>
      <c r="B385" s="1" t="n">
        <v>44987</v>
      </c>
      <c r="C385" s="1" t="n">
        <v>46201</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16109-2025</t>
        </is>
      </c>
      <c r="B386" s="1" t="n">
        <v>45750</v>
      </c>
      <c r="C386" s="1" t="n">
        <v>46201</v>
      </c>
      <c r="D386" t="inlineStr">
        <is>
          <t>GOTLANDS LÄN</t>
        </is>
      </c>
      <c r="E386" t="inlineStr">
        <is>
          <t>GOTLAND</t>
        </is>
      </c>
      <c r="G386" t="n">
        <v>4.9</v>
      </c>
      <c r="H386" t="n">
        <v>0</v>
      </c>
      <c r="I386" t="n">
        <v>0</v>
      </c>
      <c r="J386" t="n">
        <v>0</v>
      </c>
      <c r="K386" t="n">
        <v>0</v>
      </c>
      <c r="L386" t="n">
        <v>0</v>
      </c>
      <c r="M386" t="n">
        <v>0</v>
      </c>
      <c r="N386" t="n">
        <v>0</v>
      </c>
      <c r="O386" t="n">
        <v>0</v>
      </c>
      <c r="P386" t="n">
        <v>0</v>
      </c>
      <c r="Q386" t="n">
        <v>0</v>
      </c>
      <c r="R386" s="2" t="inlineStr"/>
    </row>
    <row r="387" ht="15" customHeight="1">
      <c r="A387" t="inlineStr">
        <is>
          <t>A 46389-2021</t>
        </is>
      </c>
      <c r="B387" s="1" t="n">
        <v>44443</v>
      </c>
      <c r="C387" s="1" t="n">
        <v>46201</v>
      </c>
      <c r="D387" t="inlineStr">
        <is>
          <t>GOTLANDS LÄN</t>
        </is>
      </c>
      <c r="E387" t="inlineStr">
        <is>
          <t>GOTLAND</t>
        </is>
      </c>
      <c r="F387" t="inlineStr">
        <is>
          <t>Kyrkan</t>
        </is>
      </c>
      <c r="G387" t="n">
        <v>2.1</v>
      </c>
      <c r="H387" t="n">
        <v>0</v>
      </c>
      <c r="I387" t="n">
        <v>0</v>
      </c>
      <c r="J387" t="n">
        <v>0</v>
      </c>
      <c r="K387" t="n">
        <v>0</v>
      </c>
      <c r="L387" t="n">
        <v>0</v>
      </c>
      <c r="M387" t="n">
        <v>0</v>
      </c>
      <c r="N387" t="n">
        <v>0</v>
      </c>
      <c r="O387" t="n">
        <v>0</v>
      </c>
      <c r="P387" t="n">
        <v>0</v>
      </c>
      <c r="Q387" t="n">
        <v>0</v>
      </c>
      <c r="R387" s="2" t="inlineStr"/>
    </row>
    <row r="388" ht="15" customHeight="1">
      <c r="A388" t="inlineStr">
        <is>
          <t>A 44919-2022</t>
        </is>
      </c>
      <c r="B388" s="1" t="n">
        <v>44841</v>
      </c>
      <c r="C388" s="1" t="n">
        <v>46201</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16501-2023</t>
        </is>
      </c>
      <c r="B389" s="1" t="n">
        <v>45029</v>
      </c>
      <c r="C389" s="1" t="n">
        <v>46201</v>
      </c>
      <c r="D389" t="inlineStr">
        <is>
          <t>GOTLANDS LÄN</t>
        </is>
      </c>
      <c r="E389" t="inlineStr">
        <is>
          <t>GOTLAND</t>
        </is>
      </c>
      <c r="G389" t="n">
        <v>3.1</v>
      </c>
      <c r="H389" t="n">
        <v>0</v>
      </c>
      <c r="I389" t="n">
        <v>0</v>
      </c>
      <c r="J389" t="n">
        <v>0</v>
      </c>
      <c r="K389" t="n">
        <v>0</v>
      </c>
      <c r="L389" t="n">
        <v>0</v>
      </c>
      <c r="M389" t="n">
        <v>0</v>
      </c>
      <c r="N389" t="n">
        <v>0</v>
      </c>
      <c r="O389" t="n">
        <v>0</v>
      </c>
      <c r="P389" t="n">
        <v>0</v>
      </c>
      <c r="Q389" t="n">
        <v>0</v>
      </c>
      <c r="R389" s="2" t="inlineStr"/>
    </row>
    <row r="390" ht="15" customHeight="1">
      <c r="A390" t="inlineStr">
        <is>
          <t>A 27095-2022</t>
        </is>
      </c>
      <c r="B390" s="1" t="n">
        <v>44741</v>
      </c>
      <c r="C390" s="1" t="n">
        <v>46201</v>
      </c>
      <c r="D390" t="inlineStr">
        <is>
          <t>GOTLANDS LÄN</t>
        </is>
      </c>
      <c r="E390" t="inlineStr">
        <is>
          <t>GOTLAND</t>
        </is>
      </c>
      <c r="F390" t="inlineStr">
        <is>
          <t>Övriga Aktiebolag</t>
        </is>
      </c>
      <c r="G390" t="n">
        <v>2.9</v>
      </c>
      <c r="H390" t="n">
        <v>0</v>
      </c>
      <c r="I390" t="n">
        <v>0</v>
      </c>
      <c r="J390" t="n">
        <v>0</v>
      </c>
      <c r="K390" t="n">
        <v>0</v>
      </c>
      <c r="L390" t="n">
        <v>0</v>
      </c>
      <c r="M390" t="n">
        <v>0</v>
      </c>
      <c r="N390" t="n">
        <v>0</v>
      </c>
      <c r="O390" t="n">
        <v>0</v>
      </c>
      <c r="P390" t="n">
        <v>0</v>
      </c>
      <c r="Q390" t="n">
        <v>0</v>
      </c>
      <c r="R390" s="2" t="inlineStr"/>
    </row>
    <row r="391" ht="15" customHeight="1">
      <c r="A391" t="inlineStr">
        <is>
          <t>A 1291-2023</t>
        </is>
      </c>
      <c r="B391" s="1" t="n">
        <v>44936</v>
      </c>
      <c r="C391" s="1" t="n">
        <v>46201</v>
      </c>
      <c r="D391" t="inlineStr">
        <is>
          <t>GOTLANDS LÄN</t>
        </is>
      </c>
      <c r="E391" t="inlineStr">
        <is>
          <t>GOTLAND</t>
        </is>
      </c>
      <c r="G391" t="n">
        <v>7.4</v>
      </c>
      <c r="H391" t="n">
        <v>0</v>
      </c>
      <c r="I391" t="n">
        <v>0</v>
      </c>
      <c r="J391" t="n">
        <v>0</v>
      </c>
      <c r="K391" t="n">
        <v>0</v>
      </c>
      <c r="L391" t="n">
        <v>0</v>
      </c>
      <c r="M391" t="n">
        <v>0</v>
      </c>
      <c r="N391" t="n">
        <v>0</v>
      </c>
      <c r="O391" t="n">
        <v>0</v>
      </c>
      <c r="P391" t="n">
        <v>0</v>
      </c>
      <c r="Q391" t="n">
        <v>0</v>
      </c>
      <c r="R391" s="2" t="inlineStr"/>
    </row>
    <row r="392" ht="15" customHeight="1">
      <c r="A392" t="inlineStr">
        <is>
          <t>A 5891-2025</t>
        </is>
      </c>
      <c r="B392" s="1" t="n">
        <v>45695</v>
      </c>
      <c r="C392" s="1" t="n">
        <v>46201</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58132-2023</t>
        </is>
      </c>
      <c r="B393" s="1" t="n">
        <v>45250</v>
      </c>
      <c r="C393" s="1" t="n">
        <v>46201</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22899-2023</t>
        </is>
      </c>
      <c r="B394" s="1" t="n">
        <v>45072</v>
      </c>
      <c r="C394" s="1" t="n">
        <v>46201</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44949-2023</t>
        </is>
      </c>
      <c r="B395" s="1" t="n">
        <v>45190</v>
      </c>
      <c r="C395" s="1" t="n">
        <v>46201</v>
      </c>
      <c r="D395" t="inlineStr">
        <is>
          <t>GOTLANDS LÄN</t>
        </is>
      </c>
      <c r="E395" t="inlineStr">
        <is>
          <t>GOTLAND</t>
        </is>
      </c>
      <c r="G395" t="n">
        <v>1.4</v>
      </c>
      <c r="H395" t="n">
        <v>0</v>
      </c>
      <c r="I395" t="n">
        <v>0</v>
      </c>
      <c r="J395" t="n">
        <v>0</v>
      </c>
      <c r="K395" t="n">
        <v>0</v>
      </c>
      <c r="L395" t="n">
        <v>0</v>
      </c>
      <c r="M395" t="n">
        <v>0</v>
      </c>
      <c r="N395" t="n">
        <v>0</v>
      </c>
      <c r="O395" t="n">
        <v>0</v>
      </c>
      <c r="P395" t="n">
        <v>0</v>
      </c>
      <c r="Q395" t="n">
        <v>0</v>
      </c>
      <c r="R395" s="2" t="inlineStr"/>
    </row>
    <row r="396" ht="15" customHeight="1">
      <c r="A396" t="inlineStr">
        <is>
          <t>A 2719-2023</t>
        </is>
      </c>
      <c r="B396" s="1" t="n">
        <v>44944</v>
      </c>
      <c r="C396" s="1" t="n">
        <v>46201</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35096-2025</t>
        </is>
      </c>
      <c r="B397" s="1" t="n">
        <v>45852</v>
      </c>
      <c r="C397" s="1" t="n">
        <v>46201</v>
      </c>
      <c r="D397" t="inlineStr">
        <is>
          <t>GOTLANDS LÄN</t>
        </is>
      </c>
      <c r="E397" t="inlineStr">
        <is>
          <t>GOTLAND</t>
        </is>
      </c>
      <c r="F397" t="inlineStr">
        <is>
          <t>Kyrkan</t>
        </is>
      </c>
      <c r="G397" t="n">
        <v>1</v>
      </c>
      <c r="H397" t="n">
        <v>0</v>
      </c>
      <c r="I397" t="n">
        <v>0</v>
      </c>
      <c r="J397" t="n">
        <v>0</v>
      </c>
      <c r="K397" t="n">
        <v>0</v>
      </c>
      <c r="L397" t="n">
        <v>0</v>
      </c>
      <c r="M397" t="n">
        <v>0</v>
      </c>
      <c r="N397" t="n">
        <v>0</v>
      </c>
      <c r="O397" t="n">
        <v>0</v>
      </c>
      <c r="P397" t="n">
        <v>0</v>
      </c>
      <c r="Q397" t="n">
        <v>0</v>
      </c>
      <c r="R397" s="2" t="inlineStr"/>
    </row>
    <row r="398" ht="15" customHeight="1">
      <c r="A398" t="inlineStr">
        <is>
          <t>A 28285-2024</t>
        </is>
      </c>
      <c r="B398" s="1" t="n">
        <v>45477</v>
      </c>
      <c r="C398" s="1" t="n">
        <v>46201</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35123-2025</t>
        </is>
      </c>
      <c r="B399" s="1" t="n">
        <v>45852</v>
      </c>
      <c r="C399" s="1" t="n">
        <v>46201</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51963-2024</t>
        </is>
      </c>
      <c r="B400" s="1" t="n">
        <v>45607</v>
      </c>
      <c r="C400" s="1" t="n">
        <v>46201</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17682-2024</t>
        </is>
      </c>
      <c r="B401" s="1" t="n">
        <v>45418</v>
      </c>
      <c r="C401" s="1" t="n">
        <v>46201</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35290-2025</t>
        </is>
      </c>
      <c r="B402" s="1" t="n">
        <v>45854</v>
      </c>
      <c r="C402" s="1" t="n">
        <v>46201</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61897-2024</t>
        </is>
      </c>
      <c r="B403" s="1" t="n">
        <v>45652</v>
      </c>
      <c r="C403" s="1" t="n">
        <v>46201</v>
      </c>
      <c r="D403" t="inlineStr">
        <is>
          <t>GOTLANDS LÄN</t>
        </is>
      </c>
      <c r="E403" t="inlineStr">
        <is>
          <t>GOTLAND</t>
        </is>
      </c>
      <c r="G403" t="n">
        <v>6.4</v>
      </c>
      <c r="H403" t="n">
        <v>0</v>
      </c>
      <c r="I403" t="n">
        <v>0</v>
      </c>
      <c r="J403" t="n">
        <v>0</v>
      </c>
      <c r="K403" t="n">
        <v>0</v>
      </c>
      <c r="L403" t="n">
        <v>0</v>
      </c>
      <c r="M403" t="n">
        <v>0</v>
      </c>
      <c r="N403" t="n">
        <v>0</v>
      </c>
      <c r="O403" t="n">
        <v>0</v>
      </c>
      <c r="P403" t="n">
        <v>0</v>
      </c>
      <c r="Q403" t="n">
        <v>0</v>
      </c>
      <c r="R403" s="2" t="inlineStr"/>
    </row>
    <row r="404" ht="15" customHeight="1">
      <c r="A404" t="inlineStr">
        <is>
          <t>A 12032-2025</t>
        </is>
      </c>
      <c r="B404" s="1" t="n">
        <v>45728</v>
      </c>
      <c r="C404" s="1" t="n">
        <v>46201</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32669-2024</t>
        </is>
      </c>
      <c r="B405" s="1" t="n">
        <v>45514</v>
      </c>
      <c r="C405" s="1" t="n">
        <v>46201</v>
      </c>
      <c r="D405" t="inlineStr">
        <is>
          <t>GOTLANDS LÄN</t>
        </is>
      </c>
      <c r="E405" t="inlineStr">
        <is>
          <t>GOTLAND</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16361-2024</t>
        </is>
      </c>
      <c r="B406" s="1" t="n">
        <v>45407</v>
      </c>
      <c r="C406" s="1" t="n">
        <v>46201</v>
      </c>
      <c r="D406" t="inlineStr">
        <is>
          <t>GOTLANDS LÄN</t>
        </is>
      </c>
      <c r="E406" t="inlineStr">
        <is>
          <t>GOTLAND</t>
        </is>
      </c>
      <c r="G406" t="n">
        <v>6</v>
      </c>
      <c r="H406" t="n">
        <v>0</v>
      </c>
      <c r="I406" t="n">
        <v>0</v>
      </c>
      <c r="J406" t="n">
        <v>0</v>
      </c>
      <c r="K406" t="n">
        <v>0</v>
      </c>
      <c r="L406" t="n">
        <v>0</v>
      </c>
      <c r="M406" t="n">
        <v>0</v>
      </c>
      <c r="N406" t="n">
        <v>0</v>
      </c>
      <c r="O406" t="n">
        <v>0</v>
      </c>
      <c r="P406" t="n">
        <v>0</v>
      </c>
      <c r="Q406" t="n">
        <v>0</v>
      </c>
      <c r="R406" s="2" t="inlineStr"/>
    </row>
    <row r="407" ht="15" customHeight="1">
      <c r="A407" t="inlineStr">
        <is>
          <t>A 43081-2022</t>
        </is>
      </c>
      <c r="B407" s="1" t="n">
        <v>44833</v>
      </c>
      <c r="C407" s="1" t="n">
        <v>46201</v>
      </c>
      <c r="D407" t="inlineStr">
        <is>
          <t>GOTLANDS LÄN</t>
        </is>
      </c>
      <c r="E407" t="inlineStr">
        <is>
          <t>GOTLAND</t>
        </is>
      </c>
      <c r="G407" t="n">
        <v>6.8</v>
      </c>
      <c r="H407" t="n">
        <v>0</v>
      </c>
      <c r="I407" t="n">
        <v>0</v>
      </c>
      <c r="J407" t="n">
        <v>0</v>
      </c>
      <c r="K407" t="n">
        <v>0</v>
      </c>
      <c r="L407" t="n">
        <v>0</v>
      </c>
      <c r="M407" t="n">
        <v>0</v>
      </c>
      <c r="N407" t="n">
        <v>0</v>
      </c>
      <c r="O407" t="n">
        <v>0</v>
      </c>
      <c r="P407" t="n">
        <v>0</v>
      </c>
      <c r="Q407" t="n">
        <v>0</v>
      </c>
      <c r="R407" s="2" t="inlineStr"/>
    </row>
    <row r="408" ht="15" customHeight="1">
      <c r="A408" t="inlineStr">
        <is>
          <t>A 1734-2025</t>
        </is>
      </c>
      <c r="B408" s="1" t="n">
        <v>45671</v>
      </c>
      <c r="C408" s="1" t="n">
        <v>46201</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30365-2024</t>
        </is>
      </c>
      <c r="B409" s="1" t="n">
        <v>45491</v>
      </c>
      <c r="C409" s="1" t="n">
        <v>46201</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30488-2025</t>
        </is>
      </c>
      <c r="B410" s="1" t="n">
        <v>45830</v>
      </c>
      <c r="C410" s="1" t="n">
        <v>46201</v>
      </c>
      <c r="D410" t="inlineStr">
        <is>
          <t>GOTLANDS LÄN</t>
        </is>
      </c>
      <c r="E410" t="inlineStr">
        <is>
          <t>GOTLAND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15216-2025</t>
        </is>
      </c>
      <c r="B411" s="1" t="n">
        <v>45744</v>
      </c>
      <c r="C411" s="1" t="n">
        <v>46201</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15001-2025</t>
        </is>
      </c>
      <c r="B412" s="1" t="n">
        <v>45743</v>
      </c>
      <c r="C412" s="1" t="n">
        <v>46201</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43790-2024</t>
        </is>
      </c>
      <c r="B413" s="1" t="n">
        <v>45571</v>
      </c>
      <c r="C413" s="1" t="n">
        <v>46201</v>
      </c>
      <c r="D413" t="inlineStr">
        <is>
          <t>GOTLANDS LÄN</t>
        </is>
      </c>
      <c r="E413" t="inlineStr">
        <is>
          <t>GOTLAND</t>
        </is>
      </c>
      <c r="G413" t="n">
        <v>3.5</v>
      </c>
      <c r="H413" t="n">
        <v>0</v>
      </c>
      <c r="I413" t="n">
        <v>0</v>
      </c>
      <c r="J413" t="n">
        <v>0</v>
      </c>
      <c r="K413" t="n">
        <v>0</v>
      </c>
      <c r="L413" t="n">
        <v>0</v>
      </c>
      <c r="M413" t="n">
        <v>0</v>
      </c>
      <c r="N413" t="n">
        <v>0</v>
      </c>
      <c r="O413" t="n">
        <v>0</v>
      </c>
      <c r="P413" t="n">
        <v>0</v>
      </c>
      <c r="Q413" t="n">
        <v>0</v>
      </c>
      <c r="R413" s="2" t="inlineStr"/>
    </row>
    <row r="414" ht="15" customHeight="1">
      <c r="A414" t="inlineStr">
        <is>
          <t>A 17847-2025</t>
        </is>
      </c>
      <c r="B414" s="1" t="n">
        <v>45758</v>
      </c>
      <c r="C414" s="1" t="n">
        <v>46201</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18742-2025</t>
        </is>
      </c>
      <c r="B415" s="1" t="n">
        <v>45763</v>
      </c>
      <c r="C415" s="1" t="n">
        <v>46201</v>
      </c>
      <c r="D415" t="inlineStr">
        <is>
          <t>GOTLANDS LÄN</t>
        </is>
      </c>
      <c r="E415" t="inlineStr">
        <is>
          <t>GOTLAND</t>
        </is>
      </c>
      <c r="G415" t="n">
        <v>3.4</v>
      </c>
      <c r="H415" t="n">
        <v>0</v>
      </c>
      <c r="I415" t="n">
        <v>0</v>
      </c>
      <c r="J415" t="n">
        <v>0</v>
      </c>
      <c r="K415" t="n">
        <v>0</v>
      </c>
      <c r="L415" t="n">
        <v>0</v>
      </c>
      <c r="M415" t="n">
        <v>0</v>
      </c>
      <c r="N415" t="n">
        <v>0</v>
      </c>
      <c r="O415" t="n">
        <v>0</v>
      </c>
      <c r="P415" t="n">
        <v>0</v>
      </c>
      <c r="Q415" t="n">
        <v>0</v>
      </c>
      <c r="R415" s="2" t="inlineStr"/>
    </row>
    <row r="416" ht="15" customHeight="1">
      <c r="A416" t="inlineStr">
        <is>
          <t>A 35129-2025</t>
        </is>
      </c>
      <c r="B416" s="1" t="n">
        <v>45852</v>
      </c>
      <c r="C416" s="1" t="n">
        <v>46201</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2674-2023</t>
        </is>
      </c>
      <c r="B417" s="1" t="n">
        <v>44944</v>
      </c>
      <c r="C417" s="1" t="n">
        <v>46201</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21164-2024</t>
        </is>
      </c>
      <c r="B418" s="1" t="n">
        <v>45440</v>
      </c>
      <c r="C418" s="1" t="n">
        <v>46201</v>
      </c>
      <c r="D418" t="inlineStr">
        <is>
          <t>GOTLANDS LÄN</t>
        </is>
      </c>
      <c r="E418" t="inlineStr">
        <is>
          <t>GOTLAND</t>
        </is>
      </c>
      <c r="G418" t="n">
        <v>6.3</v>
      </c>
      <c r="H418" t="n">
        <v>0</v>
      </c>
      <c r="I418" t="n">
        <v>0</v>
      </c>
      <c r="J418" t="n">
        <v>0</v>
      </c>
      <c r="K418" t="n">
        <v>0</v>
      </c>
      <c r="L418" t="n">
        <v>0</v>
      </c>
      <c r="M418" t="n">
        <v>0</v>
      </c>
      <c r="N418" t="n">
        <v>0</v>
      </c>
      <c r="O418" t="n">
        <v>0</v>
      </c>
      <c r="P418" t="n">
        <v>0</v>
      </c>
      <c r="Q418" t="n">
        <v>0</v>
      </c>
      <c r="R418" s="2" t="inlineStr"/>
    </row>
    <row r="419" ht="15" customHeight="1">
      <c r="A419" t="inlineStr">
        <is>
          <t>A 17541-2024</t>
        </is>
      </c>
      <c r="B419" s="1" t="n">
        <v>45415</v>
      </c>
      <c r="C419" s="1" t="n">
        <v>46201</v>
      </c>
      <c r="D419" t="inlineStr">
        <is>
          <t>GOTLANDS LÄN</t>
        </is>
      </c>
      <c r="E419" t="inlineStr">
        <is>
          <t>GOTLAND</t>
        </is>
      </c>
      <c r="G419" t="n">
        <v>2.6</v>
      </c>
      <c r="H419" t="n">
        <v>0</v>
      </c>
      <c r="I419" t="n">
        <v>0</v>
      </c>
      <c r="J419" t="n">
        <v>0</v>
      </c>
      <c r="K419" t="n">
        <v>0</v>
      </c>
      <c r="L419" t="n">
        <v>0</v>
      </c>
      <c r="M419" t="n">
        <v>0</v>
      </c>
      <c r="N419" t="n">
        <v>0</v>
      </c>
      <c r="O419" t="n">
        <v>0</v>
      </c>
      <c r="P419" t="n">
        <v>0</v>
      </c>
      <c r="Q419" t="n">
        <v>0</v>
      </c>
      <c r="R419" s="2" t="inlineStr"/>
    </row>
    <row r="420" ht="15" customHeight="1">
      <c r="A420" t="inlineStr">
        <is>
          <t>A 12599-2025</t>
        </is>
      </c>
      <c r="B420" s="1" t="n">
        <v>45733</v>
      </c>
      <c r="C420" s="1" t="n">
        <v>46201</v>
      </c>
      <c r="D420" t="inlineStr">
        <is>
          <t>GOTLANDS LÄN</t>
        </is>
      </c>
      <c r="E420" t="inlineStr">
        <is>
          <t>GOTLAND</t>
        </is>
      </c>
      <c r="G420" t="n">
        <v>4.7</v>
      </c>
      <c r="H420" t="n">
        <v>0</v>
      </c>
      <c r="I420" t="n">
        <v>0</v>
      </c>
      <c r="J420" t="n">
        <v>0</v>
      </c>
      <c r="K420" t="n">
        <v>0</v>
      </c>
      <c r="L420" t="n">
        <v>0</v>
      </c>
      <c r="M420" t="n">
        <v>0</v>
      </c>
      <c r="N420" t="n">
        <v>0</v>
      </c>
      <c r="O420" t="n">
        <v>0</v>
      </c>
      <c r="P420" t="n">
        <v>0</v>
      </c>
      <c r="Q420" t="n">
        <v>0</v>
      </c>
      <c r="R420" s="2" t="inlineStr"/>
    </row>
    <row r="421" ht="15" customHeight="1">
      <c r="A421" t="inlineStr">
        <is>
          <t>A 10655-2023</t>
        </is>
      </c>
      <c r="B421" s="1" t="n">
        <v>44988</v>
      </c>
      <c r="C421" s="1" t="n">
        <v>46201</v>
      </c>
      <c r="D421" t="inlineStr">
        <is>
          <t>GOTLANDS LÄN</t>
        </is>
      </c>
      <c r="E421" t="inlineStr">
        <is>
          <t>GOTLAND</t>
        </is>
      </c>
      <c r="F421" t="inlineStr">
        <is>
          <t>Kyrkan</t>
        </is>
      </c>
      <c r="G421" t="n">
        <v>2</v>
      </c>
      <c r="H421" t="n">
        <v>0</v>
      </c>
      <c r="I421" t="n">
        <v>0</v>
      </c>
      <c r="J421" t="n">
        <v>0</v>
      </c>
      <c r="K421" t="n">
        <v>0</v>
      </c>
      <c r="L421" t="n">
        <v>0</v>
      </c>
      <c r="M421" t="n">
        <v>0</v>
      </c>
      <c r="N421" t="n">
        <v>0</v>
      </c>
      <c r="O421" t="n">
        <v>0</v>
      </c>
      <c r="P421" t="n">
        <v>0</v>
      </c>
      <c r="Q421" t="n">
        <v>0</v>
      </c>
      <c r="R421" s="2" t="inlineStr"/>
    </row>
    <row r="422" ht="15" customHeight="1">
      <c r="A422" t="inlineStr">
        <is>
          <t>A 21142-2025</t>
        </is>
      </c>
      <c r="B422" s="1" t="n">
        <v>45779</v>
      </c>
      <c r="C422" s="1" t="n">
        <v>46201</v>
      </c>
      <c r="D422" t="inlineStr">
        <is>
          <t>GOTLANDS LÄN</t>
        </is>
      </c>
      <c r="E422" t="inlineStr">
        <is>
          <t>GOTLAND</t>
        </is>
      </c>
      <c r="G422" t="n">
        <v>1.3</v>
      </c>
      <c r="H422" t="n">
        <v>0</v>
      </c>
      <c r="I422" t="n">
        <v>0</v>
      </c>
      <c r="J422" t="n">
        <v>0</v>
      </c>
      <c r="K422" t="n">
        <v>0</v>
      </c>
      <c r="L422" t="n">
        <v>0</v>
      </c>
      <c r="M422" t="n">
        <v>0</v>
      </c>
      <c r="N422" t="n">
        <v>0</v>
      </c>
      <c r="O422" t="n">
        <v>0</v>
      </c>
      <c r="P422" t="n">
        <v>0</v>
      </c>
      <c r="Q422" t="n">
        <v>0</v>
      </c>
      <c r="R422" s="2" t="inlineStr"/>
    </row>
    <row r="423" ht="15" customHeight="1">
      <c r="A423" t="inlineStr">
        <is>
          <t>A 6108-2025</t>
        </is>
      </c>
      <c r="B423" s="1" t="n">
        <v>45698</v>
      </c>
      <c r="C423" s="1" t="n">
        <v>46201</v>
      </c>
      <c r="D423" t="inlineStr">
        <is>
          <t>GOTLANDS LÄN</t>
        </is>
      </c>
      <c r="E423" t="inlineStr">
        <is>
          <t>GOTLAND</t>
        </is>
      </c>
      <c r="G423" t="n">
        <v>2.8</v>
      </c>
      <c r="H423" t="n">
        <v>0</v>
      </c>
      <c r="I423" t="n">
        <v>0</v>
      </c>
      <c r="J423" t="n">
        <v>0</v>
      </c>
      <c r="K423" t="n">
        <v>0</v>
      </c>
      <c r="L423" t="n">
        <v>0</v>
      </c>
      <c r="M423" t="n">
        <v>0</v>
      </c>
      <c r="N423" t="n">
        <v>0</v>
      </c>
      <c r="O423" t="n">
        <v>0</v>
      </c>
      <c r="P423" t="n">
        <v>0</v>
      </c>
      <c r="Q423" t="n">
        <v>0</v>
      </c>
      <c r="R423" s="2" t="inlineStr"/>
    </row>
    <row r="424" ht="15" customHeight="1">
      <c r="A424" t="inlineStr">
        <is>
          <t>A 17343-2025</t>
        </is>
      </c>
      <c r="B424" s="1" t="n">
        <v>45756</v>
      </c>
      <c r="C424" s="1" t="n">
        <v>46201</v>
      </c>
      <c r="D424" t="inlineStr">
        <is>
          <t>GOTLANDS LÄN</t>
        </is>
      </c>
      <c r="E424" t="inlineStr">
        <is>
          <t>GOTLAND</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18938-2025</t>
        </is>
      </c>
      <c r="B425" s="1" t="n">
        <v>45764</v>
      </c>
      <c r="C425" s="1" t="n">
        <v>46201</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20307-2025</t>
        </is>
      </c>
      <c r="B426" s="1" t="n">
        <v>45774</v>
      </c>
      <c r="C426" s="1" t="n">
        <v>46201</v>
      </c>
      <c r="D426" t="inlineStr">
        <is>
          <t>GOTLANDS LÄN</t>
        </is>
      </c>
      <c r="E426" t="inlineStr">
        <is>
          <t>GOTLAND</t>
        </is>
      </c>
      <c r="G426" t="n">
        <v>6.8</v>
      </c>
      <c r="H426" t="n">
        <v>0</v>
      </c>
      <c r="I426" t="n">
        <v>0</v>
      </c>
      <c r="J426" t="n">
        <v>0</v>
      </c>
      <c r="K426" t="n">
        <v>0</v>
      </c>
      <c r="L426" t="n">
        <v>0</v>
      </c>
      <c r="M426" t="n">
        <v>0</v>
      </c>
      <c r="N426" t="n">
        <v>0</v>
      </c>
      <c r="O426" t="n">
        <v>0</v>
      </c>
      <c r="P426" t="n">
        <v>0</v>
      </c>
      <c r="Q426" t="n">
        <v>0</v>
      </c>
      <c r="R426" s="2" t="inlineStr"/>
    </row>
    <row r="427" ht="15" customHeight="1">
      <c r="A427" t="inlineStr">
        <is>
          <t>A 21389-2025</t>
        </is>
      </c>
      <c r="B427" s="1" t="n">
        <v>45782</v>
      </c>
      <c r="C427" s="1" t="n">
        <v>46201</v>
      </c>
      <c r="D427" t="inlineStr">
        <is>
          <t>GOTLANDS LÄN</t>
        </is>
      </c>
      <c r="E427" t="inlineStr">
        <is>
          <t>GOTLAND</t>
        </is>
      </c>
      <c r="G427" t="n">
        <v>4.1</v>
      </c>
      <c r="H427" t="n">
        <v>0</v>
      </c>
      <c r="I427" t="n">
        <v>0</v>
      </c>
      <c r="J427" t="n">
        <v>0</v>
      </c>
      <c r="K427" t="n">
        <v>0</v>
      </c>
      <c r="L427" t="n">
        <v>0</v>
      </c>
      <c r="M427" t="n">
        <v>0</v>
      </c>
      <c r="N427" t="n">
        <v>0</v>
      </c>
      <c r="O427" t="n">
        <v>0</v>
      </c>
      <c r="P427" t="n">
        <v>0</v>
      </c>
      <c r="Q427" t="n">
        <v>0</v>
      </c>
      <c r="R427" s="2" t="inlineStr"/>
    </row>
    <row r="428" ht="15" customHeight="1">
      <c r="A428" t="inlineStr">
        <is>
          <t>A 44649-2021</t>
        </is>
      </c>
      <c r="B428" s="1" t="n">
        <v>44437</v>
      </c>
      <c r="C428" s="1" t="n">
        <v>46201</v>
      </c>
      <c r="D428" t="inlineStr">
        <is>
          <t>GOTLANDS LÄN</t>
        </is>
      </c>
      <c r="E428" t="inlineStr">
        <is>
          <t>GOTLAND</t>
        </is>
      </c>
      <c r="G428" t="n">
        <v>8.1</v>
      </c>
      <c r="H428" t="n">
        <v>0</v>
      </c>
      <c r="I428" t="n">
        <v>0</v>
      </c>
      <c r="J428" t="n">
        <v>0</v>
      </c>
      <c r="K428" t="n">
        <v>0</v>
      </c>
      <c r="L428" t="n">
        <v>0</v>
      </c>
      <c r="M428" t="n">
        <v>0</v>
      </c>
      <c r="N428" t="n">
        <v>0</v>
      </c>
      <c r="O428" t="n">
        <v>0</v>
      </c>
      <c r="P428" t="n">
        <v>0</v>
      </c>
      <c r="Q428" t="n">
        <v>0</v>
      </c>
      <c r="R428" s="2" t="inlineStr"/>
    </row>
    <row r="429" ht="15" customHeight="1">
      <c r="A429" t="inlineStr">
        <is>
          <t>A 8484-2025</t>
        </is>
      </c>
      <c r="B429" s="1" t="n">
        <v>45709</v>
      </c>
      <c r="C429" s="1" t="n">
        <v>46201</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20356-2022</t>
        </is>
      </c>
      <c r="B430" s="1" t="n">
        <v>44699</v>
      </c>
      <c r="C430" s="1" t="n">
        <v>46201</v>
      </c>
      <c r="D430" t="inlineStr">
        <is>
          <t>GOTLANDS LÄN</t>
        </is>
      </c>
      <c r="E430" t="inlineStr">
        <is>
          <t>GOTLAND</t>
        </is>
      </c>
      <c r="F430" t="inlineStr">
        <is>
          <t>Övriga Aktiebolag</t>
        </is>
      </c>
      <c r="G430" t="n">
        <v>4.4</v>
      </c>
      <c r="H430" t="n">
        <v>0</v>
      </c>
      <c r="I430" t="n">
        <v>0</v>
      </c>
      <c r="J430" t="n">
        <v>0</v>
      </c>
      <c r="K430" t="n">
        <v>0</v>
      </c>
      <c r="L430" t="n">
        <v>0</v>
      </c>
      <c r="M430" t="n">
        <v>0</v>
      </c>
      <c r="N430" t="n">
        <v>0</v>
      </c>
      <c r="O430" t="n">
        <v>0</v>
      </c>
      <c r="P430" t="n">
        <v>0</v>
      </c>
      <c r="Q430" t="n">
        <v>0</v>
      </c>
      <c r="R430" s="2" t="inlineStr"/>
    </row>
    <row r="431" ht="15" customHeight="1">
      <c r="A431" t="inlineStr">
        <is>
          <t>A 35142-2025</t>
        </is>
      </c>
      <c r="B431" s="1" t="n">
        <v>45852</v>
      </c>
      <c r="C431" s="1" t="n">
        <v>46201</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35141-2025</t>
        </is>
      </c>
      <c r="B432" s="1" t="n">
        <v>45852</v>
      </c>
      <c r="C432" s="1" t="n">
        <v>46201</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35550-2025</t>
        </is>
      </c>
      <c r="B433" s="1" t="n">
        <v>45856</v>
      </c>
      <c r="C433" s="1" t="n">
        <v>46201</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47578-2025</t>
        </is>
      </c>
      <c r="B434" s="1" t="n">
        <v>45931</v>
      </c>
      <c r="C434" s="1" t="n">
        <v>46201</v>
      </c>
      <c r="D434" t="inlineStr">
        <is>
          <t>GOTLANDS LÄN</t>
        </is>
      </c>
      <c r="E434" t="inlineStr">
        <is>
          <t>GOTLAND</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49690-2025</t>
        </is>
      </c>
      <c r="B435" s="1" t="n">
        <v>45939</v>
      </c>
      <c r="C435" s="1" t="n">
        <v>46201</v>
      </c>
      <c r="D435" t="inlineStr">
        <is>
          <t>GOTLANDS LÄN</t>
        </is>
      </c>
      <c r="E435" t="inlineStr">
        <is>
          <t>GOTLAND</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49730-2025</t>
        </is>
      </c>
      <c r="B436" s="1" t="n">
        <v>45939</v>
      </c>
      <c r="C436" s="1" t="n">
        <v>46201</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39816-2025</t>
        </is>
      </c>
      <c r="B437" s="1" t="n">
        <v>45891</v>
      </c>
      <c r="C437" s="1" t="n">
        <v>46201</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40372-2025</t>
        </is>
      </c>
      <c r="B438" s="1" t="n">
        <v>45895</v>
      </c>
      <c r="C438" s="1" t="n">
        <v>46201</v>
      </c>
      <c r="D438" t="inlineStr">
        <is>
          <t>GOTLANDS LÄN</t>
        </is>
      </c>
      <c r="E438" t="inlineStr">
        <is>
          <t>GOTLAND</t>
        </is>
      </c>
      <c r="G438" t="n">
        <v>3.3</v>
      </c>
      <c r="H438" t="n">
        <v>0</v>
      </c>
      <c r="I438" t="n">
        <v>0</v>
      </c>
      <c r="J438" t="n">
        <v>0</v>
      </c>
      <c r="K438" t="n">
        <v>0</v>
      </c>
      <c r="L438" t="n">
        <v>0</v>
      </c>
      <c r="M438" t="n">
        <v>0</v>
      </c>
      <c r="N438" t="n">
        <v>0</v>
      </c>
      <c r="O438" t="n">
        <v>0</v>
      </c>
      <c r="P438" t="n">
        <v>0</v>
      </c>
      <c r="Q438" t="n">
        <v>0</v>
      </c>
      <c r="R438" s="2" t="inlineStr"/>
    </row>
    <row r="439" ht="15" customHeight="1">
      <c r="A439" t="inlineStr">
        <is>
          <t>A 40373-2025</t>
        </is>
      </c>
      <c r="B439" s="1" t="n">
        <v>45895</v>
      </c>
      <c r="C439" s="1" t="n">
        <v>46201</v>
      </c>
      <c r="D439" t="inlineStr">
        <is>
          <t>GOTLANDS LÄN</t>
        </is>
      </c>
      <c r="E439" t="inlineStr">
        <is>
          <t>GOTLAND</t>
        </is>
      </c>
      <c r="G439" t="n">
        <v>0.6</v>
      </c>
      <c r="H439" t="n">
        <v>0</v>
      </c>
      <c r="I439" t="n">
        <v>0</v>
      </c>
      <c r="J439" t="n">
        <v>0</v>
      </c>
      <c r="K439" t="n">
        <v>0</v>
      </c>
      <c r="L439" t="n">
        <v>0</v>
      </c>
      <c r="M439" t="n">
        <v>0</v>
      </c>
      <c r="N439" t="n">
        <v>0</v>
      </c>
      <c r="O439" t="n">
        <v>0</v>
      </c>
      <c r="P439" t="n">
        <v>0</v>
      </c>
      <c r="Q439" t="n">
        <v>0</v>
      </c>
      <c r="R439" s="2" t="inlineStr"/>
    </row>
    <row r="440" ht="15" customHeight="1">
      <c r="A440" t="inlineStr">
        <is>
          <t>A 50744-2024</t>
        </is>
      </c>
      <c r="B440" s="1" t="n">
        <v>45602</v>
      </c>
      <c r="C440" s="1" t="n">
        <v>46201</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45244-2024</t>
        </is>
      </c>
      <c r="B441" s="1" t="n">
        <v>45576</v>
      </c>
      <c r="C441" s="1" t="n">
        <v>46201</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40499-2025</t>
        </is>
      </c>
      <c r="B442" s="1" t="n">
        <v>45896</v>
      </c>
      <c r="C442" s="1" t="n">
        <v>46201</v>
      </c>
      <c r="D442" t="inlineStr">
        <is>
          <t>GOTLANDS LÄN</t>
        </is>
      </c>
      <c r="E442" t="inlineStr">
        <is>
          <t>GOTLAND</t>
        </is>
      </c>
      <c r="G442" t="n">
        <v>2.6</v>
      </c>
      <c r="H442" t="n">
        <v>0</v>
      </c>
      <c r="I442" t="n">
        <v>0</v>
      </c>
      <c r="J442" t="n">
        <v>0</v>
      </c>
      <c r="K442" t="n">
        <v>0</v>
      </c>
      <c r="L442" t="n">
        <v>0</v>
      </c>
      <c r="M442" t="n">
        <v>0</v>
      </c>
      <c r="N442" t="n">
        <v>0</v>
      </c>
      <c r="O442" t="n">
        <v>0</v>
      </c>
      <c r="P442" t="n">
        <v>0</v>
      </c>
      <c r="Q442" t="n">
        <v>0</v>
      </c>
      <c r="R442" s="2" t="inlineStr"/>
    </row>
    <row r="443" ht="15" customHeight="1">
      <c r="A443" t="inlineStr">
        <is>
          <t>A 38787-2023</t>
        </is>
      </c>
      <c r="B443" s="1" t="n">
        <v>45163</v>
      </c>
      <c r="C443" s="1" t="n">
        <v>46201</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21420-2024</t>
        </is>
      </c>
      <c r="B444" s="1" t="n">
        <v>45441</v>
      </c>
      <c r="C444" s="1" t="n">
        <v>46201</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10656-2024</t>
        </is>
      </c>
      <c r="B445" s="1" t="n">
        <v>45368</v>
      </c>
      <c r="C445" s="1" t="n">
        <v>46201</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39278-2025</t>
        </is>
      </c>
      <c r="B446" s="1" t="n">
        <v>45889</v>
      </c>
      <c r="C446" s="1" t="n">
        <v>46201</v>
      </c>
      <c r="D446" t="inlineStr">
        <is>
          <t>GOTLANDS LÄN</t>
        </is>
      </c>
      <c r="E446" t="inlineStr">
        <is>
          <t>GOTLAND</t>
        </is>
      </c>
      <c r="G446" t="n">
        <v>3.7</v>
      </c>
      <c r="H446" t="n">
        <v>0</v>
      </c>
      <c r="I446" t="n">
        <v>0</v>
      </c>
      <c r="J446" t="n">
        <v>0</v>
      </c>
      <c r="K446" t="n">
        <v>0</v>
      </c>
      <c r="L446" t="n">
        <v>0</v>
      </c>
      <c r="M446" t="n">
        <v>0</v>
      </c>
      <c r="N446" t="n">
        <v>0</v>
      </c>
      <c r="O446" t="n">
        <v>0</v>
      </c>
      <c r="P446" t="n">
        <v>0</v>
      </c>
      <c r="Q446" t="n">
        <v>0</v>
      </c>
      <c r="R446" s="2" t="inlineStr"/>
    </row>
    <row r="447" ht="15" customHeight="1">
      <c r="A447" t="inlineStr">
        <is>
          <t>A 2714-2023</t>
        </is>
      </c>
      <c r="B447" s="1" t="n">
        <v>44944</v>
      </c>
      <c r="C447" s="1" t="n">
        <v>46201</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22897-2023</t>
        </is>
      </c>
      <c r="B448" s="1" t="n">
        <v>45072</v>
      </c>
      <c r="C448" s="1" t="n">
        <v>46201</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57356-2023</t>
        </is>
      </c>
      <c r="B449" s="1" t="n">
        <v>45240</v>
      </c>
      <c r="C449" s="1" t="n">
        <v>46201</v>
      </c>
      <c r="D449" t="inlineStr">
        <is>
          <t>GOTLANDS LÄN</t>
        </is>
      </c>
      <c r="E449" t="inlineStr">
        <is>
          <t>GOTLAND</t>
        </is>
      </c>
      <c r="G449" t="n">
        <v>6.4</v>
      </c>
      <c r="H449" t="n">
        <v>0</v>
      </c>
      <c r="I449" t="n">
        <v>0</v>
      </c>
      <c r="J449" t="n">
        <v>0</v>
      </c>
      <c r="K449" t="n">
        <v>0</v>
      </c>
      <c r="L449" t="n">
        <v>0</v>
      </c>
      <c r="M449" t="n">
        <v>0</v>
      </c>
      <c r="N449" t="n">
        <v>0</v>
      </c>
      <c r="O449" t="n">
        <v>0</v>
      </c>
      <c r="P449" t="n">
        <v>0</v>
      </c>
      <c r="Q449" t="n">
        <v>0</v>
      </c>
      <c r="R449" s="2" t="inlineStr"/>
    </row>
    <row r="450" ht="15" customHeight="1">
      <c r="A450" t="inlineStr">
        <is>
          <t>A 1681-2023</t>
        </is>
      </c>
      <c r="B450" s="1" t="n">
        <v>44938</v>
      </c>
      <c r="C450" s="1" t="n">
        <v>46201</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28506-2023</t>
        </is>
      </c>
      <c r="B451" s="1" t="n">
        <v>45103</v>
      </c>
      <c r="C451" s="1" t="n">
        <v>46201</v>
      </c>
      <c r="D451" t="inlineStr">
        <is>
          <t>GOTLANDS LÄN</t>
        </is>
      </c>
      <c r="E451" t="inlineStr">
        <is>
          <t>GOTLAND</t>
        </is>
      </c>
      <c r="G451" t="n">
        <v>3.2</v>
      </c>
      <c r="H451" t="n">
        <v>0</v>
      </c>
      <c r="I451" t="n">
        <v>0</v>
      </c>
      <c r="J451" t="n">
        <v>0</v>
      </c>
      <c r="K451" t="n">
        <v>0</v>
      </c>
      <c r="L451" t="n">
        <v>0</v>
      </c>
      <c r="M451" t="n">
        <v>0</v>
      </c>
      <c r="N451" t="n">
        <v>0</v>
      </c>
      <c r="O451" t="n">
        <v>0</v>
      </c>
      <c r="P451" t="n">
        <v>0</v>
      </c>
      <c r="Q451" t="n">
        <v>0</v>
      </c>
      <c r="R451" s="2" t="inlineStr"/>
    </row>
    <row r="452" ht="15" customHeight="1">
      <c r="A452" t="inlineStr">
        <is>
          <t>A 42338-2023</t>
        </is>
      </c>
      <c r="B452" s="1" t="n">
        <v>45180</v>
      </c>
      <c r="C452" s="1" t="n">
        <v>46201</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18918-2025</t>
        </is>
      </c>
      <c r="B453" s="1" t="n">
        <v>45764</v>
      </c>
      <c r="C453" s="1" t="n">
        <v>46201</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11013-2024</t>
        </is>
      </c>
      <c r="B454" s="1" t="n">
        <v>45370</v>
      </c>
      <c r="C454" s="1" t="n">
        <v>46201</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23188-2025</t>
        </is>
      </c>
      <c r="B455" s="1" t="n">
        <v>45791</v>
      </c>
      <c r="C455" s="1" t="n">
        <v>46201</v>
      </c>
      <c r="D455" t="inlineStr">
        <is>
          <t>GOTLANDS LÄN</t>
        </is>
      </c>
      <c r="E455" t="inlineStr">
        <is>
          <t>GOTLAND</t>
        </is>
      </c>
      <c r="G455" t="n">
        <v>6.2</v>
      </c>
      <c r="H455" t="n">
        <v>0</v>
      </c>
      <c r="I455" t="n">
        <v>0</v>
      </c>
      <c r="J455" t="n">
        <v>0</v>
      </c>
      <c r="K455" t="n">
        <v>0</v>
      </c>
      <c r="L455" t="n">
        <v>0</v>
      </c>
      <c r="M455" t="n">
        <v>0</v>
      </c>
      <c r="N455" t="n">
        <v>0</v>
      </c>
      <c r="O455" t="n">
        <v>0</v>
      </c>
      <c r="P455" t="n">
        <v>0</v>
      </c>
      <c r="Q455" t="n">
        <v>0</v>
      </c>
      <c r="R455" s="2" t="inlineStr"/>
    </row>
    <row r="456" ht="15" customHeight="1">
      <c r="A456" t="inlineStr">
        <is>
          <t>A 45084-2024</t>
        </is>
      </c>
      <c r="B456" s="1" t="n">
        <v>45575</v>
      </c>
      <c r="C456" s="1" t="n">
        <v>46201</v>
      </c>
      <c r="D456" t="inlineStr">
        <is>
          <t>GOTLANDS LÄN</t>
        </is>
      </c>
      <c r="E456" t="inlineStr">
        <is>
          <t>GOTLAND</t>
        </is>
      </c>
      <c r="G456" t="n">
        <v>6.8</v>
      </c>
      <c r="H456" t="n">
        <v>0</v>
      </c>
      <c r="I456" t="n">
        <v>0</v>
      </c>
      <c r="J456" t="n">
        <v>0</v>
      </c>
      <c r="K456" t="n">
        <v>0</v>
      </c>
      <c r="L456" t="n">
        <v>0</v>
      </c>
      <c r="M456" t="n">
        <v>0</v>
      </c>
      <c r="N456" t="n">
        <v>0</v>
      </c>
      <c r="O456" t="n">
        <v>0</v>
      </c>
      <c r="P456" t="n">
        <v>0</v>
      </c>
      <c r="Q456" t="n">
        <v>0</v>
      </c>
      <c r="R456" s="2" t="inlineStr"/>
    </row>
    <row r="457" ht="15" customHeight="1">
      <c r="A457" t="inlineStr">
        <is>
          <t>A 20356-2022</t>
        </is>
      </c>
      <c r="B457" s="1" t="n">
        <v>44699</v>
      </c>
      <c r="C457" s="1" t="n">
        <v>46201</v>
      </c>
      <c r="D457" t="inlineStr">
        <is>
          <t>GOTLANDS LÄN</t>
        </is>
      </c>
      <c r="E457" t="inlineStr">
        <is>
          <t>GOTLAND</t>
        </is>
      </c>
      <c r="F457" t="inlineStr">
        <is>
          <t>Övriga Aktiebolag</t>
        </is>
      </c>
      <c r="G457" t="n">
        <v>4.4</v>
      </c>
      <c r="H457" t="n">
        <v>0</v>
      </c>
      <c r="I457" t="n">
        <v>0</v>
      </c>
      <c r="J457" t="n">
        <v>0</v>
      </c>
      <c r="K457" t="n">
        <v>0</v>
      </c>
      <c r="L457" t="n">
        <v>0</v>
      </c>
      <c r="M457" t="n">
        <v>0</v>
      </c>
      <c r="N457" t="n">
        <v>0</v>
      </c>
      <c r="O457" t="n">
        <v>0</v>
      </c>
      <c r="P457" t="n">
        <v>0</v>
      </c>
      <c r="Q457" t="n">
        <v>0</v>
      </c>
      <c r="R457" s="2" t="inlineStr"/>
    </row>
    <row r="458" ht="15" customHeight="1">
      <c r="A458" t="inlineStr">
        <is>
          <t>A 10158-2025</t>
        </is>
      </c>
      <c r="B458" s="1" t="n">
        <v>45719</v>
      </c>
      <c r="C458" s="1" t="n">
        <v>46201</v>
      </c>
      <c r="D458" t="inlineStr">
        <is>
          <t>GOTLANDS LÄN</t>
        </is>
      </c>
      <c r="E458" t="inlineStr">
        <is>
          <t>GOTLAND</t>
        </is>
      </c>
      <c r="G458" t="n">
        <v>3.5</v>
      </c>
      <c r="H458" t="n">
        <v>0</v>
      </c>
      <c r="I458" t="n">
        <v>0</v>
      </c>
      <c r="J458" t="n">
        <v>0</v>
      </c>
      <c r="K458" t="n">
        <v>0</v>
      </c>
      <c r="L458" t="n">
        <v>0</v>
      </c>
      <c r="M458" t="n">
        <v>0</v>
      </c>
      <c r="N458" t="n">
        <v>0</v>
      </c>
      <c r="O458" t="n">
        <v>0</v>
      </c>
      <c r="P458" t="n">
        <v>0</v>
      </c>
      <c r="Q458" t="n">
        <v>0</v>
      </c>
      <c r="R458" s="2" t="inlineStr"/>
    </row>
    <row r="459" ht="15" customHeight="1">
      <c r="A459" t="inlineStr">
        <is>
          <t>A 5386-2023</t>
        </is>
      </c>
      <c r="B459" s="1" t="n">
        <v>44959</v>
      </c>
      <c r="C459" s="1" t="n">
        <v>46201</v>
      </c>
      <c r="D459" t="inlineStr">
        <is>
          <t>GOTLANDS LÄN</t>
        </is>
      </c>
      <c r="E459" t="inlineStr">
        <is>
          <t>GOTLAND</t>
        </is>
      </c>
      <c r="G459" t="n">
        <v>5.4</v>
      </c>
      <c r="H459" t="n">
        <v>0</v>
      </c>
      <c r="I459" t="n">
        <v>0</v>
      </c>
      <c r="J459" t="n">
        <v>0</v>
      </c>
      <c r="K459" t="n">
        <v>0</v>
      </c>
      <c r="L459" t="n">
        <v>0</v>
      </c>
      <c r="M459" t="n">
        <v>0</v>
      </c>
      <c r="N459" t="n">
        <v>0</v>
      </c>
      <c r="O459" t="n">
        <v>0</v>
      </c>
      <c r="P459" t="n">
        <v>0</v>
      </c>
      <c r="Q459" t="n">
        <v>0</v>
      </c>
      <c r="R459" s="2" t="inlineStr"/>
    </row>
    <row r="460" ht="15" customHeight="1">
      <c r="A460" t="inlineStr">
        <is>
          <t>A 43951-2025</t>
        </is>
      </c>
      <c r="B460" s="1" t="n">
        <v>45915</v>
      </c>
      <c r="C460" s="1" t="n">
        <v>46201</v>
      </c>
      <c r="D460" t="inlineStr">
        <is>
          <t>GOTLANDS LÄN</t>
        </is>
      </c>
      <c r="E460" t="inlineStr">
        <is>
          <t>GOTLAND</t>
        </is>
      </c>
      <c r="G460" t="n">
        <v>4.4</v>
      </c>
      <c r="H460" t="n">
        <v>0</v>
      </c>
      <c r="I460" t="n">
        <v>0</v>
      </c>
      <c r="J460" t="n">
        <v>0</v>
      </c>
      <c r="K460" t="n">
        <v>0</v>
      </c>
      <c r="L460" t="n">
        <v>0</v>
      </c>
      <c r="M460" t="n">
        <v>0</v>
      </c>
      <c r="N460" t="n">
        <v>0</v>
      </c>
      <c r="O460" t="n">
        <v>0</v>
      </c>
      <c r="P460" t="n">
        <v>0</v>
      </c>
      <c r="Q460" t="n">
        <v>0</v>
      </c>
      <c r="R460" s="2" t="inlineStr"/>
    </row>
    <row r="461" ht="15" customHeight="1">
      <c r="A461" t="inlineStr">
        <is>
          <t>A 23698-2025</t>
        </is>
      </c>
      <c r="B461" s="1" t="n">
        <v>45793</v>
      </c>
      <c r="C461" s="1" t="n">
        <v>46201</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15073-2025</t>
        </is>
      </c>
      <c r="B462" s="1" t="n">
        <v>45743</v>
      </c>
      <c r="C462" s="1" t="n">
        <v>46201</v>
      </c>
      <c r="D462" t="inlineStr">
        <is>
          <t>GOTLANDS LÄN</t>
        </is>
      </c>
      <c r="E462" t="inlineStr">
        <is>
          <t>GOTLAND</t>
        </is>
      </c>
      <c r="G462" t="n">
        <v>12.1</v>
      </c>
      <c r="H462" t="n">
        <v>0</v>
      </c>
      <c r="I462" t="n">
        <v>0</v>
      </c>
      <c r="J462" t="n">
        <v>0</v>
      </c>
      <c r="K462" t="n">
        <v>0</v>
      </c>
      <c r="L462" t="n">
        <v>0</v>
      </c>
      <c r="M462" t="n">
        <v>0</v>
      </c>
      <c r="N462" t="n">
        <v>0</v>
      </c>
      <c r="O462" t="n">
        <v>0</v>
      </c>
      <c r="P462" t="n">
        <v>0</v>
      </c>
      <c r="Q462" t="n">
        <v>0</v>
      </c>
      <c r="R462" s="2" t="inlineStr"/>
    </row>
    <row r="463" ht="15" customHeight="1">
      <c r="A463" t="inlineStr">
        <is>
          <t>A 5884-2025</t>
        </is>
      </c>
      <c r="B463" s="1" t="n">
        <v>45695</v>
      </c>
      <c r="C463" s="1" t="n">
        <v>46201</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5897-2025</t>
        </is>
      </c>
      <c r="B464" s="1" t="n">
        <v>45695</v>
      </c>
      <c r="C464" s="1" t="n">
        <v>46201</v>
      </c>
      <c r="D464" t="inlineStr">
        <is>
          <t>GOTLANDS LÄN</t>
        </is>
      </c>
      <c r="E464" t="inlineStr">
        <is>
          <t>GOTLAND</t>
        </is>
      </c>
      <c r="G464" t="n">
        <v>3.7</v>
      </c>
      <c r="H464" t="n">
        <v>0</v>
      </c>
      <c r="I464" t="n">
        <v>0</v>
      </c>
      <c r="J464" t="n">
        <v>0</v>
      </c>
      <c r="K464" t="n">
        <v>0</v>
      </c>
      <c r="L464" t="n">
        <v>0</v>
      </c>
      <c r="M464" t="n">
        <v>0</v>
      </c>
      <c r="N464" t="n">
        <v>0</v>
      </c>
      <c r="O464" t="n">
        <v>0</v>
      </c>
      <c r="P464" t="n">
        <v>0</v>
      </c>
      <c r="Q464" t="n">
        <v>0</v>
      </c>
      <c r="R464" s="2" t="inlineStr"/>
    </row>
    <row r="465" ht="15" customHeight="1">
      <c r="A465" t="inlineStr">
        <is>
          <t>A 60086-2022</t>
        </is>
      </c>
      <c r="B465" s="1" t="n">
        <v>44909</v>
      </c>
      <c r="C465" s="1" t="n">
        <v>46201</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22704-2023</t>
        </is>
      </c>
      <c r="B466" s="1" t="n">
        <v>45071</v>
      </c>
      <c r="C466" s="1" t="n">
        <v>46201</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6749-2025</t>
        </is>
      </c>
      <c r="B467" s="1" t="n">
        <v>45700</v>
      </c>
      <c r="C467" s="1" t="n">
        <v>46201</v>
      </c>
      <c r="D467" t="inlineStr">
        <is>
          <t>GOTLANDS LÄN</t>
        </is>
      </c>
      <c r="E467" t="inlineStr">
        <is>
          <t>GOTLAND</t>
        </is>
      </c>
      <c r="G467" t="n">
        <v>4.5</v>
      </c>
      <c r="H467" t="n">
        <v>0</v>
      </c>
      <c r="I467" t="n">
        <v>0</v>
      </c>
      <c r="J467" t="n">
        <v>0</v>
      </c>
      <c r="K467" t="n">
        <v>0</v>
      </c>
      <c r="L467" t="n">
        <v>0</v>
      </c>
      <c r="M467" t="n">
        <v>0</v>
      </c>
      <c r="N467" t="n">
        <v>0</v>
      </c>
      <c r="O467" t="n">
        <v>0</v>
      </c>
      <c r="P467" t="n">
        <v>0</v>
      </c>
      <c r="Q467" t="n">
        <v>0</v>
      </c>
      <c r="R467" s="2" t="inlineStr"/>
    </row>
    <row r="468" ht="15" customHeight="1">
      <c r="A468" t="inlineStr">
        <is>
          <t>A 26391-2025</t>
        </is>
      </c>
      <c r="B468" s="1" t="n">
        <v>45806</v>
      </c>
      <c r="C468" s="1" t="n">
        <v>46201</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46836-2025</t>
        </is>
      </c>
      <c r="B469" s="1" t="n">
        <v>45928</v>
      </c>
      <c r="C469" s="1" t="n">
        <v>46201</v>
      </c>
      <c r="D469" t="inlineStr">
        <is>
          <t>GOTLANDS LÄN</t>
        </is>
      </c>
      <c r="E469" t="inlineStr">
        <is>
          <t>GOTLAND</t>
        </is>
      </c>
      <c r="G469" t="n">
        <v>2.8</v>
      </c>
      <c r="H469" t="n">
        <v>0</v>
      </c>
      <c r="I469" t="n">
        <v>0</v>
      </c>
      <c r="J469" t="n">
        <v>0</v>
      </c>
      <c r="K469" t="n">
        <v>0</v>
      </c>
      <c r="L469" t="n">
        <v>0</v>
      </c>
      <c r="M469" t="n">
        <v>0</v>
      </c>
      <c r="N469" t="n">
        <v>0</v>
      </c>
      <c r="O469" t="n">
        <v>0</v>
      </c>
      <c r="P469" t="n">
        <v>0</v>
      </c>
      <c r="Q469" t="n">
        <v>0</v>
      </c>
      <c r="R469" s="2" t="inlineStr"/>
    </row>
    <row r="470" ht="15" customHeight="1">
      <c r="A470" t="inlineStr">
        <is>
          <t>A 56688-2025</t>
        </is>
      </c>
      <c r="B470" s="1" t="n">
        <v>45975</v>
      </c>
      <c r="C470" s="1" t="n">
        <v>46201</v>
      </c>
      <c r="D470" t="inlineStr">
        <is>
          <t>GOTLANDS LÄN</t>
        </is>
      </c>
      <c r="E470" t="inlineStr">
        <is>
          <t>GOTLAND</t>
        </is>
      </c>
      <c r="G470" t="n">
        <v>1.3</v>
      </c>
      <c r="H470" t="n">
        <v>0</v>
      </c>
      <c r="I470" t="n">
        <v>0</v>
      </c>
      <c r="J470" t="n">
        <v>0</v>
      </c>
      <c r="K470" t="n">
        <v>0</v>
      </c>
      <c r="L470" t="n">
        <v>0</v>
      </c>
      <c r="M470" t="n">
        <v>0</v>
      </c>
      <c r="N470" t="n">
        <v>0</v>
      </c>
      <c r="O470" t="n">
        <v>0</v>
      </c>
      <c r="P470" t="n">
        <v>0</v>
      </c>
      <c r="Q470" t="n">
        <v>0</v>
      </c>
      <c r="R470" s="2" t="inlineStr"/>
    </row>
    <row r="471" ht="15" customHeight="1">
      <c r="A471" t="inlineStr">
        <is>
          <t>A 56799-2025</t>
        </is>
      </c>
      <c r="B471" s="1" t="n">
        <v>45978</v>
      </c>
      <c r="C471" s="1" t="n">
        <v>46201</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47637-2025</t>
        </is>
      </c>
      <c r="B472" s="1" t="n">
        <v>45931</v>
      </c>
      <c r="C472" s="1" t="n">
        <v>46201</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5462-2025</t>
        </is>
      </c>
      <c r="B473" s="1" t="n">
        <v>45693</v>
      </c>
      <c r="C473" s="1" t="n">
        <v>46201</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36319-2025</t>
        </is>
      </c>
      <c r="B474" s="1" t="n">
        <v>45868</v>
      </c>
      <c r="C474" s="1" t="n">
        <v>46201</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63002-2025</t>
        </is>
      </c>
      <c r="B475" s="1" t="n">
        <v>46009</v>
      </c>
      <c r="C475" s="1" t="n">
        <v>46201</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38649-2025</t>
        </is>
      </c>
      <c r="B476" s="1" t="n">
        <v>45884</v>
      </c>
      <c r="C476" s="1" t="n">
        <v>46201</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61078-2025</t>
        </is>
      </c>
      <c r="B477" s="1" t="n">
        <v>46000</v>
      </c>
      <c r="C477" s="1" t="n">
        <v>46201</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36-2026</t>
        </is>
      </c>
      <c r="B478" s="1" t="n">
        <v>46024</v>
      </c>
      <c r="C478" s="1" t="n">
        <v>46201</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2415-2026</t>
        </is>
      </c>
      <c r="B479" s="1" t="n">
        <v>46036</v>
      </c>
      <c r="C479" s="1" t="n">
        <v>46201</v>
      </c>
      <c r="D479" t="inlineStr">
        <is>
          <t>GOTLANDS LÄN</t>
        </is>
      </c>
      <c r="E479" t="inlineStr">
        <is>
          <t>GOTLAND</t>
        </is>
      </c>
      <c r="G479" t="n">
        <v>6.9</v>
      </c>
      <c r="H479" t="n">
        <v>0</v>
      </c>
      <c r="I479" t="n">
        <v>0</v>
      </c>
      <c r="J479" t="n">
        <v>0</v>
      </c>
      <c r="K479" t="n">
        <v>0</v>
      </c>
      <c r="L479" t="n">
        <v>0</v>
      </c>
      <c r="M479" t="n">
        <v>0</v>
      </c>
      <c r="N479" t="n">
        <v>0</v>
      </c>
      <c r="O479" t="n">
        <v>0</v>
      </c>
      <c r="P479" t="n">
        <v>0</v>
      </c>
      <c r="Q479" t="n">
        <v>0</v>
      </c>
      <c r="R479" s="2" t="inlineStr"/>
    </row>
    <row r="480" ht="15" customHeight="1">
      <c r="A480" t="inlineStr">
        <is>
          <t>A 4646-2026</t>
        </is>
      </c>
      <c r="B480" s="1" t="n">
        <v>46048</v>
      </c>
      <c r="C480" s="1" t="n">
        <v>46201</v>
      </c>
      <c r="D480" t="inlineStr">
        <is>
          <t>GOTLANDS LÄN</t>
        </is>
      </c>
      <c r="E480" t="inlineStr">
        <is>
          <t>GOTLAND</t>
        </is>
      </c>
      <c r="G480" t="n">
        <v>2.7</v>
      </c>
      <c r="H480" t="n">
        <v>0</v>
      </c>
      <c r="I480" t="n">
        <v>0</v>
      </c>
      <c r="J480" t="n">
        <v>0</v>
      </c>
      <c r="K480" t="n">
        <v>0</v>
      </c>
      <c r="L480" t="n">
        <v>0</v>
      </c>
      <c r="M480" t="n">
        <v>0</v>
      </c>
      <c r="N480" t="n">
        <v>0</v>
      </c>
      <c r="O480" t="n">
        <v>0</v>
      </c>
      <c r="P480" t="n">
        <v>0</v>
      </c>
      <c r="Q480" t="n">
        <v>0</v>
      </c>
      <c r="R480" s="2" t="inlineStr"/>
    </row>
    <row r="481" ht="15" customHeight="1">
      <c r="A481" t="inlineStr">
        <is>
          <t>A 4634-2026</t>
        </is>
      </c>
      <c r="B481" s="1" t="n">
        <v>46048</v>
      </c>
      <c r="C481" s="1" t="n">
        <v>46201</v>
      </c>
      <c r="D481" t="inlineStr">
        <is>
          <t>GOTLANDS LÄN</t>
        </is>
      </c>
      <c r="E481" t="inlineStr">
        <is>
          <t>GOTLAND</t>
        </is>
      </c>
      <c r="G481" t="n">
        <v>7.8</v>
      </c>
      <c r="H481" t="n">
        <v>0</v>
      </c>
      <c r="I481" t="n">
        <v>0</v>
      </c>
      <c r="J481" t="n">
        <v>0</v>
      </c>
      <c r="K481" t="n">
        <v>0</v>
      </c>
      <c r="L481" t="n">
        <v>0</v>
      </c>
      <c r="M481" t="n">
        <v>0</v>
      </c>
      <c r="N481" t="n">
        <v>0</v>
      </c>
      <c r="O481" t="n">
        <v>0</v>
      </c>
      <c r="P481" t="n">
        <v>0</v>
      </c>
      <c r="Q481" t="n">
        <v>0</v>
      </c>
      <c r="R481" s="2" t="inlineStr"/>
    </row>
    <row r="482" ht="15" customHeight="1">
      <c r="A482" t="inlineStr">
        <is>
          <t>A 4670-2026</t>
        </is>
      </c>
      <c r="B482" s="1" t="n">
        <v>46048</v>
      </c>
      <c r="C482" s="1" t="n">
        <v>46201</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7627-2026</t>
        </is>
      </c>
      <c r="B483" s="1" t="n">
        <v>46062</v>
      </c>
      <c r="C483" s="1" t="n">
        <v>46201</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2135-2026</t>
        </is>
      </c>
      <c r="B484" s="1" t="n">
        <v>46036</v>
      </c>
      <c r="C484" s="1" t="n">
        <v>46201</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9540-2026</t>
        </is>
      </c>
      <c r="B485" s="1" t="n">
        <v>46071</v>
      </c>
      <c r="C485" s="1" t="n">
        <v>46201</v>
      </c>
      <c r="D485" t="inlineStr">
        <is>
          <t>GOTLANDS LÄN</t>
        </is>
      </c>
      <c r="E485" t="inlineStr">
        <is>
          <t>GOTLAND</t>
        </is>
      </c>
      <c r="G485" t="n">
        <v>2.8</v>
      </c>
      <c r="H485" t="n">
        <v>0</v>
      </c>
      <c r="I485" t="n">
        <v>0</v>
      </c>
      <c r="J485" t="n">
        <v>0</v>
      </c>
      <c r="K485" t="n">
        <v>0</v>
      </c>
      <c r="L485" t="n">
        <v>0</v>
      </c>
      <c r="M485" t="n">
        <v>0</v>
      </c>
      <c r="N485" t="n">
        <v>0</v>
      </c>
      <c r="O485" t="n">
        <v>0</v>
      </c>
      <c r="P485" t="n">
        <v>0</v>
      </c>
      <c r="Q485" t="n">
        <v>0</v>
      </c>
      <c r="R485" s="2" t="inlineStr"/>
    </row>
    <row r="486" ht="15" customHeight="1">
      <c r="A486" t="inlineStr">
        <is>
          <t>A 9521-2026</t>
        </is>
      </c>
      <c r="B486" s="1" t="n">
        <v>46071</v>
      </c>
      <c r="C486" s="1" t="n">
        <v>46201</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9524-2026</t>
        </is>
      </c>
      <c r="B487" s="1" t="n">
        <v>46071</v>
      </c>
      <c r="C487" s="1" t="n">
        <v>46201</v>
      </c>
      <c r="D487" t="inlineStr">
        <is>
          <t>GOTLANDS LÄN</t>
        </is>
      </c>
      <c r="E487" t="inlineStr">
        <is>
          <t>GOTLAND</t>
        </is>
      </c>
      <c r="G487" t="n">
        <v>2.5</v>
      </c>
      <c r="H487" t="n">
        <v>0</v>
      </c>
      <c r="I487" t="n">
        <v>0</v>
      </c>
      <c r="J487" t="n">
        <v>0</v>
      </c>
      <c r="K487" t="n">
        <v>0</v>
      </c>
      <c r="L487" t="n">
        <v>0</v>
      </c>
      <c r="M487" t="n">
        <v>0</v>
      </c>
      <c r="N487" t="n">
        <v>0</v>
      </c>
      <c r="O487" t="n">
        <v>0</v>
      </c>
      <c r="P487" t="n">
        <v>0</v>
      </c>
      <c r="Q487" t="n">
        <v>0</v>
      </c>
      <c r="R487" s="2" t="inlineStr"/>
    </row>
    <row r="488" ht="15" customHeight="1">
      <c r="A488" t="inlineStr">
        <is>
          <t>A 9543-2026</t>
        </is>
      </c>
      <c r="B488" s="1" t="n">
        <v>46071</v>
      </c>
      <c r="C488" s="1" t="n">
        <v>46201</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9518-2026</t>
        </is>
      </c>
      <c r="B489" s="1" t="n">
        <v>46071</v>
      </c>
      <c r="C489" s="1" t="n">
        <v>46201</v>
      </c>
      <c r="D489" t="inlineStr">
        <is>
          <t>GOTLANDS LÄN</t>
        </is>
      </c>
      <c r="E489" t="inlineStr">
        <is>
          <t>GOTLAND</t>
        </is>
      </c>
      <c r="G489" t="n">
        <v>6.2</v>
      </c>
      <c r="H489" t="n">
        <v>0</v>
      </c>
      <c r="I489" t="n">
        <v>0</v>
      </c>
      <c r="J489" t="n">
        <v>0</v>
      </c>
      <c r="K489" t="n">
        <v>0</v>
      </c>
      <c r="L489" t="n">
        <v>0</v>
      </c>
      <c r="M489" t="n">
        <v>0</v>
      </c>
      <c r="N489" t="n">
        <v>0</v>
      </c>
      <c r="O489" t="n">
        <v>0</v>
      </c>
      <c r="P489" t="n">
        <v>0</v>
      </c>
      <c r="Q489" t="n">
        <v>0</v>
      </c>
      <c r="R489" s="2" t="inlineStr"/>
    </row>
    <row r="490" ht="15" customHeight="1">
      <c r="A490" t="inlineStr">
        <is>
          <t>A 9519-2026</t>
        </is>
      </c>
      <c r="B490" s="1" t="n">
        <v>46071</v>
      </c>
      <c r="C490" s="1" t="n">
        <v>46201</v>
      </c>
      <c r="D490" t="inlineStr">
        <is>
          <t>GOTLANDS LÄN</t>
        </is>
      </c>
      <c r="E490" t="inlineStr">
        <is>
          <t>GOTLAND</t>
        </is>
      </c>
      <c r="G490" t="n">
        <v>4</v>
      </c>
      <c r="H490" t="n">
        <v>0</v>
      </c>
      <c r="I490" t="n">
        <v>0</v>
      </c>
      <c r="J490" t="n">
        <v>0</v>
      </c>
      <c r="K490" t="n">
        <v>0</v>
      </c>
      <c r="L490" t="n">
        <v>0</v>
      </c>
      <c r="M490" t="n">
        <v>0</v>
      </c>
      <c r="N490" t="n">
        <v>0</v>
      </c>
      <c r="O490" t="n">
        <v>0</v>
      </c>
      <c r="P490" t="n">
        <v>0</v>
      </c>
      <c r="Q490" t="n">
        <v>0</v>
      </c>
      <c r="R490" s="2" t="inlineStr"/>
    </row>
    <row r="491" ht="15" customHeight="1">
      <c r="A491" t="inlineStr">
        <is>
          <t>A 10284-2026</t>
        </is>
      </c>
      <c r="B491" s="1" t="n">
        <v>46076</v>
      </c>
      <c r="C491" s="1" t="n">
        <v>46201</v>
      </c>
      <c r="D491" t="inlineStr">
        <is>
          <t>GOTLANDS LÄN</t>
        </is>
      </c>
      <c r="E491" t="inlineStr">
        <is>
          <t>GOTLAND</t>
        </is>
      </c>
      <c r="G491" t="n">
        <v>5.2</v>
      </c>
      <c r="H491" t="n">
        <v>0</v>
      </c>
      <c r="I491" t="n">
        <v>0</v>
      </c>
      <c r="J491" t="n">
        <v>0</v>
      </c>
      <c r="K491" t="n">
        <v>0</v>
      </c>
      <c r="L491" t="n">
        <v>0</v>
      </c>
      <c r="M491" t="n">
        <v>0</v>
      </c>
      <c r="N491" t="n">
        <v>0</v>
      </c>
      <c r="O491" t="n">
        <v>0</v>
      </c>
      <c r="P491" t="n">
        <v>0</v>
      </c>
      <c r="Q491" t="n">
        <v>0</v>
      </c>
      <c r="R491" s="2" t="inlineStr"/>
    </row>
    <row r="492" ht="15" customHeight="1">
      <c r="A492" t="inlineStr">
        <is>
          <t>A 11424-2026</t>
        </is>
      </c>
      <c r="B492" s="1" t="n">
        <v>46083</v>
      </c>
      <c r="C492" s="1" t="n">
        <v>46201</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3067-2026</t>
        </is>
      </c>
      <c r="B493" s="1" t="n">
        <v>46040</v>
      </c>
      <c r="C493" s="1" t="n">
        <v>46201</v>
      </c>
      <c r="D493" t="inlineStr">
        <is>
          <t>GOTLANDS LÄN</t>
        </is>
      </c>
      <c r="E493" t="inlineStr">
        <is>
          <t>GOTLAND</t>
        </is>
      </c>
      <c r="G493" t="n">
        <v>7.8</v>
      </c>
      <c r="H493" t="n">
        <v>0</v>
      </c>
      <c r="I493" t="n">
        <v>0</v>
      </c>
      <c r="J493" t="n">
        <v>0</v>
      </c>
      <c r="K493" t="n">
        <v>0</v>
      </c>
      <c r="L493" t="n">
        <v>0</v>
      </c>
      <c r="M493" t="n">
        <v>0</v>
      </c>
      <c r="N493" t="n">
        <v>0</v>
      </c>
      <c r="O493" t="n">
        <v>0</v>
      </c>
      <c r="P493" t="n">
        <v>0</v>
      </c>
      <c r="Q493" t="n">
        <v>0</v>
      </c>
      <c r="R493" s="2" t="inlineStr"/>
    </row>
    <row r="494" ht="15" customHeight="1">
      <c r="A494" t="inlineStr">
        <is>
          <t>A 42201-2023</t>
        </is>
      </c>
      <c r="B494" s="1" t="n">
        <v>45179</v>
      </c>
      <c r="C494" s="1" t="n">
        <v>46201</v>
      </c>
      <c r="D494" t="inlineStr">
        <is>
          <t>GOTLANDS LÄN</t>
        </is>
      </c>
      <c r="E494" t="inlineStr">
        <is>
          <t>GOTLAND</t>
        </is>
      </c>
      <c r="G494" t="n">
        <v>11.9</v>
      </c>
      <c r="H494" t="n">
        <v>0</v>
      </c>
      <c r="I494" t="n">
        <v>0</v>
      </c>
      <c r="J494" t="n">
        <v>0</v>
      </c>
      <c r="K494" t="n">
        <v>0</v>
      </c>
      <c r="L494" t="n">
        <v>0</v>
      </c>
      <c r="M494" t="n">
        <v>0</v>
      </c>
      <c r="N494" t="n">
        <v>0</v>
      </c>
      <c r="O494" t="n">
        <v>0</v>
      </c>
      <c r="P494" t="n">
        <v>0</v>
      </c>
      <c r="Q494" t="n">
        <v>0</v>
      </c>
      <c r="R494" s="2" t="inlineStr"/>
    </row>
    <row r="495" ht="15" customHeight="1">
      <c r="A495" t="inlineStr">
        <is>
          <t>A 63000-2025</t>
        </is>
      </c>
      <c r="B495" s="1" t="n">
        <v>46009</v>
      </c>
      <c r="C495" s="1" t="n">
        <v>46201</v>
      </c>
      <c r="D495" t="inlineStr">
        <is>
          <t>GOTLANDS LÄN</t>
        </is>
      </c>
      <c r="E495" t="inlineStr">
        <is>
          <t>GOTLAND</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62751-2025</t>
        </is>
      </c>
      <c r="B496" s="1" t="n">
        <v>46008</v>
      </c>
      <c r="C496" s="1" t="n">
        <v>46201</v>
      </c>
      <c r="D496" t="inlineStr">
        <is>
          <t>GOTLANDS LÄN</t>
        </is>
      </c>
      <c r="E496" t="inlineStr">
        <is>
          <t>GOTLAND</t>
        </is>
      </c>
      <c r="F496" t="inlineStr">
        <is>
          <t>Övriga Aktiebolag</t>
        </is>
      </c>
      <c r="G496" t="n">
        <v>7.8</v>
      </c>
      <c r="H496" t="n">
        <v>0</v>
      </c>
      <c r="I496" t="n">
        <v>0</v>
      </c>
      <c r="J496" t="n">
        <v>0</v>
      </c>
      <c r="K496" t="n">
        <v>0</v>
      </c>
      <c r="L496" t="n">
        <v>0</v>
      </c>
      <c r="M496" t="n">
        <v>0</v>
      </c>
      <c r="N496" t="n">
        <v>0</v>
      </c>
      <c r="O496" t="n">
        <v>0</v>
      </c>
      <c r="P496" t="n">
        <v>0</v>
      </c>
      <c r="Q496" t="n">
        <v>0</v>
      </c>
      <c r="R496" s="2" t="inlineStr"/>
    </row>
    <row r="497" ht="15" customHeight="1">
      <c r="A497" t="inlineStr">
        <is>
          <t>A 13486-2026</t>
        </is>
      </c>
      <c r="B497" s="1" t="n">
        <v>46094</v>
      </c>
      <c r="C497" s="1" t="n">
        <v>46201</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16993-2026</t>
        </is>
      </c>
      <c r="B498" s="1" t="n">
        <v>46114</v>
      </c>
      <c r="C498" s="1" t="n">
        <v>46201</v>
      </c>
      <c r="D498" t="inlineStr">
        <is>
          <t>GOTLANDS LÄN</t>
        </is>
      </c>
      <c r="E498" t="inlineStr">
        <is>
          <t>GOTLAND</t>
        </is>
      </c>
      <c r="G498" t="n">
        <v>3</v>
      </c>
      <c r="H498" t="n">
        <v>0</v>
      </c>
      <c r="I498" t="n">
        <v>0</v>
      </c>
      <c r="J498" t="n">
        <v>0</v>
      </c>
      <c r="K498" t="n">
        <v>0</v>
      </c>
      <c r="L498" t="n">
        <v>0</v>
      </c>
      <c r="M498" t="n">
        <v>0</v>
      </c>
      <c r="N498" t="n">
        <v>0</v>
      </c>
      <c r="O498" t="n">
        <v>0</v>
      </c>
      <c r="P498" t="n">
        <v>0</v>
      </c>
      <c r="Q498" t="n">
        <v>0</v>
      </c>
      <c r="R498" s="2" t="inlineStr"/>
    </row>
    <row r="499" ht="15" customHeight="1">
      <c r="A499" t="inlineStr">
        <is>
          <t>A 22887-2026</t>
        </is>
      </c>
      <c r="B499" s="1" t="n">
        <v>46160</v>
      </c>
      <c r="C499" s="1" t="n">
        <v>46201</v>
      </c>
      <c r="D499" t="inlineStr">
        <is>
          <t>GOTLANDS LÄN</t>
        </is>
      </c>
      <c r="E499" t="inlineStr">
        <is>
          <t>GOTLAND</t>
        </is>
      </c>
      <c r="G499" t="n">
        <v>3.6</v>
      </c>
      <c r="H499" t="n">
        <v>0</v>
      </c>
      <c r="I499" t="n">
        <v>0</v>
      </c>
      <c r="J499" t="n">
        <v>0</v>
      </c>
      <c r="K499" t="n">
        <v>0</v>
      </c>
      <c r="L499" t="n">
        <v>0</v>
      </c>
      <c r="M499" t="n">
        <v>0</v>
      </c>
      <c r="N499" t="n">
        <v>0</v>
      </c>
      <c r="O499" t="n">
        <v>0</v>
      </c>
      <c r="P499" t="n">
        <v>0</v>
      </c>
      <c r="Q499" t="n">
        <v>0</v>
      </c>
      <c r="R499" s="2" t="inlineStr"/>
    </row>
    <row r="500" ht="15" customHeight="1">
      <c r="A500" t="inlineStr">
        <is>
          <t>A 23103-2026</t>
        </is>
      </c>
      <c r="B500" s="1" t="n">
        <v>46161</v>
      </c>
      <c r="C500" s="1" t="n">
        <v>46201</v>
      </c>
      <c r="D500" t="inlineStr">
        <is>
          <t>GOTLANDS LÄN</t>
        </is>
      </c>
      <c r="E500" t="inlineStr">
        <is>
          <t>GOTLAND</t>
        </is>
      </c>
      <c r="G500" t="n">
        <v>2.3</v>
      </c>
      <c r="H500" t="n">
        <v>0</v>
      </c>
      <c r="I500" t="n">
        <v>0</v>
      </c>
      <c r="J500" t="n">
        <v>0</v>
      </c>
      <c r="K500" t="n">
        <v>0</v>
      </c>
      <c r="L500" t="n">
        <v>0</v>
      </c>
      <c r="M500" t="n">
        <v>0</v>
      </c>
      <c r="N500" t="n">
        <v>0</v>
      </c>
      <c r="O500" t="n">
        <v>0</v>
      </c>
      <c r="P500" t="n">
        <v>0</v>
      </c>
      <c r="Q500" t="n">
        <v>0</v>
      </c>
      <c r="R500" s="2" t="inlineStr"/>
    </row>
    <row r="501" ht="15" customHeight="1">
      <c r="A501" t="inlineStr">
        <is>
          <t>A 23504-2026</t>
        </is>
      </c>
      <c r="B501" s="1" t="n">
        <v>46163</v>
      </c>
      <c r="C501" s="1" t="n">
        <v>46201</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18804-2026</t>
        </is>
      </c>
      <c r="B502" s="1" t="n">
        <v>46128</v>
      </c>
      <c r="C502" s="1" t="n">
        <v>46201</v>
      </c>
      <c r="D502" t="inlineStr">
        <is>
          <t>GOTLANDS LÄN</t>
        </is>
      </c>
      <c r="E502" t="inlineStr">
        <is>
          <t>GOTLAND</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4639-2026</t>
        </is>
      </c>
      <c r="B503" s="1" t="n">
        <v>46048</v>
      </c>
      <c r="C503" s="1" t="n">
        <v>46201</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24448-2026</t>
        </is>
      </c>
      <c r="B504" s="1" t="n">
        <v>46170</v>
      </c>
      <c r="C504" s="1" t="n">
        <v>46201</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62836-2025</t>
        </is>
      </c>
      <c r="B505" s="1" t="n">
        <v>46008</v>
      </c>
      <c r="C505" s="1" t="n">
        <v>46201</v>
      </c>
      <c r="D505" t="inlineStr">
        <is>
          <t>GOTLANDS LÄN</t>
        </is>
      </c>
      <c r="E505" t="inlineStr">
        <is>
          <t>GOTLAND</t>
        </is>
      </c>
      <c r="G505" t="n">
        <v>6.5</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46201</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26467-2025</t>
        </is>
      </c>
      <c r="B507" s="1" t="n">
        <v>45807</v>
      </c>
      <c r="C507" s="1" t="n">
        <v>46201</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25796-2025</t>
        </is>
      </c>
      <c r="B508" s="1" t="n">
        <v>45804</v>
      </c>
      <c r="C508" s="1" t="n">
        <v>46201</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1854-2026</t>
        </is>
      </c>
      <c r="B509" s="1" t="n">
        <v>46035</v>
      </c>
      <c r="C509" s="1" t="n">
        <v>46201</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2180-2025</t>
        </is>
      </c>
      <c r="B510" s="1" t="n">
        <v>45673</v>
      </c>
      <c r="C510" s="1" t="n">
        <v>46201</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13910-2025</t>
        </is>
      </c>
      <c r="B511" s="1" t="n">
        <v>45737</v>
      </c>
      <c r="C511" s="1" t="n">
        <v>46201</v>
      </c>
      <c r="D511" t="inlineStr">
        <is>
          <t>GOTLANDS LÄN</t>
        </is>
      </c>
      <c r="E511" t="inlineStr">
        <is>
          <t>GOTLAND</t>
        </is>
      </c>
      <c r="F511" t="inlineStr">
        <is>
          <t>Kommuner</t>
        </is>
      </c>
      <c r="G511" t="n">
        <v>3.2</v>
      </c>
      <c r="H511" t="n">
        <v>0</v>
      </c>
      <c r="I511" t="n">
        <v>0</v>
      </c>
      <c r="J511" t="n">
        <v>0</v>
      </c>
      <c r="K511" t="n">
        <v>0</v>
      </c>
      <c r="L511" t="n">
        <v>0</v>
      </c>
      <c r="M511" t="n">
        <v>0</v>
      </c>
      <c r="N511" t="n">
        <v>0</v>
      </c>
      <c r="O511" t="n">
        <v>0</v>
      </c>
      <c r="P511" t="n">
        <v>0</v>
      </c>
      <c r="Q511" t="n">
        <v>0</v>
      </c>
      <c r="R511" s="2" t="inlineStr"/>
    </row>
    <row r="512" ht="15" customHeight="1">
      <c r="A512" t="inlineStr">
        <is>
          <t>A 45112-2024</t>
        </is>
      </c>
      <c r="B512" s="1" t="n">
        <v>45575</v>
      </c>
      <c r="C512" s="1" t="n">
        <v>46201</v>
      </c>
      <c r="D512" t="inlineStr">
        <is>
          <t>GOTLANDS LÄN</t>
        </is>
      </c>
      <c r="E512" t="inlineStr">
        <is>
          <t>GOTLAND</t>
        </is>
      </c>
      <c r="G512" t="n">
        <v>5.1</v>
      </c>
      <c r="H512" t="n">
        <v>0</v>
      </c>
      <c r="I512" t="n">
        <v>0</v>
      </c>
      <c r="J512" t="n">
        <v>0</v>
      </c>
      <c r="K512" t="n">
        <v>0</v>
      </c>
      <c r="L512" t="n">
        <v>0</v>
      </c>
      <c r="M512" t="n">
        <v>0</v>
      </c>
      <c r="N512" t="n">
        <v>0</v>
      </c>
      <c r="O512" t="n">
        <v>0</v>
      </c>
      <c r="P512" t="n">
        <v>0</v>
      </c>
      <c r="Q512" t="n">
        <v>0</v>
      </c>
      <c r="R512" s="2" t="inlineStr"/>
    </row>
    <row r="513" ht="15" customHeight="1">
      <c r="A513" t="inlineStr">
        <is>
          <t>A 35537-2025</t>
        </is>
      </c>
      <c r="B513" s="1" t="n">
        <v>45856</v>
      </c>
      <c r="C513" s="1" t="n">
        <v>46201</v>
      </c>
      <c r="D513" t="inlineStr">
        <is>
          <t>GOTLANDS LÄN</t>
        </is>
      </c>
      <c r="E513" t="inlineStr">
        <is>
          <t>GOTLAND</t>
        </is>
      </c>
      <c r="G513" t="n">
        <v>16.8</v>
      </c>
      <c r="H513" t="n">
        <v>0</v>
      </c>
      <c r="I513" t="n">
        <v>0</v>
      </c>
      <c r="J513" t="n">
        <v>0</v>
      </c>
      <c r="K513" t="n">
        <v>0</v>
      </c>
      <c r="L513" t="n">
        <v>0</v>
      </c>
      <c r="M513" t="n">
        <v>0</v>
      </c>
      <c r="N513" t="n">
        <v>0</v>
      </c>
      <c r="O513" t="n">
        <v>0</v>
      </c>
      <c r="P513" t="n">
        <v>0</v>
      </c>
      <c r="Q513" t="n">
        <v>0</v>
      </c>
      <c r="R513" s="2" t="inlineStr"/>
    </row>
    <row r="514" ht="15" customHeight="1">
      <c r="A514" t="inlineStr">
        <is>
          <t>A 20225-2025</t>
        </is>
      </c>
      <c r="B514" s="1" t="n">
        <v>45772</v>
      </c>
      <c r="C514" s="1" t="n">
        <v>46201</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6959-2026</t>
        </is>
      </c>
      <c r="B515" s="1" t="n">
        <v>46057</v>
      </c>
      <c r="C515" s="1" t="n">
        <v>46201</v>
      </c>
      <c r="D515" t="inlineStr">
        <is>
          <t>GOTLANDS LÄN</t>
        </is>
      </c>
      <c r="E515" t="inlineStr">
        <is>
          <t>GOTLAND</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29207-2025</t>
        </is>
      </c>
      <c r="B516" s="1" t="n">
        <v>45823</v>
      </c>
      <c r="C516" s="1" t="n">
        <v>46201</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32379-2025</t>
        </is>
      </c>
      <c r="B517" s="1" t="n">
        <v>45837</v>
      </c>
      <c r="C517" s="1" t="n">
        <v>46201</v>
      </c>
      <c r="D517" t="inlineStr">
        <is>
          <t>GOTLANDS LÄN</t>
        </is>
      </c>
      <c r="E517" t="inlineStr">
        <is>
          <t>GOTLAND</t>
        </is>
      </c>
      <c r="G517" t="n">
        <v>1</v>
      </c>
      <c r="H517" t="n">
        <v>0</v>
      </c>
      <c r="I517" t="n">
        <v>0</v>
      </c>
      <c r="J517" t="n">
        <v>0</v>
      </c>
      <c r="K517" t="n">
        <v>0</v>
      </c>
      <c r="L517" t="n">
        <v>0</v>
      </c>
      <c r="M517" t="n">
        <v>0</v>
      </c>
      <c r="N517" t="n">
        <v>0</v>
      </c>
      <c r="O517" t="n">
        <v>0</v>
      </c>
      <c r="P517" t="n">
        <v>0</v>
      </c>
      <c r="Q517" t="n">
        <v>0</v>
      </c>
      <c r="R517" s="2" t="inlineStr"/>
    </row>
    <row r="518" ht="15" customHeight="1">
      <c r="A518" t="inlineStr">
        <is>
          <t>A 38165-2023</t>
        </is>
      </c>
      <c r="B518" s="1" t="n">
        <v>45161</v>
      </c>
      <c r="C518" s="1" t="n">
        <v>46201</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27164-2026</t>
        </is>
      </c>
      <c r="B519" s="1" t="n">
        <v>46188</v>
      </c>
      <c r="C519" s="1" t="n">
        <v>46201</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27170-2026</t>
        </is>
      </c>
      <c r="B520" s="1" t="n">
        <v>46188</v>
      </c>
      <c r="C520" s="1" t="n">
        <v>46201</v>
      </c>
      <c r="D520" t="inlineStr">
        <is>
          <t>GOTLANDS LÄN</t>
        </is>
      </c>
      <c r="E520" t="inlineStr">
        <is>
          <t>GOTLAND</t>
        </is>
      </c>
      <c r="G520" t="n">
        <v>1.8</v>
      </c>
      <c r="H520" t="n">
        <v>0</v>
      </c>
      <c r="I520" t="n">
        <v>0</v>
      </c>
      <c r="J520" t="n">
        <v>0</v>
      </c>
      <c r="K520" t="n">
        <v>0</v>
      </c>
      <c r="L520" t="n">
        <v>0</v>
      </c>
      <c r="M520" t="n">
        <v>0</v>
      </c>
      <c r="N520" t="n">
        <v>0</v>
      </c>
      <c r="O520" t="n">
        <v>0</v>
      </c>
      <c r="P520" t="n">
        <v>0</v>
      </c>
      <c r="Q520" t="n">
        <v>0</v>
      </c>
      <c r="R520" s="2" t="inlineStr"/>
    </row>
    <row r="521" ht="15" customHeight="1">
      <c r="A521" t="inlineStr">
        <is>
          <t>A 27341-2026</t>
        </is>
      </c>
      <c r="B521" s="1" t="n">
        <v>46188</v>
      </c>
      <c r="C521" s="1" t="n">
        <v>46201</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27346-2026</t>
        </is>
      </c>
      <c r="B522" s="1" t="n">
        <v>46188</v>
      </c>
      <c r="C522" s="1" t="n">
        <v>46201</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27354-2026</t>
        </is>
      </c>
      <c r="B523" s="1" t="n">
        <v>46184</v>
      </c>
      <c r="C523" s="1" t="n">
        <v>46201</v>
      </c>
      <c r="D523" t="inlineStr">
        <is>
          <t>GOTLANDS LÄN</t>
        </is>
      </c>
      <c r="E523" t="inlineStr">
        <is>
          <t>GOTLAND</t>
        </is>
      </c>
      <c r="G523" t="n">
        <v>0.9</v>
      </c>
      <c r="H523" t="n">
        <v>0</v>
      </c>
      <c r="I523" t="n">
        <v>0</v>
      </c>
      <c r="J523" t="n">
        <v>0</v>
      </c>
      <c r="K523" t="n">
        <v>0</v>
      </c>
      <c r="L523" t="n">
        <v>0</v>
      </c>
      <c r="M523" t="n">
        <v>0</v>
      </c>
      <c r="N523" t="n">
        <v>0</v>
      </c>
      <c r="O523" t="n">
        <v>0</v>
      </c>
      <c r="P523" t="n">
        <v>0</v>
      </c>
      <c r="Q523" t="n">
        <v>0</v>
      </c>
      <c r="R523" s="2" t="inlineStr"/>
    </row>
    <row r="524" ht="15" customHeight="1">
      <c r="A524" t="inlineStr">
        <is>
          <t>A 28012-2026</t>
        </is>
      </c>
      <c r="B524" s="1" t="n">
        <v>46195</v>
      </c>
      <c r="C524" s="1" t="n">
        <v>46201</v>
      </c>
      <c r="D524" t="inlineStr">
        <is>
          <t>GOTLANDS LÄN</t>
        </is>
      </c>
      <c r="E524" t="inlineStr">
        <is>
          <t>GOTLAND</t>
        </is>
      </c>
      <c r="G524" t="n">
        <v>2.3</v>
      </c>
      <c r="H524" t="n">
        <v>0</v>
      </c>
      <c r="I524" t="n">
        <v>0</v>
      </c>
      <c r="J524" t="n">
        <v>0</v>
      </c>
      <c r="K524" t="n">
        <v>0</v>
      </c>
      <c r="L524" t="n">
        <v>0</v>
      </c>
      <c r="M524" t="n">
        <v>0</v>
      </c>
      <c r="N524" t="n">
        <v>0</v>
      </c>
      <c r="O524" t="n">
        <v>0</v>
      </c>
      <c r="P524" t="n">
        <v>0</v>
      </c>
      <c r="Q524" t="n">
        <v>0</v>
      </c>
      <c r="R524" s="2" t="inlineStr"/>
    </row>
    <row r="525" ht="15" customHeight="1">
      <c r="A525" t="inlineStr">
        <is>
          <t>A 22275-2026</t>
        </is>
      </c>
      <c r="B525" s="1" t="n">
        <v>46154</v>
      </c>
      <c r="C525" s="1" t="n">
        <v>46201</v>
      </c>
      <c r="D525" t="inlineStr">
        <is>
          <t>GOTLANDS LÄN</t>
        </is>
      </c>
      <c r="E525" t="inlineStr">
        <is>
          <t>GOTLAND</t>
        </is>
      </c>
      <c r="G525" t="n">
        <v>3.7</v>
      </c>
      <c r="H525" t="n">
        <v>0</v>
      </c>
      <c r="I525" t="n">
        <v>0</v>
      </c>
      <c r="J525" t="n">
        <v>0</v>
      </c>
      <c r="K525" t="n">
        <v>0</v>
      </c>
      <c r="L525" t="n">
        <v>0</v>
      </c>
      <c r="M525" t="n">
        <v>0</v>
      </c>
      <c r="N525" t="n">
        <v>0</v>
      </c>
      <c r="O525" t="n">
        <v>0</v>
      </c>
      <c r="P525" t="n">
        <v>0</v>
      </c>
      <c r="Q525" t="n">
        <v>0</v>
      </c>
      <c r="R525" s="2" t="inlineStr"/>
    </row>
    <row r="526" ht="15" customHeight="1">
      <c r="A526" t="inlineStr">
        <is>
          <t>A 22348-2026</t>
        </is>
      </c>
      <c r="B526" s="1" t="n">
        <v>46154</v>
      </c>
      <c r="C526" s="1" t="n">
        <v>46201</v>
      </c>
      <c r="D526" t="inlineStr">
        <is>
          <t>GOTLANDS LÄN</t>
        </is>
      </c>
      <c r="E526" t="inlineStr">
        <is>
          <t>GOTLAND</t>
        </is>
      </c>
      <c r="G526" t="n">
        <v>3.3</v>
      </c>
      <c r="H526" t="n">
        <v>0</v>
      </c>
      <c r="I526" t="n">
        <v>0</v>
      </c>
      <c r="J526" t="n">
        <v>0</v>
      </c>
      <c r="K526" t="n">
        <v>0</v>
      </c>
      <c r="L526" t="n">
        <v>0</v>
      </c>
      <c r="M526" t="n">
        <v>0</v>
      </c>
      <c r="N526" t="n">
        <v>0</v>
      </c>
      <c r="O526" t="n">
        <v>0</v>
      </c>
      <c r="P526" t="n">
        <v>0</v>
      </c>
      <c r="Q526" t="n">
        <v>0</v>
      </c>
      <c r="R526" s="2" t="inlineStr"/>
    </row>
    <row r="527" ht="15" customHeight="1">
      <c r="A527" t="inlineStr">
        <is>
          <t>A 22351-2026</t>
        </is>
      </c>
      <c r="B527" s="1" t="n">
        <v>46154</v>
      </c>
      <c r="C527" s="1" t="n">
        <v>46201</v>
      </c>
      <c r="D527" t="inlineStr">
        <is>
          <t>GOTLANDS LÄN</t>
        </is>
      </c>
      <c r="E527" t="inlineStr">
        <is>
          <t>GOTLAND</t>
        </is>
      </c>
      <c r="G527" t="n">
        <v>1.3</v>
      </c>
      <c r="H527" t="n">
        <v>0</v>
      </c>
      <c r="I527" t="n">
        <v>0</v>
      </c>
      <c r="J527" t="n">
        <v>0</v>
      </c>
      <c r="K527" t="n">
        <v>0</v>
      </c>
      <c r="L527" t="n">
        <v>0</v>
      </c>
      <c r="M527" t="n">
        <v>0</v>
      </c>
      <c r="N527" t="n">
        <v>0</v>
      </c>
      <c r="O527" t="n">
        <v>0</v>
      </c>
      <c r="P527" t="n">
        <v>0</v>
      </c>
      <c r="Q527" t="n">
        <v>0</v>
      </c>
      <c r="R527" s="2" t="inlineStr"/>
    </row>
    <row r="528" ht="15" customHeight="1">
      <c r="A528" t="inlineStr">
        <is>
          <t>A 22281-2026</t>
        </is>
      </c>
      <c r="B528" s="1" t="n">
        <v>46154</v>
      </c>
      <c r="C528" s="1" t="n">
        <v>46201</v>
      </c>
      <c r="D528" t="inlineStr">
        <is>
          <t>GOTLANDS LÄN</t>
        </is>
      </c>
      <c r="E528" t="inlineStr">
        <is>
          <t>GOTLAND</t>
        </is>
      </c>
      <c r="G528" t="n">
        <v>8.1</v>
      </c>
      <c r="H528" t="n">
        <v>0</v>
      </c>
      <c r="I528" t="n">
        <v>0</v>
      </c>
      <c r="J528" t="n">
        <v>0</v>
      </c>
      <c r="K528" t="n">
        <v>0</v>
      </c>
      <c r="L528" t="n">
        <v>0</v>
      </c>
      <c r="M528" t="n">
        <v>0</v>
      </c>
      <c r="N528" t="n">
        <v>0</v>
      </c>
      <c r="O528" t="n">
        <v>0</v>
      </c>
      <c r="P528" t="n">
        <v>0</v>
      </c>
      <c r="Q528" t="n">
        <v>0</v>
      </c>
      <c r="R528" s="2" t="inlineStr"/>
    </row>
    <row r="529" ht="15" customHeight="1">
      <c r="A529" t="inlineStr">
        <is>
          <t>A 1175-2025</t>
        </is>
      </c>
      <c r="B529" s="1" t="n">
        <v>45667</v>
      </c>
      <c r="C529" s="1" t="n">
        <v>46201</v>
      </c>
      <c r="D529" t="inlineStr">
        <is>
          <t>GOTLANDS LÄN</t>
        </is>
      </c>
      <c r="E529" t="inlineStr">
        <is>
          <t>GOTLAND</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28843-2026</t>
        </is>
      </c>
      <c r="B530" s="1" t="n">
        <v>46198</v>
      </c>
      <c r="C530" s="1" t="n">
        <v>46201</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c r="A531" t="inlineStr">
        <is>
          <t>A 28839-2026</t>
        </is>
      </c>
      <c r="B531" s="1" t="n">
        <v>46198</v>
      </c>
      <c r="C531" s="1" t="n">
        <v>46201</v>
      </c>
      <c r="D531" t="inlineStr">
        <is>
          <t>GOTLANDS LÄN</t>
        </is>
      </c>
      <c r="E531" t="inlineStr">
        <is>
          <t>GOTLAND</t>
        </is>
      </c>
      <c r="G531" t="n">
        <v>1.8</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2026-06-28T00:56:57Z</dcterms:created>
  <dcterms:modified xmlns:dcterms="http://purl.org/dc/terms/" xmlns:xsi="http://www.w3.org/2001/XMLSchema-instance" xsi:type="dcterms:W3CDTF">2026-06-28T00:56:57Z</dcterms:modified>
</cp:coreProperties>
</file>