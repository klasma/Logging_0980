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agg.
Svinrot
Ängsstarr
Anisspindling
Axag
Besk kastanjemusseron
Blåmossa
Grönpyrola
Kalktallört
Nästrot
Olivspindling
Purpurknipprot
Rödfläckig zontaggsvamp
Skogsknipprot
Sårläka
Tvåblad
Fläcknycklar
Grönvit nattviol
Nattviol
Sankt pers nycklar
Vanliga ängsnycklar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46087</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46087</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46087</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46087</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46087</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46087</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46087</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46087</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46087</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46087</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34100-2024</t>
        </is>
      </c>
      <c r="B27" s="1" t="n">
        <v>45523</v>
      </c>
      <c r="C27" s="1" t="n">
        <v>46087</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Vanliga ängsnycklar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46087</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Fläcknycklar
Vanliga ängsnycklar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46087</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46087</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46087</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46087</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46087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agg.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46087</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46087</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46087</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46087</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46087</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46087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46087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46087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46087</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46087</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46087</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1719-2025</t>
        </is>
      </c>
      <c r="B48" s="1" t="n">
        <v>45671</v>
      </c>
      <c r="C48" s="1" t="n">
        <v>46087</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22404-2024</t>
        </is>
      </c>
      <c r="B49" s="1" t="n">
        <v>45446</v>
      </c>
      <c r="C49" s="1" t="n">
        <v>46087</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14354-2024</t>
        </is>
      </c>
      <c r="B50" s="1" t="n">
        <v>45393</v>
      </c>
      <c r="C50" s="1" t="n">
        <v>46087</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17766-2024</t>
        </is>
      </c>
      <c r="B51" s="1" t="n">
        <v>45418</v>
      </c>
      <c r="C51" s="1" t="n">
        <v>46087</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45248-2024</t>
        </is>
      </c>
      <c r="B52" s="1" t="n">
        <v>45576</v>
      </c>
      <c r="C52" s="1" t="n">
        <v>46087</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584-2023</t>
        </is>
      </c>
      <c r="B53" s="1" t="n">
        <v>44930</v>
      </c>
      <c r="C53" s="1" t="n">
        <v>46087</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46087</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agg.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46087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46087</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46087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46087</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46087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46087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46087</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46087</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4984-2025</t>
        </is>
      </c>
      <c r="B64" s="1" t="n">
        <v>45691.29891203704</v>
      </c>
      <c r="C64" s="1" t="n">
        <v>46087</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46087</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46087</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46087</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46087</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46087</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46087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446-2023</t>
        </is>
      </c>
      <c r="B71" s="1" t="n">
        <v>44929</v>
      </c>
      <c r="C71" s="1" t="n">
        <v>46087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46087</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2085-2023</t>
        </is>
      </c>
      <c r="B73" s="1" t="n">
        <v>44939</v>
      </c>
      <c r="C73" s="1" t="n">
        <v>46087</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57773-2025</t>
        </is>
      </c>
      <c r="B74" s="1" t="n">
        <v>45981.56349537037</v>
      </c>
      <c r="C74" s="1" t="n">
        <v>46087</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46087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46087</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54527-2023</t>
        </is>
      </c>
      <c r="B77" s="1" t="n">
        <v>45233</v>
      </c>
      <c r="C77" s="1" t="n">
        <v>46087</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46087</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46087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46087</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46087</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16375-2025</t>
        </is>
      </c>
      <c r="B82" s="1" t="n">
        <v>45751.41064814815</v>
      </c>
      <c r="C82" s="1" t="n">
        <v>46087</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6839-2026</t>
        </is>
      </c>
      <c r="B83" s="1" t="n">
        <v>46057.41193287037</v>
      </c>
      <c r="C83" s="1" t="n">
        <v>46087</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52245-2025</t>
        </is>
      </c>
      <c r="B84" s="1" t="n">
        <v>45953.47115740741</v>
      </c>
      <c r="C84" s="1" t="n">
        <v>46087</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46087</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35293-2025</t>
        </is>
      </c>
      <c r="B86" s="1" t="n">
        <v>45854.39438657407</v>
      </c>
      <c r="C86" s="1" t="n">
        <v>46087</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2213-2023</t>
        </is>
      </c>
      <c r="B87" s="1" t="n">
        <v>44942</v>
      </c>
      <c r="C87" s="1" t="n">
        <v>46087</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46087</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46087</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46087</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46087</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6159-2023</t>
        </is>
      </c>
      <c r="B92" s="1" t="n">
        <v>44964</v>
      </c>
      <c r="C92" s="1" t="n">
        <v>46087</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46087</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46087</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54523-2023</t>
        </is>
      </c>
      <c r="B95" s="1" t="n">
        <v>45233</v>
      </c>
      <c r="C95" s="1" t="n">
        <v>46087</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6836-2026</t>
        </is>
      </c>
      <c r="B96" s="1" t="n">
        <v>46057.40902777778</v>
      </c>
      <c r="C96" s="1" t="n">
        <v>46087</v>
      </c>
      <c r="D96" t="inlineStr">
        <is>
          <t>GOTLANDS LÄN</t>
        </is>
      </c>
      <c r="E96" t="inlineStr">
        <is>
          <t>GOTLAND</t>
        </is>
      </c>
      <c r="G96" t="n">
        <v>3.8</v>
      </c>
      <c r="H96" t="n">
        <v>1</v>
      </c>
      <c r="I96" t="n">
        <v>3</v>
      </c>
      <c r="J96" t="n">
        <v>0</v>
      </c>
      <c r="K96" t="n">
        <v>1</v>
      </c>
      <c r="L96" t="n">
        <v>0</v>
      </c>
      <c r="M96" t="n">
        <v>0</v>
      </c>
      <c r="N96" t="n">
        <v>0</v>
      </c>
      <c r="O96" t="n">
        <v>1</v>
      </c>
      <c r="P96" t="n">
        <v>1</v>
      </c>
      <c r="Q96" t="n">
        <v>4</v>
      </c>
      <c r="R96" s="2" t="inlineStr">
        <is>
          <t>Knärot
Fransig jordstjärna
Rödgul trumpetsvamp
Svavelriska</t>
        </is>
      </c>
      <c r="S96">
        <f>HYPERLINK("https://klasma.github.io/Logging_0980/artfynd/A 6836-2026 artfynd.xlsx", "A 6836-2026")</f>
        <v/>
      </c>
      <c r="T96">
        <f>HYPERLINK("https://klasma.github.io/Logging_0980/kartor/A 6836-2026 karta.png", "A 6836-2026")</f>
        <v/>
      </c>
      <c r="U96">
        <f>HYPERLINK("https://klasma.github.io/Logging_0980/knärot/A 6836-2026 karta knärot.png", "A 6836-2026")</f>
        <v/>
      </c>
      <c r="V96">
        <f>HYPERLINK("https://klasma.github.io/Logging_0980/klagomål/A 6836-2026 FSC-klagomål.docx", "A 6836-2026")</f>
        <v/>
      </c>
      <c r="W96">
        <f>HYPERLINK("https://klasma.github.io/Logging_0980/klagomålsmail/A 6836-2026 FSC-klagomål mail.docx", "A 6836-2026")</f>
        <v/>
      </c>
      <c r="X96">
        <f>HYPERLINK("https://klasma.github.io/Logging_0980/tillsyn/A 6836-2026 tillsynsbegäran.docx", "A 6836-2026")</f>
        <v/>
      </c>
      <c r="Y96">
        <f>HYPERLINK("https://klasma.github.io/Logging_0980/tillsynsmail/A 6836-2026 tillsynsbegäran mail.docx", "A 6836-2026")</f>
        <v/>
      </c>
    </row>
    <row r="97" ht="15" customHeight="1">
      <c r="A97" t="inlineStr">
        <is>
          <t>A 57463-2025</t>
        </is>
      </c>
      <c r="B97" s="1" t="n">
        <v>45980.54174768519</v>
      </c>
      <c r="C97" s="1" t="n">
        <v>46087</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46087</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44933-2022</t>
        </is>
      </c>
      <c r="B99" s="1" t="n">
        <v>44841</v>
      </c>
      <c r="C99" s="1" t="n">
        <v>46087</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20833-2024</t>
        </is>
      </c>
      <c r="B100" s="1" t="n">
        <v>45439</v>
      </c>
      <c r="C100" s="1" t="n">
        <v>46087</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2485-2025</t>
        </is>
      </c>
      <c r="B101" s="1" t="n">
        <v>45673</v>
      </c>
      <c r="C101" s="1" t="n">
        <v>46087</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46087</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46087</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46087</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46087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46087</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46087</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49709-2025</t>
        </is>
      </c>
      <c r="B110" s="1" t="n">
        <v>45939.68228009259</v>
      </c>
      <c r="C110" s="1" t="n">
        <v>46087</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55334-2024</t>
        </is>
      </c>
      <c r="B111" s="1" t="n">
        <v>45621</v>
      </c>
      <c r="C111" s="1" t="n">
        <v>46087</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43013-2022</t>
        </is>
      </c>
      <c r="B112" s="1" t="n">
        <v>44833</v>
      </c>
      <c r="C112" s="1" t="n">
        <v>46087</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46087</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46087</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1520-2026</t>
        </is>
      </c>
      <c r="B115" s="1" t="n">
        <v>46034.35891203704</v>
      </c>
      <c r="C115" s="1" t="n">
        <v>46087</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30490-2025</t>
        </is>
      </c>
      <c r="B116" s="1" t="n">
        <v>45830</v>
      </c>
      <c r="C116" s="1" t="n">
        <v>46087</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17982-2023</t>
        </is>
      </c>
      <c r="B117" s="1" t="n">
        <v>45040</v>
      </c>
      <c r="C117" s="1" t="n">
        <v>46087</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20831-2024</t>
        </is>
      </c>
      <c r="B118" s="1" t="n">
        <v>45439</v>
      </c>
      <c r="C118" s="1" t="n">
        <v>46087</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17975-2024</t>
        </is>
      </c>
      <c r="B119" s="1" t="n">
        <v>45419.85546296297</v>
      </c>
      <c r="C119" s="1" t="n">
        <v>46087</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46087</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46087</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46087</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46087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46087</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46087</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21879-2025</t>
        </is>
      </c>
      <c r="B128" s="1" t="n">
        <v>45784.40533564815</v>
      </c>
      <c r="C128" s="1" t="n">
        <v>46087</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20429-2025</t>
        </is>
      </c>
      <c r="B129" s="1" t="n">
        <v>45775.47728009259</v>
      </c>
      <c r="C129" s="1" t="n">
        <v>46087</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26077-2024</t>
        </is>
      </c>
      <c r="B130" s="1" t="n">
        <v>45467</v>
      </c>
      <c r="C130" s="1" t="n">
        <v>46087</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63162-2025</t>
        </is>
      </c>
      <c r="B131" s="1" t="n">
        <v>46010.37629629629</v>
      </c>
      <c r="C131" s="1" t="n">
        <v>46087</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10274-2026</t>
        </is>
      </c>
      <c r="B132" s="1" t="n">
        <v>46076.58261574074</v>
      </c>
      <c r="C132" s="1" t="n">
        <v>46087</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46087</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20838-2024</t>
        </is>
      </c>
      <c r="B134" s="1" t="n">
        <v>45439</v>
      </c>
      <c r="C134" s="1" t="n">
        <v>46087</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54357-2024</t>
        </is>
      </c>
      <c r="B135" s="1" t="n">
        <v>45617.40662037037</v>
      </c>
      <c r="C135" s="1" t="n">
        <v>46087</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7070-2022</t>
        </is>
      </c>
      <c r="B136" s="1" t="n">
        <v>44603</v>
      </c>
      <c r="C136" s="1" t="n">
        <v>46087</v>
      </c>
      <c r="D136" t="inlineStr">
        <is>
          <t>GOTLANDS LÄN</t>
        </is>
      </c>
      <c r="E136" t="inlineStr">
        <is>
          <t>GOTLAND</t>
        </is>
      </c>
      <c r="G136" t="n">
        <v>2.6</v>
      </c>
      <c r="H136" t="n">
        <v>0</v>
      </c>
      <c r="I136" t="n">
        <v>2</v>
      </c>
      <c r="J136" t="n">
        <v>0</v>
      </c>
      <c r="K136" t="n">
        <v>0</v>
      </c>
      <c r="L136" t="n">
        <v>0</v>
      </c>
      <c r="M136" t="n">
        <v>0</v>
      </c>
      <c r="N136" t="n">
        <v>0</v>
      </c>
      <c r="O136" t="n">
        <v>0</v>
      </c>
      <c r="P136" t="n">
        <v>0</v>
      </c>
      <c r="Q136" t="n">
        <v>2</v>
      </c>
      <c r="R136" s="2" t="inlineStr">
        <is>
          <t>Blåmossa
Kattfotslav</t>
        </is>
      </c>
      <c r="S136">
        <f>HYPERLINK("https://klasma.github.io/Logging_0980/artfynd/A 7070-2022 artfynd.xlsx", "A 7070-2022")</f>
        <v/>
      </c>
      <c r="T136">
        <f>HYPERLINK("https://klasma.github.io/Logging_0980/kartor/A 7070-2022 karta.png", "A 7070-2022")</f>
        <v/>
      </c>
      <c r="V136">
        <f>HYPERLINK("https://klasma.github.io/Logging_0980/klagomål/A 7070-2022 FSC-klagomål.docx", "A 7070-2022")</f>
        <v/>
      </c>
      <c r="W136">
        <f>HYPERLINK("https://klasma.github.io/Logging_0980/klagomålsmail/A 7070-2022 FSC-klagomål mail.docx", "A 7070-2022")</f>
        <v/>
      </c>
      <c r="X136">
        <f>HYPERLINK("https://klasma.github.io/Logging_0980/tillsyn/A 7070-2022 tillsynsbegäran.docx", "A 7070-2022")</f>
        <v/>
      </c>
      <c r="Y136">
        <f>HYPERLINK("https://klasma.github.io/Logging_0980/tillsynsmail/A 7070-2022 tillsynsbegäran mail.docx", "A 7070-2022")</f>
        <v/>
      </c>
    </row>
    <row r="137" ht="15" customHeight="1">
      <c r="A137" t="inlineStr">
        <is>
          <t>A 43219-2023</t>
        </is>
      </c>
      <c r="B137" s="1" t="n">
        <v>45183</v>
      </c>
      <c r="C137" s="1" t="n">
        <v>46087</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12914-2025</t>
        </is>
      </c>
      <c r="B138" s="1" t="n">
        <v>45733</v>
      </c>
      <c r="C138" s="1" t="n">
        <v>46087</v>
      </c>
      <c r="D138" t="inlineStr">
        <is>
          <t>GOTLANDS LÄN</t>
        </is>
      </c>
      <c r="E138" t="inlineStr">
        <is>
          <t>GOTLAND</t>
        </is>
      </c>
      <c r="G138" t="n">
        <v>24.8</v>
      </c>
      <c r="H138" t="n">
        <v>2</v>
      </c>
      <c r="I138" t="n">
        <v>1</v>
      </c>
      <c r="J138" t="n">
        <v>0</v>
      </c>
      <c r="K138" t="n">
        <v>0</v>
      </c>
      <c r="L138" t="n">
        <v>0</v>
      </c>
      <c r="M138" t="n">
        <v>0</v>
      </c>
      <c r="N138" t="n">
        <v>0</v>
      </c>
      <c r="O138" t="n">
        <v>0</v>
      </c>
      <c r="P138" t="n">
        <v>0</v>
      </c>
      <c r="Q138" t="n">
        <v>2</v>
      </c>
      <c r="R138" s="2" t="inlineStr">
        <is>
          <t>Purpurknipprot
Brudsporre</t>
        </is>
      </c>
      <c r="S138">
        <f>HYPERLINK("https://klasma.github.io/Logging_0980/artfynd/A 12914-2025 artfynd.xlsx", "A 12914-2025")</f>
        <v/>
      </c>
      <c r="T138">
        <f>HYPERLINK("https://klasma.github.io/Logging_0980/kartor/A 12914-2025 karta.png", "A 12914-2025")</f>
        <v/>
      </c>
      <c r="V138">
        <f>HYPERLINK("https://klasma.github.io/Logging_0980/klagomål/A 12914-2025 FSC-klagomål.docx", "A 12914-2025")</f>
        <v/>
      </c>
      <c r="W138">
        <f>HYPERLINK("https://klasma.github.io/Logging_0980/klagomålsmail/A 12914-2025 FSC-klagomål mail.docx", "A 12914-2025")</f>
        <v/>
      </c>
      <c r="X138">
        <f>HYPERLINK("https://klasma.github.io/Logging_0980/tillsyn/A 12914-2025 tillsynsbegäran.docx", "A 12914-2025")</f>
        <v/>
      </c>
      <c r="Y138">
        <f>HYPERLINK("https://klasma.github.io/Logging_0980/tillsynsmail/A 12914-2025 tillsynsbegäran mail.docx", "A 12914-2025")</f>
        <v/>
      </c>
    </row>
    <row r="139" ht="15" customHeight="1">
      <c r="A139" t="inlineStr">
        <is>
          <t>A 28261-2024</t>
        </is>
      </c>
      <c r="B139" s="1" t="n">
        <v>45477</v>
      </c>
      <c r="C139" s="1" t="n">
        <v>46087</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28261-2024 artfynd.xlsx", "A 28261-2024")</f>
        <v/>
      </c>
      <c r="T139">
        <f>HYPERLINK("https://klasma.github.io/Logging_0980/kartor/A 28261-2024 karta.png", "A 28261-2024")</f>
        <v/>
      </c>
      <c r="V139">
        <f>HYPERLINK("https://klasma.github.io/Logging_0980/klagomål/A 28261-2024 FSC-klagomål.docx", "A 28261-2024")</f>
        <v/>
      </c>
      <c r="W139">
        <f>HYPERLINK("https://klasma.github.io/Logging_0980/klagomålsmail/A 28261-2024 FSC-klagomål mail.docx", "A 28261-2024")</f>
        <v/>
      </c>
      <c r="X139">
        <f>HYPERLINK("https://klasma.github.io/Logging_0980/tillsyn/A 28261-2024 tillsynsbegäran.docx", "A 28261-2024")</f>
        <v/>
      </c>
      <c r="Y139">
        <f>HYPERLINK("https://klasma.github.io/Logging_0980/tillsynsmail/A 28261-2024 tillsynsbegäran mail.docx", "A 28261-2024")</f>
        <v/>
      </c>
    </row>
    <row r="140" ht="15" customHeight="1">
      <c r="A140" t="inlineStr">
        <is>
          <t>A 55649-2024</t>
        </is>
      </c>
      <c r="B140" s="1" t="n">
        <v>45622.63053240741</v>
      </c>
      <c r="C140" s="1" t="n">
        <v>46087</v>
      </c>
      <c r="D140" t="inlineStr">
        <is>
          <t>GOTLANDS LÄN</t>
        </is>
      </c>
      <c r="E140" t="inlineStr">
        <is>
          <t>GOTLAND</t>
        </is>
      </c>
      <c r="G140" t="n">
        <v>4.6</v>
      </c>
      <c r="H140" t="n">
        <v>2</v>
      </c>
      <c r="I140" t="n">
        <v>0</v>
      </c>
      <c r="J140" t="n">
        <v>0</v>
      </c>
      <c r="K140" t="n">
        <v>0</v>
      </c>
      <c r="L140" t="n">
        <v>0</v>
      </c>
      <c r="M140" t="n">
        <v>0</v>
      </c>
      <c r="N140" t="n">
        <v>0</v>
      </c>
      <c r="O140" t="n">
        <v>0</v>
      </c>
      <c r="P140" t="n">
        <v>0</v>
      </c>
      <c r="Q140" t="n">
        <v>2</v>
      </c>
      <c r="R140" s="2" t="inlineStr">
        <is>
          <t>Sankt pers nycklar
Blåsippa</t>
        </is>
      </c>
      <c r="S140">
        <f>HYPERLINK("https://klasma.github.io/Logging_0980/artfynd/A 55649-2024 artfynd.xlsx", "A 55649-2024")</f>
        <v/>
      </c>
      <c r="T140">
        <f>HYPERLINK("https://klasma.github.io/Logging_0980/kartor/A 55649-2024 karta.png", "A 55649-2024")</f>
        <v/>
      </c>
      <c r="V140">
        <f>HYPERLINK("https://klasma.github.io/Logging_0980/klagomål/A 55649-2024 FSC-klagomål.docx", "A 55649-2024")</f>
        <v/>
      </c>
      <c r="W140">
        <f>HYPERLINK("https://klasma.github.io/Logging_0980/klagomålsmail/A 55649-2024 FSC-klagomål mail.docx", "A 55649-2024")</f>
        <v/>
      </c>
      <c r="X140">
        <f>HYPERLINK("https://klasma.github.io/Logging_0980/tillsyn/A 55649-2024 tillsynsbegäran.docx", "A 55649-2024")</f>
        <v/>
      </c>
      <c r="Y140">
        <f>HYPERLINK("https://klasma.github.io/Logging_0980/tillsynsmail/A 55649-2024 tillsynsbegäran mail.docx", "A 55649-2024")</f>
        <v/>
      </c>
    </row>
    <row r="141" ht="15" customHeight="1">
      <c r="A141" t="inlineStr">
        <is>
          <t>A 28276-2024</t>
        </is>
      </c>
      <c r="B141" s="1" t="n">
        <v>45477</v>
      </c>
      <c r="C141" s="1" t="n">
        <v>46087</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46362-2021</t>
        </is>
      </c>
      <c r="B142" s="1" t="n">
        <v>44442</v>
      </c>
      <c r="C142" s="1" t="n">
        <v>46087</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46087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46087</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37591-2023</t>
        </is>
      </c>
      <c r="B145" s="1" t="n">
        <v>45159</v>
      </c>
      <c r="C145" s="1" t="n">
        <v>46087</v>
      </c>
      <c r="D145" t="inlineStr">
        <is>
          <t>GOTLANDS LÄN</t>
        </is>
      </c>
      <c r="E145" t="inlineStr">
        <is>
          <t>GOTLAND</t>
        </is>
      </c>
      <c r="G145" t="n">
        <v>8.300000000000001</v>
      </c>
      <c r="H145" t="n">
        <v>0</v>
      </c>
      <c r="I145" t="n">
        <v>0</v>
      </c>
      <c r="J145" t="n">
        <v>1</v>
      </c>
      <c r="K145" t="n">
        <v>0</v>
      </c>
      <c r="L145" t="n">
        <v>0</v>
      </c>
      <c r="M145" t="n">
        <v>0</v>
      </c>
      <c r="N145" t="n">
        <v>0</v>
      </c>
      <c r="O145" t="n">
        <v>1</v>
      </c>
      <c r="P145" t="n">
        <v>0</v>
      </c>
      <c r="Q145" t="n">
        <v>1</v>
      </c>
      <c r="R145" s="2" t="inlineStr">
        <is>
          <t>Ängsstarr</t>
        </is>
      </c>
      <c r="S145">
        <f>HYPERLINK("https://klasma.github.io/Logging_0980/artfynd/A 37591-2023 artfynd.xlsx", "A 37591-2023")</f>
        <v/>
      </c>
      <c r="T145">
        <f>HYPERLINK("https://klasma.github.io/Logging_0980/kartor/A 37591-2023 karta.png", "A 37591-2023")</f>
        <v/>
      </c>
      <c r="V145">
        <f>HYPERLINK("https://klasma.github.io/Logging_0980/klagomål/A 37591-2023 FSC-klagomål.docx", "A 37591-2023")</f>
        <v/>
      </c>
      <c r="W145">
        <f>HYPERLINK("https://klasma.github.io/Logging_0980/klagomålsmail/A 37591-2023 FSC-klagomål mail.docx", "A 37591-2023")</f>
        <v/>
      </c>
      <c r="X145">
        <f>HYPERLINK("https://klasma.github.io/Logging_0980/tillsyn/A 37591-2023 tillsynsbegäran.docx", "A 37591-2023")</f>
        <v/>
      </c>
      <c r="Y145">
        <f>HYPERLINK("https://klasma.github.io/Logging_0980/tillsynsmail/A 37591-2023 tillsynsbegäran mail.docx", "A 37591-2023")</f>
        <v/>
      </c>
    </row>
    <row r="146" ht="15" customHeight="1">
      <c r="A146" t="inlineStr">
        <is>
          <t>A 12379-2024</t>
        </is>
      </c>
      <c r="B146" s="1" t="n">
        <v>45379.28155092592</v>
      </c>
      <c r="C146" s="1" t="n">
        <v>46087</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46087</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21466-2025</t>
        </is>
      </c>
      <c r="B148" s="1" t="n">
        <v>45782</v>
      </c>
      <c r="C148" s="1" t="n">
        <v>46087</v>
      </c>
      <c r="D148" t="inlineStr">
        <is>
          <t>GOTLANDS LÄN</t>
        </is>
      </c>
      <c r="E148" t="inlineStr">
        <is>
          <t>GOTLAND</t>
        </is>
      </c>
      <c r="F148" t="inlineStr">
        <is>
          <t>Övriga statliga verk och myndigheter</t>
        </is>
      </c>
      <c r="G148" t="n">
        <v>1.7</v>
      </c>
      <c r="H148" t="n">
        <v>1</v>
      </c>
      <c r="I148" t="n">
        <v>0</v>
      </c>
      <c r="J148" t="n">
        <v>0</v>
      </c>
      <c r="K148" t="n">
        <v>0</v>
      </c>
      <c r="L148" t="n">
        <v>0</v>
      </c>
      <c r="M148" t="n">
        <v>0</v>
      </c>
      <c r="N148" t="n">
        <v>0</v>
      </c>
      <c r="O148" t="n">
        <v>0</v>
      </c>
      <c r="P148" t="n">
        <v>0</v>
      </c>
      <c r="Q148" t="n">
        <v>1</v>
      </c>
      <c r="R148" s="2" t="inlineStr">
        <is>
          <t>Blåsippa</t>
        </is>
      </c>
      <c r="S148">
        <f>HYPERLINK("https://klasma.github.io/Logging_0980/artfynd/A 21466-2025 artfynd.xlsx", "A 21466-2025")</f>
        <v/>
      </c>
      <c r="T148">
        <f>HYPERLINK("https://klasma.github.io/Logging_0980/kartor/A 21466-2025 karta.png", "A 21466-2025")</f>
        <v/>
      </c>
      <c r="V148">
        <f>HYPERLINK("https://klasma.github.io/Logging_0980/klagomål/A 21466-2025 FSC-klagomål.docx", "A 21466-2025")</f>
        <v/>
      </c>
      <c r="W148">
        <f>HYPERLINK("https://klasma.github.io/Logging_0980/klagomålsmail/A 21466-2025 FSC-klagomål mail.docx", "A 21466-2025")</f>
        <v/>
      </c>
      <c r="X148">
        <f>HYPERLINK("https://klasma.github.io/Logging_0980/tillsyn/A 21466-2025 tillsynsbegäran.docx", "A 21466-2025")</f>
        <v/>
      </c>
      <c r="Y148">
        <f>HYPERLINK("https://klasma.github.io/Logging_0980/tillsynsmail/A 21466-2025 tillsynsbegäran mail.docx", "A 21466-2025")</f>
        <v/>
      </c>
    </row>
    <row r="149" ht="15" customHeight="1">
      <c r="A149" t="inlineStr">
        <is>
          <t>A 49726-2025</t>
        </is>
      </c>
      <c r="B149" s="1" t="n">
        <v>45939.84466435185</v>
      </c>
      <c r="C149" s="1" t="n">
        <v>46087</v>
      </c>
      <c r="D149" t="inlineStr">
        <is>
          <t>GOTLANDS LÄN</t>
        </is>
      </c>
      <c r="E149" t="inlineStr">
        <is>
          <t>GOTLAND</t>
        </is>
      </c>
      <c r="F149" t="inlineStr">
        <is>
          <t>Kyrkan</t>
        </is>
      </c>
      <c r="G149" t="n">
        <v>5.4</v>
      </c>
      <c r="H149" t="n">
        <v>0</v>
      </c>
      <c r="I149" t="n">
        <v>0</v>
      </c>
      <c r="J149" t="n">
        <v>1</v>
      </c>
      <c r="K149" t="n">
        <v>0</v>
      </c>
      <c r="L149" t="n">
        <v>0</v>
      </c>
      <c r="M149" t="n">
        <v>0</v>
      </c>
      <c r="N149" t="n">
        <v>0</v>
      </c>
      <c r="O149" t="n">
        <v>1</v>
      </c>
      <c r="P149" t="n">
        <v>0</v>
      </c>
      <c r="Q149" t="n">
        <v>1</v>
      </c>
      <c r="R149" s="2" t="inlineStr">
        <is>
          <t>Odörspindling</t>
        </is>
      </c>
      <c r="S149">
        <f>HYPERLINK("https://klasma.github.io/Logging_0980/artfynd/A 49726-2025 artfynd.xlsx", "A 49726-2025")</f>
        <v/>
      </c>
      <c r="T149">
        <f>HYPERLINK("https://klasma.github.io/Logging_0980/kartor/A 49726-2025 karta.png", "A 49726-2025")</f>
        <v/>
      </c>
      <c r="V149">
        <f>HYPERLINK("https://klasma.github.io/Logging_0980/klagomål/A 49726-2025 FSC-klagomål.docx", "A 49726-2025")</f>
        <v/>
      </c>
      <c r="W149">
        <f>HYPERLINK("https://klasma.github.io/Logging_0980/klagomålsmail/A 49726-2025 FSC-klagomål mail.docx", "A 49726-2025")</f>
        <v/>
      </c>
      <c r="X149">
        <f>HYPERLINK("https://klasma.github.io/Logging_0980/tillsyn/A 49726-2025 tillsynsbegäran.docx", "A 49726-2025")</f>
        <v/>
      </c>
      <c r="Y149">
        <f>HYPERLINK("https://klasma.github.io/Logging_0980/tillsynsmail/A 49726-2025 tillsynsbegäran mail.docx", "A 49726-2025")</f>
        <v/>
      </c>
    </row>
    <row r="150" ht="15" customHeight="1">
      <c r="A150" t="inlineStr">
        <is>
          <t>A 44304-2021</t>
        </is>
      </c>
      <c r="B150" s="1" t="n">
        <v>44434</v>
      </c>
      <c r="C150" s="1" t="n">
        <v>46087</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39812-2025</t>
        </is>
      </c>
      <c r="B151" s="1" t="n">
        <v>45891</v>
      </c>
      <c r="C151" s="1" t="n">
        <v>46087</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10440-2024</t>
        </is>
      </c>
      <c r="B152" s="1" t="n">
        <v>45366.32818287037</v>
      </c>
      <c r="C152" s="1" t="n">
        <v>46087</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25977-2024</t>
        </is>
      </c>
      <c r="B153" s="1" t="n">
        <v>45467.69356481481</v>
      </c>
      <c r="C153" s="1" t="n">
        <v>46087</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35467-2021</t>
        </is>
      </c>
      <c r="B154" s="1" t="n">
        <v>44385</v>
      </c>
      <c r="C154" s="1" t="n">
        <v>46087</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65927-2021</t>
        </is>
      </c>
      <c r="B155" s="1" t="n">
        <v>44516</v>
      </c>
      <c r="C155" s="1" t="n">
        <v>46087</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44619-2025</t>
        </is>
      </c>
      <c r="B156" s="1" t="n">
        <v>45917</v>
      </c>
      <c r="C156" s="1" t="n">
        <v>46087</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61796-2022</t>
        </is>
      </c>
      <c r="B157" s="1" t="n">
        <v>44917</v>
      </c>
      <c r="C157" s="1" t="n">
        <v>46087</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15637-2024</t>
        </is>
      </c>
      <c r="B158" s="1" t="n">
        <v>45403.6684837963</v>
      </c>
      <c r="C158" s="1" t="n">
        <v>46087</v>
      </c>
      <c r="D158" t="inlineStr">
        <is>
          <t>GOTLANDS LÄN</t>
        </is>
      </c>
      <c r="E158" t="inlineStr">
        <is>
          <t>GOTLAND</t>
        </is>
      </c>
      <c r="G158" t="n">
        <v>4.1</v>
      </c>
      <c r="H158" t="n">
        <v>1</v>
      </c>
      <c r="I158" t="n">
        <v>0</v>
      </c>
      <c r="J158" t="n">
        <v>0</v>
      </c>
      <c r="K158" t="n">
        <v>0</v>
      </c>
      <c r="L158" t="n">
        <v>0</v>
      </c>
      <c r="M158" t="n">
        <v>0</v>
      </c>
      <c r="N158" t="n">
        <v>0</v>
      </c>
      <c r="O158" t="n">
        <v>0</v>
      </c>
      <c r="P158" t="n">
        <v>0</v>
      </c>
      <c r="Q158" t="n">
        <v>1</v>
      </c>
      <c r="R158" s="2" t="inlineStr">
        <is>
          <t>Blåsippa</t>
        </is>
      </c>
      <c r="S158">
        <f>HYPERLINK("https://klasma.github.io/Logging_0980/artfynd/A 15637-2024 artfynd.xlsx", "A 15637-2024")</f>
        <v/>
      </c>
      <c r="T158">
        <f>HYPERLINK("https://klasma.github.io/Logging_0980/kartor/A 15637-2024 karta.png", "A 15637-2024")</f>
        <v/>
      </c>
      <c r="V158">
        <f>HYPERLINK("https://klasma.github.io/Logging_0980/klagomål/A 15637-2024 FSC-klagomål.docx", "A 15637-2024")</f>
        <v/>
      </c>
      <c r="W158">
        <f>HYPERLINK("https://klasma.github.io/Logging_0980/klagomålsmail/A 15637-2024 FSC-klagomål mail.docx", "A 15637-2024")</f>
        <v/>
      </c>
      <c r="X158">
        <f>HYPERLINK("https://klasma.github.io/Logging_0980/tillsyn/A 15637-2024 tillsynsbegäran.docx", "A 15637-2024")</f>
        <v/>
      </c>
      <c r="Y158">
        <f>HYPERLINK("https://klasma.github.io/Logging_0980/tillsynsmail/A 15637-2024 tillsynsbegäran mail.docx", "A 15637-2024")</f>
        <v/>
      </c>
    </row>
    <row r="159" ht="15" customHeight="1">
      <c r="A159" t="inlineStr">
        <is>
          <t>A 26461-2025</t>
        </is>
      </c>
      <c r="B159" s="1" t="n">
        <v>45807.43337962963</v>
      </c>
      <c r="C159" s="1" t="n">
        <v>46087</v>
      </c>
      <c r="D159" t="inlineStr">
        <is>
          <t>GOTLANDS LÄN</t>
        </is>
      </c>
      <c r="E159" t="inlineStr">
        <is>
          <t>GOTLAND</t>
        </is>
      </c>
      <c r="G159" t="n">
        <v>4.1</v>
      </c>
      <c r="H159" t="n">
        <v>0</v>
      </c>
      <c r="I159" t="n">
        <v>0</v>
      </c>
      <c r="J159" t="n">
        <v>0</v>
      </c>
      <c r="K159" t="n">
        <v>1</v>
      </c>
      <c r="L159" t="n">
        <v>0</v>
      </c>
      <c r="M159" t="n">
        <v>0</v>
      </c>
      <c r="N159" t="n">
        <v>0</v>
      </c>
      <c r="O159" t="n">
        <v>1</v>
      </c>
      <c r="P159" t="n">
        <v>1</v>
      </c>
      <c r="Q159" t="n">
        <v>1</v>
      </c>
      <c r="R159" s="2" t="inlineStr">
        <is>
          <t>Gotlandsmåra</t>
        </is>
      </c>
      <c r="S159">
        <f>HYPERLINK("https://klasma.github.io/Logging_0980/artfynd/A 26461-2025 artfynd.xlsx", "A 26461-2025")</f>
        <v/>
      </c>
      <c r="T159">
        <f>HYPERLINK("https://klasma.github.io/Logging_0980/kartor/A 26461-2025 karta.png", "A 26461-2025")</f>
        <v/>
      </c>
      <c r="V159">
        <f>HYPERLINK("https://klasma.github.io/Logging_0980/klagomål/A 26461-2025 FSC-klagomål.docx", "A 26461-2025")</f>
        <v/>
      </c>
      <c r="W159">
        <f>HYPERLINK("https://klasma.github.io/Logging_0980/klagomålsmail/A 26461-2025 FSC-klagomål mail.docx", "A 26461-2025")</f>
        <v/>
      </c>
      <c r="X159">
        <f>HYPERLINK("https://klasma.github.io/Logging_0980/tillsyn/A 26461-2025 tillsynsbegäran.docx", "A 26461-2025")</f>
        <v/>
      </c>
      <c r="Y159">
        <f>HYPERLINK("https://klasma.github.io/Logging_0980/tillsynsmail/A 26461-2025 tillsynsbegäran mail.docx", "A 26461-2025")</f>
        <v/>
      </c>
    </row>
    <row r="160" ht="15" customHeight="1">
      <c r="A160" t="inlineStr">
        <is>
          <t>A 2476-2025</t>
        </is>
      </c>
      <c r="B160" s="1" t="n">
        <v>45673</v>
      </c>
      <c r="C160" s="1" t="n">
        <v>46087</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10995-2023</t>
        </is>
      </c>
      <c r="B161" s="1" t="n">
        <v>44986</v>
      </c>
      <c r="C161" s="1" t="n">
        <v>46087</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62552-2022</t>
        </is>
      </c>
      <c r="B162" s="1" t="n">
        <v>44924</v>
      </c>
      <c r="C162" s="1" t="n">
        <v>46087</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63149-2025</t>
        </is>
      </c>
      <c r="B163" s="1" t="n">
        <v>46010</v>
      </c>
      <c r="C163" s="1" t="n">
        <v>46087</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Anisspindling</t>
        </is>
      </c>
      <c r="S163">
        <f>HYPERLINK("https://klasma.github.io/Logging_0980/artfynd/A 63149-2025 artfynd.xlsx", "A 63149-2025")</f>
        <v/>
      </c>
      <c r="T163">
        <f>HYPERLINK("https://klasma.github.io/Logging_0980/kartor/A 63149-2025 karta.png", "A 63149-2025")</f>
        <v/>
      </c>
      <c r="V163">
        <f>HYPERLINK("https://klasma.github.io/Logging_0980/klagomål/A 63149-2025 FSC-klagomål.docx", "A 63149-2025")</f>
        <v/>
      </c>
      <c r="W163">
        <f>HYPERLINK("https://klasma.github.io/Logging_0980/klagomålsmail/A 63149-2025 FSC-klagomål mail.docx", "A 63149-2025")</f>
        <v/>
      </c>
      <c r="X163">
        <f>HYPERLINK("https://klasma.github.io/Logging_0980/tillsyn/A 63149-2025 tillsynsbegäran.docx", "A 63149-2025")</f>
        <v/>
      </c>
      <c r="Y163">
        <f>HYPERLINK("https://klasma.github.io/Logging_0980/tillsynsmail/A 63149-2025 tillsynsbegäran mail.docx", "A 63149-2025")</f>
        <v/>
      </c>
    </row>
    <row r="164" ht="15" customHeight="1">
      <c r="A164" t="inlineStr">
        <is>
          <t>A 44088-2022</t>
        </is>
      </c>
      <c r="B164" s="1" t="n">
        <v>44839</v>
      </c>
      <c r="C164" s="1" t="n">
        <v>46087</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46087</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46087</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46087</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46087</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46087</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11708-2026</t>
        </is>
      </c>
      <c r="B170" s="1" t="n">
        <v>46084</v>
      </c>
      <c r="C170" s="1" t="n">
        <v>46087</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64700-2021</t>
        </is>
      </c>
      <c r="B171" s="1" t="n">
        <v>44511</v>
      </c>
      <c r="C171" s="1" t="n">
        <v>46087</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34141-2024</t>
        </is>
      </c>
      <c r="B172" s="1" t="n">
        <v>45524.36229166666</v>
      </c>
      <c r="C172" s="1" t="n">
        <v>46087</v>
      </c>
      <c r="D172" t="inlineStr">
        <is>
          <t>GOTLANDS LÄN</t>
        </is>
      </c>
      <c r="E172" t="inlineStr">
        <is>
          <t>GOTLAND</t>
        </is>
      </c>
      <c r="G172" t="n">
        <v>0.9</v>
      </c>
      <c r="H172" t="n">
        <v>0</v>
      </c>
      <c r="I172" t="n">
        <v>1</v>
      </c>
      <c r="J172" t="n">
        <v>0</v>
      </c>
      <c r="K172" t="n">
        <v>0</v>
      </c>
      <c r="L172" t="n">
        <v>0</v>
      </c>
      <c r="M172" t="n">
        <v>0</v>
      </c>
      <c r="N172" t="n">
        <v>0</v>
      </c>
      <c r="O172" t="n">
        <v>0</v>
      </c>
      <c r="P172" t="n">
        <v>0</v>
      </c>
      <c r="Q172" t="n">
        <v>1</v>
      </c>
      <c r="R172" s="2" t="inlineStr">
        <is>
          <t>Strävlosta</t>
        </is>
      </c>
      <c r="S172">
        <f>HYPERLINK("https://klasma.github.io/Logging_0980/artfynd/A 34141-2024 artfynd.xlsx", "A 34141-2024")</f>
        <v/>
      </c>
      <c r="T172">
        <f>HYPERLINK("https://klasma.github.io/Logging_0980/kartor/A 34141-2024 karta.png", "A 34141-2024")</f>
        <v/>
      </c>
      <c r="V172">
        <f>HYPERLINK("https://klasma.github.io/Logging_0980/klagomål/A 34141-2024 FSC-klagomål.docx", "A 34141-2024")</f>
        <v/>
      </c>
      <c r="W172">
        <f>HYPERLINK("https://klasma.github.io/Logging_0980/klagomålsmail/A 34141-2024 FSC-klagomål mail.docx", "A 34141-2024")</f>
        <v/>
      </c>
      <c r="X172">
        <f>HYPERLINK("https://klasma.github.io/Logging_0980/tillsyn/A 34141-2024 tillsynsbegäran.docx", "A 34141-2024")</f>
        <v/>
      </c>
      <c r="Y172">
        <f>HYPERLINK("https://klasma.github.io/Logging_0980/tillsynsmail/A 34141-2024 tillsynsbegäran mail.docx", "A 34141-2024")</f>
        <v/>
      </c>
    </row>
    <row r="173" ht="15" customHeight="1">
      <c r="A173" t="inlineStr">
        <is>
          <t>A 9862-2024</t>
        </is>
      </c>
      <c r="B173" s="1" t="n">
        <v>45363</v>
      </c>
      <c r="C173" s="1" t="n">
        <v>46087</v>
      </c>
      <c r="D173" t="inlineStr">
        <is>
          <t>GOTLANDS LÄN</t>
        </is>
      </c>
      <c r="E173" t="inlineStr">
        <is>
          <t>GOTLAND</t>
        </is>
      </c>
      <c r="G173" t="n">
        <v>3.5</v>
      </c>
      <c r="H173" t="n">
        <v>1</v>
      </c>
      <c r="I173" t="n">
        <v>0</v>
      </c>
      <c r="J173" t="n">
        <v>0</v>
      </c>
      <c r="K173" t="n">
        <v>0</v>
      </c>
      <c r="L173" t="n">
        <v>0</v>
      </c>
      <c r="M173" t="n">
        <v>0</v>
      </c>
      <c r="N173" t="n">
        <v>0</v>
      </c>
      <c r="O173" t="n">
        <v>0</v>
      </c>
      <c r="P173" t="n">
        <v>0</v>
      </c>
      <c r="Q173" t="n">
        <v>1</v>
      </c>
      <c r="R173" s="2" t="inlineStr">
        <is>
          <t>Nattviol</t>
        </is>
      </c>
      <c r="S173">
        <f>HYPERLINK("https://klasma.github.io/Logging_0980/artfynd/A 9862-2024 artfynd.xlsx", "A 9862-2024")</f>
        <v/>
      </c>
      <c r="T173">
        <f>HYPERLINK("https://klasma.github.io/Logging_0980/kartor/A 9862-2024 karta.png", "A 9862-2024")</f>
        <v/>
      </c>
      <c r="V173">
        <f>HYPERLINK("https://klasma.github.io/Logging_0980/klagomål/A 9862-2024 FSC-klagomål.docx", "A 9862-2024")</f>
        <v/>
      </c>
      <c r="W173">
        <f>HYPERLINK("https://klasma.github.io/Logging_0980/klagomålsmail/A 9862-2024 FSC-klagomål mail.docx", "A 9862-2024")</f>
        <v/>
      </c>
      <c r="X173">
        <f>HYPERLINK("https://klasma.github.io/Logging_0980/tillsyn/A 9862-2024 tillsynsbegäran.docx", "A 9862-2024")</f>
        <v/>
      </c>
      <c r="Y173">
        <f>HYPERLINK("https://klasma.github.io/Logging_0980/tillsynsmail/A 9862-2024 tillsynsbegäran mail.docx", "A 9862-2024")</f>
        <v/>
      </c>
    </row>
    <row r="174" ht="15" customHeight="1">
      <c r="A174" t="inlineStr">
        <is>
          <t>A 27589-2023</t>
        </is>
      </c>
      <c r="B174" s="1" t="n">
        <v>45097</v>
      </c>
      <c r="C174" s="1" t="n">
        <v>46087</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46087</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46087</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46087</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12924-2025</t>
        </is>
      </c>
      <c r="B178" s="1" t="n">
        <v>45734</v>
      </c>
      <c r="C178" s="1" t="n">
        <v>46087</v>
      </c>
      <c r="D178" t="inlineStr">
        <is>
          <t>GOTLANDS LÄN</t>
        </is>
      </c>
      <c r="E178" t="inlineStr">
        <is>
          <t>GOTLAND</t>
        </is>
      </c>
      <c r="G178" t="n">
        <v>11.7</v>
      </c>
      <c r="H178" t="n">
        <v>0</v>
      </c>
      <c r="I178" t="n">
        <v>0</v>
      </c>
      <c r="J178" t="n">
        <v>0</v>
      </c>
      <c r="K178" t="n">
        <v>1</v>
      </c>
      <c r="L178" t="n">
        <v>0</v>
      </c>
      <c r="M178" t="n">
        <v>0</v>
      </c>
      <c r="N178" t="n">
        <v>0</v>
      </c>
      <c r="O178" t="n">
        <v>1</v>
      </c>
      <c r="P178" t="n">
        <v>1</v>
      </c>
      <c r="Q178" t="n">
        <v>1</v>
      </c>
      <c r="R178" s="2" t="inlineStr">
        <is>
          <t>Gotlandsmåra</t>
        </is>
      </c>
      <c r="S178">
        <f>HYPERLINK("https://klasma.github.io/Logging_0980/artfynd/A 12924-2025 artfynd.xlsx", "A 12924-2025")</f>
        <v/>
      </c>
      <c r="T178">
        <f>HYPERLINK("https://klasma.github.io/Logging_0980/kartor/A 12924-2025 karta.png", "A 12924-2025")</f>
        <v/>
      </c>
      <c r="V178">
        <f>HYPERLINK("https://klasma.github.io/Logging_0980/klagomål/A 12924-2025 FSC-klagomål.docx", "A 12924-2025")</f>
        <v/>
      </c>
      <c r="W178">
        <f>HYPERLINK("https://klasma.github.io/Logging_0980/klagomålsmail/A 12924-2025 FSC-klagomål mail.docx", "A 12924-2025")</f>
        <v/>
      </c>
      <c r="X178">
        <f>HYPERLINK("https://klasma.github.io/Logging_0980/tillsyn/A 12924-2025 tillsynsbegäran.docx", "A 12924-2025")</f>
        <v/>
      </c>
      <c r="Y178">
        <f>HYPERLINK("https://klasma.github.io/Logging_0980/tillsynsmail/A 12924-2025 tillsynsbegäran mail.docx", "A 12924-2025")</f>
        <v/>
      </c>
    </row>
    <row r="179" ht="15" customHeight="1">
      <c r="A179" t="inlineStr">
        <is>
          <t>A 6303-2024</t>
        </is>
      </c>
      <c r="B179" s="1" t="n">
        <v>45338.35376157407</v>
      </c>
      <c r="C179" s="1" t="n">
        <v>46087</v>
      </c>
      <c r="D179" t="inlineStr">
        <is>
          <t>GOTLANDS LÄN</t>
        </is>
      </c>
      <c r="E179" t="inlineStr">
        <is>
          <t>GOTLAND</t>
        </is>
      </c>
      <c r="G179" t="n">
        <v>0.6</v>
      </c>
      <c r="H179" t="n">
        <v>0</v>
      </c>
      <c r="I179" t="n">
        <v>1</v>
      </c>
      <c r="J179" t="n">
        <v>0</v>
      </c>
      <c r="K179" t="n">
        <v>0</v>
      </c>
      <c r="L179" t="n">
        <v>0</v>
      </c>
      <c r="M179" t="n">
        <v>0</v>
      </c>
      <c r="N179" t="n">
        <v>0</v>
      </c>
      <c r="O179" t="n">
        <v>0</v>
      </c>
      <c r="P179" t="n">
        <v>0</v>
      </c>
      <c r="Q179" t="n">
        <v>1</v>
      </c>
      <c r="R179" s="2" t="inlineStr">
        <is>
          <t>Strävlosta</t>
        </is>
      </c>
      <c r="S179">
        <f>HYPERLINK("https://klasma.github.io/Logging_0980/artfynd/A 6303-2024 artfynd.xlsx", "A 6303-2024")</f>
        <v/>
      </c>
      <c r="T179">
        <f>HYPERLINK("https://klasma.github.io/Logging_0980/kartor/A 6303-2024 karta.png", "A 6303-2024")</f>
        <v/>
      </c>
      <c r="V179">
        <f>HYPERLINK("https://klasma.github.io/Logging_0980/klagomål/A 6303-2024 FSC-klagomål.docx", "A 6303-2024")</f>
        <v/>
      </c>
      <c r="W179">
        <f>HYPERLINK("https://klasma.github.io/Logging_0980/klagomålsmail/A 6303-2024 FSC-klagomål mail.docx", "A 6303-2024")</f>
        <v/>
      </c>
      <c r="X179">
        <f>HYPERLINK("https://klasma.github.io/Logging_0980/tillsyn/A 6303-2024 tillsynsbegäran.docx", "A 6303-2024")</f>
        <v/>
      </c>
      <c r="Y179">
        <f>HYPERLINK("https://klasma.github.io/Logging_0980/tillsynsmail/A 6303-2024 tillsynsbegäran mail.docx", "A 6303-2024")</f>
        <v/>
      </c>
    </row>
    <row r="180" ht="15" customHeight="1">
      <c r="A180" t="inlineStr">
        <is>
          <t>A 13939-2021</t>
        </is>
      </c>
      <c r="B180" s="1" t="n">
        <v>44277</v>
      </c>
      <c r="C180" s="1" t="n">
        <v>46087</v>
      </c>
      <c r="D180" t="inlineStr">
        <is>
          <t>GOTLANDS LÄN</t>
        </is>
      </c>
      <c r="E180" t="inlineStr">
        <is>
          <t>GOTLAND</t>
        </is>
      </c>
      <c r="G180" t="n">
        <v>1</v>
      </c>
      <c r="H180" t="n">
        <v>0</v>
      </c>
      <c r="I180" t="n">
        <v>0</v>
      </c>
      <c r="J180" t="n">
        <v>1</v>
      </c>
      <c r="K180" t="n">
        <v>0</v>
      </c>
      <c r="L180" t="n">
        <v>0</v>
      </c>
      <c r="M180" t="n">
        <v>0</v>
      </c>
      <c r="N180" t="n">
        <v>0</v>
      </c>
      <c r="O180" t="n">
        <v>1</v>
      </c>
      <c r="P180" t="n">
        <v>0</v>
      </c>
      <c r="Q180" t="n">
        <v>1</v>
      </c>
      <c r="R180" s="2" t="inlineStr">
        <is>
          <t>Axveronika</t>
        </is>
      </c>
      <c r="S180">
        <f>HYPERLINK("https://klasma.github.io/Logging_0980/artfynd/A 13939-2021 artfynd.xlsx", "A 13939-2021")</f>
        <v/>
      </c>
      <c r="T180">
        <f>HYPERLINK("https://klasma.github.io/Logging_0980/kartor/A 13939-2021 karta.png", "A 13939-2021")</f>
        <v/>
      </c>
      <c r="V180">
        <f>HYPERLINK("https://klasma.github.io/Logging_0980/klagomål/A 13939-2021 FSC-klagomål.docx", "A 13939-2021")</f>
        <v/>
      </c>
      <c r="W180">
        <f>HYPERLINK("https://klasma.github.io/Logging_0980/klagomålsmail/A 13939-2021 FSC-klagomål mail.docx", "A 13939-2021")</f>
        <v/>
      </c>
      <c r="X180">
        <f>HYPERLINK("https://klasma.github.io/Logging_0980/tillsyn/A 13939-2021 tillsynsbegäran.docx", "A 13939-2021")</f>
        <v/>
      </c>
      <c r="Y180">
        <f>HYPERLINK("https://klasma.github.io/Logging_0980/tillsynsmail/A 13939-2021 tillsynsbegäran mail.docx", "A 13939-2021")</f>
        <v/>
      </c>
    </row>
    <row r="181" ht="15" customHeight="1">
      <c r="A181" t="inlineStr">
        <is>
          <t>A 34809-2024</t>
        </is>
      </c>
      <c r="B181" s="1" t="n">
        <v>45526</v>
      </c>
      <c r="C181" s="1" t="n">
        <v>46087</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61561-2023</t>
        </is>
      </c>
      <c r="B182" s="1" t="n">
        <v>45265</v>
      </c>
      <c r="C182" s="1" t="n">
        <v>46087</v>
      </c>
      <c r="D182" t="inlineStr">
        <is>
          <t>GOTLANDS LÄN</t>
        </is>
      </c>
      <c r="E182" t="inlineStr">
        <is>
          <t>GOTLAND</t>
        </is>
      </c>
      <c r="G182" t="n">
        <v>7.4</v>
      </c>
      <c r="H182" t="n">
        <v>0</v>
      </c>
      <c r="I182" t="n">
        <v>0</v>
      </c>
      <c r="J182" t="n">
        <v>1</v>
      </c>
      <c r="K182" t="n">
        <v>0</v>
      </c>
      <c r="L182" t="n">
        <v>0</v>
      </c>
      <c r="M182" t="n">
        <v>0</v>
      </c>
      <c r="N182" t="n">
        <v>0</v>
      </c>
      <c r="O182" t="n">
        <v>1</v>
      </c>
      <c r="P182" t="n">
        <v>0</v>
      </c>
      <c r="Q182" t="n">
        <v>1</v>
      </c>
      <c r="R182" s="2" t="inlineStr">
        <is>
          <t>Loppstarr</t>
        </is>
      </c>
      <c r="S182">
        <f>HYPERLINK("https://klasma.github.io/Logging_0980/artfynd/A 61561-2023 artfynd.xlsx", "A 61561-2023")</f>
        <v/>
      </c>
      <c r="T182">
        <f>HYPERLINK("https://klasma.github.io/Logging_0980/kartor/A 61561-2023 karta.png", "A 61561-2023")</f>
        <v/>
      </c>
      <c r="V182">
        <f>HYPERLINK("https://klasma.github.io/Logging_0980/klagomål/A 61561-2023 FSC-klagomål.docx", "A 61561-2023")</f>
        <v/>
      </c>
      <c r="W182">
        <f>HYPERLINK("https://klasma.github.io/Logging_0980/klagomålsmail/A 61561-2023 FSC-klagomål mail.docx", "A 61561-2023")</f>
        <v/>
      </c>
      <c r="X182">
        <f>HYPERLINK("https://klasma.github.io/Logging_0980/tillsyn/A 61561-2023 tillsynsbegäran.docx", "A 61561-2023")</f>
        <v/>
      </c>
      <c r="Y182">
        <f>HYPERLINK("https://klasma.github.io/Logging_0980/tillsynsmail/A 61561-2023 tillsynsbegäran mail.docx", "A 61561-2023")</f>
        <v/>
      </c>
    </row>
    <row r="183" ht="15" customHeight="1">
      <c r="A183" t="inlineStr">
        <is>
          <t>A 22782-2023</t>
        </is>
      </c>
      <c r="B183" s="1" t="n">
        <v>45072</v>
      </c>
      <c r="C183" s="1" t="n">
        <v>46087</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46087</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46087</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46087</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46087</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46087</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19901-2021</t>
        </is>
      </c>
      <c r="B189" s="1" t="n">
        <v>44312</v>
      </c>
      <c r="C189" s="1" t="n">
        <v>46087</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46087</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46087</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46087</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46087</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46087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46087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46087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46087</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46087</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46087</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46087</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46087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46087</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46087</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46087</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46087</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46087</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46087</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46087</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46087</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46087</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46087</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46087</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46087</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46087</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46087</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46087</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46087</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46087</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46087</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46087</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46087</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46087</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46087</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46087</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46087</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46087</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46087</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46087</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46087</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46087</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46087</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46087</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46087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46087</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46087</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46087</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53935-2024</t>
        </is>
      </c>
      <c r="B237" s="1" t="n">
        <v>45615</v>
      </c>
      <c r="C237" s="1" t="n">
        <v>46087</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5751-2024</t>
        </is>
      </c>
      <c r="B238" s="1" t="n">
        <v>45335.32702546296</v>
      </c>
      <c r="C238" s="1" t="n">
        <v>46087</v>
      </c>
      <c r="D238" t="inlineStr">
        <is>
          <t>GOTLANDS LÄN</t>
        </is>
      </c>
      <c r="E238" t="inlineStr">
        <is>
          <t>GOTLAND</t>
        </is>
      </c>
      <c r="G238" t="n">
        <v>4.2</v>
      </c>
      <c r="H238" t="n">
        <v>0</v>
      </c>
      <c r="I238" t="n">
        <v>0</v>
      </c>
      <c r="J238" t="n">
        <v>0</v>
      </c>
      <c r="K238" t="n">
        <v>0</v>
      </c>
      <c r="L238" t="n">
        <v>0</v>
      </c>
      <c r="M238" t="n">
        <v>0</v>
      </c>
      <c r="N238" t="n">
        <v>0</v>
      </c>
      <c r="O238" t="n">
        <v>0</v>
      </c>
      <c r="P238" t="n">
        <v>0</v>
      </c>
      <c r="Q238" t="n">
        <v>0</v>
      </c>
      <c r="R238" s="2" t="inlineStr"/>
    </row>
    <row r="239" ht="15" customHeight="1">
      <c r="A239" t="inlineStr">
        <is>
          <t>A 9613-2025</t>
        </is>
      </c>
      <c r="B239" s="1" t="n">
        <v>45715</v>
      </c>
      <c r="C239" s="1" t="n">
        <v>46087</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46087</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18223-2025</t>
        </is>
      </c>
      <c r="B241" s="1" t="n">
        <v>45761</v>
      </c>
      <c r="C241" s="1" t="n">
        <v>46087</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4420-2025</t>
        </is>
      </c>
      <c r="B242" s="1" t="n">
        <v>45686.47157407407</v>
      </c>
      <c r="C242" s="1" t="n">
        <v>46087</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15595-2024</t>
        </is>
      </c>
      <c r="B243" s="1" t="n">
        <v>45401.81480324074</v>
      </c>
      <c r="C243" s="1" t="n">
        <v>46087</v>
      </c>
      <c r="D243" t="inlineStr">
        <is>
          <t>GOTLANDS LÄN</t>
        </is>
      </c>
      <c r="E243" t="inlineStr">
        <is>
          <t>GOTLAND</t>
        </is>
      </c>
      <c r="G243" t="n">
        <v>6.4</v>
      </c>
      <c r="H243" t="n">
        <v>0</v>
      </c>
      <c r="I243" t="n">
        <v>0</v>
      </c>
      <c r="J243" t="n">
        <v>0</v>
      </c>
      <c r="K243" t="n">
        <v>0</v>
      </c>
      <c r="L243" t="n">
        <v>0</v>
      </c>
      <c r="M243" t="n">
        <v>0</v>
      </c>
      <c r="N243" t="n">
        <v>0</v>
      </c>
      <c r="O243" t="n">
        <v>0</v>
      </c>
      <c r="P243" t="n">
        <v>0</v>
      </c>
      <c r="Q243" t="n">
        <v>0</v>
      </c>
      <c r="R243" s="2" t="inlineStr"/>
    </row>
    <row r="244" ht="15" customHeight="1">
      <c r="A244" t="inlineStr">
        <is>
          <t>A 5891-2025</t>
        </is>
      </c>
      <c r="B244" s="1" t="n">
        <v>45695.38327546296</v>
      </c>
      <c r="C244" s="1" t="n">
        <v>46087</v>
      </c>
      <c r="D244" t="inlineStr">
        <is>
          <t>GOTLANDS LÄN</t>
        </is>
      </c>
      <c r="E244" t="inlineStr">
        <is>
          <t>GOTLAND</t>
        </is>
      </c>
      <c r="G244" t="n">
        <v>0.8</v>
      </c>
      <c r="H244" t="n">
        <v>0</v>
      </c>
      <c r="I244" t="n">
        <v>0</v>
      </c>
      <c r="J244" t="n">
        <v>0</v>
      </c>
      <c r="K244" t="n">
        <v>0</v>
      </c>
      <c r="L244" t="n">
        <v>0</v>
      </c>
      <c r="M244" t="n">
        <v>0</v>
      </c>
      <c r="N244" t="n">
        <v>0</v>
      </c>
      <c r="O244" t="n">
        <v>0</v>
      </c>
      <c r="P244" t="n">
        <v>0</v>
      </c>
      <c r="Q244" t="n">
        <v>0</v>
      </c>
      <c r="R244" s="2" t="inlineStr"/>
    </row>
    <row r="245" ht="15" customHeight="1">
      <c r="A245" t="inlineStr">
        <is>
          <t>A 47637-2025</t>
        </is>
      </c>
      <c r="B245" s="1" t="n">
        <v>45931.49753472222</v>
      </c>
      <c r="C245" s="1" t="n">
        <v>46087</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20356-2022</t>
        </is>
      </c>
      <c r="B246" s="1" t="n">
        <v>44699</v>
      </c>
      <c r="C246" s="1" t="n">
        <v>46087</v>
      </c>
      <c r="D246" t="inlineStr">
        <is>
          <t>GOTLANDS LÄN</t>
        </is>
      </c>
      <c r="E246" t="inlineStr">
        <is>
          <t>GOTLAND</t>
        </is>
      </c>
      <c r="F246" t="inlineStr">
        <is>
          <t>Övriga Aktiebolag</t>
        </is>
      </c>
      <c r="G246" t="n">
        <v>4.4</v>
      </c>
      <c r="H246" t="n">
        <v>0</v>
      </c>
      <c r="I246" t="n">
        <v>0</v>
      </c>
      <c r="J246" t="n">
        <v>0</v>
      </c>
      <c r="K246" t="n">
        <v>0</v>
      </c>
      <c r="L246" t="n">
        <v>0</v>
      </c>
      <c r="M246" t="n">
        <v>0</v>
      </c>
      <c r="N246" t="n">
        <v>0</v>
      </c>
      <c r="O246" t="n">
        <v>0</v>
      </c>
      <c r="P246" t="n">
        <v>0</v>
      </c>
      <c r="Q246" t="n">
        <v>0</v>
      </c>
      <c r="R246" s="2" t="inlineStr"/>
    </row>
    <row r="247" ht="15" customHeight="1">
      <c r="A247" t="inlineStr">
        <is>
          <t>A 24966-2023</t>
        </is>
      </c>
      <c r="B247" s="1" t="n">
        <v>45085</v>
      </c>
      <c r="C247" s="1" t="n">
        <v>46087</v>
      </c>
      <c r="D247" t="inlineStr">
        <is>
          <t>GOTLANDS LÄN</t>
        </is>
      </c>
      <c r="E247" t="inlineStr">
        <is>
          <t>GOTLAND</t>
        </is>
      </c>
      <c r="G247" t="n">
        <v>7</v>
      </c>
      <c r="H247" t="n">
        <v>0</v>
      </c>
      <c r="I247" t="n">
        <v>0</v>
      </c>
      <c r="J247" t="n">
        <v>0</v>
      </c>
      <c r="K247" t="n">
        <v>0</v>
      </c>
      <c r="L247" t="n">
        <v>0</v>
      </c>
      <c r="M247" t="n">
        <v>0</v>
      </c>
      <c r="N247" t="n">
        <v>0</v>
      </c>
      <c r="O247" t="n">
        <v>0</v>
      </c>
      <c r="P247" t="n">
        <v>0</v>
      </c>
      <c r="Q247" t="n">
        <v>0</v>
      </c>
      <c r="R247" s="2" t="inlineStr"/>
    </row>
    <row r="248" ht="15" customHeight="1">
      <c r="A248" t="inlineStr">
        <is>
          <t>A 7835-2024</t>
        </is>
      </c>
      <c r="B248" s="1" t="n">
        <v>45349.83138888889</v>
      </c>
      <c r="C248" s="1" t="n">
        <v>46087</v>
      </c>
      <c r="D248" t="inlineStr">
        <is>
          <t>GOTLANDS LÄN</t>
        </is>
      </c>
      <c r="E248" t="inlineStr">
        <is>
          <t>GOTLAND</t>
        </is>
      </c>
      <c r="G248" t="n">
        <v>3.8</v>
      </c>
      <c r="H248" t="n">
        <v>0</v>
      </c>
      <c r="I248" t="n">
        <v>0</v>
      </c>
      <c r="J248" t="n">
        <v>0</v>
      </c>
      <c r="K248" t="n">
        <v>0</v>
      </c>
      <c r="L248" t="n">
        <v>0</v>
      </c>
      <c r="M248" t="n">
        <v>0</v>
      </c>
      <c r="N248" t="n">
        <v>0</v>
      </c>
      <c r="O248" t="n">
        <v>0</v>
      </c>
      <c r="P248" t="n">
        <v>0</v>
      </c>
      <c r="Q248" t="n">
        <v>0</v>
      </c>
      <c r="R248" s="2" t="inlineStr"/>
    </row>
    <row r="249" ht="15" customHeight="1">
      <c r="A249" t="inlineStr">
        <is>
          <t>A 46189-2022</t>
        </is>
      </c>
      <c r="B249" s="1" t="n">
        <v>44847</v>
      </c>
      <c r="C249" s="1" t="n">
        <v>46087</v>
      </c>
      <c r="D249" t="inlineStr">
        <is>
          <t>GOTLANDS LÄN</t>
        </is>
      </c>
      <c r="E249" t="inlineStr">
        <is>
          <t>GOTLAND</t>
        </is>
      </c>
      <c r="G249" t="n">
        <v>0.4</v>
      </c>
      <c r="H249" t="n">
        <v>0</v>
      </c>
      <c r="I249" t="n">
        <v>0</v>
      </c>
      <c r="J249" t="n">
        <v>0</v>
      </c>
      <c r="K249" t="n">
        <v>0</v>
      </c>
      <c r="L249" t="n">
        <v>0</v>
      </c>
      <c r="M249" t="n">
        <v>0</v>
      </c>
      <c r="N249" t="n">
        <v>0</v>
      </c>
      <c r="O249" t="n">
        <v>0</v>
      </c>
      <c r="P249" t="n">
        <v>0</v>
      </c>
      <c r="Q249" t="n">
        <v>0</v>
      </c>
      <c r="R249" s="2" t="inlineStr"/>
    </row>
    <row r="250" ht="15" customHeight="1">
      <c r="A250" t="inlineStr">
        <is>
          <t>A 32378-2025</t>
        </is>
      </c>
      <c r="B250" s="1" t="n">
        <v>45837</v>
      </c>
      <c r="C250" s="1" t="n">
        <v>46087</v>
      </c>
      <c r="D250" t="inlineStr">
        <is>
          <t>GOTLANDS LÄN</t>
        </is>
      </c>
      <c r="E250" t="inlineStr">
        <is>
          <t>GOTLAND</t>
        </is>
      </c>
      <c r="G250" t="n">
        <v>4.1</v>
      </c>
      <c r="H250" t="n">
        <v>0</v>
      </c>
      <c r="I250" t="n">
        <v>0</v>
      </c>
      <c r="J250" t="n">
        <v>0</v>
      </c>
      <c r="K250" t="n">
        <v>0</v>
      </c>
      <c r="L250" t="n">
        <v>0</v>
      </c>
      <c r="M250" t="n">
        <v>0</v>
      </c>
      <c r="N250" t="n">
        <v>0</v>
      </c>
      <c r="O250" t="n">
        <v>0</v>
      </c>
      <c r="P250" t="n">
        <v>0</v>
      </c>
      <c r="Q250" t="n">
        <v>0</v>
      </c>
      <c r="R250" s="2" t="inlineStr"/>
    </row>
    <row r="251" ht="15" customHeight="1">
      <c r="A251" t="inlineStr">
        <is>
          <t>A 20794-2025</t>
        </is>
      </c>
      <c r="B251" s="1" t="n">
        <v>45776</v>
      </c>
      <c r="C251" s="1" t="n">
        <v>46087</v>
      </c>
      <c r="D251" t="inlineStr">
        <is>
          <t>GOTLANDS LÄN</t>
        </is>
      </c>
      <c r="E251" t="inlineStr">
        <is>
          <t>GOTLAND</t>
        </is>
      </c>
      <c r="G251" t="n">
        <v>6</v>
      </c>
      <c r="H251" t="n">
        <v>0</v>
      </c>
      <c r="I251" t="n">
        <v>0</v>
      </c>
      <c r="J251" t="n">
        <v>0</v>
      </c>
      <c r="K251" t="n">
        <v>0</v>
      </c>
      <c r="L251" t="n">
        <v>0</v>
      </c>
      <c r="M251" t="n">
        <v>0</v>
      </c>
      <c r="N251" t="n">
        <v>0</v>
      </c>
      <c r="O251" t="n">
        <v>0</v>
      </c>
      <c r="P251" t="n">
        <v>0</v>
      </c>
      <c r="Q251" t="n">
        <v>0</v>
      </c>
      <c r="R251" s="2" t="inlineStr"/>
    </row>
    <row r="252" ht="15" customHeight="1">
      <c r="A252" t="inlineStr">
        <is>
          <t>A 20805-2025</t>
        </is>
      </c>
      <c r="B252" s="1" t="n">
        <v>45776</v>
      </c>
      <c r="C252" s="1" t="n">
        <v>46087</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46087</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35550-2025</t>
        </is>
      </c>
      <c r="B254" s="1" t="n">
        <v>45856.49324074074</v>
      </c>
      <c r="C254" s="1" t="n">
        <v>46087</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21389-2025</t>
        </is>
      </c>
      <c r="B255" s="1" t="n">
        <v>45782</v>
      </c>
      <c r="C255" s="1" t="n">
        <v>46087</v>
      </c>
      <c r="D255" t="inlineStr">
        <is>
          <t>GOTLANDS LÄN</t>
        </is>
      </c>
      <c r="E255" t="inlineStr">
        <is>
          <t>GOTLAND</t>
        </is>
      </c>
      <c r="G255" t="n">
        <v>4.1</v>
      </c>
      <c r="H255" t="n">
        <v>0</v>
      </c>
      <c r="I255" t="n">
        <v>0</v>
      </c>
      <c r="J255" t="n">
        <v>0</v>
      </c>
      <c r="K255" t="n">
        <v>0</v>
      </c>
      <c r="L255" t="n">
        <v>0</v>
      </c>
      <c r="M255" t="n">
        <v>0</v>
      </c>
      <c r="N255" t="n">
        <v>0</v>
      </c>
      <c r="O255" t="n">
        <v>0</v>
      </c>
      <c r="P255" t="n">
        <v>0</v>
      </c>
      <c r="Q255" t="n">
        <v>0</v>
      </c>
      <c r="R255" s="2" t="inlineStr"/>
    </row>
    <row r="256" ht="15" customHeight="1">
      <c r="A256" t="inlineStr">
        <is>
          <t>A 49314-2024</t>
        </is>
      </c>
      <c r="B256" s="1" t="n">
        <v>45595.55893518519</v>
      </c>
      <c r="C256" s="1" t="n">
        <v>46087</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47578-2025</t>
        </is>
      </c>
      <c r="B257" s="1" t="n">
        <v>45931</v>
      </c>
      <c r="C257" s="1" t="n">
        <v>46087</v>
      </c>
      <c r="D257" t="inlineStr">
        <is>
          <t>GOTLANDS LÄN</t>
        </is>
      </c>
      <c r="E257" t="inlineStr">
        <is>
          <t>GOTLAND</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21651-2025</t>
        </is>
      </c>
      <c r="B258" s="1" t="n">
        <v>45783</v>
      </c>
      <c r="C258" s="1" t="n">
        <v>46087</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44919-2022</t>
        </is>
      </c>
      <c r="B259" s="1" t="n">
        <v>44841</v>
      </c>
      <c r="C259" s="1" t="n">
        <v>46087</v>
      </c>
      <c r="D259" t="inlineStr">
        <is>
          <t>GOTLANDS LÄN</t>
        </is>
      </c>
      <c r="E259" t="inlineStr">
        <is>
          <t>GOTLAND</t>
        </is>
      </c>
      <c r="G259" t="n">
        <v>2.2</v>
      </c>
      <c r="H259" t="n">
        <v>0</v>
      </c>
      <c r="I259" t="n">
        <v>0</v>
      </c>
      <c r="J259" t="n">
        <v>0</v>
      </c>
      <c r="K259" t="n">
        <v>0</v>
      </c>
      <c r="L259" t="n">
        <v>0</v>
      </c>
      <c r="M259" t="n">
        <v>0</v>
      </c>
      <c r="N259" t="n">
        <v>0</v>
      </c>
      <c r="O259" t="n">
        <v>0</v>
      </c>
      <c r="P259" t="n">
        <v>0</v>
      </c>
      <c r="Q259" t="n">
        <v>0</v>
      </c>
      <c r="R259" s="2" t="inlineStr"/>
    </row>
    <row r="260" ht="15" customHeight="1">
      <c r="A260" t="inlineStr">
        <is>
          <t>A 49724-2025</t>
        </is>
      </c>
      <c r="B260" s="1" t="n">
        <v>45939.83730324074</v>
      </c>
      <c r="C260" s="1" t="n">
        <v>46087</v>
      </c>
      <c r="D260" t="inlineStr">
        <is>
          <t>GOTLANDS LÄN</t>
        </is>
      </c>
      <c r="E260" t="inlineStr">
        <is>
          <t>GOTLAND</t>
        </is>
      </c>
      <c r="F260" t="inlineStr">
        <is>
          <t>Kyrkan</t>
        </is>
      </c>
      <c r="G260" t="n">
        <v>3.1</v>
      </c>
      <c r="H260" t="n">
        <v>0</v>
      </c>
      <c r="I260" t="n">
        <v>0</v>
      </c>
      <c r="J260" t="n">
        <v>0</v>
      </c>
      <c r="K260" t="n">
        <v>0</v>
      </c>
      <c r="L260" t="n">
        <v>0</v>
      </c>
      <c r="M260" t="n">
        <v>0</v>
      </c>
      <c r="N260" t="n">
        <v>0</v>
      </c>
      <c r="O260" t="n">
        <v>0</v>
      </c>
      <c r="P260" t="n">
        <v>0</v>
      </c>
      <c r="Q260" t="n">
        <v>0</v>
      </c>
      <c r="R260" s="2" t="inlineStr"/>
    </row>
    <row r="261" ht="15" customHeight="1">
      <c r="A261" t="inlineStr">
        <is>
          <t>A 49730-2025</t>
        </is>
      </c>
      <c r="B261" s="1" t="n">
        <v>45939.87613425926</v>
      </c>
      <c r="C261" s="1" t="n">
        <v>46087</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48503-2023</t>
        </is>
      </c>
      <c r="B262" s="1" t="n">
        <v>45207</v>
      </c>
      <c r="C262" s="1" t="n">
        <v>46087</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65901-2021</t>
        </is>
      </c>
      <c r="B263" s="1" t="n">
        <v>44516</v>
      </c>
      <c r="C263" s="1" t="n">
        <v>46087</v>
      </c>
      <c r="D263" t="inlineStr">
        <is>
          <t>GOTLANDS LÄN</t>
        </is>
      </c>
      <c r="E263" t="inlineStr">
        <is>
          <t>GOTLAND</t>
        </is>
      </c>
      <c r="G263" t="n">
        <v>4.9</v>
      </c>
      <c r="H263" t="n">
        <v>0</v>
      </c>
      <c r="I263" t="n">
        <v>0</v>
      </c>
      <c r="J263" t="n">
        <v>0</v>
      </c>
      <c r="K263" t="n">
        <v>0</v>
      </c>
      <c r="L263" t="n">
        <v>0</v>
      </c>
      <c r="M263" t="n">
        <v>0</v>
      </c>
      <c r="N263" t="n">
        <v>0</v>
      </c>
      <c r="O263" t="n">
        <v>0</v>
      </c>
      <c r="P263" t="n">
        <v>0</v>
      </c>
      <c r="Q263" t="n">
        <v>0</v>
      </c>
      <c r="R263" s="2" t="inlineStr"/>
    </row>
    <row r="264" ht="15" customHeight="1">
      <c r="A264" t="inlineStr">
        <is>
          <t>A 18993-2025</t>
        </is>
      </c>
      <c r="B264" s="1" t="n">
        <v>45764</v>
      </c>
      <c r="C264" s="1" t="n">
        <v>46087</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49690-2025</t>
        </is>
      </c>
      <c r="B265" s="1" t="n">
        <v>45939.66730324074</v>
      </c>
      <c r="C265" s="1" t="n">
        <v>46087</v>
      </c>
      <c r="D265" t="inlineStr">
        <is>
          <t>GOTLANDS LÄN</t>
        </is>
      </c>
      <c r="E265" t="inlineStr">
        <is>
          <t>GOTLAND</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33011-2025</t>
        </is>
      </c>
      <c r="B266" s="1" t="n">
        <v>45840</v>
      </c>
      <c r="C266" s="1" t="n">
        <v>46087</v>
      </c>
      <c r="D266" t="inlineStr">
        <is>
          <t>GOTLANDS LÄN</t>
        </is>
      </c>
      <c r="E266" t="inlineStr">
        <is>
          <t>GOTLAND</t>
        </is>
      </c>
      <c r="G266" t="n">
        <v>1.7</v>
      </c>
      <c r="H266" t="n">
        <v>0</v>
      </c>
      <c r="I266" t="n">
        <v>0</v>
      </c>
      <c r="J266" t="n">
        <v>0</v>
      </c>
      <c r="K266" t="n">
        <v>0</v>
      </c>
      <c r="L266" t="n">
        <v>0</v>
      </c>
      <c r="M266" t="n">
        <v>0</v>
      </c>
      <c r="N266" t="n">
        <v>0</v>
      </c>
      <c r="O266" t="n">
        <v>0</v>
      </c>
      <c r="P266" t="n">
        <v>0</v>
      </c>
      <c r="Q266" t="n">
        <v>0</v>
      </c>
      <c r="R266" s="2" t="inlineStr"/>
    </row>
    <row r="267" ht="15" customHeight="1">
      <c r="A267" t="inlineStr">
        <is>
          <t>A 50421-2025</t>
        </is>
      </c>
      <c r="B267" s="1" t="n">
        <v>45944.66049768519</v>
      </c>
      <c r="C267" s="1" t="n">
        <v>46087</v>
      </c>
      <c r="D267" t="inlineStr">
        <is>
          <t>GOTLANDS LÄN</t>
        </is>
      </c>
      <c r="E267" t="inlineStr">
        <is>
          <t>GOTLAND</t>
        </is>
      </c>
      <c r="G267" t="n">
        <v>3.9</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46087</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44649-2021</t>
        </is>
      </c>
      <c r="B269" s="1" t="n">
        <v>44437</v>
      </c>
      <c r="C269" s="1" t="n">
        <v>46087</v>
      </c>
      <c r="D269" t="inlineStr">
        <is>
          <t>GOTLANDS LÄN</t>
        </is>
      </c>
      <c r="E269" t="inlineStr">
        <is>
          <t>GOTLAND</t>
        </is>
      </c>
      <c r="G269" t="n">
        <v>8.1</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46087</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46087</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50431-2025</t>
        </is>
      </c>
      <c r="B272" s="1" t="n">
        <v>45944.68453703704</v>
      </c>
      <c r="C272" s="1" t="n">
        <v>46087</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46087</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35142-2025</t>
        </is>
      </c>
      <c r="B274" s="1" t="n">
        <v>45852.65532407408</v>
      </c>
      <c r="C274" s="1" t="n">
        <v>46087</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50928-2025</t>
        </is>
      </c>
      <c r="B275" s="1" t="n">
        <v>45946.67896990741</v>
      </c>
      <c r="C275" s="1" t="n">
        <v>46087</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17682-2024</t>
        </is>
      </c>
      <c r="B276" s="1" t="n">
        <v>45418.42966435185</v>
      </c>
      <c r="C276" s="1" t="n">
        <v>46087</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57522-2022</t>
        </is>
      </c>
      <c r="B277" s="1" t="n">
        <v>44896</v>
      </c>
      <c r="C277" s="1" t="n">
        <v>46087</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39819-2025</t>
        </is>
      </c>
      <c r="B278" s="1" t="n">
        <v>45891.53418981482</v>
      </c>
      <c r="C278" s="1" t="n">
        <v>46087</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27593-2023</t>
        </is>
      </c>
      <c r="B279" s="1" t="n">
        <v>45097</v>
      </c>
      <c r="C279" s="1" t="n">
        <v>46087</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39814-2025</t>
        </is>
      </c>
      <c r="B280" s="1" t="n">
        <v>45891.52694444444</v>
      </c>
      <c r="C280" s="1" t="n">
        <v>46087</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46087</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51262-2025</t>
        </is>
      </c>
      <c r="B282" s="1" t="n">
        <v>45949.49872685185</v>
      </c>
      <c r="C282" s="1" t="n">
        <v>46087</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46087</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46087</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40103-2025</t>
        </is>
      </c>
      <c r="B285" s="1" t="n">
        <v>45894.4880324074</v>
      </c>
      <c r="C285" s="1" t="n">
        <v>46087</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46087</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40499-2025</t>
        </is>
      </c>
      <c r="B287" s="1" t="n">
        <v>45896.32517361111</v>
      </c>
      <c r="C287" s="1" t="n">
        <v>46087</v>
      </c>
      <c r="D287" t="inlineStr">
        <is>
          <t>GOTLANDS LÄN</t>
        </is>
      </c>
      <c r="E287" t="inlineStr">
        <is>
          <t>GOTLAND</t>
        </is>
      </c>
      <c r="G287" t="n">
        <v>2.6</v>
      </c>
      <c r="H287" t="n">
        <v>0</v>
      </c>
      <c r="I287" t="n">
        <v>0</v>
      </c>
      <c r="J287" t="n">
        <v>0</v>
      </c>
      <c r="K287" t="n">
        <v>0</v>
      </c>
      <c r="L287" t="n">
        <v>0</v>
      </c>
      <c r="M287" t="n">
        <v>0</v>
      </c>
      <c r="N287" t="n">
        <v>0</v>
      </c>
      <c r="O287" t="n">
        <v>0</v>
      </c>
      <c r="P287" t="n">
        <v>0</v>
      </c>
      <c r="Q287" t="n">
        <v>0</v>
      </c>
      <c r="R287" s="2" t="inlineStr"/>
    </row>
    <row r="288" ht="15" customHeight="1">
      <c r="A288" t="inlineStr">
        <is>
          <t>A 63516-2023</t>
        </is>
      </c>
      <c r="B288" s="1" t="n">
        <v>45274</v>
      </c>
      <c r="C288" s="1" t="n">
        <v>46087</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46087</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24001-2021</t>
        </is>
      </c>
      <c r="B290" s="1" t="n">
        <v>44335</v>
      </c>
      <c r="C290" s="1" t="n">
        <v>46087</v>
      </c>
      <c r="D290" t="inlineStr">
        <is>
          <t>GOTLANDS LÄN</t>
        </is>
      </c>
      <c r="E290" t="inlineStr">
        <is>
          <t>GOTLAND</t>
        </is>
      </c>
      <c r="G290" t="n">
        <v>3.4</v>
      </c>
      <c r="H290" t="n">
        <v>0</v>
      </c>
      <c r="I290" t="n">
        <v>0</v>
      </c>
      <c r="J290" t="n">
        <v>0</v>
      </c>
      <c r="K290" t="n">
        <v>0</v>
      </c>
      <c r="L290" t="n">
        <v>0</v>
      </c>
      <c r="M290" t="n">
        <v>0</v>
      </c>
      <c r="N290" t="n">
        <v>0</v>
      </c>
      <c r="O290" t="n">
        <v>0</v>
      </c>
      <c r="P290" t="n">
        <v>0</v>
      </c>
      <c r="Q290" t="n">
        <v>0</v>
      </c>
      <c r="R290" s="2" t="inlineStr"/>
    </row>
    <row r="291" ht="15" customHeight="1">
      <c r="A291" t="inlineStr">
        <is>
          <t>A 52249-2025</t>
        </is>
      </c>
      <c r="B291" s="1" t="n">
        <v>45953.48637731482</v>
      </c>
      <c r="C291" s="1" t="n">
        <v>46087</v>
      </c>
      <c r="D291" t="inlineStr">
        <is>
          <t>GOTLANDS LÄN</t>
        </is>
      </c>
      <c r="E291" t="inlineStr">
        <is>
          <t>GOTLAND</t>
        </is>
      </c>
      <c r="F291" t="inlineStr">
        <is>
          <t>Övriga Aktiebolag</t>
        </is>
      </c>
      <c r="G291" t="n">
        <v>1</v>
      </c>
      <c r="H291" t="n">
        <v>0</v>
      </c>
      <c r="I291" t="n">
        <v>0</v>
      </c>
      <c r="J291" t="n">
        <v>0</v>
      </c>
      <c r="K291" t="n">
        <v>0</v>
      </c>
      <c r="L291" t="n">
        <v>0</v>
      </c>
      <c r="M291" t="n">
        <v>0</v>
      </c>
      <c r="N291" t="n">
        <v>0</v>
      </c>
      <c r="O291" t="n">
        <v>0</v>
      </c>
      <c r="P291" t="n">
        <v>0</v>
      </c>
      <c r="Q291" t="n">
        <v>0</v>
      </c>
      <c r="R291" s="2" t="inlineStr"/>
    </row>
    <row r="292" ht="15" customHeight="1">
      <c r="A292" t="inlineStr">
        <is>
          <t>A 39278-2025</t>
        </is>
      </c>
      <c r="B292" s="1" t="n">
        <v>45889</v>
      </c>
      <c r="C292" s="1" t="n">
        <v>46087</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46087</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52637-2025</t>
        </is>
      </c>
      <c r="B294" s="1" t="n">
        <v>45954.75099537037</v>
      </c>
      <c r="C294" s="1" t="n">
        <v>46087</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41435-2025</t>
        </is>
      </c>
      <c r="B295" s="1" t="n">
        <v>45901.39974537037</v>
      </c>
      <c r="C295" s="1" t="n">
        <v>46087</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1681-2023</t>
        </is>
      </c>
      <c r="B296" s="1" t="n">
        <v>44938.39715277778</v>
      </c>
      <c r="C296" s="1" t="n">
        <v>46087</v>
      </c>
      <c r="D296" t="inlineStr">
        <is>
          <t>GOTLANDS LÄN</t>
        </is>
      </c>
      <c r="E296" t="inlineStr">
        <is>
          <t>GOTLAND</t>
        </is>
      </c>
      <c r="G296" t="n">
        <v>2.4</v>
      </c>
      <c r="H296" t="n">
        <v>0</v>
      </c>
      <c r="I296" t="n">
        <v>0</v>
      </c>
      <c r="J296" t="n">
        <v>0</v>
      </c>
      <c r="K296" t="n">
        <v>0</v>
      </c>
      <c r="L296" t="n">
        <v>0</v>
      </c>
      <c r="M296" t="n">
        <v>0</v>
      </c>
      <c r="N296" t="n">
        <v>0</v>
      </c>
      <c r="O296" t="n">
        <v>0</v>
      </c>
      <c r="P296" t="n">
        <v>0</v>
      </c>
      <c r="Q296" t="n">
        <v>0</v>
      </c>
      <c r="R296" s="2" t="inlineStr"/>
    </row>
    <row r="297" ht="15" customHeight="1">
      <c r="A297" t="inlineStr">
        <is>
          <t>A 57356-2023</t>
        </is>
      </c>
      <c r="B297" s="1" t="n">
        <v>45240</v>
      </c>
      <c r="C297" s="1" t="n">
        <v>46087</v>
      </c>
      <c r="D297" t="inlineStr">
        <is>
          <t>GOTLANDS LÄN</t>
        </is>
      </c>
      <c r="E297" t="inlineStr">
        <is>
          <t>GOTLAND</t>
        </is>
      </c>
      <c r="G297" t="n">
        <v>6.4</v>
      </c>
      <c r="H297" t="n">
        <v>0</v>
      </c>
      <c r="I297" t="n">
        <v>0</v>
      </c>
      <c r="J297" t="n">
        <v>0</v>
      </c>
      <c r="K297" t="n">
        <v>0</v>
      </c>
      <c r="L297" t="n">
        <v>0</v>
      </c>
      <c r="M297" t="n">
        <v>0</v>
      </c>
      <c r="N297" t="n">
        <v>0</v>
      </c>
      <c r="O297" t="n">
        <v>0</v>
      </c>
      <c r="P297" t="n">
        <v>0</v>
      </c>
      <c r="Q297" t="n">
        <v>0</v>
      </c>
      <c r="R297" s="2" t="inlineStr"/>
    </row>
    <row r="298" ht="15" customHeight="1">
      <c r="A298" t="inlineStr">
        <is>
          <t>A 10656-2024</t>
        </is>
      </c>
      <c r="B298" s="1" t="n">
        <v>45368</v>
      </c>
      <c r="C298" s="1" t="n">
        <v>46087</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53569-2025</t>
        </is>
      </c>
      <c r="B299" s="1" t="n">
        <v>45960.41155092593</v>
      </c>
      <c r="C299" s="1" t="n">
        <v>46087</v>
      </c>
      <c r="D299" t="inlineStr">
        <is>
          <t>GOTLANDS LÄN</t>
        </is>
      </c>
      <c r="E299" t="inlineStr">
        <is>
          <t>GOTLAND</t>
        </is>
      </c>
      <c r="F299" t="inlineStr">
        <is>
          <t>Övriga Aktiebolag</t>
        </is>
      </c>
      <c r="G299" t="n">
        <v>11.3</v>
      </c>
      <c r="H299" t="n">
        <v>0</v>
      </c>
      <c r="I299" t="n">
        <v>0</v>
      </c>
      <c r="J299" t="n">
        <v>0</v>
      </c>
      <c r="K299" t="n">
        <v>0</v>
      </c>
      <c r="L299" t="n">
        <v>0</v>
      </c>
      <c r="M299" t="n">
        <v>0</v>
      </c>
      <c r="N299" t="n">
        <v>0</v>
      </c>
      <c r="O299" t="n">
        <v>0</v>
      </c>
      <c r="P299" t="n">
        <v>0</v>
      </c>
      <c r="Q299" t="n">
        <v>0</v>
      </c>
      <c r="R299" s="2" t="inlineStr"/>
    </row>
    <row r="300" ht="15" customHeight="1">
      <c r="A300" t="inlineStr">
        <is>
          <t>A 41551-2025</t>
        </is>
      </c>
      <c r="B300" s="1" t="n">
        <v>45901.58854166666</v>
      </c>
      <c r="C300" s="1" t="n">
        <v>46087</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53577-2025</t>
        </is>
      </c>
      <c r="B301" s="1" t="n">
        <v>45960.42224537037</v>
      </c>
      <c r="C301" s="1" t="n">
        <v>46087</v>
      </c>
      <c r="D301" t="inlineStr">
        <is>
          <t>GOTLANDS LÄN</t>
        </is>
      </c>
      <c r="E301" t="inlineStr">
        <is>
          <t>GOTLAND</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6099-2024</t>
        </is>
      </c>
      <c r="B302" s="1" t="n">
        <v>45337</v>
      </c>
      <c r="C302" s="1" t="n">
        <v>46087</v>
      </c>
      <c r="D302" t="inlineStr">
        <is>
          <t>GOTLANDS LÄN</t>
        </is>
      </c>
      <c r="E302" t="inlineStr">
        <is>
          <t>GOTLAND</t>
        </is>
      </c>
      <c r="G302" t="n">
        <v>12.6</v>
      </c>
      <c r="H302" t="n">
        <v>0</v>
      </c>
      <c r="I302" t="n">
        <v>0</v>
      </c>
      <c r="J302" t="n">
        <v>0</v>
      </c>
      <c r="K302" t="n">
        <v>0</v>
      </c>
      <c r="L302" t="n">
        <v>0</v>
      </c>
      <c r="M302" t="n">
        <v>0</v>
      </c>
      <c r="N302" t="n">
        <v>0</v>
      </c>
      <c r="O302" t="n">
        <v>0</v>
      </c>
      <c r="P302" t="n">
        <v>0</v>
      </c>
      <c r="Q302" t="n">
        <v>0</v>
      </c>
      <c r="R302" s="2" t="inlineStr"/>
    </row>
    <row r="303" ht="15" customHeight="1">
      <c r="A303" t="inlineStr">
        <is>
          <t>A 1273-2023</t>
        </is>
      </c>
      <c r="B303" s="1" t="n">
        <v>44936</v>
      </c>
      <c r="C303" s="1" t="n">
        <v>46087</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28506-2023</t>
        </is>
      </c>
      <c r="B304" s="1" t="n">
        <v>45103</v>
      </c>
      <c r="C304" s="1" t="n">
        <v>46087</v>
      </c>
      <c r="D304" t="inlineStr">
        <is>
          <t>GOTLANDS LÄN</t>
        </is>
      </c>
      <c r="E304" t="inlineStr">
        <is>
          <t>GOTLAND</t>
        </is>
      </c>
      <c r="G304" t="n">
        <v>3.2</v>
      </c>
      <c r="H304" t="n">
        <v>0</v>
      </c>
      <c r="I304" t="n">
        <v>0</v>
      </c>
      <c r="J304" t="n">
        <v>0</v>
      </c>
      <c r="K304" t="n">
        <v>0</v>
      </c>
      <c r="L304" t="n">
        <v>0</v>
      </c>
      <c r="M304" t="n">
        <v>0</v>
      </c>
      <c r="N304" t="n">
        <v>0</v>
      </c>
      <c r="O304" t="n">
        <v>0</v>
      </c>
      <c r="P304" t="n">
        <v>0</v>
      </c>
      <c r="Q304" t="n">
        <v>0</v>
      </c>
      <c r="R304" s="2" t="inlineStr"/>
    </row>
    <row r="305" ht="15" customHeight="1">
      <c r="A305" t="inlineStr">
        <is>
          <t>A 21420-2024</t>
        </is>
      </c>
      <c r="B305" s="1" t="n">
        <v>45441.38293981482</v>
      </c>
      <c r="C305" s="1" t="n">
        <v>46087</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58780-2024</t>
        </is>
      </c>
      <c r="B306" s="1" t="n">
        <v>45635.84113425926</v>
      </c>
      <c r="C306" s="1" t="n">
        <v>46087</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23188-2025</t>
        </is>
      </c>
      <c r="B307" s="1" t="n">
        <v>45791</v>
      </c>
      <c r="C307" s="1" t="n">
        <v>46087</v>
      </c>
      <c r="D307" t="inlineStr">
        <is>
          <t>GOTLANDS LÄN</t>
        </is>
      </c>
      <c r="E307" t="inlineStr">
        <is>
          <t>GOTLAND</t>
        </is>
      </c>
      <c r="G307" t="n">
        <v>6.2</v>
      </c>
      <c r="H307" t="n">
        <v>0</v>
      </c>
      <c r="I307" t="n">
        <v>0</v>
      </c>
      <c r="J307" t="n">
        <v>0</v>
      </c>
      <c r="K307" t="n">
        <v>0</v>
      </c>
      <c r="L307" t="n">
        <v>0</v>
      </c>
      <c r="M307" t="n">
        <v>0</v>
      </c>
      <c r="N307" t="n">
        <v>0</v>
      </c>
      <c r="O307" t="n">
        <v>0</v>
      </c>
      <c r="P307" t="n">
        <v>0</v>
      </c>
      <c r="Q307" t="n">
        <v>0</v>
      </c>
      <c r="R307" s="2" t="inlineStr"/>
    </row>
    <row r="308" ht="15" customHeight="1">
      <c r="A308" t="inlineStr">
        <is>
          <t>A 45692-2023</t>
        </is>
      </c>
      <c r="B308" s="1" t="n">
        <v>45195</v>
      </c>
      <c r="C308" s="1" t="n">
        <v>46087</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33876-2024</t>
        </is>
      </c>
      <c r="B309" s="1" t="n">
        <v>45521.87988425926</v>
      </c>
      <c r="C309" s="1" t="n">
        <v>46087</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42608-2025</t>
        </is>
      </c>
      <c r="B310" s="1" t="n">
        <v>45905</v>
      </c>
      <c r="C310" s="1" t="n">
        <v>46087</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28285-2024</t>
        </is>
      </c>
      <c r="B311" s="1" t="n">
        <v>45477</v>
      </c>
      <c r="C311" s="1" t="n">
        <v>46087</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61100-2022</t>
        </is>
      </c>
      <c r="B312" s="1" t="n">
        <v>44915</v>
      </c>
      <c r="C312" s="1" t="n">
        <v>46087</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61682-2024</t>
        </is>
      </c>
      <c r="B313" s="1" t="n">
        <v>45647.48824074074</v>
      </c>
      <c r="C313" s="1" t="n">
        <v>46087</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16373-2025</t>
        </is>
      </c>
      <c r="B314" s="1" t="n">
        <v>45751</v>
      </c>
      <c r="C314" s="1" t="n">
        <v>46087</v>
      </c>
      <c r="D314" t="inlineStr">
        <is>
          <t>GOTLANDS LÄN</t>
        </is>
      </c>
      <c r="E314" t="inlineStr">
        <is>
          <t>GOTLAND</t>
        </is>
      </c>
      <c r="G314" t="n">
        <v>1.5</v>
      </c>
      <c r="H314" t="n">
        <v>0</v>
      </c>
      <c r="I314" t="n">
        <v>0</v>
      </c>
      <c r="J314" t="n">
        <v>0</v>
      </c>
      <c r="K314" t="n">
        <v>0</v>
      </c>
      <c r="L314" t="n">
        <v>0</v>
      </c>
      <c r="M314" t="n">
        <v>0</v>
      </c>
      <c r="N314" t="n">
        <v>0</v>
      </c>
      <c r="O314" t="n">
        <v>0</v>
      </c>
      <c r="P314" t="n">
        <v>0</v>
      </c>
      <c r="Q314" t="n">
        <v>0</v>
      </c>
      <c r="R314" s="2" t="inlineStr"/>
    </row>
    <row r="315" ht="15" customHeight="1">
      <c r="A315" t="inlineStr">
        <is>
          <t>A 23473-2025</t>
        </is>
      </c>
      <c r="B315" s="1" t="n">
        <v>45792</v>
      </c>
      <c r="C315" s="1" t="n">
        <v>46087</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10158-2025</t>
        </is>
      </c>
      <c r="B316" s="1" t="n">
        <v>45719</v>
      </c>
      <c r="C316" s="1" t="n">
        <v>46087</v>
      </c>
      <c r="D316" t="inlineStr">
        <is>
          <t>GOTLANDS LÄN</t>
        </is>
      </c>
      <c r="E316" t="inlineStr">
        <is>
          <t>GOTLAND</t>
        </is>
      </c>
      <c r="G316" t="n">
        <v>3.5</v>
      </c>
      <c r="H316" t="n">
        <v>0</v>
      </c>
      <c r="I316" t="n">
        <v>0</v>
      </c>
      <c r="J316" t="n">
        <v>0</v>
      </c>
      <c r="K316" t="n">
        <v>0</v>
      </c>
      <c r="L316" t="n">
        <v>0</v>
      </c>
      <c r="M316" t="n">
        <v>0</v>
      </c>
      <c r="N316" t="n">
        <v>0</v>
      </c>
      <c r="O316" t="n">
        <v>0</v>
      </c>
      <c r="P316" t="n">
        <v>0</v>
      </c>
      <c r="Q316" t="n">
        <v>0</v>
      </c>
      <c r="R316" s="2" t="inlineStr"/>
    </row>
    <row r="317" ht="15" customHeight="1">
      <c r="A317" t="inlineStr">
        <is>
          <t>A 23856-2025</t>
        </is>
      </c>
      <c r="B317" s="1" t="n">
        <v>45793</v>
      </c>
      <c r="C317" s="1" t="n">
        <v>46087</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46087</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15073-2025</t>
        </is>
      </c>
      <c r="B319" s="1" t="n">
        <v>45743</v>
      </c>
      <c r="C319" s="1" t="n">
        <v>46087</v>
      </c>
      <c r="D319" t="inlineStr">
        <is>
          <t>GOTLANDS LÄN</t>
        </is>
      </c>
      <c r="E319" t="inlineStr">
        <is>
          <t>GOTLAND</t>
        </is>
      </c>
      <c r="G319" t="n">
        <v>12.1</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46087</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43951-2025</t>
        </is>
      </c>
      <c r="B321" s="1" t="n">
        <v>45915.38119212963</v>
      </c>
      <c r="C321" s="1" t="n">
        <v>46087</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44405-2025</t>
        </is>
      </c>
      <c r="B322" s="1" t="n">
        <v>45916.52405092592</v>
      </c>
      <c r="C322" s="1" t="n">
        <v>46087</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6749-2025</t>
        </is>
      </c>
      <c r="B323" s="1" t="n">
        <v>45700</v>
      </c>
      <c r="C323" s="1" t="n">
        <v>46087</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58388-2022</t>
        </is>
      </c>
      <c r="B324" s="1" t="n">
        <v>44894</v>
      </c>
      <c r="C324" s="1" t="n">
        <v>46087</v>
      </c>
      <c r="D324" t="inlineStr">
        <is>
          <t>GOTLANDS LÄN</t>
        </is>
      </c>
      <c r="E324" t="inlineStr">
        <is>
          <t>GOTLAND</t>
        </is>
      </c>
      <c r="F324" t="inlineStr">
        <is>
          <t>Övriga statliga verk och myndigheter</t>
        </is>
      </c>
      <c r="G324" t="n">
        <v>3.1</v>
      </c>
      <c r="H324" t="n">
        <v>0</v>
      </c>
      <c r="I324" t="n">
        <v>0</v>
      </c>
      <c r="J324" t="n">
        <v>0</v>
      </c>
      <c r="K324" t="n">
        <v>0</v>
      </c>
      <c r="L324" t="n">
        <v>0</v>
      </c>
      <c r="M324" t="n">
        <v>0</v>
      </c>
      <c r="N324" t="n">
        <v>0</v>
      </c>
      <c r="O324" t="n">
        <v>0</v>
      </c>
      <c r="P324" t="n">
        <v>0</v>
      </c>
      <c r="Q324" t="n">
        <v>0</v>
      </c>
      <c r="R324" s="2" t="inlineStr"/>
    </row>
    <row r="325" ht="15" customHeight="1">
      <c r="A325" t="inlineStr">
        <is>
          <t>A 56799-2025</t>
        </is>
      </c>
      <c r="B325" s="1" t="n">
        <v>45978.43392361111</v>
      </c>
      <c r="C325" s="1" t="n">
        <v>46087</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21792-2024</t>
        </is>
      </c>
      <c r="B326" s="1" t="n">
        <v>45442.64326388889</v>
      </c>
      <c r="C326" s="1" t="n">
        <v>46087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23698-2025</t>
        </is>
      </c>
      <c r="B327" s="1" t="n">
        <v>45793</v>
      </c>
      <c r="C327" s="1" t="n">
        <v>46087</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56688-2025</t>
        </is>
      </c>
      <c r="B328" s="1" t="n">
        <v>45975.84331018518</v>
      </c>
      <c r="C328" s="1" t="n">
        <v>46087</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17688-2024</t>
        </is>
      </c>
      <c r="B329" s="1" t="n">
        <v>45418.43575231481</v>
      </c>
      <c r="C329" s="1" t="n">
        <v>46087</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7837-2024</t>
        </is>
      </c>
      <c r="B330" s="1" t="n">
        <v>45349.83787037037</v>
      </c>
      <c r="C330" s="1" t="n">
        <v>46087</v>
      </c>
      <c r="D330" t="inlineStr">
        <is>
          <t>GOTLANDS LÄN</t>
        </is>
      </c>
      <c r="E330" t="inlineStr">
        <is>
          <t>GOTLAND</t>
        </is>
      </c>
      <c r="G330" t="n">
        <v>5</v>
      </c>
      <c r="H330" t="n">
        <v>0</v>
      </c>
      <c r="I330" t="n">
        <v>0</v>
      </c>
      <c r="J330" t="n">
        <v>0</v>
      </c>
      <c r="K330" t="n">
        <v>0</v>
      </c>
      <c r="L330" t="n">
        <v>0</v>
      </c>
      <c r="M330" t="n">
        <v>0</v>
      </c>
      <c r="N330" t="n">
        <v>0</v>
      </c>
      <c r="O330" t="n">
        <v>0</v>
      </c>
      <c r="P330" t="n">
        <v>0</v>
      </c>
      <c r="Q330" t="n">
        <v>0</v>
      </c>
      <c r="R330" s="2" t="inlineStr"/>
    </row>
    <row r="331" ht="15" customHeight="1">
      <c r="A331" t="inlineStr">
        <is>
          <t>A 26391-2025</t>
        </is>
      </c>
      <c r="B331" s="1" t="n">
        <v>45806</v>
      </c>
      <c r="C331" s="1" t="n">
        <v>46087</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4568-2025</t>
        </is>
      </c>
      <c r="B332" s="1" t="n">
        <v>45687</v>
      </c>
      <c r="C332" s="1" t="n">
        <v>46087</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46836-2025</t>
        </is>
      </c>
      <c r="B333" s="1" t="n">
        <v>45928.31511574074</v>
      </c>
      <c r="C333" s="1" t="n">
        <v>46087</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35512-2023</t>
        </is>
      </c>
      <c r="B334" s="1" t="n">
        <v>45147.25623842593</v>
      </c>
      <c r="C334" s="1" t="n">
        <v>46087</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5905-2024</t>
        </is>
      </c>
      <c r="B335" s="1" t="n">
        <v>45335.88993055555</v>
      </c>
      <c r="C335" s="1" t="n">
        <v>46087</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5462-2025</t>
        </is>
      </c>
      <c r="B336" s="1" t="n">
        <v>45693.29331018519</v>
      </c>
      <c r="C336" s="1" t="n">
        <v>46087</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1291-2023</t>
        </is>
      </c>
      <c r="B337" s="1" t="n">
        <v>44936.47561342592</v>
      </c>
      <c r="C337" s="1" t="n">
        <v>46087</v>
      </c>
      <c r="D337" t="inlineStr">
        <is>
          <t>GOTLANDS LÄN</t>
        </is>
      </c>
      <c r="E337" t="inlineStr">
        <is>
          <t>GOTLAND</t>
        </is>
      </c>
      <c r="G337" t="n">
        <v>7.4</v>
      </c>
      <c r="H337" t="n">
        <v>0</v>
      </c>
      <c r="I337" t="n">
        <v>0</v>
      </c>
      <c r="J337" t="n">
        <v>0</v>
      </c>
      <c r="K337" t="n">
        <v>0</v>
      </c>
      <c r="L337" t="n">
        <v>0</v>
      </c>
      <c r="M337" t="n">
        <v>0</v>
      </c>
      <c r="N337" t="n">
        <v>0</v>
      </c>
      <c r="O337" t="n">
        <v>0</v>
      </c>
      <c r="P337" t="n">
        <v>0</v>
      </c>
      <c r="Q337" t="n">
        <v>0</v>
      </c>
      <c r="R337" s="2" t="inlineStr"/>
    </row>
    <row r="338" ht="15" customHeight="1">
      <c r="A338" t="inlineStr">
        <is>
          <t>A 59197-2025</t>
        </is>
      </c>
      <c r="B338" s="1" t="n">
        <v>45988.59846064815</v>
      </c>
      <c r="C338" s="1" t="n">
        <v>46087</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57652-2023</t>
        </is>
      </c>
      <c r="B339" s="1" t="n">
        <v>45246</v>
      </c>
      <c r="C339" s="1" t="n">
        <v>46087</v>
      </c>
      <c r="D339" t="inlineStr">
        <is>
          <t>GOTLANDS LÄN</t>
        </is>
      </c>
      <c r="E339" t="inlineStr">
        <is>
          <t>GOTLAND</t>
        </is>
      </c>
      <c r="G339" t="n">
        <v>7.2</v>
      </c>
      <c r="H339" t="n">
        <v>0</v>
      </c>
      <c r="I339" t="n">
        <v>0</v>
      </c>
      <c r="J339" t="n">
        <v>0</v>
      </c>
      <c r="K339" t="n">
        <v>0</v>
      </c>
      <c r="L339" t="n">
        <v>0</v>
      </c>
      <c r="M339" t="n">
        <v>0</v>
      </c>
      <c r="N339" t="n">
        <v>0</v>
      </c>
      <c r="O339" t="n">
        <v>0</v>
      </c>
      <c r="P339" t="n">
        <v>0</v>
      </c>
      <c r="Q339" t="n">
        <v>0</v>
      </c>
      <c r="R339" s="2" t="inlineStr"/>
    </row>
    <row r="340" ht="15" customHeight="1">
      <c r="A340" t="inlineStr">
        <is>
          <t>A 49315-2024</t>
        </is>
      </c>
      <c r="B340" s="1" t="n">
        <v>45595</v>
      </c>
      <c r="C340" s="1" t="n">
        <v>46087</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45106-2024</t>
        </is>
      </c>
      <c r="B341" s="1" t="n">
        <v>45575</v>
      </c>
      <c r="C341" s="1" t="n">
        <v>46087</v>
      </c>
      <c r="D341" t="inlineStr">
        <is>
          <t>GOTLANDS LÄN</t>
        </is>
      </c>
      <c r="E341" t="inlineStr">
        <is>
          <t>GOTLAND</t>
        </is>
      </c>
      <c r="G341" t="n">
        <v>10</v>
      </c>
      <c r="H341" t="n">
        <v>0</v>
      </c>
      <c r="I341" t="n">
        <v>0</v>
      </c>
      <c r="J341" t="n">
        <v>0</v>
      </c>
      <c r="K341" t="n">
        <v>0</v>
      </c>
      <c r="L341" t="n">
        <v>0</v>
      </c>
      <c r="M341" t="n">
        <v>0</v>
      </c>
      <c r="N341" t="n">
        <v>0</v>
      </c>
      <c r="O341" t="n">
        <v>0</v>
      </c>
      <c r="P341" t="n">
        <v>0</v>
      </c>
      <c r="Q341" t="n">
        <v>0</v>
      </c>
      <c r="R341" s="2" t="inlineStr"/>
    </row>
    <row r="342" ht="15" customHeight="1">
      <c r="A342" t="inlineStr">
        <is>
          <t>A 45112-2024</t>
        </is>
      </c>
      <c r="B342" s="1" t="n">
        <v>45575</v>
      </c>
      <c r="C342" s="1" t="n">
        <v>46087</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36319-2025</t>
        </is>
      </c>
      <c r="B343" s="1" t="n">
        <v>45868</v>
      </c>
      <c r="C343" s="1" t="n">
        <v>46087</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25796-2025</t>
        </is>
      </c>
      <c r="B344" s="1" t="n">
        <v>45804.39543981481</v>
      </c>
      <c r="C344" s="1" t="n">
        <v>46087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2676-2023</t>
        </is>
      </c>
      <c r="B345" s="1" t="n">
        <v>44944</v>
      </c>
      <c r="C345" s="1" t="n">
        <v>46087</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3150-2025</t>
        </is>
      </c>
      <c r="B346" s="1" t="n">
        <v>45679.28974537037</v>
      </c>
      <c r="C346" s="1" t="n">
        <v>46087</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8484-2025</t>
        </is>
      </c>
      <c r="B347" s="1" t="n">
        <v>45709</v>
      </c>
      <c r="C347" s="1" t="n">
        <v>46087</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7635-2025</t>
        </is>
      </c>
      <c r="B348" s="1" t="n">
        <v>45705</v>
      </c>
      <c r="C348" s="1" t="n">
        <v>46087</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46087</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46087</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20356-2022</t>
        </is>
      </c>
      <c r="B351" s="1" t="n">
        <v>44699</v>
      </c>
      <c r="C351" s="1" t="n">
        <v>46087</v>
      </c>
      <c r="D351" t="inlineStr">
        <is>
          <t>GOTLANDS LÄN</t>
        </is>
      </c>
      <c r="E351" t="inlineStr">
        <is>
          <t>GOTLAND</t>
        </is>
      </c>
      <c r="F351" t="inlineStr">
        <is>
          <t>Övriga Aktiebolag</t>
        </is>
      </c>
      <c r="G351" t="n">
        <v>4.4</v>
      </c>
      <c r="H351" t="n">
        <v>0</v>
      </c>
      <c r="I351" t="n">
        <v>0</v>
      </c>
      <c r="J351" t="n">
        <v>0</v>
      </c>
      <c r="K351" t="n">
        <v>0</v>
      </c>
      <c r="L351" t="n">
        <v>0</v>
      </c>
      <c r="M351" t="n">
        <v>0</v>
      </c>
      <c r="N351" t="n">
        <v>0</v>
      </c>
      <c r="O351" t="n">
        <v>0</v>
      </c>
      <c r="P351" t="n">
        <v>0</v>
      </c>
      <c r="Q351" t="n">
        <v>0</v>
      </c>
      <c r="R351" s="2" t="inlineStr"/>
    </row>
    <row r="352" ht="15" customHeight="1">
      <c r="A352" t="inlineStr">
        <is>
          <t>A 48734-2022</t>
        </is>
      </c>
      <c r="B352" s="1" t="n">
        <v>44855</v>
      </c>
      <c r="C352" s="1" t="n">
        <v>46087</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14141-2024</t>
        </is>
      </c>
      <c r="B353" s="1" t="n">
        <v>45392.85193287037</v>
      </c>
      <c r="C353" s="1" t="n">
        <v>46087</v>
      </c>
      <c r="D353" t="inlineStr">
        <is>
          <t>GOTLANDS LÄN</t>
        </is>
      </c>
      <c r="E353" t="inlineStr">
        <is>
          <t>GOTLAND</t>
        </is>
      </c>
      <c r="G353" t="n">
        <v>5.3</v>
      </c>
      <c r="H353" t="n">
        <v>0</v>
      </c>
      <c r="I353" t="n">
        <v>0</v>
      </c>
      <c r="J353" t="n">
        <v>0</v>
      </c>
      <c r="K353" t="n">
        <v>0</v>
      </c>
      <c r="L353" t="n">
        <v>0</v>
      </c>
      <c r="M353" t="n">
        <v>0</v>
      </c>
      <c r="N353" t="n">
        <v>0</v>
      </c>
      <c r="O353" t="n">
        <v>0</v>
      </c>
      <c r="P353" t="n">
        <v>0</v>
      </c>
      <c r="Q353" t="n">
        <v>0</v>
      </c>
      <c r="R353" s="2" t="inlineStr"/>
    </row>
    <row r="354" ht="15" customHeight="1">
      <c r="A354" t="inlineStr">
        <is>
          <t>A 29809-2022</t>
        </is>
      </c>
      <c r="B354" s="1" t="n">
        <v>44755.8713425926</v>
      </c>
      <c r="C354" s="1" t="n">
        <v>46087</v>
      </c>
      <c r="D354" t="inlineStr">
        <is>
          <t>GOTLANDS LÄN</t>
        </is>
      </c>
      <c r="E354" t="inlineStr">
        <is>
          <t>GOTLAND</t>
        </is>
      </c>
      <c r="G354" t="n">
        <v>11.5</v>
      </c>
      <c r="H354" t="n">
        <v>0</v>
      </c>
      <c r="I354" t="n">
        <v>0</v>
      </c>
      <c r="J354" t="n">
        <v>0</v>
      </c>
      <c r="K354" t="n">
        <v>0</v>
      </c>
      <c r="L354" t="n">
        <v>0</v>
      </c>
      <c r="M354" t="n">
        <v>0</v>
      </c>
      <c r="N354" t="n">
        <v>0</v>
      </c>
      <c r="O354" t="n">
        <v>0</v>
      </c>
      <c r="P354" t="n">
        <v>0</v>
      </c>
      <c r="Q354" t="n">
        <v>0</v>
      </c>
      <c r="R354" s="2" t="inlineStr"/>
    </row>
    <row r="355" ht="15" customHeight="1">
      <c r="A355" t="inlineStr">
        <is>
          <t>A 57685-2022</t>
        </is>
      </c>
      <c r="B355" s="1" t="n">
        <v>44897.4777662037</v>
      </c>
      <c r="C355" s="1" t="n">
        <v>46087</v>
      </c>
      <c r="D355" t="inlineStr">
        <is>
          <t>GOTLANDS LÄN</t>
        </is>
      </c>
      <c r="E355" t="inlineStr">
        <is>
          <t>GOTLAND</t>
        </is>
      </c>
      <c r="G355" t="n">
        <v>3.7</v>
      </c>
      <c r="H355" t="n">
        <v>0</v>
      </c>
      <c r="I355" t="n">
        <v>0</v>
      </c>
      <c r="J355" t="n">
        <v>0</v>
      </c>
      <c r="K355" t="n">
        <v>0</v>
      </c>
      <c r="L355" t="n">
        <v>0</v>
      </c>
      <c r="M355" t="n">
        <v>0</v>
      </c>
      <c r="N355" t="n">
        <v>0</v>
      </c>
      <c r="O355" t="n">
        <v>0</v>
      </c>
      <c r="P355" t="n">
        <v>0</v>
      </c>
      <c r="Q355" t="n">
        <v>0</v>
      </c>
      <c r="R355" s="2" t="inlineStr"/>
    </row>
    <row r="356" ht="15" customHeight="1">
      <c r="A356" t="inlineStr">
        <is>
          <t>A 4662-2026</t>
        </is>
      </c>
      <c r="B356" s="1" t="n">
        <v>46048.40949074074</v>
      </c>
      <c r="C356" s="1" t="n">
        <v>46087</v>
      </c>
      <c r="D356" t="inlineStr">
        <is>
          <t>GOTLANDS LÄN</t>
        </is>
      </c>
      <c r="E356" t="inlineStr">
        <is>
          <t>GOTLAND</t>
        </is>
      </c>
      <c r="G356" t="n">
        <v>7.6</v>
      </c>
      <c r="H356" t="n">
        <v>0</v>
      </c>
      <c r="I356" t="n">
        <v>0</v>
      </c>
      <c r="J356" t="n">
        <v>0</v>
      </c>
      <c r="K356" t="n">
        <v>0</v>
      </c>
      <c r="L356" t="n">
        <v>0</v>
      </c>
      <c r="M356" t="n">
        <v>0</v>
      </c>
      <c r="N356" t="n">
        <v>0</v>
      </c>
      <c r="O356" t="n">
        <v>0</v>
      </c>
      <c r="P356" t="n">
        <v>0</v>
      </c>
      <c r="Q356" t="n">
        <v>0</v>
      </c>
      <c r="R356" s="2" t="inlineStr"/>
    </row>
    <row r="357" ht="15" customHeight="1">
      <c r="A357" t="inlineStr">
        <is>
          <t>A 4634-2026</t>
        </is>
      </c>
      <c r="B357" s="1" t="n">
        <v>46048.39304398148</v>
      </c>
      <c r="C357" s="1" t="n">
        <v>46087</v>
      </c>
      <c r="D357" t="inlineStr">
        <is>
          <t>GOTLANDS LÄN</t>
        </is>
      </c>
      <c r="E357" t="inlineStr">
        <is>
          <t>GOTLAND</t>
        </is>
      </c>
      <c r="G357" t="n">
        <v>7.8</v>
      </c>
      <c r="H357" t="n">
        <v>0</v>
      </c>
      <c r="I357" t="n">
        <v>0</v>
      </c>
      <c r="J357" t="n">
        <v>0</v>
      </c>
      <c r="K357" t="n">
        <v>0</v>
      </c>
      <c r="L357" t="n">
        <v>0</v>
      </c>
      <c r="M357" t="n">
        <v>0</v>
      </c>
      <c r="N357" t="n">
        <v>0</v>
      </c>
      <c r="O357" t="n">
        <v>0</v>
      </c>
      <c r="P357" t="n">
        <v>0</v>
      </c>
      <c r="Q357" t="n">
        <v>0</v>
      </c>
      <c r="R357" s="2" t="inlineStr"/>
    </row>
    <row r="358" ht="15" customHeight="1">
      <c r="A358" t="inlineStr">
        <is>
          <t>A 4646-2026</t>
        </is>
      </c>
      <c r="B358" s="1" t="n">
        <v>46048.40357638889</v>
      </c>
      <c r="C358" s="1" t="n">
        <v>46087</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30815-2023</t>
        </is>
      </c>
      <c r="B359" s="1" t="n">
        <v>45112</v>
      </c>
      <c r="C359" s="1" t="n">
        <v>46087</v>
      </c>
      <c r="D359" t="inlineStr">
        <is>
          <t>GOTLANDS LÄN</t>
        </is>
      </c>
      <c r="E359" t="inlineStr">
        <is>
          <t>GOTLAND</t>
        </is>
      </c>
      <c r="G359" t="n">
        <v>6</v>
      </c>
      <c r="H359" t="n">
        <v>0</v>
      </c>
      <c r="I359" t="n">
        <v>0</v>
      </c>
      <c r="J359" t="n">
        <v>0</v>
      </c>
      <c r="K359" t="n">
        <v>0</v>
      </c>
      <c r="L359" t="n">
        <v>0</v>
      </c>
      <c r="M359" t="n">
        <v>0</v>
      </c>
      <c r="N359" t="n">
        <v>0</v>
      </c>
      <c r="O359" t="n">
        <v>0</v>
      </c>
      <c r="P359" t="n">
        <v>0</v>
      </c>
      <c r="Q359" t="n">
        <v>0</v>
      </c>
      <c r="R359" s="2" t="inlineStr"/>
    </row>
    <row r="360" ht="15" customHeight="1">
      <c r="A360" t="inlineStr">
        <is>
          <t>A 4670-2026</t>
        </is>
      </c>
      <c r="B360" s="1" t="n">
        <v>46048.41733796296</v>
      </c>
      <c r="C360" s="1" t="n">
        <v>46087</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62066-2025</t>
        </is>
      </c>
      <c r="B361" s="1" t="n">
        <v>46006.34738425926</v>
      </c>
      <c r="C361" s="1" t="n">
        <v>46087</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4639-2026</t>
        </is>
      </c>
      <c r="B362" s="1" t="n">
        <v>46048.39880787037</v>
      </c>
      <c r="C362" s="1" t="n">
        <v>46087</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26457-2025</t>
        </is>
      </c>
      <c r="B363" s="1" t="n">
        <v>45807.42773148148</v>
      </c>
      <c r="C363" s="1" t="n">
        <v>46087</v>
      </c>
      <c r="D363" t="inlineStr">
        <is>
          <t>GOTLANDS LÄN</t>
        </is>
      </c>
      <c r="E363" t="inlineStr">
        <is>
          <t>GOTLAND</t>
        </is>
      </c>
      <c r="G363" t="n">
        <v>5.7</v>
      </c>
      <c r="H363" t="n">
        <v>0</v>
      </c>
      <c r="I363" t="n">
        <v>0</v>
      </c>
      <c r="J363" t="n">
        <v>0</v>
      </c>
      <c r="K363" t="n">
        <v>0</v>
      </c>
      <c r="L363" t="n">
        <v>0</v>
      </c>
      <c r="M363" t="n">
        <v>0</v>
      </c>
      <c r="N363" t="n">
        <v>0</v>
      </c>
      <c r="O363" t="n">
        <v>0</v>
      </c>
      <c r="P363" t="n">
        <v>0</v>
      </c>
      <c r="Q363" t="n">
        <v>0</v>
      </c>
      <c r="R363" s="2" t="inlineStr"/>
    </row>
    <row r="364" ht="15" customHeight="1">
      <c r="A364" t="inlineStr">
        <is>
          <t>A 26467-2025</t>
        </is>
      </c>
      <c r="B364" s="1" t="n">
        <v>45807.44640046296</v>
      </c>
      <c r="C364" s="1" t="n">
        <v>46087</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7034-2023</t>
        </is>
      </c>
      <c r="B365" s="1" t="n">
        <v>44968.32108796296</v>
      </c>
      <c r="C365" s="1" t="n">
        <v>46087</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7042-2023</t>
        </is>
      </c>
      <c r="B366" s="1" t="n">
        <v>44968</v>
      </c>
      <c r="C366" s="1" t="n">
        <v>46087</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23516-2023</t>
        </is>
      </c>
      <c r="B367" s="1" t="n">
        <v>45076.93391203704</v>
      </c>
      <c r="C367" s="1" t="n">
        <v>46087</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64660-2023</t>
        </is>
      </c>
      <c r="B368" s="1" t="n">
        <v>45281.60122685185</v>
      </c>
      <c r="C368" s="1" t="n">
        <v>46087</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62103-2025</t>
        </is>
      </c>
      <c r="B369" s="1" t="n">
        <v>46006</v>
      </c>
      <c r="C369" s="1" t="n">
        <v>46087</v>
      </c>
      <c r="D369" t="inlineStr">
        <is>
          <t>GOTLANDS LÄN</t>
        </is>
      </c>
      <c r="E369" t="inlineStr">
        <is>
          <t>GOTLAND</t>
        </is>
      </c>
      <c r="F369" t="inlineStr">
        <is>
          <t>Övriga Aktiebolag</t>
        </is>
      </c>
      <c r="G369" t="n">
        <v>1.7</v>
      </c>
      <c r="H369" t="n">
        <v>0</v>
      </c>
      <c r="I369" t="n">
        <v>0</v>
      </c>
      <c r="J369" t="n">
        <v>0</v>
      </c>
      <c r="K369" t="n">
        <v>0</v>
      </c>
      <c r="L369" t="n">
        <v>0</v>
      </c>
      <c r="M369" t="n">
        <v>0</v>
      </c>
      <c r="N369" t="n">
        <v>0</v>
      </c>
      <c r="O369" t="n">
        <v>0</v>
      </c>
      <c r="P369" t="n">
        <v>0</v>
      </c>
      <c r="Q369" t="n">
        <v>0</v>
      </c>
      <c r="R369" s="2" t="inlineStr"/>
    </row>
    <row r="370" ht="15" customHeight="1">
      <c r="A370" t="inlineStr">
        <is>
          <t>A 63763-2023</t>
        </is>
      </c>
      <c r="B370" s="1" t="n">
        <v>45278.33944444444</v>
      </c>
      <c r="C370" s="1" t="n">
        <v>46087</v>
      </c>
      <c r="D370" t="inlineStr">
        <is>
          <t>GOTLANDS LÄN</t>
        </is>
      </c>
      <c r="E370" t="inlineStr">
        <is>
          <t>GOTLAND</t>
        </is>
      </c>
      <c r="G370" t="n">
        <v>0.5</v>
      </c>
      <c r="H370" t="n">
        <v>0</v>
      </c>
      <c r="I370" t="n">
        <v>0</v>
      </c>
      <c r="J370" t="n">
        <v>0</v>
      </c>
      <c r="K370" t="n">
        <v>0</v>
      </c>
      <c r="L370" t="n">
        <v>0</v>
      </c>
      <c r="M370" t="n">
        <v>0</v>
      </c>
      <c r="N370" t="n">
        <v>0</v>
      </c>
      <c r="O370" t="n">
        <v>0</v>
      </c>
      <c r="P370" t="n">
        <v>0</v>
      </c>
      <c r="Q370" t="n">
        <v>0</v>
      </c>
      <c r="R370" s="2" t="inlineStr"/>
    </row>
    <row r="371" ht="15" customHeight="1">
      <c r="A371" t="inlineStr">
        <is>
          <t>A 26465-2025</t>
        </is>
      </c>
      <c r="B371" s="1" t="n">
        <v>45807.44377314814</v>
      </c>
      <c r="C371" s="1" t="n">
        <v>46087</v>
      </c>
      <c r="D371" t="inlineStr">
        <is>
          <t>GOTLANDS LÄN</t>
        </is>
      </c>
      <c r="E371" t="inlineStr">
        <is>
          <t>GOTLAND</t>
        </is>
      </c>
      <c r="G371" t="n">
        <v>4.5</v>
      </c>
      <c r="H371" t="n">
        <v>0</v>
      </c>
      <c r="I371" t="n">
        <v>0</v>
      </c>
      <c r="J371" t="n">
        <v>0</v>
      </c>
      <c r="K371" t="n">
        <v>0</v>
      </c>
      <c r="L371" t="n">
        <v>0</v>
      </c>
      <c r="M371" t="n">
        <v>0</v>
      </c>
      <c r="N371" t="n">
        <v>0</v>
      </c>
      <c r="O371" t="n">
        <v>0</v>
      </c>
      <c r="P371" t="n">
        <v>0</v>
      </c>
      <c r="Q371" t="n">
        <v>0</v>
      </c>
      <c r="R371" s="2" t="inlineStr"/>
    </row>
    <row r="372" ht="15" customHeight="1">
      <c r="A372" t="inlineStr">
        <is>
          <t>A 26660-2025</t>
        </is>
      </c>
      <c r="B372" s="1" t="n">
        <v>45810.39737268518</v>
      </c>
      <c r="C372" s="1" t="n">
        <v>46087</v>
      </c>
      <c r="D372" t="inlineStr">
        <is>
          <t>GOTLANDS LÄN</t>
        </is>
      </c>
      <c r="E372" t="inlineStr">
        <is>
          <t>GOTLAND</t>
        </is>
      </c>
      <c r="G372" t="n">
        <v>1.8</v>
      </c>
      <c r="H372" t="n">
        <v>0</v>
      </c>
      <c r="I372" t="n">
        <v>0</v>
      </c>
      <c r="J372" t="n">
        <v>0</v>
      </c>
      <c r="K372" t="n">
        <v>0</v>
      </c>
      <c r="L372" t="n">
        <v>0</v>
      </c>
      <c r="M372" t="n">
        <v>0</v>
      </c>
      <c r="N372" t="n">
        <v>0</v>
      </c>
      <c r="O372" t="n">
        <v>0</v>
      </c>
      <c r="P372" t="n">
        <v>0</v>
      </c>
      <c r="Q372" t="n">
        <v>0</v>
      </c>
      <c r="R372" s="2" t="inlineStr"/>
    </row>
    <row r="373" ht="15" customHeight="1">
      <c r="A373" t="inlineStr">
        <is>
          <t>A 63229-2021</t>
        </is>
      </c>
      <c r="B373" s="1" t="n">
        <v>44508.34518518519</v>
      </c>
      <c r="C373" s="1" t="n">
        <v>46087</v>
      </c>
      <c r="D373" t="inlineStr">
        <is>
          <t>GOTLANDS LÄN</t>
        </is>
      </c>
      <c r="E373" t="inlineStr">
        <is>
          <t>GOTLAND</t>
        </is>
      </c>
      <c r="F373" t="inlineStr">
        <is>
          <t>Kyrkan</t>
        </is>
      </c>
      <c r="G373" t="n">
        <v>3.8</v>
      </c>
      <c r="H373" t="n">
        <v>0</v>
      </c>
      <c r="I373" t="n">
        <v>0</v>
      </c>
      <c r="J373" t="n">
        <v>0</v>
      </c>
      <c r="K373" t="n">
        <v>0</v>
      </c>
      <c r="L373" t="n">
        <v>0</v>
      </c>
      <c r="M373" t="n">
        <v>0</v>
      </c>
      <c r="N373" t="n">
        <v>0</v>
      </c>
      <c r="O373" t="n">
        <v>0</v>
      </c>
      <c r="P373" t="n">
        <v>0</v>
      </c>
      <c r="Q373" t="n">
        <v>0</v>
      </c>
      <c r="R373" s="2" t="inlineStr"/>
    </row>
    <row r="374" ht="15" customHeight="1">
      <c r="A374" t="inlineStr">
        <is>
          <t>A 46375-2024</t>
        </is>
      </c>
      <c r="B374" s="1" t="n">
        <v>45582</v>
      </c>
      <c r="C374" s="1" t="n">
        <v>46087</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47147-2025</t>
        </is>
      </c>
      <c r="B375" s="1" t="n">
        <v>45929</v>
      </c>
      <c r="C375" s="1" t="n">
        <v>46087</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5863-2026</t>
        </is>
      </c>
      <c r="B376" s="1" t="n">
        <v>46052.36697916667</v>
      </c>
      <c r="C376" s="1" t="n">
        <v>46087</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1734-2025</t>
        </is>
      </c>
      <c r="B377" s="1" t="n">
        <v>45671.3840625</v>
      </c>
      <c r="C377" s="1" t="n">
        <v>46087</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63002-2025</t>
        </is>
      </c>
      <c r="B378" s="1" t="n">
        <v>46009.56564814815</v>
      </c>
      <c r="C378" s="1" t="n">
        <v>46087</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27371-2025</t>
        </is>
      </c>
      <c r="B379" s="1" t="n">
        <v>45812</v>
      </c>
      <c r="C379" s="1" t="n">
        <v>46087</v>
      </c>
      <c r="D379" t="inlineStr">
        <is>
          <t>GOTLANDS LÄN</t>
        </is>
      </c>
      <c r="E379" t="inlineStr">
        <is>
          <t>GOTLAND</t>
        </is>
      </c>
      <c r="G379" t="n">
        <v>8</v>
      </c>
      <c r="H379" t="n">
        <v>0</v>
      </c>
      <c r="I379" t="n">
        <v>0</v>
      </c>
      <c r="J379" t="n">
        <v>0</v>
      </c>
      <c r="K379" t="n">
        <v>0</v>
      </c>
      <c r="L379" t="n">
        <v>0</v>
      </c>
      <c r="M379" t="n">
        <v>0</v>
      </c>
      <c r="N379" t="n">
        <v>0</v>
      </c>
      <c r="O379" t="n">
        <v>0</v>
      </c>
      <c r="P379" t="n">
        <v>0</v>
      </c>
      <c r="Q379" t="n">
        <v>0</v>
      </c>
      <c r="R379" s="2" t="inlineStr"/>
    </row>
    <row r="380" ht="15" customHeight="1">
      <c r="A380" t="inlineStr">
        <is>
          <t>A 27355-2025</t>
        </is>
      </c>
      <c r="B380" s="1" t="n">
        <v>45812</v>
      </c>
      <c r="C380" s="1" t="n">
        <v>46087</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20993-2023</t>
        </is>
      </c>
      <c r="B381" s="1" t="n">
        <v>45056</v>
      </c>
      <c r="C381" s="1" t="n">
        <v>46087</v>
      </c>
      <c r="D381" t="inlineStr">
        <is>
          <t>GOTLANDS LÄN</t>
        </is>
      </c>
      <c r="E381" t="inlineStr">
        <is>
          <t>GOTLAND</t>
        </is>
      </c>
      <c r="G381" t="n">
        <v>7.1</v>
      </c>
      <c r="H381" t="n">
        <v>0</v>
      </c>
      <c r="I381" t="n">
        <v>0</v>
      </c>
      <c r="J381" t="n">
        <v>0</v>
      </c>
      <c r="K381" t="n">
        <v>0</v>
      </c>
      <c r="L381" t="n">
        <v>0</v>
      </c>
      <c r="M381" t="n">
        <v>0</v>
      </c>
      <c r="N381" t="n">
        <v>0</v>
      </c>
      <c r="O381" t="n">
        <v>0</v>
      </c>
      <c r="P381" t="n">
        <v>0</v>
      </c>
      <c r="Q381" t="n">
        <v>0</v>
      </c>
      <c r="R381" s="2" t="inlineStr"/>
    </row>
    <row r="382" ht="15" customHeight="1">
      <c r="A382" t="inlineStr">
        <is>
          <t>A 6218-2026</t>
        </is>
      </c>
      <c r="B382" s="1" t="n">
        <v>46055.42859953704</v>
      </c>
      <c r="C382" s="1" t="n">
        <v>46087</v>
      </c>
      <c r="D382" t="inlineStr">
        <is>
          <t>GOTLANDS LÄN</t>
        </is>
      </c>
      <c r="E382" t="inlineStr">
        <is>
          <t>GOTLAND</t>
        </is>
      </c>
      <c r="G382" t="n">
        <v>4.3</v>
      </c>
      <c r="H382" t="n">
        <v>0</v>
      </c>
      <c r="I382" t="n">
        <v>0</v>
      </c>
      <c r="J382" t="n">
        <v>0</v>
      </c>
      <c r="K382" t="n">
        <v>0</v>
      </c>
      <c r="L382" t="n">
        <v>0</v>
      </c>
      <c r="M382" t="n">
        <v>0</v>
      </c>
      <c r="N382" t="n">
        <v>0</v>
      </c>
      <c r="O382" t="n">
        <v>0</v>
      </c>
      <c r="P382" t="n">
        <v>0</v>
      </c>
      <c r="Q382" t="n">
        <v>0</v>
      </c>
      <c r="R382" s="2" t="inlineStr"/>
    </row>
    <row r="383" ht="15" customHeight="1">
      <c r="A383" t="inlineStr">
        <is>
          <t>A 6739-2025</t>
        </is>
      </c>
      <c r="B383" s="1" t="n">
        <v>45700</v>
      </c>
      <c r="C383" s="1" t="n">
        <v>46087</v>
      </c>
      <c r="D383" t="inlineStr">
        <is>
          <t>GOTLANDS LÄN</t>
        </is>
      </c>
      <c r="E383" t="inlineStr">
        <is>
          <t>GOTLAND</t>
        </is>
      </c>
      <c r="G383" t="n">
        <v>4.5</v>
      </c>
      <c r="H383" t="n">
        <v>0</v>
      </c>
      <c r="I383" t="n">
        <v>0</v>
      </c>
      <c r="J383" t="n">
        <v>0</v>
      </c>
      <c r="K383" t="n">
        <v>0</v>
      </c>
      <c r="L383" t="n">
        <v>0</v>
      </c>
      <c r="M383" t="n">
        <v>0</v>
      </c>
      <c r="N383" t="n">
        <v>0</v>
      </c>
      <c r="O383" t="n">
        <v>0</v>
      </c>
      <c r="P383" t="n">
        <v>0</v>
      </c>
      <c r="Q383" t="n">
        <v>0</v>
      </c>
      <c r="R383" s="2" t="inlineStr"/>
    </row>
    <row r="384" ht="15" customHeight="1">
      <c r="A384" t="inlineStr">
        <is>
          <t>A 7850-2025</t>
        </is>
      </c>
      <c r="B384" s="1" t="n">
        <v>45706</v>
      </c>
      <c r="C384" s="1" t="n">
        <v>46087</v>
      </c>
      <c r="D384" t="inlineStr">
        <is>
          <t>GOTLANDS LÄN</t>
        </is>
      </c>
      <c r="E384" t="inlineStr">
        <is>
          <t>GOTLAND</t>
        </is>
      </c>
      <c r="G384" t="n">
        <v>0.5</v>
      </c>
      <c r="H384" t="n">
        <v>0</v>
      </c>
      <c r="I384" t="n">
        <v>0</v>
      </c>
      <c r="J384" t="n">
        <v>0</v>
      </c>
      <c r="K384" t="n">
        <v>0</v>
      </c>
      <c r="L384" t="n">
        <v>0</v>
      </c>
      <c r="M384" t="n">
        <v>0</v>
      </c>
      <c r="N384" t="n">
        <v>0</v>
      </c>
      <c r="O384" t="n">
        <v>0</v>
      </c>
      <c r="P384" t="n">
        <v>0</v>
      </c>
      <c r="Q384" t="n">
        <v>0</v>
      </c>
      <c r="R384" s="2" t="inlineStr"/>
    </row>
    <row r="385" ht="15" customHeight="1">
      <c r="A385" t="inlineStr">
        <is>
          <t>A 12596-2023</t>
        </is>
      </c>
      <c r="B385" s="1" t="n">
        <v>45000.43310185185</v>
      </c>
      <c r="C385" s="1" t="n">
        <v>46087</v>
      </c>
      <c r="D385" t="inlineStr">
        <is>
          <t>GOTLANDS LÄN</t>
        </is>
      </c>
      <c r="E385" t="inlineStr">
        <is>
          <t>GOTLAND</t>
        </is>
      </c>
      <c r="G385" t="n">
        <v>4.1</v>
      </c>
      <c r="H385" t="n">
        <v>0</v>
      </c>
      <c r="I385" t="n">
        <v>0</v>
      </c>
      <c r="J385" t="n">
        <v>0</v>
      </c>
      <c r="K385" t="n">
        <v>0</v>
      </c>
      <c r="L385" t="n">
        <v>0</v>
      </c>
      <c r="M385" t="n">
        <v>0</v>
      </c>
      <c r="N385" t="n">
        <v>0</v>
      </c>
      <c r="O385" t="n">
        <v>0</v>
      </c>
      <c r="P385" t="n">
        <v>0</v>
      </c>
      <c r="Q385" t="n">
        <v>0</v>
      </c>
      <c r="R385" s="2" t="inlineStr"/>
    </row>
    <row r="386" ht="15" customHeight="1">
      <c r="A386" t="inlineStr">
        <is>
          <t>A 2125-2025</t>
        </is>
      </c>
      <c r="B386" s="1" t="n">
        <v>45672.64940972222</v>
      </c>
      <c r="C386" s="1" t="n">
        <v>46087</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54584-2025</t>
        </is>
      </c>
      <c r="B387" s="1" t="n">
        <v>45965.71788194445</v>
      </c>
      <c r="C387" s="1" t="n">
        <v>46087</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6207-2026</t>
        </is>
      </c>
      <c r="B388" s="1" t="n">
        <v>46055.42083333333</v>
      </c>
      <c r="C388" s="1" t="n">
        <v>46087</v>
      </c>
      <c r="D388" t="inlineStr">
        <is>
          <t>GOTLANDS LÄN</t>
        </is>
      </c>
      <c r="E388" t="inlineStr">
        <is>
          <t>GOTLAND</t>
        </is>
      </c>
      <c r="G388" t="n">
        <v>7.6</v>
      </c>
      <c r="H388" t="n">
        <v>0</v>
      </c>
      <c r="I388" t="n">
        <v>0</v>
      </c>
      <c r="J388" t="n">
        <v>0</v>
      </c>
      <c r="K388" t="n">
        <v>0</v>
      </c>
      <c r="L388" t="n">
        <v>0</v>
      </c>
      <c r="M388" t="n">
        <v>0</v>
      </c>
      <c r="N388" t="n">
        <v>0</v>
      </c>
      <c r="O388" t="n">
        <v>0</v>
      </c>
      <c r="P388" t="n">
        <v>0</v>
      </c>
      <c r="Q388" t="n">
        <v>0</v>
      </c>
      <c r="R388" s="2" t="inlineStr"/>
    </row>
    <row r="389" ht="15" customHeight="1">
      <c r="A389" t="inlineStr">
        <is>
          <t>A 12155-2023</t>
        </is>
      </c>
      <c r="B389" s="1" t="n">
        <v>44998.49106481481</v>
      </c>
      <c r="C389" s="1" t="n">
        <v>46087</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457-2023</t>
        </is>
      </c>
      <c r="B390" s="1" t="n">
        <v>44929.87238425926</v>
      </c>
      <c r="C390" s="1" t="n">
        <v>46087</v>
      </c>
      <c r="D390" t="inlineStr">
        <is>
          <t>GOTLANDS LÄN</t>
        </is>
      </c>
      <c r="E390" t="inlineStr">
        <is>
          <t>GOTLAND</t>
        </is>
      </c>
      <c r="G390" t="n">
        <v>2.4</v>
      </c>
      <c r="H390" t="n">
        <v>0</v>
      </c>
      <c r="I390" t="n">
        <v>0</v>
      </c>
      <c r="J390" t="n">
        <v>0</v>
      </c>
      <c r="K390" t="n">
        <v>0</v>
      </c>
      <c r="L390" t="n">
        <v>0</v>
      </c>
      <c r="M390" t="n">
        <v>0</v>
      </c>
      <c r="N390" t="n">
        <v>0</v>
      </c>
      <c r="O390" t="n">
        <v>0</v>
      </c>
      <c r="P390" t="n">
        <v>0</v>
      </c>
      <c r="Q390" t="n">
        <v>0</v>
      </c>
      <c r="R390" s="2" t="inlineStr"/>
    </row>
    <row r="391" ht="15" customHeight="1">
      <c r="A391" t="inlineStr">
        <is>
          <t>A 459-2023</t>
        </is>
      </c>
      <c r="B391" s="1" t="n">
        <v>44929.87423611111</v>
      </c>
      <c r="C391" s="1" t="n">
        <v>46087</v>
      </c>
      <c r="D391" t="inlineStr">
        <is>
          <t>GOTLANDS LÄN</t>
        </is>
      </c>
      <c r="E391" t="inlineStr">
        <is>
          <t>GOTLAND</t>
        </is>
      </c>
      <c r="G391" t="n">
        <v>4.2</v>
      </c>
      <c r="H391" t="n">
        <v>0</v>
      </c>
      <c r="I391" t="n">
        <v>0</v>
      </c>
      <c r="J391" t="n">
        <v>0</v>
      </c>
      <c r="K391" t="n">
        <v>0</v>
      </c>
      <c r="L391" t="n">
        <v>0</v>
      </c>
      <c r="M391" t="n">
        <v>0</v>
      </c>
      <c r="N391" t="n">
        <v>0</v>
      </c>
      <c r="O391" t="n">
        <v>0</v>
      </c>
      <c r="P391" t="n">
        <v>0</v>
      </c>
      <c r="Q391" t="n">
        <v>0</v>
      </c>
      <c r="R391" s="2" t="inlineStr"/>
    </row>
    <row r="392" ht="15" customHeight="1">
      <c r="A392" t="inlineStr">
        <is>
          <t>A 38234-2023</t>
        </is>
      </c>
      <c r="B392" s="1" t="n">
        <v>45161.56663194444</v>
      </c>
      <c r="C392" s="1" t="n">
        <v>46087</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6960-2026</t>
        </is>
      </c>
      <c r="B393" s="1" t="n">
        <v>46057.58105324074</v>
      </c>
      <c r="C393" s="1" t="n">
        <v>46087</v>
      </c>
      <c r="D393" t="inlineStr">
        <is>
          <t>GOTLANDS LÄN</t>
        </is>
      </c>
      <c r="E393" t="inlineStr">
        <is>
          <t>GOTLAND</t>
        </is>
      </c>
      <c r="F393" t="inlineStr">
        <is>
          <t>Kyrkan</t>
        </is>
      </c>
      <c r="G393" t="n">
        <v>2.4</v>
      </c>
      <c r="H393" t="n">
        <v>0</v>
      </c>
      <c r="I393" t="n">
        <v>0</v>
      </c>
      <c r="J393" t="n">
        <v>0</v>
      </c>
      <c r="K393" t="n">
        <v>0</v>
      </c>
      <c r="L393" t="n">
        <v>0</v>
      </c>
      <c r="M393" t="n">
        <v>0</v>
      </c>
      <c r="N393" t="n">
        <v>0</v>
      </c>
      <c r="O393" t="n">
        <v>0</v>
      </c>
      <c r="P393" t="n">
        <v>0</v>
      </c>
      <c r="Q393" t="n">
        <v>0</v>
      </c>
      <c r="R393" s="2" t="inlineStr"/>
    </row>
    <row r="394" ht="15" customHeight="1">
      <c r="A394" t="inlineStr">
        <is>
          <t>A 50744-2024</t>
        </is>
      </c>
      <c r="B394" s="1" t="n">
        <v>45602.4187037037</v>
      </c>
      <c r="C394" s="1" t="n">
        <v>46087</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6959-2026</t>
        </is>
      </c>
      <c r="B395" s="1" t="n">
        <v>46057.580625</v>
      </c>
      <c r="C395" s="1" t="n">
        <v>46087</v>
      </c>
      <c r="D395" t="inlineStr">
        <is>
          <t>GOTLANDS LÄN</t>
        </is>
      </c>
      <c r="E395" t="inlineStr">
        <is>
          <t>GOTLAND</t>
        </is>
      </c>
      <c r="F395" t="inlineStr">
        <is>
          <t>Kyrkan</t>
        </is>
      </c>
      <c r="G395" t="n">
        <v>1.2</v>
      </c>
      <c r="H395" t="n">
        <v>0</v>
      </c>
      <c r="I395" t="n">
        <v>0</v>
      </c>
      <c r="J395" t="n">
        <v>0</v>
      </c>
      <c r="K395" t="n">
        <v>0</v>
      </c>
      <c r="L395" t="n">
        <v>0</v>
      </c>
      <c r="M395" t="n">
        <v>0</v>
      </c>
      <c r="N395" t="n">
        <v>0</v>
      </c>
      <c r="O395" t="n">
        <v>0</v>
      </c>
      <c r="P395" t="n">
        <v>0</v>
      </c>
      <c r="Q395" t="n">
        <v>0</v>
      </c>
      <c r="R395" s="2" t="inlineStr"/>
    </row>
    <row r="396" ht="15" customHeight="1">
      <c r="A396" t="inlineStr">
        <is>
          <t>A 53934-2024</t>
        </is>
      </c>
      <c r="B396" s="1" t="n">
        <v>45615</v>
      </c>
      <c r="C396" s="1" t="n">
        <v>46087</v>
      </c>
      <c r="D396" t="inlineStr">
        <is>
          <t>GOTLANDS LÄN</t>
        </is>
      </c>
      <c r="E396" t="inlineStr">
        <is>
          <t>GOTLAND</t>
        </is>
      </c>
      <c r="G396" t="n">
        <v>5</v>
      </c>
      <c r="H396" t="n">
        <v>0</v>
      </c>
      <c r="I396" t="n">
        <v>0</v>
      </c>
      <c r="J396" t="n">
        <v>0</v>
      </c>
      <c r="K396" t="n">
        <v>0</v>
      </c>
      <c r="L396" t="n">
        <v>0</v>
      </c>
      <c r="M396" t="n">
        <v>0</v>
      </c>
      <c r="N396" t="n">
        <v>0</v>
      </c>
      <c r="O396" t="n">
        <v>0</v>
      </c>
      <c r="P396" t="n">
        <v>0</v>
      </c>
      <c r="Q396" t="n">
        <v>0</v>
      </c>
      <c r="R396" s="2" t="inlineStr"/>
    </row>
    <row r="397" ht="15" customHeight="1">
      <c r="A397" t="inlineStr">
        <is>
          <t>A 8444-2025</t>
        </is>
      </c>
      <c r="B397" s="1" t="n">
        <v>45709</v>
      </c>
      <c r="C397" s="1" t="n">
        <v>46087</v>
      </c>
      <c r="D397" t="inlineStr">
        <is>
          <t>GOTLANDS LÄN</t>
        </is>
      </c>
      <c r="E397" t="inlineStr">
        <is>
          <t>GOTLAND</t>
        </is>
      </c>
      <c r="G397" t="n">
        <v>5.2</v>
      </c>
      <c r="H397" t="n">
        <v>0</v>
      </c>
      <c r="I397" t="n">
        <v>0</v>
      </c>
      <c r="J397" t="n">
        <v>0</v>
      </c>
      <c r="K397" t="n">
        <v>0</v>
      </c>
      <c r="L397" t="n">
        <v>0</v>
      </c>
      <c r="M397" t="n">
        <v>0</v>
      </c>
      <c r="N397" t="n">
        <v>0</v>
      </c>
      <c r="O397" t="n">
        <v>0</v>
      </c>
      <c r="P397" t="n">
        <v>0</v>
      </c>
      <c r="Q397" t="n">
        <v>0</v>
      </c>
      <c r="R397" s="2" t="inlineStr"/>
    </row>
    <row r="398" ht="15" customHeight="1">
      <c r="A398" t="inlineStr">
        <is>
          <t>A 38649-2025</t>
        </is>
      </c>
      <c r="B398" s="1" t="n">
        <v>45884</v>
      </c>
      <c r="C398" s="1" t="n">
        <v>46087</v>
      </c>
      <c r="D398" t="inlineStr">
        <is>
          <t>GOTLANDS LÄN</t>
        </is>
      </c>
      <c r="E398" t="inlineStr">
        <is>
          <t>GOTLAND</t>
        </is>
      </c>
      <c r="G398" t="n">
        <v>1.5</v>
      </c>
      <c r="H398" t="n">
        <v>0</v>
      </c>
      <c r="I398" t="n">
        <v>0</v>
      </c>
      <c r="J398" t="n">
        <v>0</v>
      </c>
      <c r="K398" t="n">
        <v>0</v>
      </c>
      <c r="L398" t="n">
        <v>0</v>
      </c>
      <c r="M398" t="n">
        <v>0</v>
      </c>
      <c r="N398" t="n">
        <v>0</v>
      </c>
      <c r="O398" t="n">
        <v>0</v>
      </c>
      <c r="P398" t="n">
        <v>0</v>
      </c>
      <c r="Q398" t="n">
        <v>0</v>
      </c>
      <c r="R398" s="2" t="inlineStr"/>
    </row>
    <row r="399" ht="15" customHeight="1">
      <c r="A399" t="inlineStr">
        <is>
          <t>A 61078-2025</t>
        </is>
      </c>
      <c r="B399" s="1" t="n">
        <v>46000</v>
      </c>
      <c r="C399" s="1" t="n">
        <v>46087</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7625-2026</t>
        </is>
      </c>
      <c r="B400" s="1" t="n">
        <v>46062.35135416667</v>
      </c>
      <c r="C400" s="1" t="n">
        <v>46087</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7627-2026</t>
        </is>
      </c>
      <c r="B401" s="1" t="n">
        <v>46062.35465277778</v>
      </c>
      <c r="C401" s="1" t="n">
        <v>46087</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1446-2025</t>
        </is>
      </c>
      <c r="B402" s="1" t="n">
        <v>45669.86035879629</v>
      </c>
      <c r="C402" s="1" t="n">
        <v>46087</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31264-2021</t>
        </is>
      </c>
      <c r="B403" s="1" t="n">
        <v>44368</v>
      </c>
      <c r="C403" s="1" t="n">
        <v>46087</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43901-2023</t>
        </is>
      </c>
      <c r="B404" s="1" t="n">
        <v>45187</v>
      </c>
      <c r="C404" s="1" t="n">
        <v>46087</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10746-2025</t>
        </is>
      </c>
      <c r="B405" s="1" t="n">
        <v>45722.42766203704</v>
      </c>
      <c r="C405" s="1" t="n">
        <v>46087</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16501-2023</t>
        </is>
      </c>
      <c r="B406" s="1" t="n">
        <v>45029</v>
      </c>
      <c r="C406" s="1" t="n">
        <v>46087</v>
      </c>
      <c r="D406" t="inlineStr">
        <is>
          <t>GOTLANDS LÄN</t>
        </is>
      </c>
      <c r="E406" t="inlineStr">
        <is>
          <t>GOTLAND</t>
        </is>
      </c>
      <c r="G406" t="n">
        <v>3.1</v>
      </c>
      <c r="H406" t="n">
        <v>0</v>
      </c>
      <c r="I406" t="n">
        <v>0</v>
      </c>
      <c r="J406" t="n">
        <v>0</v>
      </c>
      <c r="K406" t="n">
        <v>0</v>
      </c>
      <c r="L406" t="n">
        <v>0</v>
      </c>
      <c r="M406" t="n">
        <v>0</v>
      </c>
      <c r="N406" t="n">
        <v>0</v>
      </c>
      <c r="O406" t="n">
        <v>0</v>
      </c>
      <c r="P406" t="n">
        <v>0</v>
      </c>
      <c r="Q406" t="n">
        <v>0</v>
      </c>
      <c r="R406" s="2" t="inlineStr"/>
    </row>
    <row r="407" ht="15" customHeight="1">
      <c r="A407" t="inlineStr">
        <is>
          <t>A 36-2026</t>
        </is>
      </c>
      <c r="B407" s="1" t="n">
        <v>46024.38886574074</v>
      </c>
      <c r="C407" s="1" t="n">
        <v>46087</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46087</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62674-2025</t>
        </is>
      </c>
      <c r="B409" s="1" t="n">
        <v>46008</v>
      </c>
      <c r="C409" s="1" t="n">
        <v>46087</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61962-2024</t>
        </is>
      </c>
      <c r="B410" s="1" t="n">
        <v>45653.54340277778</v>
      </c>
      <c r="C410" s="1" t="n">
        <v>46087</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60384-2025</t>
        </is>
      </c>
      <c r="B411" s="1" t="n">
        <v>45995</v>
      </c>
      <c r="C411" s="1" t="n">
        <v>46087</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10492-2023</t>
        </is>
      </c>
      <c r="B412" s="1" t="n">
        <v>44987</v>
      </c>
      <c r="C412" s="1" t="n">
        <v>46087</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19905-2025</t>
        </is>
      </c>
      <c r="B413" s="1" t="n">
        <v>45771</v>
      </c>
      <c r="C413" s="1" t="n">
        <v>46087</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29196-2025</t>
        </is>
      </c>
      <c r="B414" s="1" t="n">
        <v>45822</v>
      </c>
      <c r="C414" s="1" t="n">
        <v>46087</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5909-2025</t>
        </is>
      </c>
      <c r="B415" s="1" t="n">
        <v>45695.40634259259</v>
      </c>
      <c r="C415" s="1" t="n">
        <v>46087</v>
      </c>
      <c r="D415" t="inlineStr">
        <is>
          <t>GOTLANDS LÄN</t>
        </is>
      </c>
      <c r="E415" t="inlineStr">
        <is>
          <t>GOTLAND</t>
        </is>
      </c>
      <c r="G415" t="n">
        <v>2.9</v>
      </c>
      <c r="H415" t="n">
        <v>0</v>
      </c>
      <c r="I415" t="n">
        <v>0</v>
      </c>
      <c r="J415" t="n">
        <v>0</v>
      </c>
      <c r="K415" t="n">
        <v>0</v>
      </c>
      <c r="L415" t="n">
        <v>0</v>
      </c>
      <c r="M415" t="n">
        <v>0</v>
      </c>
      <c r="N415" t="n">
        <v>0</v>
      </c>
      <c r="O415" t="n">
        <v>0</v>
      </c>
      <c r="P415" t="n">
        <v>0</v>
      </c>
      <c r="Q415" t="n">
        <v>0</v>
      </c>
      <c r="R415" s="2" t="inlineStr"/>
    </row>
    <row r="416" ht="15" customHeight="1">
      <c r="A416" t="inlineStr">
        <is>
          <t>A 10653-2023</t>
        </is>
      </c>
      <c r="B416" s="1" t="n">
        <v>44988.48859953704</v>
      </c>
      <c r="C416" s="1" t="n">
        <v>46087</v>
      </c>
      <c r="D416" t="inlineStr">
        <is>
          <t>GOTLANDS LÄN</t>
        </is>
      </c>
      <c r="E416" t="inlineStr">
        <is>
          <t>GOTLAND</t>
        </is>
      </c>
      <c r="F416" t="inlineStr">
        <is>
          <t>Kyrkan</t>
        </is>
      </c>
      <c r="G416" t="n">
        <v>3</v>
      </c>
      <c r="H416" t="n">
        <v>0</v>
      </c>
      <c r="I416" t="n">
        <v>0</v>
      </c>
      <c r="J416" t="n">
        <v>0</v>
      </c>
      <c r="K416" t="n">
        <v>0</v>
      </c>
      <c r="L416" t="n">
        <v>0</v>
      </c>
      <c r="M416" t="n">
        <v>0</v>
      </c>
      <c r="N416" t="n">
        <v>0</v>
      </c>
      <c r="O416" t="n">
        <v>0</v>
      </c>
      <c r="P416" t="n">
        <v>0</v>
      </c>
      <c r="Q416" t="n">
        <v>0</v>
      </c>
      <c r="R416" s="2" t="inlineStr"/>
    </row>
    <row r="417" ht="15" customHeight="1">
      <c r="A417" t="inlineStr">
        <is>
          <t>A 9543-2026</t>
        </is>
      </c>
      <c r="B417" s="1" t="n">
        <v>46071.62486111111</v>
      </c>
      <c r="C417" s="1" t="n">
        <v>46087</v>
      </c>
      <c r="D417" t="inlineStr">
        <is>
          <t>GOTLANDS LÄN</t>
        </is>
      </c>
      <c r="E417" t="inlineStr">
        <is>
          <t>GOTLAND</t>
        </is>
      </c>
      <c r="G417" t="n">
        <v>2.6</v>
      </c>
      <c r="H417" t="n">
        <v>0</v>
      </c>
      <c r="I417" t="n">
        <v>0</v>
      </c>
      <c r="J417" t="n">
        <v>0</v>
      </c>
      <c r="K417" t="n">
        <v>0</v>
      </c>
      <c r="L417" t="n">
        <v>0</v>
      </c>
      <c r="M417" t="n">
        <v>0</v>
      </c>
      <c r="N417" t="n">
        <v>0</v>
      </c>
      <c r="O417" t="n">
        <v>0</v>
      </c>
      <c r="P417" t="n">
        <v>0</v>
      </c>
      <c r="Q417" t="n">
        <v>0</v>
      </c>
      <c r="R417" s="2" t="inlineStr"/>
    </row>
    <row r="418" ht="15" customHeight="1">
      <c r="A418" t="inlineStr">
        <is>
          <t>A 4990-2025</t>
        </is>
      </c>
      <c r="B418" s="1" t="n">
        <v>45691</v>
      </c>
      <c r="C418" s="1" t="n">
        <v>46087</v>
      </c>
      <c r="D418" t="inlineStr">
        <is>
          <t>GOTLANDS LÄN</t>
        </is>
      </c>
      <c r="E418" t="inlineStr">
        <is>
          <t>GOTLAND</t>
        </is>
      </c>
      <c r="G418" t="n">
        <v>7.7</v>
      </c>
      <c r="H418" t="n">
        <v>0</v>
      </c>
      <c r="I418" t="n">
        <v>0</v>
      </c>
      <c r="J418" t="n">
        <v>0</v>
      </c>
      <c r="K418" t="n">
        <v>0</v>
      </c>
      <c r="L418" t="n">
        <v>0</v>
      </c>
      <c r="M418" t="n">
        <v>0</v>
      </c>
      <c r="N418" t="n">
        <v>0</v>
      </c>
      <c r="O418" t="n">
        <v>0</v>
      </c>
      <c r="P418" t="n">
        <v>0</v>
      </c>
      <c r="Q418" t="n">
        <v>0</v>
      </c>
      <c r="R418" s="2" t="inlineStr"/>
    </row>
    <row r="419" ht="15" customHeight="1">
      <c r="A419" t="inlineStr">
        <is>
          <t>A 9521-2026</t>
        </is>
      </c>
      <c r="B419" s="1" t="n">
        <v>46071.59969907408</v>
      </c>
      <c r="C419" s="1" t="n">
        <v>46087</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9524-2026</t>
        </is>
      </c>
      <c r="B420" s="1" t="n">
        <v>46071.60108796296</v>
      </c>
      <c r="C420" s="1" t="n">
        <v>46087</v>
      </c>
      <c r="D420" t="inlineStr">
        <is>
          <t>GOTLANDS LÄN</t>
        </is>
      </c>
      <c r="E420" t="inlineStr">
        <is>
          <t>GOTLAND</t>
        </is>
      </c>
      <c r="G420" t="n">
        <v>2.5</v>
      </c>
      <c r="H420" t="n">
        <v>0</v>
      </c>
      <c r="I420" t="n">
        <v>0</v>
      </c>
      <c r="J420" t="n">
        <v>0</v>
      </c>
      <c r="K420" t="n">
        <v>0</v>
      </c>
      <c r="L420" t="n">
        <v>0</v>
      </c>
      <c r="M420" t="n">
        <v>0</v>
      </c>
      <c r="N420" t="n">
        <v>0</v>
      </c>
      <c r="O420" t="n">
        <v>0</v>
      </c>
      <c r="P420" t="n">
        <v>0</v>
      </c>
      <c r="Q420" t="n">
        <v>0</v>
      </c>
      <c r="R420" s="2" t="inlineStr"/>
    </row>
    <row r="421" ht="15" customHeight="1">
      <c r="A421" t="inlineStr">
        <is>
          <t>A 29207-2025</t>
        </is>
      </c>
      <c r="B421" s="1" t="n">
        <v>45823</v>
      </c>
      <c r="C421" s="1" t="n">
        <v>46087</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9518-2026</t>
        </is>
      </c>
      <c r="B422" s="1" t="n">
        <v>46071.59653935185</v>
      </c>
      <c r="C422" s="1" t="n">
        <v>46087</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9519-2026</t>
        </is>
      </c>
      <c r="B423" s="1" t="n">
        <v>46071.59820601852</v>
      </c>
      <c r="C423" s="1" t="n">
        <v>46087</v>
      </c>
      <c r="D423" t="inlineStr">
        <is>
          <t>GOTLANDS LÄN</t>
        </is>
      </c>
      <c r="E423" t="inlineStr">
        <is>
          <t>GOTLAND</t>
        </is>
      </c>
      <c r="G423" t="n">
        <v>4</v>
      </c>
      <c r="H423" t="n">
        <v>0</v>
      </c>
      <c r="I423" t="n">
        <v>0</v>
      </c>
      <c r="J423" t="n">
        <v>0</v>
      </c>
      <c r="K423" t="n">
        <v>0</v>
      </c>
      <c r="L423" t="n">
        <v>0</v>
      </c>
      <c r="M423" t="n">
        <v>0</v>
      </c>
      <c r="N423" t="n">
        <v>0</v>
      </c>
      <c r="O423" t="n">
        <v>0</v>
      </c>
      <c r="P423" t="n">
        <v>0</v>
      </c>
      <c r="Q423" t="n">
        <v>0</v>
      </c>
      <c r="R423" s="2" t="inlineStr"/>
    </row>
    <row r="424" ht="15" customHeight="1">
      <c r="A424" t="inlineStr">
        <is>
          <t>A 43081-2022</t>
        </is>
      </c>
      <c r="B424" s="1" t="n">
        <v>44833</v>
      </c>
      <c r="C424" s="1" t="n">
        <v>46087</v>
      </c>
      <c r="D424" t="inlineStr">
        <is>
          <t>GOTLANDS LÄN</t>
        </is>
      </c>
      <c r="E424" t="inlineStr">
        <is>
          <t>GOTLAND</t>
        </is>
      </c>
      <c r="G424" t="n">
        <v>6.8</v>
      </c>
      <c r="H424" t="n">
        <v>0</v>
      </c>
      <c r="I424" t="n">
        <v>0</v>
      </c>
      <c r="J424" t="n">
        <v>0</v>
      </c>
      <c r="K424" t="n">
        <v>0</v>
      </c>
      <c r="L424" t="n">
        <v>0</v>
      </c>
      <c r="M424" t="n">
        <v>0</v>
      </c>
      <c r="N424" t="n">
        <v>0</v>
      </c>
      <c r="O424" t="n">
        <v>0</v>
      </c>
      <c r="P424" t="n">
        <v>0</v>
      </c>
      <c r="Q424" t="n">
        <v>0</v>
      </c>
      <c r="R424" s="2" t="inlineStr"/>
    </row>
    <row r="425" ht="15" customHeight="1">
      <c r="A425" t="inlineStr">
        <is>
          <t>A 9540-2026</t>
        </is>
      </c>
      <c r="B425" s="1" t="n">
        <v>46071.61961805556</v>
      </c>
      <c r="C425" s="1" t="n">
        <v>46087</v>
      </c>
      <c r="D425" t="inlineStr">
        <is>
          <t>GOTLANDS LÄN</t>
        </is>
      </c>
      <c r="E425" t="inlineStr">
        <is>
          <t>GOTLAND</t>
        </is>
      </c>
      <c r="G425" t="n">
        <v>2.8</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46087</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9504-2026</t>
        </is>
      </c>
      <c r="B427" s="1" t="n">
        <v>46071.57730324074</v>
      </c>
      <c r="C427" s="1" t="n">
        <v>46087</v>
      </c>
      <c r="D427" t="inlineStr">
        <is>
          <t>GOTLANDS LÄN</t>
        </is>
      </c>
      <c r="E427" t="inlineStr">
        <is>
          <t>GOTLAND</t>
        </is>
      </c>
      <c r="G427" t="n">
        <v>0.6</v>
      </c>
      <c r="H427" t="n">
        <v>0</v>
      </c>
      <c r="I427" t="n">
        <v>0</v>
      </c>
      <c r="J427" t="n">
        <v>0</v>
      </c>
      <c r="K427" t="n">
        <v>0</v>
      </c>
      <c r="L427" t="n">
        <v>0</v>
      </c>
      <c r="M427" t="n">
        <v>0</v>
      </c>
      <c r="N427" t="n">
        <v>0</v>
      </c>
      <c r="O427" t="n">
        <v>0</v>
      </c>
      <c r="P427" t="n">
        <v>0</v>
      </c>
      <c r="Q427" t="n">
        <v>0</v>
      </c>
      <c r="R427" s="2" t="inlineStr"/>
    </row>
    <row r="428" ht="15" customHeight="1">
      <c r="A428" t="inlineStr">
        <is>
          <t>A 63105-2025</t>
        </is>
      </c>
      <c r="B428" s="1" t="n">
        <v>46009</v>
      </c>
      <c r="C428" s="1" t="n">
        <v>46087</v>
      </c>
      <c r="D428" t="inlineStr">
        <is>
          <t>GOTLANDS LÄN</t>
        </is>
      </c>
      <c r="E428" t="inlineStr">
        <is>
          <t>GOTLAND</t>
        </is>
      </c>
      <c r="G428" t="n">
        <v>2.6</v>
      </c>
      <c r="H428" t="n">
        <v>0</v>
      </c>
      <c r="I428" t="n">
        <v>0</v>
      </c>
      <c r="J428" t="n">
        <v>0</v>
      </c>
      <c r="K428" t="n">
        <v>0</v>
      </c>
      <c r="L428" t="n">
        <v>0</v>
      </c>
      <c r="M428" t="n">
        <v>0</v>
      </c>
      <c r="N428" t="n">
        <v>0</v>
      </c>
      <c r="O428" t="n">
        <v>0</v>
      </c>
      <c r="P428" t="n">
        <v>0</v>
      </c>
      <c r="Q428" t="n">
        <v>0</v>
      </c>
      <c r="R428" s="2" t="inlineStr"/>
    </row>
    <row r="429" ht="15" customHeight="1">
      <c r="A429" t="inlineStr">
        <is>
          <t>A 63152-2025</t>
        </is>
      </c>
      <c r="B429" s="1" t="n">
        <v>46010</v>
      </c>
      <c r="C429" s="1" t="n">
        <v>46087</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5884-2025</t>
        </is>
      </c>
      <c r="B430" s="1" t="n">
        <v>45695.37482638889</v>
      </c>
      <c r="C430" s="1" t="n">
        <v>46087</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5897-2025</t>
        </is>
      </c>
      <c r="B431" s="1" t="n">
        <v>45695.39273148148</v>
      </c>
      <c r="C431" s="1" t="n">
        <v>46087</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49693-2023</t>
        </is>
      </c>
      <c r="B432" s="1" t="n">
        <v>45212.38138888889</v>
      </c>
      <c r="C432" s="1" t="n">
        <v>46087</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49697-2023</t>
        </is>
      </c>
      <c r="B433" s="1" t="n">
        <v>45212.38909722222</v>
      </c>
      <c r="C433" s="1" t="n">
        <v>46087</v>
      </c>
      <c r="D433" t="inlineStr">
        <is>
          <t>GOTLANDS LÄN</t>
        </is>
      </c>
      <c r="E433" t="inlineStr">
        <is>
          <t>GOTLAND</t>
        </is>
      </c>
      <c r="G433" t="n">
        <v>4.4</v>
      </c>
      <c r="H433" t="n">
        <v>0</v>
      </c>
      <c r="I433" t="n">
        <v>0</v>
      </c>
      <c r="J433" t="n">
        <v>0</v>
      </c>
      <c r="K433" t="n">
        <v>0</v>
      </c>
      <c r="L433" t="n">
        <v>0</v>
      </c>
      <c r="M433" t="n">
        <v>0</v>
      </c>
      <c r="N433" t="n">
        <v>0</v>
      </c>
      <c r="O433" t="n">
        <v>0</v>
      </c>
      <c r="P433" t="n">
        <v>0</v>
      </c>
      <c r="Q433" t="n">
        <v>0</v>
      </c>
      <c r="R433" s="2" t="inlineStr"/>
    </row>
    <row r="434" ht="15" customHeight="1">
      <c r="A434" t="inlineStr">
        <is>
          <t>A 9901-2026</t>
        </is>
      </c>
      <c r="B434" s="1" t="n">
        <v>46073.40391203704</v>
      </c>
      <c r="C434" s="1" t="n">
        <v>46087</v>
      </c>
      <c r="D434" t="inlineStr">
        <is>
          <t>GOTLANDS LÄN</t>
        </is>
      </c>
      <c r="E434" t="inlineStr">
        <is>
          <t>GOTLAND</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30061-2025</t>
        </is>
      </c>
      <c r="B435" s="1" t="n">
        <v>45826.61488425926</v>
      </c>
      <c r="C435" s="1" t="n">
        <v>46087</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17901-2023</t>
        </is>
      </c>
      <c r="B436" s="1" t="n">
        <v>45039</v>
      </c>
      <c r="C436" s="1" t="n">
        <v>46087</v>
      </c>
      <c r="D436" t="inlineStr">
        <is>
          <t>GOTLANDS LÄN</t>
        </is>
      </c>
      <c r="E436" t="inlineStr">
        <is>
          <t>GOTLAND</t>
        </is>
      </c>
      <c r="F436" t="inlineStr">
        <is>
          <t>Kyrkan</t>
        </is>
      </c>
      <c r="G436" t="n">
        <v>0.6</v>
      </c>
      <c r="H436" t="n">
        <v>0</v>
      </c>
      <c r="I436" t="n">
        <v>0</v>
      </c>
      <c r="J436" t="n">
        <v>0</v>
      </c>
      <c r="K436" t="n">
        <v>0</v>
      </c>
      <c r="L436" t="n">
        <v>0</v>
      </c>
      <c r="M436" t="n">
        <v>0</v>
      </c>
      <c r="N436" t="n">
        <v>0</v>
      </c>
      <c r="O436" t="n">
        <v>0</v>
      </c>
      <c r="P436" t="n">
        <v>0</v>
      </c>
      <c r="Q436" t="n">
        <v>0</v>
      </c>
      <c r="R436" s="2" t="inlineStr"/>
    </row>
    <row r="437" ht="15" customHeight="1">
      <c r="A437" t="inlineStr">
        <is>
          <t>A 1355-2026</t>
        </is>
      </c>
      <c r="B437" s="1" t="n">
        <v>46031.59909722222</v>
      </c>
      <c r="C437" s="1" t="n">
        <v>46087</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44467.49048611111</v>
      </c>
      <c r="C438" s="1" t="n">
        <v>46087</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58160-2024</t>
        </is>
      </c>
      <c r="B439" s="1" t="n">
        <v>45632.44927083333</v>
      </c>
      <c r="C439" s="1" t="n">
        <v>46087</v>
      </c>
      <c r="D439" t="inlineStr">
        <is>
          <t>GOTLANDS LÄN</t>
        </is>
      </c>
      <c r="E439" t="inlineStr">
        <is>
          <t>GOTLAND</t>
        </is>
      </c>
      <c r="G439" t="n">
        <v>5.6</v>
      </c>
      <c r="H439" t="n">
        <v>0</v>
      </c>
      <c r="I439" t="n">
        <v>0</v>
      </c>
      <c r="J439" t="n">
        <v>0</v>
      </c>
      <c r="K439" t="n">
        <v>0</v>
      </c>
      <c r="L439" t="n">
        <v>0</v>
      </c>
      <c r="M439" t="n">
        <v>0</v>
      </c>
      <c r="N439" t="n">
        <v>0</v>
      </c>
      <c r="O439" t="n">
        <v>0</v>
      </c>
      <c r="P439" t="n">
        <v>0</v>
      </c>
      <c r="Q439" t="n">
        <v>0</v>
      </c>
      <c r="R439" s="2" t="inlineStr"/>
    </row>
    <row r="440" ht="15" customHeight="1">
      <c r="A440" t="inlineStr">
        <is>
          <t>A 10486-2026</t>
        </is>
      </c>
      <c r="B440" s="1" t="n">
        <v>46077.51425925926</v>
      </c>
      <c r="C440" s="1" t="n">
        <v>46087</v>
      </c>
      <c r="D440" t="inlineStr">
        <is>
          <t>GOTLANDS LÄN</t>
        </is>
      </c>
      <c r="E440" t="inlineStr">
        <is>
          <t>GOTLAND</t>
        </is>
      </c>
      <c r="G440" t="n">
        <v>3.5</v>
      </c>
      <c r="H440" t="n">
        <v>0</v>
      </c>
      <c r="I440" t="n">
        <v>0</v>
      </c>
      <c r="J440" t="n">
        <v>0</v>
      </c>
      <c r="K440" t="n">
        <v>0</v>
      </c>
      <c r="L440" t="n">
        <v>0</v>
      </c>
      <c r="M440" t="n">
        <v>0</v>
      </c>
      <c r="N440" t="n">
        <v>0</v>
      </c>
      <c r="O440" t="n">
        <v>0</v>
      </c>
      <c r="P440" t="n">
        <v>0</v>
      </c>
      <c r="Q440" t="n">
        <v>0</v>
      </c>
      <c r="R440" s="2" t="inlineStr"/>
    </row>
    <row r="441" ht="15" customHeight="1">
      <c r="A441" t="inlineStr">
        <is>
          <t>A 46396-2023</t>
        </is>
      </c>
      <c r="B441" s="1" t="n">
        <v>45197</v>
      </c>
      <c r="C441" s="1" t="n">
        <v>46087</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62836-2025</t>
        </is>
      </c>
      <c r="B442" s="1" t="n">
        <v>46008</v>
      </c>
      <c r="C442" s="1" t="n">
        <v>46087</v>
      </c>
      <c r="D442" t="inlineStr">
        <is>
          <t>GOTLANDS LÄN</t>
        </is>
      </c>
      <c r="E442" t="inlineStr">
        <is>
          <t>GOTLAND</t>
        </is>
      </c>
      <c r="G442" t="n">
        <v>6.5</v>
      </c>
      <c r="H442" t="n">
        <v>0</v>
      </c>
      <c r="I442" t="n">
        <v>0</v>
      </c>
      <c r="J442" t="n">
        <v>0</v>
      </c>
      <c r="K442" t="n">
        <v>0</v>
      </c>
      <c r="L442" t="n">
        <v>0</v>
      </c>
      <c r="M442" t="n">
        <v>0</v>
      </c>
      <c r="N442" t="n">
        <v>0</v>
      </c>
      <c r="O442" t="n">
        <v>0</v>
      </c>
      <c r="P442" t="n">
        <v>0</v>
      </c>
      <c r="Q442" t="n">
        <v>0</v>
      </c>
      <c r="R442" s="2" t="inlineStr"/>
    </row>
    <row r="443" ht="15" customHeight="1">
      <c r="A443" t="inlineStr">
        <is>
          <t>A 17724-2024</t>
        </is>
      </c>
      <c r="B443" s="1" t="n">
        <v>45418.55096064815</v>
      </c>
      <c r="C443" s="1" t="n">
        <v>46087</v>
      </c>
      <c r="D443" t="inlineStr">
        <is>
          <t>GOTLANDS LÄN</t>
        </is>
      </c>
      <c r="E443" t="inlineStr">
        <is>
          <t>GOTLAND</t>
        </is>
      </c>
      <c r="G443" t="n">
        <v>2</v>
      </c>
      <c r="H443" t="n">
        <v>0</v>
      </c>
      <c r="I443" t="n">
        <v>0</v>
      </c>
      <c r="J443" t="n">
        <v>0</v>
      </c>
      <c r="K443" t="n">
        <v>0</v>
      </c>
      <c r="L443" t="n">
        <v>0</v>
      </c>
      <c r="M443" t="n">
        <v>0</v>
      </c>
      <c r="N443" t="n">
        <v>0</v>
      </c>
      <c r="O443" t="n">
        <v>0</v>
      </c>
      <c r="P443" t="n">
        <v>0</v>
      </c>
      <c r="Q443" t="n">
        <v>0</v>
      </c>
      <c r="R443" s="2" t="inlineStr"/>
    </row>
    <row r="444" ht="15" customHeight="1">
      <c r="A444" t="inlineStr">
        <is>
          <t>A 34312-2024</t>
        </is>
      </c>
      <c r="B444" s="1" t="n">
        <v>45524.69703703704</v>
      </c>
      <c r="C444" s="1" t="n">
        <v>46087</v>
      </c>
      <c r="D444" t="inlineStr">
        <is>
          <t>GOTLANDS LÄN</t>
        </is>
      </c>
      <c r="E444" t="inlineStr">
        <is>
          <t>GOTLAND</t>
        </is>
      </c>
      <c r="G444" t="n">
        <v>2</v>
      </c>
      <c r="H444" t="n">
        <v>0</v>
      </c>
      <c r="I444" t="n">
        <v>0</v>
      </c>
      <c r="J444" t="n">
        <v>0</v>
      </c>
      <c r="K444" t="n">
        <v>0</v>
      </c>
      <c r="L444" t="n">
        <v>0</v>
      </c>
      <c r="M444" t="n">
        <v>0</v>
      </c>
      <c r="N444" t="n">
        <v>0</v>
      </c>
      <c r="O444" t="n">
        <v>0</v>
      </c>
      <c r="P444" t="n">
        <v>0</v>
      </c>
      <c r="Q444" t="n">
        <v>0</v>
      </c>
      <c r="R444" s="2" t="inlineStr"/>
    </row>
    <row r="445" ht="15" customHeight="1">
      <c r="A445" t="inlineStr">
        <is>
          <t>A 2135-2026</t>
        </is>
      </c>
      <c r="B445" s="1" t="n">
        <v>46036</v>
      </c>
      <c r="C445" s="1" t="n">
        <v>46087</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10284-2026</t>
        </is>
      </c>
      <c r="B446" s="1" t="n">
        <v>46076</v>
      </c>
      <c r="C446" s="1" t="n">
        <v>46087</v>
      </c>
      <c r="D446" t="inlineStr">
        <is>
          <t>GOTLANDS LÄN</t>
        </is>
      </c>
      <c r="E446" t="inlineStr">
        <is>
          <t>GOTLAND</t>
        </is>
      </c>
      <c r="G446" t="n">
        <v>5.2</v>
      </c>
      <c r="H446" t="n">
        <v>0</v>
      </c>
      <c r="I446" t="n">
        <v>0</v>
      </c>
      <c r="J446" t="n">
        <v>0</v>
      </c>
      <c r="K446" t="n">
        <v>0</v>
      </c>
      <c r="L446" t="n">
        <v>0</v>
      </c>
      <c r="M446" t="n">
        <v>0</v>
      </c>
      <c r="N446" t="n">
        <v>0</v>
      </c>
      <c r="O446" t="n">
        <v>0</v>
      </c>
      <c r="P446" t="n">
        <v>0</v>
      </c>
      <c r="Q446" t="n">
        <v>0</v>
      </c>
      <c r="R446" s="2" t="inlineStr"/>
    </row>
    <row r="447" ht="15" customHeight="1">
      <c r="A447" t="inlineStr">
        <is>
          <t>A 1898-2026</t>
        </is>
      </c>
      <c r="B447" s="1" t="n">
        <v>46035.52024305556</v>
      </c>
      <c r="C447" s="1" t="n">
        <v>46087</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2134-2026</t>
        </is>
      </c>
      <c r="B448" s="1" t="n">
        <v>46036</v>
      </c>
      <c r="C448" s="1" t="n">
        <v>46087</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1839-2026</t>
        </is>
      </c>
      <c r="B449" s="1" t="n">
        <v>46035.3942824074</v>
      </c>
      <c r="C449" s="1" t="n">
        <v>46087</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69112-2021</t>
        </is>
      </c>
      <c r="B450" s="1" t="n">
        <v>44530</v>
      </c>
      <c r="C450" s="1" t="n">
        <v>46087</v>
      </c>
      <c r="D450" t="inlineStr">
        <is>
          <t>GOTLANDS LÄN</t>
        </is>
      </c>
      <c r="E450" t="inlineStr">
        <is>
          <t>GOTLAND</t>
        </is>
      </c>
      <c r="G450" t="n">
        <v>4.2</v>
      </c>
      <c r="H450" t="n">
        <v>0</v>
      </c>
      <c r="I450" t="n">
        <v>0</v>
      </c>
      <c r="J450" t="n">
        <v>0</v>
      </c>
      <c r="K450" t="n">
        <v>0</v>
      </c>
      <c r="L450" t="n">
        <v>0</v>
      </c>
      <c r="M450" t="n">
        <v>0</v>
      </c>
      <c r="N450" t="n">
        <v>0</v>
      </c>
      <c r="O450" t="n">
        <v>0</v>
      </c>
      <c r="P450" t="n">
        <v>0</v>
      </c>
      <c r="Q450" t="n">
        <v>0</v>
      </c>
      <c r="R450" s="2" t="inlineStr"/>
    </row>
    <row r="451" ht="15" customHeight="1">
      <c r="A451" t="inlineStr">
        <is>
          <t>A 2415-2026</t>
        </is>
      </c>
      <c r="B451" s="1" t="n">
        <v>46036.76203703704</v>
      </c>
      <c r="C451" s="1" t="n">
        <v>46087</v>
      </c>
      <c r="D451" t="inlineStr">
        <is>
          <t>GOTLANDS LÄN</t>
        </is>
      </c>
      <c r="E451" t="inlineStr">
        <is>
          <t>GOTLAND</t>
        </is>
      </c>
      <c r="G451" t="n">
        <v>6.9</v>
      </c>
      <c r="H451" t="n">
        <v>0</v>
      </c>
      <c r="I451" t="n">
        <v>0</v>
      </c>
      <c r="J451" t="n">
        <v>0</v>
      </c>
      <c r="K451" t="n">
        <v>0</v>
      </c>
      <c r="L451" t="n">
        <v>0</v>
      </c>
      <c r="M451" t="n">
        <v>0</v>
      </c>
      <c r="N451" t="n">
        <v>0</v>
      </c>
      <c r="O451" t="n">
        <v>0</v>
      </c>
      <c r="P451" t="n">
        <v>0</v>
      </c>
      <c r="Q451" t="n">
        <v>0</v>
      </c>
      <c r="R451" s="2" t="inlineStr"/>
    </row>
    <row r="452" ht="15" customHeight="1">
      <c r="A452" t="inlineStr">
        <is>
          <t>A 7638-2025</t>
        </is>
      </c>
      <c r="B452" s="1" t="n">
        <v>45705.77306712963</v>
      </c>
      <c r="C452" s="1" t="n">
        <v>46087</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62754-2025</t>
        </is>
      </c>
      <c r="B453" s="1" t="n">
        <v>46008</v>
      </c>
      <c r="C453" s="1" t="n">
        <v>46087</v>
      </c>
      <c r="D453" t="inlineStr">
        <is>
          <t>GOTLANDS LÄN</t>
        </is>
      </c>
      <c r="E453" t="inlineStr">
        <is>
          <t>GOTLAND</t>
        </is>
      </c>
      <c r="F453" t="inlineStr">
        <is>
          <t>Övriga Aktiebolag</t>
        </is>
      </c>
      <c r="G453" t="n">
        <v>2.9</v>
      </c>
      <c r="H453" t="n">
        <v>0</v>
      </c>
      <c r="I453" t="n">
        <v>0</v>
      </c>
      <c r="J453" t="n">
        <v>0</v>
      </c>
      <c r="K453" t="n">
        <v>0</v>
      </c>
      <c r="L453" t="n">
        <v>0</v>
      </c>
      <c r="M453" t="n">
        <v>0</v>
      </c>
      <c r="N453" t="n">
        <v>0</v>
      </c>
      <c r="O453" t="n">
        <v>0</v>
      </c>
      <c r="P453" t="n">
        <v>0</v>
      </c>
      <c r="Q453" t="n">
        <v>0</v>
      </c>
      <c r="R453" s="2" t="inlineStr"/>
    </row>
    <row r="454" ht="15" customHeight="1">
      <c r="A454" t="inlineStr">
        <is>
          <t>A 50482-2024</t>
        </is>
      </c>
      <c r="B454" s="1" t="n">
        <v>45601.48114583334</v>
      </c>
      <c r="C454" s="1" t="n">
        <v>46087</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1394-2023</t>
        </is>
      </c>
      <c r="B455" s="1" t="n">
        <v>44936.72997685185</v>
      </c>
      <c r="C455" s="1" t="n">
        <v>46087</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63000-2025</t>
        </is>
      </c>
      <c r="B456" s="1" t="n">
        <v>46009</v>
      </c>
      <c r="C456" s="1" t="n">
        <v>46087</v>
      </c>
      <c r="D456" t="inlineStr">
        <is>
          <t>GOTLANDS LÄN</t>
        </is>
      </c>
      <c r="E456" t="inlineStr">
        <is>
          <t>GOTLAND</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62751-2025</t>
        </is>
      </c>
      <c r="B457" s="1" t="n">
        <v>46008</v>
      </c>
      <c r="C457" s="1" t="n">
        <v>46087</v>
      </c>
      <c r="D457" t="inlineStr">
        <is>
          <t>GOTLANDS LÄN</t>
        </is>
      </c>
      <c r="E457" t="inlineStr">
        <is>
          <t>GOTLAND</t>
        </is>
      </c>
      <c r="F457" t="inlineStr">
        <is>
          <t>Övriga Aktiebolag</t>
        </is>
      </c>
      <c r="G457" t="n">
        <v>7.8</v>
      </c>
      <c r="H457" t="n">
        <v>0</v>
      </c>
      <c r="I457" t="n">
        <v>0</v>
      </c>
      <c r="J457" t="n">
        <v>0</v>
      </c>
      <c r="K457" t="n">
        <v>0</v>
      </c>
      <c r="L457" t="n">
        <v>0</v>
      </c>
      <c r="M457" t="n">
        <v>0</v>
      </c>
      <c r="N457" t="n">
        <v>0</v>
      </c>
      <c r="O457" t="n">
        <v>0</v>
      </c>
      <c r="P457" t="n">
        <v>0</v>
      </c>
      <c r="Q457" t="n">
        <v>0</v>
      </c>
      <c r="R457" s="2" t="inlineStr"/>
    </row>
    <row r="458" ht="15" customHeight="1">
      <c r="A458" t="inlineStr">
        <is>
          <t>A 58230-2024</t>
        </is>
      </c>
      <c r="B458" s="1" t="n">
        <v>45632.51625</v>
      </c>
      <c r="C458" s="1" t="n">
        <v>46087</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1462-2025</t>
        </is>
      </c>
      <c r="B459" s="1" t="n">
        <v>45670.36319444444</v>
      </c>
      <c r="C459" s="1" t="n">
        <v>46087</v>
      </c>
      <c r="D459" t="inlineStr">
        <is>
          <t>GOTLANDS LÄN</t>
        </is>
      </c>
      <c r="E459" t="inlineStr">
        <is>
          <t>GOTLAND</t>
        </is>
      </c>
      <c r="G459" t="n">
        <v>2.8</v>
      </c>
      <c r="H459" t="n">
        <v>0</v>
      </c>
      <c r="I459" t="n">
        <v>0</v>
      </c>
      <c r="J459" t="n">
        <v>0</v>
      </c>
      <c r="K459" t="n">
        <v>0</v>
      </c>
      <c r="L459" t="n">
        <v>0</v>
      </c>
      <c r="M459" t="n">
        <v>0</v>
      </c>
      <c r="N459" t="n">
        <v>0</v>
      </c>
      <c r="O459" t="n">
        <v>0</v>
      </c>
      <c r="P459" t="n">
        <v>0</v>
      </c>
      <c r="Q459" t="n">
        <v>0</v>
      </c>
      <c r="R459" s="2" t="inlineStr"/>
    </row>
    <row r="460" ht="15" customHeight="1">
      <c r="A460" t="inlineStr">
        <is>
          <t>A 11414-2026</t>
        </is>
      </c>
      <c r="B460" s="1" t="n">
        <v>46083.46336805556</v>
      </c>
      <c r="C460" s="1" t="n">
        <v>46087</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25129-2023</t>
        </is>
      </c>
      <c r="B461" s="1" t="n">
        <v>45086.44261574074</v>
      </c>
      <c r="C461" s="1" t="n">
        <v>46087</v>
      </c>
      <c r="D461" t="inlineStr">
        <is>
          <t>GOTLANDS LÄN</t>
        </is>
      </c>
      <c r="E461" t="inlineStr">
        <is>
          <t>GOTLAND</t>
        </is>
      </c>
      <c r="G461" t="n">
        <v>1.5</v>
      </c>
      <c r="H461" t="n">
        <v>0</v>
      </c>
      <c r="I461" t="n">
        <v>0</v>
      </c>
      <c r="J461" t="n">
        <v>0</v>
      </c>
      <c r="K461" t="n">
        <v>0</v>
      </c>
      <c r="L461" t="n">
        <v>0</v>
      </c>
      <c r="M461" t="n">
        <v>0</v>
      </c>
      <c r="N461" t="n">
        <v>0</v>
      </c>
      <c r="O461" t="n">
        <v>0</v>
      </c>
      <c r="P461" t="n">
        <v>0</v>
      </c>
      <c r="Q461" t="n">
        <v>0</v>
      </c>
      <c r="R461" s="2" t="inlineStr"/>
    </row>
    <row r="462" ht="15" customHeight="1">
      <c r="A462" t="inlineStr">
        <is>
          <t>A 24192-2023</t>
        </is>
      </c>
      <c r="B462" s="1" t="n">
        <v>45079</v>
      </c>
      <c r="C462" s="1" t="n">
        <v>46087</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11424-2026</t>
        </is>
      </c>
      <c r="B463" s="1" t="n">
        <v>46083.48068287037</v>
      </c>
      <c r="C463" s="1" t="n">
        <v>46087</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5386-2023</t>
        </is>
      </c>
      <c r="B464" s="1" t="n">
        <v>44959</v>
      </c>
      <c r="C464" s="1" t="n">
        <v>46087</v>
      </c>
      <c r="D464" t="inlineStr">
        <is>
          <t>GOTLANDS LÄN</t>
        </is>
      </c>
      <c r="E464" t="inlineStr">
        <is>
          <t>GOTLAND</t>
        </is>
      </c>
      <c r="G464" t="n">
        <v>5.4</v>
      </c>
      <c r="H464" t="n">
        <v>0</v>
      </c>
      <c r="I464" t="n">
        <v>0</v>
      </c>
      <c r="J464" t="n">
        <v>0</v>
      </c>
      <c r="K464" t="n">
        <v>0</v>
      </c>
      <c r="L464" t="n">
        <v>0</v>
      </c>
      <c r="M464" t="n">
        <v>0</v>
      </c>
      <c r="N464" t="n">
        <v>0</v>
      </c>
      <c r="O464" t="n">
        <v>0</v>
      </c>
      <c r="P464" t="n">
        <v>0</v>
      </c>
      <c r="Q464" t="n">
        <v>0</v>
      </c>
      <c r="R464" s="2" t="inlineStr"/>
    </row>
    <row r="465" ht="15" customHeight="1">
      <c r="A465" t="inlineStr">
        <is>
          <t>A 53587-2025</t>
        </is>
      </c>
      <c r="B465" s="1" t="n">
        <v>45960.43681712963</v>
      </c>
      <c r="C465" s="1" t="n">
        <v>46087</v>
      </c>
      <c r="D465" t="inlineStr">
        <is>
          <t>GOTLANDS LÄN</t>
        </is>
      </c>
      <c r="E465" t="inlineStr">
        <is>
          <t>GOTLAND</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7026-2023</t>
        </is>
      </c>
      <c r="B466" s="1" t="n">
        <v>44968.30340277778</v>
      </c>
      <c r="C466" s="1" t="n">
        <v>46087</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20855-2023</t>
        </is>
      </c>
      <c r="B467" s="1" t="n">
        <v>45058.82172453704</v>
      </c>
      <c r="C467" s="1" t="n">
        <v>46087</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3067-2026</t>
        </is>
      </c>
      <c r="B468" s="1" t="n">
        <v>46040.59025462963</v>
      </c>
      <c r="C468" s="1" t="n">
        <v>46087</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1000-2024</t>
        </is>
      </c>
      <c r="B469" s="1" t="n">
        <v>45301.63371527778</v>
      </c>
      <c r="C469" s="1" t="n">
        <v>46087</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1010-2024</t>
        </is>
      </c>
      <c r="B470" s="1" t="n">
        <v>45301</v>
      </c>
      <c r="C470" s="1" t="n">
        <v>46087</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53561-2025</t>
        </is>
      </c>
      <c r="B471" s="1" t="n">
        <v>45960.4059375</v>
      </c>
      <c r="C471" s="1" t="n">
        <v>46087</v>
      </c>
      <c r="D471" t="inlineStr">
        <is>
          <t>GOTLANDS LÄN</t>
        </is>
      </c>
      <c r="E471" t="inlineStr">
        <is>
          <t>GOTLAND</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3253-2026</t>
        </is>
      </c>
      <c r="B472" s="1" t="n">
        <v>46041.58902777778</v>
      </c>
      <c r="C472" s="1" t="n">
        <v>46087</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47762-2023</t>
        </is>
      </c>
      <c r="B473" s="1" t="n">
        <v>45203.86256944444</v>
      </c>
      <c r="C473" s="1" t="n">
        <v>46087</v>
      </c>
      <c r="D473" t="inlineStr">
        <is>
          <t>GOTLANDS LÄN</t>
        </is>
      </c>
      <c r="E473" t="inlineStr">
        <is>
          <t>GOTLAND</t>
        </is>
      </c>
      <c r="G473" t="n">
        <v>1.3</v>
      </c>
      <c r="H473" t="n">
        <v>0</v>
      </c>
      <c r="I473" t="n">
        <v>0</v>
      </c>
      <c r="J473" t="n">
        <v>0</v>
      </c>
      <c r="K473" t="n">
        <v>0</v>
      </c>
      <c r="L473" t="n">
        <v>0</v>
      </c>
      <c r="M473" t="n">
        <v>0</v>
      </c>
      <c r="N473" t="n">
        <v>0</v>
      </c>
      <c r="O473" t="n">
        <v>0</v>
      </c>
      <c r="P473" t="n">
        <v>0</v>
      </c>
      <c r="Q473" t="n">
        <v>0</v>
      </c>
      <c r="R473" s="2" t="inlineStr"/>
    </row>
    <row r="474" ht="15" customHeight="1">
      <c r="A474" t="inlineStr">
        <is>
          <t>A 32379-2025</t>
        </is>
      </c>
      <c r="B474" s="1" t="n">
        <v>45837</v>
      </c>
      <c r="C474" s="1" t="n">
        <v>46087</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11982-2026</t>
        </is>
      </c>
      <c r="B475" s="1" t="n">
        <v>46085.6434375</v>
      </c>
      <c r="C475" s="1" t="n">
        <v>46087</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46545-2024</t>
        </is>
      </c>
      <c r="B476" s="1" t="n">
        <v>45582.65831018519</v>
      </c>
      <c r="C476" s="1" t="n">
        <v>46087</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1854-2026</t>
        </is>
      </c>
      <c r="B477" s="1" t="n">
        <v>46035.4171875</v>
      </c>
      <c r="C477" s="1" t="n">
        <v>46087</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60086-2022</t>
        </is>
      </c>
      <c r="B478" s="1" t="n">
        <v>44909</v>
      </c>
      <c r="C478" s="1" t="n">
        <v>46087</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28480-2023</t>
        </is>
      </c>
      <c r="B479" s="1" t="n">
        <v>45103</v>
      </c>
      <c r="C479" s="1" t="n">
        <v>46087</v>
      </c>
      <c r="D479" t="inlineStr">
        <is>
          <t>GOTLANDS LÄN</t>
        </is>
      </c>
      <c r="E479" t="inlineStr">
        <is>
          <t>GOTLAND</t>
        </is>
      </c>
      <c r="G479" t="n">
        <v>5.7</v>
      </c>
      <c r="H479" t="n">
        <v>0</v>
      </c>
      <c r="I479" t="n">
        <v>0</v>
      </c>
      <c r="J479" t="n">
        <v>0</v>
      </c>
      <c r="K479" t="n">
        <v>0</v>
      </c>
      <c r="L479" t="n">
        <v>0</v>
      </c>
      <c r="M479" t="n">
        <v>0</v>
      </c>
      <c r="N479" t="n">
        <v>0</v>
      </c>
      <c r="O479" t="n">
        <v>0</v>
      </c>
      <c r="P479" t="n">
        <v>0</v>
      </c>
      <c r="Q479" t="n">
        <v>0</v>
      </c>
      <c r="R479" s="2" t="inlineStr"/>
    </row>
    <row r="480" ht="15" customHeight="1">
      <c r="A480" t="inlineStr">
        <is>
          <t>A 28485-2023</t>
        </is>
      </c>
      <c r="B480" s="1" t="n">
        <v>45103.43731481482</v>
      </c>
      <c r="C480" s="1" t="n">
        <v>46087</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12135-2026</t>
        </is>
      </c>
      <c r="B481" s="1" t="n">
        <v>46086</v>
      </c>
      <c r="C481" s="1" t="n">
        <v>46087</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32467-2025</t>
        </is>
      </c>
      <c r="B482" s="1" t="n">
        <v>45838.42111111111</v>
      </c>
      <c r="C482" s="1" t="n">
        <v>46087</v>
      </c>
      <c r="D482" t="inlineStr">
        <is>
          <t>GOTLANDS LÄN</t>
        </is>
      </c>
      <c r="E482" t="inlineStr">
        <is>
          <t>GOTLAND</t>
        </is>
      </c>
      <c r="G482" t="n">
        <v>4.3</v>
      </c>
      <c r="H482" t="n">
        <v>0</v>
      </c>
      <c r="I482" t="n">
        <v>0</v>
      </c>
      <c r="J482" t="n">
        <v>0</v>
      </c>
      <c r="K482" t="n">
        <v>0</v>
      </c>
      <c r="L482" t="n">
        <v>0</v>
      </c>
      <c r="M482" t="n">
        <v>0</v>
      </c>
      <c r="N482" t="n">
        <v>0</v>
      </c>
      <c r="O482" t="n">
        <v>0</v>
      </c>
      <c r="P482" t="n">
        <v>0</v>
      </c>
      <c r="Q482" t="n">
        <v>0</v>
      </c>
      <c r="R482" s="2" t="inlineStr"/>
    </row>
    <row r="483" ht="15" customHeight="1">
      <c r="A483" t="inlineStr">
        <is>
          <t>A 62915-2021</t>
        </is>
      </c>
      <c r="B483" s="1" t="n">
        <v>44504</v>
      </c>
      <c r="C483" s="1" t="n">
        <v>46087</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16109-2025</t>
        </is>
      </c>
      <c r="B484" s="1" t="n">
        <v>45750</v>
      </c>
      <c r="C484" s="1" t="n">
        <v>46087</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44949-2023</t>
        </is>
      </c>
      <c r="B485" s="1" t="n">
        <v>45190.69520833333</v>
      </c>
      <c r="C485" s="1" t="n">
        <v>46087</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37222-2021</t>
        </is>
      </c>
      <c r="B486" s="1" t="n">
        <v>44396</v>
      </c>
      <c r="C486" s="1" t="n">
        <v>46087</v>
      </c>
      <c r="D486" t="inlineStr">
        <is>
          <t>GOTLANDS LÄN</t>
        </is>
      </c>
      <c r="E486" t="inlineStr">
        <is>
          <t>GOTLAND</t>
        </is>
      </c>
      <c r="G486" t="n">
        <v>3</v>
      </c>
      <c r="H486" t="n">
        <v>0</v>
      </c>
      <c r="I486" t="n">
        <v>0</v>
      </c>
      <c r="J486" t="n">
        <v>0</v>
      </c>
      <c r="K486" t="n">
        <v>0</v>
      </c>
      <c r="L486" t="n">
        <v>0</v>
      </c>
      <c r="M486" t="n">
        <v>0</v>
      </c>
      <c r="N486" t="n">
        <v>0</v>
      </c>
      <c r="O486" t="n">
        <v>0</v>
      </c>
      <c r="P486" t="n">
        <v>0</v>
      </c>
      <c r="Q486" t="n">
        <v>0</v>
      </c>
      <c r="R486" s="2" t="inlineStr"/>
    </row>
    <row r="487" ht="15" customHeight="1">
      <c r="A487" t="inlineStr">
        <is>
          <t>A 33007-2025</t>
        </is>
      </c>
      <c r="B487" s="1" t="n">
        <v>45840</v>
      </c>
      <c r="C487" s="1" t="n">
        <v>46087</v>
      </c>
      <c r="D487" t="inlineStr">
        <is>
          <t>GOTLANDS LÄN</t>
        </is>
      </c>
      <c r="E487" t="inlineStr">
        <is>
          <t>GOTLAND</t>
        </is>
      </c>
      <c r="G487" t="n">
        <v>4.9</v>
      </c>
      <c r="H487" t="n">
        <v>0</v>
      </c>
      <c r="I487" t="n">
        <v>0</v>
      </c>
      <c r="J487" t="n">
        <v>0</v>
      </c>
      <c r="K487" t="n">
        <v>0</v>
      </c>
      <c r="L487" t="n">
        <v>0</v>
      </c>
      <c r="M487" t="n">
        <v>0</v>
      </c>
      <c r="N487" t="n">
        <v>0</v>
      </c>
      <c r="O487" t="n">
        <v>0</v>
      </c>
      <c r="P487" t="n">
        <v>0</v>
      </c>
      <c r="Q487" t="n">
        <v>0</v>
      </c>
      <c r="R487" s="2" t="inlineStr"/>
    </row>
    <row r="488" ht="15" customHeight="1">
      <c r="A488" t="inlineStr">
        <is>
          <t>A 3964-2024</t>
        </is>
      </c>
      <c r="B488" s="1" t="n">
        <v>45322</v>
      </c>
      <c r="C488" s="1" t="n">
        <v>46087</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45084-2024</t>
        </is>
      </c>
      <c r="B489" s="1" t="n">
        <v>45575</v>
      </c>
      <c r="C489" s="1" t="n">
        <v>46087</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5217-2023</t>
        </is>
      </c>
      <c r="B490" s="1" t="n">
        <v>44959.39582175926</v>
      </c>
      <c r="C490" s="1" t="n">
        <v>46087</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46087</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1677-2023</t>
        </is>
      </c>
      <c r="B492" s="1" t="n">
        <v>44938</v>
      </c>
      <c r="C492" s="1" t="n">
        <v>46087</v>
      </c>
      <c r="D492" t="inlineStr">
        <is>
          <t>GOTLANDS LÄN</t>
        </is>
      </c>
      <c r="E492" t="inlineStr">
        <is>
          <t>GOTLAND</t>
        </is>
      </c>
      <c r="G492" t="n">
        <v>1.6</v>
      </c>
      <c r="H492" t="n">
        <v>0</v>
      </c>
      <c r="I492" t="n">
        <v>0</v>
      </c>
      <c r="J492" t="n">
        <v>0</v>
      </c>
      <c r="K492" t="n">
        <v>0</v>
      </c>
      <c r="L492" t="n">
        <v>0</v>
      </c>
      <c r="M492" t="n">
        <v>0</v>
      </c>
      <c r="N492" t="n">
        <v>0</v>
      </c>
      <c r="O492" t="n">
        <v>0</v>
      </c>
      <c r="P492" t="n">
        <v>0</v>
      </c>
      <c r="Q492" t="n">
        <v>0</v>
      </c>
      <c r="R492" s="2" t="inlineStr"/>
    </row>
    <row r="493" ht="15" customHeight="1">
      <c r="A493" t="inlineStr">
        <is>
          <t>A 35123-2025</t>
        </is>
      </c>
      <c r="B493" s="1" t="n">
        <v>45852.614375</v>
      </c>
      <c r="C493" s="1" t="n">
        <v>46087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45244-2024</t>
        </is>
      </c>
      <c r="B494" s="1" t="n">
        <v>45576</v>
      </c>
      <c r="C494" s="1" t="n">
        <v>46087</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35096-2025</t>
        </is>
      </c>
      <c r="B495" s="1" t="n">
        <v>45852.54356481481</v>
      </c>
      <c r="C495" s="1" t="n">
        <v>46087</v>
      </c>
      <c r="D495" t="inlineStr">
        <is>
          <t>GOTLANDS LÄN</t>
        </is>
      </c>
      <c r="E495" t="inlineStr">
        <is>
          <t>GOTLAND</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30104-2025</t>
        </is>
      </c>
      <c r="B496" s="1" t="n">
        <v>45826.68806712963</v>
      </c>
      <c r="C496" s="1" t="n">
        <v>46087</v>
      </c>
      <c r="D496" t="inlineStr">
        <is>
          <t>GOTLANDS LÄN</t>
        </is>
      </c>
      <c r="E496" t="inlineStr">
        <is>
          <t>GOTLAND</t>
        </is>
      </c>
      <c r="G496" t="n">
        <v>15.4</v>
      </c>
      <c r="H496" t="n">
        <v>0</v>
      </c>
      <c r="I496" t="n">
        <v>0</v>
      </c>
      <c r="J496" t="n">
        <v>0</v>
      </c>
      <c r="K496" t="n">
        <v>0</v>
      </c>
      <c r="L496" t="n">
        <v>0</v>
      </c>
      <c r="M496" t="n">
        <v>0</v>
      </c>
      <c r="N496" t="n">
        <v>0</v>
      </c>
      <c r="O496" t="n">
        <v>0</v>
      </c>
      <c r="P496" t="n">
        <v>0</v>
      </c>
      <c r="Q496" t="n">
        <v>0</v>
      </c>
      <c r="R496" s="2" t="inlineStr"/>
    </row>
    <row r="497" ht="15" customHeight="1">
      <c r="A497" t="inlineStr">
        <is>
          <t>A 8260-2023</t>
        </is>
      </c>
      <c r="B497" s="1" t="n">
        <v>44974.61608796296</v>
      </c>
      <c r="C497" s="1" t="n">
        <v>46087</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35290-2025</t>
        </is>
      </c>
      <c r="B498" s="1" t="n">
        <v>45854.38502314815</v>
      </c>
      <c r="C498" s="1" t="n">
        <v>46087</v>
      </c>
      <c r="D498" t="inlineStr">
        <is>
          <t>GOTLANDS LÄN</t>
        </is>
      </c>
      <c r="E498" t="inlineStr">
        <is>
          <t>GOTLAND</t>
        </is>
      </c>
      <c r="G498" t="n">
        <v>5.4</v>
      </c>
      <c r="H498" t="n">
        <v>0</v>
      </c>
      <c r="I498" t="n">
        <v>0</v>
      </c>
      <c r="J498" t="n">
        <v>0</v>
      </c>
      <c r="K498" t="n">
        <v>0</v>
      </c>
      <c r="L498" t="n">
        <v>0</v>
      </c>
      <c r="M498" t="n">
        <v>0</v>
      </c>
      <c r="N498" t="n">
        <v>0</v>
      </c>
      <c r="O498" t="n">
        <v>0</v>
      </c>
      <c r="P498" t="n">
        <v>0</v>
      </c>
      <c r="Q498" t="n">
        <v>0</v>
      </c>
      <c r="R498" s="2" t="inlineStr"/>
    </row>
    <row r="499" ht="15" customHeight="1">
      <c r="A499" t="inlineStr">
        <is>
          <t>A 32669-2024</t>
        </is>
      </c>
      <c r="B499" s="1" t="n">
        <v>45514</v>
      </c>
      <c r="C499" s="1" t="n">
        <v>46087</v>
      </c>
      <c r="D499" t="inlineStr">
        <is>
          <t>GOTLANDS LÄN</t>
        </is>
      </c>
      <c r="E499" t="inlineStr">
        <is>
          <t>GOTLAND</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35537-2025</t>
        </is>
      </c>
      <c r="B500" s="1" t="n">
        <v>45856</v>
      </c>
      <c r="C500" s="1" t="n">
        <v>46087</v>
      </c>
      <c r="D500" t="inlineStr">
        <is>
          <t>GOTLANDS LÄN</t>
        </is>
      </c>
      <c r="E500" t="inlineStr">
        <is>
          <t>GOTLAND</t>
        </is>
      </c>
      <c r="G500" t="n">
        <v>16.8</v>
      </c>
      <c r="H500" t="n">
        <v>0</v>
      </c>
      <c r="I500" t="n">
        <v>0</v>
      </c>
      <c r="J500" t="n">
        <v>0</v>
      </c>
      <c r="K500" t="n">
        <v>0</v>
      </c>
      <c r="L500" t="n">
        <v>0</v>
      </c>
      <c r="M500" t="n">
        <v>0</v>
      </c>
      <c r="N500" t="n">
        <v>0</v>
      </c>
      <c r="O500" t="n">
        <v>0</v>
      </c>
      <c r="P500" t="n">
        <v>0</v>
      </c>
      <c r="Q500" t="n">
        <v>0</v>
      </c>
      <c r="R500" s="2" t="inlineStr"/>
    </row>
    <row r="501" ht="15" customHeight="1">
      <c r="A501" t="inlineStr">
        <is>
          <t>A 64969-2023</t>
        </is>
      </c>
      <c r="B501" s="1" t="n">
        <v>45284.54009259259</v>
      </c>
      <c r="C501" s="1" t="n">
        <v>46087</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48843-2024</t>
        </is>
      </c>
      <c r="B502" s="1" t="n">
        <v>45593</v>
      </c>
      <c r="C502" s="1" t="n">
        <v>46087</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17541-2024</t>
        </is>
      </c>
      <c r="B503" s="1" t="n">
        <v>45415</v>
      </c>
      <c r="C503" s="1" t="n">
        <v>46087</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2241-2025</t>
        </is>
      </c>
      <c r="B504" s="1" t="n">
        <v>45673.48710648148</v>
      </c>
      <c r="C504" s="1" t="n">
        <v>46087</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15216-2025</t>
        </is>
      </c>
      <c r="B505" s="1" t="n">
        <v>45744</v>
      </c>
      <c r="C505" s="1" t="n">
        <v>46087</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15434-2024</t>
        </is>
      </c>
      <c r="B506" s="1" t="n">
        <v>45401.38836805556</v>
      </c>
      <c r="C506" s="1" t="n">
        <v>46087</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43790-2024</t>
        </is>
      </c>
      <c r="B507" s="1" t="n">
        <v>45571</v>
      </c>
      <c r="C507" s="1" t="n">
        <v>46087</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15001-2025</t>
        </is>
      </c>
      <c r="B508" s="1" t="n">
        <v>45743</v>
      </c>
      <c r="C508" s="1" t="n">
        <v>46087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30488-2025</t>
        </is>
      </c>
      <c r="B509" s="1" t="n">
        <v>45830</v>
      </c>
      <c r="C509" s="1" t="n">
        <v>46087</v>
      </c>
      <c r="D509" t="inlineStr">
        <is>
          <t>GOTLANDS LÄN</t>
        </is>
      </c>
      <c r="E509" t="inlineStr">
        <is>
          <t>GOTLAND</t>
        </is>
      </c>
      <c r="F509" t="inlineStr">
        <is>
          <t>Kyrkan</t>
        </is>
      </c>
      <c r="G509" t="n">
        <v>3.9</v>
      </c>
      <c r="H509" t="n">
        <v>0</v>
      </c>
      <c r="I509" t="n">
        <v>0</v>
      </c>
      <c r="J509" t="n">
        <v>0</v>
      </c>
      <c r="K509" t="n">
        <v>0</v>
      </c>
      <c r="L509" t="n">
        <v>0</v>
      </c>
      <c r="M509" t="n">
        <v>0</v>
      </c>
      <c r="N509" t="n">
        <v>0</v>
      </c>
      <c r="O509" t="n">
        <v>0</v>
      </c>
      <c r="P509" t="n">
        <v>0</v>
      </c>
      <c r="Q509" t="n">
        <v>0</v>
      </c>
      <c r="R509" s="2" t="inlineStr"/>
    </row>
    <row r="510" ht="15" customHeight="1">
      <c r="A510" t="inlineStr">
        <is>
          <t>A 17847-2025</t>
        </is>
      </c>
      <c r="B510" s="1" t="n">
        <v>45758</v>
      </c>
      <c r="C510" s="1" t="n">
        <v>46087</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18742-2025</t>
        </is>
      </c>
      <c r="B511" s="1" t="n">
        <v>45763</v>
      </c>
      <c r="C511" s="1" t="n">
        <v>46087</v>
      </c>
      <c r="D511" t="inlineStr">
        <is>
          <t>GOTLANDS LÄN</t>
        </is>
      </c>
      <c r="E511" t="inlineStr">
        <is>
          <t>GOTLAND</t>
        </is>
      </c>
      <c r="G511" t="n">
        <v>3.4</v>
      </c>
      <c r="H511" t="n">
        <v>0</v>
      </c>
      <c r="I511" t="n">
        <v>0</v>
      </c>
      <c r="J511" t="n">
        <v>0</v>
      </c>
      <c r="K511" t="n">
        <v>0</v>
      </c>
      <c r="L511" t="n">
        <v>0</v>
      </c>
      <c r="M511" t="n">
        <v>0</v>
      </c>
      <c r="N511" t="n">
        <v>0</v>
      </c>
      <c r="O511" t="n">
        <v>0</v>
      </c>
      <c r="P511" t="n">
        <v>0</v>
      </c>
      <c r="Q511" t="n">
        <v>0</v>
      </c>
      <c r="R511" s="2" t="inlineStr"/>
    </row>
    <row r="512" ht="15" customHeight="1">
      <c r="A512" t="inlineStr">
        <is>
          <t>A 5943-2024</t>
        </is>
      </c>
      <c r="B512" s="1" t="n">
        <v>45336</v>
      </c>
      <c r="C512" s="1" t="n">
        <v>46087</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35129-2025</t>
        </is>
      </c>
      <c r="B513" s="1" t="n">
        <v>45852.63224537037</v>
      </c>
      <c r="C513" s="1" t="n">
        <v>46087</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54073-2022</t>
        </is>
      </c>
      <c r="B514" s="1" t="n">
        <v>44881.50380787037</v>
      </c>
      <c r="C514" s="1" t="n">
        <v>46087</v>
      </c>
      <c r="D514" t="inlineStr">
        <is>
          <t>GOTLANDS LÄN</t>
        </is>
      </c>
      <c r="E514" t="inlineStr">
        <is>
          <t>GOTLAND</t>
        </is>
      </c>
      <c r="G514" t="n">
        <v>3.8</v>
      </c>
      <c r="H514" t="n">
        <v>0</v>
      </c>
      <c r="I514" t="n">
        <v>0</v>
      </c>
      <c r="J514" t="n">
        <v>0</v>
      </c>
      <c r="K514" t="n">
        <v>0</v>
      </c>
      <c r="L514" t="n">
        <v>0</v>
      </c>
      <c r="M514" t="n">
        <v>0</v>
      </c>
      <c r="N514" t="n">
        <v>0</v>
      </c>
      <c r="O514" t="n">
        <v>0</v>
      </c>
      <c r="P514" t="n">
        <v>0</v>
      </c>
      <c r="Q514" t="n">
        <v>0</v>
      </c>
      <c r="R514" s="2" t="inlineStr"/>
    </row>
    <row r="515" ht="15" customHeight="1">
      <c r="A515" t="inlineStr">
        <is>
          <t>A 16361-2024</t>
        </is>
      </c>
      <c r="B515" s="1" t="n">
        <v>45407</v>
      </c>
      <c r="C515" s="1" t="n">
        <v>46087</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41038-2023</t>
        </is>
      </c>
      <c r="B516" s="1" t="n">
        <v>45173.60959490741</v>
      </c>
      <c r="C516" s="1" t="n">
        <v>46087</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14427-2024</t>
        </is>
      </c>
      <c r="B517" s="1" t="n">
        <v>45394</v>
      </c>
      <c r="C517" s="1" t="n">
        <v>46087</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46087</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46087</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46087</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6108-2025</t>
        </is>
      </c>
      <c r="B521" s="1" t="n">
        <v>45698.29880787037</v>
      </c>
      <c r="C521" s="1" t="n">
        <v>46087</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21142-2025</t>
        </is>
      </c>
      <c r="B522" s="1" t="n">
        <v>45779</v>
      </c>
      <c r="C522" s="1" t="n">
        <v>46087</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46949-2024</t>
        </is>
      </c>
      <c r="B523" s="1" t="n">
        <v>45585</v>
      </c>
      <c r="C523" s="1" t="n">
        <v>46087</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17343-2025</t>
        </is>
      </c>
      <c r="B524" s="1" t="n">
        <v>45756.6687037037</v>
      </c>
      <c r="C524" s="1" t="n">
        <v>46087</v>
      </c>
      <c r="D524" t="inlineStr">
        <is>
          <t>GOTLANDS LÄN</t>
        </is>
      </c>
      <c r="E524" t="inlineStr">
        <is>
          <t>GOTLAND</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10650-2022</t>
        </is>
      </c>
      <c r="B525" s="1" t="n">
        <v>44624.57945601852</v>
      </c>
      <c r="C525" s="1" t="n">
        <v>46087</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18938-2025</t>
        </is>
      </c>
      <c r="B526" s="1" t="n">
        <v>45764.49172453704</v>
      </c>
      <c r="C526" s="1" t="n">
        <v>46087</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30489-2025</t>
        </is>
      </c>
      <c r="B527" s="1" t="n">
        <v>45830</v>
      </c>
      <c r="C527" s="1" t="n">
        <v>46087</v>
      </c>
      <c r="D527" t="inlineStr">
        <is>
          <t>GOTLANDS LÄN</t>
        </is>
      </c>
      <c r="E527" t="inlineStr">
        <is>
          <t>GOTLAND</t>
        </is>
      </c>
      <c r="G527" t="n">
        <v>4.6</v>
      </c>
      <c r="H527" t="n">
        <v>0</v>
      </c>
      <c r="I527" t="n">
        <v>0</v>
      </c>
      <c r="J527" t="n">
        <v>0</v>
      </c>
      <c r="K527" t="n">
        <v>0</v>
      </c>
      <c r="L527" t="n">
        <v>0</v>
      </c>
      <c r="M527" t="n">
        <v>0</v>
      </c>
      <c r="N527" t="n">
        <v>0</v>
      </c>
      <c r="O527" t="n">
        <v>0</v>
      </c>
      <c r="P527" t="n">
        <v>0</v>
      </c>
      <c r="Q527" t="n">
        <v>0</v>
      </c>
      <c r="R527" s="2" t="inlineStr"/>
    </row>
    <row r="528" ht="15" customHeight="1">
      <c r="A528" t="inlineStr">
        <is>
          <t>A 20307-2025</t>
        </is>
      </c>
      <c r="B528" s="1" t="n">
        <v>45774.95546296296</v>
      </c>
      <c r="C528" s="1" t="n">
        <v>46087</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11634-2024</t>
        </is>
      </c>
      <c r="B529" s="1" t="n">
        <v>45373</v>
      </c>
      <c r="C529" s="1" t="n">
        <v>46087</v>
      </c>
      <c r="D529" t="inlineStr">
        <is>
          <t>GOTLANDS LÄN</t>
        </is>
      </c>
      <c r="E529" t="inlineStr">
        <is>
          <t>GOTLAND</t>
        </is>
      </c>
      <c r="G529" t="n">
        <v>3</v>
      </c>
      <c r="H529" t="n">
        <v>0</v>
      </c>
      <c r="I529" t="n">
        <v>0</v>
      </c>
      <c r="J529" t="n">
        <v>0</v>
      </c>
      <c r="K529" t="n">
        <v>0</v>
      </c>
      <c r="L529" t="n">
        <v>0</v>
      </c>
      <c r="M529" t="n">
        <v>0</v>
      </c>
      <c r="N529" t="n">
        <v>0</v>
      </c>
      <c r="O529" t="n">
        <v>0</v>
      </c>
      <c r="P529" t="n">
        <v>0</v>
      </c>
      <c r="Q529" t="n">
        <v>0</v>
      </c>
      <c r="R529" s="2" t="inlineStr"/>
    </row>
    <row r="530" ht="15" customHeight="1">
      <c r="A530" t="inlineStr">
        <is>
          <t>A 1351-2025</t>
        </is>
      </c>
      <c r="B530" s="1" t="n">
        <v>45667.62246527777</v>
      </c>
      <c r="C530" s="1" t="n">
        <v>46087</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46087</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49874-2024</t>
        </is>
      </c>
      <c r="B532" s="1" t="n">
        <v>45597.49274305555</v>
      </c>
      <c r="C532" s="1" t="n">
        <v>46087</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42201-2023</t>
        </is>
      </c>
      <c r="B533" s="1" t="n">
        <v>45179</v>
      </c>
      <c r="C533" s="1" t="n">
        <v>46087</v>
      </c>
      <c r="D533" t="inlineStr">
        <is>
          <t>GOTLANDS LÄN</t>
        </is>
      </c>
      <c r="E533" t="inlineStr">
        <is>
          <t>GOTLAND</t>
        </is>
      </c>
      <c r="G533" t="n">
        <v>11.9</v>
      </c>
      <c r="H533" t="n">
        <v>0</v>
      </c>
      <c r="I533" t="n">
        <v>0</v>
      </c>
      <c r="J533" t="n">
        <v>0</v>
      </c>
      <c r="K533" t="n">
        <v>0</v>
      </c>
      <c r="L533" t="n">
        <v>0</v>
      </c>
      <c r="M533" t="n">
        <v>0</v>
      </c>
      <c r="N533" t="n">
        <v>0</v>
      </c>
      <c r="O533" t="n">
        <v>0</v>
      </c>
      <c r="P533" t="n">
        <v>0</v>
      </c>
      <c r="Q533" t="n">
        <v>0</v>
      </c>
      <c r="R533" s="2" t="inlineStr"/>
    </row>
    <row r="534" ht="15" customHeight="1">
      <c r="A534" t="inlineStr">
        <is>
          <t>A 46400-2023</t>
        </is>
      </c>
      <c r="B534" s="1" t="n">
        <v>45197.49290509259</v>
      </c>
      <c r="C534" s="1" t="n">
        <v>46087</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9875-2025</t>
        </is>
      </c>
      <c r="B535" s="1" t="n">
        <v>45716</v>
      </c>
      <c r="C535" s="1" t="n">
        <v>46087</v>
      </c>
      <c r="D535" t="inlineStr">
        <is>
          <t>GOTLANDS LÄN</t>
        </is>
      </c>
      <c r="E535" t="inlineStr">
        <is>
          <t>GOTLAND</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21164-2024</t>
        </is>
      </c>
      <c r="B536" s="1" t="n">
        <v>45440</v>
      </c>
      <c r="C536" s="1" t="n">
        <v>46087</v>
      </c>
      <c r="D536" t="inlineStr">
        <is>
          <t>GOTLANDS LÄN</t>
        </is>
      </c>
      <c r="E536" t="inlineStr">
        <is>
          <t>GOTLAND</t>
        </is>
      </c>
      <c r="G536" t="n">
        <v>6.3</v>
      </c>
      <c r="H536" t="n">
        <v>0</v>
      </c>
      <c r="I536" t="n">
        <v>0</v>
      </c>
      <c r="J536" t="n">
        <v>0</v>
      </c>
      <c r="K536" t="n">
        <v>0</v>
      </c>
      <c r="L536" t="n">
        <v>0</v>
      </c>
      <c r="M536" t="n">
        <v>0</v>
      </c>
      <c r="N536" t="n">
        <v>0</v>
      </c>
      <c r="O536" t="n">
        <v>0</v>
      </c>
      <c r="P536" t="n">
        <v>0</v>
      </c>
      <c r="Q536" t="n">
        <v>0</v>
      </c>
      <c r="R536" s="2" t="inlineStr"/>
    </row>
    <row r="537" ht="15" customHeight="1">
      <c r="A537" t="inlineStr">
        <is>
          <t>A 8045-2022</t>
        </is>
      </c>
      <c r="B537" s="1" t="n">
        <v>44609</v>
      </c>
      <c r="C537" s="1" t="n">
        <v>46087</v>
      </c>
      <c r="D537" t="inlineStr">
        <is>
          <t>GOTLANDS LÄN</t>
        </is>
      </c>
      <c r="E537" t="inlineStr">
        <is>
          <t>GOTLAND</t>
        </is>
      </c>
      <c r="G537" t="n">
        <v>7</v>
      </c>
      <c r="H537" t="n">
        <v>0</v>
      </c>
      <c r="I537" t="n">
        <v>0</v>
      </c>
      <c r="J537" t="n">
        <v>0</v>
      </c>
      <c r="K537" t="n">
        <v>0</v>
      </c>
      <c r="L537" t="n">
        <v>0</v>
      </c>
      <c r="M537" t="n">
        <v>0</v>
      </c>
      <c r="N537" t="n">
        <v>0</v>
      </c>
      <c r="O537" t="n">
        <v>0</v>
      </c>
      <c r="P537" t="n">
        <v>0</v>
      </c>
      <c r="Q537" t="n">
        <v>0</v>
      </c>
      <c r="R537" s="2" t="inlineStr"/>
    </row>
    <row r="538" ht="15" customHeight="1">
      <c r="A538" t="inlineStr">
        <is>
          <t>A 22897-2023</t>
        </is>
      </c>
      <c r="B538" s="1" t="n">
        <v>45072.55239583334</v>
      </c>
      <c r="C538" s="1" t="n">
        <v>46087</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61897-2024</t>
        </is>
      </c>
      <c r="B539" s="1" t="n">
        <v>45652.75685185185</v>
      </c>
      <c r="C539" s="1" t="n">
        <v>46087</v>
      </c>
      <c r="D539" t="inlineStr">
        <is>
          <t>GOTLANDS LÄN</t>
        </is>
      </c>
      <c r="E539" t="inlineStr">
        <is>
          <t>GOTLAND</t>
        </is>
      </c>
      <c r="G539" t="n">
        <v>6.4</v>
      </c>
      <c r="H539" t="n">
        <v>0</v>
      </c>
      <c r="I539" t="n">
        <v>0</v>
      </c>
      <c r="J539" t="n">
        <v>0</v>
      </c>
      <c r="K539" t="n">
        <v>0</v>
      </c>
      <c r="L539" t="n">
        <v>0</v>
      </c>
      <c r="M539" t="n">
        <v>0</v>
      </c>
      <c r="N539" t="n">
        <v>0</v>
      </c>
      <c r="O539" t="n">
        <v>0</v>
      </c>
      <c r="P539" t="n">
        <v>0</v>
      </c>
      <c r="Q539" t="n">
        <v>0</v>
      </c>
      <c r="R539" s="2" t="inlineStr"/>
    </row>
    <row r="540" ht="15" customHeight="1">
      <c r="A540" t="inlineStr">
        <is>
          <t>A 49962-2023</t>
        </is>
      </c>
      <c r="B540" s="1" t="n">
        <v>45215.38775462963</v>
      </c>
      <c r="C540" s="1" t="n">
        <v>46087</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20165-2022</t>
        </is>
      </c>
      <c r="B541" s="1" t="n">
        <v>44698.49854166667</v>
      </c>
      <c r="C541" s="1" t="n">
        <v>46087</v>
      </c>
      <c r="D541" t="inlineStr">
        <is>
          <t>GOTLANDS LÄN</t>
        </is>
      </c>
      <c r="E541" t="inlineStr">
        <is>
          <t>GOTLAND</t>
        </is>
      </c>
      <c r="G541" t="n">
        <v>4.1</v>
      </c>
      <c r="H541" t="n">
        <v>0</v>
      </c>
      <c r="I541" t="n">
        <v>0</v>
      </c>
      <c r="J541" t="n">
        <v>0</v>
      </c>
      <c r="K541" t="n">
        <v>0</v>
      </c>
      <c r="L541" t="n">
        <v>0</v>
      </c>
      <c r="M541" t="n">
        <v>0</v>
      </c>
      <c r="N541" t="n">
        <v>0</v>
      </c>
      <c r="O541" t="n">
        <v>0</v>
      </c>
      <c r="P541" t="n">
        <v>0</v>
      </c>
      <c r="Q541" t="n">
        <v>0</v>
      </c>
      <c r="R541" s="2" t="inlineStr"/>
    </row>
    <row r="542" ht="15" customHeight="1">
      <c r="A542" t="inlineStr">
        <is>
          <t>A 40294-2022</t>
        </is>
      </c>
      <c r="B542" s="1" t="n">
        <v>44821</v>
      </c>
      <c r="C542" s="1" t="n">
        <v>46087</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12032-2025</t>
        </is>
      </c>
      <c r="B543" s="1" t="n">
        <v>45728.64472222222</v>
      </c>
      <c r="C543" s="1" t="n">
        <v>46087</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38787-2023</t>
        </is>
      </c>
      <c r="B544" s="1" t="n">
        <v>45163</v>
      </c>
      <c r="C544" s="1" t="n">
        <v>46087</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43231-2023</t>
        </is>
      </c>
      <c r="B545" s="1" t="n">
        <v>45183.47025462963</v>
      </c>
      <c r="C545" s="1" t="n">
        <v>46087</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17532-2024</t>
        </is>
      </c>
      <c r="B546" s="1" t="n">
        <v>45415</v>
      </c>
      <c r="C546" s="1" t="n">
        <v>46087</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3935-2025</t>
        </is>
      </c>
      <c r="B547" s="1" t="n">
        <v>45684.46070601852</v>
      </c>
      <c r="C547" s="1" t="n">
        <v>46087</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20225-2025</t>
        </is>
      </c>
      <c r="B548" s="1" t="n">
        <v>45772.65802083333</v>
      </c>
      <c r="C548" s="1" t="n">
        <v>46087</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883-2025</t>
        </is>
      </c>
      <c r="B549" s="1" t="n">
        <v>45665</v>
      </c>
      <c r="C549" s="1" t="n">
        <v>46087</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46087</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17144-2025</t>
        </is>
      </c>
      <c r="B551" s="1" t="n">
        <v>45755.9499537037</v>
      </c>
      <c r="C551" s="1" t="n">
        <v>46087</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56009-2024</t>
        </is>
      </c>
      <c r="B552" s="1" t="n">
        <v>45623.80864583333</v>
      </c>
      <c r="C552" s="1" t="n">
        <v>46087</v>
      </c>
      <c r="D552" t="inlineStr">
        <is>
          <t>GOTLANDS LÄN</t>
        </is>
      </c>
      <c r="E552" t="inlineStr">
        <is>
          <t>GOTLAND</t>
        </is>
      </c>
      <c r="G552" t="n">
        <v>2.8</v>
      </c>
      <c r="H552" t="n">
        <v>0</v>
      </c>
      <c r="I552" t="n">
        <v>0</v>
      </c>
      <c r="J552" t="n">
        <v>0</v>
      </c>
      <c r="K552" t="n">
        <v>0</v>
      </c>
      <c r="L552" t="n">
        <v>0</v>
      </c>
      <c r="M552" t="n">
        <v>0</v>
      </c>
      <c r="N552" t="n">
        <v>0</v>
      </c>
      <c r="O552" t="n">
        <v>0</v>
      </c>
      <c r="P552" t="n">
        <v>0</v>
      </c>
      <c r="Q552" t="n">
        <v>0</v>
      </c>
      <c r="R552" s="2" t="inlineStr"/>
    </row>
    <row r="553" ht="15" customHeight="1">
      <c r="A553" t="inlineStr">
        <is>
          <t>A 42338-2023</t>
        </is>
      </c>
      <c r="B553" s="1" t="n">
        <v>45180</v>
      </c>
      <c r="C553" s="1" t="n">
        <v>46087</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581-2023</t>
        </is>
      </c>
      <c r="B554" s="1" t="n">
        <v>44930</v>
      </c>
      <c r="C554" s="1" t="n">
        <v>46087</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61386-2023</t>
        </is>
      </c>
      <c r="B555" s="1" t="n">
        <v>45264</v>
      </c>
      <c r="C555" s="1" t="n">
        <v>46087</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873-2024</t>
        </is>
      </c>
      <c r="B556" s="1" t="n">
        <v>45301</v>
      </c>
      <c r="C556" s="1" t="n">
        <v>46087</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49411-2023</t>
        </is>
      </c>
      <c r="B557" s="1" t="n">
        <v>45205</v>
      </c>
      <c r="C557" s="1" t="n">
        <v>46087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22275-2023</t>
        </is>
      </c>
      <c r="B558" s="1" t="n">
        <v>45070.39875</v>
      </c>
      <c r="C558" s="1" t="n">
        <v>46087</v>
      </c>
      <c r="D558" t="inlineStr">
        <is>
          <t>GOTLANDS LÄN</t>
        </is>
      </c>
      <c r="E558" t="inlineStr">
        <is>
          <t>GOTLAND</t>
        </is>
      </c>
      <c r="G558" t="n">
        <v>7.2</v>
      </c>
      <c r="H558" t="n">
        <v>0</v>
      </c>
      <c r="I558" t="n">
        <v>0</v>
      </c>
      <c r="J558" t="n">
        <v>0</v>
      </c>
      <c r="K558" t="n">
        <v>0</v>
      </c>
      <c r="L558" t="n">
        <v>0</v>
      </c>
      <c r="M558" t="n">
        <v>0</v>
      </c>
      <c r="N558" t="n">
        <v>0</v>
      </c>
      <c r="O558" t="n">
        <v>0</v>
      </c>
      <c r="P558" t="n">
        <v>0</v>
      </c>
      <c r="Q558" t="n">
        <v>0</v>
      </c>
      <c r="R558" s="2" t="inlineStr"/>
    </row>
    <row r="559" ht="15" customHeight="1">
      <c r="A559" t="inlineStr">
        <is>
          <t>A 12322-2025</t>
        </is>
      </c>
      <c r="B559" s="1" t="n">
        <v>45730</v>
      </c>
      <c r="C559" s="1" t="n">
        <v>46087</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14797-2024</t>
        </is>
      </c>
      <c r="B560" s="1" t="n">
        <v>45397.87030092593</v>
      </c>
      <c r="C560" s="1" t="n">
        <v>46087</v>
      </c>
      <c r="D560" t="inlineStr">
        <is>
          <t>GOTLANDS LÄN</t>
        </is>
      </c>
      <c r="E560" t="inlineStr">
        <is>
          <t>GOTLAND</t>
        </is>
      </c>
      <c r="G560" t="n">
        <v>8.1</v>
      </c>
      <c r="H560" t="n">
        <v>0</v>
      </c>
      <c r="I560" t="n">
        <v>0</v>
      </c>
      <c r="J560" t="n">
        <v>0</v>
      </c>
      <c r="K560" t="n">
        <v>0</v>
      </c>
      <c r="L560" t="n">
        <v>0</v>
      </c>
      <c r="M560" t="n">
        <v>0</v>
      </c>
      <c r="N560" t="n">
        <v>0</v>
      </c>
      <c r="O560" t="n">
        <v>0</v>
      </c>
      <c r="P560" t="n">
        <v>0</v>
      </c>
      <c r="Q560" t="n">
        <v>0</v>
      </c>
      <c r="R560" s="2" t="inlineStr"/>
    </row>
    <row r="561" ht="15" customHeight="1">
      <c r="A561" t="inlineStr">
        <is>
          <t>A 999-2024</t>
        </is>
      </c>
      <c r="B561" s="1" t="n">
        <v>45301</v>
      </c>
      <c r="C561" s="1" t="n">
        <v>46087</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61596-2023</t>
        </is>
      </c>
      <c r="B562" s="1" t="n">
        <v>45265</v>
      </c>
      <c r="C562" s="1" t="n">
        <v>46087</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14638-2025</t>
        </is>
      </c>
      <c r="B563" s="1" t="n">
        <v>45742</v>
      </c>
      <c r="C563" s="1" t="n">
        <v>46087</v>
      </c>
      <c r="D563" t="inlineStr">
        <is>
          <t>GOTLANDS LÄN</t>
        </is>
      </c>
      <c r="E563" t="inlineStr">
        <is>
          <t>GOTLAND</t>
        </is>
      </c>
      <c r="G563" t="n">
        <v>13.4</v>
      </c>
      <c r="H563" t="n">
        <v>0</v>
      </c>
      <c r="I563" t="n">
        <v>0</v>
      </c>
      <c r="J563" t="n">
        <v>0</v>
      </c>
      <c r="K563" t="n">
        <v>0</v>
      </c>
      <c r="L563" t="n">
        <v>0</v>
      </c>
      <c r="M563" t="n">
        <v>0</v>
      </c>
      <c r="N563" t="n">
        <v>0</v>
      </c>
      <c r="O563" t="n">
        <v>0</v>
      </c>
      <c r="P563" t="n">
        <v>0</v>
      </c>
      <c r="Q563" t="n">
        <v>0</v>
      </c>
      <c r="R563" s="2" t="inlineStr"/>
    </row>
    <row r="564" ht="15" customHeight="1">
      <c r="A564" t="inlineStr">
        <is>
          <t>A 60675-2021</t>
        </is>
      </c>
      <c r="B564" s="1" t="n">
        <v>44496.64855324074</v>
      </c>
      <c r="C564" s="1" t="n">
        <v>46087</v>
      </c>
      <c r="D564" t="inlineStr">
        <is>
          <t>GOTLANDS LÄN</t>
        </is>
      </c>
      <c r="E564" t="inlineStr">
        <is>
          <t>GOTLAND</t>
        </is>
      </c>
      <c r="G564" t="n">
        <v>4.6</v>
      </c>
      <c r="H564" t="n">
        <v>0</v>
      </c>
      <c r="I564" t="n">
        <v>0</v>
      </c>
      <c r="J564" t="n">
        <v>0</v>
      </c>
      <c r="K564" t="n">
        <v>0</v>
      </c>
      <c r="L564" t="n">
        <v>0</v>
      </c>
      <c r="M564" t="n">
        <v>0</v>
      </c>
      <c r="N564" t="n">
        <v>0</v>
      </c>
      <c r="O564" t="n">
        <v>0</v>
      </c>
      <c r="P564" t="n">
        <v>0</v>
      </c>
      <c r="Q564" t="n">
        <v>0</v>
      </c>
      <c r="R564" s="2" t="inlineStr"/>
    </row>
    <row r="565" ht="15" customHeight="1">
      <c r="A565" t="inlineStr">
        <is>
          <t>A 37728-2024</t>
        </is>
      </c>
      <c r="B565" s="1" t="n">
        <v>45541</v>
      </c>
      <c r="C565" s="1" t="n">
        <v>46087</v>
      </c>
      <c r="D565" t="inlineStr">
        <is>
          <t>GOTLANDS LÄN</t>
        </is>
      </c>
      <c r="E565" t="inlineStr">
        <is>
          <t>GOTLAND</t>
        </is>
      </c>
      <c r="G565" t="n">
        <v>0.4</v>
      </c>
      <c r="H565" t="n">
        <v>0</v>
      </c>
      <c r="I565" t="n">
        <v>0</v>
      </c>
      <c r="J565" t="n">
        <v>0</v>
      </c>
      <c r="K565" t="n">
        <v>0</v>
      </c>
      <c r="L565" t="n">
        <v>0</v>
      </c>
      <c r="M565" t="n">
        <v>0</v>
      </c>
      <c r="N565" t="n">
        <v>0</v>
      </c>
      <c r="O565" t="n">
        <v>0</v>
      </c>
      <c r="P565" t="n">
        <v>0</v>
      </c>
      <c r="Q565" t="n">
        <v>0</v>
      </c>
      <c r="R565" s="2" t="inlineStr"/>
    </row>
    <row r="566" ht="15" customHeight="1">
      <c r="A566" t="inlineStr">
        <is>
          <t>A 22287-2022</t>
        </is>
      </c>
      <c r="B566" s="1" t="n">
        <v>44712</v>
      </c>
      <c r="C566" s="1" t="n">
        <v>46087</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54074-2022</t>
        </is>
      </c>
      <c r="B567" s="1" t="n">
        <v>44881</v>
      </c>
      <c r="C567" s="1" t="n">
        <v>46087</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65249-2023</t>
        </is>
      </c>
      <c r="B568" s="1" t="n">
        <v>45290</v>
      </c>
      <c r="C568" s="1" t="n">
        <v>46087</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46087</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17780-2022</t>
        </is>
      </c>
      <c r="B570" s="1" t="n">
        <v>44682.82622685185</v>
      </c>
      <c r="C570" s="1" t="n">
        <v>46087</v>
      </c>
      <c r="D570" t="inlineStr">
        <is>
          <t>GOTLANDS LÄN</t>
        </is>
      </c>
      <c r="E570" t="inlineStr">
        <is>
          <t>GOTLAND</t>
        </is>
      </c>
      <c r="G570" t="n">
        <v>2.2</v>
      </c>
      <c r="H570" t="n">
        <v>0</v>
      </c>
      <c r="I570" t="n">
        <v>0</v>
      </c>
      <c r="J570" t="n">
        <v>0</v>
      </c>
      <c r="K570" t="n">
        <v>0</v>
      </c>
      <c r="L570" t="n">
        <v>0</v>
      </c>
      <c r="M570" t="n">
        <v>0</v>
      </c>
      <c r="N570" t="n">
        <v>0</v>
      </c>
      <c r="O570" t="n">
        <v>0</v>
      </c>
      <c r="P570" t="n">
        <v>0</v>
      </c>
      <c r="Q570" t="n">
        <v>0</v>
      </c>
      <c r="R570" s="2" t="inlineStr"/>
    </row>
    <row r="571" ht="15" customHeight="1">
      <c r="A571" t="inlineStr">
        <is>
          <t>A 59986-2022</t>
        </is>
      </c>
      <c r="B571" s="1" t="n">
        <v>44909</v>
      </c>
      <c r="C571" s="1" t="n">
        <v>46087</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14536-2021</t>
        </is>
      </c>
      <c r="B572" s="1" t="n">
        <v>44279.66168981481</v>
      </c>
      <c r="C572" s="1" t="n">
        <v>46087</v>
      </c>
      <c r="D572" t="inlineStr">
        <is>
          <t>GOTLANDS LÄN</t>
        </is>
      </c>
      <c r="E572" t="inlineStr">
        <is>
          <t>GOTLAND</t>
        </is>
      </c>
      <c r="G572" t="n">
        <v>8.5</v>
      </c>
      <c r="H572" t="n">
        <v>0</v>
      </c>
      <c r="I572" t="n">
        <v>0</v>
      </c>
      <c r="J572" t="n">
        <v>0</v>
      </c>
      <c r="K572" t="n">
        <v>0</v>
      </c>
      <c r="L572" t="n">
        <v>0</v>
      </c>
      <c r="M572" t="n">
        <v>0</v>
      </c>
      <c r="N572" t="n">
        <v>0</v>
      </c>
      <c r="O572" t="n">
        <v>0</v>
      </c>
      <c r="P572" t="n">
        <v>0</v>
      </c>
      <c r="Q572" t="n">
        <v>0</v>
      </c>
      <c r="R572" s="2" t="inlineStr"/>
    </row>
    <row r="573" ht="15" customHeight="1">
      <c r="A573" t="inlineStr">
        <is>
          <t>A 11874-2024</t>
        </is>
      </c>
      <c r="B573" s="1" t="n">
        <v>45376.46956018519</v>
      </c>
      <c r="C573" s="1" t="n">
        <v>46087</v>
      </c>
      <c r="D573" t="inlineStr">
        <is>
          <t>GOTLANDS LÄN</t>
        </is>
      </c>
      <c r="E573" t="inlineStr">
        <is>
          <t>GOTLAND</t>
        </is>
      </c>
      <c r="G573" t="n">
        <v>0.8</v>
      </c>
      <c r="H573" t="n">
        <v>0</v>
      </c>
      <c r="I573" t="n">
        <v>0</v>
      </c>
      <c r="J573" t="n">
        <v>0</v>
      </c>
      <c r="K573" t="n">
        <v>0</v>
      </c>
      <c r="L573" t="n">
        <v>0</v>
      </c>
      <c r="M573" t="n">
        <v>0</v>
      </c>
      <c r="N573" t="n">
        <v>0</v>
      </c>
      <c r="O573" t="n">
        <v>0</v>
      </c>
      <c r="P573" t="n">
        <v>0</v>
      </c>
      <c r="Q573" t="n">
        <v>0</v>
      </c>
      <c r="R573" s="2" t="inlineStr"/>
    </row>
    <row r="574" ht="15" customHeight="1">
      <c r="A574" t="inlineStr">
        <is>
          <t>A 42041-2024</t>
        </is>
      </c>
      <c r="B574" s="1" t="n">
        <v>45561</v>
      </c>
      <c r="C574" s="1" t="n">
        <v>46087</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61694-2023</t>
        </is>
      </c>
      <c r="B575" s="1" t="n">
        <v>45264</v>
      </c>
      <c r="C575" s="1" t="n">
        <v>46087</v>
      </c>
      <c r="D575" t="inlineStr">
        <is>
          <t>GOTLANDS LÄN</t>
        </is>
      </c>
      <c r="E575" t="inlineStr">
        <is>
          <t>GOTLAND</t>
        </is>
      </c>
      <c r="G575" t="n">
        <v>4.6</v>
      </c>
      <c r="H575" t="n">
        <v>0</v>
      </c>
      <c r="I575" t="n">
        <v>0</v>
      </c>
      <c r="J575" t="n">
        <v>0</v>
      </c>
      <c r="K575" t="n">
        <v>0</v>
      </c>
      <c r="L575" t="n">
        <v>0</v>
      </c>
      <c r="M575" t="n">
        <v>0</v>
      </c>
      <c r="N575" t="n">
        <v>0</v>
      </c>
      <c r="O575" t="n">
        <v>0</v>
      </c>
      <c r="P575" t="n">
        <v>0</v>
      </c>
      <c r="Q575" t="n">
        <v>0</v>
      </c>
      <c r="R575" s="2" t="inlineStr"/>
    </row>
    <row r="576" ht="15" customHeight="1">
      <c r="A576" t="inlineStr">
        <is>
          <t>A 64555-2023</t>
        </is>
      </c>
      <c r="B576" s="1" t="n">
        <v>45281</v>
      </c>
      <c r="C576" s="1" t="n">
        <v>46087</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64831-2023</t>
        </is>
      </c>
      <c r="B577" s="1" t="n">
        <v>45282.44924768519</v>
      </c>
      <c r="C577" s="1" t="n">
        <v>46087</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14804-2021</t>
        </is>
      </c>
      <c r="B578" s="1" t="n">
        <v>44280</v>
      </c>
      <c r="C578" s="1" t="n">
        <v>46087</v>
      </c>
      <c r="D578" t="inlineStr">
        <is>
          <t>GOTLANDS LÄN</t>
        </is>
      </c>
      <c r="E578" t="inlineStr">
        <is>
          <t>GOTLAND</t>
        </is>
      </c>
      <c r="G578" t="n">
        <v>2.2</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46087</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27602-2023</t>
        </is>
      </c>
      <c r="B580" s="1" t="n">
        <v>45097</v>
      </c>
      <c r="C580" s="1" t="n">
        <v>46087</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4377-2023</t>
        </is>
      </c>
      <c r="B581" s="1" t="n">
        <v>44955.5502662037</v>
      </c>
      <c r="C581" s="1" t="n">
        <v>46087</v>
      </c>
      <c r="D581" t="inlineStr">
        <is>
          <t>GOTLANDS LÄN</t>
        </is>
      </c>
      <c r="E581" t="inlineStr">
        <is>
          <t>GOTLAND</t>
        </is>
      </c>
      <c r="F581" t="inlineStr">
        <is>
          <t>Kyrkan</t>
        </is>
      </c>
      <c r="G581" t="n">
        <v>0.6</v>
      </c>
      <c r="H581" t="n">
        <v>0</v>
      </c>
      <c r="I581" t="n">
        <v>0</v>
      </c>
      <c r="J581" t="n">
        <v>0</v>
      </c>
      <c r="K581" t="n">
        <v>0</v>
      </c>
      <c r="L581" t="n">
        <v>0</v>
      </c>
      <c r="M581" t="n">
        <v>0</v>
      </c>
      <c r="N581" t="n">
        <v>0</v>
      </c>
      <c r="O581" t="n">
        <v>0</v>
      </c>
      <c r="P581" t="n">
        <v>0</v>
      </c>
      <c r="Q581" t="n">
        <v>0</v>
      </c>
      <c r="R581" s="2" t="inlineStr"/>
    </row>
    <row r="582" ht="15" customHeight="1">
      <c r="A582" t="inlineStr">
        <is>
          <t>A 4387-2023</t>
        </is>
      </c>
      <c r="B582" s="1" t="n">
        <v>44955.73359953704</v>
      </c>
      <c r="C582" s="1" t="n">
        <v>46087</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39479-2022</t>
        </is>
      </c>
      <c r="B583" s="1" t="n">
        <v>44818</v>
      </c>
      <c r="C583" s="1" t="n">
        <v>46087</v>
      </c>
      <c r="D583" t="inlineStr">
        <is>
          <t>GOTLANDS LÄN</t>
        </is>
      </c>
      <c r="E583" t="inlineStr">
        <is>
          <t>GOTLAND</t>
        </is>
      </c>
      <c r="G583" t="n">
        <v>1.1</v>
      </c>
      <c r="H583" t="n">
        <v>0</v>
      </c>
      <c r="I583" t="n">
        <v>0</v>
      </c>
      <c r="J583" t="n">
        <v>0</v>
      </c>
      <c r="K583" t="n">
        <v>0</v>
      </c>
      <c r="L583" t="n">
        <v>0</v>
      </c>
      <c r="M583" t="n">
        <v>0</v>
      </c>
      <c r="N583" t="n">
        <v>0</v>
      </c>
      <c r="O583" t="n">
        <v>0</v>
      </c>
      <c r="P583" t="n">
        <v>0</v>
      </c>
      <c r="Q583" t="n">
        <v>0</v>
      </c>
      <c r="R583" s="2" t="inlineStr"/>
    </row>
    <row r="584" ht="15" customHeight="1">
      <c r="A584" t="inlineStr">
        <is>
          <t>A 51963-2024</t>
        </is>
      </c>
      <c r="B584" s="1" t="n">
        <v>45607.64833333333</v>
      </c>
      <c r="C584" s="1" t="n">
        <v>46087</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811-2023</t>
        </is>
      </c>
      <c r="B585" s="1" t="n">
        <v>44931</v>
      </c>
      <c r="C585" s="1" t="n">
        <v>46087</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46389-2021</t>
        </is>
      </c>
      <c r="B586" s="1" t="n">
        <v>44443</v>
      </c>
      <c r="C586" s="1" t="n">
        <v>46087</v>
      </c>
      <c r="D586" t="inlineStr">
        <is>
          <t>GOTLANDS LÄN</t>
        </is>
      </c>
      <c r="E586" t="inlineStr">
        <is>
          <t>GOTLAND</t>
        </is>
      </c>
      <c r="F586" t="inlineStr">
        <is>
          <t>Kyrkan</t>
        </is>
      </c>
      <c r="G586" t="n">
        <v>2.1</v>
      </c>
      <c r="H586" t="n">
        <v>0</v>
      </c>
      <c r="I586" t="n">
        <v>0</v>
      </c>
      <c r="J586" t="n">
        <v>0</v>
      </c>
      <c r="K586" t="n">
        <v>0</v>
      </c>
      <c r="L586" t="n">
        <v>0</v>
      </c>
      <c r="M586" t="n">
        <v>0</v>
      </c>
      <c r="N586" t="n">
        <v>0</v>
      </c>
      <c r="O586" t="n">
        <v>0</v>
      </c>
      <c r="P586" t="n">
        <v>0</v>
      </c>
      <c r="Q586" t="n">
        <v>0</v>
      </c>
      <c r="R586" s="2" t="inlineStr"/>
    </row>
    <row r="587" ht="15" customHeight="1">
      <c r="A587" t="inlineStr">
        <is>
          <t>A 26810-2021</t>
        </is>
      </c>
      <c r="B587" s="1" t="n">
        <v>44349.55087962963</v>
      </c>
      <c r="C587" s="1" t="n">
        <v>46087</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5923-2023</t>
        </is>
      </c>
      <c r="B588" s="1" t="n">
        <v>44963.69503472222</v>
      </c>
      <c r="C588" s="1" t="n">
        <v>46087</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33853-2024</t>
        </is>
      </c>
      <c r="B589" s="1" t="n">
        <v>45520.64298611111</v>
      </c>
      <c r="C589" s="1" t="n">
        <v>46087</v>
      </c>
      <c r="D589" t="inlineStr">
        <is>
          <t>GOTLANDS LÄN</t>
        </is>
      </c>
      <c r="E589" t="inlineStr">
        <is>
          <t>GOTLAND</t>
        </is>
      </c>
      <c r="G589" t="n">
        <v>3.9</v>
      </c>
      <c r="H589" t="n">
        <v>0</v>
      </c>
      <c r="I589" t="n">
        <v>0</v>
      </c>
      <c r="J589" t="n">
        <v>0</v>
      </c>
      <c r="K589" t="n">
        <v>0</v>
      </c>
      <c r="L589" t="n">
        <v>0</v>
      </c>
      <c r="M589" t="n">
        <v>0</v>
      </c>
      <c r="N589" t="n">
        <v>0</v>
      </c>
      <c r="O589" t="n">
        <v>0</v>
      </c>
      <c r="P589" t="n">
        <v>0</v>
      </c>
      <c r="Q589" t="n">
        <v>0</v>
      </c>
      <c r="R589" s="2" t="inlineStr"/>
    </row>
    <row r="590" ht="15" customHeight="1">
      <c r="A590" t="inlineStr">
        <is>
          <t>A 18918-2025</t>
        </is>
      </c>
      <c r="B590" s="1" t="n">
        <v>45764</v>
      </c>
      <c r="C590" s="1" t="n">
        <v>46087</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2674-2023</t>
        </is>
      </c>
      <c r="B591" s="1" t="n">
        <v>44944</v>
      </c>
      <c r="C591" s="1" t="n">
        <v>46087</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44988.49543981482</v>
      </c>
      <c r="C592" s="1" t="n">
        <v>46087</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2719-2023</t>
        </is>
      </c>
      <c r="B593" s="1" t="n">
        <v>44944.55361111111</v>
      </c>
      <c r="C593" s="1" t="n">
        <v>46087</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26891-2024</t>
        </is>
      </c>
      <c r="B594" s="1" t="n">
        <v>45470.65540509259</v>
      </c>
      <c r="C594" s="1" t="n">
        <v>46087</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42007-2023</t>
        </is>
      </c>
      <c r="B595" s="1" t="n">
        <v>45177</v>
      </c>
      <c r="C595" s="1" t="n">
        <v>46087</v>
      </c>
      <c r="D595" t="inlineStr">
        <is>
          <t>GOTLANDS LÄN</t>
        </is>
      </c>
      <c r="E595" t="inlineStr">
        <is>
          <t>GOTLAND</t>
        </is>
      </c>
      <c r="G595" t="n">
        <v>0.8</v>
      </c>
      <c r="H595" t="n">
        <v>0</v>
      </c>
      <c r="I595" t="n">
        <v>0</v>
      </c>
      <c r="J595" t="n">
        <v>0</v>
      </c>
      <c r="K595" t="n">
        <v>0</v>
      </c>
      <c r="L595" t="n">
        <v>0</v>
      </c>
      <c r="M595" t="n">
        <v>0</v>
      </c>
      <c r="N595" t="n">
        <v>0</v>
      </c>
      <c r="O595" t="n">
        <v>0</v>
      </c>
      <c r="P595" t="n">
        <v>0</v>
      </c>
      <c r="Q595" t="n">
        <v>0</v>
      </c>
      <c r="R595" s="2" t="inlineStr"/>
    </row>
    <row r="596" ht="15" customHeight="1">
      <c r="A596" t="inlineStr">
        <is>
          <t>A 9887-2025</t>
        </is>
      </c>
      <c r="B596" s="1" t="n">
        <v>45716</v>
      </c>
      <c r="C596" s="1" t="n">
        <v>46087</v>
      </c>
      <c r="D596" t="inlineStr">
        <is>
          <t>GOTLANDS LÄN</t>
        </is>
      </c>
      <c r="E596" t="inlineStr">
        <is>
          <t>GOTLAND</t>
        </is>
      </c>
      <c r="G596" t="n">
        <v>7.5</v>
      </c>
      <c r="H596" t="n">
        <v>0</v>
      </c>
      <c r="I596" t="n">
        <v>0</v>
      </c>
      <c r="J596" t="n">
        <v>0</v>
      </c>
      <c r="K596" t="n">
        <v>0</v>
      </c>
      <c r="L596" t="n">
        <v>0</v>
      </c>
      <c r="M596" t="n">
        <v>0</v>
      </c>
      <c r="N596" t="n">
        <v>0</v>
      </c>
      <c r="O596" t="n">
        <v>0</v>
      </c>
      <c r="P596" t="n">
        <v>0</v>
      </c>
      <c r="Q596" t="n">
        <v>0</v>
      </c>
      <c r="R596" s="2" t="inlineStr"/>
    </row>
    <row r="597" ht="15" customHeight="1">
      <c r="A597" t="inlineStr">
        <is>
          <t>A 38165-2023</t>
        </is>
      </c>
      <c r="B597" s="1" t="n">
        <v>45161</v>
      </c>
      <c r="C597" s="1" t="n">
        <v>46087</v>
      </c>
      <c r="D597" t="inlineStr">
        <is>
          <t>GOTLANDS LÄN</t>
        </is>
      </c>
      <c r="E597" t="inlineStr">
        <is>
          <t>GOTLAND</t>
        </is>
      </c>
      <c r="G597" t="n">
        <v>2.6</v>
      </c>
      <c r="H597" t="n">
        <v>0</v>
      </c>
      <c r="I597" t="n">
        <v>0</v>
      </c>
      <c r="J597" t="n">
        <v>0</v>
      </c>
      <c r="K597" t="n">
        <v>0</v>
      </c>
      <c r="L597" t="n">
        <v>0</v>
      </c>
      <c r="M597" t="n">
        <v>0</v>
      </c>
      <c r="N597" t="n">
        <v>0</v>
      </c>
      <c r="O597" t="n">
        <v>0</v>
      </c>
      <c r="P597" t="n">
        <v>0</v>
      </c>
      <c r="Q597" t="n">
        <v>0</v>
      </c>
      <c r="R597" s="2" t="inlineStr"/>
    </row>
    <row r="598" ht="15" customHeight="1">
      <c r="A598" t="inlineStr">
        <is>
          <t>A 27596-2023</t>
        </is>
      </c>
      <c r="B598" s="1" t="n">
        <v>45097</v>
      </c>
      <c r="C598" s="1" t="n">
        <v>46087</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24825-2024</t>
        </is>
      </c>
      <c r="B599" s="1" t="n">
        <v>45461</v>
      </c>
      <c r="C599" s="1" t="n">
        <v>46087</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6696-2023</t>
        </is>
      </c>
      <c r="B600" s="1" t="n">
        <v>44966.66425925926</v>
      </c>
      <c r="C600" s="1" t="n">
        <v>46087</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21247-2022</t>
        </is>
      </c>
      <c r="B601" s="1" t="n">
        <v>44705.38832175926</v>
      </c>
      <c r="C601" s="1" t="n">
        <v>46087</v>
      </c>
      <c r="D601" t="inlineStr">
        <is>
          <t>GOTLANDS LÄN</t>
        </is>
      </c>
      <c r="E601" t="inlineStr">
        <is>
          <t>GOTLAND</t>
        </is>
      </c>
      <c r="G601" t="n">
        <v>16.2</v>
      </c>
      <c r="H601" t="n">
        <v>0</v>
      </c>
      <c r="I601" t="n">
        <v>0</v>
      </c>
      <c r="J601" t="n">
        <v>0</v>
      </c>
      <c r="K601" t="n">
        <v>0</v>
      </c>
      <c r="L601" t="n">
        <v>0</v>
      </c>
      <c r="M601" t="n">
        <v>0</v>
      </c>
      <c r="N601" t="n">
        <v>0</v>
      </c>
      <c r="O601" t="n">
        <v>0</v>
      </c>
      <c r="P601" t="n">
        <v>0</v>
      </c>
      <c r="Q601" t="n">
        <v>0</v>
      </c>
      <c r="R601" s="2" t="inlineStr"/>
    </row>
    <row r="602" ht="15" customHeight="1">
      <c r="A602" t="inlineStr">
        <is>
          <t>A 456-2023</t>
        </is>
      </c>
      <c r="B602" s="1" t="n">
        <v>44929.87122685185</v>
      </c>
      <c r="C602" s="1" t="n">
        <v>46087</v>
      </c>
      <c r="D602" t="inlineStr">
        <is>
          <t>GOTLANDS LÄN</t>
        </is>
      </c>
      <c r="E602" t="inlineStr">
        <is>
          <t>GOTLAND</t>
        </is>
      </c>
      <c r="G602" t="n">
        <v>3.2</v>
      </c>
      <c r="H602" t="n">
        <v>0</v>
      </c>
      <c r="I602" t="n">
        <v>0</v>
      </c>
      <c r="J602" t="n">
        <v>0</v>
      </c>
      <c r="K602" t="n">
        <v>0</v>
      </c>
      <c r="L602" t="n">
        <v>0</v>
      </c>
      <c r="M602" t="n">
        <v>0</v>
      </c>
      <c r="N602" t="n">
        <v>0</v>
      </c>
      <c r="O602" t="n">
        <v>0</v>
      </c>
      <c r="P602" t="n">
        <v>0</v>
      </c>
      <c r="Q602" t="n">
        <v>0</v>
      </c>
      <c r="R602" s="2" t="inlineStr"/>
    </row>
    <row r="603" ht="15" customHeight="1">
      <c r="A603" t="inlineStr">
        <is>
          <t>A 2714-2023</t>
        </is>
      </c>
      <c r="B603" s="1" t="n">
        <v>44944.54896990741</v>
      </c>
      <c r="C603" s="1" t="n">
        <v>46087</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4421-2024</t>
        </is>
      </c>
      <c r="B604" s="1" t="n">
        <v>45327.45173611111</v>
      </c>
      <c r="C604" s="1" t="n">
        <v>46087</v>
      </c>
      <c r="D604" t="inlineStr">
        <is>
          <t>GOTLANDS LÄN</t>
        </is>
      </c>
      <c r="E604" t="inlineStr">
        <is>
          <t>GOTLAND</t>
        </is>
      </c>
      <c r="G604" t="n">
        <v>5.1</v>
      </c>
      <c r="H604" t="n">
        <v>0</v>
      </c>
      <c r="I604" t="n">
        <v>0</v>
      </c>
      <c r="J604" t="n">
        <v>0</v>
      </c>
      <c r="K604" t="n">
        <v>0</v>
      </c>
      <c r="L604" t="n">
        <v>0</v>
      </c>
      <c r="M604" t="n">
        <v>0</v>
      </c>
      <c r="N604" t="n">
        <v>0</v>
      </c>
      <c r="O604" t="n">
        <v>0</v>
      </c>
      <c r="P604" t="n">
        <v>0</v>
      </c>
      <c r="Q604" t="n">
        <v>0</v>
      </c>
      <c r="R604" s="2" t="inlineStr"/>
    </row>
    <row r="605" ht="15" customHeight="1">
      <c r="A605" t="inlineStr">
        <is>
          <t>A 51782-2023</t>
        </is>
      </c>
      <c r="B605" s="1" t="n">
        <v>45222.80952546297</v>
      </c>
      <c r="C605" s="1" t="n">
        <v>46087</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54268-2022</t>
        </is>
      </c>
      <c r="B606" s="1" t="n">
        <v>44882</v>
      </c>
      <c r="C606" s="1" t="n">
        <v>46087</v>
      </c>
      <c r="D606" t="inlineStr">
        <is>
          <t>GOTLANDS LÄN</t>
        </is>
      </c>
      <c r="E606" t="inlineStr">
        <is>
          <t>GOTLAND</t>
        </is>
      </c>
      <c r="G606" t="n">
        <v>2.7</v>
      </c>
      <c r="H606" t="n">
        <v>0</v>
      </c>
      <c r="I606" t="n">
        <v>0</v>
      </c>
      <c r="J606" t="n">
        <v>0</v>
      </c>
      <c r="K606" t="n">
        <v>0</v>
      </c>
      <c r="L606" t="n">
        <v>0</v>
      </c>
      <c r="M606" t="n">
        <v>0</v>
      </c>
      <c r="N606" t="n">
        <v>0</v>
      </c>
      <c r="O606" t="n">
        <v>0</v>
      </c>
      <c r="P606" t="n">
        <v>0</v>
      </c>
      <c r="Q606" t="n">
        <v>0</v>
      </c>
      <c r="R606" s="2" t="inlineStr"/>
    </row>
    <row r="607" ht="15" customHeight="1">
      <c r="A607" t="inlineStr">
        <is>
          <t>A 57534-2022</t>
        </is>
      </c>
      <c r="B607" s="1" t="n">
        <v>44896</v>
      </c>
      <c r="C607" s="1" t="n">
        <v>46087</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25866-2022</t>
        </is>
      </c>
      <c r="B608" s="1" t="n">
        <v>44733</v>
      </c>
      <c r="C608" s="1" t="n">
        <v>46087</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43229-2023</t>
        </is>
      </c>
      <c r="B609" s="1" t="n">
        <v>45183.46704861111</v>
      </c>
      <c r="C609" s="1" t="n">
        <v>46087</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1175-2025</t>
        </is>
      </c>
      <c r="B610" s="1" t="n">
        <v>45667.34449074074</v>
      </c>
      <c r="C610" s="1" t="n">
        <v>46087</v>
      </c>
      <c r="D610" t="inlineStr">
        <is>
          <t>GOTLANDS LÄN</t>
        </is>
      </c>
      <c r="E610" t="inlineStr">
        <is>
          <t>GOTLAND</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27095-2022</t>
        </is>
      </c>
      <c r="B611" s="1" t="n">
        <v>44741</v>
      </c>
      <c r="C611" s="1" t="n">
        <v>46087</v>
      </c>
      <c r="D611" t="inlineStr">
        <is>
          <t>GOTLANDS LÄN</t>
        </is>
      </c>
      <c r="E611" t="inlineStr">
        <is>
          <t>GOTLAND</t>
        </is>
      </c>
      <c r="F611" t="inlineStr">
        <is>
          <t>Övriga Aktiebolag</t>
        </is>
      </c>
      <c r="G611" t="n">
        <v>2.9</v>
      </c>
      <c r="H611" t="n">
        <v>0</v>
      </c>
      <c r="I611" t="n">
        <v>0</v>
      </c>
      <c r="J611" t="n">
        <v>0</v>
      </c>
      <c r="K611" t="n">
        <v>0</v>
      </c>
      <c r="L611" t="n">
        <v>0</v>
      </c>
      <c r="M611" t="n">
        <v>0</v>
      </c>
      <c r="N611" t="n">
        <v>0</v>
      </c>
      <c r="O611" t="n">
        <v>0</v>
      </c>
      <c r="P611" t="n">
        <v>0</v>
      </c>
      <c r="Q611" t="n">
        <v>0</v>
      </c>
      <c r="R611" s="2" t="inlineStr"/>
    </row>
    <row r="612" ht="15" customHeight="1">
      <c r="A612" t="inlineStr">
        <is>
          <t>A 22899-2023</t>
        </is>
      </c>
      <c r="B612" s="1" t="n">
        <v>45072</v>
      </c>
      <c r="C612" s="1" t="n">
        <v>46087</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23978-2023</t>
        </is>
      </c>
      <c r="B613" s="1" t="n">
        <v>45078</v>
      </c>
      <c r="C613" s="1" t="n">
        <v>46087</v>
      </c>
      <c r="D613" t="inlineStr">
        <is>
          <t>GOTLANDS LÄN</t>
        </is>
      </c>
      <c r="E613" t="inlineStr">
        <is>
          <t>GOTLAND</t>
        </is>
      </c>
      <c r="F613" t="inlineStr">
        <is>
          <t>Naturvårdsverket</t>
        </is>
      </c>
      <c r="G613" t="n">
        <v>1.7</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46087</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11013-2024</t>
        </is>
      </c>
      <c r="B615" s="1" t="n">
        <v>45370</v>
      </c>
      <c r="C615" s="1" t="n">
        <v>46087</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27694-2024</t>
        </is>
      </c>
      <c r="B616" s="1" t="n">
        <v>45475</v>
      </c>
      <c r="C616" s="1" t="n">
        <v>46087</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15083-2025</t>
        </is>
      </c>
      <c r="B617" s="1" t="n">
        <v>45743</v>
      </c>
      <c r="C617" s="1" t="n">
        <v>46087</v>
      </c>
      <c r="D617" t="inlineStr">
        <is>
          <t>GOTLANDS LÄN</t>
        </is>
      </c>
      <c r="E617" t="inlineStr">
        <is>
          <t>GOTLAND</t>
        </is>
      </c>
      <c r="G617" t="n">
        <v>2.3</v>
      </c>
      <c r="H617" t="n">
        <v>0</v>
      </c>
      <c r="I617" t="n">
        <v>0</v>
      </c>
      <c r="J617" t="n">
        <v>0</v>
      </c>
      <c r="K617" t="n">
        <v>0</v>
      </c>
      <c r="L617" t="n">
        <v>0</v>
      </c>
      <c r="M617" t="n">
        <v>0</v>
      </c>
      <c r="N617" t="n">
        <v>0</v>
      </c>
      <c r="O617" t="n">
        <v>0</v>
      </c>
      <c r="P617" t="n">
        <v>0</v>
      </c>
      <c r="Q617" t="n">
        <v>0</v>
      </c>
      <c r="R617" s="2" t="inlineStr"/>
    </row>
    <row r="618" ht="15" customHeight="1">
      <c r="A618" t="inlineStr">
        <is>
          <t>A 13037-2025</t>
        </is>
      </c>
      <c r="B618" s="1" t="n">
        <v>45734</v>
      </c>
      <c r="C618" s="1" t="n">
        <v>46087</v>
      </c>
      <c r="D618" t="inlineStr">
        <is>
          <t>GOTLANDS LÄN</t>
        </is>
      </c>
      <c r="E618" t="inlineStr">
        <is>
          <t>GOTLAND</t>
        </is>
      </c>
      <c r="G618" t="n">
        <v>9.5</v>
      </c>
      <c r="H618" t="n">
        <v>0</v>
      </c>
      <c r="I618" t="n">
        <v>0</v>
      </c>
      <c r="J618" t="n">
        <v>0</v>
      </c>
      <c r="K618" t="n">
        <v>0</v>
      </c>
      <c r="L618" t="n">
        <v>0</v>
      </c>
      <c r="M618" t="n">
        <v>0</v>
      </c>
      <c r="N618" t="n">
        <v>0</v>
      </c>
      <c r="O618" t="n">
        <v>0</v>
      </c>
      <c r="P618" t="n">
        <v>0</v>
      </c>
      <c r="Q618" t="n">
        <v>0</v>
      </c>
      <c r="R618" s="2" t="inlineStr"/>
    </row>
    <row r="619" ht="15" customHeight="1">
      <c r="A619" t="inlineStr">
        <is>
          <t>A 458-2023</t>
        </is>
      </c>
      <c r="B619" s="1" t="n">
        <v>44929</v>
      </c>
      <c r="C619" s="1" t="n">
        <v>46087</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44228-2022</t>
        </is>
      </c>
      <c r="B620" s="1" t="n">
        <v>44839.51599537037</v>
      </c>
      <c r="C620" s="1" t="n">
        <v>46087</v>
      </c>
      <c r="D620" t="inlineStr">
        <is>
          <t>GOTLANDS LÄN</t>
        </is>
      </c>
      <c r="E620" t="inlineStr">
        <is>
          <t>GOTLAND</t>
        </is>
      </c>
      <c r="G620" t="n">
        <v>2.1</v>
      </c>
      <c r="H620" t="n">
        <v>0</v>
      </c>
      <c r="I620" t="n">
        <v>0</v>
      </c>
      <c r="J620" t="n">
        <v>0</v>
      </c>
      <c r="K620" t="n">
        <v>0</v>
      </c>
      <c r="L620" t="n">
        <v>0</v>
      </c>
      <c r="M620" t="n">
        <v>0</v>
      </c>
      <c r="N620" t="n">
        <v>0</v>
      </c>
      <c r="O620" t="n">
        <v>0</v>
      </c>
      <c r="P620" t="n">
        <v>0</v>
      </c>
      <c r="Q620" t="n">
        <v>0</v>
      </c>
      <c r="R620" s="2" t="inlineStr"/>
    </row>
    <row r="621" ht="15" customHeight="1">
      <c r="A621" t="inlineStr">
        <is>
          <t>A 58132-2023</t>
        </is>
      </c>
      <c r="B621" s="1" t="n">
        <v>45250</v>
      </c>
      <c r="C621" s="1" t="n">
        <v>46087</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49884-2023</t>
        </is>
      </c>
      <c r="B622" s="1" t="n">
        <v>45213</v>
      </c>
      <c r="C622" s="1" t="n">
        <v>46087</v>
      </c>
      <c r="D622" t="inlineStr">
        <is>
          <t>GOTLANDS LÄN</t>
        </is>
      </c>
      <c r="E622" t="inlineStr">
        <is>
          <t>GOTLAND</t>
        </is>
      </c>
      <c r="G622" t="n">
        <v>8.9</v>
      </c>
      <c r="H622" t="n">
        <v>0</v>
      </c>
      <c r="I622" t="n">
        <v>0</v>
      </c>
      <c r="J622" t="n">
        <v>0</v>
      </c>
      <c r="K622" t="n">
        <v>0</v>
      </c>
      <c r="L622" t="n">
        <v>0</v>
      </c>
      <c r="M622" t="n">
        <v>0</v>
      </c>
      <c r="N622" t="n">
        <v>0</v>
      </c>
      <c r="O622" t="n">
        <v>0</v>
      </c>
      <c r="P622" t="n">
        <v>0</v>
      </c>
      <c r="Q622" t="n">
        <v>0</v>
      </c>
      <c r="R622" s="2" t="inlineStr"/>
    </row>
    <row r="623" ht="15" customHeight="1">
      <c r="A623" t="inlineStr">
        <is>
          <t>A 876-2024</t>
        </is>
      </c>
      <c r="B623" s="1" t="n">
        <v>45301</v>
      </c>
      <c r="C623" s="1" t="n">
        <v>46087</v>
      </c>
      <c r="D623" t="inlineStr">
        <is>
          <t>GOTLANDS LÄN</t>
        </is>
      </c>
      <c r="E623" t="inlineStr">
        <is>
          <t>GOTLAND</t>
        </is>
      </c>
      <c r="G623" t="n">
        <v>5.3</v>
      </c>
      <c r="H623" t="n">
        <v>0</v>
      </c>
      <c r="I623" t="n">
        <v>0</v>
      </c>
      <c r="J623" t="n">
        <v>0</v>
      </c>
      <c r="K623" t="n">
        <v>0</v>
      </c>
      <c r="L623" t="n">
        <v>0</v>
      </c>
      <c r="M623" t="n">
        <v>0</v>
      </c>
      <c r="N623" t="n">
        <v>0</v>
      </c>
      <c r="O623" t="n">
        <v>0</v>
      </c>
      <c r="P623" t="n">
        <v>0</v>
      </c>
      <c r="Q623" t="n">
        <v>0</v>
      </c>
      <c r="R623" s="2" t="inlineStr"/>
    </row>
    <row r="624" ht="15" customHeight="1">
      <c r="A624" t="inlineStr">
        <is>
          <t>A 22704-2023</t>
        </is>
      </c>
      <c r="B624" s="1" t="n">
        <v>45071</v>
      </c>
      <c r="C624" s="1" t="n">
        <v>46087</v>
      </c>
      <c r="D624" t="inlineStr">
        <is>
          <t>GOTLANDS LÄN</t>
        </is>
      </c>
      <c r="E624" t="inlineStr">
        <is>
          <t>GOTLAND</t>
        </is>
      </c>
      <c r="G624" t="n">
        <v>1.9</v>
      </c>
      <c r="H624" t="n">
        <v>0</v>
      </c>
      <c r="I624" t="n">
        <v>0</v>
      </c>
      <c r="J624" t="n">
        <v>0</v>
      </c>
      <c r="K624" t="n">
        <v>0</v>
      </c>
      <c r="L624" t="n">
        <v>0</v>
      </c>
      <c r="M624" t="n">
        <v>0</v>
      </c>
      <c r="N624" t="n">
        <v>0</v>
      </c>
      <c r="O624" t="n">
        <v>0</v>
      </c>
      <c r="P624" t="n">
        <v>0</v>
      </c>
      <c r="Q624" t="n">
        <v>0</v>
      </c>
      <c r="R624" s="2" t="inlineStr"/>
    </row>
    <row r="625" ht="15" customHeight="1">
      <c r="A625" t="inlineStr">
        <is>
          <t>A 28425-2023</t>
        </is>
      </c>
      <c r="B625" s="1" t="n">
        <v>45102</v>
      </c>
      <c r="C625" s="1" t="n">
        <v>46087</v>
      </c>
      <c r="D625" t="inlineStr">
        <is>
          <t>GOTLANDS LÄN</t>
        </is>
      </c>
      <c r="E625" t="inlineStr">
        <is>
          <t>GOTLAND</t>
        </is>
      </c>
      <c r="G625" t="n">
        <v>0.5</v>
      </c>
      <c r="H625" t="n">
        <v>0</v>
      </c>
      <c r="I625" t="n">
        <v>0</v>
      </c>
      <c r="J625" t="n">
        <v>0</v>
      </c>
      <c r="K625" t="n">
        <v>0</v>
      </c>
      <c r="L625" t="n">
        <v>0</v>
      </c>
      <c r="M625" t="n">
        <v>0</v>
      </c>
      <c r="N625" t="n">
        <v>0</v>
      </c>
      <c r="O625" t="n">
        <v>0</v>
      </c>
      <c r="P625" t="n">
        <v>0</v>
      </c>
      <c r="Q625" t="n">
        <v>0</v>
      </c>
      <c r="R625" s="2" t="inlineStr"/>
    </row>
    <row r="626" ht="15" customHeight="1">
      <c r="A626" t="inlineStr">
        <is>
          <t>A 58476-2022</t>
        </is>
      </c>
      <c r="B626" s="1" t="n">
        <v>44902</v>
      </c>
      <c r="C626" s="1" t="n">
        <v>46087</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43200-2023</t>
        </is>
      </c>
      <c r="B627" s="1" t="n">
        <v>45183</v>
      </c>
      <c r="C627" s="1" t="n">
        <v>46087</v>
      </c>
      <c r="D627" t="inlineStr">
        <is>
          <t>GOTLANDS LÄN</t>
        </is>
      </c>
      <c r="E627" t="inlineStr">
        <is>
          <t>GOTLAND</t>
        </is>
      </c>
      <c r="G627" t="n">
        <v>0.5</v>
      </c>
      <c r="H627" t="n">
        <v>0</v>
      </c>
      <c r="I627" t="n">
        <v>0</v>
      </c>
      <c r="J627" t="n">
        <v>0</v>
      </c>
      <c r="K627" t="n">
        <v>0</v>
      </c>
      <c r="L627" t="n">
        <v>0</v>
      </c>
      <c r="M627" t="n">
        <v>0</v>
      </c>
      <c r="N627" t="n">
        <v>0</v>
      </c>
      <c r="O627" t="n">
        <v>0</v>
      </c>
      <c r="P627" t="n">
        <v>0</v>
      </c>
      <c r="Q627" t="n">
        <v>0</v>
      </c>
      <c r="R627" s="2" t="inlineStr"/>
    </row>
    <row r="628" ht="15" customHeight="1">
      <c r="A628" t="inlineStr">
        <is>
          <t>A 43223-2023</t>
        </is>
      </c>
      <c r="B628" s="1" t="n">
        <v>45183.45642361111</v>
      </c>
      <c r="C628" s="1" t="n">
        <v>46087</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12327-2025</t>
        </is>
      </c>
      <c r="B629" s="1" t="n">
        <v>45730</v>
      </c>
      <c r="C629" s="1" t="n">
        <v>46087</v>
      </c>
      <c r="D629" t="inlineStr">
        <is>
          <t>GOTLANDS LÄN</t>
        </is>
      </c>
      <c r="E629" t="inlineStr">
        <is>
          <t>GOTLAND</t>
        </is>
      </c>
      <c r="G629" t="n">
        <v>1.8</v>
      </c>
      <c r="H629" t="n">
        <v>0</v>
      </c>
      <c r="I629" t="n">
        <v>0</v>
      </c>
      <c r="J629" t="n">
        <v>0</v>
      </c>
      <c r="K629" t="n">
        <v>0</v>
      </c>
      <c r="L629" t="n">
        <v>0</v>
      </c>
      <c r="M629" t="n">
        <v>0</v>
      </c>
      <c r="N629" t="n">
        <v>0</v>
      </c>
      <c r="O629" t="n">
        <v>0</v>
      </c>
      <c r="P629" t="n">
        <v>0</v>
      </c>
      <c r="Q629" t="n">
        <v>0</v>
      </c>
      <c r="R629" s="2" t="inlineStr"/>
    </row>
    <row r="630" ht="15" customHeight="1">
      <c r="A630" t="inlineStr">
        <is>
          <t>A 3431-2025</t>
        </is>
      </c>
      <c r="B630" s="1" t="n">
        <v>45680.42935185185</v>
      </c>
      <c r="C630" s="1" t="n">
        <v>46087</v>
      </c>
      <c r="D630" t="inlineStr">
        <is>
          <t>GOTLANDS LÄN</t>
        </is>
      </c>
      <c r="E630" t="inlineStr">
        <is>
          <t>GOTLAND</t>
        </is>
      </c>
      <c r="G630" t="n">
        <v>4.8</v>
      </c>
      <c r="H630" t="n">
        <v>0</v>
      </c>
      <c r="I630" t="n">
        <v>0</v>
      </c>
      <c r="J630" t="n">
        <v>0</v>
      </c>
      <c r="K630" t="n">
        <v>0</v>
      </c>
      <c r="L630" t="n">
        <v>0</v>
      </c>
      <c r="M630" t="n">
        <v>0</v>
      </c>
      <c r="N630" t="n">
        <v>0</v>
      </c>
      <c r="O630" t="n">
        <v>0</v>
      </c>
      <c r="P630" t="n">
        <v>0</v>
      </c>
      <c r="Q630" t="n">
        <v>0</v>
      </c>
      <c r="R630" s="2" t="inlineStr"/>
    </row>
    <row r="631" ht="15" customHeight="1">
      <c r="A631" t="inlineStr">
        <is>
          <t>A 12209-2024</t>
        </is>
      </c>
      <c r="B631" s="1" t="n">
        <v>45378</v>
      </c>
      <c r="C631" s="1" t="n">
        <v>46087</v>
      </c>
      <c r="D631" t="inlineStr">
        <is>
          <t>GOTLANDS LÄN</t>
        </is>
      </c>
      <c r="E631" t="inlineStr">
        <is>
          <t>GOTLAND</t>
        </is>
      </c>
      <c r="G631" t="n">
        <v>5.3</v>
      </c>
      <c r="H631" t="n">
        <v>0</v>
      </c>
      <c r="I631" t="n">
        <v>0</v>
      </c>
      <c r="J631" t="n">
        <v>0</v>
      </c>
      <c r="K631" t="n">
        <v>0</v>
      </c>
      <c r="L631" t="n">
        <v>0</v>
      </c>
      <c r="M631" t="n">
        <v>0</v>
      </c>
      <c r="N631" t="n">
        <v>0</v>
      </c>
      <c r="O631" t="n">
        <v>0</v>
      </c>
      <c r="P631" t="n">
        <v>0</v>
      </c>
      <c r="Q631" t="n">
        <v>0</v>
      </c>
      <c r="R631" s="2" t="inlineStr"/>
    </row>
    <row r="632" ht="15" customHeight="1">
      <c r="A632" t="inlineStr">
        <is>
          <t>A 12210-2024</t>
        </is>
      </c>
      <c r="B632" s="1" t="n">
        <v>45378</v>
      </c>
      <c r="C632" s="1" t="n">
        <v>46087</v>
      </c>
      <c r="D632" t="inlineStr">
        <is>
          <t>GOTLANDS LÄN</t>
        </is>
      </c>
      <c r="E632" t="inlineStr">
        <is>
          <t>GOTLAND</t>
        </is>
      </c>
      <c r="G632" t="n">
        <v>4.1</v>
      </c>
      <c r="H632" t="n">
        <v>0</v>
      </c>
      <c r="I632" t="n">
        <v>0</v>
      </c>
      <c r="J632" t="n">
        <v>0</v>
      </c>
      <c r="K632" t="n">
        <v>0</v>
      </c>
      <c r="L632" t="n">
        <v>0</v>
      </c>
      <c r="M632" t="n">
        <v>0</v>
      </c>
      <c r="N632" t="n">
        <v>0</v>
      </c>
      <c r="O632" t="n">
        <v>0</v>
      </c>
      <c r="P632" t="n">
        <v>0</v>
      </c>
      <c r="Q632" t="n">
        <v>0</v>
      </c>
      <c r="R632" s="2" t="inlineStr"/>
    </row>
    <row r="633" ht="15" customHeight="1">
      <c r="A633" t="inlineStr">
        <is>
          <t>A 1364-2025</t>
        </is>
      </c>
      <c r="B633" s="1" t="n">
        <v>45667.63929398148</v>
      </c>
      <c r="C633" s="1" t="n">
        <v>46087</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15042-2025</t>
        </is>
      </c>
      <c r="B634" s="1" t="n">
        <v>45743</v>
      </c>
      <c r="C634" s="1" t="n">
        <v>46087</v>
      </c>
      <c r="D634" t="inlineStr">
        <is>
          <t>GOTLANDS LÄN</t>
        </is>
      </c>
      <c r="E634" t="inlineStr">
        <is>
          <t>GOTLAND</t>
        </is>
      </c>
      <c r="G634" t="n">
        <v>8.5</v>
      </c>
      <c r="H634" t="n">
        <v>0</v>
      </c>
      <c r="I634" t="n">
        <v>0</v>
      </c>
      <c r="J634" t="n">
        <v>0</v>
      </c>
      <c r="K634" t="n">
        <v>0</v>
      </c>
      <c r="L634" t="n">
        <v>0</v>
      </c>
      <c r="M634" t="n">
        <v>0</v>
      </c>
      <c r="N634" t="n">
        <v>0</v>
      </c>
      <c r="O634" t="n">
        <v>0</v>
      </c>
      <c r="P634" t="n">
        <v>0</v>
      </c>
      <c r="Q634" t="n">
        <v>0</v>
      </c>
      <c r="R634" s="2" t="inlineStr"/>
    </row>
    <row r="635" ht="15" customHeight="1">
      <c r="A635" t="inlineStr">
        <is>
          <t>A 2180-2025</t>
        </is>
      </c>
      <c r="B635" s="1" t="n">
        <v>45673</v>
      </c>
      <c r="C635" s="1" t="n">
        <v>46087</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15436-2025</t>
        </is>
      </c>
      <c r="B636" s="1" t="n">
        <v>45747.47462962963</v>
      </c>
      <c r="C636" s="1" t="n">
        <v>46087</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49257-2024</t>
        </is>
      </c>
      <c r="B637" s="1" t="n">
        <v>45595.47627314815</v>
      </c>
      <c r="C637" s="1" t="n">
        <v>46087</v>
      </c>
      <c r="D637" t="inlineStr">
        <is>
          <t>GOTLANDS LÄN</t>
        </is>
      </c>
      <c r="E637" t="inlineStr">
        <is>
          <t>GOTLAND</t>
        </is>
      </c>
      <c r="G637" t="n">
        <v>6.3</v>
      </c>
      <c r="H637" t="n">
        <v>0</v>
      </c>
      <c r="I637" t="n">
        <v>0</v>
      </c>
      <c r="J637" t="n">
        <v>0</v>
      </c>
      <c r="K637" t="n">
        <v>0</v>
      </c>
      <c r="L637" t="n">
        <v>0</v>
      </c>
      <c r="M637" t="n">
        <v>0</v>
      </c>
      <c r="N637" t="n">
        <v>0</v>
      </c>
      <c r="O637" t="n">
        <v>0</v>
      </c>
      <c r="P637" t="n">
        <v>0</v>
      </c>
      <c r="Q637" t="n">
        <v>0</v>
      </c>
      <c r="R637" s="2" t="inlineStr"/>
    </row>
    <row r="638" ht="15" customHeight="1">
      <c r="A638" t="inlineStr">
        <is>
          <t>A 37202-2024</t>
        </is>
      </c>
      <c r="B638" s="1" t="n">
        <v>45539.67310185185</v>
      </c>
      <c r="C638" s="1" t="n">
        <v>46087</v>
      </c>
      <c r="D638" t="inlineStr">
        <is>
          <t>GOTLANDS LÄN</t>
        </is>
      </c>
      <c r="E638" t="inlineStr">
        <is>
          <t>GOTLAND</t>
        </is>
      </c>
      <c r="G638" t="n">
        <v>0.3</v>
      </c>
      <c r="H638" t="n">
        <v>0</v>
      </c>
      <c r="I638" t="n">
        <v>0</v>
      </c>
      <c r="J638" t="n">
        <v>0</v>
      </c>
      <c r="K638" t="n">
        <v>0</v>
      </c>
      <c r="L638" t="n">
        <v>0</v>
      </c>
      <c r="M638" t="n">
        <v>0</v>
      </c>
      <c r="N638" t="n">
        <v>0</v>
      </c>
      <c r="O638" t="n">
        <v>0</v>
      </c>
      <c r="P638" t="n">
        <v>0</v>
      </c>
      <c r="Q638" t="n">
        <v>0</v>
      </c>
      <c r="R638" s="2" t="inlineStr"/>
    </row>
    <row r="639" ht="15" customHeight="1">
      <c r="A639" t="inlineStr">
        <is>
          <t>A 56115-2023</t>
        </is>
      </c>
      <c r="B639" s="1" t="n">
        <v>45236</v>
      </c>
      <c r="C639" s="1" t="n">
        <v>46087</v>
      </c>
      <c r="D639" t="inlineStr">
        <is>
          <t>GOTLANDS LÄN</t>
        </is>
      </c>
      <c r="E639" t="inlineStr">
        <is>
          <t>GOTLAND</t>
        </is>
      </c>
      <c r="G639" t="n">
        <v>2</v>
      </c>
      <c r="H639" t="n">
        <v>0</v>
      </c>
      <c r="I639" t="n">
        <v>0</v>
      </c>
      <c r="J639" t="n">
        <v>0</v>
      </c>
      <c r="K639" t="n">
        <v>0</v>
      </c>
      <c r="L639" t="n">
        <v>0</v>
      </c>
      <c r="M639" t="n">
        <v>0</v>
      </c>
      <c r="N639" t="n">
        <v>0</v>
      </c>
      <c r="O639" t="n">
        <v>0</v>
      </c>
      <c r="P639" t="n">
        <v>0</v>
      </c>
      <c r="Q639" t="n">
        <v>0</v>
      </c>
      <c r="R639" s="2" t="inlineStr"/>
    </row>
    <row r="640" ht="15" customHeight="1">
      <c r="A640" t="inlineStr">
        <is>
          <t>A 2774-2024</t>
        </is>
      </c>
      <c r="B640" s="1" t="n">
        <v>45314.62375</v>
      </c>
      <c r="C640" s="1" t="n">
        <v>46087</v>
      </c>
      <c r="D640" t="inlineStr">
        <is>
          <t>GOTLANDS LÄN</t>
        </is>
      </c>
      <c r="E640" t="inlineStr">
        <is>
          <t>GOTLAND</t>
        </is>
      </c>
      <c r="G640" t="n">
        <v>1</v>
      </c>
      <c r="H640" t="n">
        <v>0</v>
      </c>
      <c r="I640" t="n">
        <v>0</v>
      </c>
      <c r="J640" t="n">
        <v>0</v>
      </c>
      <c r="K640" t="n">
        <v>0</v>
      </c>
      <c r="L640" t="n">
        <v>0</v>
      </c>
      <c r="M640" t="n">
        <v>0</v>
      </c>
      <c r="N640" t="n">
        <v>0</v>
      </c>
      <c r="O640" t="n">
        <v>0</v>
      </c>
      <c r="P640" t="n">
        <v>0</v>
      </c>
      <c r="Q640" t="n">
        <v>0</v>
      </c>
      <c r="R640" s="2" t="inlineStr"/>
    </row>
    <row r="641" ht="15" customHeight="1">
      <c r="A641" t="inlineStr">
        <is>
          <t>A 60709-2023</t>
        </is>
      </c>
      <c r="B641" s="1" t="n">
        <v>45260</v>
      </c>
      <c r="C641" s="1" t="n">
        <v>46087</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64208-2021</t>
        </is>
      </c>
      <c r="B642" s="1" t="n">
        <v>44510</v>
      </c>
      <c r="C642" s="1" t="n">
        <v>46087</v>
      </c>
      <c r="D642" t="inlineStr">
        <is>
          <t>GOTLANDS LÄN</t>
        </is>
      </c>
      <c r="E642" t="inlineStr">
        <is>
          <t>GOTLAND</t>
        </is>
      </c>
      <c r="G642" t="n">
        <v>4.7</v>
      </c>
      <c r="H642" t="n">
        <v>0</v>
      </c>
      <c r="I642" t="n">
        <v>0</v>
      </c>
      <c r="J642" t="n">
        <v>0</v>
      </c>
      <c r="K642" t="n">
        <v>0</v>
      </c>
      <c r="L642" t="n">
        <v>0</v>
      </c>
      <c r="M642" t="n">
        <v>0</v>
      </c>
      <c r="N642" t="n">
        <v>0</v>
      </c>
      <c r="O642" t="n">
        <v>0</v>
      </c>
      <c r="P642" t="n">
        <v>0</v>
      </c>
      <c r="Q642" t="n">
        <v>0</v>
      </c>
      <c r="R642" s="2" t="inlineStr"/>
    </row>
    <row r="643" ht="15" customHeight="1">
      <c r="A643" t="inlineStr">
        <is>
          <t>A 39764-2022</t>
        </is>
      </c>
      <c r="B643" s="1" t="n">
        <v>44819</v>
      </c>
      <c r="C643" s="1" t="n">
        <v>46087</v>
      </c>
      <c r="D643" t="inlineStr">
        <is>
          <t>GOTLANDS LÄN</t>
        </is>
      </c>
      <c r="E643" t="inlineStr">
        <is>
          <t>GOTLAND</t>
        </is>
      </c>
      <c r="F643" t="inlineStr">
        <is>
          <t>Kyrkan</t>
        </is>
      </c>
      <c r="G643" t="n">
        <v>3.7</v>
      </c>
      <c r="H643" t="n">
        <v>0</v>
      </c>
      <c r="I643" t="n">
        <v>0</v>
      </c>
      <c r="J643" t="n">
        <v>0</v>
      </c>
      <c r="K643" t="n">
        <v>0</v>
      </c>
      <c r="L643" t="n">
        <v>0</v>
      </c>
      <c r="M643" t="n">
        <v>0</v>
      </c>
      <c r="N643" t="n">
        <v>0</v>
      </c>
      <c r="O643" t="n">
        <v>0</v>
      </c>
      <c r="P643" t="n">
        <v>0</v>
      </c>
      <c r="Q643" t="n">
        <v>0</v>
      </c>
      <c r="R643" s="2" t="inlineStr"/>
    </row>
    <row r="644" ht="15" customHeight="1">
      <c r="A644" t="inlineStr">
        <is>
          <t>A 58211-2024</t>
        </is>
      </c>
      <c r="B644" s="1" t="n">
        <v>45632.49292824074</v>
      </c>
      <c r="C644" s="1" t="n">
        <v>46087</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30956-2024</t>
        </is>
      </c>
      <c r="B645" s="1" t="n">
        <v>45499.42527777778</v>
      </c>
      <c r="C645" s="1" t="n">
        <v>46087</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row r="646" ht="15" customHeight="1">
      <c r="A646" t="inlineStr">
        <is>
          <t>A 30892-2024</t>
        </is>
      </c>
      <c r="B646" s="1" t="n">
        <v>45491</v>
      </c>
      <c r="C646" s="1" t="n">
        <v>46087</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14635-2023</t>
        </is>
      </c>
      <c r="B647" s="1" t="n">
        <v>45013.69365740741</v>
      </c>
      <c r="C647" s="1" t="n">
        <v>46087</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59469-2024</t>
        </is>
      </c>
      <c r="B648" s="1" t="n">
        <v>45638</v>
      </c>
      <c r="C648" s="1" t="n">
        <v>46087</v>
      </c>
      <c r="D648" t="inlineStr">
        <is>
          <t>GOTLANDS LÄN</t>
        </is>
      </c>
      <c r="E648" t="inlineStr">
        <is>
          <t>GOTLAND</t>
        </is>
      </c>
      <c r="G648" t="n">
        <v>0.4</v>
      </c>
      <c r="H648" t="n">
        <v>0</v>
      </c>
      <c r="I648" t="n">
        <v>0</v>
      </c>
      <c r="J648" t="n">
        <v>0</v>
      </c>
      <c r="K648" t="n">
        <v>0</v>
      </c>
      <c r="L648" t="n">
        <v>0</v>
      </c>
      <c r="M648" t="n">
        <v>0</v>
      </c>
      <c r="N648" t="n">
        <v>0</v>
      </c>
      <c r="O648" t="n">
        <v>0</v>
      </c>
      <c r="P648" t="n">
        <v>0</v>
      </c>
      <c r="Q648" t="n">
        <v>0</v>
      </c>
      <c r="R648" s="2" t="inlineStr"/>
    </row>
    <row r="649">
      <c r="A649" t="inlineStr">
        <is>
          <t>A 7858-2025</t>
        </is>
      </c>
      <c r="B649" s="1" t="n">
        <v>45706.68633101852</v>
      </c>
      <c r="C649" s="1" t="n">
        <v>46087</v>
      </c>
      <c r="D649" t="inlineStr">
        <is>
          <t>GOTLANDS LÄN</t>
        </is>
      </c>
      <c r="E649" t="inlineStr">
        <is>
          <t>GOTLAND</t>
        </is>
      </c>
      <c r="G649" t="n">
        <v>3</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2026-03-06T11:15:02Z</dcterms:created>
  <dcterms:modified xmlns:dcterms="http://purl.org/dc/terms/" xmlns:xsi="http://www.w3.org/2001/XMLSchema-instance" xsi:type="dcterms:W3CDTF">2026-03-06T11:15:03Z</dcterms:modified>
</cp:coreProperties>
</file>