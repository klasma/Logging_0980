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46045</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46045</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46045</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46045</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46045</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46045</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46045</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46045</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46045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46045</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46045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46045</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46045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46045</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46045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46045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46045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46045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28287-2024</t>
        </is>
      </c>
      <c r="B39" s="1" t="n">
        <v>45477</v>
      </c>
      <c r="C39" s="1" t="n">
        <v>46045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46045</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15850-2025</t>
        </is>
      </c>
      <c r="B41" s="1" t="n">
        <v>45748</v>
      </c>
      <c r="C41" s="1" t="n">
        <v>46045</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46045</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37037-2021</t>
        </is>
      </c>
      <c r="B43" s="1" t="n">
        <v>44393.84688657407</v>
      </c>
      <c r="C43" s="1" t="n">
        <v>46045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46045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46045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46045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46045</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46045</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45248-2024</t>
        </is>
      </c>
      <c r="B51" s="1" t="n">
        <v>45576</v>
      </c>
      <c r="C51" s="1" t="n">
        <v>46045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22404-2024</t>
        </is>
      </c>
      <c r="B52" s="1" t="n">
        <v>45446</v>
      </c>
      <c r="C52" s="1" t="n">
        <v>46045</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46045</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46045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46045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46045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46045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46045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46045</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46045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44944-2022</t>
        </is>
      </c>
      <c r="B64" s="1" t="n">
        <v>44841</v>
      </c>
      <c r="C64" s="1" t="n">
        <v>46045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10419-2025</t>
        </is>
      </c>
      <c r="B65" s="1" t="n">
        <v>45720</v>
      </c>
      <c r="C65" s="1" t="n">
        <v>46045</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46045</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27280-2023</t>
        </is>
      </c>
      <c r="B67" s="1" t="n">
        <v>45096</v>
      </c>
      <c r="C67" s="1" t="n">
        <v>46045</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46045</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46045</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46045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46045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2085-2023</t>
        </is>
      </c>
      <c r="B72" s="1" t="n">
        <v>44939</v>
      </c>
      <c r="C72" s="1" t="n">
        <v>46045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46045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46045</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54527-2023</t>
        </is>
      </c>
      <c r="B75" s="1" t="n">
        <v>45233</v>
      </c>
      <c r="C75" s="1" t="n">
        <v>46045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46045</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16823-2024</t>
        </is>
      </c>
      <c r="B77" s="1" t="n">
        <v>45411</v>
      </c>
      <c r="C77" s="1" t="n">
        <v>46045</v>
      </c>
      <c r="D77" t="inlineStr">
        <is>
          <t>GOTLANDS LÄN</t>
        </is>
      </c>
      <c r="E77" t="inlineStr">
        <is>
          <t>GOTLAND</t>
        </is>
      </c>
      <c r="G77" t="n">
        <v>25.4</v>
      </c>
      <c r="H77" t="n">
        <v>5</v>
      </c>
      <c r="I77" t="n">
        <v>1</v>
      </c>
      <c r="J77" t="n">
        <v>2</v>
      </c>
      <c r="K77" t="n">
        <v>0</v>
      </c>
      <c r="L77" t="n">
        <v>0</v>
      </c>
      <c r="M77" t="n">
        <v>0</v>
      </c>
      <c r="N77" t="n">
        <v>0</v>
      </c>
      <c r="O77" t="n">
        <v>2</v>
      </c>
      <c r="P77" t="n">
        <v>0</v>
      </c>
      <c r="Q77" t="n">
        <v>6</v>
      </c>
      <c r="R77" s="2" t="inlineStr">
        <is>
          <t>Gulsparv
Jordtistel
Flugblomster
Brudsporre
Johannesnycklar
Sankt pers nycklar</t>
        </is>
      </c>
      <c r="S77">
        <f>HYPERLINK("https://klasma.github.io/Logging_0980/artfynd/A 16823-2024 artfynd.xlsx", "A 16823-2024")</f>
        <v/>
      </c>
      <c r="T77">
        <f>HYPERLINK("https://klasma.github.io/Logging_0980/kartor/A 16823-2024 karta.png", "A 16823-2024")</f>
        <v/>
      </c>
      <c r="V77">
        <f>HYPERLINK("https://klasma.github.io/Logging_0980/klagomål/A 16823-2024 FSC-klagomål.docx", "A 16823-2024")</f>
        <v/>
      </c>
      <c r="W77">
        <f>HYPERLINK("https://klasma.github.io/Logging_0980/klagomålsmail/A 16823-2024 FSC-klagomål mail.docx", "A 16823-2024")</f>
        <v/>
      </c>
      <c r="X77">
        <f>HYPERLINK("https://klasma.github.io/Logging_0980/tillsyn/A 16823-2024 tillsynsbegäran.docx", "A 16823-2024")</f>
        <v/>
      </c>
      <c r="Y77">
        <f>HYPERLINK("https://klasma.github.io/Logging_0980/tillsynsmail/A 16823-2024 tillsynsbegäran mail.docx", "A 16823-2024")</f>
        <v/>
      </c>
      <c r="Z77">
        <f>HYPERLINK("https://klasma.github.io/Logging_0980/fåglar/A 16823-2024 prioriterade fågelarter.docx", "A 16823-2024")</f>
        <v/>
      </c>
    </row>
    <row r="78" ht="15" customHeight="1">
      <c r="A78" t="inlineStr">
        <is>
          <t>A 7038-2023</t>
        </is>
      </c>
      <c r="B78" s="1" t="n">
        <v>44968</v>
      </c>
      <c r="C78" s="1" t="n">
        <v>46045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46045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46045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2213-2023</t>
        </is>
      </c>
      <c r="B81" s="1" t="n">
        <v>44942</v>
      </c>
      <c r="C81" s="1" t="n">
        <v>46045</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46045</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32326-2024</t>
        </is>
      </c>
      <c r="B83" s="1" t="n">
        <v>45512</v>
      </c>
      <c r="C83" s="1" t="n">
        <v>46045</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16375-2025</t>
        </is>
      </c>
      <c r="B84" s="1" t="n">
        <v>45751.41064814815</v>
      </c>
      <c r="C84" s="1" t="n">
        <v>46045</v>
      </c>
      <c r="D84" t="inlineStr">
        <is>
          <t>GOTLANDS LÄN</t>
        </is>
      </c>
      <c r="E84" t="inlineStr">
        <is>
          <t>GOTLAND</t>
        </is>
      </c>
      <c r="G84" t="n">
        <v>1.9</v>
      </c>
      <c r="H84" t="n">
        <v>3</v>
      </c>
      <c r="I84" t="n">
        <v>3</v>
      </c>
      <c r="J84" t="n">
        <v>1</v>
      </c>
      <c r="K84" t="n">
        <v>0</v>
      </c>
      <c r="L84" t="n">
        <v>1</v>
      </c>
      <c r="M84" t="n">
        <v>0</v>
      </c>
      <c r="N84" t="n">
        <v>0</v>
      </c>
      <c r="O84" t="n">
        <v>2</v>
      </c>
      <c r="P84" t="n">
        <v>1</v>
      </c>
      <c r="Q84" t="n">
        <v>5</v>
      </c>
      <c r="R84" s="2" t="inlineStr">
        <is>
          <t>Ask
Spillkråka
Blåmossa
Nästrot
Tvåblad</t>
        </is>
      </c>
      <c r="S84">
        <f>HYPERLINK("https://klasma.github.io/Logging_0980/artfynd/A 16375-2025 artfynd.xlsx", "A 16375-2025")</f>
        <v/>
      </c>
      <c r="T84">
        <f>HYPERLINK("https://klasma.github.io/Logging_0980/kartor/A 16375-2025 karta.png", "A 16375-2025")</f>
        <v/>
      </c>
      <c r="V84">
        <f>HYPERLINK("https://klasma.github.io/Logging_0980/klagomål/A 16375-2025 FSC-klagomål.docx", "A 16375-2025")</f>
        <v/>
      </c>
      <c r="W84">
        <f>HYPERLINK("https://klasma.github.io/Logging_0980/klagomålsmail/A 16375-2025 FSC-klagomål mail.docx", "A 16375-2025")</f>
        <v/>
      </c>
      <c r="X84">
        <f>HYPERLINK("https://klasma.github.io/Logging_0980/tillsyn/A 16375-2025 tillsynsbegäran.docx", "A 16375-2025")</f>
        <v/>
      </c>
      <c r="Y84">
        <f>HYPERLINK("https://klasma.github.io/Logging_0980/tillsynsmail/A 16375-2025 tillsynsbegäran mail.docx", "A 16375-2025")</f>
        <v/>
      </c>
      <c r="Z84">
        <f>HYPERLINK("https://klasma.github.io/Logging_0980/fåglar/A 16375-2025 prioriterade fågelarter.docx", "A 16375-2025")</f>
        <v/>
      </c>
    </row>
    <row r="85" ht="15" customHeight="1">
      <c r="A85" t="inlineStr">
        <is>
          <t>A 52245-2025</t>
        </is>
      </c>
      <c r="B85" s="1" t="n">
        <v>45953.47115740741</v>
      </c>
      <c r="C85" s="1" t="n">
        <v>46045</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39425-2023</t>
        </is>
      </c>
      <c r="B86" s="1" t="n">
        <v>45166</v>
      </c>
      <c r="C86" s="1" t="n">
        <v>46045</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35293-2025</t>
        </is>
      </c>
      <c r="B87" s="1" t="n">
        <v>45854.39438657407</v>
      </c>
      <c r="C87" s="1" t="n">
        <v>46045</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46045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46045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46045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40099-2025</t>
        </is>
      </c>
      <c r="B91" s="1" t="n">
        <v>45894.48462962963</v>
      </c>
      <c r="C91" s="1" t="n">
        <v>46045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8265-2023</t>
        </is>
      </c>
      <c r="B92" s="1" t="n">
        <v>44974</v>
      </c>
      <c r="C92" s="1" t="n">
        <v>46045</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186-2023</t>
        </is>
      </c>
      <c r="B93" s="1" t="n">
        <v>44928</v>
      </c>
      <c r="C93" s="1" t="n">
        <v>46045</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56717-2024</t>
        </is>
      </c>
      <c r="B94" s="1" t="n">
        <v>45628.3166550926</v>
      </c>
      <c r="C94" s="1" t="n">
        <v>46045</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43197-2023</t>
        </is>
      </c>
      <c r="B95" s="1" t="n">
        <v>45183</v>
      </c>
      <c r="C95" s="1" t="n">
        <v>46045</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46045</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52250-2025</t>
        </is>
      </c>
      <c r="B97" s="1" t="n">
        <v>45953.48998842593</v>
      </c>
      <c r="C97" s="1" t="n">
        <v>46045</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46045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44933-2022</t>
        </is>
      </c>
      <c r="B99" s="1" t="n">
        <v>44841</v>
      </c>
      <c r="C99" s="1" t="n">
        <v>46045</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54523-2023</t>
        </is>
      </c>
      <c r="B100" s="1" t="n">
        <v>45233</v>
      </c>
      <c r="C100" s="1" t="n">
        <v>46045</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20833-2024</t>
        </is>
      </c>
      <c r="B101" s="1" t="n">
        <v>45439</v>
      </c>
      <c r="C101" s="1" t="n">
        <v>46045</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2485-2025</t>
        </is>
      </c>
      <c r="B102" s="1" t="n">
        <v>45673</v>
      </c>
      <c r="C102" s="1" t="n">
        <v>46045</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44323-2021</t>
        </is>
      </c>
      <c r="B103" s="1" t="n">
        <v>44434</v>
      </c>
      <c r="C103" s="1" t="n">
        <v>46045</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46045</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46045</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46045</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73144-2021</t>
        </is>
      </c>
      <c r="B108" s="1" t="n">
        <v>44550</v>
      </c>
      <c r="C108" s="1" t="n">
        <v>46045</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43013-2022</t>
        </is>
      </c>
      <c r="B109" s="1" t="n">
        <v>44833</v>
      </c>
      <c r="C109" s="1" t="n">
        <v>46045</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55334-2024</t>
        </is>
      </c>
      <c r="B110" s="1" t="n">
        <v>45621</v>
      </c>
      <c r="C110" s="1" t="n">
        <v>46045</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5235-2025</t>
        </is>
      </c>
      <c r="B111" s="1" t="n">
        <v>45692.26797453704</v>
      </c>
      <c r="C111" s="1" t="n">
        <v>46045</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49709-2025</t>
        </is>
      </c>
      <c r="B112" s="1" t="n">
        <v>45939.68228009259</v>
      </c>
      <c r="C112" s="1" t="n">
        <v>46045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53552-2021</t>
        </is>
      </c>
      <c r="B113" s="1" t="n">
        <v>44468</v>
      </c>
      <c r="C113" s="1" t="n">
        <v>46045</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30490-2025</t>
        </is>
      </c>
      <c r="B114" s="1" t="n">
        <v>45830</v>
      </c>
      <c r="C114" s="1" t="n">
        <v>46045</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1520-2026</t>
        </is>
      </c>
      <c r="B115" s="1" t="n">
        <v>46034.35891203704</v>
      </c>
      <c r="C115" s="1" t="n">
        <v>46045</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20831-2024</t>
        </is>
      </c>
      <c r="B116" s="1" t="n">
        <v>45439</v>
      </c>
      <c r="C116" s="1" t="n">
        <v>46045</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46045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46045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46045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46045</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46045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46045</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46045</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46045</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26077-2024</t>
        </is>
      </c>
      <c r="B127" s="1" t="n">
        <v>45467</v>
      </c>
      <c r="C127" s="1" t="n">
        <v>46045</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28276-2024</t>
        </is>
      </c>
      <c r="B128" s="1" t="n">
        <v>45477</v>
      </c>
      <c r="C128" s="1" t="n">
        <v>46045</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28276-2024 artfynd.xlsx", "A 28276-2024")</f>
        <v/>
      </c>
      <c r="T128">
        <f>HYPERLINK("https://klasma.github.io/Logging_0980/kartor/A 28276-2024 karta.png", "A 28276-2024")</f>
        <v/>
      </c>
      <c r="V128">
        <f>HYPERLINK("https://klasma.github.io/Logging_0980/klagomål/A 28276-2024 FSC-klagomål.docx", "A 28276-2024")</f>
        <v/>
      </c>
      <c r="W128">
        <f>HYPERLINK("https://klasma.github.io/Logging_0980/klagomålsmail/A 28276-2024 FSC-klagomål mail.docx", "A 28276-2024")</f>
        <v/>
      </c>
      <c r="X128">
        <f>HYPERLINK("https://klasma.github.io/Logging_0980/tillsyn/A 28276-2024 tillsynsbegäran.docx", "A 28276-2024")</f>
        <v/>
      </c>
      <c r="Y128">
        <f>HYPERLINK("https://klasma.github.io/Logging_0980/tillsynsmail/A 28276-2024 tillsynsbegäran mail.docx", "A 28276-2024")</f>
        <v/>
      </c>
    </row>
    <row r="129" ht="15" customHeight="1">
      <c r="A129" t="inlineStr">
        <is>
          <t>A 21879-2025</t>
        </is>
      </c>
      <c r="B129" s="1" t="n">
        <v>45784.40533564815</v>
      </c>
      <c r="C129" s="1" t="n">
        <v>46045</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20838-2024</t>
        </is>
      </c>
      <c r="B130" s="1" t="n">
        <v>45439</v>
      </c>
      <c r="C130" s="1" t="n">
        <v>46045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46045</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62760-2025</t>
        </is>
      </c>
      <c r="B132" s="1" t="n">
        <v>46008</v>
      </c>
      <c r="C132" s="1" t="n">
        <v>46045</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46045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46045</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46045</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46045</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46045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46045</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46362-2021</t>
        </is>
      </c>
      <c r="B139" s="1" t="n">
        <v>44442</v>
      </c>
      <c r="C139" s="1" t="n">
        <v>46045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46045</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46045</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15637-2024</t>
        </is>
      </c>
      <c r="B142" s="1" t="n">
        <v>45403.6684837963</v>
      </c>
      <c r="C142" s="1" t="n">
        <v>46045</v>
      </c>
      <c r="D142" t="inlineStr">
        <is>
          <t>GOTLANDS LÄN</t>
        </is>
      </c>
      <c r="E142" t="inlineStr">
        <is>
          <t>GOTLAND</t>
        </is>
      </c>
      <c r="G142" t="n">
        <v>4.1</v>
      </c>
      <c r="H142" t="n">
        <v>1</v>
      </c>
      <c r="I142" t="n">
        <v>0</v>
      </c>
      <c r="J142" t="n">
        <v>0</v>
      </c>
      <c r="K142" t="n">
        <v>0</v>
      </c>
      <c r="L142" t="n">
        <v>0</v>
      </c>
      <c r="M142" t="n">
        <v>0</v>
      </c>
      <c r="N142" t="n">
        <v>0</v>
      </c>
      <c r="O142" t="n">
        <v>0</v>
      </c>
      <c r="P142" t="n">
        <v>0</v>
      </c>
      <c r="Q142" t="n">
        <v>1</v>
      </c>
      <c r="R142" s="2" t="inlineStr">
        <is>
          <t>Blåsippa</t>
        </is>
      </c>
      <c r="S142">
        <f>HYPERLINK("https://klasma.github.io/Logging_0980/artfynd/A 15637-2024 artfynd.xlsx", "A 15637-2024")</f>
        <v/>
      </c>
      <c r="T142">
        <f>HYPERLINK("https://klasma.github.io/Logging_0980/kartor/A 15637-2024 karta.png", "A 15637-2024")</f>
        <v/>
      </c>
      <c r="V142">
        <f>HYPERLINK("https://klasma.github.io/Logging_0980/klagomål/A 15637-2024 FSC-klagomål.docx", "A 15637-2024")</f>
        <v/>
      </c>
      <c r="W142">
        <f>HYPERLINK("https://klasma.github.io/Logging_0980/klagomålsmail/A 15637-2024 FSC-klagomål mail.docx", "A 15637-2024")</f>
        <v/>
      </c>
      <c r="X142">
        <f>HYPERLINK("https://klasma.github.io/Logging_0980/tillsyn/A 15637-2024 tillsynsbegäran.docx", "A 15637-2024")</f>
        <v/>
      </c>
      <c r="Y142">
        <f>HYPERLINK("https://klasma.github.io/Logging_0980/tillsynsmail/A 15637-2024 tillsynsbegäran mail.docx", "A 15637-2024")</f>
        <v/>
      </c>
    </row>
    <row r="143" ht="15" customHeight="1">
      <c r="A143" t="inlineStr">
        <is>
          <t>A 10218-2025</t>
        </is>
      </c>
      <c r="B143" s="1" t="n">
        <v>45720</v>
      </c>
      <c r="C143" s="1" t="n">
        <v>46045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46045</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13939-2021</t>
        </is>
      </c>
      <c r="B145" s="1" t="n">
        <v>44277</v>
      </c>
      <c r="C145" s="1" t="n">
        <v>46045</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17723-2021</t>
        </is>
      </c>
      <c r="B146" s="1" t="n">
        <v>44300</v>
      </c>
      <c r="C146" s="1" t="n">
        <v>46045</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46045</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24245-2022</t>
        </is>
      </c>
      <c r="B148" s="1" t="n">
        <v>44725</v>
      </c>
      <c r="C148" s="1" t="n">
        <v>46045</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2476-2025</t>
        </is>
      </c>
      <c r="B149" s="1" t="n">
        <v>45673</v>
      </c>
      <c r="C149" s="1" t="n">
        <v>46045</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39812-2025</t>
        </is>
      </c>
      <c r="B150" s="1" t="n">
        <v>45891</v>
      </c>
      <c r="C150" s="1" t="n">
        <v>46045</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25977-2024</t>
        </is>
      </c>
      <c r="B151" s="1" t="n">
        <v>45467.69356481481</v>
      </c>
      <c r="C151" s="1" t="n">
        <v>46045</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49847-2023</t>
        </is>
      </c>
      <c r="B152" s="1" t="n">
        <v>45212</v>
      </c>
      <c r="C152" s="1" t="n">
        <v>46045</v>
      </c>
      <c r="D152" t="inlineStr">
        <is>
          <t>GOTLANDS LÄN</t>
        </is>
      </c>
      <c r="E152" t="inlineStr">
        <is>
          <t>GOTLAND</t>
        </is>
      </c>
      <c r="G152" t="n">
        <v>35.2</v>
      </c>
      <c r="H152" t="n">
        <v>0</v>
      </c>
      <c r="I152" t="n">
        <v>0</v>
      </c>
      <c r="J152" t="n">
        <v>0</v>
      </c>
      <c r="K152" t="n">
        <v>1</v>
      </c>
      <c r="L152" t="n">
        <v>0</v>
      </c>
      <c r="M152" t="n">
        <v>0</v>
      </c>
      <c r="N152" t="n">
        <v>0</v>
      </c>
      <c r="O152" t="n">
        <v>1</v>
      </c>
      <c r="P152" t="n">
        <v>1</v>
      </c>
      <c r="Q152" t="n">
        <v>1</v>
      </c>
      <c r="R152" s="2" t="inlineStr">
        <is>
          <t>Strandviol</t>
        </is>
      </c>
      <c r="S152">
        <f>HYPERLINK("https://klasma.github.io/Logging_0980/artfynd/A 49847-2023 artfynd.xlsx", "A 49847-2023")</f>
        <v/>
      </c>
      <c r="T152">
        <f>HYPERLINK("https://klasma.github.io/Logging_0980/kartor/A 49847-2023 karta.png", "A 49847-2023")</f>
        <v/>
      </c>
      <c r="V152">
        <f>HYPERLINK("https://klasma.github.io/Logging_0980/klagomål/A 49847-2023 FSC-klagomål.docx", "A 49847-2023")</f>
        <v/>
      </c>
      <c r="W152">
        <f>HYPERLINK("https://klasma.github.io/Logging_0980/klagomålsmail/A 49847-2023 FSC-klagomål mail.docx", "A 49847-2023")</f>
        <v/>
      </c>
      <c r="X152">
        <f>HYPERLINK("https://klasma.github.io/Logging_0980/tillsyn/A 49847-2023 tillsynsbegäran.docx", "A 49847-2023")</f>
        <v/>
      </c>
      <c r="Y152">
        <f>HYPERLINK("https://klasma.github.io/Logging_0980/tillsynsmail/A 49847-2023 tillsynsbegäran mail.docx", "A 49847-2023")</f>
        <v/>
      </c>
    </row>
    <row r="153" ht="15" customHeight="1">
      <c r="A153" t="inlineStr">
        <is>
          <t>A 46527-2023</t>
        </is>
      </c>
      <c r="B153" s="1" t="n">
        <v>45197</v>
      </c>
      <c r="C153" s="1" t="n">
        <v>46045</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10995-2023</t>
        </is>
      </c>
      <c r="B154" s="1" t="n">
        <v>44986</v>
      </c>
      <c r="C154" s="1" t="n">
        <v>46045</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65927-2021</t>
        </is>
      </c>
      <c r="B155" s="1" t="n">
        <v>44516</v>
      </c>
      <c r="C155" s="1" t="n">
        <v>46045</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12324-2025</t>
        </is>
      </c>
      <c r="B156" s="1" t="n">
        <v>45730</v>
      </c>
      <c r="C156" s="1" t="n">
        <v>46045</v>
      </c>
      <c r="D156" t="inlineStr">
        <is>
          <t>GOTLANDS LÄN</t>
        </is>
      </c>
      <c r="E156" t="inlineStr">
        <is>
          <t>GOTLAND</t>
        </is>
      </c>
      <c r="G156" t="n">
        <v>5</v>
      </c>
      <c r="H156" t="n">
        <v>0</v>
      </c>
      <c r="I156" t="n">
        <v>0</v>
      </c>
      <c r="J156" t="n">
        <v>0</v>
      </c>
      <c r="K156" t="n">
        <v>1</v>
      </c>
      <c r="L156" t="n">
        <v>0</v>
      </c>
      <c r="M156" t="n">
        <v>0</v>
      </c>
      <c r="N156" t="n">
        <v>0</v>
      </c>
      <c r="O156" t="n">
        <v>1</v>
      </c>
      <c r="P156" t="n">
        <v>1</v>
      </c>
      <c r="Q156" t="n">
        <v>1</v>
      </c>
      <c r="R156" s="2" t="inlineStr">
        <is>
          <t>Sommarklynne</t>
        </is>
      </c>
      <c r="S156">
        <f>HYPERLINK("https://klasma.github.io/Logging_0980/artfynd/A 12324-2025 artfynd.xlsx", "A 12324-2025")</f>
        <v/>
      </c>
      <c r="T156">
        <f>HYPERLINK("https://klasma.github.io/Logging_0980/kartor/A 12324-2025 karta.png", "A 12324-2025")</f>
        <v/>
      </c>
      <c r="V156">
        <f>HYPERLINK("https://klasma.github.io/Logging_0980/klagomål/A 12324-2025 FSC-klagomål.docx", "A 12324-2025")</f>
        <v/>
      </c>
      <c r="W156">
        <f>HYPERLINK("https://klasma.github.io/Logging_0980/klagomålsmail/A 12324-2025 FSC-klagomål mail.docx", "A 12324-2025")</f>
        <v/>
      </c>
      <c r="X156">
        <f>HYPERLINK("https://klasma.github.io/Logging_0980/tillsyn/A 12324-2025 tillsynsbegäran.docx", "A 12324-2025")</f>
        <v/>
      </c>
      <c r="Y156">
        <f>HYPERLINK("https://klasma.github.io/Logging_0980/tillsynsmail/A 12324-2025 tillsynsbegäran mail.docx", "A 12324-2025")</f>
        <v/>
      </c>
    </row>
    <row r="157" ht="15" customHeight="1">
      <c r="A157" t="inlineStr">
        <is>
          <t>A 35467-2021</t>
        </is>
      </c>
      <c r="B157" s="1" t="n">
        <v>44385</v>
      </c>
      <c r="C157" s="1" t="n">
        <v>46045</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46045</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62552-2022</t>
        </is>
      </c>
      <c r="B159" s="1" t="n">
        <v>44924</v>
      </c>
      <c r="C159" s="1" t="n">
        <v>46045</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37591-2023</t>
        </is>
      </c>
      <c r="B160" s="1" t="n">
        <v>45159</v>
      </c>
      <c r="C160" s="1" t="n">
        <v>46045</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61796-2022</t>
        </is>
      </c>
      <c r="B161" s="1" t="n">
        <v>44917</v>
      </c>
      <c r="C161" s="1" t="n">
        <v>46045</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21466-2025</t>
        </is>
      </c>
      <c r="B162" s="1" t="n">
        <v>45782</v>
      </c>
      <c r="C162" s="1" t="n">
        <v>46045</v>
      </c>
      <c r="D162" t="inlineStr">
        <is>
          <t>GOTLANDS LÄN</t>
        </is>
      </c>
      <c r="E162" t="inlineStr">
        <is>
          <t>GOTLAND</t>
        </is>
      </c>
      <c r="F162" t="inlineStr">
        <is>
          <t>Övriga statliga verk och myndigheter</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HYPERLINK("https://klasma.github.io/Logging_0980/artfynd/A 21466-2025 artfynd.xlsx", "A 21466-2025")</f>
        <v/>
      </c>
      <c r="T162">
        <f>HYPERLINK("https://klasma.github.io/Logging_0980/kartor/A 21466-2025 karta.png", "A 21466-2025")</f>
        <v/>
      </c>
      <c r="V162">
        <f>HYPERLINK("https://klasma.github.io/Logging_0980/klagomål/A 21466-2025 FSC-klagomål.docx", "A 21466-2025")</f>
        <v/>
      </c>
      <c r="W162">
        <f>HYPERLINK("https://klasma.github.io/Logging_0980/klagomålsmail/A 21466-2025 FSC-klagomål mail.docx", "A 21466-2025")</f>
        <v/>
      </c>
      <c r="X162">
        <f>HYPERLINK("https://klasma.github.io/Logging_0980/tillsyn/A 21466-2025 tillsynsbegäran.docx", "A 21466-2025")</f>
        <v/>
      </c>
      <c r="Y162">
        <f>HYPERLINK("https://klasma.github.io/Logging_0980/tillsynsmail/A 21466-2025 tillsynsbegäran mail.docx", "A 21466-2025")</f>
        <v/>
      </c>
    </row>
    <row r="163" ht="15" customHeight="1">
      <c r="A163" t="inlineStr">
        <is>
          <t>A 44088-2022</t>
        </is>
      </c>
      <c r="B163" s="1" t="n">
        <v>44839</v>
      </c>
      <c r="C163" s="1" t="n">
        <v>46045</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10440-2024</t>
        </is>
      </c>
      <c r="B164" s="1" t="n">
        <v>45366.32818287037</v>
      </c>
      <c r="C164" s="1" t="n">
        <v>46045</v>
      </c>
      <c r="D164" t="inlineStr">
        <is>
          <t>GOTLANDS LÄN</t>
        </is>
      </c>
      <c r="E164" t="inlineStr">
        <is>
          <t>GOTLAND</t>
        </is>
      </c>
      <c r="G164" t="n">
        <v>2.5</v>
      </c>
      <c r="H164" t="n">
        <v>1</v>
      </c>
      <c r="I164" t="n">
        <v>0</v>
      </c>
      <c r="J164" t="n">
        <v>1</v>
      </c>
      <c r="K164" t="n">
        <v>0</v>
      </c>
      <c r="L164" t="n">
        <v>0</v>
      </c>
      <c r="M164" t="n">
        <v>0</v>
      </c>
      <c r="N164" t="n">
        <v>0</v>
      </c>
      <c r="O164" t="n">
        <v>1</v>
      </c>
      <c r="P164" t="n">
        <v>0</v>
      </c>
      <c r="Q164" t="n">
        <v>1</v>
      </c>
      <c r="R164" s="2" t="inlineStr">
        <is>
          <t>Mindre hackspett</t>
        </is>
      </c>
      <c r="S164">
        <f>HYPERLINK("https://klasma.github.io/Logging_0980/artfynd/A 10440-2024 artfynd.xlsx", "A 10440-2024")</f>
        <v/>
      </c>
      <c r="T164">
        <f>HYPERLINK("https://klasma.github.io/Logging_0980/kartor/A 10440-2024 karta.png", "A 10440-2024")</f>
        <v/>
      </c>
      <c r="V164">
        <f>HYPERLINK("https://klasma.github.io/Logging_0980/klagomål/A 10440-2024 FSC-klagomål.docx", "A 10440-2024")</f>
        <v/>
      </c>
      <c r="W164">
        <f>HYPERLINK("https://klasma.github.io/Logging_0980/klagomålsmail/A 10440-2024 FSC-klagomål mail.docx", "A 10440-2024")</f>
        <v/>
      </c>
      <c r="X164">
        <f>HYPERLINK("https://klasma.github.io/Logging_0980/tillsyn/A 10440-2024 tillsynsbegäran.docx", "A 10440-2024")</f>
        <v/>
      </c>
      <c r="Y164">
        <f>HYPERLINK("https://klasma.github.io/Logging_0980/tillsynsmail/A 10440-2024 tillsynsbegäran mail.docx", "A 10440-2024")</f>
        <v/>
      </c>
      <c r="Z164">
        <f>HYPERLINK("https://klasma.github.io/Logging_0980/fåglar/A 10440-2024 prioriterade fågelarter.docx", "A 10440-2024")</f>
        <v/>
      </c>
    </row>
    <row r="165" ht="15" customHeight="1">
      <c r="A165" t="inlineStr">
        <is>
          <t>A 49726-2025</t>
        </is>
      </c>
      <c r="B165" s="1" t="n">
        <v>45939.84466435185</v>
      </c>
      <c r="C165" s="1" t="n">
        <v>46045</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46045</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44308-2021</t>
        </is>
      </c>
      <c r="B167" s="1" t="n">
        <v>44434</v>
      </c>
      <c r="C167" s="1" t="n">
        <v>46045</v>
      </c>
      <c r="D167" t="inlineStr">
        <is>
          <t>GOTLANDS LÄN</t>
        </is>
      </c>
      <c r="E167" t="inlineStr">
        <is>
          <t>GOTLAND</t>
        </is>
      </c>
      <c r="G167" t="n">
        <v>5.9</v>
      </c>
      <c r="H167" t="n">
        <v>0</v>
      </c>
      <c r="I167" t="n">
        <v>1</v>
      </c>
      <c r="J167" t="n">
        <v>0</v>
      </c>
      <c r="K167" t="n">
        <v>0</v>
      </c>
      <c r="L167" t="n">
        <v>0</v>
      </c>
      <c r="M167" t="n">
        <v>0</v>
      </c>
      <c r="N167" t="n">
        <v>0</v>
      </c>
      <c r="O167" t="n">
        <v>0</v>
      </c>
      <c r="P167" t="n">
        <v>0</v>
      </c>
      <c r="Q167" t="n">
        <v>1</v>
      </c>
      <c r="R167" s="2" t="inlineStr">
        <is>
          <t>Svavelriska</t>
        </is>
      </c>
      <c r="S167">
        <f>HYPERLINK("https://klasma.github.io/Logging_0980/artfynd/A 44308-2021 artfynd.xlsx", "A 44308-2021")</f>
        <v/>
      </c>
      <c r="T167">
        <f>HYPERLINK("https://klasma.github.io/Logging_0980/kartor/A 44308-2021 karta.png", "A 44308-2021")</f>
        <v/>
      </c>
      <c r="V167">
        <f>HYPERLINK("https://klasma.github.io/Logging_0980/klagomål/A 44308-2021 FSC-klagomål.docx", "A 44308-2021")</f>
        <v/>
      </c>
      <c r="W167">
        <f>HYPERLINK("https://klasma.github.io/Logging_0980/klagomålsmail/A 44308-2021 FSC-klagomål mail.docx", "A 44308-2021")</f>
        <v/>
      </c>
      <c r="X167">
        <f>HYPERLINK("https://klasma.github.io/Logging_0980/tillsyn/A 44308-2021 tillsynsbegäran.docx", "A 44308-2021")</f>
        <v/>
      </c>
      <c r="Y167">
        <f>HYPERLINK("https://klasma.github.io/Logging_0980/tillsynsmail/A 44308-2021 tillsynsbegäran mail.docx", "A 44308-2021")</f>
        <v/>
      </c>
    </row>
    <row r="168" ht="15" customHeight="1">
      <c r="A168" t="inlineStr">
        <is>
          <t>A 26461-2025</t>
        </is>
      </c>
      <c r="B168" s="1" t="n">
        <v>45807.43337962963</v>
      </c>
      <c r="C168" s="1" t="n">
        <v>46045</v>
      </c>
      <c r="D168" t="inlineStr">
        <is>
          <t>GOTLANDS LÄN</t>
        </is>
      </c>
      <c r="E168" t="inlineStr">
        <is>
          <t>GOTLAND</t>
        </is>
      </c>
      <c r="G168" t="n">
        <v>4.1</v>
      </c>
      <c r="H168" t="n">
        <v>0</v>
      </c>
      <c r="I168" t="n">
        <v>0</v>
      </c>
      <c r="J168" t="n">
        <v>0</v>
      </c>
      <c r="K168" t="n">
        <v>1</v>
      </c>
      <c r="L168" t="n">
        <v>0</v>
      </c>
      <c r="M168" t="n">
        <v>0</v>
      </c>
      <c r="N168" t="n">
        <v>0</v>
      </c>
      <c r="O168" t="n">
        <v>1</v>
      </c>
      <c r="P168" t="n">
        <v>1</v>
      </c>
      <c r="Q168" t="n">
        <v>1</v>
      </c>
      <c r="R168" s="2" t="inlineStr">
        <is>
          <t>Gotlandsmåra</t>
        </is>
      </c>
      <c r="S168">
        <f>HYPERLINK("https://klasma.github.io/Logging_0980/artfynd/A 26461-2025 artfynd.xlsx", "A 26461-2025")</f>
        <v/>
      </c>
      <c r="T168">
        <f>HYPERLINK("https://klasma.github.io/Logging_0980/kartor/A 26461-2025 karta.png", "A 26461-2025")</f>
        <v/>
      </c>
      <c r="V168">
        <f>HYPERLINK("https://klasma.github.io/Logging_0980/klagomål/A 26461-2025 FSC-klagomål.docx", "A 26461-2025")</f>
        <v/>
      </c>
      <c r="W168">
        <f>HYPERLINK("https://klasma.github.io/Logging_0980/klagomålsmail/A 26461-2025 FSC-klagomål mail.docx", "A 26461-2025")</f>
        <v/>
      </c>
      <c r="X168">
        <f>HYPERLINK("https://klasma.github.io/Logging_0980/tillsyn/A 26461-2025 tillsynsbegäran.docx", "A 26461-2025")</f>
        <v/>
      </c>
      <c r="Y168">
        <f>HYPERLINK("https://klasma.github.io/Logging_0980/tillsynsmail/A 26461-2025 tillsynsbegäran mail.docx", "A 26461-2025")</f>
        <v/>
      </c>
    </row>
    <row r="169" ht="15" customHeight="1">
      <c r="A169" t="inlineStr">
        <is>
          <t>A 447-2023</t>
        </is>
      </c>
      <c r="B169" s="1" t="n">
        <v>44929</v>
      </c>
      <c r="C169" s="1" t="n">
        <v>46045</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46045</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46045</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46045</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46045</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34141-2024</t>
        </is>
      </c>
      <c r="B174" s="1" t="n">
        <v>45524.36229166666</v>
      </c>
      <c r="C174" s="1" t="n">
        <v>46045</v>
      </c>
      <c r="D174" t="inlineStr">
        <is>
          <t>GOTLANDS LÄN</t>
        </is>
      </c>
      <c r="E174" t="inlineStr">
        <is>
          <t>GOTLAND</t>
        </is>
      </c>
      <c r="G174" t="n">
        <v>0.9</v>
      </c>
      <c r="H174" t="n">
        <v>0</v>
      </c>
      <c r="I174" t="n">
        <v>1</v>
      </c>
      <c r="J174" t="n">
        <v>0</v>
      </c>
      <c r="K174" t="n">
        <v>0</v>
      </c>
      <c r="L174" t="n">
        <v>0</v>
      </c>
      <c r="M174" t="n">
        <v>0</v>
      </c>
      <c r="N174" t="n">
        <v>0</v>
      </c>
      <c r="O174" t="n">
        <v>0</v>
      </c>
      <c r="P174" t="n">
        <v>0</v>
      </c>
      <c r="Q174" t="n">
        <v>1</v>
      </c>
      <c r="R174" s="2" t="inlineStr">
        <is>
          <t>Strävlosta</t>
        </is>
      </c>
      <c r="S174">
        <f>HYPERLINK("https://klasma.github.io/Logging_0980/artfynd/A 34141-2024 artfynd.xlsx", "A 34141-2024")</f>
        <v/>
      </c>
      <c r="T174">
        <f>HYPERLINK("https://klasma.github.io/Logging_0980/kartor/A 34141-2024 karta.png", "A 34141-2024")</f>
        <v/>
      </c>
      <c r="V174">
        <f>HYPERLINK("https://klasma.github.io/Logging_0980/klagomål/A 34141-2024 FSC-klagomål.docx", "A 34141-2024")</f>
        <v/>
      </c>
      <c r="W174">
        <f>HYPERLINK("https://klasma.github.io/Logging_0980/klagomålsmail/A 34141-2024 FSC-klagomål mail.docx", "A 34141-2024")</f>
        <v/>
      </c>
      <c r="X174">
        <f>HYPERLINK("https://klasma.github.io/Logging_0980/tillsyn/A 34141-2024 tillsynsbegäran.docx", "A 34141-2024")</f>
        <v/>
      </c>
      <c r="Y174">
        <f>HYPERLINK("https://klasma.github.io/Logging_0980/tillsynsmail/A 34141-2024 tillsynsbegäran mail.docx", "A 34141-2024")</f>
        <v/>
      </c>
    </row>
    <row r="175" ht="15" customHeight="1">
      <c r="A175" t="inlineStr">
        <is>
          <t>A 9862-2024</t>
        </is>
      </c>
      <c r="B175" s="1" t="n">
        <v>45363</v>
      </c>
      <c r="C175" s="1" t="n">
        <v>46045</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27589-2023</t>
        </is>
      </c>
      <c r="B176" s="1" t="n">
        <v>45097</v>
      </c>
      <c r="C176" s="1" t="n">
        <v>46045</v>
      </c>
      <c r="D176" t="inlineStr">
        <is>
          <t>GOTLANDS LÄN</t>
        </is>
      </c>
      <c r="E176" t="inlineStr">
        <is>
          <t>GOTLAND</t>
        </is>
      </c>
      <c r="G176" t="n">
        <v>5.4</v>
      </c>
      <c r="H176" t="n">
        <v>0</v>
      </c>
      <c r="I176" t="n">
        <v>0</v>
      </c>
      <c r="J176" t="n">
        <v>0</v>
      </c>
      <c r="K176" t="n">
        <v>0</v>
      </c>
      <c r="L176" t="n">
        <v>0</v>
      </c>
      <c r="M176" t="n">
        <v>1</v>
      </c>
      <c r="N176" t="n">
        <v>0</v>
      </c>
      <c r="O176" t="n">
        <v>1</v>
      </c>
      <c r="P176" t="n">
        <v>1</v>
      </c>
      <c r="Q176" t="n">
        <v>1</v>
      </c>
      <c r="R176" s="2" t="inlineStr">
        <is>
          <t>Skogsalm</t>
        </is>
      </c>
      <c r="S176">
        <f>HYPERLINK("https://klasma.github.io/Logging_0980/artfynd/A 27589-2023 artfynd.xlsx", "A 27589-2023")</f>
        <v/>
      </c>
      <c r="T176">
        <f>HYPERLINK("https://klasma.github.io/Logging_0980/kartor/A 27589-2023 karta.png", "A 27589-2023")</f>
        <v/>
      </c>
      <c r="V176">
        <f>HYPERLINK("https://klasma.github.io/Logging_0980/klagomål/A 27589-2023 FSC-klagomål.docx", "A 27589-2023")</f>
        <v/>
      </c>
      <c r="W176">
        <f>HYPERLINK("https://klasma.github.io/Logging_0980/klagomålsmail/A 27589-2023 FSC-klagomål mail.docx", "A 27589-2023")</f>
        <v/>
      </c>
      <c r="X176">
        <f>HYPERLINK("https://klasma.github.io/Logging_0980/tillsyn/A 27589-2023 tillsynsbegäran.docx", "A 27589-2023")</f>
        <v/>
      </c>
      <c r="Y176">
        <f>HYPERLINK("https://klasma.github.io/Logging_0980/tillsynsmail/A 27589-2023 tillsynsbegäran mail.docx", "A 27589-2023")</f>
        <v/>
      </c>
    </row>
    <row r="177" ht="15" customHeight="1">
      <c r="A177" t="inlineStr">
        <is>
          <t>A 63149-2025</t>
        </is>
      </c>
      <c r="B177" s="1" t="n">
        <v>46010</v>
      </c>
      <c r="C177" s="1" t="n">
        <v>46045</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1477-2024</t>
        </is>
      </c>
      <c r="B178" s="1" t="n">
        <v>45305.37987268518</v>
      </c>
      <c r="C178" s="1" t="n">
        <v>46045</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35574-2024</t>
        </is>
      </c>
      <c r="B179" s="1" t="n">
        <v>45531</v>
      </c>
      <c r="C179" s="1" t="n">
        <v>46045</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7637-2025</t>
        </is>
      </c>
      <c r="B180" s="1" t="n">
        <v>45705.77181712963</v>
      </c>
      <c r="C180" s="1" t="n">
        <v>46045</v>
      </c>
      <c r="D180" t="inlineStr">
        <is>
          <t>GOTLANDS LÄN</t>
        </is>
      </c>
      <c r="E180" t="inlineStr">
        <is>
          <t>GOTLAND</t>
        </is>
      </c>
      <c r="G180" t="n">
        <v>3.7</v>
      </c>
      <c r="H180" t="n">
        <v>0</v>
      </c>
      <c r="I180" t="n">
        <v>0</v>
      </c>
      <c r="J180" t="n">
        <v>0</v>
      </c>
      <c r="K180" t="n">
        <v>0</v>
      </c>
      <c r="L180" t="n">
        <v>0</v>
      </c>
      <c r="M180" t="n">
        <v>1</v>
      </c>
      <c r="N180" t="n">
        <v>0</v>
      </c>
      <c r="O180" t="n">
        <v>1</v>
      </c>
      <c r="P180" t="n">
        <v>1</v>
      </c>
      <c r="Q180" t="n">
        <v>1</v>
      </c>
      <c r="R180" s="2" t="inlineStr">
        <is>
          <t>Skogsalm</t>
        </is>
      </c>
      <c r="S180">
        <f>HYPERLINK("https://klasma.github.io/Logging_0980/artfynd/A 7637-2025 artfynd.xlsx", "A 7637-2025")</f>
        <v/>
      </c>
      <c r="T180">
        <f>HYPERLINK("https://klasma.github.io/Logging_0980/kartor/A 7637-2025 karta.png", "A 7637-2025")</f>
        <v/>
      </c>
      <c r="V180">
        <f>HYPERLINK("https://klasma.github.io/Logging_0980/klagomål/A 7637-2025 FSC-klagomål.docx", "A 7637-2025")</f>
        <v/>
      </c>
      <c r="W180">
        <f>HYPERLINK("https://klasma.github.io/Logging_0980/klagomålsmail/A 7637-2025 FSC-klagomål mail.docx", "A 7637-2025")</f>
        <v/>
      </c>
      <c r="X180">
        <f>HYPERLINK("https://klasma.github.io/Logging_0980/tillsyn/A 7637-2025 tillsynsbegäran.docx", "A 7637-2025")</f>
        <v/>
      </c>
      <c r="Y180">
        <f>HYPERLINK("https://klasma.github.io/Logging_0980/tillsynsmail/A 7637-2025 tillsynsbegäran mail.docx", "A 7637-2025")</f>
        <v/>
      </c>
    </row>
    <row r="181" ht="15" customHeight="1">
      <c r="A181" t="inlineStr">
        <is>
          <t>A 12924-2025</t>
        </is>
      </c>
      <c r="B181" s="1" t="n">
        <v>45734</v>
      </c>
      <c r="C181" s="1" t="n">
        <v>46045</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6303-2024</t>
        </is>
      </c>
      <c r="B182" s="1" t="n">
        <v>45338.35376157407</v>
      </c>
      <c r="C182" s="1" t="n">
        <v>46045</v>
      </c>
      <c r="D182" t="inlineStr">
        <is>
          <t>GOTLANDS LÄN</t>
        </is>
      </c>
      <c r="E182" t="inlineStr">
        <is>
          <t>GOTLAND</t>
        </is>
      </c>
      <c r="G182" t="n">
        <v>0.6</v>
      </c>
      <c r="H182" t="n">
        <v>0</v>
      </c>
      <c r="I182" t="n">
        <v>1</v>
      </c>
      <c r="J182" t="n">
        <v>0</v>
      </c>
      <c r="K182" t="n">
        <v>0</v>
      </c>
      <c r="L182" t="n">
        <v>0</v>
      </c>
      <c r="M182" t="n">
        <v>0</v>
      </c>
      <c r="N182" t="n">
        <v>0</v>
      </c>
      <c r="O182" t="n">
        <v>0</v>
      </c>
      <c r="P182" t="n">
        <v>0</v>
      </c>
      <c r="Q182" t="n">
        <v>1</v>
      </c>
      <c r="R182" s="2" t="inlineStr">
        <is>
          <t>Strävlosta</t>
        </is>
      </c>
      <c r="S182">
        <f>HYPERLINK("https://klasma.github.io/Logging_0980/artfynd/A 6303-2024 artfynd.xlsx", "A 6303-2024")</f>
        <v/>
      </c>
      <c r="T182">
        <f>HYPERLINK("https://klasma.github.io/Logging_0980/kartor/A 6303-2024 karta.png", "A 6303-2024")</f>
        <v/>
      </c>
      <c r="V182">
        <f>HYPERLINK("https://klasma.github.io/Logging_0980/klagomål/A 6303-2024 FSC-klagomål.docx", "A 6303-2024")</f>
        <v/>
      </c>
      <c r="W182">
        <f>HYPERLINK("https://klasma.github.io/Logging_0980/klagomålsmail/A 6303-2024 FSC-klagomål mail.docx", "A 6303-2024")</f>
        <v/>
      </c>
      <c r="X182">
        <f>HYPERLINK("https://klasma.github.io/Logging_0980/tillsyn/A 6303-2024 tillsynsbegäran.docx", "A 6303-2024")</f>
        <v/>
      </c>
      <c r="Y182">
        <f>HYPERLINK("https://klasma.github.io/Logging_0980/tillsynsmail/A 6303-2024 tillsynsbegäran mail.docx", "A 6303-2024")</f>
        <v/>
      </c>
    </row>
    <row r="183" ht="15" customHeight="1">
      <c r="A183" t="inlineStr">
        <is>
          <t>A 34809-2024</t>
        </is>
      </c>
      <c r="B183" s="1" t="n">
        <v>45526</v>
      </c>
      <c r="C183" s="1" t="n">
        <v>46045</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61561-2023</t>
        </is>
      </c>
      <c r="B184" s="1" t="n">
        <v>45265</v>
      </c>
      <c r="C184" s="1" t="n">
        <v>46045</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22782-2023</t>
        </is>
      </c>
      <c r="B185" s="1" t="n">
        <v>45072</v>
      </c>
      <c r="C185" s="1" t="n">
        <v>46045</v>
      </c>
      <c r="D185" t="inlineStr">
        <is>
          <t>GOTLANDS LÄN</t>
        </is>
      </c>
      <c r="E185" t="inlineStr">
        <is>
          <t>GOTLAND</t>
        </is>
      </c>
      <c r="F185" t="inlineStr">
        <is>
          <t>Kyrkan</t>
        </is>
      </c>
      <c r="G185" t="n">
        <v>3.1</v>
      </c>
      <c r="H185" t="n">
        <v>1</v>
      </c>
      <c r="I185" t="n">
        <v>0</v>
      </c>
      <c r="J185" t="n">
        <v>0</v>
      </c>
      <c r="K185" t="n">
        <v>0</v>
      </c>
      <c r="L185" t="n">
        <v>0</v>
      </c>
      <c r="M185" t="n">
        <v>0</v>
      </c>
      <c r="N185" t="n">
        <v>0</v>
      </c>
      <c r="O185" t="n">
        <v>0</v>
      </c>
      <c r="P185" t="n">
        <v>0</v>
      </c>
      <c r="Q185" t="n">
        <v>1</v>
      </c>
      <c r="R185" s="2" t="inlineStr">
        <is>
          <t>Ängsnycklar × skogsnycklar</t>
        </is>
      </c>
      <c r="S185">
        <f>HYPERLINK("https://klasma.github.io/Logging_0980/artfynd/A 22782-2023 artfynd.xlsx", "A 22782-2023")</f>
        <v/>
      </c>
      <c r="T185">
        <f>HYPERLINK("https://klasma.github.io/Logging_0980/kartor/A 22782-2023 karta.png", "A 22782-2023")</f>
        <v/>
      </c>
      <c r="V185">
        <f>HYPERLINK("https://klasma.github.io/Logging_0980/klagomål/A 22782-2023 FSC-klagomål.docx", "A 22782-2023")</f>
        <v/>
      </c>
      <c r="W185">
        <f>HYPERLINK("https://klasma.github.io/Logging_0980/klagomålsmail/A 22782-2023 FSC-klagomål mail.docx", "A 22782-2023")</f>
        <v/>
      </c>
      <c r="X185">
        <f>HYPERLINK("https://klasma.github.io/Logging_0980/tillsyn/A 22782-2023 tillsynsbegäran.docx", "A 22782-2023")</f>
        <v/>
      </c>
      <c r="Y185">
        <f>HYPERLINK("https://klasma.github.io/Logging_0980/tillsynsmail/A 22782-2023 tillsynsbegäran mail.docx", "A 22782-2023")</f>
        <v/>
      </c>
    </row>
    <row r="186" ht="15" customHeight="1">
      <c r="A186" t="inlineStr">
        <is>
          <t>A 22883-2024</t>
        </is>
      </c>
      <c r="B186" s="1" t="n">
        <v>45448.66368055555</v>
      </c>
      <c r="C186" s="1" t="n">
        <v>46045</v>
      </c>
      <c r="D186" t="inlineStr">
        <is>
          <t>GOTLANDS LÄN</t>
        </is>
      </c>
      <c r="E186" t="inlineStr">
        <is>
          <t>GOTLAND</t>
        </is>
      </c>
      <c r="G186" t="n">
        <v>0.5</v>
      </c>
      <c r="H186" t="n">
        <v>0</v>
      </c>
      <c r="I186" t="n">
        <v>0</v>
      </c>
      <c r="J186" t="n">
        <v>0</v>
      </c>
      <c r="K186" t="n">
        <v>1</v>
      </c>
      <c r="L186" t="n">
        <v>0</v>
      </c>
      <c r="M186" t="n">
        <v>0</v>
      </c>
      <c r="N186" t="n">
        <v>0</v>
      </c>
      <c r="O186" t="n">
        <v>1</v>
      </c>
      <c r="P186" t="n">
        <v>1</v>
      </c>
      <c r="Q186" t="n">
        <v>1</v>
      </c>
      <c r="R186" s="2" t="inlineStr">
        <is>
          <t>Gotlandsmåra</t>
        </is>
      </c>
      <c r="S186">
        <f>HYPERLINK("https://klasma.github.io/Logging_0980/artfynd/A 22883-2024 artfynd.xlsx", "A 22883-2024")</f>
        <v/>
      </c>
      <c r="T186">
        <f>HYPERLINK("https://klasma.github.io/Logging_0980/kartor/A 22883-2024 karta.png", "A 22883-2024")</f>
        <v/>
      </c>
      <c r="V186">
        <f>HYPERLINK("https://klasma.github.io/Logging_0980/klagomål/A 22883-2024 FSC-klagomål.docx", "A 22883-2024")</f>
        <v/>
      </c>
      <c r="W186">
        <f>HYPERLINK("https://klasma.github.io/Logging_0980/klagomålsmail/A 22883-2024 FSC-klagomål mail.docx", "A 22883-2024")</f>
        <v/>
      </c>
      <c r="X186">
        <f>HYPERLINK("https://klasma.github.io/Logging_0980/tillsyn/A 22883-2024 tillsynsbegäran.docx", "A 22883-2024")</f>
        <v/>
      </c>
      <c r="Y186">
        <f>HYPERLINK("https://klasma.github.io/Logging_0980/tillsynsmail/A 22883-2024 tillsynsbegäran mail.docx", "A 22883-2024")</f>
        <v/>
      </c>
    </row>
    <row r="187" ht="15" customHeight="1">
      <c r="A187" t="inlineStr">
        <is>
          <t>A 19901-2021</t>
        </is>
      </c>
      <c r="B187" s="1" t="n">
        <v>44312</v>
      </c>
      <c r="C187" s="1" t="n">
        <v>46045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46045</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46045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46045</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46045</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46045</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46045</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46045</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46045</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46045</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46045</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46045</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46045</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46045</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46045</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46045</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46045</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46045</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46045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46045</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46045</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46045</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46045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46045</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46045</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46045</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46045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46045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46045</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46045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46045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46045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46045</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46045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46045</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46045</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46045</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46045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57685-2022</t>
        </is>
      </c>
      <c r="B229" s="1" t="n">
        <v>44897.4777662037</v>
      </c>
      <c r="C229" s="1" t="n">
        <v>46045</v>
      </c>
      <c r="D229" t="inlineStr">
        <is>
          <t>GOTLANDS LÄN</t>
        </is>
      </c>
      <c r="E229" t="inlineStr">
        <is>
          <t>GOTLAND</t>
        </is>
      </c>
      <c r="G229" t="n">
        <v>3.7</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46045</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46045</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23910-2021</t>
        </is>
      </c>
      <c r="B232" s="1" t="n">
        <v>44335</v>
      </c>
      <c r="C232" s="1" t="n">
        <v>46045</v>
      </c>
      <c r="D232" t="inlineStr">
        <is>
          <t>GOTLANDS LÄN</t>
        </is>
      </c>
      <c r="E232" t="inlineStr">
        <is>
          <t>GOTLAND</t>
        </is>
      </c>
      <c r="G232" t="n">
        <v>1.5</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46045</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17354-2022</t>
        </is>
      </c>
      <c r="B234" s="1" t="n">
        <v>44678</v>
      </c>
      <c r="C234" s="1" t="n">
        <v>46045</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30815-2023</t>
        </is>
      </c>
      <c r="B235" s="1" t="n">
        <v>45112</v>
      </c>
      <c r="C235" s="1" t="n">
        <v>46045</v>
      </c>
      <c r="D235" t="inlineStr">
        <is>
          <t>GOTLANDS LÄN</t>
        </is>
      </c>
      <c r="E235" t="inlineStr">
        <is>
          <t>GOTLAND</t>
        </is>
      </c>
      <c r="G235" t="n">
        <v>6</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46045</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4868-2024</t>
        </is>
      </c>
      <c r="B237" s="1" t="n">
        <v>45329</v>
      </c>
      <c r="C237" s="1" t="n">
        <v>46045</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14413-2022</t>
        </is>
      </c>
      <c r="B238" s="1" t="n">
        <v>44652</v>
      </c>
      <c r="C238" s="1" t="n">
        <v>46045</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26810-2021</t>
        </is>
      </c>
      <c r="B239" s="1" t="n">
        <v>44349.55087962963</v>
      </c>
      <c r="C239" s="1" t="n">
        <v>46045</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46045</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5923-2023</t>
        </is>
      </c>
      <c r="B241" s="1" t="n">
        <v>44963.69503472222</v>
      </c>
      <c r="C241" s="1" t="n">
        <v>46045</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33853-2024</t>
        </is>
      </c>
      <c r="B242" s="1" t="n">
        <v>45520.64298611111</v>
      </c>
      <c r="C242" s="1" t="n">
        <v>46045</v>
      </c>
      <c r="D242" t="inlineStr">
        <is>
          <t>GOTLANDS LÄN</t>
        </is>
      </c>
      <c r="E242" t="inlineStr">
        <is>
          <t>GOTLAND</t>
        </is>
      </c>
      <c r="G242" t="n">
        <v>3.9</v>
      </c>
      <c r="H242" t="n">
        <v>0</v>
      </c>
      <c r="I242" t="n">
        <v>0</v>
      </c>
      <c r="J242" t="n">
        <v>0</v>
      </c>
      <c r="K242" t="n">
        <v>0</v>
      </c>
      <c r="L242" t="n">
        <v>0</v>
      </c>
      <c r="M242" t="n">
        <v>0</v>
      </c>
      <c r="N242" t="n">
        <v>0</v>
      </c>
      <c r="O242" t="n">
        <v>0</v>
      </c>
      <c r="P242" t="n">
        <v>0</v>
      </c>
      <c r="Q242" t="n">
        <v>0</v>
      </c>
      <c r="R242" s="2" t="inlineStr"/>
    </row>
    <row r="243" ht="15" customHeight="1">
      <c r="A243" t="inlineStr">
        <is>
          <t>A 9613-2025</t>
        </is>
      </c>
      <c r="B243" s="1" t="n">
        <v>45715</v>
      </c>
      <c r="C243" s="1" t="n">
        <v>46045</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18918-2025</t>
        </is>
      </c>
      <c r="B244" s="1" t="n">
        <v>45764</v>
      </c>
      <c r="C244" s="1" t="n">
        <v>46045</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2674-2023</t>
        </is>
      </c>
      <c r="B245" s="1" t="n">
        <v>44944</v>
      </c>
      <c r="C245" s="1" t="n">
        <v>46045</v>
      </c>
      <c r="D245" t="inlineStr">
        <is>
          <t>GOTLANDS LÄN</t>
        </is>
      </c>
      <c r="E245" t="inlineStr">
        <is>
          <t>GOTLAND</t>
        </is>
      </c>
      <c r="G245" t="n">
        <v>2.5</v>
      </c>
      <c r="H245" t="n">
        <v>0</v>
      </c>
      <c r="I245" t="n">
        <v>0</v>
      </c>
      <c r="J245" t="n">
        <v>0</v>
      </c>
      <c r="K245" t="n">
        <v>0</v>
      </c>
      <c r="L245" t="n">
        <v>0</v>
      </c>
      <c r="M245" t="n">
        <v>0</v>
      </c>
      <c r="N245" t="n">
        <v>0</v>
      </c>
      <c r="O245" t="n">
        <v>0</v>
      </c>
      <c r="P245" t="n">
        <v>0</v>
      </c>
      <c r="Q245" t="n">
        <v>0</v>
      </c>
      <c r="R245" s="2" t="inlineStr"/>
    </row>
    <row r="246" ht="15" customHeight="1">
      <c r="A246" t="inlineStr">
        <is>
          <t>A 7034-2023</t>
        </is>
      </c>
      <c r="B246" s="1" t="n">
        <v>44968.32108796296</v>
      </c>
      <c r="C246" s="1" t="n">
        <v>46045</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7042-2023</t>
        </is>
      </c>
      <c r="B247" s="1" t="n">
        <v>44968</v>
      </c>
      <c r="C247" s="1" t="n">
        <v>46045</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15595-2024</t>
        </is>
      </c>
      <c r="B248" s="1" t="n">
        <v>45401.81480324074</v>
      </c>
      <c r="C248" s="1" t="n">
        <v>46045</v>
      </c>
      <c r="D248" t="inlineStr">
        <is>
          <t>GOTLANDS LÄN</t>
        </is>
      </c>
      <c r="E248" t="inlineStr">
        <is>
          <t>GOTLAND</t>
        </is>
      </c>
      <c r="G248" t="n">
        <v>6.4</v>
      </c>
      <c r="H248" t="n">
        <v>0</v>
      </c>
      <c r="I248" t="n">
        <v>0</v>
      </c>
      <c r="J248" t="n">
        <v>0</v>
      </c>
      <c r="K248" t="n">
        <v>0</v>
      </c>
      <c r="L248" t="n">
        <v>0</v>
      </c>
      <c r="M248" t="n">
        <v>0</v>
      </c>
      <c r="N248" t="n">
        <v>0</v>
      </c>
      <c r="O248" t="n">
        <v>0</v>
      </c>
      <c r="P248" t="n">
        <v>0</v>
      </c>
      <c r="Q248" t="n">
        <v>0</v>
      </c>
      <c r="R248" s="2" t="inlineStr"/>
    </row>
    <row r="249" ht="15" customHeight="1">
      <c r="A249" t="inlineStr">
        <is>
          <t>A 23516-2023</t>
        </is>
      </c>
      <c r="B249" s="1" t="n">
        <v>45076.93391203704</v>
      </c>
      <c r="C249" s="1" t="n">
        <v>46045</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5751-2024</t>
        </is>
      </c>
      <c r="B250" s="1" t="n">
        <v>45335.32702546296</v>
      </c>
      <c r="C250" s="1" t="n">
        <v>46045</v>
      </c>
      <c r="D250" t="inlineStr">
        <is>
          <t>GOTLANDS LÄN</t>
        </is>
      </c>
      <c r="E250" t="inlineStr">
        <is>
          <t>GOTLAND</t>
        </is>
      </c>
      <c r="G250" t="n">
        <v>4.2</v>
      </c>
      <c r="H250" t="n">
        <v>0</v>
      </c>
      <c r="I250" t="n">
        <v>0</v>
      </c>
      <c r="J250" t="n">
        <v>0</v>
      </c>
      <c r="K250" t="n">
        <v>0</v>
      </c>
      <c r="L250" t="n">
        <v>0</v>
      </c>
      <c r="M250" t="n">
        <v>0</v>
      </c>
      <c r="N250" t="n">
        <v>0</v>
      </c>
      <c r="O250" t="n">
        <v>0</v>
      </c>
      <c r="P250" t="n">
        <v>0</v>
      </c>
      <c r="Q250" t="n">
        <v>0</v>
      </c>
      <c r="R250" s="2" t="inlineStr"/>
    </row>
    <row r="251" ht="15" customHeight="1">
      <c r="A251" t="inlineStr">
        <is>
          <t>A 64660-2023</t>
        </is>
      </c>
      <c r="B251" s="1" t="n">
        <v>45281.60122685185</v>
      </c>
      <c r="C251" s="1" t="n">
        <v>46045</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10655-2023</t>
        </is>
      </c>
      <c r="B252" s="1" t="n">
        <v>44988.49543981482</v>
      </c>
      <c r="C252" s="1" t="n">
        <v>46045</v>
      </c>
      <c r="D252" t="inlineStr">
        <is>
          <t>GOTLANDS LÄN</t>
        </is>
      </c>
      <c r="E252" t="inlineStr">
        <is>
          <t>GOTLAND</t>
        </is>
      </c>
      <c r="F252" t="inlineStr">
        <is>
          <t>Kyrkan</t>
        </is>
      </c>
      <c r="G252" t="n">
        <v>2</v>
      </c>
      <c r="H252" t="n">
        <v>0</v>
      </c>
      <c r="I252" t="n">
        <v>0</v>
      </c>
      <c r="J252" t="n">
        <v>0</v>
      </c>
      <c r="K252" t="n">
        <v>0</v>
      </c>
      <c r="L252" t="n">
        <v>0</v>
      </c>
      <c r="M252" t="n">
        <v>0</v>
      </c>
      <c r="N252" t="n">
        <v>0</v>
      </c>
      <c r="O252" t="n">
        <v>0</v>
      </c>
      <c r="P252" t="n">
        <v>0</v>
      </c>
      <c r="Q252" t="n">
        <v>0</v>
      </c>
      <c r="R252" s="2" t="inlineStr"/>
    </row>
    <row r="253" ht="15" customHeight="1">
      <c r="A253" t="inlineStr">
        <is>
          <t>A 63763-2023</t>
        </is>
      </c>
      <c r="B253" s="1" t="n">
        <v>45278.33944444444</v>
      </c>
      <c r="C253" s="1" t="n">
        <v>46045</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2719-2023</t>
        </is>
      </c>
      <c r="B254" s="1" t="n">
        <v>44944.55361111111</v>
      </c>
      <c r="C254" s="1" t="n">
        <v>46045</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26891-2024</t>
        </is>
      </c>
      <c r="B255" s="1" t="n">
        <v>45470.65540509259</v>
      </c>
      <c r="C255" s="1" t="n">
        <v>46045</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42007-2023</t>
        </is>
      </c>
      <c r="B256" s="1" t="n">
        <v>45177</v>
      </c>
      <c r="C256" s="1" t="n">
        <v>46045</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9887-2025</t>
        </is>
      </c>
      <c r="B257" s="1" t="n">
        <v>45716</v>
      </c>
      <c r="C257" s="1" t="n">
        <v>46045</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24966-2023</t>
        </is>
      </c>
      <c r="B258" s="1" t="n">
        <v>45085</v>
      </c>
      <c r="C258" s="1" t="n">
        <v>46045</v>
      </c>
      <c r="D258" t="inlineStr">
        <is>
          <t>GOTLANDS LÄN</t>
        </is>
      </c>
      <c r="E258" t="inlineStr">
        <is>
          <t>GOTLAND</t>
        </is>
      </c>
      <c r="G258" t="n">
        <v>7</v>
      </c>
      <c r="H258" t="n">
        <v>0</v>
      </c>
      <c r="I258" t="n">
        <v>0</v>
      </c>
      <c r="J258" t="n">
        <v>0</v>
      </c>
      <c r="K258" t="n">
        <v>0</v>
      </c>
      <c r="L258" t="n">
        <v>0</v>
      </c>
      <c r="M258" t="n">
        <v>0</v>
      </c>
      <c r="N258" t="n">
        <v>0</v>
      </c>
      <c r="O258" t="n">
        <v>0</v>
      </c>
      <c r="P258" t="n">
        <v>0</v>
      </c>
      <c r="Q258" t="n">
        <v>0</v>
      </c>
      <c r="R258" s="2" t="inlineStr"/>
    </row>
    <row r="259" ht="15" customHeight="1">
      <c r="A259" t="inlineStr">
        <is>
          <t>A 46189-2022</t>
        </is>
      </c>
      <c r="B259" s="1" t="n">
        <v>44847</v>
      </c>
      <c r="C259" s="1" t="n">
        <v>46045</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38165-2023</t>
        </is>
      </c>
      <c r="B260" s="1" t="n">
        <v>45161</v>
      </c>
      <c r="C260" s="1" t="n">
        <v>46045</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46045</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46375-2024</t>
        </is>
      </c>
      <c r="B262" s="1" t="n">
        <v>45582</v>
      </c>
      <c r="C262" s="1" t="n">
        <v>46045</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27596-2023</t>
        </is>
      </c>
      <c r="B263" s="1" t="n">
        <v>45097</v>
      </c>
      <c r="C263" s="1" t="n">
        <v>46045</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24825-2024</t>
        </is>
      </c>
      <c r="B264" s="1" t="n">
        <v>45461</v>
      </c>
      <c r="C264" s="1" t="n">
        <v>46045</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6696-2023</t>
        </is>
      </c>
      <c r="B265" s="1" t="n">
        <v>44966.66425925926</v>
      </c>
      <c r="C265" s="1" t="n">
        <v>46045</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46045</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22031-2024</t>
        </is>
      </c>
      <c r="B267" s="1" t="n">
        <v>45443.60075231481</v>
      </c>
      <c r="C267" s="1" t="n">
        <v>46045</v>
      </c>
      <c r="D267" t="inlineStr">
        <is>
          <t>GOTLANDS LÄN</t>
        </is>
      </c>
      <c r="E267" t="inlineStr">
        <is>
          <t>GOTLAND</t>
        </is>
      </c>
      <c r="G267" t="n">
        <v>2.3</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46045</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46045</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456-2023</t>
        </is>
      </c>
      <c r="B270" s="1" t="n">
        <v>44929.87122685185</v>
      </c>
      <c r="C270" s="1" t="n">
        <v>46045</v>
      </c>
      <c r="D270" t="inlineStr">
        <is>
          <t>GOTLANDS LÄN</t>
        </is>
      </c>
      <c r="E270" t="inlineStr">
        <is>
          <t>GOTLAND</t>
        </is>
      </c>
      <c r="G270" t="n">
        <v>3.2</v>
      </c>
      <c r="H270" t="n">
        <v>0</v>
      </c>
      <c r="I270" t="n">
        <v>0</v>
      </c>
      <c r="J270" t="n">
        <v>0</v>
      </c>
      <c r="K270" t="n">
        <v>0</v>
      </c>
      <c r="L270" t="n">
        <v>0</v>
      </c>
      <c r="M270" t="n">
        <v>0</v>
      </c>
      <c r="N270" t="n">
        <v>0</v>
      </c>
      <c r="O270" t="n">
        <v>0</v>
      </c>
      <c r="P270" t="n">
        <v>0</v>
      </c>
      <c r="Q270" t="n">
        <v>0</v>
      </c>
      <c r="R270" s="2" t="inlineStr"/>
    </row>
    <row r="271" ht="15" customHeight="1">
      <c r="A271" t="inlineStr">
        <is>
          <t>A 44919-2022</t>
        </is>
      </c>
      <c r="B271" s="1" t="n">
        <v>44841</v>
      </c>
      <c r="C271" s="1" t="n">
        <v>46045</v>
      </c>
      <c r="D271" t="inlineStr">
        <is>
          <t>GOTLANDS LÄN</t>
        </is>
      </c>
      <c r="E271" t="inlineStr">
        <is>
          <t>GOTLAND</t>
        </is>
      </c>
      <c r="G271" t="n">
        <v>2.2</v>
      </c>
      <c r="H271" t="n">
        <v>0</v>
      </c>
      <c r="I271" t="n">
        <v>0</v>
      </c>
      <c r="J271" t="n">
        <v>0</v>
      </c>
      <c r="K271" t="n">
        <v>0</v>
      </c>
      <c r="L271" t="n">
        <v>0</v>
      </c>
      <c r="M271" t="n">
        <v>0</v>
      </c>
      <c r="N271" t="n">
        <v>0</v>
      </c>
      <c r="O271" t="n">
        <v>0</v>
      </c>
      <c r="P271" t="n">
        <v>0</v>
      </c>
      <c r="Q271" t="n">
        <v>0</v>
      </c>
      <c r="R271" s="2" t="inlineStr"/>
    </row>
    <row r="272" ht="15" customHeight="1">
      <c r="A272" t="inlineStr">
        <is>
          <t>A 2714-2023</t>
        </is>
      </c>
      <c r="B272" s="1" t="n">
        <v>44944.54896990741</v>
      </c>
      <c r="C272" s="1" t="n">
        <v>46045</v>
      </c>
      <c r="D272" t="inlineStr">
        <is>
          <t>GOTLANDS LÄN</t>
        </is>
      </c>
      <c r="E272" t="inlineStr">
        <is>
          <t>GOTLAND</t>
        </is>
      </c>
      <c r="G272" t="n">
        <v>0.7</v>
      </c>
      <c r="H272" t="n">
        <v>0</v>
      </c>
      <c r="I272" t="n">
        <v>0</v>
      </c>
      <c r="J272" t="n">
        <v>0</v>
      </c>
      <c r="K272" t="n">
        <v>0</v>
      </c>
      <c r="L272" t="n">
        <v>0</v>
      </c>
      <c r="M272" t="n">
        <v>0</v>
      </c>
      <c r="N272" t="n">
        <v>0</v>
      </c>
      <c r="O272" t="n">
        <v>0</v>
      </c>
      <c r="P272" t="n">
        <v>0</v>
      </c>
      <c r="Q272" t="n">
        <v>0</v>
      </c>
      <c r="R272" s="2" t="inlineStr"/>
    </row>
    <row r="273" ht="15" customHeight="1">
      <c r="A273" t="inlineStr">
        <is>
          <t>A 4421-2024</t>
        </is>
      </c>
      <c r="B273" s="1" t="n">
        <v>45327.45173611111</v>
      </c>
      <c r="C273" s="1" t="n">
        <v>46045</v>
      </c>
      <c r="D273" t="inlineStr">
        <is>
          <t>GOTLANDS LÄN</t>
        </is>
      </c>
      <c r="E273" t="inlineStr">
        <is>
          <t>GOTLAND</t>
        </is>
      </c>
      <c r="G273" t="n">
        <v>5.1</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46045</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54268-2022</t>
        </is>
      </c>
      <c r="B275" s="1" t="n">
        <v>44882</v>
      </c>
      <c r="C275" s="1" t="n">
        <v>46045</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48503-2023</t>
        </is>
      </c>
      <c r="B276" s="1" t="n">
        <v>45207</v>
      </c>
      <c r="C276" s="1" t="n">
        <v>46045</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57534-2022</t>
        </is>
      </c>
      <c r="B277" s="1" t="n">
        <v>44896</v>
      </c>
      <c r="C277" s="1" t="n">
        <v>46045</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65901-2021</t>
        </is>
      </c>
      <c r="B278" s="1" t="n">
        <v>44516</v>
      </c>
      <c r="C278" s="1" t="n">
        <v>46045</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25866-2022</t>
        </is>
      </c>
      <c r="B279" s="1" t="n">
        <v>44733</v>
      </c>
      <c r="C279" s="1" t="n">
        <v>46045</v>
      </c>
      <c r="D279" t="inlineStr">
        <is>
          <t>GOTLANDS LÄN</t>
        </is>
      </c>
      <c r="E279" t="inlineStr">
        <is>
          <t>GOTLAND</t>
        </is>
      </c>
      <c r="G279" t="n">
        <v>2.9</v>
      </c>
      <c r="H279" t="n">
        <v>0</v>
      </c>
      <c r="I279" t="n">
        <v>0</v>
      </c>
      <c r="J279" t="n">
        <v>0</v>
      </c>
      <c r="K279" t="n">
        <v>0</v>
      </c>
      <c r="L279" t="n">
        <v>0</v>
      </c>
      <c r="M279" t="n">
        <v>0</v>
      </c>
      <c r="N279" t="n">
        <v>0</v>
      </c>
      <c r="O279" t="n">
        <v>0</v>
      </c>
      <c r="P279" t="n">
        <v>0</v>
      </c>
      <c r="Q279" t="n">
        <v>0</v>
      </c>
      <c r="R279" s="2" t="inlineStr"/>
    </row>
    <row r="280" ht="15" customHeight="1">
      <c r="A280" t="inlineStr">
        <is>
          <t>A 43229-2023</t>
        </is>
      </c>
      <c r="B280" s="1" t="n">
        <v>45183.46704861111</v>
      </c>
      <c r="C280" s="1" t="n">
        <v>46045</v>
      </c>
      <c r="D280" t="inlineStr">
        <is>
          <t>GOTLANDS LÄN</t>
        </is>
      </c>
      <c r="E280" t="inlineStr">
        <is>
          <t>GOTLAND</t>
        </is>
      </c>
      <c r="G280" t="n">
        <v>7.1</v>
      </c>
      <c r="H280" t="n">
        <v>0</v>
      </c>
      <c r="I280" t="n">
        <v>0</v>
      </c>
      <c r="J280" t="n">
        <v>0</v>
      </c>
      <c r="K280" t="n">
        <v>0</v>
      </c>
      <c r="L280" t="n">
        <v>0</v>
      </c>
      <c r="M280" t="n">
        <v>0</v>
      </c>
      <c r="N280" t="n">
        <v>0</v>
      </c>
      <c r="O280" t="n">
        <v>0</v>
      </c>
      <c r="P280" t="n">
        <v>0</v>
      </c>
      <c r="Q280" t="n">
        <v>0</v>
      </c>
      <c r="R280" s="2" t="inlineStr"/>
    </row>
    <row r="281" ht="15" customHeight="1">
      <c r="A281" t="inlineStr">
        <is>
          <t>A 1175-2025</t>
        </is>
      </c>
      <c r="B281" s="1" t="n">
        <v>45667.34449074074</v>
      </c>
      <c r="C281" s="1" t="n">
        <v>46045</v>
      </c>
      <c r="D281" t="inlineStr">
        <is>
          <t>GOTLANDS LÄN</t>
        </is>
      </c>
      <c r="E281" t="inlineStr">
        <is>
          <t>GOTLAND</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27095-2022</t>
        </is>
      </c>
      <c r="B282" s="1" t="n">
        <v>44741</v>
      </c>
      <c r="C282" s="1" t="n">
        <v>46045</v>
      </c>
      <c r="D282" t="inlineStr">
        <is>
          <t>GOTLANDS LÄN</t>
        </is>
      </c>
      <c r="E282" t="inlineStr">
        <is>
          <t>GOTLAND</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22899-2023</t>
        </is>
      </c>
      <c r="B283" s="1" t="n">
        <v>45072</v>
      </c>
      <c r="C283" s="1" t="n">
        <v>46045</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44649-2021</t>
        </is>
      </c>
      <c r="B284" s="1" t="n">
        <v>44437</v>
      </c>
      <c r="C284" s="1" t="n">
        <v>46045</v>
      </c>
      <c r="D284" t="inlineStr">
        <is>
          <t>GOTLANDS LÄN</t>
        </is>
      </c>
      <c r="E284" t="inlineStr">
        <is>
          <t>GOTLAND</t>
        </is>
      </c>
      <c r="G284" t="n">
        <v>8.1</v>
      </c>
      <c r="H284" t="n">
        <v>0</v>
      </c>
      <c r="I284" t="n">
        <v>0</v>
      </c>
      <c r="J284" t="n">
        <v>0</v>
      </c>
      <c r="K284" t="n">
        <v>0</v>
      </c>
      <c r="L284" t="n">
        <v>0</v>
      </c>
      <c r="M284" t="n">
        <v>0</v>
      </c>
      <c r="N284" t="n">
        <v>0</v>
      </c>
      <c r="O284" t="n">
        <v>0</v>
      </c>
      <c r="P284" t="n">
        <v>0</v>
      </c>
      <c r="Q284" t="n">
        <v>0</v>
      </c>
      <c r="R284" s="2" t="inlineStr"/>
    </row>
    <row r="285" ht="15" customHeight="1">
      <c r="A285" t="inlineStr">
        <is>
          <t>A 23978-2023</t>
        </is>
      </c>
      <c r="B285" s="1" t="n">
        <v>45078</v>
      </c>
      <c r="C285" s="1" t="n">
        <v>46045</v>
      </c>
      <c r="D285" t="inlineStr">
        <is>
          <t>GOTLANDS LÄN</t>
        </is>
      </c>
      <c r="E285" t="inlineStr">
        <is>
          <t>GOTLAND</t>
        </is>
      </c>
      <c r="F285" t="inlineStr">
        <is>
          <t>Naturvårdsverket</t>
        </is>
      </c>
      <c r="G285" t="n">
        <v>1.7</v>
      </c>
      <c r="H285" t="n">
        <v>0</v>
      </c>
      <c r="I285" t="n">
        <v>0</v>
      </c>
      <c r="J285" t="n">
        <v>0</v>
      </c>
      <c r="K285" t="n">
        <v>0</v>
      </c>
      <c r="L285" t="n">
        <v>0</v>
      </c>
      <c r="M285" t="n">
        <v>0</v>
      </c>
      <c r="N285" t="n">
        <v>0</v>
      </c>
      <c r="O285" t="n">
        <v>0</v>
      </c>
      <c r="P285" t="n">
        <v>0</v>
      </c>
      <c r="Q285" t="n">
        <v>0</v>
      </c>
      <c r="R285" s="2" t="inlineStr"/>
    </row>
    <row r="286" ht="15" customHeight="1">
      <c r="A286" t="inlineStr">
        <is>
          <t>A 34407-2023</t>
        </is>
      </c>
      <c r="B286" s="1" t="n">
        <v>45132</v>
      </c>
      <c r="C286" s="1" t="n">
        <v>46045</v>
      </c>
      <c r="D286" t="inlineStr">
        <is>
          <t>GOTLANDS LÄN</t>
        </is>
      </c>
      <c r="E286" t="inlineStr">
        <is>
          <t>GOTLAND</t>
        </is>
      </c>
      <c r="G286" t="n">
        <v>4.4</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46045</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27694-2024</t>
        </is>
      </c>
      <c r="B288" s="1" t="n">
        <v>45475</v>
      </c>
      <c r="C288" s="1" t="n">
        <v>46045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1734-2025</t>
        </is>
      </c>
      <c r="B289" s="1" t="n">
        <v>45671.3840625</v>
      </c>
      <c r="C289" s="1" t="n">
        <v>46045</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9947-2024</t>
        </is>
      </c>
      <c r="B290" s="1" t="n">
        <v>45363</v>
      </c>
      <c r="C290" s="1" t="n">
        <v>46045</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18993-2025</t>
        </is>
      </c>
      <c r="B291" s="1" t="n">
        <v>45764</v>
      </c>
      <c r="C291" s="1" t="n">
        <v>46045</v>
      </c>
      <c r="D291" t="inlineStr">
        <is>
          <t>GOTLANDS LÄN</t>
        </is>
      </c>
      <c r="E291" t="inlineStr">
        <is>
          <t>GOTLAND</t>
        </is>
      </c>
      <c r="G291" t="n">
        <v>3</v>
      </c>
      <c r="H291" t="n">
        <v>0</v>
      </c>
      <c r="I291" t="n">
        <v>0</v>
      </c>
      <c r="J291" t="n">
        <v>0</v>
      </c>
      <c r="K291" t="n">
        <v>0</v>
      </c>
      <c r="L291" t="n">
        <v>0</v>
      </c>
      <c r="M291" t="n">
        <v>0</v>
      </c>
      <c r="N291" t="n">
        <v>0</v>
      </c>
      <c r="O291" t="n">
        <v>0</v>
      </c>
      <c r="P291" t="n">
        <v>0</v>
      </c>
      <c r="Q291" t="n">
        <v>0</v>
      </c>
      <c r="R291" s="2" t="inlineStr"/>
    </row>
    <row r="292" ht="15" customHeight="1">
      <c r="A292" t="inlineStr">
        <is>
          <t>A 15083-2025</t>
        </is>
      </c>
      <c r="B292" s="1" t="n">
        <v>45743</v>
      </c>
      <c r="C292" s="1" t="n">
        <v>46045</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13037-2025</t>
        </is>
      </c>
      <c r="B293" s="1" t="n">
        <v>45734</v>
      </c>
      <c r="C293" s="1" t="n">
        <v>46045</v>
      </c>
      <c r="D293" t="inlineStr">
        <is>
          <t>GOTLANDS LÄN</t>
        </is>
      </c>
      <c r="E293" t="inlineStr">
        <is>
          <t>GOTLAND</t>
        </is>
      </c>
      <c r="G293" t="n">
        <v>9.5</v>
      </c>
      <c r="H293" t="n">
        <v>0</v>
      </c>
      <c r="I293" t="n">
        <v>0</v>
      </c>
      <c r="J293" t="n">
        <v>0</v>
      </c>
      <c r="K293" t="n">
        <v>0</v>
      </c>
      <c r="L293" t="n">
        <v>0</v>
      </c>
      <c r="M293" t="n">
        <v>0</v>
      </c>
      <c r="N293" t="n">
        <v>0</v>
      </c>
      <c r="O293" t="n">
        <v>0</v>
      </c>
      <c r="P293" t="n">
        <v>0</v>
      </c>
      <c r="Q293" t="n">
        <v>0</v>
      </c>
      <c r="R293" s="2" t="inlineStr"/>
    </row>
    <row r="294" ht="15" customHeight="1">
      <c r="A294" t="inlineStr">
        <is>
          <t>A 20993-2023</t>
        </is>
      </c>
      <c r="B294" s="1" t="n">
        <v>45056</v>
      </c>
      <c r="C294" s="1" t="n">
        <v>46045</v>
      </c>
      <c r="D294" t="inlineStr">
        <is>
          <t>GOTLANDS LÄN</t>
        </is>
      </c>
      <c r="E294" t="inlineStr">
        <is>
          <t>GOTLAND</t>
        </is>
      </c>
      <c r="G294" t="n">
        <v>7.1</v>
      </c>
      <c r="H294" t="n">
        <v>0</v>
      </c>
      <c r="I294" t="n">
        <v>0</v>
      </c>
      <c r="J294" t="n">
        <v>0</v>
      </c>
      <c r="K294" t="n">
        <v>0</v>
      </c>
      <c r="L294" t="n">
        <v>0</v>
      </c>
      <c r="M294" t="n">
        <v>0</v>
      </c>
      <c r="N294" t="n">
        <v>0</v>
      </c>
      <c r="O294" t="n">
        <v>0</v>
      </c>
      <c r="P294" t="n">
        <v>0</v>
      </c>
      <c r="Q294" t="n">
        <v>0</v>
      </c>
      <c r="R294" s="2" t="inlineStr"/>
    </row>
    <row r="295" ht="15" customHeight="1">
      <c r="A295" t="inlineStr">
        <is>
          <t>A 30135-2025</t>
        </is>
      </c>
      <c r="B295" s="1" t="n">
        <v>45826</v>
      </c>
      <c r="C295" s="1" t="n">
        <v>46045</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17682-2024</t>
        </is>
      </c>
      <c r="B296" s="1" t="n">
        <v>45418.42966435185</v>
      </c>
      <c r="C296" s="1" t="n">
        <v>46045</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57522-2022</t>
        </is>
      </c>
      <c r="B297" s="1" t="n">
        <v>44896</v>
      </c>
      <c r="C297" s="1" t="n">
        <v>46045</v>
      </c>
      <c r="D297" t="inlineStr">
        <is>
          <t>GOTLANDS LÄN</t>
        </is>
      </c>
      <c r="E297" t="inlineStr">
        <is>
          <t>GOTLAND</t>
        </is>
      </c>
      <c r="G297" t="n">
        <v>2</v>
      </c>
      <c r="H297" t="n">
        <v>0</v>
      </c>
      <c r="I297" t="n">
        <v>0</v>
      </c>
      <c r="J297" t="n">
        <v>0</v>
      </c>
      <c r="K297" t="n">
        <v>0</v>
      </c>
      <c r="L297" t="n">
        <v>0</v>
      </c>
      <c r="M297" t="n">
        <v>0</v>
      </c>
      <c r="N297" t="n">
        <v>0</v>
      </c>
      <c r="O297" t="n">
        <v>0</v>
      </c>
      <c r="P297" t="n">
        <v>0</v>
      </c>
      <c r="Q297" t="n">
        <v>0</v>
      </c>
      <c r="R297" s="2" t="inlineStr"/>
    </row>
    <row r="298" ht="15" customHeight="1">
      <c r="A298" t="inlineStr">
        <is>
          <t>A 12599-2025</t>
        </is>
      </c>
      <c r="B298" s="1" t="n">
        <v>45733.29546296296</v>
      </c>
      <c r="C298" s="1" t="n">
        <v>46045</v>
      </c>
      <c r="D298" t="inlineStr">
        <is>
          <t>GOTLANDS LÄN</t>
        </is>
      </c>
      <c r="E298" t="inlineStr">
        <is>
          <t>GOTLAND</t>
        </is>
      </c>
      <c r="G298" t="n">
        <v>4.7</v>
      </c>
      <c r="H298" t="n">
        <v>0</v>
      </c>
      <c r="I298" t="n">
        <v>0</v>
      </c>
      <c r="J298" t="n">
        <v>0</v>
      </c>
      <c r="K298" t="n">
        <v>0</v>
      </c>
      <c r="L298" t="n">
        <v>0</v>
      </c>
      <c r="M298" t="n">
        <v>0</v>
      </c>
      <c r="N298" t="n">
        <v>0</v>
      </c>
      <c r="O298" t="n">
        <v>0</v>
      </c>
      <c r="P298" t="n">
        <v>0</v>
      </c>
      <c r="Q298" t="n">
        <v>0</v>
      </c>
      <c r="R298" s="2" t="inlineStr"/>
    </row>
    <row r="299" ht="15" customHeight="1">
      <c r="A299" t="inlineStr">
        <is>
          <t>A 458-2023</t>
        </is>
      </c>
      <c r="B299" s="1" t="n">
        <v>44929</v>
      </c>
      <c r="C299" s="1" t="n">
        <v>46045</v>
      </c>
      <c r="D299" t="inlineStr">
        <is>
          <t>GOTLANDS LÄN</t>
        </is>
      </c>
      <c r="E299" t="inlineStr">
        <is>
          <t>GOTLAND</t>
        </is>
      </c>
      <c r="G299" t="n">
        <v>3.6</v>
      </c>
      <c r="H299" t="n">
        <v>0</v>
      </c>
      <c r="I299" t="n">
        <v>0</v>
      </c>
      <c r="J299" t="n">
        <v>0</v>
      </c>
      <c r="K299" t="n">
        <v>0</v>
      </c>
      <c r="L299" t="n">
        <v>0</v>
      </c>
      <c r="M299" t="n">
        <v>0</v>
      </c>
      <c r="N299" t="n">
        <v>0</v>
      </c>
      <c r="O299" t="n">
        <v>0</v>
      </c>
      <c r="P299" t="n">
        <v>0</v>
      </c>
      <c r="Q299" t="n">
        <v>0</v>
      </c>
      <c r="R299" s="2" t="inlineStr"/>
    </row>
    <row r="300" ht="15" customHeight="1">
      <c r="A300" t="inlineStr">
        <is>
          <t>A 35141-2025</t>
        </is>
      </c>
      <c r="B300" s="1" t="n">
        <v>45852.65206018519</v>
      </c>
      <c r="C300" s="1" t="n">
        <v>46045</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35142-2025</t>
        </is>
      </c>
      <c r="B301" s="1" t="n">
        <v>45852.65532407408</v>
      </c>
      <c r="C301" s="1" t="n">
        <v>46045</v>
      </c>
      <c r="D301" t="inlineStr">
        <is>
          <t>GOTLANDS LÄN</t>
        </is>
      </c>
      <c r="E301" t="inlineStr">
        <is>
          <t>GOTLAND</t>
        </is>
      </c>
      <c r="G301" t="n">
        <v>2.4</v>
      </c>
      <c r="H301" t="n">
        <v>0</v>
      </c>
      <c r="I301" t="n">
        <v>0</v>
      </c>
      <c r="J301" t="n">
        <v>0</v>
      </c>
      <c r="K301" t="n">
        <v>0</v>
      </c>
      <c r="L301" t="n">
        <v>0</v>
      </c>
      <c r="M301" t="n">
        <v>0</v>
      </c>
      <c r="N301" t="n">
        <v>0</v>
      </c>
      <c r="O301" t="n">
        <v>0</v>
      </c>
      <c r="P301" t="n">
        <v>0</v>
      </c>
      <c r="Q301" t="n">
        <v>0</v>
      </c>
      <c r="R301" s="2" t="inlineStr"/>
    </row>
    <row r="302" ht="15" customHeight="1">
      <c r="A302" t="inlineStr">
        <is>
          <t>A 27593-2023</t>
        </is>
      </c>
      <c r="B302" s="1" t="n">
        <v>45097</v>
      </c>
      <c r="C302" s="1" t="n">
        <v>46045</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44228-2022</t>
        </is>
      </c>
      <c r="B303" s="1" t="n">
        <v>44839.51599537037</v>
      </c>
      <c r="C303" s="1" t="n">
        <v>46045</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58132-2023</t>
        </is>
      </c>
      <c r="B304" s="1" t="n">
        <v>45250</v>
      </c>
      <c r="C304" s="1" t="n">
        <v>46045</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12596-2023</t>
        </is>
      </c>
      <c r="B305" s="1" t="n">
        <v>45000.43310185185</v>
      </c>
      <c r="C305" s="1" t="n">
        <v>46045</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46045</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39819-2025</t>
        </is>
      </c>
      <c r="B307" s="1" t="n">
        <v>45891.53418981482</v>
      </c>
      <c r="C307" s="1" t="n">
        <v>46045</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63516-2023</t>
        </is>
      </c>
      <c r="B308" s="1" t="n">
        <v>45274</v>
      </c>
      <c r="C308" s="1" t="n">
        <v>46045</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39814-2025</t>
        </is>
      </c>
      <c r="B309" s="1" t="n">
        <v>45891.52694444444</v>
      </c>
      <c r="C309" s="1" t="n">
        <v>46045</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49884-2023</t>
        </is>
      </c>
      <c r="B310" s="1" t="n">
        <v>45213</v>
      </c>
      <c r="C310" s="1" t="n">
        <v>46045</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39849-2025</t>
        </is>
      </c>
      <c r="B311" s="1" t="n">
        <v>45891.58502314815</v>
      </c>
      <c r="C311" s="1" t="n">
        <v>46045</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39752-2025</t>
        </is>
      </c>
      <c r="B312" s="1" t="n">
        <v>45891</v>
      </c>
      <c r="C312" s="1" t="n">
        <v>46045</v>
      </c>
      <c r="D312" t="inlineStr">
        <is>
          <t>GOTLANDS LÄN</t>
        </is>
      </c>
      <c r="E312" t="inlineStr">
        <is>
          <t>GOTLAND</t>
        </is>
      </c>
      <c r="G312" t="n">
        <v>5.3</v>
      </c>
      <c r="H312" t="n">
        <v>0</v>
      </c>
      <c r="I312" t="n">
        <v>0</v>
      </c>
      <c r="J312" t="n">
        <v>0</v>
      </c>
      <c r="K312" t="n">
        <v>0</v>
      </c>
      <c r="L312" t="n">
        <v>0</v>
      </c>
      <c r="M312" t="n">
        <v>0</v>
      </c>
      <c r="N312" t="n">
        <v>0</v>
      </c>
      <c r="O312" t="n">
        <v>0</v>
      </c>
      <c r="P312" t="n">
        <v>0</v>
      </c>
      <c r="Q312" t="n">
        <v>0</v>
      </c>
      <c r="R312" s="2" t="inlineStr"/>
    </row>
    <row r="313" ht="15" customHeight="1">
      <c r="A313" t="inlineStr">
        <is>
          <t>A 24001-2021</t>
        </is>
      </c>
      <c r="B313" s="1" t="n">
        <v>44335</v>
      </c>
      <c r="C313" s="1" t="n">
        <v>46045</v>
      </c>
      <c r="D313" t="inlineStr">
        <is>
          <t>GOTLANDS LÄN</t>
        </is>
      </c>
      <c r="E313" t="inlineStr">
        <is>
          <t>GOTLAND</t>
        </is>
      </c>
      <c r="G313" t="n">
        <v>3.4</v>
      </c>
      <c r="H313" t="n">
        <v>0</v>
      </c>
      <c r="I313" t="n">
        <v>0</v>
      </c>
      <c r="J313" t="n">
        <v>0</v>
      </c>
      <c r="K313" t="n">
        <v>0</v>
      </c>
      <c r="L313" t="n">
        <v>0</v>
      </c>
      <c r="M313" t="n">
        <v>0</v>
      </c>
      <c r="N313" t="n">
        <v>0</v>
      </c>
      <c r="O313" t="n">
        <v>0</v>
      </c>
      <c r="P313" t="n">
        <v>0</v>
      </c>
      <c r="Q313" t="n">
        <v>0</v>
      </c>
      <c r="R313" s="2" t="inlineStr"/>
    </row>
    <row r="314" ht="15" customHeight="1">
      <c r="A314" t="inlineStr">
        <is>
          <t>A 12155-2023</t>
        </is>
      </c>
      <c r="B314" s="1" t="n">
        <v>44998.49106481481</v>
      </c>
      <c r="C314" s="1" t="n">
        <v>46045</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39816-2025</t>
        </is>
      </c>
      <c r="B315" s="1" t="n">
        <v>45891</v>
      </c>
      <c r="C315" s="1" t="n">
        <v>46045</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40103-2025</t>
        </is>
      </c>
      <c r="B316" s="1" t="n">
        <v>45894.4880324074</v>
      </c>
      <c r="C316" s="1" t="n">
        <v>46045</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40373-2025</t>
        </is>
      </c>
      <c r="B317" s="1" t="n">
        <v>45895.51821759259</v>
      </c>
      <c r="C317" s="1" t="n">
        <v>46045</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457-2023</t>
        </is>
      </c>
      <c r="B318" s="1" t="n">
        <v>44929.87238425926</v>
      </c>
      <c r="C318" s="1" t="n">
        <v>46045</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459-2023</t>
        </is>
      </c>
      <c r="B319" s="1" t="n">
        <v>44929.87423611111</v>
      </c>
      <c r="C319" s="1" t="n">
        <v>46045</v>
      </c>
      <c r="D319" t="inlineStr">
        <is>
          <t>GOTLANDS LÄN</t>
        </is>
      </c>
      <c r="E319" t="inlineStr">
        <is>
          <t>GOTLAND</t>
        </is>
      </c>
      <c r="G319" t="n">
        <v>4.2</v>
      </c>
      <c r="H319" t="n">
        <v>0</v>
      </c>
      <c r="I319" t="n">
        <v>0</v>
      </c>
      <c r="J319" t="n">
        <v>0</v>
      </c>
      <c r="K319" t="n">
        <v>0</v>
      </c>
      <c r="L319" t="n">
        <v>0</v>
      </c>
      <c r="M319" t="n">
        <v>0</v>
      </c>
      <c r="N319" t="n">
        <v>0</v>
      </c>
      <c r="O319" t="n">
        <v>0</v>
      </c>
      <c r="P319" t="n">
        <v>0</v>
      </c>
      <c r="Q319" t="n">
        <v>0</v>
      </c>
      <c r="R319" s="2" t="inlineStr"/>
    </row>
    <row r="320" ht="15" customHeight="1">
      <c r="A320" t="inlineStr">
        <is>
          <t>A 876-2024</t>
        </is>
      </c>
      <c r="B320" s="1" t="n">
        <v>45301</v>
      </c>
      <c r="C320" s="1" t="n">
        <v>46045</v>
      </c>
      <c r="D320" t="inlineStr">
        <is>
          <t>GOTLANDS LÄN</t>
        </is>
      </c>
      <c r="E320" t="inlineStr">
        <is>
          <t>GOTLAND</t>
        </is>
      </c>
      <c r="G320" t="n">
        <v>5.3</v>
      </c>
      <c r="H320" t="n">
        <v>0</v>
      </c>
      <c r="I320" t="n">
        <v>0</v>
      </c>
      <c r="J320" t="n">
        <v>0</v>
      </c>
      <c r="K320" t="n">
        <v>0</v>
      </c>
      <c r="L320" t="n">
        <v>0</v>
      </c>
      <c r="M320" t="n">
        <v>0</v>
      </c>
      <c r="N320" t="n">
        <v>0</v>
      </c>
      <c r="O320" t="n">
        <v>0</v>
      </c>
      <c r="P320" t="n">
        <v>0</v>
      </c>
      <c r="Q320" t="n">
        <v>0</v>
      </c>
      <c r="R320" s="2" t="inlineStr"/>
    </row>
    <row r="321" ht="15" customHeight="1">
      <c r="A321" t="inlineStr">
        <is>
          <t>A 40499-2025</t>
        </is>
      </c>
      <c r="B321" s="1" t="n">
        <v>45896.32517361111</v>
      </c>
      <c r="C321" s="1" t="n">
        <v>46045</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38234-2023</t>
        </is>
      </c>
      <c r="B322" s="1" t="n">
        <v>45161.56663194444</v>
      </c>
      <c r="C322" s="1" t="n">
        <v>46045</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40372-2025</t>
        </is>
      </c>
      <c r="B323" s="1" t="n">
        <v>45895.5162037037</v>
      </c>
      <c r="C323" s="1" t="n">
        <v>46045</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22704-2023</t>
        </is>
      </c>
      <c r="B324" s="1" t="n">
        <v>45071</v>
      </c>
      <c r="C324" s="1" t="n">
        <v>46045</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30365-2024</t>
        </is>
      </c>
      <c r="B325" s="1" t="n">
        <v>45491.3716087963</v>
      </c>
      <c r="C325" s="1" t="n">
        <v>46045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28425-2023</t>
        </is>
      </c>
      <c r="B326" s="1" t="n">
        <v>45102</v>
      </c>
      <c r="C326" s="1" t="n">
        <v>46045</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58476-2022</t>
        </is>
      </c>
      <c r="B327" s="1" t="n">
        <v>44902</v>
      </c>
      <c r="C327" s="1" t="n">
        <v>46045</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39278-2025</t>
        </is>
      </c>
      <c r="B328" s="1" t="n">
        <v>45889</v>
      </c>
      <c r="C328" s="1" t="n">
        <v>46045</v>
      </c>
      <c r="D328" t="inlineStr">
        <is>
          <t>GOTLANDS LÄN</t>
        </is>
      </c>
      <c r="E328" t="inlineStr">
        <is>
          <t>GOTLAND</t>
        </is>
      </c>
      <c r="G328" t="n">
        <v>3.7</v>
      </c>
      <c r="H328" t="n">
        <v>0</v>
      </c>
      <c r="I328" t="n">
        <v>0</v>
      </c>
      <c r="J328" t="n">
        <v>0</v>
      </c>
      <c r="K328" t="n">
        <v>0</v>
      </c>
      <c r="L328" t="n">
        <v>0</v>
      </c>
      <c r="M328" t="n">
        <v>0</v>
      </c>
      <c r="N328" t="n">
        <v>0</v>
      </c>
      <c r="O328" t="n">
        <v>0</v>
      </c>
      <c r="P328" t="n">
        <v>0</v>
      </c>
      <c r="Q328" t="n">
        <v>0</v>
      </c>
      <c r="R328" s="2" t="inlineStr"/>
    </row>
    <row r="329" ht="15" customHeight="1">
      <c r="A329" t="inlineStr">
        <is>
          <t>A 50744-2024</t>
        </is>
      </c>
      <c r="B329" s="1" t="n">
        <v>45602.4187037037</v>
      </c>
      <c r="C329" s="1" t="n">
        <v>46045</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1681-2023</t>
        </is>
      </c>
      <c r="B330" s="1" t="n">
        <v>44938.39715277778</v>
      </c>
      <c r="C330" s="1" t="n">
        <v>46045</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43200-2023</t>
        </is>
      </c>
      <c r="B331" s="1" t="n">
        <v>45183</v>
      </c>
      <c r="C331" s="1" t="n">
        <v>46045</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43223-2023</t>
        </is>
      </c>
      <c r="B332" s="1" t="n">
        <v>45183.45642361111</v>
      </c>
      <c r="C332" s="1" t="n">
        <v>46045</v>
      </c>
      <c r="D332" t="inlineStr">
        <is>
          <t>GOTLANDS LÄN</t>
        </is>
      </c>
      <c r="E332" t="inlineStr">
        <is>
          <t>GOTLAND</t>
        </is>
      </c>
      <c r="G332" t="n">
        <v>1.8</v>
      </c>
      <c r="H332" t="n">
        <v>0</v>
      </c>
      <c r="I332" t="n">
        <v>0</v>
      </c>
      <c r="J332" t="n">
        <v>0</v>
      </c>
      <c r="K332" t="n">
        <v>0</v>
      </c>
      <c r="L332" t="n">
        <v>0</v>
      </c>
      <c r="M332" t="n">
        <v>0</v>
      </c>
      <c r="N332" t="n">
        <v>0</v>
      </c>
      <c r="O332" t="n">
        <v>0</v>
      </c>
      <c r="P332" t="n">
        <v>0</v>
      </c>
      <c r="Q332" t="n">
        <v>0</v>
      </c>
      <c r="R332" s="2" t="inlineStr"/>
    </row>
    <row r="333" ht="15" customHeight="1">
      <c r="A333" t="inlineStr">
        <is>
          <t>A 12327-2025</t>
        </is>
      </c>
      <c r="B333" s="1" t="n">
        <v>45730</v>
      </c>
      <c r="C333" s="1" t="n">
        <v>46045</v>
      </c>
      <c r="D333" t="inlineStr">
        <is>
          <t>GOTLANDS LÄN</t>
        </is>
      </c>
      <c r="E333" t="inlineStr">
        <is>
          <t>GOTLAND</t>
        </is>
      </c>
      <c r="G333" t="n">
        <v>1.8</v>
      </c>
      <c r="H333" t="n">
        <v>0</v>
      </c>
      <c r="I333" t="n">
        <v>0</v>
      </c>
      <c r="J333" t="n">
        <v>0</v>
      </c>
      <c r="K333" t="n">
        <v>0</v>
      </c>
      <c r="L333" t="n">
        <v>0</v>
      </c>
      <c r="M333" t="n">
        <v>0</v>
      </c>
      <c r="N333" t="n">
        <v>0</v>
      </c>
      <c r="O333" t="n">
        <v>0</v>
      </c>
      <c r="P333" t="n">
        <v>0</v>
      </c>
      <c r="Q333" t="n">
        <v>0</v>
      </c>
      <c r="R333" s="2" t="inlineStr"/>
    </row>
    <row r="334" ht="15" customHeight="1">
      <c r="A334" t="inlineStr">
        <is>
          <t>A 3431-2025</t>
        </is>
      </c>
      <c r="B334" s="1" t="n">
        <v>45680.42935185185</v>
      </c>
      <c r="C334" s="1" t="n">
        <v>46045</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6099-2024</t>
        </is>
      </c>
      <c r="B335" s="1" t="n">
        <v>45337</v>
      </c>
      <c r="C335" s="1" t="n">
        <v>46045</v>
      </c>
      <c r="D335" t="inlineStr">
        <is>
          <t>GOTLANDS LÄN</t>
        </is>
      </c>
      <c r="E335" t="inlineStr">
        <is>
          <t>GOTLAND</t>
        </is>
      </c>
      <c r="G335" t="n">
        <v>12.6</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46045</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53934-2024</t>
        </is>
      </c>
      <c r="B337" s="1" t="n">
        <v>45615</v>
      </c>
      <c r="C337" s="1" t="n">
        <v>46045</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12209-2024</t>
        </is>
      </c>
      <c r="B338" s="1" t="n">
        <v>45378</v>
      </c>
      <c r="C338" s="1" t="n">
        <v>46045</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12210-2024</t>
        </is>
      </c>
      <c r="B339" s="1" t="n">
        <v>45378</v>
      </c>
      <c r="C339" s="1" t="n">
        <v>46045</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1273-2023</t>
        </is>
      </c>
      <c r="B340" s="1" t="n">
        <v>44936</v>
      </c>
      <c r="C340" s="1" t="n">
        <v>46045</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1364-2025</t>
        </is>
      </c>
      <c r="B341" s="1" t="n">
        <v>45667.63929398148</v>
      </c>
      <c r="C341" s="1" t="n">
        <v>46045</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15042-2025</t>
        </is>
      </c>
      <c r="B342" s="1" t="n">
        <v>45743</v>
      </c>
      <c r="C342" s="1" t="n">
        <v>46045</v>
      </c>
      <c r="D342" t="inlineStr">
        <is>
          <t>GOTLANDS LÄN</t>
        </is>
      </c>
      <c r="E342" t="inlineStr">
        <is>
          <t>GOTLAND</t>
        </is>
      </c>
      <c r="G342" t="n">
        <v>8.5</v>
      </c>
      <c r="H342" t="n">
        <v>0</v>
      </c>
      <c r="I342" t="n">
        <v>0</v>
      </c>
      <c r="J342" t="n">
        <v>0</v>
      </c>
      <c r="K342" t="n">
        <v>0</v>
      </c>
      <c r="L342" t="n">
        <v>0</v>
      </c>
      <c r="M342" t="n">
        <v>0</v>
      </c>
      <c r="N342" t="n">
        <v>0</v>
      </c>
      <c r="O342" t="n">
        <v>0</v>
      </c>
      <c r="P342" t="n">
        <v>0</v>
      </c>
      <c r="Q342" t="n">
        <v>0</v>
      </c>
      <c r="R342" s="2" t="inlineStr"/>
    </row>
    <row r="343" ht="15" customHeight="1">
      <c r="A343" t="inlineStr">
        <is>
          <t>A 58780-2024</t>
        </is>
      </c>
      <c r="B343" s="1" t="n">
        <v>45635.84113425926</v>
      </c>
      <c r="C343" s="1" t="n">
        <v>46045</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41551-2025</t>
        </is>
      </c>
      <c r="B344" s="1" t="n">
        <v>45901.58854166666</v>
      </c>
      <c r="C344" s="1" t="n">
        <v>46045</v>
      </c>
      <c r="D344" t="inlineStr">
        <is>
          <t>GOTLANDS LÄN</t>
        </is>
      </c>
      <c r="E344" t="inlineStr">
        <is>
          <t>GOTLAND</t>
        </is>
      </c>
      <c r="G344" t="n">
        <v>5.6</v>
      </c>
      <c r="H344" t="n">
        <v>0</v>
      </c>
      <c r="I344" t="n">
        <v>0</v>
      </c>
      <c r="J344" t="n">
        <v>0</v>
      </c>
      <c r="K344" t="n">
        <v>0</v>
      </c>
      <c r="L344" t="n">
        <v>0</v>
      </c>
      <c r="M344" t="n">
        <v>0</v>
      </c>
      <c r="N344" t="n">
        <v>0</v>
      </c>
      <c r="O344" t="n">
        <v>0</v>
      </c>
      <c r="P344" t="n">
        <v>0</v>
      </c>
      <c r="Q344" t="n">
        <v>0</v>
      </c>
      <c r="R344" s="2" t="inlineStr"/>
    </row>
    <row r="345" ht="15" customHeight="1">
      <c r="A345" t="inlineStr">
        <is>
          <t>A 2180-2025</t>
        </is>
      </c>
      <c r="B345" s="1" t="n">
        <v>45673</v>
      </c>
      <c r="C345" s="1" t="n">
        <v>46045</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15436-2025</t>
        </is>
      </c>
      <c r="B346" s="1" t="n">
        <v>45747.47462962963</v>
      </c>
      <c r="C346" s="1" t="n">
        <v>46045</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45692-2023</t>
        </is>
      </c>
      <c r="B347" s="1" t="n">
        <v>45195</v>
      </c>
      <c r="C347" s="1" t="n">
        <v>46045</v>
      </c>
      <c r="D347" t="inlineStr">
        <is>
          <t>GOTLANDS LÄN</t>
        </is>
      </c>
      <c r="E347" t="inlineStr">
        <is>
          <t>GOTLAND</t>
        </is>
      </c>
      <c r="G347" t="n">
        <v>5.3</v>
      </c>
      <c r="H347" t="n">
        <v>0</v>
      </c>
      <c r="I347" t="n">
        <v>0</v>
      </c>
      <c r="J347" t="n">
        <v>0</v>
      </c>
      <c r="K347" t="n">
        <v>0</v>
      </c>
      <c r="L347" t="n">
        <v>0</v>
      </c>
      <c r="M347" t="n">
        <v>0</v>
      </c>
      <c r="N347" t="n">
        <v>0</v>
      </c>
      <c r="O347" t="n">
        <v>0</v>
      </c>
      <c r="P347" t="n">
        <v>0</v>
      </c>
      <c r="Q347" t="n">
        <v>0</v>
      </c>
      <c r="R347" s="2" t="inlineStr"/>
    </row>
    <row r="348" ht="15" customHeight="1">
      <c r="A348" t="inlineStr">
        <is>
          <t>A 33876-2024</t>
        </is>
      </c>
      <c r="B348" s="1" t="n">
        <v>45521.87988425926</v>
      </c>
      <c r="C348" s="1" t="n">
        <v>46045</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49257-2024</t>
        </is>
      </c>
      <c r="B349" s="1" t="n">
        <v>45595.47627314815</v>
      </c>
      <c r="C349" s="1" t="n">
        <v>46045</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37202-2024</t>
        </is>
      </c>
      <c r="B350" s="1" t="n">
        <v>45539.67310185185</v>
      </c>
      <c r="C350" s="1" t="n">
        <v>46045</v>
      </c>
      <c r="D350" t="inlineStr">
        <is>
          <t>GOTLANDS LÄN</t>
        </is>
      </c>
      <c r="E350" t="inlineStr">
        <is>
          <t>GOTLAND</t>
        </is>
      </c>
      <c r="G350" t="n">
        <v>0.3</v>
      </c>
      <c r="H350" t="n">
        <v>0</v>
      </c>
      <c r="I350" t="n">
        <v>0</v>
      </c>
      <c r="J350" t="n">
        <v>0</v>
      </c>
      <c r="K350" t="n">
        <v>0</v>
      </c>
      <c r="L350" t="n">
        <v>0</v>
      </c>
      <c r="M350" t="n">
        <v>0</v>
      </c>
      <c r="N350" t="n">
        <v>0</v>
      </c>
      <c r="O350" t="n">
        <v>0</v>
      </c>
      <c r="P350" t="n">
        <v>0</v>
      </c>
      <c r="Q350" t="n">
        <v>0</v>
      </c>
      <c r="R350" s="2" t="inlineStr"/>
    </row>
    <row r="351" ht="15" customHeight="1">
      <c r="A351" t="inlineStr">
        <is>
          <t>A 28285-2024</t>
        </is>
      </c>
      <c r="B351" s="1" t="n">
        <v>45477</v>
      </c>
      <c r="C351" s="1" t="n">
        <v>46045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56115-2023</t>
        </is>
      </c>
      <c r="B352" s="1" t="n">
        <v>45236</v>
      </c>
      <c r="C352" s="1" t="n">
        <v>46045</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61100-2022</t>
        </is>
      </c>
      <c r="B353" s="1" t="n">
        <v>44915</v>
      </c>
      <c r="C353" s="1" t="n">
        <v>46045</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45669.86035879629</v>
      </c>
      <c r="C354" s="1" t="n">
        <v>46045</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61682-2024</t>
        </is>
      </c>
      <c r="B355" s="1" t="n">
        <v>45647.48824074074</v>
      </c>
      <c r="C355" s="1" t="n">
        <v>46045</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42608-2025</t>
        </is>
      </c>
      <c r="B356" s="1" t="n">
        <v>45905</v>
      </c>
      <c r="C356" s="1" t="n">
        <v>46045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31264-2021</t>
        </is>
      </c>
      <c r="B357" s="1" t="n">
        <v>44368</v>
      </c>
      <c r="C357" s="1" t="n">
        <v>46045</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43901-2023</t>
        </is>
      </c>
      <c r="B358" s="1" t="n">
        <v>45187</v>
      </c>
      <c r="C358" s="1" t="n">
        <v>46045</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10746-2025</t>
        </is>
      </c>
      <c r="B359" s="1" t="n">
        <v>45722.42766203704</v>
      </c>
      <c r="C359" s="1" t="n">
        <v>46045</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16501-2023</t>
        </is>
      </c>
      <c r="B360" s="1" t="n">
        <v>45029</v>
      </c>
      <c r="C360" s="1" t="n">
        <v>46045</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16373-2025</t>
        </is>
      </c>
      <c r="B361" s="1" t="n">
        <v>45751</v>
      </c>
      <c r="C361" s="1" t="n">
        <v>46045</v>
      </c>
      <c r="D361" t="inlineStr">
        <is>
          <t>GOTLANDS LÄN</t>
        </is>
      </c>
      <c r="E361" t="inlineStr">
        <is>
          <t>GOTLAND</t>
        </is>
      </c>
      <c r="G361" t="n">
        <v>1.5</v>
      </c>
      <c r="H361" t="n">
        <v>0</v>
      </c>
      <c r="I361" t="n">
        <v>0</v>
      </c>
      <c r="J361" t="n">
        <v>0</v>
      </c>
      <c r="K361" t="n">
        <v>0</v>
      </c>
      <c r="L361" t="n">
        <v>0</v>
      </c>
      <c r="M361" t="n">
        <v>0</v>
      </c>
      <c r="N361" t="n">
        <v>0</v>
      </c>
      <c r="O361" t="n">
        <v>0</v>
      </c>
      <c r="P361" t="n">
        <v>0</v>
      </c>
      <c r="Q361" t="n">
        <v>0</v>
      </c>
      <c r="R361" s="2" t="inlineStr"/>
    </row>
    <row r="362" ht="15" customHeight="1">
      <c r="A362" t="inlineStr">
        <is>
          <t>A 2774-2024</t>
        </is>
      </c>
      <c r="B362" s="1" t="n">
        <v>45314.62375</v>
      </c>
      <c r="C362" s="1" t="n">
        <v>46045</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27930-2021</t>
        </is>
      </c>
      <c r="B363" s="1" t="n">
        <v>44354</v>
      </c>
      <c r="C363" s="1" t="n">
        <v>46045</v>
      </c>
      <c r="D363" t="inlineStr">
        <is>
          <t>GOTLANDS LÄN</t>
        </is>
      </c>
      <c r="E363" t="inlineStr">
        <is>
          <t>GOTLAND</t>
        </is>
      </c>
      <c r="G363" t="n">
        <v>2.5</v>
      </c>
      <c r="H363" t="n">
        <v>0</v>
      </c>
      <c r="I363" t="n">
        <v>0</v>
      </c>
      <c r="J363" t="n">
        <v>0</v>
      </c>
      <c r="K363" t="n">
        <v>0</v>
      </c>
      <c r="L363" t="n">
        <v>0</v>
      </c>
      <c r="M363" t="n">
        <v>0</v>
      </c>
      <c r="N363" t="n">
        <v>0</v>
      </c>
      <c r="O363" t="n">
        <v>0</v>
      </c>
      <c r="P363" t="n">
        <v>0</v>
      </c>
      <c r="Q363" t="n">
        <v>0</v>
      </c>
      <c r="R363" s="2" t="inlineStr"/>
    </row>
    <row r="364" ht="15" customHeight="1">
      <c r="A364" t="inlineStr">
        <is>
          <t>A 58388-2022</t>
        </is>
      </c>
      <c r="B364" s="1" t="n">
        <v>44894</v>
      </c>
      <c r="C364" s="1" t="n">
        <v>46045</v>
      </c>
      <c r="D364" t="inlineStr">
        <is>
          <t>GOTLANDS LÄN</t>
        </is>
      </c>
      <c r="E364" t="inlineStr">
        <is>
          <t>GOTLAND</t>
        </is>
      </c>
      <c r="F364" t="inlineStr">
        <is>
          <t>Övriga statliga verk och myndigheter</t>
        </is>
      </c>
      <c r="G364" t="n">
        <v>3.1</v>
      </c>
      <c r="H364" t="n">
        <v>0</v>
      </c>
      <c r="I364" t="n">
        <v>0</v>
      </c>
      <c r="J364" t="n">
        <v>0</v>
      </c>
      <c r="K364" t="n">
        <v>0</v>
      </c>
      <c r="L364" t="n">
        <v>0</v>
      </c>
      <c r="M364" t="n">
        <v>0</v>
      </c>
      <c r="N364" t="n">
        <v>0</v>
      </c>
      <c r="O364" t="n">
        <v>0</v>
      </c>
      <c r="P364" t="n">
        <v>0</v>
      </c>
      <c r="Q364" t="n">
        <v>0</v>
      </c>
      <c r="R364" s="2" t="inlineStr"/>
    </row>
    <row r="365" ht="15" customHeight="1">
      <c r="A365" t="inlineStr">
        <is>
          <t>A 60709-2023</t>
        </is>
      </c>
      <c r="B365" s="1" t="n">
        <v>45260</v>
      </c>
      <c r="C365" s="1" t="n">
        <v>46045</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10158-2025</t>
        </is>
      </c>
      <c r="B366" s="1" t="n">
        <v>45719</v>
      </c>
      <c r="C366" s="1" t="n">
        <v>46045</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61962-2024</t>
        </is>
      </c>
      <c r="B367" s="1" t="n">
        <v>45653.54340277778</v>
      </c>
      <c r="C367" s="1" t="n">
        <v>46045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21792-2024</t>
        </is>
      </c>
      <c r="B368" s="1" t="n">
        <v>45442.64326388889</v>
      </c>
      <c r="C368" s="1" t="n">
        <v>46045</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64208-2021</t>
        </is>
      </c>
      <c r="B369" s="1" t="n">
        <v>44510</v>
      </c>
      <c r="C369" s="1" t="n">
        <v>46045</v>
      </c>
      <c r="D369" t="inlineStr">
        <is>
          <t>GOTLANDS LÄN</t>
        </is>
      </c>
      <c r="E369" t="inlineStr">
        <is>
          <t>GOTLAND</t>
        </is>
      </c>
      <c r="G369" t="n">
        <v>4.7</v>
      </c>
      <c r="H369" t="n">
        <v>0</v>
      </c>
      <c r="I369" t="n">
        <v>0</v>
      </c>
      <c r="J369" t="n">
        <v>0</v>
      </c>
      <c r="K369" t="n">
        <v>0</v>
      </c>
      <c r="L369" t="n">
        <v>0</v>
      </c>
      <c r="M369" t="n">
        <v>0</v>
      </c>
      <c r="N369" t="n">
        <v>0</v>
      </c>
      <c r="O369" t="n">
        <v>0</v>
      </c>
      <c r="P369" t="n">
        <v>0</v>
      </c>
      <c r="Q369" t="n">
        <v>0</v>
      </c>
      <c r="R369" s="2" t="inlineStr"/>
    </row>
    <row r="370" ht="15" customHeight="1">
      <c r="A370" t="inlineStr">
        <is>
          <t>A 39764-2022</t>
        </is>
      </c>
      <c r="B370" s="1" t="n">
        <v>44819</v>
      </c>
      <c r="C370" s="1" t="n">
        <v>46045</v>
      </c>
      <c r="D370" t="inlineStr">
        <is>
          <t>GOTLANDS LÄN</t>
        </is>
      </c>
      <c r="E370" t="inlineStr">
        <is>
          <t>GOTLAND</t>
        </is>
      </c>
      <c r="F370" t="inlineStr">
        <is>
          <t>Kyrkan</t>
        </is>
      </c>
      <c r="G370" t="n">
        <v>3.7</v>
      </c>
      <c r="H370" t="n">
        <v>0</v>
      </c>
      <c r="I370" t="n">
        <v>0</v>
      </c>
      <c r="J370" t="n">
        <v>0</v>
      </c>
      <c r="K370" t="n">
        <v>0</v>
      </c>
      <c r="L370" t="n">
        <v>0</v>
      </c>
      <c r="M370" t="n">
        <v>0</v>
      </c>
      <c r="N370" t="n">
        <v>0</v>
      </c>
      <c r="O370" t="n">
        <v>0</v>
      </c>
      <c r="P370" t="n">
        <v>0</v>
      </c>
      <c r="Q370" t="n">
        <v>0</v>
      </c>
      <c r="R370" s="2" t="inlineStr"/>
    </row>
    <row r="371" ht="15" customHeight="1">
      <c r="A371" t="inlineStr">
        <is>
          <t>A 43911-2025</t>
        </is>
      </c>
      <c r="B371" s="1" t="n">
        <v>45914.3881712963</v>
      </c>
      <c r="C371" s="1" t="n">
        <v>46045</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44410-2025</t>
        </is>
      </c>
      <c r="B372" s="1" t="n">
        <v>45916.53699074074</v>
      </c>
      <c r="C372" s="1" t="n">
        <v>46045</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43951-2025</t>
        </is>
      </c>
      <c r="B373" s="1" t="n">
        <v>45915.38119212963</v>
      </c>
      <c r="C373" s="1" t="n">
        <v>46045</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10492-2023</t>
        </is>
      </c>
      <c r="B374" s="1" t="n">
        <v>44987</v>
      </c>
      <c r="C374" s="1" t="n">
        <v>46045</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44405-2025</t>
        </is>
      </c>
      <c r="B375" s="1" t="n">
        <v>45916.52405092592</v>
      </c>
      <c r="C375" s="1" t="n">
        <v>46045</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58211-2024</t>
        </is>
      </c>
      <c r="B376" s="1" t="n">
        <v>45632.49292824074</v>
      </c>
      <c r="C376" s="1" t="n">
        <v>46045</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30956-2024</t>
        </is>
      </c>
      <c r="B377" s="1" t="n">
        <v>45499.42527777778</v>
      </c>
      <c r="C377" s="1" t="n">
        <v>46045</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30892-2024</t>
        </is>
      </c>
      <c r="B378" s="1" t="n">
        <v>45491</v>
      </c>
      <c r="C378" s="1" t="n">
        <v>46045</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17688-2024</t>
        </is>
      </c>
      <c r="B379" s="1" t="n">
        <v>45418.43575231481</v>
      </c>
      <c r="C379" s="1" t="n">
        <v>46045</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14635-2023</t>
        </is>
      </c>
      <c r="B380" s="1" t="n">
        <v>45013.69365740741</v>
      </c>
      <c r="C380" s="1" t="n">
        <v>46045</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7837-2024</t>
        </is>
      </c>
      <c r="B381" s="1" t="n">
        <v>45349.83787037037</v>
      </c>
      <c r="C381" s="1" t="n">
        <v>46045</v>
      </c>
      <c r="D381" t="inlineStr">
        <is>
          <t>GOTLANDS LÄN</t>
        </is>
      </c>
      <c r="E381" t="inlineStr">
        <is>
          <t>GOTLAND</t>
        </is>
      </c>
      <c r="G381" t="n">
        <v>5</v>
      </c>
      <c r="H381" t="n">
        <v>0</v>
      </c>
      <c r="I381" t="n">
        <v>0</v>
      </c>
      <c r="J381" t="n">
        <v>0</v>
      </c>
      <c r="K381" t="n">
        <v>0</v>
      </c>
      <c r="L381" t="n">
        <v>0</v>
      </c>
      <c r="M381" t="n">
        <v>0</v>
      </c>
      <c r="N381" t="n">
        <v>0</v>
      </c>
      <c r="O381" t="n">
        <v>0</v>
      </c>
      <c r="P381" t="n">
        <v>0</v>
      </c>
      <c r="Q381" t="n">
        <v>0</v>
      </c>
      <c r="R381" s="2" t="inlineStr"/>
    </row>
    <row r="382" ht="15" customHeight="1">
      <c r="A382" t="inlineStr">
        <is>
          <t>A 59469-2024</t>
        </is>
      </c>
      <c r="B382" s="1" t="n">
        <v>45638</v>
      </c>
      <c r="C382" s="1" t="n">
        <v>46045</v>
      </c>
      <c r="D382" t="inlineStr">
        <is>
          <t>GOTLANDS LÄN</t>
        </is>
      </c>
      <c r="E382" t="inlineStr">
        <is>
          <t>GOTLAND</t>
        </is>
      </c>
      <c r="G382" t="n">
        <v>0.4</v>
      </c>
      <c r="H382" t="n">
        <v>0</v>
      </c>
      <c r="I382" t="n">
        <v>0</v>
      </c>
      <c r="J382" t="n">
        <v>0</v>
      </c>
      <c r="K382" t="n">
        <v>0</v>
      </c>
      <c r="L382" t="n">
        <v>0</v>
      </c>
      <c r="M382" t="n">
        <v>0</v>
      </c>
      <c r="N382" t="n">
        <v>0</v>
      </c>
      <c r="O382" t="n">
        <v>0</v>
      </c>
      <c r="P382" t="n">
        <v>0</v>
      </c>
      <c r="Q382" t="n">
        <v>0</v>
      </c>
      <c r="R382" s="2" t="inlineStr"/>
    </row>
    <row r="383" ht="15" customHeight="1">
      <c r="A383" t="inlineStr">
        <is>
          <t>A 7858-2025</t>
        </is>
      </c>
      <c r="B383" s="1" t="n">
        <v>45706.68633101852</v>
      </c>
      <c r="C383" s="1" t="n">
        <v>46045</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53935-2024</t>
        </is>
      </c>
      <c r="B384" s="1" t="n">
        <v>45615</v>
      </c>
      <c r="C384" s="1" t="n">
        <v>46045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18223-2025</t>
        </is>
      </c>
      <c r="B385" s="1" t="n">
        <v>45761</v>
      </c>
      <c r="C385" s="1" t="n">
        <v>46045</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4420-2025</t>
        </is>
      </c>
      <c r="B386" s="1" t="n">
        <v>45686.47157407407</v>
      </c>
      <c r="C386" s="1" t="n">
        <v>46045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5891-2025</t>
        </is>
      </c>
      <c r="B387" s="1" t="n">
        <v>45695.38327546296</v>
      </c>
      <c r="C387" s="1" t="n">
        <v>46045</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4568-2025</t>
        </is>
      </c>
      <c r="B388" s="1" t="n">
        <v>45687</v>
      </c>
      <c r="C388" s="1" t="n">
        <v>46045</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35512-2023</t>
        </is>
      </c>
      <c r="B389" s="1" t="n">
        <v>45147.25623842593</v>
      </c>
      <c r="C389" s="1" t="n">
        <v>46045</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5905-2024</t>
        </is>
      </c>
      <c r="B390" s="1" t="n">
        <v>45335.88993055555</v>
      </c>
      <c r="C390" s="1" t="n">
        <v>46045</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7835-2024</t>
        </is>
      </c>
      <c r="B391" s="1" t="n">
        <v>45349.83138888889</v>
      </c>
      <c r="C391" s="1" t="n">
        <v>46045</v>
      </c>
      <c r="D391" t="inlineStr">
        <is>
          <t>GOTLANDS LÄN</t>
        </is>
      </c>
      <c r="E391" t="inlineStr">
        <is>
          <t>GOTLAND</t>
        </is>
      </c>
      <c r="G391" t="n">
        <v>3.8</v>
      </c>
      <c r="H391" t="n">
        <v>0</v>
      </c>
      <c r="I391" t="n">
        <v>0</v>
      </c>
      <c r="J391" t="n">
        <v>0</v>
      </c>
      <c r="K391" t="n">
        <v>0</v>
      </c>
      <c r="L391" t="n">
        <v>0</v>
      </c>
      <c r="M391" t="n">
        <v>0</v>
      </c>
      <c r="N391" t="n">
        <v>0</v>
      </c>
      <c r="O391" t="n">
        <v>0</v>
      </c>
      <c r="P391" t="n">
        <v>0</v>
      </c>
      <c r="Q391" t="n">
        <v>0</v>
      </c>
      <c r="R391" s="2" t="inlineStr"/>
    </row>
    <row r="392" ht="15" customHeight="1">
      <c r="A392" t="inlineStr">
        <is>
          <t>A 20794-2025</t>
        </is>
      </c>
      <c r="B392" s="1" t="n">
        <v>45776</v>
      </c>
      <c r="C392" s="1" t="n">
        <v>46045</v>
      </c>
      <c r="D392" t="inlineStr">
        <is>
          <t>GOTLANDS LÄN</t>
        </is>
      </c>
      <c r="E392" t="inlineStr">
        <is>
          <t>GOTLAND</t>
        </is>
      </c>
      <c r="G392" t="n">
        <v>6</v>
      </c>
      <c r="H392" t="n">
        <v>0</v>
      </c>
      <c r="I392" t="n">
        <v>0</v>
      </c>
      <c r="J392" t="n">
        <v>0</v>
      </c>
      <c r="K392" t="n">
        <v>0</v>
      </c>
      <c r="L392" t="n">
        <v>0</v>
      </c>
      <c r="M392" t="n">
        <v>0</v>
      </c>
      <c r="N392" t="n">
        <v>0</v>
      </c>
      <c r="O392" t="n">
        <v>0</v>
      </c>
      <c r="P392" t="n">
        <v>0</v>
      </c>
      <c r="Q392" t="n">
        <v>0</v>
      </c>
      <c r="R392" s="2" t="inlineStr"/>
    </row>
    <row r="393" ht="15" customHeight="1">
      <c r="A393" t="inlineStr">
        <is>
          <t>A 26391-2025</t>
        </is>
      </c>
      <c r="B393" s="1" t="n">
        <v>45806</v>
      </c>
      <c r="C393" s="1" t="n">
        <v>46045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20805-2025</t>
        </is>
      </c>
      <c r="B394" s="1" t="n">
        <v>45776</v>
      </c>
      <c r="C394" s="1" t="n">
        <v>46045</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5909-2025</t>
        </is>
      </c>
      <c r="B395" s="1" t="n">
        <v>45695.40634259259</v>
      </c>
      <c r="C395" s="1" t="n">
        <v>46045</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1291-2023</t>
        </is>
      </c>
      <c r="B396" s="1" t="n">
        <v>44936.47561342592</v>
      </c>
      <c r="C396" s="1" t="n">
        <v>46045</v>
      </c>
      <c r="D396" t="inlineStr">
        <is>
          <t>GOTLANDS LÄN</t>
        </is>
      </c>
      <c r="E396" t="inlineStr">
        <is>
          <t>GOTLAND</t>
        </is>
      </c>
      <c r="G396" t="n">
        <v>7.4</v>
      </c>
      <c r="H396" t="n">
        <v>0</v>
      </c>
      <c r="I396" t="n">
        <v>0</v>
      </c>
      <c r="J396" t="n">
        <v>0</v>
      </c>
      <c r="K396" t="n">
        <v>0</v>
      </c>
      <c r="L396" t="n">
        <v>0</v>
      </c>
      <c r="M396" t="n">
        <v>0</v>
      </c>
      <c r="N396" t="n">
        <v>0</v>
      </c>
      <c r="O396" t="n">
        <v>0</v>
      </c>
      <c r="P396" t="n">
        <v>0</v>
      </c>
      <c r="Q396" t="n">
        <v>0</v>
      </c>
      <c r="R396" s="2" t="inlineStr"/>
    </row>
    <row r="397" ht="15" customHeight="1">
      <c r="A397" t="inlineStr">
        <is>
          <t>A 10653-2023</t>
        </is>
      </c>
      <c r="B397" s="1" t="n">
        <v>44988.48859953704</v>
      </c>
      <c r="C397" s="1" t="n">
        <v>46045</v>
      </c>
      <c r="D397" t="inlineStr">
        <is>
          <t>GOTLANDS LÄN</t>
        </is>
      </c>
      <c r="E397" t="inlineStr">
        <is>
          <t>GOTLAND</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46045</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4990-2025</t>
        </is>
      </c>
      <c r="B399" s="1" t="n">
        <v>45691</v>
      </c>
      <c r="C399" s="1" t="n">
        <v>46045</v>
      </c>
      <c r="D399" t="inlineStr">
        <is>
          <t>GOTLANDS LÄN</t>
        </is>
      </c>
      <c r="E399" t="inlineStr">
        <is>
          <t>GOTLAND</t>
        </is>
      </c>
      <c r="G399" t="n">
        <v>7.7</v>
      </c>
      <c r="H399" t="n">
        <v>0</v>
      </c>
      <c r="I399" t="n">
        <v>0</v>
      </c>
      <c r="J399" t="n">
        <v>0</v>
      </c>
      <c r="K399" t="n">
        <v>0</v>
      </c>
      <c r="L399" t="n">
        <v>0</v>
      </c>
      <c r="M399" t="n">
        <v>0</v>
      </c>
      <c r="N399" t="n">
        <v>0</v>
      </c>
      <c r="O399" t="n">
        <v>0</v>
      </c>
      <c r="P399" t="n">
        <v>0</v>
      </c>
      <c r="Q399" t="n">
        <v>0</v>
      </c>
      <c r="R399" s="2" t="inlineStr"/>
    </row>
    <row r="400" ht="15" customHeight="1">
      <c r="A400" t="inlineStr">
        <is>
          <t>A 46836-2025</t>
        </is>
      </c>
      <c r="B400" s="1" t="n">
        <v>45928.31511574074</v>
      </c>
      <c r="C400" s="1" t="n">
        <v>46045</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21389-2025</t>
        </is>
      </c>
      <c r="B401" s="1" t="n">
        <v>45782</v>
      </c>
      <c r="C401" s="1" t="n">
        <v>46045</v>
      </c>
      <c r="D401" t="inlineStr">
        <is>
          <t>GOTLANDS LÄN</t>
        </is>
      </c>
      <c r="E401" t="inlineStr">
        <is>
          <t>GOTLAND</t>
        </is>
      </c>
      <c r="G401" t="n">
        <v>4.1</v>
      </c>
      <c r="H401" t="n">
        <v>0</v>
      </c>
      <c r="I401" t="n">
        <v>0</v>
      </c>
      <c r="J401" t="n">
        <v>0</v>
      </c>
      <c r="K401" t="n">
        <v>0</v>
      </c>
      <c r="L401" t="n">
        <v>0</v>
      </c>
      <c r="M401" t="n">
        <v>0</v>
      </c>
      <c r="N401" t="n">
        <v>0</v>
      </c>
      <c r="O401" t="n">
        <v>0</v>
      </c>
      <c r="P401" t="n">
        <v>0</v>
      </c>
      <c r="Q401" t="n">
        <v>0</v>
      </c>
      <c r="R401" s="2" t="inlineStr"/>
    </row>
    <row r="402" ht="15" customHeight="1">
      <c r="A402" t="inlineStr">
        <is>
          <t>A 49315-2024</t>
        </is>
      </c>
      <c r="B402" s="1" t="n">
        <v>45595</v>
      </c>
      <c r="C402" s="1" t="n">
        <v>46045</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45106-2024</t>
        </is>
      </c>
      <c r="B403" s="1" t="n">
        <v>45575</v>
      </c>
      <c r="C403" s="1" t="n">
        <v>46045</v>
      </c>
      <c r="D403" t="inlineStr">
        <is>
          <t>GOTLANDS LÄN</t>
        </is>
      </c>
      <c r="E403" t="inlineStr">
        <is>
          <t>GOTLAND</t>
        </is>
      </c>
      <c r="G403" t="n">
        <v>10</v>
      </c>
      <c r="H403" t="n">
        <v>0</v>
      </c>
      <c r="I403" t="n">
        <v>0</v>
      </c>
      <c r="J403" t="n">
        <v>0</v>
      </c>
      <c r="K403" t="n">
        <v>0</v>
      </c>
      <c r="L403" t="n">
        <v>0</v>
      </c>
      <c r="M403" t="n">
        <v>0</v>
      </c>
      <c r="N403" t="n">
        <v>0</v>
      </c>
      <c r="O403" t="n">
        <v>0</v>
      </c>
      <c r="P403" t="n">
        <v>0</v>
      </c>
      <c r="Q403" t="n">
        <v>0</v>
      </c>
      <c r="R403" s="2" t="inlineStr"/>
    </row>
    <row r="404" ht="15" customHeight="1">
      <c r="A404" t="inlineStr">
        <is>
          <t>A 45112-2024</t>
        </is>
      </c>
      <c r="B404" s="1" t="n">
        <v>45575</v>
      </c>
      <c r="C404" s="1" t="n">
        <v>46045</v>
      </c>
      <c r="D404" t="inlineStr">
        <is>
          <t>GOTLANDS LÄN</t>
        </is>
      </c>
      <c r="E404" t="inlineStr">
        <is>
          <t>GOTLAND</t>
        </is>
      </c>
      <c r="G404" t="n">
        <v>5.1</v>
      </c>
      <c r="H404" t="n">
        <v>0</v>
      </c>
      <c r="I404" t="n">
        <v>0</v>
      </c>
      <c r="J404" t="n">
        <v>0</v>
      </c>
      <c r="K404" t="n">
        <v>0</v>
      </c>
      <c r="L404" t="n">
        <v>0</v>
      </c>
      <c r="M404" t="n">
        <v>0</v>
      </c>
      <c r="N404" t="n">
        <v>0</v>
      </c>
      <c r="O404" t="n">
        <v>0</v>
      </c>
      <c r="P404" t="n">
        <v>0</v>
      </c>
      <c r="Q404" t="n">
        <v>0</v>
      </c>
      <c r="R404" s="2" t="inlineStr"/>
    </row>
    <row r="405" ht="15" customHeight="1">
      <c r="A405" t="inlineStr">
        <is>
          <t>A 21651-2025</t>
        </is>
      </c>
      <c r="B405" s="1" t="n">
        <v>45783</v>
      </c>
      <c r="C405" s="1" t="n">
        <v>46045</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2676-2023</t>
        </is>
      </c>
      <c r="B406" s="1" t="n">
        <v>44944</v>
      </c>
      <c r="C406" s="1" t="n">
        <v>46045</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47637-2025</t>
        </is>
      </c>
      <c r="B407" s="1" t="n">
        <v>45931.49753472222</v>
      </c>
      <c r="C407" s="1" t="n">
        <v>46045</v>
      </c>
      <c r="D407" t="inlineStr">
        <is>
          <t>GOTLANDS LÄN</t>
        </is>
      </c>
      <c r="E407" t="inlineStr">
        <is>
          <t>GOTLAND</t>
        </is>
      </c>
      <c r="G407" t="n">
        <v>1.3</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46045</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32958-2021</t>
        </is>
      </c>
      <c r="B409" s="1" t="n">
        <v>44376</v>
      </c>
      <c r="C409" s="1" t="n">
        <v>46045</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5884-2025</t>
        </is>
      </c>
      <c r="B410" s="1" t="n">
        <v>45695.37482638889</v>
      </c>
      <c r="C410" s="1" t="n">
        <v>46045</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5897-2025</t>
        </is>
      </c>
      <c r="B411" s="1" t="n">
        <v>45695.39273148148</v>
      </c>
      <c r="C411" s="1" t="n">
        <v>46045</v>
      </c>
      <c r="D411" t="inlineStr">
        <is>
          <t>GOTLANDS LÄN</t>
        </is>
      </c>
      <c r="E411" t="inlineStr">
        <is>
          <t>GOTLAND</t>
        </is>
      </c>
      <c r="G411" t="n">
        <v>3.7</v>
      </c>
      <c r="H411" t="n">
        <v>0</v>
      </c>
      <c r="I411" t="n">
        <v>0</v>
      </c>
      <c r="J411" t="n">
        <v>0</v>
      </c>
      <c r="K411" t="n">
        <v>0</v>
      </c>
      <c r="L411" t="n">
        <v>0</v>
      </c>
      <c r="M411" t="n">
        <v>0</v>
      </c>
      <c r="N411" t="n">
        <v>0</v>
      </c>
      <c r="O411" t="n">
        <v>0</v>
      </c>
      <c r="P411" t="n">
        <v>0</v>
      </c>
      <c r="Q411" t="n">
        <v>0</v>
      </c>
      <c r="R411" s="2" t="inlineStr"/>
    </row>
    <row r="412" ht="15" customHeight="1">
      <c r="A412" t="inlineStr">
        <is>
          <t>A 3150-2025</t>
        </is>
      </c>
      <c r="B412" s="1" t="n">
        <v>45679.28974537037</v>
      </c>
      <c r="C412" s="1" t="n">
        <v>46045</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8484-2025</t>
        </is>
      </c>
      <c r="B413" s="1" t="n">
        <v>45709</v>
      </c>
      <c r="C413" s="1" t="n">
        <v>46045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32378-2025</t>
        </is>
      </c>
      <c r="B414" s="1" t="n">
        <v>45837</v>
      </c>
      <c r="C414" s="1" t="n">
        <v>46045</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7635-2025</t>
        </is>
      </c>
      <c r="B415" s="1" t="n">
        <v>45705</v>
      </c>
      <c r="C415" s="1" t="n">
        <v>46045</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7636-2025</t>
        </is>
      </c>
      <c r="B416" s="1" t="n">
        <v>45705.7687962963</v>
      </c>
      <c r="C416" s="1" t="n">
        <v>46045</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7639-2025</t>
        </is>
      </c>
      <c r="B417" s="1" t="n">
        <v>45705.77465277778</v>
      </c>
      <c r="C417" s="1" t="n">
        <v>46045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35550-2025</t>
        </is>
      </c>
      <c r="B418" s="1" t="n">
        <v>45856.49324074074</v>
      </c>
      <c r="C418" s="1" t="n">
        <v>46045</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20356-2022</t>
        </is>
      </c>
      <c r="B419" s="1" t="n">
        <v>44699</v>
      </c>
      <c r="C419" s="1" t="n">
        <v>46045</v>
      </c>
      <c r="D419" t="inlineStr">
        <is>
          <t>GOTLANDS LÄN</t>
        </is>
      </c>
      <c r="E419" t="inlineStr">
        <is>
          <t>GOTLAND</t>
        </is>
      </c>
      <c r="F419" t="inlineStr">
        <is>
          <t>Övriga Aktiebolag</t>
        </is>
      </c>
      <c r="G419" t="n">
        <v>4.4</v>
      </c>
      <c r="H419" t="n">
        <v>0</v>
      </c>
      <c r="I419" t="n">
        <v>0</v>
      </c>
      <c r="J419" t="n">
        <v>0</v>
      </c>
      <c r="K419" t="n">
        <v>0</v>
      </c>
      <c r="L419" t="n">
        <v>0</v>
      </c>
      <c r="M419" t="n">
        <v>0</v>
      </c>
      <c r="N419" t="n">
        <v>0</v>
      </c>
      <c r="O419" t="n">
        <v>0</v>
      </c>
      <c r="P419" t="n">
        <v>0</v>
      </c>
      <c r="Q419" t="n">
        <v>0</v>
      </c>
      <c r="R419" s="2" t="inlineStr"/>
    </row>
    <row r="420" ht="15" customHeight="1">
      <c r="A420" t="inlineStr">
        <is>
          <t>A 48734-2022</t>
        </is>
      </c>
      <c r="B420" s="1" t="n">
        <v>44855</v>
      </c>
      <c r="C420" s="1" t="n">
        <v>46045</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14141-2024</t>
        </is>
      </c>
      <c r="B421" s="1" t="n">
        <v>45392.85193287037</v>
      </c>
      <c r="C421" s="1" t="n">
        <v>46045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29809-2022</t>
        </is>
      </c>
      <c r="B422" s="1" t="n">
        <v>44755.8713425926</v>
      </c>
      <c r="C422" s="1" t="n">
        <v>46045</v>
      </c>
      <c r="D422" t="inlineStr">
        <is>
          <t>GOTLANDS LÄN</t>
        </is>
      </c>
      <c r="E422" t="inlineStr">
        <is>
          <t>GOTLAND</t>
        </is>
      </c>
      <c r="G422" t="n">
        <v>11.5</v>
      </c>
      <c r="H422" t="n">
        <v>0</v>
      </c>
      <c r="I422" t="n">
        <v>0</v>
      </c>
      <c r="J422" t="n">
        <v>0</v>
      </c>
      <c r="K422" t="n">
        <v>0</v>
      </c>
      <c r="L422" t="n">
        <v>0</v>
      </c>
      <c r="M422" t="n">
        <v>0</v>
      </c>
      <c r="N422" t="n">
        <v>0</v>
      </c>
      <c r="O422" t="n">
        <v>0</v>
      </c>
      <c r="P422" t="n">
        <v>0</v>
      </c>
      <c r="Q422" t="n">
        <v>0</v>
      </c>
      <c r="R422" s="2" t="inlineStr"/>
    </row>
    <row r="423" ht="15" customHeight="1">
      <c r="A423" t="inlineStr">
        <is>
          <t>A 57356-2023</t>
        </is>
      </c>
      <c r="B423" s="1" t="n">
        <v>45240</v>
      </c>
      <c r="C423" s="1" t="n">
        <v>46045</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10656-2024</t>
        </is>
      </c>
      <c r="B424" s="1" t="n">
        <v>45368</v>
      </c>
      <c r="C424" s="1" t="n">
        <v>46045</v>
      </c>
      <c r="D424" t="inlineStr">
        <is>
          <t>GOTLANDS LÄN</t>
        </is>
      </c>
      <c r="E424" t="inlineStr">
        <is>
          <t>GOTLAND</t>
        </is>
      </c>
      <c r="G424" t="n">
        <v>1.5</v>
      </c>
      <c r="H424" t="n">
        <v>0</v>
      </c>
      <c r="I424" t="n">
        <v>0</v>
      </c>
      <c r="J424" t="n">
        <v>0</v>
      </c>
      <c r="K424" t="n">
        <v>0</v>
      </c>
      <c r="L424" t="n">
        <v>0</v>
      </c>
      <c r="M424" t="n">
        <v>0</v>
      </c>
      <c r="N424" t="n">
        <v>0</v>
      </c>
      <c r="O424" t="n">
        <v>0</v>
      </c>
      <c r="P424" t="n">
        <v>0</v>
      </c>
      <c r="Q424" t="n">
        <v>0</v>
      </c>
      <c r="R424" s="2" t="inlineStr"/>
    </row>
    <row r="425" ht="15" customHeight="1">
      <c r="A425" t="inlineStr">
        <is>
          <t>A 47578-2025</t>
        </is>
      </c>
      <c r="B425" s="1" t="n">
        <v>45931</v>
      </c>
      <c r="C425" s="1" t="n">
        <v>46045</v>
      </c>
      <c r="D425" t="inlineStr">
        <is>
          <t>GOTLANDS LÄN</t>
        </is>
      </c>
      <c r="E425" t="inlineStr">
        <is>
          <t>GOTLAND</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28506-2023</t>
        </is>
      </c>
      <c r="B426" s="1" t="n">
        <v>45103</v>
      </c>
      <c r="C426" s="1" t="n">
        <v>46045</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21420-2024</t>
        </is>
      </c>
      <c r="B427" s="1" t="n">
        <v>45441.38293981482</v>
      </c>
      <c r="C427" s="1" t="n">
        <v>46045</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49724-2025</t>
        </is>
      </c>
      <c r="B428" s="1" t="n">
        <v>45939.83730324074</v>
      </c>
      <c r="C428" s="1" t="n">
        <v>46045</v>
      </c>
      <c r="D428" t="inlineStr">
        <is>
          <t>GOTLANDS LÄN</t>
        </is>
      </c>
      <c r="E428" t="inlineStr">
        <is>
          <t>GOTLAND</t>
        </is>
      </c>
      <c r="F428" t="inlineStr">
        <is>
          <t>Kyrkan</t>
        </is>
      </c>
      <c r="G428" t="n">
        <v>3.1</v>
      </c>
      <c r="H428" t="n">
        <v>0</v>
      </c>
      <c r="I428" t="n">
        <v>0</v>
      </c>
      <c r="J428" t="n">
        <v>0</v>
      </c>
      <c r="K428" t="n">
        <v>0</v>
      </c>
      <c r="L428" t="n">
        <v>0</v>
      </c>
      <c r="M428" t="n">
        <v>0</v>
      </c>
      <c r="N428" t="n">
        <v>0</v>
      </c>
      <c r="O428" t="n">
        <v>0</v>
      </c>
      <c r="P428" t="n">
        <v>0</v>
      </c>
      <c r="Q428" t="n">
        <v>0</v>
      </c>
      <c r="R428" s="2" t="inlineStr"/>
    </row>
    <row r="429" ht="15" customHeight="1">
      <c r="A429" t="inlineStr">
        <is>
          <t>A 49730-2025</t>
        </is>
      </c>
      <c r="B429" s="1" t="n">
        <v>45939.87613425926</v>
      </c>
      <c r="C429" s="1" t="n">
        <v>46045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23188-2025</t>
        </is>
      </c>
      <c r="B430" s="1" t="n">
        <v>45791</v>
      </c>
      <c r="C430" s="1" t="n">
        <v>46045</v>
      </c>
      <c r="D430" t="inlineStr">
        <is>
          <t>GOTLANDS LÄN</t>
        </is>
      </c>
      <c r="E430" t="inlineStr">
        <is>
          <t>GOTLAND</t>
        </is>
      </c>
      <c r="G430" t="n">
        <v>6.2</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46045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46045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49690-2025</t>
        </is>
      </c>
      <c r="B433" s="1" t="n">
        <v>45939.66730324074</v>
      </c>
      <c r="C433" s="1" t="n">
        <v>46045</v>
      </c>
      <c r="D433" t="inlineStr">
        <is>
          <t>GOTLANDS LÄN</t>
        </is>
      </c>
      <c r="E433" t="inlineStr">
        <is>
          <t>GOTLAND</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33011-2025</t>
        </is>
      </c>
      <c r="B434" s="1" t="n">
        <v>45840</v>
      </c>
      <c r="C434" s="1" t="n">
        <v>46045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50421-2025</t>
        </is>
      </c>
      <c r="B435" s="1" t="n">
        <v>45944.66049768519</v>
      </c>
      <c r="C435" s="1" t="n">
        <v>46045</v>
      </c>
      <c r="D435" t="inlineStr">
        <is>
          <t>GOTLANDS LÄN</t>
        </is>
      </c>
      <c r="E435" t="inlineStr">
        <is>
          <t>GOTLAND</t>
        </is>
      </c>
      <c r="G435" t="n">
        <v>3.9</v>
      </c>
      <c r="H435" t="n">
        <v>0</v>
      </c>
      <c r="I435" t="n">
        <v>0</v>
      </c>
      <c r="J435" t="n">
        <v>0</v>
      </c>
      <c r="K435" t="n">
        <v>0</v>
      </c>
      <c r="L435" t="n">
        <v>0</v>
      </c>
      <c r="M435" t="n">
        <v>0</v>
      </c>
      <c r="N435" t="n">
        <v>0</v>
      </c>
      <c r="O435" t="n">
        <v>0</v>
      </c>
      <c r="P435" t="n">
        <v>0</v>
      </c>
      <c r="Q435" t="n">
        <v>0</v>
      </c>
      <c r="R435" s="2" t="inlineStr"/>
    </row>
    <row r="436" ht="15" customHeight="1">
      <c r="A436" t="inlineStr">
        <is>
          <t>A 23473-2025</t>
        </is>
      </c>
      <c r="B436" s="1" t="n">
        <v>45792</v>
      </c>
      <c r="C436" s="1" t="n">
        <v>46045</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50431-2025</t>
        </is>
      </c>
      <c r="B437" s="1" t="n">
        <v>45944.68453703704</v>
      </c>
      <c r="C437" s="1" t="n">
        <v>46045</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17901-2023</t>
        </is>
      </c>
      <c r="B438" s="1" t="n">
        <v>45039</v>
      </c>
      <c r="C438" s="1" t="n">
        <v>46045</v>
      </c>
      <c r="D438" t="inlineStr">
        <is>
          <t>GOTLANDS LÄN</t>
        </is>
      </c>
      <c r="E438" t="inlineStr">
        <is>
          <t>GOTLAND</t>
        </is>
      </c>
      <c r="F438" t="inlineStr">
        <is>
          <t>Kyrkan</t>
        </is>
      </c>
      <c r="G438" t="n">
        <v>0.6</v>
      </c>
      <c r="H438" t="n">
        <v>0</v>
      </c>
      <c r="I438" t="n">
        <v>0</v>
      </c>
      <c r="J438" t="n">
        <v>0</v>
      </c>
      <c r="K438" t="n">
        <v>0</v>
      </c>
      <c r="L438" t="n">
        <v>0</v>
      </c>
      <c r="M438" t="n">
        <v>0</v>
      </c>
      <c r="N438" t="n">
        <v>0</v>
      </c>
      <c r="O438" t="n">
        <v>0</v>
      </c>
      <c r="P438" t="n">
        <v>0</v>
      </c>
      <c r="Q438" t="n">
        <v>0</v>
      </c>
      <c r="R438" s="2" t="inlineStr"/>
    </row>
    <row r="439" ht="15" customHeight="1">
      <c r="A439" t="inlineStr">
        <is>
          <t>A 50928-2025</t>
        </is>
      </c>
      <c r="B439" s="1" t="n">
        <v>45946.67896990741</v>
      </c>
      <c r="C439" s="1" t="n">
        <v>46045</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23856-2025</t>
        </is>
      </c>
      <c r="B440" s="1" t="n">
        <v>45793</v>
      </c>
      <c r="C440" s="1" t="n">
        <v>46045</v>
      </c>
      <c r="D440" t="inlineStr">
        <is>
          <t>GOTLANDS LÄN</t>
        </is>
      </c>
      <c r="E440" t="inlineStr">
        <is>
          <t>GOTLAND</t>
        </is>
      </c>
      <c r="G440" t="n">
        <v>4.4</v>
      </c>
      <c r="H440" t="n">
        <v>0</v>
      </c>
      <c r="I440" t="n">
        <v>0</v>
      </c>
      <c r="J440" t="n">
        <v>0</v>
      </c>
      <c r="K440" t="n">
        <v>0</v>
      </c>
      <c r="L440" t="n">
        <v>0</v>
      </c>
      <c r="M440" t="n">
        <v>0</v>
      </c>
      <c r="N440" t="n">
        <v>0</v>
      </c>
      <c r="O440" t="n">
        <v>0</v>
      </c>
      <c r="P440" t="n">
        <v>0</v>
      </c>
      <c r="Q440" t="n">
        <v>0</v>
      </c>
      <c r="R440" s="2" t="inlineStr"/>
    </row>
    <row r="441" ht="15" customHeight="1">
      <c r="A441" t="inlineStr">
        <is>
          <t>A 15073-2025</t>
        </is>
      </c>
      <c r="B441" s="1" t="n">
        <v>45743</v>
      </c>
      <c r="C441" s="1" t="n">
        <v>46045</v>
      </c>
      <c r="D441" t="inlineStr">
        <is>
          <t>GOTLANDS LÄN</t>
        </is>
      </c>
      <c r="E441" t="inlineStr">
        <is>
          <t>GOTLAND</t>
        </is>
      </c>
      <c r="G441" t="n">
        <v>12.1</v>
      </c>
      <c r="H441" t="n">
        <v>0</v>
      </c>
      <c r="I441" t="n">
        <v>0</v>
      </c>
      <c r="J441" t="n">
        <v>0</v>
      </c>
      <c r="K441" t="n">
        <v>0</v>
      </c>
      <c r="L441" t="n">
        <v>0</v>
      </c>
      <c r="M441" t="n">
        <v>0</v>
      </c>
      <c r="N441" t="n">
        <v>0</v>
      </c>
      <c r="O441" t="n">
        <v>0</v>
      </c>
      <c r="P441" t="n">
        <v>0</v>
      </c>
      <c r="Q441" t="n">
        <v>0</v>
      </c>
      <c r="R441" s="2" t="inlineStr"/>
    </row>
    <row r="442" ht="15" customHeight="1">
      <c r="A442" t="inlineStr">
        <is>
          <t>A 6749-2025</t>
        </is>
      </c>
      <c r="B442" s="1" t="n">
        <v>45700</v>
      </c>
      <c r="C442" s="1" t="n">
        <v>46045</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23698-2025</t>
        </is>
      </c>
      <c r="B443" s="1" t="n">
        <v>45793</v>
      </c>
      <c r="C443" s="1" t="n">
        <v>46045</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52892-2021</t>
        </is>
      </c>
      <c r="B444" s="1" t="n">
        <v>44467.49048611111</v>
      </c>
      <c r="C444" s="1" t="n">
        <v>46045</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51262-2025</t>
        </is>
      </c>
      <c r="B445" s="1" t="n">
        <v>45949.49872685185</v>
      </c>
      <c r="C445" s="1" t="n">
        <v>46045</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46396-2023</t>
        </is>
      </c>
      <c r="B446" s="1" t="n">
        <v>45197</v>
      </c>
      <c r="C446" s="1" t="n">
        <v>46045</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52249-2025</t>
        </is>
      </c>
      <c r="B447" s="1" t="n">
        <v>45953.48637731482</v>
      </c>
      <c r="C447" s="1" t="n">
        <v>46045</v>
      </c>
      <c r="D447" t="inlineStr">
        <is>
          <t>GOTLANDS LÄN</t>
        </is>
      </c>
      <c r="E447" t="inlineStr">
        <is>
          <t>GOTLAND</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5462-2025</t>
        </is>
      </c>
      <c r="B448" s="1" t="n">
        <v>45693.29331018519</v>
      </c>
      <c r="C448" s="1" t="n">
        <v>46045</v>
      </c>
      <c r="D448" t="inlineStr">
        <is>
          <t>GOTLANDS LÄN</t>
        </is>
      </c>
      <c r="E448" t="inlineStr">
        <is>
          <t>GOTLAND</t>
        </is>
      </c>
      <c r="G448" t="n">
        <v>2.6</v>
      </c>
      <c r="H448" t="n">
        <v>0</v>
      </c>
      <c r="I448" t="n">
        <v>0</v>
      </c>
      <c r="J448" t="n">
        <v>0</v>
      </c>
      <c r="K448" t="n">
        <v>0</v>
      </c>
      <c r="L448" t="n">
        <v>0</v>
      </c>
      <c r="M448" t="n">
        <v>0</v>
      </c>
      <c r="N448" t="n">
        <v>0</v>
      </c>
      <c r="O448" t="n">
        <v>0</v>
      </c>
      <c r="P448" t="n">
        <v>0</v>
      </c>
      <c r="Q448" t="n">
        <v>0</v>
      </c>
      <c r="R448" s="2" t="inlineStr"/>
    </row>
    <row r="449" ht="15" customHeight="1">
      <c r="A449" t="inlineStr">
        <is>
          <t>A 17724-2024</t>
        </is>
      </c>
      <c r="B449" s="1" t="n">
        <v>45418.55096064815</v>
      </c>
      <c r="C449" s="1" t="n">
        <v>46045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34312-2024</t>
        </is>
      </c>
      <c r="B450" s="1" t="n">
        <v>45524.69703703704</v>
      </c>
      <c r="C450" s="1" t="n">
        <v>46045</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52637-2025</t>
        </is>
      </c>
      <c r="B451" s="1" t="n">
        <v>45954.75099537037</v>
      </c>
      <c r="C451" s="1" t="n">
        <v>46045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25796-2025</t>
        </is>
      </c>
      <c r="B452" s="1" t="n">
        <v>45804.39543981481</v>
      </c>
      <c r="C452" s="1" t="n">
        <v>46045</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53569-2025</t>
        </is>
      </c>
      <c r="B453" s="1" t="n">
        <v>45960.41155092593</v>
      </c>
      <c r="C453" s="1" t="n">
        <v>46045</v>
      </c>
      <c r="D453" t="inlineStr">
        <is>
          <t>GOTLANDS LÄN</t>
        </is>
      </c>
      <c r="E453" t="inlineStr">
        <is>
          <t>GOTLAND</t>
        </is>
      </c>
      <c r="F453" t="inlineStr">
        <is>
          <t>Övriga Aktiebolag</t>
        </is>
      </c>
      <c r="G453" t="n">
        <v>11.3</v>
      </c>
      <c r="H453" t="n">
        <v>0</v>
      </c>
      <c r="I453" t="n">
        <v>0</v>
      </c>
      <c r="J453" t="n">
        <v>0</v>
      </c>
      <c r="K453" t="n">
        <v>0</v>
      </c>
      <c r="L453" t="n">
        <v>0</v>
      </c>
      <c r="M453" t="n">
        <v>0</v>
      </c>
      <c r="N453" t="n">
        <v>0</v>
      </c>
      <c r="O453" t="n">
        <v>0</v>
      </c>
      <c r="P453" t="n">
        <v>0</v>
      </c>
      <c r="Q453" t="n">
        <v>0</v>
      </c>
      <c r="R453" s="2" t="inlineStr"/>
    </row>
    <row r="454" ht="15" customHeight="1">
      <c r="A454" t="inlineStr">
        <is>
          <t>A 53577-2025</t>
        </is>
      </c>
      <c r="B454" s="1" t="n">
        <v>45960.42224537037</v>
      </c>
      <c r="C454" s="1" t="n">
        <v>46045</v>
      </c>
      <c r="D454" t="inlineStr">
        <is>
          <t>GOTLANDS LÄN</t>
        </is>
      </c>
      <c r="E454" t="inlineStr">
        <is>
          <t>GOTLAND</t>
        </is>
      </c>
      <c r="F454" t="inlineStr">
        <is>
          <t>Övriga Aktiebolag</t>
        </is>
      </c>
      <c r="G454" t="n">
        <v>3.3</v>
      </c>
      <c r="H454" t="n">
        <v>0</v>
      </c>
      <c r="I454" t="n">
        <v>0</v>
      </c>
      <c r="J454" t="n">
        <v>0</v>
      </c>
      <c r="K454" t="n">
        <v>0</v>
      </c>
      <c r="L454" t="n">
        <v>0</v>
      </c>
      <c r="M454" t="n">
        <v>0</v>
      </c>
      <c r="N454" t="n">
        <v>0</v>
      </c>
      <c r="O454" t="n">
        <v>0</v>
      </c>
      <c r="P454" t="n">
        <v>0</v>
      </c>
      <c r="Q454" t="n">
        <v>0</v>
      </c>
      <c r="R454" s="2" t="inlineStr"/>
    </row>
    <row r="455" ht="15" customHeight="1">
      <c r="A455" t="inlineStr">
        <is>
          <t>A 53587-2025</t>
        </is>
      </c>
      <c r="B455" s="1" t="n">
        <v>45960.43681712963</v>
      </c>
      <c r="C455" s="1" t="n">
        <v>46045</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62066-2025</t>
        </is>
      </c>
      <c r="B456" s="1" t="n">
        <v>46006.34738425926</v>
      </c>
      <c r="C456" s="1" t="n">
        <v>46045</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53561-2025</t>
        </is>
      </c>
      <c r="B457" s="1" t="n">
        <v>45960.4059375</v>
      </c>
      <c r="C457" s="1" t="n">
        <v>46045</v>
      </c>
      <c r="D457" t="inlineStr">
        <is>
          <t>GOTLANDS LÄN</t>
        </is>
      </c>
      <c r="E457" t="inlineStr">
        <is>
          <t>GOTLAND</t>
        </is>
      </c>
      <c r="F457" t="inlineStr">
        <is>
          <t>Övriga Aktiebolag</t>
        </is>
      </c>
      <c r="G457" t="n">
        <v>2.4</v>
      </c>
      <c r="H457" t="n">
        <v>0</v>
      </c>
      <c r="I457" t="n">
        <v>0</v>
      </c>
      <c r="J457" t="n">
        <v>0</v>
      </c>
      <c r="K457" t="n">
        <v>0</v>
      </c>
      <c r="L457" t="n">
        <v>0</v>
      </c>
      <c r="M457" t="n">
        <v>0</v>
      </c>
      <c r="N457" t="n">
        <v>0</v>
      </c>
      <c r="O457" t="n">
        <v>0</v>
      </c>
      <c r="P457" t="n">
        <v>0</v>
      </c>
      <c r="Q457" t="n">
        <v>0</v>
      </c>
      <c r="R457" s="2" t="inlineStr"/>
    </row>
    <row r="458" ht="15" customHeight="1">
      <c r="A458" t="inlineStr">
        <is>
          <t>A 69112-2021</t>
        </is>
      </c>
      <c r="B458" s="1" t="n">
        <v>44530</v>
      </c>
      <c r="C458" s="1" t="n">
        <v>46045</v>
      </c>
      <c r="D458" t="inlineStr">
        <is>
          <t>GOTLANDS LÄN</t>
        </is>
      </c>
      <c r="E458" t="inlineStr">
        <is>
          <t>GOTLAND</t>
        </is>
      </c>
      <c r="G458" t="n">
        <v>4.2</v>
      </c>
      <c r="H458" t="n">
        <v>0</v>
      </c>
      <c r="I458" t="n">
        <v>0</v>
      </c>
      <c r="J458" t="n">
        <v>0</v>
      </c>
      <c r="K458" t="n">
        <v>0</v>
      </c>
      <c r="L458" t="n">
        <v>0</v>
      </c>
      <c r="M458" t="n">
        <v>0</v>
      </c>
      <c r="N458" t="n">
        <v>0</v>
      </c>
      <c r="O458" t="n">
        <v>0</v>
      </c>
      <c r="P458" t="n">
        <v>0</v>
      </c>
      <c r="Q458" t="n">
        <v>0</v>
      </c>
      <c r="R458" s="2" t="inlineStr"/>
    </row>
    <row r="459" ht="15" customHeight="1">
      <c r="A459" t="inlineStr">
        <is>
          <t>A 7638-2025</t>
        </is>
      </c>
      <c r="B459" s="1" t="n">
        <v>45705.77306712963</v>
      </c>
      <c r="C459" s="1" t="n">
        <v>46045</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26457-2025</t>
        </is>
      </c>
      <c r="B460" s="1" t="n">
        <v>45807.42773148148</v>
      </c>
      <c r="C460" s="1" t="n">
        <v>46045</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26467-2025</t>
        </is>
      </c>
      <c r="B461" s="1" t="n">
        <v>45807.44640046296</v>
      </c>
      <c r="C461" s="1" t="n">
        <v>46045</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50482-2024</t>
        </is>
      </c>
      <c r="B462" s="1" t="n">
        <v>45601.48114583334</v>
      </c>
      <c r="C462" s="1" t="n">
        <v>46045</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26465-2025</t>
        </is>
      </c>
      <c r="B463" s="1" t="n">
        <v>45807.44377314814</v>
      </c>
      <c r="C463" s="1" t="n">
        <v>46045</v>
      </c>
      <c r="D463" t="inlineStr">
        <is>
          <t>GOTLANDS LÄN</t>
        </is>
      </c>
      <c r="E463" t="inlineStr">
        <is>
          <t>GOTLAND</t>
        </is>
      </c>
      <c r="G463" t="n">
        <v>4.5</v>
      </c>
      <c r="H463" t="n">
        <v>0</v>
      </c>
      <c r="I463" t="n">
        <v>0</v>
      </c>
      <c r="J463" t="n">
        <v>0</v>
      </c>
      <c r="K463" t="n">
        <v>0</v>
      </c>
      <c r="L463" t="n">
        <v>0</v>
      </c>
      <c r="M463" t="n">
        <v>0</v>
      </c>
      <c r="N463" t="n">
        <v>0</v>
      </c>
      <c r="O463" t="n">
        <v>0</v>
      </c>
      <c r="P463" t="n">
        <v>0</v>
      </c>
      <c r="Q463" t="n">
        <v>0</v>
      </c>
      <c r="R463" s="2" t="inlineStr"/>
    </row>
    <row r="464" ht="15" customHeight="1">
      <c r="A464" t="inlineStr">
        <is>
          <t>A 26660-2025</t>
        </is>
      </c>
      <c r="B464" s="1" t="n">
        <v>45810.39737268518</v>
      </c>
      <c r="C464" s="1" t="n">
        <v>46045</v>
      </c>
      <c r="D464" t="inlineStr">
        <is>
          <t>GOTLANDS LÄN</t>
        </is>
      </c>
      <c r="E464" t="inlineStr">
        <is>
          <t>GOTLAND</t>
        </is>
      </c>
      <c r="G464" t="n">
        <v>1.8</v>
      </c>
      <c r="H464" t="n">
        <v>0</v>
      </c>
      <c r="I464" t="n">
        <v>0</v>
      </c>
      <c r="J464" t="n">
        <v>0</v>
      </c>
      <c r="K464" t="n">
        <v>0</v>
      </c>
      <c r="L464" t="n">
        <v>0</v>
      </c>
      <c r="M464" t="n">
        <v>0</v>
      </c>
      <c r="N464" t="n">
        <v>0</v>
      </c>
      <c r="O464" t="n">
        <v>0</v>
      </c>
      <c r="P464" t="n">
        <v>0</v>
      </c>
      <c r="Q464" t="n">
        <v>0</v>
      </c>
      <c r="R464" s="2" t="inlineStr"/>
    </row>
    <row r="465" ht="15" customHeight="1">
      <c r="A465" t="inlineStr">
        <is>
          <t>A 1394-2023</t>
        </is>
      </c>
      <c r="B465" s="1" t="n">
        <v>44936.72997685185</v>
      </c>
      <c r="C465" s="1" t="n">
        <v>46045</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58230-2024</t>
        </is>
      </c>
      <c r="B466" s="1" t="n">
        <v>45632.51625</v>
      </c>
      <c r="C466" s="1" t="n">
        <v>46045</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1462-2025</t>
        </is>
      </c>
      <c r="B467" s="1" t="n">
        <v>45670.36319444444</v>
      </c>
      <c r="C467" s="1" t="n">
        <v>46045</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54584-2025</t>
        </is>
      </c>
      <c r="B468" s="1" t="n">
        <v>45965.71788194445</v>
      </c>
      <c r="C468" s="1" t="n">
        <v>46045</v>
      </c>
      <c r="D468" t="inlineStr">
        <is>
          <t>GOTLANDS LÄN</t>
        </is>
      </c>
      <c r="E468" t="inlineStr">
        <is>
          <t>GOTLAND</t>
        </is>
      </c>
      <c r="G468" t="n">
        <v>3.5</v>
      </c>
      <c r="H468" t="n">
        <v>0</v>
      </c>
      <c r="I468" t="n">
        <v>0</v>
      </c>
      <c r="J468" t="n">
        <v>0</v>
      </c>
      <c r="K468" t="n">
        <v>0</v>
      </c>
      <c r="L468" t="n">
        <v>0</v>
      </c>
      <c r="M468" t="n">
        <v>0</v>
      </c>
      <c r="N468" t="n">
        <v>0</v>
      </c>
      <c r="O468" t="n">
        <v>0</v>
      </c>
      <c r="P468" t="n">
        <v>0</v>
      </c>
      <c r="Q468" t="n">
        <v>0</v>
      </c>
      <c r="R468" s="2" t="inlineStr"/>
    </row>
    <row r="469" ht="15" customHeight="1">
      <c r="A469" t="inlineStr">
        <is>
          <t>A 27371-2025</t>
        </is>
      </c>
      <c r="B469" s="1" t="n">
        <v>45812</v>
      </c>
      <c r="C469" s="1" t="n">
        <v>46045</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27355-2025</t>
        </is>
      </c>
      <c r="B470" s="1" t="n">
        <v>45812</v>
      </c>
      <c r="C470" s="1" t="n">
        <v>46045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6739-2025</t>
        </is>
      </c>
      <c r="B471" s="1" t="n">
        <v>45700</v>
      </c>
      <c r="C471" s="1" t="n">
        <v>46045</v>
      </c>
      <c r="D471" t="inlineStr">
        <is>
          <t>GOTLANDS LÄN</t>
        </is>
      </c>
      <c r="E471" t="inlineStr">
        <is>
          <t>GOTLAND</t>
        </is>
      </c>
      <c r="G471" t="n">
        <v>4.5</v>
      </c>
      <c r="H471" t="n">
        <v>0</v>
      </c>
      <c r="I471" t="n">
        <v>0</v>
      </c>
      <c r="J471" t="n">
        <v>0</v>
      </c>
      <c r="K471" t="n">
        <v>0</v>
      </c>
      <c r="L471" t="n">
        <v>0</v>
      </c>
      <c r="M471" t="n">
        <v>0</v>
      </c>
      <c r="N471" t="n">
        <v>0</v>
      </c>
      <c r="O471" t="n">
        <v>0</v>
      </c>
      <c r="P471" t="n">
        <v>0</v>
      </c>
      <c r="Q471" t="n">
        <v>0</v>
      </c>
      <c r="R471" s="2" t="inlineStr"/>
    </row>
    <row r="472" ht="15" customHeight="1">
      <c r="A472" t="inlineStr">
        <is>
          <t>A 7850-2025</t>
        </is>
      </c>
      <c r="B472" s="1" t="n">
        <v>45706</v>
      </c>
      <c r="C472" s="1" t="n">
        <v>46045</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8444-2025</t>
        </is>
      </c>
      <c r="B473" s="1" t="n">
        <v>45709</v>
      </c>
      <c r="C473" s="1" t="n">
        <v>46045</v>
      </c>
      <c r="D473" t="inlineStr">
        <is>
          <t>GOTLANDS LÄN</t>
        </is>
      </c>
      <c r="E473" t="inlineStr">
        <is>
          <t>GOTLAND</t>
        </is>
      </c>
      <c r="G473" t="n">
        <v>5.2</v>
      </c>
      <c r="H473" t="n">
        <v>0</v>
      </c>
      <c r="I473" t="n">
        <v>0</v>
      </c>
      <c r="J473" t="n">
        <v>0</v>
      </c>
      <c r="K473" t="n">
        <v>0</v>
      </c>
      <c r="L473" t="n">
        <v>0</v>
      </c>
      <c r="M473" t="n">
        <v>0</v>
      </c>
      <c r="N473" t="n">
        <v>0</v>
      </c>
      <c r="O473" t="n">
        <v>0</v>
      </c>
      <c r="P473" t="n">
        <v>0</v>
      </c>
      <c r="Q473" t="n">
        <v>0</v>
      </c>
      <c r="R473" s="2" t="inlineStr"/>
    </row>
    <row r="474" ht="15" customHeight="1">
      <c r="A474" t="inlineStr">
        <is>
          <t>A 63002-2025</t>
        </is>
      </c>
      <c r="B474" s="1" t="n">
        <v>46009.56564814815</v>
      </c>
      <c r="C474" s="1" t="n">
        <v>46045</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46045</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46045</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46045</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19905-2025</t>
        </is>
      </c>
      <c r="B478" s="1" t="n">
        <v>45771</v>
      </c>
      <c r="C478" s="1" t="n">
        <v>46045</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7026-2023</t>
        </is>
      </c>
      <c r="B479" s="1" t="n">
        <v>44968.30340277778</v>
      </c>
      <c r="C479" s="1" t="n">
        <v>46045</v>
      </c>
      <c r="D479" t="inlineStr">
        <is>
          <t>GOTLANDS LÄN</t>
        </is>
      </c>
      <c r="E479" t="inlineStr">
        <is>
          <t>GOTLAND</t>
        </is>
      </c>
      <c r="G479" t="n">
        <v>2.9</v>
      </c>
      <c r="H479" t="n">
        <v>0</v>
      </c>
      <c r="I479" t="n">
        <v>0</v>
      </c>
      <c r="J479" t="n">
        <v>0</v>
      </c>
      <c r="K479" t="n">
        <v>0</v>
      </c>
      <c r="L479" t="n">
        <v>0</v>
      </c>
      <c r="M479" t="n">
        <v>0</v>
      </c>
      <c r="N479" t="n">
        <v>0</v>
      </c>
      <c r="O479" t="n">
        <v>0</v>
      </c>
      <c r="P479" t="n">
        <v>0</v>
      </c>
      <c r="Q479" t="n">
        <v>0</v>
      </c>
      <c r="R479" s="2" t="inlineStr"/>
    </row>
    <row r="480" ht="15" customHeight="1">
      <c r="A480" t="inlineStr">
        <is>
          <t>A 20855-2023</t>
        </is>
      </c>
      <c r="B480" s="1" t="n">
        <v>45058.82172453704</v>
      </c>
      <c r="C480" s="1" t="n">
        <v>46045</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29196-2025</t>
        </is>
      </c>
      <c r="B481" s="1" t="n">
        <v>45822</v>
      </c>
      <c r="C481" s="1" t="n">
        <v>46045</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29207-2025</t>
        </is>
      </c>
      <c r="B482" s="1" t="n">
        <v>45823</v>
      </c>
      <c r="C482" s="1" t="n">
        <v>46045</v>
      </c>
      <c r="D482" t="inlineStr">
        <is>
          <t>GOTLANDS LÄN</t>
        </is>
      </c>
      <c r="E482" t="inlineStr">
        <is>
          <t>GOTLAND</t>
        </is>
      </c>
      <c r="G482" t="n">
        <v>1.9</v>
      </c>
      <c r="H482" t="n">
        <v>0</v>
      </c>
      <c r="I482" t="n">
        <v>0</v>
      </c>
      <c r="J482" t="n">
        <v>0</v>
      </c>
      <c r="K482" t="n">
        <v>0</v>
      </c>
      <c r="L482" t="n">
        <v>0</v>
      </c>
      <c r="M482" t="n">
        <v>0</v>
      </c>
      <c r="N482" t="n">
        <v>0</v>
      </c>
      <c r="O482" t="n">
        <v>0</v>
      </c>
      <c r="P482" t="n">
        <v>0</v>
      </c>
      <c r="Q482" t="n">
        <v>0</v>
      </c>
      <c r="R482" s="2" t="inlineStr"/>
    </row>
    <row r="483" ht="15" customHeight="1">
      <c r="A483" t="inlineStr">
        <is>
          <t>A 1000-2024</t>
        </is>
      </c>
      <c r="B483" s="1" t="n">
        <v>45301.63371527778</v>
      </c>
      <c r="C483" s="1" t="n">
        <v>46045</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1010-2024</t>
        </is>
      </c>
      <c r="B484" s="1" t="n">
        <v>45301</v>
      </c>
      <c r="C484" s="1" t="n">
        <v>46045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56799-2025</t>
        </is>
      </c>
      <c r="B485" s="1" t="n">
        <v>45978.43392361111</v>
      </c>
      <c r="C485" s="1" t="n">
        <v>46045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46045</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56688-2025</t>
        </is>
      </c>
      <c r="B487" s="1" t="n">
        <v>45975.84331018518</v>
      </c>
      <c r="C487" s="1" t="n">
        <v>46045</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30061-2025</t>
        </is>
      </c>
      <c r="B488" s="1" t="n">
        <v>45826.61488425926</v>
      </c>
      <c r="C488" s="1" t="n">
        <v>46045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46045</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46045</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46045</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46045</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58160-2024</t>
        </is>
      </c>
      <c r="B493" s="1" t="n">
        <v>45632.44927083333</v>
      </c>
      <c r="C493" s="1" t="n">
        <v>46045</v>
      </c>
      <c r="D493" t="inlineStr">
        <is>
          <t>GOTLANDS LÄN</t>
        </is>
      </c>
      <c r="E493" t="inlineStr">
        <is>
          <t>GOTLAND</t>
        </is>
      </c>
      <c r="G493" t="n">
        <v>5.6</v>
      </c>
      <c r="H493" t="n">
        <v>0</v>
      </c>
      <c r="I493" t="n">
        <v>0</v>
      </c>
      <c r="J493" t="n">
        <v>0</v>
      </c>
      <c r="K493" t="n">
        <v>0</v>
      </c>
      <c r="L493" t="n">
        <v>0</v>
      </c>
      <c r="M493" t="n">
        <v>0</v>
      </c>
      <c r="N493" t="n">
        <v>0</v>
      </c>
      <c r="O493" t="n">
        <v>0</v>
      </c>
      <c r="P493" t="n">
        <v>0</v>
      </c>
      <c r="Q493" t="n">
        <v>0</v>
      </c>
      <c r="R493" s="2" t="inlineStr"/>
    </row>
    <row r="494" ht="15" customHeight="1">
      <c r="A494" t="inlineStr">
        <is>
          <t>A 62915-2021</t>
        </is>
      </c>
      <c r="B494" s="1" t="n">
        <v>44504</v>
      </c>
      <c r="C494" s="1" t="n">
        <v>46045</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44949-2023</t>
        </is>
      </c>
      <c r="B495" s="1" t="n">
        <v>45190.69520833333</v>
      </c>
      <c r="C495" s="1" t="n">
        <v>46045</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36-2026</t>
        </is>
      </c>
      <c r="B496" s="1" t="n">
        <v>46024.38886574074</v>
      </c>
      <c r="C496" s="1" t="n">
        <v>46045</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37222-2021</t>
        </is>
      </c>
      <c r="B497" s="1" t="n">
        <v>44396</v>
      </c>
      <c r="C497" s="1" t="n">
        <v>46045</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3964-2024</t>
        </is>
      </c>
      <c r="B498" s="1" t="n">
        <v>45322</v>
      </c>
      <c r="C498" s="1" t="n">
        <v>46045</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32379-2025</t>
        </is>
      </c>
      <c r="B499" s="1" t="n">
        <v>45837</v>
      </c>
      <c r="C499" s="1" t="n">
        <v>46045</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45084-2024</t>
        </is>
      </c>
      <c r="B500" s="1" t="n">
        <v>45575</v>
      </c>
      <c r="C500" s="1" t="n">
        <v>46045</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32467-2025</t>
        </is>
      </c>
      <c r="B501" s="1" t="n">
        <v>45838.42111111111</v>
      </c>
      <c r="C501" s="1" t="n">
        <v>46045</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16109-2025</t>
        </is>
      </c>
      <c r="B502" s="1" t="n">
        <v>45750</v>
      </c>
      <c r="C502" s="1" t="n">
        <v>46045</v>
      </c>
      <c r="D502" t="inlineStr">
        <is>
          <t>GOTLANDS LÄN</t>
        </is>
      </c>
      <c r="E502" t="inlineStr">
        <is>
          <t>GOTLAND</t>
        </is>
      </c>
      <c r="G502" t="n">
        <v>4.9</v>
      </c>
      <c r="H502" t="n">
        <v>0</v>
      </c>
      <c r="I502" t="n">
        <v>0</v>
      </c>
      <c r="J502" t="n">
        <v>0</v>
      </c>
      <c r="K502" t="n">
        <v>0</v>
      </c>
      <c r="L502" t="n">
        <v>0</v>
      </c>
      <c r="M502" t="n">
        <v>0</v>
      </c>
      <c r="N502" t="n">
        <v>0</v>
      </c>
      <c r="O502" t="n">
        <v>0</v>
      </c>
      <c r="P502" t="n">
        <v>0</v>
      </c>
      <c r="Q502" t="n">
        <v>0</v>
      </c>
      <c r="R502" s="2" t="inlineStr"/>
    </row>
    <row r="503" ht="15" customHeight="1">
      <c r="A503" t="inlineStr">
        <is>
          <t>A 33007-2025</t>
        </is>
      </c>
      <c r="B503" s="1" t="n">
        <v>45840</v>
      </c>
      <c r="C503" s="1" t="n">
        <v>46045</v>
      </c>
      <c r="D503" t="inlineStr">
        <is>
          <t>GOTLANDS LÄN</t>
        </is>
      </c>
      <c r="E503" t="inlineStr">
        <is>
          <t>GOTLAND</t>
        </is>
      </c>
      <c r="G503" t="n">
        <v>4.9</v>
      </c>
      <c r="H503" t="n">
        <v>0</v>
      </c>
      <c r="I503" t="n">
        <v>0</v>
      </c>
      <c r="J503" t="n">
        <v>0</v>
      </c>
      <c r="K503" t="n">
        <v>0</v>
      </c>
      <c r="L503" t="n">
        <v>0</v>
      </c>
      <c r="M503" t="n">
        <v>0</v>
      </c>
      <c r="N503" t="n">
        <v>0</v>
      </c>
      <c r="O503" t="n">
        <v>0</v>
      </c>
      <c r="P503" t="n">
        <v>0</v>
      </c>
      <c r="Q503" t="n">
        <v>0</v>
      </c>
      <c r="R503" s="2" t="inlineStr"/>
    </row>
    <row r="504" ht="15" customHeight="1">
      <c r="A504" t="inlineStr">
        <is>
          <t>A 59197-2025</t>
        </is>
      </c>
      <c r="B504" s="1" t="n">
        <v>45988.59846064815</v>
      </c>
      <c r="C504" s="1" t="n">
        <v>46045</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1355-2026</t>
        </is>
      </c>
      <c r="B505" s="1" t="n">
        <v>46031.59909722222</v>
      </c>
      <c r="C505" s="1" t="n">
        <v>46045</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v>
      </c>
      <c r="C506" s="1" t="n">
        <v>46045</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5217-2023</t>
        </is>
      </c>
      <c r="B507" s="1" t="n">
        <v>44959.39582175926</v>
      </c>
      <c r="C507" s="1" t="n">
        <v>46045</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2415-2026</t>
        </is>
      </c>
      <c r="B508" s="1" t="n">
        <v>46036.76203703704</v>
      </c>
      <c r="C508" s="1" t="n">
        <v>46045</v>
      </c>
      <c r="D508" t="inlineStr">
        <is>
          <t>GOTLANDS LÄN</t>
        </is>
      </c>
      <c r="E508" t="inlineStr">
        <is>
          <t>GOTLAND</t>
        </is>
      </c>
      <c r="G508" t="n">
        <v>6.9</v>
      </c>
      <c r="H508" t="n">
        <v>0</v>
      </c>
      <c r="I508" t="n">
        <v>0</v>
      </c>
      <c r="J508" t="n">
        <v>0</v>
      </c>
      <c r="K508" t="n">
        <v>0</v>
      </c>
      <c r="L508" t="n">
        <v>0</v>
      </c>
      <c r="M508" t="n">
        <v>0</v>
      </c>
      <c r="N508" t="n">
        <v>0</v>
      </c>
      <c r="O508" t="n">
        <v>0</v>
      </c>
      <c r="P508" t="n">
        <v>0</v>
      </c>
      <c r="Q508" t="n">
        <v>0</v>
      </c>
      <c r="R508" s="2" t="inlineStr"/>
    </row>
    <row r="509" ht="15" customHeight="1">
      <c r="A509" t="inlineStr">
        <is>
          <t>A 63105-2025</t>
        </is>
      </c>
      <c r="B509" s="1" t="n">
        <v>46009</v>
      </c>
      <c r="C509" s="1" t="n">
        <v>46045</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15413-2025</t>
        </is>
      </c>
      <c r="B510" s="1" t="n">
        <v>45747.451875</v>
      </c>
      <c r="C510" s="1" t="n">
        <v>46045</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36319-2025</t>
        </is>
      </c>
      <c r="B511" s="1" t="n">
        <v>45868</v>
      </c>
      <c r="C511" s="1" t="n">
        <v>46045</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1839-2026</t>
        </is>
      </c>
      <c r="B512" s="1" t="n">
        <v>46035.3942824074</v>
      </c>
      <c r="C512" s="1" t="n">
        <v>46045</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1854-2026</t>
        </is>
      </c>
      <c r="B513" s="1" t="n">
        <v>46035.4171875</v>
      </c>
      <c r="C513" s="1" t="n">
        <v>46045</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35123-2025</t>
        </is>
      </c>
      <c r="B514" s="1" t="n">
        <v>45852.614375</v>
      </c>
      <c r="C514" s="1" t="n">
        <v>46045</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62103-2025</t>
        </is>
      </c>
      <c r="B515" s="1" t="n">
        <v>46006</v>
      </c>
      <c r="C515" s="1" t="n">
        <v>46045</v>
      </c>
      <c r="D515" t="inlineStr">
        <is>
          <t>GOTLANDS LÄN</t>
        </is>
      </c>
      <c r="E515" t="inlineStr">
        <is>
          <t>GOTLAND</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38649-2025</t>
        </is>
      </c>
      <c r="B516" s="1" t="n">
        <v>45884</v>
      </c>
      <c r="C516" s="1" t="n">
        <v>46045</v>
      </c>
      <c r="D516" t="inlineStr">
        <is>
          <t>GOTLANDS LÄN</t>
        </is>
      </c>
      <c r="E516" t="inlineStr">
        <is>
          <t>GOTLAND</t>
        </is>
      </c>
      <c r="G516" t="n">
        <v>1.5</v>
      </c>
      <c r="H516" t="n">
        <v>0</v>
      </c>
      <c r="I516" t="n">
        <v>0</v>
      </c>
      <c r="J516" t="n">
        <v>0</v>
      </c>
      <c r="K516" t="n">
        <v>0</v>
      </c>
      <c r="L516" t="n">
        <v>0</v>
      </c>
      <c r="M516" t="n">
        <v>0</v>
      </c>
      <c r="N516" t="n">
        <v>0</v>
      </c>
      <c r="O516" t="n">
        <v>0</v>
      </c>
      <c r="P516" t="n">
        <v>0</v>
      </c>
      <c r="Q516" t="n">
        <v>0</v>
      </c>
      <c r="R516" s="2" t="inlineStr"/>
    </row>
    <row r="517" ht="15" customHeight="1">
      <c r="A517" t="inlineStr">
        <is>
          <t>A 35096-2025</t>
        </is>
      </c>
      <c r="B517" s="1" t="n">
        <v>45852.54356481481</v>
      </c>
      <c r="C517" s="1" t="n">
        <v>46045</v>
      </c>
      <c r="D517" t="inlineStr">
        <is>
          <t>GOTLANDS LÄN</t>
        </is>
      </c>
      <c r="E517" t="inlineStr">
        <is>
          <t>GOTLAND</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63152-2025</t>
        </is>
      </c>
      <c r="B518" s="1" t="n">
        <v>46010</v>
      </c>
      <c r="C518" s="1" t="n">
        <v>46045</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2135-2026</t>
        </is>
      </c>
      <c r="B519" s="1" t="n">
        <v>46036</v>
      </c>
      <c r="C519" s="1" t="n">
        <v>46045</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62674-2025</t>
        </is>
      </c>
      <c r="B520" s="1" t="n">
        <v>46008</v>
      </c>
      <c r="C520" s="1" t="n">
        <v>46045</v>
      </c>
      <c r="D520" t="inlineStr">
        <is>
          <t>GOTLANDS LÄN</t>
        </is>
      </c>
      <c r="E520" t="inlineStr">
        <is>
          <t>GOTLAND</t>
        </is>
      </c>
      <c r="G520" t="n">
        <v>5</v>
      </c>
      <c r="H520" t="n">
        <v>0</v>
      </c>
      <c r="I520" t="n">
        <v>0</v>
      </c>
      <c r="J520" t="n">
        <v>0</v>
      </c>
      <c r="K520" t="n">
        <v>0</v>
      </c>
      <c r="L520" t="n">
        <v>0</v>
      </c>
      <c r="M520" t="n">
        <v>0</v>
      </c>
      <c r="N520" t="n">
        <v>0</v>
      </c>
      <c r="O520" t="n">
        <v>0</v>
      </c>
      <c r="P520" t="n">
        <v>0</v>
      </c>
      <c r="Q520" t="n">
        <v>0</v>
      </c>
      <c r="R520" s="2" t="inlineStr"/>
    </row>
    <row r="521" ht="15" customHeight="1">
      <c r="A521" t="inlineStr">
        <is>
          <t>A 2134-2026</t>
        </is>
      </c>
      <c r="B521" s="1" t="n">
        <v>46036</v>
      </c>
      <c r="C521" s="1" t="n">
        <v>46045</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30104-2025</t>
        </is>
      </c>
      <c r="B522" s="1" t="n">
        <v>45826.68806712963</v>
      </c>
      <c r="C522" s="1" t="n">
        <v>46045</v>
      </c>
      <c r="D522" t="inlineStr">
        <is>
          <t>GOTLANDS LÄN</t>
        </is>
      </c>
      <c r="E522" t="inlineStr">
        <is>
          <t>GOTLAND</t>
        </is>
      </c>
      <c r="G522" t="n">
        <v>15.4</v>
      </c>
      <c r="H522" t="n">
        <v>0</v>
      </c>
      <c r="I522" t="n">
        <v>0</v>
      </c>
      <c r="J522" t="n">
        <v>0</v>
      </c>
      <c r="K522" t="n">
        <v>0</v>
      </c>
      <c r="L522" t="n">
        <v>0</v>
      </c>
      <c r="M522" t="n">
        <v>0</v>
      </c>
      <c r="N522" t="n">
        <v>0</v>
      </c>
      <c r="O522" t="n">
        <v>0</v>
      </c>
      <c r="P522" t="n">
        <v>0</v>
      </c>
      <c r="Q522" t="n">
        <v>0</v>
      </c>
      <c r="R522" s="2" t="inlineStr"/>
    </row>
    <row r="523" ht="15" customHeight="1">
      <c r="A523" t="inlineStr">
        <is>
          <t>A 1898-2026</t>
        </is>
      </c>
      <c r="B523" s="1" t="n">
        <v>46035.52024305556</v>
      </c>
      <c r="C523" s="1" t="n">
        <v>46045</v>
      </c>
      <c r="D523" t="inlineStr">
        <is>
          <t>GOTLANDS LÄN</t>
        </is>
      </c>
      <c r="E523" t="inlineStr">
        <is>
          <t>GOTLAND</t>
        </is>
      </c>
      <c r="G523" t="n">
        <v>3.7</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46045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35290-2025</t>
        </is>
      </c>
      <c r="B525" s="1" t="n">
        <v>45854.38502314815</v>
      </c>
      <c r="C525" s="1" t="n">
        <v>46045</v>
      </c>
      <c r="D525" t="inlineStr">
        <is>
          <t>GOTLANDS LÄN</t>
        </is>
      </c>
      <c r="E525" t="inlineStr">
        <is>
          <t>GOTLAND</t>
        </is>
      </c>
      <c r="G525" t="n">
        <v>5.4</v>
      </c>
      <c r="H525" t="n">
        <v>0</v>
      </c>
      <c r="I525" t="n">
        <v>0</v>
      </c>
      <c r="J525" t="n">
        <v>0</v>
      </c>
      <c r="K525" t="n">
        <v>0</v>
      </c>
      <c r="L525" t="n">
        <v>0</v>
      </c>
      <c r="M525" t="n">
        <v>0</v>
      </c>
      <c r="N525" t="n">
        <v>0</v>
      </c>
      <c r="O525" t="n">
        <v>0</v>
      </c>
      <c r="P525" t="n">
        <v>0</v>
      </c>
      <c r="Q525" t="n">
        <v>0</v>
      </c>
      <c r="R525" s="2" t="inlineStr"/>
    </row>
    <row r="526" ht="15" customHeight="1">
      <c r="A526" t="inlineStr">
        <is>
          <t>A 32669-2024</t>
        </is>
      </c>
      <c r="B526" s="1" t="n">
        <v>45514</v>
      </c>
      <c r="C526" s="1" t="n">
        <v>46045</v>
      </c>
      <c r="D526" t="inlineStr">
        <is>
          <t>GOTLANDS LÄN</t>
        </is>
      </c>
      <c r="E526" t="inlineStr">
        <is>
          <t>GOTLAND</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35537-2025</t>
        </is>
      </c>
      <c r="B527" s="1" t="n">
        <v>45856</v>
      </c>
      <c r="C527" s="1" t="n">
        <v>46045</v>
      </c>
      <c r="D527" t="inlineStr">
        <is>
          <t>GOTLANDS LÄN</t>
        </is>
      </c>
      <c r="E527" t="inlineStr">
        <is>
          <t>GOTLAND</t>
        </is>
      </c>
      <c r="G527" t="n">
        <v>16.8</v>
      </c>
      <c r="H527" t="n">
        <v>0</v>
      </c>
      <c r="I527" t="n">
        <v>0</v>
      </c>
      <c r="J527" t="n">
        <v>0</v>
      </c>
      <c r="K527" t="n">
        <v>0</v>
      </c>
      <c r="L527" t="n">
        <v>0</v>
      </c>
      <c r="M527" t="n">
        <v>0</v>
      </c>
      <c r="N527" t="n">
        <v>0</v>
      </c>
      <c r="O527" t="n">
        <v>0</v>
      </c>
      <c r="P527" t="n">
        <v>0</v>
      </c>
      <c r="Q527" t="n">
        <v>0</v>
      </c>
      <c r="R527" s="2" t="inlineStr"/>
    </row>
    <row r="528" ht="15" customHeight="1">
      <c r="A528" t="inlineStr">
        <is>
          <t>A 62754-2025</t>
        </is>
      </c>
      <c r="B528" s="1" t="n">
        <v>46008</v>
      </c>
      <c r="C528" s="1" t="n">
        <v>46045</v>
      </c>
      <c r="D528" t="inlineStr">
        <is>
          <t>GOTLANDS LÄN</t>
        </is>
      </c>
      <c r="E528" t="inlineStr">
        <is>
          <t>GOTLAND</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60384-2025</t>
        </is>
      </c>
      <c r="B529" s="1" t="n">
        <v>45995</v>
      </c>
      <c r="C529" s="1" t="n">
        <v>46045</v>
      </c>
      <c r="D529" t="inlineStr">
        <is>
          <t>GOTLANDS LÄN</t>
        </is>
      </c>
      <c r="E529" t="inlineStr">
        <is>
          <t>GOTLAND</t>
        </is>
      </c>
      <c r="G529" t="n">
        <v>2.5</v>
      </c>
      <c r="H529" t="n">
        <v>0</v>
      </c>
      <c r="I529" t="n">
        <v>0</v>
      </c>
      <c r="J529" t="n">
        <v>0</v>
      </c>
      <c r="K529" t="n">
        <v>0</v>
      </c>
      <c r="L529" t="n">
        <v>0</v>
      </c>
      <c r="M529" t="n">
        <v>0</v>
      </c>
      <c r="N529" t="n">
        <v>0</v>
      </c>
      <c r="O529" t="n">
        <v>0</v>
      </c>
      <c r="P529" t="n">
        <v>0</v>
      </c>
      <c r="Q529" t="n">
        <v>0</v>
      </c>
      <c r="R529" s="2" t="inlineStr"/>
    </row>
    <row r="530" ht="15" customHeight="1">
      <c r="A530" t="inlineStr">
        <is>
          <t>A 63000-2025</t>
        </is>
      </c>
      <c r="B530" s="1" t="n">
        <v>46009</v>
      </c>
      <c r="C530" s="1" t="n">
        <v>46045</v>
      </c>
      <c r="D530" t="inlineStr">
        <is>
          <t>GOTLANDS LÄN</t>
        </is>
      </c>
      <c r="E530" t="inlineStr">
        <is>
          <t>GOTLAND</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45244-2024</t>
        </is>
      </c>
      <c r="B531" s="1" t="n">
        <v>45576</v>
      </c>
      <c r="C531" s="1" t="n">
        <v>46045</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15216-2025</t>
        </is>
      </c>
      <c r="B532" s="1" t="n">
        <v>45744</v>
      </c>
      <c r="C532" s="1" t="n">
        <v>46045</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46045</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15001-2025</t>
        </is>
      </c>
      <c r="B534" s="1" t="n">
        <v>45743</v>
      </c>
      <c r="C534" s="1" t="n">
        <v>46045</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30488-2025</t>
        </is>
      </c>
      <c r="B535" s="1" t="n">
        <v>45830</v>
      </c>
      <c r="C535" s="1" t="n">
        <v>46045</v>
      </c>
      <c r="D535" t="inlineStr">
        <is>
          <t>GOTLANDS LÄN</t>
        </is>
      </c>
      <c r="E535" t="inlineStr">
        <is>
          <t>GOTLAND</t>
        </is>
      </c>
      <c r="F535" t="inlineStr">
        <is>
          <t>Kyrkan</t>
        </is>
      </c>
      <c r="G535" t="n">
        <v>3.9</v>
      </c>
      <c r="H535" t="n">
        <v>0</v>
      </c>
      <c r="I535" t="n">
        <v>0</v>
      </c>
      <c r="J535" t="n">
        <v>0</v>
      </c>
      <c r="K535" t="n">
        <v>0</v>
      </c>
      <c r="L535" t="n">
        <v>0</v>
      </c>
      <c r="M535" t="n">
        <v>0</v>
      </c>
      <c r="N535" t="n">
        <v>0</v>
      </c>
      <c r="O535" t="n">
        <v>0</v>
      </c>
      <c r="P535" t="n">
        <v>0</v>
      </c>
      <c r="Q535" t="n">
        <v>0</v>
      </c>
      <c r="R535" s="2" t="inlineStr"/>
    </row>
    <row r="536" ht="15" customHeight="1">
      <c r="A536" t="inlineStr">
        <is>
          <t>A 17847-2025</t>
        </is>
      </c>
      <c r="B536" s="1" t="n">
        <v>45758</v>
      </c>
      <c r="C536" s="1" t="n">
        <v>46045</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46045</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61080-2025</t>
        </is>
      </c>
      <c r="B538" s="1" t="n">
        <v>46000</v>
      </c>
      <c r="C538" s="1" t="n">
        <v>46045</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35129-2025</t>
        </is>
      </c>
      <c r="B539" s="1" t="n">
        <v>45852.63224537037</v>
      </c>
      <c r="C539" s="1" t="n">
        <v>46045</v>
      </c>
      <c r="D539" t="inlineStr">
        <is>
          <t>GOTLANDS LÄN</t>
        </is>
      </c>
      <c r="E539" t="inlineStr">
        <is>
          <t>GOTLAND</t>
        </is>
      </c>
      <c r="G539" t="n">
        <v>3.2</v>
      </c>
      <c r="H539" t="n">
        <v>0</v>
      </c>
      <c r="I539" t="n">
        <v>0</v>
      </c>
      <c r="J539" t="n">
        <v>0</v>
      </c>
      <c r="K539" t="n">
        <v>0</v>
      </c>
      <c r="L539" t="n">
        <v>0</v>
      </c>
      <c r="M539" t="n">
        <v>0</v>
      </c>
      <c r="N539" t="n">
        <v>0</v>
      </c>
      <c r="O539" t="n">
        <v>0</v>
      </c>
      <c r="P539" t="n">
        <v>0</v>
      </c>
      <c r="Q539" t="n">
        <v>0</v>
      </c>
      <c r="R539" s="2" t="inlineStr"/>
    </row>
    <row r="540" ht="15" customHeight="1">
      <c r="A540" t="inlineStr">
        <is>
          <t>A 61078-2025</t>
        </is>
      </c>
      <c r="B540" s="1" t="n">
        <v>46000</v>
      </c>
      <c r="C540" s="1" t="n">
        <v>46045</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8260-2023</t>
        </is>
      </c>
      <c r="B541" s="1" t="n">
        <v>44974.61608796296</v>
      </c>
      <c r="C541" s="1" t="n">
        <v>46045</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46045</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3067-2026</t>
        </is>
      </c>
      <c r="B543" s="1" t="n">
        <v>46040.59025462963</v>
      </c>
      <c r="C543" s="1" t="n">
        <v>46045</v>
      </c>
      <c r="D543" t="inlineStr">
        <is>
          <t>GOTLANDS LÄN</t>
        </is>
      </c>
      <c r="E543" t="inlineStr">
        <is>
          <t>GOTLAND</t>
        </is>
      </c>
      <c r="G543" t="n">
        <v>7.8</v>
      </c>
      <c r="H543" t="n">
        <v>0</v>
      </c>
      <c r="I543" t="n">
        <v>0</v>
      </c>
      <c r="J543" t="n">
        <v>0</v>
      </c>
      <c r="K543" t="n">
        <v>0</v>
      </c>
      <c r="L543" t="n">
        <v>0</v>
      </c>
      <c r="M543" t="n">
        <v>0</v>
      </c>
      <c r="N543" t="n">
        <v>0</v>
      </c>
      <c r="O543" t="n">
        <v>0</v>
      </c>
      <c r="P543" t="n">
        <v>0</v>
      </c>
      <c r="Q543" t="n">
        <v>0</v>
      </c>
      <c r="R543" s="2" t="inlineStr"/>
    </row>
    <row r="544" ht="15" customHeight="1">
      <c r="A544" t="inlineStr">
        <is>
          <t>A 64969-2023</t>
        </is>
      </c>
      <c r="B544" s="1" t="n">
        <v>45284.54009259259</v>
      </c>
      <c r="C544" s="1" t="n">
        <v>46045</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3253-2026</t>
        </is>
      </c>
      <c r="B545" s="1" t="n">
        <v>46041.58902777778</v>
      </c>
      <c r="C545" s="1" t="n">
        <v>46045</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48843-2024</t>
        </is>
      </c>
      <c r="B546" s="1" t="n">
        <v>45593</v>
      </c>
      <c r="C546" s="1" t="n">
        <v>46045</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17541-2024</t>
        </is>
      </c>
      <c r="B547" s="1" t="n">
        <v>45415</v>
      </c>
      <c r="C547" s="1" t="n">
        <v>46045</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2241-2025</t>
        </is>
      </c>
      <c r="B548" s="1" t="n">
        <v>45673.48710648148</v>
      </c>
      <c r="C548" s="1" t="n">
        <v>46045</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6108-2025</t>
        </is>
      </c>
      <c r="B549" s="1" t="n">
        <v>45698.29880787037</v>
      </c>
      <c r="C549" s="1" t="n">
        <v>46045</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21142-2025</t>
        </is>
      </c>
      <c r="B550" s="1" t="n">
        <v>45779</v>
      </c>
      <c r="C550" s="1" t="n">
        <v>46045</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47147-2025</t>
        </is>
      </c>
      <c r="B551" s="1" t="n">
        <v>45929</v>
      </c>
      <c r="C551" s="1" t="n">
        <v>46045</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17343-2025</t>
        </is>
      </c>
      <c r="B552" s="1" t="n">
        <v>45756.6687037037</v>
      </c>
      <c r="C552" s="1" t="n">
        <v>46045</v>
      </c>
      <c r="D552" t="inlineStr">
        <is>
          <t>GOTLANDS LÄN</t>
        </is>
      </c>
      <c r="E552" t="inlineStr">
        <is>
          <t>GOTLAND</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18938-2025</t>
        </is>
      </c>
      <c r="B553" s="1" t="n">
        <v>45764.49172453704</v>
      </c>
      <c r="C553" s="1" t="n">
        <v>46045</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30489-2025</t>
        </is>
      </c>
      <c r="B554" s="1" t="n">
        <v>45830</v>
      </c>
      <c r="C554" s="1" t="n">
        <v>46045</v>
      </c>
      <c r="D554" t="inlineStr">
        <is>
          <t>GOTLANDS LÄN</t>
        </is>
      </c>
      <c r="E554" t="inlineStr">
        <is>
          <t>GOTLAND</t>
        </is>
      </c>
      <c r="G554" t="n">
        <v>4.6</v>
      </c>
      <c r="H554" t="n">
        <v>0</v>
      </c>
      <c r="I554" t="n">
        <v>0</v>
      </c>
      <c r="J554" t="n">
        <v>0</v>
      </c>
      <c r="K554" t="n">
        <v>0</v>
      </c>
      <c r="L554" t="n">
        <v>0</v>
      </c>
      <c r="M554" t="n">
        <v>0</v>
      </c>
      <c r="N554" t="n">
        <v>0</v>
      </c>
      <c r="O554" t="n">
        <v>0</v>
      </c>
      <c r="P554" t="n">
        <v>0</v>
      </c>
      <c r="Q554" t="n">
        <v>0</v>
      </c>
      <c r="R554" s="2" t="inlineStr"/>
    </row>
    <row r="555" ht="15" customHeight="1">
      <c r="A555" t="inlineStr">
        <is>
          <t>A 15434-2024</t>
        </is>
      </c>
      <c r="B555" s="1" t="n">
        <v>45401.38836805556</v>
      </c>
      <c r="C555" s="1" t="n">
        <v>46045</v>
      </c>
      <c r="D555" t="inlineStr">
        <is>
          <t>GOTLANDS LÄN</t>
        </is>
      </c>
      <c r="E555" t="inlineStr">
        <is>
          <t>GOTLAND</t>
        </is>
      </c>
      <c r="G555" t="n">
        <v>2.5</v>
      </c>
      <c r="H555" t="n">
        <v>0</v>
      </c>
      <c r="I555" t="n">
        <v>0</v>
      </c>
      <c r="J555" t="n">
        <v>0</v>
      </c>
      <c r="K555" t="n">
        <v>0</v>
      </c>
      <c r="L555" t="n">
        <v>0</v>
      </c>
      <c r="M555" t="n">
        <v>0</v>
      </c>
      <c r="N555" t="n">
        <v>0</v>
      </c>
      <c r="O555" t="n">
        <v>0</v>
      </c>
      <c r="P555" t="n">
        <v>0</v>
      </c>
      <c r="Q555" t="n">
        <v>0</v>
      </c>
      <c r="R555" s="2" t="inlineStr"/>
    </row>
    <row r="556" ht="15" customHeight="1">
      <c r="A556" t="inlineStr">
        <is>
          <t>A 20307-2025</t>
        </is>
      </c>
      <c r="B556" s="1" t="n">
        <v>45774.95546296296</v>
      </c>
      <c r="C556" s="1" t="n">
        <v>46045</v>
      </c>
      <c r="D556" t="inlineStr">
        <is>
          <t>GOTLANDS LÄN</t>
        </is>
      </c>
      <c r="E556" t="inlineStr">
        <is>
          <t>GOTLAND</t>
        </is>
      </c>
      <c r="G556" t="n">
        <v>6.8</v>
      </c>
      <c r="H556" t="n">
        <v>0</v>
      </c>
      <c r="I556" t="n">
        <v>0</v>
      </c>
      <c r="J556" t="n">
        <v>0</v>
      </c>
      <c r="K556" t="n">
        <v>0</v>
      </c>
      <c r="L556" t="n">
        <v>0</v>
      </c>
      <c r="M556" t="n">
        <v>0</v>
      </c>
      <c r="N556" t="n">
        <v>0</v>
      </c>
      <c r="O556" t="n">
        <v>0</v>
      </c>
      <c r="P556" t="n">
        <v>0</v>
      </c>
      <c r="Q556" t="n">
        <v>0</v>
      </c>
      <c r="R556" s="2" t="inlineStr"/>
    </row>
    <row r="557" ht="15" customHeight="1">
      <c r="A557" t="inlineStr">
        <is>
          <t>A 5943-2024</t>
        </is>
      </c>
      <c r="B557" s="1" t="n">
        <v>45336</v>
      </c>
      <c r="C557" s="1" t="n">
        <v>46045</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54073-2022</t>
        </is>
      </c>
      <c r="B558" s="1" t="n">
        <v>44881.50380787037</v>
      </c>
      <c r="C558" s="1" t="n">
        <v>46045</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16361-2024</t>
        </is>
      </c>
      <c r="B559" s="1" t="n">
        <v>45407</v>
      </c>
      <c r="C559" s="1" t="n">
        <v>46045</v>
      </c>
      <c r="D559" t="inlineStr">
        <is>
          <t>GOTLANDS LÄN</t>
        </is>
      </c>
      <c r="E559" t="inlineStr">
        <is>
          <t>GOTLAND</t>
        </is>
      </c>
      <c r="G559" t="n">
        <v>6</v>
      </c>
      <c r="H559" t="n">
        <v>0</v>
      </c>
      <c r="I559" t="n">
        <v>0</v>
      </c>
      <c r="J559" t="n">
        <v>0</v>
      </c>
      <c r="K559" t="n">
        <v>0</v>
      </c>
      <c r="L559" t="n">
        <v>0</v>
      </c>
      <c r="M559" t="n">
        <v>0</v>
      </c>
      <c r="N559" t="n">
        <v>0</v>
      </c>
      <c r="O559" t="n">
        <v>0</v>
      </c>
      <c r="P559" t="n">
        <v>0</v>
      </c>
      <c r="Q559" t="n">
        <v>0</v>
      </c>
      <c r="R559" s="2" t="inlineStr"/>
    </row>
    <row r="560" ht="15" customHeight="1">
      <c r="A560" t="inlineStr">
        <is>
          <t>A 41038-2023</t>
        </is>
      </c>
      <c r="B560" s="1" t="n">
        <v>45173.60959490741</v>
      </c>
      <c r="C560" s="1" t="n">
        <v>46045</v>
      </c>
      <c r="D560" t="inlineStr">
        <is>
          <t>GOTLANDS LÄN</t>
        </is>
      </c>
      <c r="E560" t="inlineStr">
        <is>
          <t>GOTLAND</t>
        </is>
      </c>
      <c r="G560" t="n">
        <v>2.7</v>
      </c>
      <c r="H560" t="n">
        <v>0</v>
      </c>
      <c r="I560" t="n">
        <v>0</v>
      </c>
      <c r="J560" t="n">
        <v>0</v>
      </c>
      <c r="K560" t="n">
        <v>0</v>
      </c>
      <c r="L560" t="n">
        <v>0</v>
      </c>
      <c r="M560" t="n">
        <v>0</v>
      </c>
      <c r="N560" t="n">
        <v>0</v>
      </c>
      <c r="O560" t="n">
        <v>0</v>
      </c>
      <c r="P560" t="n">
        <v>0</v>
      </c>
      <c r="Q560" t="n">
        <v>0</v>
      </c>
      <c r="R560" s="2" t="inlineStr"/>
    </row>
    <row r="561" ht="15" customHeight="1">
      <c r="A561" t="inlineStr">
        <is>
          <t>A 14427-2024</t>
        </is>
      </c>
      <c r="B561" s="1" t="n">
        <v>45394</v>
      </c>
      <c r="C561" s="1" t="n">
        <v>46045</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31802-2024</t>
        </is>
      </c>
      <c r="B562" s="1" t="n">
        <v>45509</v>
      </c>
      <c r="C562" s="1" t="n">
        <v>46045</v>
      </c>
      <c r="D562" t="inlineStr">
        <is>
          <t>GOTLANDS LÄN</t>
        </is>
      </c>
      <c r="E562" t="inlineStr">
        <is>
          <t>GOTLAND</t>
        </is>
      </c>
      <c r="G562" t="n">
        <v>2.8</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46045</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12846-2025</t>
        </is>
      </c>
      <c r="B564" s="1" t="n">
        <v>45733.65049768519</v>
      </c>
      <c r="C564" s="1" t="n">
        <v>46045</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46045</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10650-2022</t>
        </is>
      </c>
      <c r="B566" s="1" t="n">
        <v>44624.57945601852</v>
      </c>
      <c r="C566" s="1" t="n">
        <v>46045</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11634-2024</t>
        </is>
      </c>
      <c r="B567" s="1" t="n">
        <v>45373</v>
      </c>
      <c r="C567" s="1" t="n">
        <v>46045</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1351-2025</t>
        </is>
      </c>
      <c r="B568" s="1" t="n">
        <v>45667.62246527777</v>
      </c>
      <c r="C568" s="1" t="n">
        <v>46045</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46045</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49874-2024</t>
        </is>
      </c>
      <c r="B570" s="1" t="n">
        <v>45597.49274305555</v>
      </c>
      <c r="C570" s="1" t="n">
        <v>46045</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42201-2023</t>
        </is>
      </c>
      <c r="B571" s="1" t="n">
        <v>45179</v>
      </c>
      <c r="C571" s="1" t="n">
        <v>46045</v>
      </c>
      <c r="D571" t="inlineStr">
        <is>
          <t>GOTLANDS LÄN</t>
        </is>
      </c>
      <c r="E571" t="inlineStr">
        <is>
          <t>GOTLAND</t>
        </is>
      </c>
      <c r="G571" t="n">
        <v>11.9</v>
      </c>
      <c r="H571" t="n">
        <v>0</v>
      </c>
      <c r="I571" t="n">
        <v>0</v>
      </c>
      <c r="J571" t="n">
        <v>0</v>
      </c>
      <c r="K571" t="n">
        <v>0</v>
      </c>
      <c r="L571" t="n">
        <v>0</v>
      </c>
      <c r="M571" t="n">
        <v>0</v>
      </c>
      <c r="N571" t="n">
        <v>0</v>
      </c>
      <c r="O571" t="n">
        <v>0</v>
      </c>
      <c r="P571" t="n">
        <v>0</v>
      </c>
      <c r="Q571" t="n">
        <v>0</v>
      </c>
      <c r="R571" s="2" t="inlineStr"/>
    </row>
    <row r="572" ht="15" customHeight="1">
      <c r="A572" t="inlineStr">
        <is>
          <t>A 46400-2023</t>
        </is>
      </c>
      <c r="B572" s="1" t="n">
        <v>45197.49290509259</v>
      </c>
      <c r="C572" s="1" t="n">
        <v>46045</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9875-2025</t>
        </is>
      </c>
      <c r="B573" s="1" t="n">
        <v>45716</v>
      </c>
      <c r="C573" s="1" t="n">
        <v>46045</v>
      </c>
      <c r="D573" t="inlineStr">
        <is>
          <t>GOTLANDS LÄN</t>
        </is>
      </c>
      <c r="E573" t="inlineStr">
        <is>
          <t>GOTLAND</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21164-2024</t>
        </is>
      </c>
      <c r="B574" s="1" t="n">
        <v>45440</v>
      </c>
      <c r="C574" s="1" t="n">
        <v>46045</v>
      </c>
      <c r="D574" t="inlineStr">
        <is>
          <t>GOTLANDS LÄN</t>
        </is>
      </c>
      <c r="E574" t="inlineStr">
        <is>
          <t>GOTLAND</t>
        </is>
      </c>
      <c r="G574" t="n">
        <v>6.3</v>
      </c>
      <c r="H574" t="n">
        <v>0</v>
      </c>
      <c r="I574" t="n">
        <v>0</v>
      </c>
      <c r="J574" t="n">
        <v>0</v>
      </c>
      <c r="K574" t="n">
        <v>0</v>
      </c>
      <c r="L574" t="n">
        <v>0</v>
      </c>
      <c r="M574" t="n">
        <v>0</v>
      </c>
      <c r="N574" t="n">
        <v>0</v>
      </c>
      <c r="O574" t="n">
        <v>0</v>
      </c>
      <c r="P574" t="n">
        <v>0</v>
      </c>
      <c r="Q574" t="n">
        <v>0</v>
      </c>
      <c r="R574" s="2" t="inlineStr"/>
    </row>
    <row r="575" ht="15" customHeight="1">
      <c r="A575" t="inlineStr">
        <is>
          <t>A 8045-2022</t>
        </is>
      </c>
      <c r="B575" s="1" t="n">
        <v>44609</v>
      </c>
      <c r="C575" s="1" t="n">
        <v>46045</v>
      </c>
      <c r="D575" t="inlineStr">
        <is>
          <t>GOTLANDS LÄN</t>
        </is>
      </c>
      <c r="E575" t="inlineStr">
        <is>
          <t>GOTLAND</t>
        </is>
      </c>
      <c r="G575" t="n">
        <v>7</v>
      </c>
      <c r="H575" t="n">
        <v>0</v>
      </c>
      <c r="I575" t="n">
        <v>0</v>
      </c>
      <c r="J575" t="n">
        <v>0</v>
      </c>
      <c r="K575" t="n">
        <v>0</v>
      </c>
      <c r="L575" t="n">
        <v>0</v>
      </c>
      <c r="M575" t="n">
        <v>0</v>
      </c>
      <c r="N575" t="n">
        <v>0</v>
      </c>
      <c r="O575" t="n">
        <v>0</v>
      </c>
      <c r="P575" t="n">
        <v>0</v>
      </c>
      <c r="Q575" t="n">
        <v>0</v>
      </c>
      <c r="R575" s="2" t="inlineStr"/>
    </row>
    <row r="576" ht="15" customHeight="1">
      <c r="A576" t="inlineStr">
        <is>
          <t>A 22897-2023</t>
        </is>
      </c>
      <c r="B576" s="1" t="n">
        <v>45072.55239583334</v>
      </c>
      <c r="C576" s="1" t="n">
        <v>46045</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46045</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46045</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46045</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46045</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46045</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46045</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46045</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46045</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46045</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46045</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46045</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46045</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46045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46045</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46045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46045</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46045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46045</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46045</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46045</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46045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46045</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46045</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46045</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46045</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46045</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46045</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ht="15" customHeight="1">
      <c r="A604" t="inlineStr">
        <is>
          <t>A 22287-2022</t>
        </is>
      </c>
      <c r="B604" s="1" t="n">
        <v>44712</v>
      </c>
      <c r="C604" s="1" t="n">
        <v>46045</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54074-2022</t>
        </is>
      </c>
      <c r="B605" s="1" t="n">
        <v>44881</v>
      </c>
      <c r="C605" s="1" t="n">
        <v>46045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65249-2023</t>
        </is>
      </c>
      <c r="B606" s="1" t="n">
        <v>45290</v>
      </c>
      <c r="C606" s="1" t="n">
        <v>46045</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13910-2025</t>
        </is>
      </c>
      <c r="B607" s="1" t="n">
        <v>45737</v>
      </c>
      <c r="C607" s="1" t="n">
        <v>46045</v>
      </c>
      <c r="D607" t="inlineStr">
        <is>
          <t>GOTLANDS LÄN</t>
        </is>
      </c>
      <c r="E607" t="inlineStr">
        <is>
          <t>GOTLAND</t>
        </is>
      </c>
      <c r="F607" t="inlineStr">
        <is>
          <t>Kommuner</t>
        </is>
      </c>
      <c r="G607" t="n">
        <v>3.2</v>
      </c>
      <c r="H607" t="n">
        <v>0</v>
      </c>
      <c r="I607" t="n">
        <v>0</v>
      </c>
      <c r="J607" t="n">
        <v>0</v>
      </c>
      <c r="K607" t="n">
        <v>0</v>
      </c>
      <c r="L607" t="n">
        <v>0</v>
      </c>
      <c r="M607" t="n">
        <v>0</v>
      </c>
      <c r="N607" t="n">
        <v>0</v>
      </c>
      <c r="O607" t="n">
        <v>0</v>
      </c>
      <c r="P607" t="n">
        <v>0</v>
      </c>
      <c r="Q607" t="n">
        <v>0</v>
      </c>
      <c r="R607" s="2" t="inlineStr"/>
    </row>
    <row r="608" ht="15" customHeight="1">
      <c r="A608" t="inlineStr">
        <is>
          <t>A 17780-2022</t>
        </is>
      </c>
      <c r="B608" s="1" t="n">
        <v>44682.82622685185</v>
      </c>
      <c r="C608" s="1" t="n">
        <v>46045</v>
      </c>
      <c r="D608" t="inlineStr">
        <is>
          <t>GOTLANDS LÄN</t>
        </is>
      </c>
      <c r="E608" t="inlineStr">
        <is>
          <t>GOTLAND</t>
        </is>
      </c>
      <c r="G608" t="n">
        <v>2.2</v>
      </c>
      <c r="H608" t="n">
        <v>0</v>
      </c>
      <c r="I608" t="n">
        <v>0</v>
      </c>
      <c r="J608" t="n">
        <v>0</v>
      </c>
      <c r="K608" t="n">
        <v>0</v>
      </c>
      <c r="L608" t="n">
        <v>0</v>
      </c>
      <c r="M608" t="n">
        <v>0</v>
      </c>
      <c r="N608" t="n">
        <v>0</v>
      </c>
      <c r="O608" t="n">
        <v>0</v>
      </c>
      <c r="P608" t="n">
        <v>0</v>
      </c>
      <c r="Q608" t="n">
        <v>0</v>
      </c>
      <c r="R608" s="2" t="inlineStr"/>
    </row>
    <row r="609" ht="15" customHeight="1">
      <c r="A609" t="inlineStr">
        <is>
          <t>A 59986-2022</t>
        </is>
      </c>
      <c r="B609" s="1" t="n">
        <v>44909</v>
      </c>
      <c r="C609" s="1" t="n">
        <v>46045</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14536-2021</t>
        </is>
      </c>
      <c r="B610" s="1" t="n">
        <v>44279.66168981481</v>
      </c>
      <c r="C610" s="1" t="n">
        <v>46045</v>
      </c>
      <c r="D610" t="inlineStr">
        <is>
          <t>GOTLANDS LÄN</t>
        </is>
      </c>
      <c r="E610" t="inlineStr">
        <is>
          <t>GOTLAND</t>
        </is>
      </c>
      <c r="G610" t="n">
        <v>8.5</v>
      </c>
      <c r="H610" t="n">
        <v>0</v>
      </c>
      <c r="I610" t="n">
        <v>0</v>
      </c>
      <c r="J610" t="n">
        <v>0</v>
      </c>
      <c r="K610" t="n">
        <v>0</v>
      </c>
      <c r="L610" t="n">
        <v>0</v>
      </c>
      <c r="M610" t="n">
        <v>0</v>
      </c>
      <c r="N610" t="n">
        <v>0</v>
      </c>
      <c r="O610" t="n">
        <v>0</v>
      </c>
      <c r="P610" t="n">
        <v>0</v>
      </c>
      <c r="Q610" t="n">
        <v>0</v>
      </c>
      <c r="R610" s="2" t="inlineStr"/>
    </row>
    <row r="611" ht="15" customHeight="1">
      <c r="A611" t="inlineStr">
        <is>
          <t>A 11874-2024</t>
        </is>
      </c>
      <c r="B611" s="1" t="n">
        <v>45376.46956018519</v>
      </c>
      <c r="C611" s="1" t="n">
        <v>46045</v>
      </c>
      <c r="D611" t="inlineStr">
        <is>
          <t>GOTLANDS LÄN</t>
        </is>
      </c>
      <c r="E611" t="inlineStr">
        <is>
          <t>GOTLAND</t>
        </is>
      </c>
      <c r="G611" t="n">
        <v>0.8</v>
      </c>
      <c r="H611" t="n">
        <v>0</v>
      </c>
      <c r="I611" t="n">
        <v>0</v>
      </c>
      <c r="J611" t="n">
        <v>0</v>
      </c>
      <c r="K611" t="n">
        <v>0</v>
      </c>
      <c r="L611" t="n">
        <v>0</v>
      </c>
      <c r="M611" t="n">
        <v>0</v>
      </c>
      <c r="N611" t="n">
        <v>0</v>
      </c>
      <c r="O611" t="n">
        <v>0</v>
      </c>
      <c r="P611" t="n">
        <v>0</v>
      </c>
      <c r="Q611" t="n">
        <v>0</v>
      </c>
      <c r="R611" s="2" t="inlineStr"/>
    </row>
    <row r="612" ht="15" customHeight="1">
      <c r="A612" t="inlineStr">
        <is>
          <t>A 42041-2024</t>
        </is>
      </c>
      <c r="B612" s="1" t="n">
        <v>45561</v>
      </c>
      <c r="C612" s="1" t="n">
        <v>46045</v>
      </c>
      <c r="D612" t="inlineStr">
        <is>
          <t>GOTLANDS LÄN</t>
        </is>
      </c>
      <c r="E612" t="inlineStr">
        <is>
          <t>GOTLAND</t>
        </is>
      </c>
      <c r="G612" t="n">
        <v>3.2</v>
      </c>
      <c r="H612" t="n">
        <v>0</v>
      </c>
      <c r="I612" t="n">
        <v>0</v>
      </c>
      <c r="J612" t="n">
        <v>0</v>
      </c>
      <c r="K612" t="n">
        <v>0</v>
      </c>
      <c r="L612" t="n">
        <v>0</v>
      </c>
      <c r="M612" t="n">
        <v>0</v>
      </c>
      <c r="N612" t="n">
        <v>0</v>
      </c>
      <c r="O612" t="n">
        <v>0</v>
      </c>
      <c r="P612" t="n">
        <v>0</v>
      </c>
      <c r="Q612" t="n">
        <v>0</v>
      </c>
      <c r="R612" s="2" t="inlineStr"/>
    </row>
    <row r="613" ht="15" customHeight="1">
      <c r="A613" t="inlineStr">
        <is>
          <t>A 61694-2023</t>
        </is>
      </c>
      <c r="B613" s="1" t="n">
        <v>45264</v>
      </c>
      <c r="C613" s="1" t="n">
        <v>46045</v>
      </c>
      <c r="D613" t="inlineStr">
        <is>
          <t>GOTLANDS LÄN</t>
        </is>
      </c>
      <c r="E613" t="inlineStr">
        <is>
          <t>GOTLAND</t>
        </is>
      </c>
      <c r="G613" t="n">
        <v>4.6</v>
      </c>
      <c r="H613" t="n">
        <v>0</v>
      </c>
      <c r="I613" t="n">
        <v>0</v>
      </c>
      <c r="J613" t="n">
        <v>0</v>
      </c>
      <c r="K613" t="n">
        <v>0</v>
      </c>
      <c r="L613" t="n">
        <v>0</v>
      </c>
      <c r="M613" t="n">
        <v>0</v>
      </c>
      <c r="N613" t="n">
        <v>0</v>
      </c>
      <c r="O613" t="n">
        <v>0</v>
      </c>
      <c r="P613" t="n">
        <v>0</v>
      </c>
      <c r="Q613" t="n">
        <v>0</v>
      </c>
      <c r="R613" s="2" t="inlineStr"/>
    </row>
    <row r="614" ht="15" customHeight="1">
      <c r="A614" t="inlineStr">
        <is>
          <t>A 64555-2023</t>
        </is>
      </c>
      <c r="B614" s="1" t="n">
        <v>45281</v>
      </c>
      <c r="C614" s="1" t="n">
        <v>46045</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64831-2023</t>
        </is>
      </c>
      <c r="B615" s="1" t="n">
        <v>45282.44924768519</v>
      </c>
      <c r="C615" s="1" t="n">
        <v>46045</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14804-2021</t>
        </is>
      </c>
      <c r="B616" s="1" t="n">
        <v>44280</v>
      </c>
      <c r="C616" s="1" t="n">
        <v>46045</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999-2023</t>
        </is>
      </c>
      <c r="B617" s="1" t="n">
        <v>44935</v>
      </c>
      <c r="C617" s="1" t="n">
        <v>46045</v>
      </c>
      <c r="D617" t="inlineStr">
        <is>
          <t>GOTLANDS LÄN</t>
        </is>
      </c>
      <c r="E617" t="inlineStr">
        <is>
          <t>GOTLAND</t>
        </is>
      </c>
      <c r="G617" t="n">
        <v>4.7</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46045</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4377-2023</t>
        </is>
      </c>
      <c r="B619" s="1" t="n">
        <v>44955.5502662037</v>
      </c>
      <c r="C619" s="1" t="n">
        <v>46045</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4387-2023</t>
        </is>
      </c>
      <c r="B620" s="1" t="n">
        <v>44955.73359953704</v>
      </c>
      <c r="C620" s="1" t="n">
        <v>46045</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39479-2022</t>
        </is>
      </c>
      <c r="B621" s="1" t="n">
        <v>44818</v>
      </c>
      <c r="C621" s="1" t="n">
        <v>46045</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51963-2024</t>
        </is>
      </c>
      <c r="B622" s="1" t="n">
        <v>45607.64833333333</v>
      </c>
      <c r="C622" s="1" t="n">
        <v>46045</v>
      </c>
      <c r="D622" t="inlineStr">
        <is>
          <t>GOTLANDS LÄN</t>
        </is>
      </c>
      <c r="E622" t="inlineStr">
        <is>
          <t>GOTLAND</t>
        </is>
      </c>
      <c r="G622" t="n">
        <v>2.4</v>
      </c>
      <c r="H622" t="n">
        <v>0</v>
      </c>
      <c r="I622" t="n">
        <v>0</v>
      </c>
      <c r="J622" t="n">
        <v>0</v>
      </c>
      <c r="K622" t="n">
        <v>0</v>
      </c>
      <c r="L622" t="n">
        <v>0</v>
      </c>
      <c r="M622" t="n">
        <v>0</v>
      </c>
      <c r="N622" t="n">
        <v>0</v>
      </c>
      <c r="O622" t="n">
        <v>0</v>
      </c>
      <c r="P622" t="n">
        <v>0</v>
      </c>
      <c r="Q622" t="n">
        <v>0</v>
      </c>
      <c r="R622" s="2" t="inlineStr"/>
    </row>
    <row r="623" ht="15" customHeight="1">
      <c r="A623" t="inlineStr">
        <is>
          <t>A 811-2023</t>
        </is>
      </c>
      <c r="B623" s="1" t="n">
        <v>44931</v>
      </c>
      <c r="C623" s="1" t="n">
        <v>46045</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c r="A624" t="inlineStr">
        <is>
          <t>A 46389-2021</t>
        </is>
      </c>
      <c r="B624" s="1" t="n">
        <v>44443</v>
      </c>
      <c r="C624" s="1" t="n">
        <v>46045</v>
      </c>
      <c r="D624" t="inlineStr">
        <is>
          <t>GOTLANDS LÄN</t>
        </is>
      </c>
      <c r="E624" t="inlineStr">
        <is>
          <t>GOTLAND</t>
        </is>
      </c>
      <c r="F624" t="inlineStr">
        <is>
          <t>Kyrkan</t>
        </is>
      </c>
      <c r="G624" t="n">
        <v>2.1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2026-01-23T10:58:28Z</dcterms:created>
  <dcterms:modified xmlns:dcterms="http://purl.org/dc/terms/" xmlns:xsi="http://www.w3.org/2001/XMLSchema-instance" xsi:type="dcterms:W3CDTF">2026-01-23T10:58:29Z</dcterms:modified>
</cp:coreProperties>
</file>