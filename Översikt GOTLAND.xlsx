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45881</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45881</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45881</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45881</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45881</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17762-2024</t>
        </is>
      </c>
      <c r="B18" s="1" t="n">
        <v>45418</v>
      </c>
      <c r="C18" s="1" t="n">
        <v>45881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6913-2025</t>
        </is>
      </c>
      <c r="B19" s="1" t="n">
        <v>45701.43809027778</v>
      </c>
      <c r="C19" s="1" t="n">
        <v>45881</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45881</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45881</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45881</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45881</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44928-2022</t>
        </is>
      </c>
      <c r="B25" s="1" t="n">
        <v>44841</v>
      </c>
      <c r="C25" s="1" t="n">
        <v>45881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2222-2024</t>
        </is>
      </c>
      <c r="B26" s="1" t="n">
        <v>45309</v>
      </c>
      <c r="C26" s="1" t="n">
        <v>45881</v>
      </c>
      <c r="D26" t="inlineStr">
        <is>
          <t>GOTLANDS LÄN</t>
        </is>
      </c>
      <c r="E26" t="inlineStr">
        <is>
          <t>GOTLAND</t>
        </is>
      </c>
      <c r="F26" t="inlineStr">
        <is>
          <t>Kyrkan</t>
        </is>
      </c>
      <c r="G26" t="n">
        <v>10.6</v>
      </c>
      <c r="H26" t="n">
        <v>0</v>
      </c>
      <c r="I26" t="n">
        <v>6</v>
      </c>
      <c r="J26" t="n">
        <v>2</v>
      </c>
      <c r="K26" t="n">
        <v>5</v>
      </c>
      <c r="L26" t="n">
        <v>0</v>
      </c>
      <c r="M26" t="n">
        <v>0</v>
      </c>
      <c r="N26" t="n">
        <v>0</v>
      </c>
      <c r="O26" t="n">
        <v>7</v>
      </c>
      <c r="P26" t="n">
        <v>5</v>
      </c>
      <c r="Q26" t="n">
        <v>13</v>
      </c>
      <c r="R26" s="2" t="inlineStr">
        <is>
          <t>Granrotsspindling
Gulsträngad fagerspindling
Svartgrön spindling
Tvillingspindling
Vit taggsvamp
Denisespindling
Odörspindling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2804-2023</t>
        </is>
      </c>
      <c r="B27" s="1" t="n">
        <v>44944</v>
      </c>
      <c r="C27" s="1" t="n">
        <v>45881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45881</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45881</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28287-2024</t>
        </is>
      </c>
      <c r="B31" s="1" t="n">
        <v>45477</v>
      </c>
      <c r="C31" s="1" t="n">
        <v>45881</v>
      </c>
      <c r="D31" t="inlineStr">
        <is>
          <t>GOTLANDS LÄN</t>
        </is>
      </c>
      <c r="E31" t="inlineStr">
        <is>
          <t>GOTLAND</t>
        </is>
      </c>
      <c r="G31" t="n">
        <v>23.4</v>
      </c>
      <c r="H31" t="n">
        <v>2</v>
      </c>
      <c r="I31" t="n">
        <v>0</v>
      </c>
      <c r="J31" t="n">
        <v>10</v>
      </c>
      <c r="K31" t="n">
        <v>0</v>
      </c>
      <c r="L31" t="n">
        <v>1</v>
      </c>
      <c r="M31" t="n">
        <v>0</v>
      </c>
      <c r="N31" t="n">
        <v>0</v>
      </c>
      <c r="O31" t="n">
        <v>11</v>
      </c>
      <c r="P31" t="n">
        <v>1</v>
      </c>
      <c r="Q31" t="n">
        <v>12</v>
      </c>
      <c r="R31" s="2" t="inlineStr">
        <is>
          <t>Ask
Axveronika
Backtimjan
Flentimotej
Gulsparv
Jordtistel
Piggtistel
Silversmygare
Smedbock
Solvända
Vårstarr
Blåsippa</t>
        </is>
      </c>
      <c r="S31">
        <f>HYPERLINK("https://klasma.github.io/Logging_0980/artfynd/A 28287-2024 artfynd.xlsx", "A 28287-2024")</f>
        <v/>
      </c>
      <c r="T31">
        <f>HYPERLINK("https://klasma.github.io/Logging_0980/kartor/A 28287-2024 karta.png", "A 28287-2024")</f>
        <v/>
      </c>
      <c r="V31">
        <f>HYPERLINK("https://klasma.github.io/Logging_0980/klagomål/A 28287-2024 FSC-klagomål.docx", "A 28287-2024")</f>
        <v/>
      </c>
      <c r="W31">
        <f>HYPERLINK("https://klasma.github.io/Logging_0980/klagomålsmail/A 28287-2024 FSC-klagomål mail.docx", "A 28287-2024")</f>
        <v/>
      </c>
      <c r="X31">
        <f>HYPERLINK("https://klasma.github.io/Logging_0980/tillsyn/A 28287-2024 tillsynsbegäran.docx", "A 28287-2024")</f>
        <v/>
      </c>
      <c r="Y31">
        <f>HYPERLINK("https://klasma.github.io/Logging_0980/tillsynsmail/A 28287-2024 tillsynsbegäran mail.docx", "A 28287-2024")</f>
        <v/>
      </c>
      <c r="Z31">
        <f>HYPERLINK("https://klasma.github.io/Logging_0980/fåglar/A 28287-2024 prioriterade fågelarter.docx", "A 28287-2024")</f>
        <v/>
      </c>
    </row>
    <row r="32" ht="15" customHeight="1">
      <c r="A32" t="inlineStr">
        <is>
          <t>A 3324-2023</t>
        </is>
      </c>
      <c r="B32" s="1" t="n">
        <v>44949</v>
      </c>
      <c r="C32" s="1" t="n">
        <v>45881</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15850-2025</t>
        </is>
      </c>
      <c r="B33" s="1" t="n">
        <v>45748.92798611111</v>
      </c>
      <c r="C33" s="1" t="n">
        <v>45881</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30542-2025</t>
        </is>
      </c>
      <c r="B34" s="1" t="n">
        <v>45831</v>
      </c>
      <c r="C34" s="1" t="n">
        <v>45881</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63872-2021</t>
        </is>
      </c>
      <c r="B35" s="1" t="n">
        <v>44509</v>
      </c>
      <c r="C35" s="1" t="n">
        <v>45881</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45881</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45881</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45881</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45881</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45881</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45881</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45881</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45881</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45881</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45881</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45881</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45881</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45881</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45881</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4984-2025</t>
        </is>
      </c>
      <c r="B52" s="1" t="n">
        <v>45691.29891203704</v>
      </c>
      <c r="C52" s="1" t="n">
        <v>45881</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45881</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27280-2023</t>
        </is>
      </c>
      <c r="B54" s="1" t="n">
        <v>45096</v>
      </c>
      <c r="C54" s="1" t="n">
        <v>45881</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10419-2025</t>
        </is>
      </c>
      <c r="B55" s="1" t="n">
        <v>45720</v>
      </c>
      <c r="C55" s="1" t="n">
        <v>45881</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6960-2025</t>
        </is>
      </c>
      <c r="B56" s="1" t="n">
        <v>45701.49409722222</v>
      </c>
      <c r="C56" s="1" t="n">
        <v>45881</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16353-2025</t>
        </is>
      </c>
      <c r="B57" s="1" t="n">
        <v>45751</v>
      </c>
      <c r="C57" s="1" t="n">
        <v>45881</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45881</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45881</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45881</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45881</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45881</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45881</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45881</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44944-2022</t>
        </is>
      </c>
      <c r="B66" s="1" t="n">
        <v>44841</v>
      </c>
      <c r="C66" s="1" t="n">
        <v>45881</v>
      </c>
      <c r="D66" t="inlineStr">
        <is>
          <t>GOTLANDS LÄN</t>
        </is>
      </c>
      <c r="E66" t="inlineStr">
        <is>
          <t>GOTLAND</t>
        </is>
      </c>
      <c r="G66" t="n">
        <v>2.8</v>
      </c>
      <c r="H66" t="n">
        <v>0</v>
      </c>
      <c r="I66" t="n">
        <v>3</v>
      </c>
      <c r="J66" t="n">
        <v>2</v>
      </c>
      <c r="K66" t="n">
        <v>0</v>
      </c>
      <c r="L66" t="n">
        <v>0</v>
      </c>
      <c r="M66" t="n">
        <v>0</v>
      </c>
      <c r="N66" t="n">
        <v>0</v>
      </c>
      <c r="O66" t="n">
        <v>2</v>
      </c>
      <c r="P66" t="n">
        <v>0</v>
      </c>
      <c r="Q66" t="n">
        <v>5</v>
      </c>
      <c r="R66" s="2" t="inlineStr">
        <is>
          <t>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54055-2022</t>
        </is>
      </c>
      <c r="B67" s="1" t="n">
        <v>44881</v>
      </c>
      <c r="C67" s="1" t="n">
        <v>45881</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45881</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39425-2023</t>
        </is>
      </c>
      <c r="B69" s="1" t="n">
        <v>45166</v>
      </c>
      <c r="C69" s="1" t="n">
        <v>45881</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32326-2024</t>
        </is>
      </c>
      <c r="B70" s="1" t="n">
        <v>45512</v>
      </c>
      <c r="C70" s="1" t="n">
        <v>45881</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16375-2025</t>
        </is>
      </c>
      <c r="B71" s="1" t="n">
        <v>45751.41064814815</v>
      </c>
      <c r="C71" s="1" t="n">
        <v>45881</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45881</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54523-2023</t>
        </is>
      </c>
      <c r="B74" s="1" t="n">
        <v>45233</v>
      </c>
      <c r="C74" s="1" t="n">
        <v>45881</v>
      </c>
      <c r="D74" t="inlineStr">
        <is>
          <t>GOTLANDS LÄN</t>
        </is>
      </c>
      <c r="E74" t="inlineStr">
        <is>
          <t>GOTLAND</t>
        </is>
      </c>
      <c r="G74" t="n">
        <v>3.7</v>
      </c>
      <c r="H74" t="n">
        <v>2</v>
      </c>
      <c r="I74" t="n">
        <v>0</v>
      </c>
      <c r="J74" t="n">
        <v>1</v>
      </c>
      <c r="K74" t="n">
        <v>1</v>
      </c>
      <c r="L74" t="n">
        <v>0</v>
      </c>
      <c r="M74" t="n">
        <v>0</v>
      </c>
      <c r="N74" t="n">
        <v>0</v>
      </c>
      <c r="O74" t="n">
        <v>2</v>
      </c>
      <c r="P74" t="n">
        <v>1</v>
      </c>
      <c r="Q74" t="n">
        <v>4</v>
      </c>
      <c r="R74" s="2" t="inlineStr">
        <is>
          <t>Sommarklynne
Åkerkulla
Brudsporre
Kärrknipprot</t>
        </is>
      </c>
      <c r="S74">
        <f>HYPERLINK("https://klasma.github.io/Logging_0980/artfynd/A 54523-2023 artfynd.xlsx", "A 54523-2023")</f>
        <v/>
      </c>
      <c r="T74">
        <f>HYPERLINK("https://klasma.github.io/Logging_0980/kartor/A 54523-2023 karta.png", "A 54523-2023")</f>
        <v/>
      </c>
      <c r="V74">
        <f>HYPERLINK("https://klasma.github.io/Logging_0980/klagomål/A 54523-2023 FSC-klagomål.docx", "A 54523-2023")</f>
        <v/>
      </c>
      <c r="W74">
        <f>HYPERLINK("https://klasma.github.io/Logging_0980/klagomålsmail/A 54523-2023 FSC-klagomål mail.docx", "A 54523-2023")</f>
        <v/>
      </c>
      <c r="X74">
        <f>HYPERLINK("https://klasma.github.io/Logging_0980/tillsyn/A 54523-2023 tillsynsbegäran.docx", "A 54523-2023")</f>
        <v/>
      </c>
      <c r="Y74">
        <f>HYPERLINK("https://klasma.github.io/Logging_0980/tillsynsmail/A 54523-2023 tillsynsbegäran mail.docx", "A 54523-2023")</f>
        <v/>
      </c>
    </row>
    <row r="75" ht="15" customHeight="1">
      <c r="A75" t="inlineStr">
        <is>
          <t>A 6159-2023</t>
        </is>
      </c>
      <c r="B75" s="1" t="n">
        <v>44964</v>
      </c>
      <c r="C75" s="1" t="n">
        <v>45881</v>
      </c>
      <c r="D75" t="inlineStr">
        <is>
          <t>GOTLANDS LÄN</t>
        </is>
      </c>
      <c r="E75" t="inlineStr">
        <is>
          <t>GOTLAND</t>
        </is>
      </c>
      <c r="G75" t="n">
        <v>2</v>
      </c>
      <c r="H75" t="n">
        <v>0</v>
      </c>
      <c r="I75" t="n">
        <v>2</v>
      </c>
      <c r="J75" t="n">
        <v>2</v>
      </c>
      <c r="K75" t="n">
        <v>0</v>
      </c>
      <c r="L75" t="n">
        <v>0</v>
      </c>
      <c r="M75" t="n">
        <v>0</v>
      </c>
      <c r="N75" t="n">
        <v>0</v>
      </c>
      <c r="O75" t="n">
        <v>2</v>
      </c>
      <c r="P75" t="n">
        <v>0</v>
      </c>
      <c r="Q75" t="n">
        <v>4</v>
      </c>
      <c r="R75" s="2" t="inlineStr">
        <is>
          <t>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8265-2023</t>
        </is>
      </c>
      <c r="B76" s="1" t="n">
        <v>44974</v>
      </c>
      <c r="C76" s="1" t="n">
        <v>45881</v>
      </c>
      <c r="D76" t="inlineStr">
        <is>
          <t>GOTLANDS LÄN</t>
        </is>
      </c>
      <c r="E76" t="inlineStr">
        <is>
          <t>GOTLAND</t>
        </is>
      </c>
      <c r="G76" t="n">
        <v>3.3</v>
      </c>
      <c r="H76" t="n">
        <v>4</v>
      </c>
      <c r="I76" t="n">
        <v>3</v>
      </c>
      <c r="J76" t="n">
        <v>0</v>
      </c>
      <c r="K76" t="n">
        <v>0</v>
      </c>
      <c r="L76" t="n">
        <v>0</v>
      </c>
      <c r="M76" t="n">
        <v>0</v>
      </c>
      <c r="N76" t="n">
        <v>0</v>
      </c>
      <c r="O76" t="n">
        <v>0</v>
      </c>
      <c r="P76" t="n">
        <v>0</v>
      </c>
      <c r="Q76" t="n">
        <v>4</v>
      </c>
      <c r="R76" s="2" t="inlineStr">
        <is>
          <t>Flugblomster
Purpurknipprot
Tvåblad
Salepsrot</t>
        </is>
      </c>
      <c r="S76">
        <f>HYPERLINK("https://klasma.github.io/Logging_0980/artfynd/A 8265-2023 artfynd.xlsx", "A 8265-2023")</f>
        <v/>
      </c>
      <c r="T76">
        <f>HYPERLINK("https://klasma.github.io/Logging_0980/kartor/A 8265-2023 karta.png", "A 8265-2023")</f>
        <v/>
      </c>
      <c r="V76">
        <f>HYPERLINK("https://klasma.github.io/Logging_0980/klagomål/A 8265-2023 FSC-klagomål.docx", "A 8265-2023")</f>
        <v/>
      </c>
      <c r="W76">
        <f>HYPERLINK("https://klasma.github.io/Logging_0980/klagomålsmail/A 8265-2023 FSC-klagomål mail.docx", "A 8265-2023")</f>
        <v/>
      </c>
      <c r="X76">
        <f>HYPERLINK("https://klasma.github.io/Logging_0980/tillsyn/A 8265-2023 tillsynsbegäran.docx", "A 8265-2023")</f>
        <v/>
      </c>
      <c r="Y76">
        <f>HYPERLINK("https://klasma.github.io/Logging_0980/tillsynsmail/A 8265-2023 tillsynsbegäran mail.docx", "A 8265-2023")</f>
        <v/>
      </c>
    </row>
    <row r="77" ht="15" customHeight="1">
      <c r="A77" t="inlineStr">
        <is>
          <t>A 43197-2023</t>
        </is>
      </c>
      <c r="B77" s="1" t="n">
        <v>45183</v>
      </c>
      <c r="C77" s="1" t="n">
        <v>45881</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186-2023</t>
        </is>
      </c>
      <c r="B78" s="1" t="n">
        <v>44928</v>
      </c>
      <c r="C78" s="1" t="n">
        <v>45881</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56717-2024</t>
        </is>
      </c>
      <c r="B79" s="1" t="n">
        <v>45628.3166550926</v>
      </c>
      <c r="C79" s="1" t="n">
        <v>45881</v>
      </c>
      <c r="D79" t="inlineStr">
        <is>
          <t>GOTLANDS LÄN</t>
        </is>
      </c>
      <c r="E79" t="inlineStr">
        <is>
          <t>GOTLAND</t>
        </is>
      </c>
      <c r="G79" t="n">
        <v>9.699999999999999</v>
      </c>
      <c r="H79" t="n">
        <v>0</v>
      </c>
      <c r="I79" t="n">
        <v>2</v>
      </c>
      <c r="J79" t="n">
        <v>2</v>
      </c>
      <c r="K79" t="n">
        <v>0</v>
      </c>
      <c r="L79" t="n">
        <v>0</v>
      </c>
      <c r="M79" t="n">
        <v>0</v>
      </c>
      <c r="N79" t="n">
        <v>0</v>
      </c>
      <c r="O79" t="n">
        <v>2</v>
      </c>
      <c r="P79" t="n">
        <v>0</v>
      </c>
      <c r="Q79" t="n">
        <v>4</v>
      </c>
      <c r="R79" s="2" t="inlineStr">
        <is>
          <t>Ekvaxskivling
Odörspindling
Fjällig taggsvamp s.str.
Kattfotslav</t>
        </is>
      </c>
      <c r="S79">
        <f>HYPERLINK("https://klasma.github.io/Logging_0980/artfynd/A 56717-2024 artfynd.xlsx", "A 56717-2024")</f>
        <v/>
      </c>
      <c r="T79">
        <f>HYPERLINK("https://klasma.github.io/Logging_0980/kartor/A 56717-2024 karta.png", "A 56717-2024")</f>
        <v/>
      </c>
      <c r="V79">
        <f>HYPERLINK("https://klasma.github.io/Logging_0980/klagomål/A 56717-2024 FSC-klagomål.docx", "A 56717-2024")</f>
        <v/>
      </c>
      <c r="W79">
        <f>HYPERLINK("https://klasma.github.io/Logging_0980/klagomålsmail/A 56717-2024 FSC-klagomål mail.docx", "A 56717-2024")</f>
        <v/>
      </c>
      <c r="X79">
        <f>HYPERLINK("https://klasma.github.io/Logging_0980/tillsyn/A 56717-2024 tillsynsbegäran.docx", "A 56717-2024")</f>
        <v/>
      </c>
      <c r="Y79">
        <f>HYPERLINK("https://klasma.github.io/Logging_0980/tillsynsmail/A 56717-2024 tillsynsbegäran mail.docx", "A 56717-2024")</f>
        <v/>
      </c>
    </row>
    <row r="80" ht="15" customHeight="1">
      <c r="A80" t="inlineStr">
        <is>
          <t>A 1971-2023</t>
        </is>
      </c>
      <c r="B80" s="1" t="n">
        <v>44939</v>
      </c>
      <c r="C80" s="1" t="n">
        <v>45881</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45881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45881</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44933-2022</t>
        </is>
      </c>
      <c r="B83" s="1" t="n">
        <v>44841</v>
      </c>
      <c r="C83" s="1" t="n">
        <v>45881</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2485-2025</t>
        </is>
      </c>
      <c r="B84" s="1" t="n">
        <v>45673</v>
      </c>
      <c r="C84" s="1" t="n">
        <v>45881</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45881</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45881</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45881</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45881</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45881</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45881</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45881</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5235-2025</t>
        </is>
      </c>
      <c r="B93" s="1" t="n">
        <v>45692.26797453704</v>
      </c>
      <c r="C93" s="1" t="n">
        <v>45881</v>
      </c>
      <c r="D93" t="inlineStr">
        <is>
          <t>GOTLANDS LÄN</t>
        </is>
      </c>
      <c r="E93" t="inlineStr">
        <is>
          <t>GOTLAND</t>
        </is>
      </c>
      <c r="G93" t="n">
        <v>7.6</v>
      </c>
      <c r="H93" t="n">
        <v>1</v>
      </c>
      <c r="I93" t="n">
        <v>2</v>
      </c>
      <c r="J93" t="n">
        <v>1</v>
      </c>
      <c r="K93" t="n">
        <v>0</v>
      </c>
      <c r="L93" t="n">
        <v>0</v>
      </c>
      <c r="M93" t="n">
        <v>0</v>
      </c>
      <c r="N93" t="n">
        <v>0</v>
      </c>
      <c r="O93" t="n">
        <v>1</v>
      </c>
      <c r="P93" t="n">
        <v>0</v>
      </c>
      <c r="Q93" t="n">
        <v>3</v>
      </c>
      <c r="R93" s="2" t="inlineStr">
        <is>
          <t>Svinrot
Blåmossa
Tvåblad</t>
        </is>
      </c>
      <c r="S93">
        <f>HYPERLINK("https://klasma.github.io/Logging_0980/artfynd/A 5235-2025 artfynd.xlsx", "A 5235-2025")</f>
        <v/>
      </c>
      <c r="T93">
        <f>HYPERLINK("https://klasma.github.io/Logging_0980/kartor/A 5235-2025 karta.png", "A 5235-2025")</f>
        <v/>
      </c>
      <c r="V93">
        <f>HYPERLINK("https://klasma.github.io/Logging_0980/klagomål/A 5235-2025 FSC-klagomål.docx", "A 5235-2025")</f>
        <v/>
      </c>
      <c r="W93">
        <f>HYPERLINK("https://klasma.github.io/Logging_0980/klagomålsmail/A 5235-2025 FSC-klagomål mail.docx", "A 5235-2025")</f>
        <v/>
      </c>
      <c r="X93">
        <f>HYPERLINK("https://klasma.github.io/Logging_0980/tillsyn/A 5235-2025 tillsynsbegäran.docx", "A 5235-2025")</f>
        <v/>
      </c>
      <c r="Y93">
        <f>HYPERLINK("https://klasma.github.io/Logging_0980/tillsynsmail/A 5235-2025 tillsynsbegäran mail.docx", "A 5235-2025")</f>
        <v/>
      </c>
    </row>
    <row r="94" ht="15" customHeight="1">
      <c r="A94" t="inlineStr">
        <is>
          <t>A 53552-2021</t>
        </is>
      </c>
      <c r="B94" s="1" t="n">
        <v>44468</v>
      </c>
      <c r="C94" s="1" t="n">
        <v>45881</v>
      </c>
      <c r="D94" t="inlineStr">
        <is>
          <t>GOTLANDS LÄN</t>
        </is>
      </c>
      <c r="E94" t="inlineStr">
        <is>
          <t>GOTLAND</t>
        </is>
      </c>
      <c r="G94" t="n">
        <v>6.2</v>
      </c>
      <c r="H94" t="n">
        <v>2</v>
      </c>
      <c r="I94" t="n">
        <v>0</v>
      </c>
      <c r="J94" t="n">
        <v>1</v>
      </c>
      <c r="K94" t="n">
        <v>0</v>
      </c>
      <c r="L94" t="n">
        <v>0</v>
      </c>
      <c r="M94" t="n">
        <v>0</v>
      </c>
      <c r="N94" t="n">
        <v>0</v>
      </c>
      <c r="O94" t="n">
        <v>1</v>
      </c>
      <c r="P94" t="n">
        <v>0</v>
      </c>
      <c r="Q94" t="n">
        <v>3</v>
      </c>
      <c r="R94" s="2" t="inlineStr">
        <is>
          <t>Bredbrämad bastardsvärmare
Grönvit nattviol
Gullviva</t>
        </is>
      </c>
      <c r="S94">
        <f>HYPERLINK("https://klasma.github.io/Logging_0980/artfynd/A 53552-2021 artfynd.xlsx", "A 53552-2021")</f>
        <v/>
      </c>
      <c r="T94">
        <f>HYPERLINK("https://klasma.github.io/Logging_0980/kartor/A 53552-2021 karta.png", "A 53552-2021")</f>
        <v/>
      </c>
      <c r="V94">
        <f>HYPERLINK("https://klasma.github.io/Logging_0980/klagomål/A 53552-2021 FSC-klagomål.docx", "A 53552-2021")</f>
        <v/>
      </c>
      <c r="W94">
        <f>HYPERLINK("https://klasma.github.io/Logging_0980/klagomålsmail/A 53552-2021 FSC-klagomål mail.docx", "A 53552-2021")</f>
        <v/>
      </c>
      <c r="X94">
        <f>HYPERLINK("https://klasma.github.io/Logging_0980/tillsyn/A 53552-2021 tillsynsbegäran.docx", "A 53552-2021")</f>
        <v/>
      </c>
      <c r="Y94">
        <f>HYPERLINK("https://klasma.github.io/Logging_0980/tillsynsmail/A 53552-2021 tillsynsbegäran mail.docx", "A 53552-2021")</f>
        <v/>
      </c>
    </row>
    <row r="95" ht="15" customHeight="1">
      <c r="A95" t="inlineStr">
        <is>
          <t>A 17982-2023</t>
        </is>
      </c>
      <c r="B95" s="1" t="n">
        <v>45040</v>
      </c>
      <c r="C95" s="1" t="n">
        <v>45881</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17975-2024</t>
        </is>
      </c>
      <c r="B96" s="1" t="n">
        <v>45419.85546296297</v>
      </c>
      <c r="C96" s="1" t="n">
        <v>45881</v>
      </c>
      <c r="D96" t="inlineStr">
        <is>
          <t>GOTLANDS LÄN</t>
        </is>
      </c>
      <c r="E96" t="inlineStr">
        <is>
          <t>GOTLAND</t>
        </is>
      </c>
      <c r="G96" t="n">
        <v>7.9</v>
      </c>
      <c r="H96" t="n">
        <v>0</v>
      </c>
      <c r="I96" t="n">
        <v>1</v>
      </c>
      <c r="J96" t="n">
        <v>1</v>
      </c>
      <c r="K96" t="n">
        <v>0</v>
      </c>
      <c r="L96" t="n">
        <v>1</v>
      </c>
      <c r="M96" t="n">
        <v>0</v>
      </c>
      <c r="N96" t="n">
        <v>0</v>
      </c>
      <c r="O96" t="n">
        <v>2</v>
      </c>
      <c r="P96" t="n">
        <v>1</v>
      </c>
      <c r="Q96" t="n">
        <v>3</v>
      </c>
      <c r="R96" s="2" t="inlineStr">
        <is>
          <t>Ask
Skugglosta
Strävlosta</t>
        </is>
      </c>
      <c r="S96">
        <f>HYPERLINK("https://klasma.github.io/Logging_0980/artfynd/A 17975-2024 artfynd.xlsx", "A 17975-2024")</f>
        <v/>
      </c>
      <c r="T96">
        <f>HYPERLINK("https://klasma.github.io/Logging_0980/kartor/A 17975-2024 karta.png", "A 17975-2024")</f>
        <v/>
      </c>
      <c r="V96">
        <f>HYPERLINK("https://klasma.github.io/Logging_0980/klagomål/A 17975-2024 FSC-klagomål.docx", "A 17975-2024")</f>
        <v/>
      </c>
      <c r="W96">
        <f>HYPERLINK("https://klasma.github.io/Logging_0980/klagomålsmail/A 17975-2024 FSC-klagomål mail.docx", "A 17975-2024")</f>
        <v/>
      </c>
      <c r="X96">
        <f>HYPERLINK("https://klasma.github.io/Logging_0980/tillsyn/A 17975-2024 tillsynsbegäran.docx", "A 17975-2024")</f>
        <v/>
      </c>
      <c r="Y96">
        <f>HYPERLINK("https://klasma.github.io/Logging_0980/tillsynsmail/A 17975-2024 tillsynsbegäran mail.docx", "A 17975-2024")</f>
        <v/>
      </c>
    </row>
    <row r="97" ht="15" customHeight="1">
      <c r="A97" t="inlineStr">
        <is>
          <t>A 13499-2022</t>
        </is>
      </c>
      <c r="B97" s="1" t="n">
        <v>44647.79203703703</v>
      </c>
      <c r="C97" s="1" t="n">
        <v>45881</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45881</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45881</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62326-2020</t>
        </is>
      </c>
      <c r="B100" s="1" t="n">
        <v>44160</v>
      </c>
      <c r="C100" s="1" t="n">
        <v>45881</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20831-2024</t>
        </is>
      </c>
      <c r="B101" s="1" t="n">
        <v>45439</v>
      </c>
      <c r="C101" s="1" t="n">
        <v>45881</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45881</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45881</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45881</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45881</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45881</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45881</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45881</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26077-2024</t>
        </is>
      </c>
      <c r="B109" s="1" t="n">
        <v>45467</v>
      </c>
      <c r="C109" s="1" t="n">
        <v>45881</v>
      </c>
      <c r="D109" t="inlineStr">
        <is>
          <t>GOTLANDS LÄN</t>
        </is>
      </c>
      <c r="E109" t="inlineStr">
        <is>
          <t>GOTLAND</t>
        </is>
      </c>
      <c r="G109" t="n">
        <v>4.6</v>
      </c>
      <c r="H109" t="n">
        <v>0</v>
      </c>
      <c r="I109" t="n">
        <v>0</v>
      </c>
      <c r="J109" t="n">
        <v>1</v>
      </c>
      <c r="K109" t="n">
        <v>0</v>
      </c>
      <c r="L109" t="n">
        <v>1</v>
      </c>
      <c r="M109" t="n">
        <v>0</v>
      </c>
      <c r="N109" t="n">
        <v>0</v>
      </c>
      <c r="O109" t="n">
        <v>2</v>
      </c>
      <c r="P109" t="n">
        <v>1</v>
      </c>
      <c r="Q109" t="n">
        <v>2</v>
      </c>
      <c r="R109" s="2" t="inlineStr">
        <is>
          <t>Ask
Tallticka</t>
        </is>
      </c>
      <c r="S109">
        <f>HYPERLINK("https://klasma.github.io/Logging_0980/artfynd/A 26077-2024 artfynd.xlsx", "A 26077-2024")</f>
        <v/>
      </c>
      <c r="T109">
        <f>HYPERLINK("https://klasma.github.io/Logging_0980/kartor/A 26077-2024 karta.png", "A 26077-2024")</f>
        <v/>
      </c>
      <c r="V109">
        <f>HYPERLINK("https://klasma.github.io/Logging_0980/klagomål/A 26077-2024 FSC-klagomål.docx", "A 26077-2024")</f>
        <v/>
      </c>
      <c r="W109">
        <f>HYPERLINK("https://klasma.github.io/Logging_0980/klagomålsmail/A 26077-2024 FSC-klagomål mail.docx", "A 26077-2024")</f>
        <v/>
      </c>
      <c r="X109">
        <f>HYPERLINK("https://klasma.github.io/Logging_0980/tillsyn/A 26077-2024 tillsynsbegäran.docx", "A 26077-2024")</f>
        <v/>
      </c>
      <c r="Y109">
        <f>HYPERLINK("https://klasma.github.io/Logging_0980/tillsynsmail/A 26077-2024 tillsynsbegäran mail.docx", "A 26077-2024")</f>
        <v/>
      </c>
    </row>
    <row r="110" ht="15" customHeight="1">
      <c r="A110" t="inlineStr">
        <is>
          <t>A 20838-2024</t>
        </is>
      </c>
      <c r="B110" s="1" t="n">
        <v>45439</v>
      </c>
      <c r="C110" s="1" t="n">
        <v>45881</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58701-2020</t>
        </is>
      </c>
      <c r="B111" s="1" t="n">
        <v>44146</v>
      </c>
      <c r="C111" s="1" t="n">
        <v>45881</v>
      </c>
      <c r="D111" t="inlineStr">
        <is>
          <t>GOTLANDS LÄN</t>
        </is>
      </c>
      <c r="E111" t="inlineStr">
        <is>
          <t>GOTLAND</t>
        </is>
      </c>
      <c r="G111" t="n">
        <v>5.5</v>
      </c>
      <c r="H111" t="n">
        <v>0</v>
      </c>
      <c r="I111" t="n">
        <v>0</v>
      </c>
      <c r="J111" t="n">
        <v>1</v>
      </c>
      <c r="K111" t="n">
        <v>1</v>
      </c>
      <c r="L111" t="n">
        <v>0</v>
      </c>
      <c r="M111" t="n">
        <v>0</v>
      </c>
      <c r="N111" t="n">
        <v>0</v>
      </c>
      <c r="O111" t="n">
        <v>2</v>
      </c>
      <c r="P111" t="n">
        <v>1</v>
      </c>
      <c r="Q111" t="n">
        <v>2</v>
      </c>
      <c r="R111" s="2" t="inlineStr">
        <is>
          <t>Vit taggsvamp
Odörspindling</t>
        </is>
      </c>
      <c r="S111">
        <f>HYPERLINK("https://klasma.github.io/Logging_0980/artfynd/A 58701-2020 artfynd.xlsx", "A 58701-2020")</f>
        <v/>
      </c>
      <c r="T111">
        <f>HYPERLINK("https://klasma.github.io/Logging_0980/kartor/A 58701-2020 karta.png", "A 58701-2020")</f>
        <v/>
      </c>
      <c r="V111">
        <f>HYPERLINK("https://klasma.github.io/Logging_0980/klagomål/A 58701-2020 FSC-klagomål.docx", "A 58701-2020")</f>
        <v/>
      </c>
      <c r="W111">
        <f>HYPERLINK("https://klasma.github.io/Logging_0980/klagomålsmail/A 58701-2020 FSC-klagomål mail.docx", "A 58701-2020")</f>
        <v/>
      </c>
      <c r="X111">
        <f>HYPERLINK("https://klasma.github.io/Logging_0980/tillsyn/A 58701-2020 tillsynsbegäran.docx", "A 58701-2020")</f>
        <v/>
      </c>
      <c r="Y111">
        <f>HYPERLINK("https://klasma.github.io/Logging_0980/tillsynsmail/A 58701-2020 tillsynsbegäran mail.docx", "A 58701-2020")</f>
        <v/>
      </c>
    </row>
    <row r="112" ht="15" customHeight="1">
      <c r="A112" t="inlineStr">
        <is>
          <t>A 43321-2020</t>
        </is>
      </c>
      <c r="B112" s="1" t="n">
        <v>44081</v>
      </c>
      <c r="C112" s="1" t="n">
        <v>45881</v>
      </c>
      <c r="D112" t="inlineStr">
        <is>
          <t>GOTLANDS LÄN</t>
        </is>
      </c>
      <c r="E112" t="inlineStr">
        <is>
          <t>GOTLAND</t>
        </is>
      </c>
      <c r="G112" t="n">
        <v>10</v>
      </c>
      <c r="H112" t="n">
        <v>1</v>
      </c>
      <c r="I112" t="n">
        <v>0</v>
      </c>
      <c r="J112" t="n">
        <v>2</v>
      </c>
      <c r="K112" t="n">
        <v>0</v>
      </c>
      <c r="L112" t="n">
        <v>0</v>
      </c>
      <c r="M112" t="n">
        <v>0</v>
      </c>
      <c r="N112" t="n">
        <v>0</v>
      </c>
      <c r="O112" t="n">
        <v>2</v>
      </c>
      <c r="P112" t="n">
        <v>0</v>
      </c>
      <c r="Q112" t="n">
        <v>2</v>
      </c>
      <c r="R112" s="2" t="inlineStr">
        <is>
          <t>Buskskvätta
Ängsnätfjäril</t>
        </is>
      </c>
      <c r="S112">
        <f>HYPERLINK("https://klasma.github.io/Logging_0980/artfynd/A 43321-2020 artfynd.xlsx", "A 43321-2020")</f>
        <v/>
      </c>
      <c r="T112">
        <f>HYPERLINK("https://klasma.github.io/Logging_0980/kartor/A 43321-2020 karta.png", "A 43321-2020")</f>
        <v/>
      </c>
      <c r="V112">
        <f>HYPERLINK("https://klasma.github.io/Logging_0980/klagomål/A 43321-2020 FSC-klagomål.docx", "A 43321-2020")</f>
        <v/>
      </c>
      <c r="W112">
        <f>HYPERLINK("https://klasma.github.io/Logging_0980/klagomålsmail/A 43321-2020 FSC-klagomål mail.docx", "A 43321-2020")</f>
        <v/>
      </c>
      <c r="X112">
        <f>HYPERLINK("https://klasma.github.io/Logging_0980/tillsyn/A 43321-2020 tillsynsbegäran.docx", "A 43321-2020")</f>
        <v/>
      </c>
      <c r="Y112">
        <f>HYPERLINK("https://klasma.github.io/Logging_0980/tillsynsmail/A 43321-2020 tillsynsbegäran mail.docx", "A 43321-2020")</f>
        <v/>
      </c>
      <c r="Z112">
        <f>HYPERLINK("https://klasma.github.io/Logging_0980/fåglar/A 43321-2020 prioriterade fågelarter.docx", "A 43321-2020")</f>
        <v/>
      </c>
    </row>
    <row r="113" ht="15" customHeight="1">
      <c r="A113" t="inlineStr">
        <is>
          <t>A 64263-2020</t>
        </is>
      </c>
      <c r="B113" s="1" t="n">
        <v>44168</v>
      </c>
      <c r="C113" s="1" t="n">
        <v>45881</v>
      </c>
      <c r="D113" t="inlineStr">
        <is>
          <t>GOTLANDS LÄN</t>
        </is>
      </c>
      <c r="E113" t="inlineStr">
        <is>
          <t>GOTLAND</t>
        </is>
      </c>
      <c r="G113" t="n">
        <v>10.9</v>
      </c>
      <c r="H113" t="n">
        <v>1</v>
      </c>
      <c r="I113" t="n">
        <v>0</v>
      </c>
      <c r="J113" t="n">
        <v>2</v>
      </c>
      <c r="K113" t="n">
        <v>0</v>
      </c>
      <c r="L113" t="n">
        <v>0</v>
      </c>
      <c r="M113" t="n">
        <v>0</v>
      </c>
      <c r="N113" t="n">
        <v>0</v>
      </c>
      <c r="O113" t="n">
        <v>2</v>
      </c>
      <c r="P113" t="n">
        <v>0</v>
      </c>
      <c r="Q113" t="n">
        <v>2</v>
      </c>
      <c r="R113" s="2" t="inlineStr">
        <is>
          <t>Mindre hackspett
Ullticka</t>
        </is>
      </c>
      <c r="S113">
        <f>HYPERLINK("https://klasma.github.io/Logging_0980/artfynd/A 64263-2020 artfynd.xlsx", "A 64263-2020")</f>
        <v/>
      </c>
      <c r="T113">
        <f>HYPERLINK("https://klasma.github.io/Logging_0980/kartor/A 64263-2020 karta.png", "A 64263-2020")</f>
        <v/>
      </c>
      <c r="V113">
        <f>HYPERLINK("https://klasma.github.io/Logging_0980/klagomål/A 64263-2020 FSC-klagomål.docx", "A 64263-2020")</f>
        <v/>
      </c>
      <c r="W113">
        <f>HYPERLINK("https://klasma.github.io/Logging_0980/klagomålsmail/A 64263-2020 FSC-klagomål mail.docx", "A 64263-2020")</f>
        <v/>
      </c>
      <c r="X113">
        <f>HYPERLINK("https://klasma.github.io/Logging_0980/tillsyn/A 64263-2020 tillsynsbegäran.docx", "A 64263-2020")</f>
        <v/>
      </c>
      <c r="Y113">
        <f>HYPERLINK("https://klasma.github.io/Logging_0980/tillsynsmail/A 64263-2020 tillsynsbegäran mail.docx", "A 64263-2020")</f>
        <v/>
      </c>
      <c r="Z113">
        <f>HYPERLINK("https://klasma.github.io/Logging_0980/fåglar/A 64263-2020 prioriterade fågelarter.docx", "A 64263-2020")</f>
        <v/>
      </c>
    </row>
    <row r="114" ht="15" customHeight="1">
      <c r="A114" t="inlineStr">
        <is>
          <t>A 73144-2021</t>
        </is>
      </c>
      <c r="B114" s="1" t="n">
        <v>44550</v>
      </c>
      <c r="C114" s="1" t="n">
        <v>45881</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28276-2024</t>
        </is>
      </c>
      <c r="B115" s="1" t="n">
        <v>45477</v>
      </c>
      <c r="C115" s="1" t="n">
        <v>45881</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28276-2024 artfynd.xlsx", "A 28276-2024")</f>
        <v/>
      </c>
      <c r="T115">
        <f>HYPERLINK("https://klasma.github.io/Logging_0980/kartor/A 28276-2024 karta.png", "A 28276-2024")</f>
        <v/>
      </c>
      <c r="V115">
        <f>HYPERLINK("https://klasma.github.io/Logging_0980/klagomål/A 28276-2024 FSC-klagomål.docx", "A 28276-2024")</f>
        <v/>
      </c>
      <c r="W115">
        <f>HYPERLINK("https://klasma.github.io/Logging_0980/klagomålsmail/A 28276-2024 FSC-klagomål mail.docx", "A 28276-2024")</f>
        <v/>
      </c>
      <c r="X115">
        <f>HYPERLINK("https://klasma.github.io/Logging_0980/tillsyn/A 28276-2024 tillsynsbegäran.docx", "A 28276-2024")</f>
        <v/>
      </c>
      <c r="Y115">
        <f>HYPERLINK("https://klasma.github.io/Logging_0980/tillsynsmail/A 28276-2024 tillsynsbegäran mail.docx", "A 28276-2024")</f>
        <v/>
      </c>
    </row>
    <row r="116" ht="15" customHeight="1">
      <c r="A116" t="inlineStr">
        <is>
          <t>A 54357-2024</t>
        </is>
      </c>
      <c r="B116" s="1" t="n">
        <v>45617.40662037037</v>
      </c>
      <c r="C116" s="1" t="n">
        <v>45881</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21879-2025</t>
        </is>
      </c>
      <c r="B117" s="1" t="n">
        <v>45784.40533564815</v>
      </c>
      <c r="C117" s="1" t="n">
        <v>45881</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45881</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45881</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45881</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45881</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45881</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45881</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45881</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45881</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45881</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45881</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45881</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45881</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45881</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62552-2022</t>
        </is>
      </c>
      <c r="B131" s="1" t="n">
        <v>44924</v>
      </c>
      <c r="C131" s="1" t="n">
        <v>45881</v>
      </c>
      <c r="D131" t="inlineStr">
        <is>
          <t>GOTLANDS LÄN</t>
        </is>
      </c>
      <c r="E131" t="inlineStr">
        <is>
          <t>GOTLAND</t>
        </is>
      </c>
      <c r="G131" t="n">
        <v>1.6</v>
      </c>
      <c r="H131" t="n">
        <v>0</v>
      </c>
      <c r="I131" t="n">
        <v>0</v>
      </c>
      <c r="J131" t="n">
        <v>1</v>
      </c>
      <c r="K131" t="n">
        <v>0</v>
      </c>
      <c r="L131" t="n">
        <v>0</v>
      </c>
      <c r="M131" t="n">
        <v>0</v>
      </c>
      <c r="N131" t="n">
        <v>0</v>
      </c>
      <c r="O131" t="n">
        <v>1</v>
      </c>
      <c r="P131" t="n">
        <v>0</v>
      </c>
      <c r="Q131" t="n">
        <v>1</v>
      </c>
      <c r="R131" s="2" t="inlineStr">
        <is>
          <t>Äggspindling</t>
        </is>
      </c>
      <c r="S131">
        <f>HYPERLINK("https://klasma.github.io/Logging_0980/artfynd/A 62552-2022 artfynd.xlsx", "A 62552-2022")</f>
        <v/>
      </c>
      <c r="T131">
        <f>HYPERLINK("https://klasma.github.io/Logging_0980/kartor/A 62552-2022 karta.png", "A 62552-2022")</f>
        <v/>
      </c>
      <c r="V131">
        <f>HYPERLINK("https://klasma.github.io/Logging_0980/klagomål/A 62552-2022 FSC-klagomål.docx", "A 62552-2022")</f>
        <v/>
      </c>
      <c r="W131">
        <f>HYPERLINK("https://klasma.github.io/Logging_0980/klagomålsmail/A 62552-2022 FSC-klagomål mail.docx", "A 62552-2022")</f>
        <v/>
      </c>
      <c r="X131">
        <f>HYPERLINK("https://klasma.github.io/Logging_0980/tillsyn/A 62552-2022 tillsynsbegäran.docx", "A 62552-2022")</f>
        <v/>
      </c>
      <c r="Y131">
        <f>HYPERLINK("https://klasma.github.io/Logging_0980/tillsynsmail/A 62552-2022 tillsynsbegäran mail.docx", "A 62552-2022")</f>
        <v/>
      </c>
    </row>
    <row r="132" ht="15" customHeight="1">
      <c r="A132" t="inlineStr">
        <is>
          <t>A 12379-2024</t>
        </is>
      </c>
      <c r="B132" s="1" t="n">
        <v>45379.28155092592</v>
      </c>
      <c r="C132" s="1" t="n">
        <v>45881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17723-2021</t>
        </is>
      </c>
      <c r="B133" s="1" t="n">
        <v>44300</v>
      </c>
      <c r="C133" s="1" t="n">
        <v>45881</v>
      </c>
      <c r="D133" t="inlineStr">
        <is>
          <t>GOTLANDS LÄN</t>
        </is>
      </c>
      <c r="E133" t="inlineStr">
        <is>
          <t>GOTLAND</t>
        </is>
      </c>
      <c r="G133" t="n">
        <v>1.5</v>
      </c>
      <c r="H133" t="n">
        <v>1</v>
      </c>
      <c r="I133" t="n">
        <v>1</v>
      </c>
      <c r="J133" t="n">
        <v>0</v>
      </c>
      <c r="K133" t="n">
        <v>0</v>
      </c>
      <c r="L133" t="n">
        <v>0</v>
      </c>
      <c r="M133" t="n">
        <v>0</v>
      </c>
      <c r="N133" t="n">
        <v>0</v>
      </c>
      <c r="O133" t="n">
        <v>0</v>
      </c>
      <c r="P133" t="n">
        <v>0</v>
      </c>
      <c r="Q133" t="n">
        <v>1</v>
      </c>
      <c r="R133" s="2" t="inlineStr">
        <is>
          <t>Vit skogslilja</t>
        </is>
      </c>
      <c r="S133">
        <f>HYPERLINK("https://klasma.github.io/Logging_0980/artfynd/A 17723-2021 artfynd.xlsx", "A 17723-2021")</f>
        <v/>
      </c>
      <c r="T133">
        <f>HYPERLINK("https://klasma.github.io/Logging_0980/kartor/A 17723-2021 karta.png", "A 17723-2021")</f>
        <v/>
      </c>
      <c r="V133">
        <f>HYPERLINK("https://klasma.github.io/Logging_0980/klagomål/A 17723-2021 FSC-klagomål.docx", "A 17723-2021")</f>
        <v/>
      </c>
      <c r="W133">
        <f>HYPERLINK("https://klasma.github.io/Logging_0980/klagomålsmail/A 17723-2021 FSC-klagomål mail.docx", "A 17723-2021")</f>
        <v/>
      </c>
      <c r="X133">
        <f>HYPERLINK("https://klasma.github.io/Logging_0980/tillsyn/A 17723-2021 tillsynsbegäran.docx", "A 17723-2021")</f>
        <v/>
      </c>
      <c r="Y133">
        <f>HYPERLINK("https://klasma.github.io/Logging_0980/tillsynsmail/A 17723-2021 tillsynsbegäran mail.docx", "A 17723-2021")</f>
        <v/>
      </c>
    </row>
    <row r="134" ht="15" customHeight="1">
      <c r="A134" t="inlineStr">
        <is>
          <t>A 44088-2022</t>
        </is>
      </c>
      <c r="B134" s="1" t="n">
        <v>44839</v>
      </c>
      <c r="C134" s="1" t="n">
        <v>45881</v>
      </c>
      <c r="D134" t="inlineStr">
        <is>
          <t>GOTLANDS LÄN</t>
        </is>
      </c>
      <c r="E134" t="inlineStr">
        <is>
          <t>GOTLAND</t>
        </is>
      </c>
      <c r="G134" t="n">
        <v>1.5</v>
      </c>
      <c r="H134" t="n">
        <v>0</v>
      </c>
      <c r="I134" t="n">
        <v>1</v>
      </c>
      <c r="J134" t="n">
        <v>0</v>
      </c>
      <c r="K134" t="n">
        <v>0</v>
      </c>
      <c r="L134" t="n">
        <v>0</v>
      </c>
      <c r="M134" t="n">
        <v>0</v>
      </c>
      <c r="N134" t="n">
        <v>0</v>
      </c>
      <c r="O134" t="n">
        <v>0</v>
      </c>
      <c r="P134" t="n">
        <v>0</v>
      </c>
      <c r="Q134" t="n">
        <v>1</v>
      </c>
      <c r="R134" s="2" t="inlineStr">
        <is>
          <t>Strävlosta</t>
        </is>
      </c>
      <c r="S134">
        <f>HYPERLINK("https://klasma.github.io/Logging_0980/artfynd/A 44088-2022 artfynd.xlsx", "A 44088-2022")</f>
        <v/>
      </c>
      <c r="T134">
        <f>HYPERLINK("https://klasma.github.io/Logging_0980/kartor/A 44088-2022 karta.png", "A 44088-2022")</f>
        <v/>
      </c>
      <c r="V134">
        <f>HYPERLINK("https://klasma.github.io/Logging_0980/klagomål/A 44088-2022 FSC-klagomål.docx", "A 44088-2022")</f>
        <v/>
      </c>
      <c r="W134">
        <f>HYPERLINK("https://klasma.github.io/Logging_0980/klagomålsmail/A 44088-2022 FSC-klagomål mail.docx", "A 44088-2022")</f>
        <v/>
      </c>
      <c r="X134">
        <f>HYPERLINK("https://klasma.github.io/Logging_0980/tillsyn/A 44088-2022 tillsynsbegäran.docx", "A 44088-2022")</f>
        <v/>
      </c>
      <c r="Y134">
        <f>HYPERLINK("https://klasma.github.io/Logging_0980/tillsynsmail/A 44088-2022 tillsynsbegäran mail.docx", "A 44088-2022")</f>
        <v/>
      </c>
    </row>
    <row r="135" ht="15" customHeight="1">
      <c r="A135" t="inlineStr">
        <is>
          <t>A 44308-2021</t>
        </is>
      </c>
      <c r="B135" s="1" t="n">
        <v>44434</v>
      </c>
      <c r="C135" s="1" t="n">
        <v>45881</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447-2023</t>
        </is>
      </c>
      <c r="B136" s="1" t="n">
        <v>44929</v>
      </c>
      <c r="C136" s="1" t="n">
        <v>45881</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9862-2024</t>
        </is>
      </c>
      <c r="B137" s="1" t="n">
        <v>45363</v>
      </c>
      <c r="C137" s="1" t="n">
        <v>45881</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24245-2022</t>
        </is>
      </c>
      <c r="B138" s="1" t="n">
        <v>44725</v>
      </c>
      <c r="C138" s="1" t="n">
        <v>45881</v>
      </c>
      <c r="D138" t="inlineStr">
        <is>
          <t>GOTLANDS LÄN</t>
        </is>
      </c>
      <c r="E138" t="inlineStr">
        <is>
          <t>GOTLAND</t>
        </is>
      </c>
      <c r="G138" t="n">
        <v>4.9</v>
      </c>
      <c r="H138" t="n">
        <v>0</v>
      </c>
      <c r="I138" t="n">
        <v>0</v>
      </c>
      <c r="J138" t="n">
        <v>0</v>
      </c>
      <c r="K138" t="n">
        <v>0</v>
      </c>
      <c r="L138" t="n">
        <v>1</v>
      </c>
      <c r="M138" t="n">
        <v>0</v>
      </c>
      <c r="N138" t="n">
        <v>0</v>
      </c>
      <c r="O138" t="n">
        <v>1</v>
      </c>
      <c r="P138" t="n">
        <v>1</v>
      </c>
      <c r="Q138" t="n">
        <v>1</v>
      </c>
      <c r="R138" s="2" t="inlineStr">
        <is>
          <t>Slät taggsvamp</t>
        </is>
      </c>
      <c r="S138">
        <f>HYPERLINK("https://klasma.github.io/Logging_0980/artfynd/A 24245-2022 artfynd.xlsx", "A 24245-2022")</f>
        <v/>
      </c>
      <c r="T138">
        <f>HYPERLINK("https://klasma.github.io/Logging_0980/kartor/A 24245-2022 karta.png", "A 24245-2022")</f>
        <v/>
      </c>
      <c r="V138">
        <f>HYPERLINK("https://klasma.github.io/Logging_0980/klagomål/A 24245-2022 FSC-klagomål.docx", "A 24245-2022")</f>
        <v/>
      </c>
      <c r="W138">
        <f>HYPERLINK("https://klasma.github.io/Logging_0980/klagomålsmail/A 24245-2022 FSC-klagomål mail.docx", "A 24245-2022")</f>
        <v/>
      </c>
      <c r="X138">
        <f>HYPERLINK("https://klasma.github.io/Logging_0980/tillsyn/A 24245-2022 tillsynsbegäran.docx", "A 24245-2022")</f>
        <v/>
      </c>
      <c r="Y138">
        <f>HYPERLINK("https://klasma.github.io/Logging_0980/tillsynsmail/A 24245-2022 tillsynsbegäran mail.docx", "A 24245-2022")</f>
        <v/>
      </c>
    </row>
    <row r="139" ht="15" customHeight="1">
      <c r="A139" t="inlineStr">
        <is>
          <t>A 44958-2020</t>
        </is>
      </c>
      <c r="B139" s="1" t="n">
        <v>44088</v>
      </c>
      <c r="C139" s="1" t="n">
        <v>45881</v>
      </c>
      <c r="D139" t="inlineStr">
        <is>
          <t>GOTLANDS LÄN</t>
        </is>
      </c>
      <c r="E139" t="inlineStr">
        <is>
          <t>GOTLAND</t>
        </is>
      </c>
      <c r="G139" t="n">
        <v>0.6</v>
      </c>
      <c r="H139" t="n">
        <v>1</v>
      </c>
      <c r="I139" t="n">
        <v>0</v>
      </c>
      <c r="J139" t="n">
        <v>1</v>
      </c>
      <c r="K139" t="n">
        <v>0</v>
      </c>
      <c r="L139" t="n">
        <v>0</v>
      </c>
      <c r="M139" t="n">
        <v>0</v>
      </c>
      <c r="N139" t="n">
        <v>0</v>
      </c>
      <c r="O139" t="n">
        <v>1</v>
      </c>
      <c r="P139" t="n">
        <v>0</v>
      </c>
      <c r="Q139" t="n">
        <v>1</v>
      </c>
      <c r="R139" s="2" t="inlineStr">
        <is>
          <t>Hornuggla</t>
        </is>
      </c>
      <c r="S139">
        <f>HYPERLINK("https://klasma.github.io/Logging_0980/artfynd/A 44958-2020 artfynd.xlsx", "A 44958-2020")</f>
        <v/>
      </c>
      <c r="T139">
        <f>HYPERLINK("https://klasma.github.io/Logging_0980/kartor/A 44958-2020 karta.png", "A 44958-2020")</f>
        <v/>
      </c>
      <c r="V139">
        <f>HYPERLINK("https://klasma.github.io/Logging_0980/klagomål/A 44958-2020 FSC-klagomål.docx", "A 44958-2020")</f>
        <v/>
      </c>
      <c r="W139">
        <f>HYPERLINK("https://klasma.github.io/Logging_0980/klagomålsmail/A 44958-2020 FSC-klagomål mail.docx", "A 44958-2020")</f>
        <v/>
      </c>
      <c r="X139">
        <f>HYPERLINK("https://klasma.github.io/Logging_0980/tillsyn/A 44958-2020 tillsynsbegäran.docx", "A 44958-2020")</f>
        <v/>
      </c>
      <c r="Y139">
        <f>HYPERLINK("https://klasma.github.io/Logging_0980/tillsynsmail/A 44958-2020 tillsynsbegäran mail.docx", "A 44958-2020")</f>
        <v/>
      </c>
      <c r="Z139">
        <f>HYPERLINK("https://klasma.github.io/Logging_0980/fåglar/A 44958-2020 prioriterade fågelarter.docx", "A 44958-2020")</f>
        <v/>
      </c>
    </row>
    <row r="140" ht="15" customHeight="1">
      <c r="A140" t="inlineStr">
        <is>
          <t>A 25977-2024</t>
        </is>
      </c>
      <c r="B140" s="1" t="n">
        <v>45467.69356481481</v>
      </c>
      <c r="C140" s="1" t="n">
        <v>45881</v>
      </c>
      <c r="D140" t="inlineStr">
        <is>
          <t>GOTLANDS LÄN</t>
        </is>
      </c>
      <c r="E140" t="inlineStr">
        <is>
          <t>GOTLAND</t>
        </is>
      </c>
      <c r="G140" t="n">
        <v>3</v>
      </c>
      <c r="H140" t="n">
        <v>1</v>
      </c>
      <c r="I140" t="n">
        <v>0</v>
      </c>
      <c r="J140" t="n">
        <v>0</v>
      </c>
      <c r="K140" t="n">
        <v>0</v>
      </c>
      <c r="L140" t="n">
        <v>0</v>
      </c>
      <c r="M140" t="n">
        <v>0</v>
      </c>
      <c r="N140" t="n">
        <v>0</v>
      </c>
      <c r="O140" t="n">
        <v>0</v>
      </c>
      <c r="P140" t="n">
        <v>0</v>
      </c>
      <c r="Q140" t="n">
        <v>1</v>
      </c>
      <c r="R140" s="2" t="inlineStr">
        <is>
          <t>Nattviol</t>
        </is>
      </c>
      <c r="S140">
        <f>HYPERLINK("https://klasma.github.io/Logging_0980/artfynd/A 25977-2024 artfynd.xlsx", "A 25977-2024")</f>
        <v/>
      </c>
      <c r="T140">
        <f>HYPERLINK("https://klasma.github.io/Logging_0980/kartor/A 25977-2024 karta.png", "A 25977-2024")</f>
        <v/>
      </c>
      <c r="V140">
        <f>HYPERLINK("https://klasma.github.io/Logging_0980/klagomål/A 25977-2024 FSC-klagomål.docx", "A 25977-2024")</f>
        <v/>
      </c>
      <c r="W140">
        <f>HYPERLINK("https://klasma.github.io/Logging_0980/klagomålsmail/A 25977-2024 FSC-klagomål mail.docx", "A 25977-2024")</f>
        <v/>
      </c>
      <c r="X140">
        <f>HYPERLINK("https://klasma.github.io/Logging_0980/tillsyn/A 25977-2024 tillsynsbegäran.docx", "A 25977-2024")</f>
        <v/>
      </c>
      <c r="Y140">
        <f>HYPERLINK("https://klasma.github.io/Logging_0980/tillsynsmail/A 25977-2024 tillsynsbegäran mail.docx", "A 25977-2024")</f>
        <v/>
      </c>
    </row>
    <row r="141" ht="15" customHeight="1">
      <c r="A141" t="inlineStr">
        <is>
          <t>A 947-2023</t>
        </is>
      </c>
      <c r="B141" s="1" t="n">
        <v>44934</v>
      </c>
      <c r="C141" s="1" t="n">
        <v>45881</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2213-2023</t>
        </is>
      </c>
      <c r="B142" s="1" t="n">
        <v>44942</v>
      </c>
      <c r="C142" s="1" t="n">
        <v>45881</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65927-2021</t>
        </is>
      </c>
      <c r="B143" s="1" t="n">
        <v>44516</v>
      </c>
      <c r="C143" s="1" t="n">
        <v>45881</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49847-2023</t>
        </is>
      </c>
      <c r="B144" s="1" t="n">
        <v>45212</v>
      </c>
      <c r="C144" s="1" t="n">
        <v>45881</v>
      </c>
      <c r="D144" t="inlineStr">
        <is>
          <t>GOTLANDS LÄN</t>
        </is>
      </c>
      <c r="E144" t="inlineStr">
        <is>
          <t>GOTLAND</t>
        </is>
      </c>
      <c r="G144" t="n">
        <v>35.2</v>
      </c>
      <c r="H144" t="n">
        <v>0</v>
      </c>
      <c r="I144" t="n">
        <v>0</v>
      </c>
      <c r="J144" t="n">
        <v>0</v>
      </c>
      <c r="K144" t="n">
        <v>1</v>
      </c>
      <c r="L144" t="n">
        <v>0</v>
      </c>
      <c r="M144" t="n">
        <v>0</v>
      </c>
      <c r="N144" t="n">
        <v>0</v>
      </c>
      <c r="O144" t="n">
        <v>1</v>
      </c>
      <c r="P144" t="n">
        <v>1</v>
      </c>
      <c r="Q144" t="n">
        <v>1</v>
      </c>
      <c r="R144" s="2" t="inlineStr">
        <is>
          <t>Strandviol</t>
        </is>
      </c>
      <c r="S144">
        <f>HYPERLINK("https://klasma.github.io/Logging_0980/artfynd/A 49847-2023 artfynd.xlsx", "A 49847-2023")</f>
        <v/>
      </c>
      <c r="T144">
        <f>HYPERLINK("https://klasma.github.io/Logging_0980/kartor/A 49847-2023 karta.png", "A 49847-2023")</f>
        <v/>
      </c>
      <c r="V144">
        <f>HYPERLINK("https://klasma.github.io/Logging_0980/klagomål/A 49847-2023 FSC-klagomål.docx", "A 49847-2023")</f>
        <v/>
      </c>
      <c r="W144">
        <f>HYPERLINK("https://klasma.github.io/Logging_0980/klagomålsmail/A 49847-2023 FSC-klagomål mail.docx", "A 49847-2023")</f>
        <v/>
      </c>
      <c r="X144">
        <f>HYPERLINK("https://klasma.github.io/Logging_0980/tillsyn/A 49847-2023 tillsynsbegäran.docx", "A 49847-2023")</f>
        <v/>
      </c>
      <c r="Y144">
        <f>HYPERLINK("https://klasma.github.io/Logging_0980/tillsynsmail/A 49847-2023 tillsynsbegäran mail.docx", "A 49847-2023")</f>
        <v/>
      </c>
    </row>
    <row r="145" ht="15" customHeight="1">
      <c r="A145" t="inlineStr">
        <is>
          <t>A 49304-2024</t>
        </is>
      </c>
      <c r="B145" s="1" t="n">
        <v>45595.54996527778</v>
      </c>
      <c r="C145" s="1" t="n">
        <v>45881</v>
      </c>
      <c r="D145" t="inlineStr">
        <is>
          <t>GOTLANDS LÄN</t>
        </is>
      </c>
      <c r="E145" t="inlineStr">
        <is>
          <t>GOTLAND</t>
        </is>
      </c>
      <c r="G145" t="n">
        <v>10.8</v>
      </c>
      <c r="H145" t="n">
        <v>0</v>
      </c>
      <c r="I145" t="n">
        <v>0</v>
      </c>
      <c r="J145" t="n">
        <v>1</v>
      </c>
      <c r="K145" t="n">
        <v>0</v>
      </c>
      <c r="L145" t="n">
        <v>0</v>
      </c>
      <c r="M145" t="n">
        <v>0</v>
      </c>
      <c r="N145" t="n">
        <v>0</v>
      </c>
      <c r="O145" t="n">
        <v>1</v>
      </c>
      <c r="P145" t="n">
        <v>0</v>
      </c>
      <c r="Q145" t="n">
        <v>1</v>
      </c>
      <c r="R145" s="2" t="inlineStr">
        <is>
          <t>Åkerranunkel</t>
        </is>
      </c>
      <c r="S145">
        <f>HYPERLINK("https://klasma.github.io/Logging_0980/artfynd/A 49304-2024 artfynd.xlsx", "A 49304-2024")</f>
        <v/>
      </c>
      <c r="T145">
        <f>HYPERLINK("https://klasma.github.io/Logging_0980/kartor/A 49304-2024 karta.png", "A 49304-2024")</f>
        <v/>
      </c>
      <c r="V145">
        <f>HYPERLINK("https://klasma.github.io/Logging_0980/klagomål/A 49304-2024 FSC-klagomål.docx", "A 49304-2024")</f>
        <v/>
      </c>
      <c r="W145">
        <f>HYPERLINK("https://klasma.github.io/Logging_0980/klagomålsmail/A 49304-2024 FSC-klagomål mail.docx", "A 49304-2024")</f>
        <v/>
      </c>
      <c r="X145">
        <f>HYPERLINK("https://klasma.github.io/Logging_0980/tillsyn/A 49304-2024 tillsynsbegäran.docx", "A 49304-2024")</f>
        <v/>
      </c>
      <c r="Y145">
        <f>HYPERLINK("https://klasma.github.io/Logging_0980/tillsynsmail/A 49304-2024 tillsynsbegäran mail.docx", "A 49304-2024")</f>
        <v/>
      </c>
    </row>
    <row r="146" ht="15" customHeight="1">
      <c r="A146" t="inlineStr">
        <is>
          <t>A 63576-2021</t>
        </is>
      </c>
      <c r="B146" s="1" t="n">
        <v>44508</v>
      </c>
      <c r="C146" s="1" t="n">
        <v>45881</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64700-2021</t>
        </is>
      </c>
      <c r="B147" s="1" t="n">
        <v>44511</v>
      </c>
      <c r="C147" s="1" t="n">
        <v>45881</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46527-2023</t>
        </is>
      </c>
      <c r="B148" s="1" t="n">
        <v>45197</v>
      </c>
      <c r="C148" s="1" t="n">
        <v>45881</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61796-2022</t>
        </is>
      </c>
      <c r="B149" s="1" t="n">
        <v>44917</v>
      </c>
      <c r="C149" s="1" t="n">
        <v>45881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12324-2025</t>
        </is>
      </c>
      <c r="B150" s="1" t="n">
        <v>45730</v>
      </c>
      <c r="C150" s="1" t="n">
        <v>45881</v>
      </c>
      <c r="D150" t="inlineStr">
        <is>
          <t>GOTLANDS LÄN</t>
        </is>
      </c>
      <c r="E150" t="inlineStr">
        <is>
          <t>GOTLAND</t>
        </is>
      </c>
      <c r="G150" t="n">
        <v>5</v>
      </c>
      <c r="H150" t="n">
        <v>0</v>
      </c>
      <c r="I150" t="n">
        <v>0</v>
      </c>
      <c r="J150" t="n">
        <v>0</v>
      </c>
      <c r="K150" t="n">
        <v>1</v>
      </c>
      <c r="L150" t="n">
        <v>0</v>
      </c>
      <c r="M150" t="n">
        <v>0</v>
      </c>
      <c r="N150" t="n">
        <v>0</v>
      </c>
      <c r="O150" t="n">
        <v>1</v>
      </c>
      <c r="P150" t="n">
        <v>1</v>
      </c>
      <c r="Q150" t="n">
        <v>1</v>
      </c>
      <c r="R150" s="2" t="inlineStr">
        <is>
          <t>Sommarklynne</t>
        </is>
      </c>
      <c r="S150">
        <f>HYPERLINK("https://klasma.github.io/Logging_0980/artfynd/A 12324-2025 artfynd.xlsx", "A 12324-2025")</f>
        <v/>
      </c>
      <c r="T150">
        <f>HYPERLINK("https://klasma.github.io/Logging_0980/kartor/A 12324-2025 karta.png", "A 12324-2025")</f>
        <v/>
      </c>
      <c r="V150">
        <f>HYPERLINK("https://klasma.github.io/Logging_0980/klagomål/A 12324-2025 FSC-klagomål.docx", "A 12324-2025")</f>
        <v/>
      </c>
      <c r="W150">
        <f>HYPERLINK("https://klasma.github.io/Logging_0980/klagomålsmail/A 12324-2025 FSC-klagomål mail.docx", "A 12324-2025")</f>
        <v/>
      </c>
      <c r="X150">
        <f>HYPERLINK("https://klasma.github.io/Logging_0980/tillsyn/A 12324-2025 tillsynsbegäran.docx", "A 12324-2025")</f>
        <v/>
      </c>
      <c r="Y150">
        <f>HYPERLINK("https://klasma.github.io/Logging_0980/tillsynsmail/A 12324-2025 tillsynsbegäran mail.docx", "A 12324-2025")</f>
        <v/>
      </c>
    </row>
    <row r="151" ht="15" customHeight="1">
      <c r="A151" t="inlineStr">
        <is>
          <t>A 27589-2023</t>
        </is>
      </c>
      <c r="B151" s="1" t="n">
        <v>45097</v>
      </c>
      <c r="C151" s="1" t="n">
        <v>45881</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15637-2024</t>
        </is>
      </c>
      <c r="B152" s="1" t="n">
        <v>45403.6684837963</v>
      </c>
      <c r="C152" s="1" t="n">
        <v>45881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35574-2024</t>
        </is>
      </c>
      <c r="B153" s="1" t="n">
        <v>45531</v>
      </c>
      <c r="C153" s="1" t="n">
        <v>45881</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45881</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21466-2025</t>
        </is>
      </c>
      <c r="B155" s="1" t="n">
        <v>45782</v>
      </c>
      <c r="C155" s="1" t="n">
        <v>45881</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2476-2025</t>
        </is>
      </c>
      <c r="B156" s="1" t="n">
        <v>45673</v>
      </c>
      <c r="C156" s="1" t="n">
        <v>45881</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48155-2024</t>
        </is>
      </c>
      <c r="B157" s="1" t="n">
        <v>45589.68863425926</v>
      </c>
      <c r="C157" s="1" t="n">
        <v>45881</v>
      </c>
      <c r="D157" t="inlineStr">
        <is>
          <t>GOTLANDS LÄN</t>
        </is>
      </c>
      <c r="E157" t="inlineStr">
        <is>
          <t>GOTLAND</t>
        </is>
      </c>
      <c r="G157" t="n">
        <v>2.4</v>
      </c>
      <c r="H157" t="n">
        <v>1</v>
      </c>
      <c r="I157" t="n">
        <v>0</v>
      </c>
      <c r="J157" t="n">
        <v>0</v>
      </c>
      <c r="K157" t="n">
        <v>0</v>
      </c>
      <c r="L157" t="n">
        <v>0</v>
      </c>
      <c r="M157" t="n">
        <v>0</v>
      </c>
      <c r="N157" t="n">
        <v>0</v>
      </c>
      <c r="O157" t="n">
        <v>0</v>
      </c>
      <c r="P157" t="n">
        <v>0</v>
      </c>
      <c r="Q157" t="n">
        <v>1</v>
      </c>
      <c r="R157" s="2" t="inlineStr">
        <is>
          <t>Gröngöling</t>
        </is>
      </c>
      <c r="S157">
        <f>HYPERLINK("https://klasma.github.io/Logging_0980/artfynd/A 48155-2024 artfynd.xlsx", "A 48155-2024")</f>
        <v/>
      </c>
      <c r="T157">
        <f>HYPERLINK("https://klasma.github.io/Logging_0980/kartor/A 48155-2024 karta.png", "A 48155-2024")</f>
        <v/>
      </c>
      <c r="V157">
        <f>HYPERLINK("https://klasma.github.io/Logging_0980/klagomål/A 48155-2024 FSC-klagomål.docx", "A 48155-2024")</f>
        <v/>
      </c>
      <c r="W157">
        <f>HYPERLINK("https://klasma.github.io/Logging_0980/klagomålsmail/A 48155-2024 FSC-klagomål mail.docx", "A 48155-2024")</f>
        <v/>
      </c>
      <c r="X157">
        <f>HYPERLINK("https://klasma.github.io/Logging_0980/tillsyn/A 48155-2024 tillsynsbegäran.docx", "A 48155-2024")</f>
        <v/>
      </c>
      <c r="Y157">
        <f>HYPERLINK("https://klasma.github.io/Logging_0980/tillsynsmail/A 48155-2024 tillsynsbegäran mail.docx", "A 48155-2024")</f>
        <v/>
      </c>
      <c r="Z157">
        <f>HYPERLINK("https://klasma.github.io/Logging_0980/fåglar/A 48155-2024 prioriterade fågelarter.docx", "A 48155-2024")</f>
        <v/>
      </c>
    </row>
    <row r="158" ht="15" customHeight="1">
      <c r="A158" t="inlineStr">
        <is>
          <t>A 12924-2025</t>
        </is>
      </c>
      <c r="B158" s="1" t="n">
        <v>45734</v>
      </c>
      <c r="C158" s="1" t="n">
        <v>45881</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10995-2023</t>
        </is>
      </c>
      <c r="B159" s="1" t="n">
        <v>44986</v>
      </c>
      <c r="C159" s="1" t="n">
        <v>45881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6303-2024</t>
        </is>
      </c>
      <c r="B160" s="1" t="n">
        <v>45338.35376157407</v>
      </c>
      <c r="C160" s="1" t="n">
        <v>45881</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10440-2024</t>
        </is>
      </c>
      <c r="B161" s="1" t="n">
        <v>45366.32818287037</v>
      </c>
      <c r="C161" s="1" t="n">
        <v>45881</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44468-2024</t>
        </is>
      </c>
      <c r="B162" s="1" t="n">
        <v>45574.36651620371</v>
      </c>
      <c r="C162" s="1" t="n">
        <v>45881</v>
      </c>
      <c r="D162" t="inlineStr">
        <is>
          <t>GOTLANDS LÄN</t>
        </is>
      </c>
      <c r="E162" t="inlineStr">
        <is>
          <t>GOTLAND</t>
        </is>
      </c>
      <c r="G162" t="n">
        <v>7</v>
      </c>
      <c r="H162" t="n">
        <v>0</v>
      </c>
      <c r="I162" t="n">
        <v>0</v>
      </c>
      <c r="J162" t="n">
        <v>0</v>
      </c>
      <c r="K162" t="n">
        <v>0</v>
      </c>
      <c r="L162" t="n">
        <v>0</v>
      </c>
      <c r="M162" t="n">
        <v>1</v>
      </c>
      <c r="N162" t="n">
        <v>0</v>
      </c>
      <c r="O162" t="n">
        <v>1</v>
      </c>
      <c r="P162" t="n">
        <v>1</v>
      </c>
      <c r="Q162" t="n">
        <v>1</v>
      </c>
      <c r="R162" s="2" t="inlineStr">
        <is>
          <t>Skogsalm</t>
        </is>
      </c>
      <c r="S162">
        <f>HYPERLINK("https://klasma.github.io/Logging_0980/artfynd/A 44468-2024 artfynd.xlsx", "A 44468-2024")</f>
        <v/>
      </c>
      <c r="T162">
        <f>HYPERLINK("https://klasma.github.io/Logging_0980/kartor/A 44468-2024 karta.png", "A 44468-2024")</f>
        <v/>
      </c>
      <c r="V162">
        <f>HYPERLINK("https://klasma.github.io/Logging_0980/klagomål/A 44468-2024 FSC-klagomål.docx", "A 44468-2024")</f>
        <v/>
      </c>
      <c r="W162">
        <f>HYPERLINK("https://klasma.github.io/Logging_0980/klagomålsmail/A 44468-2024 FSC-klagomål mail.docx", "A 44468-2024")</f>
        <v/>
      </c>
      <c r="X162">
        <f>HYPERLINK("https://klasma.github.io/Logging_0980/tillsyn/A 44468-2024 tillsynsbegäran.docx", "A 44468-2024")</f>
        <v/>
      </c>
      <c r="Y162">
        <f>HYPERLINK("https://klasma.github.io/Logging_0980/tillsynsmail/A 44468-2024 tillsynsbegäran mail.docx", "A 44468-2024")</f>
        <v/>
      </c>
    </row>
    <row r="163" ht="15" customHeight="1">
      <c r="A163" t="inlineStr">
        <is>
          <t>A 34809-2024</t>
        </is>
      </c>
      <c r="B163" s="1" t="n">
        <v>45526</v>
      </c>
      <c r="C163" s="1" t="n">
        <v>45881</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43219-2023</t>
        </is>
      </c>
      <c r="B164" s="1" t="n">
        <v>45183</v>
      </c>
      <c r="C164" s="1" t="n">
        <v>45881</v>
      </c>
      <c r="D164" t="inlineStr">
        <is>
          <t>GOTLANDS LÄN</t>
        </is>
      </c>
      <c r="E164" t="inlineStr">
        <is>
          <t>GOTLAND</t>
        </is>
      </c>
      <c r="G164" t="n">
        <v>3.6</v>
      </c>
      <c r="H164" t="n">
        <v>1</v>
      </c>
      <c r="I164" t="n">
        <v>0</v>
      </c>
      <c r="J164" t="n">
        <v>0</v>
      </c>
      <c r="K164" t="n">
        <v>0</v>
      </c>
      <c r="L164" t="n">
        <v>0</v>
      </c>
      <c r="M164" t="n">
        <v>0</v>
      </c>
      <c r="N164" t="n">
        <v>0</v>
      </c>
      <c r="O164" t="n">
        <v>0</v>
      </c>
      <c r="P164" t="n">
        <v>0</v>
      </c>
      <c r="Q164" t="n">
        <v>1</v>
      </c>
      <c r="R164" s="2" t="inlineStr">
        <is>
          <t>Skogsduva</t>
        </is>
      </c>
      <c r="S164">
        <f>HYPERLINK("https://klasma.github.io/Logging_0980/artfynd/A 43219-2023 artfynd.xlsx", "A 43219-2023")</f>
        <v/>
      </c>
      <c r="T164">
        <f>HYPERLINK("https://klasma.github.io/Logging_0980/kartor/A 43219-2023 karta.png", "A 43219-2023")</f>
        <v/>
      </c>
      <c r="V164">
        <f>HYPERLINK("https://klasma.github.io/Logging_0980/klagomål/A 43219-2023 FSC-klagomål.docx", "A 43219-2023")</f>
        <v/>
      </c>
      <c r="W164">
        <f>HYPERLINK("https://klasma.github.io/Logging_0980/klagomålsmail/A 43219-2023 FSC-klagomål mail.docx", "A 43219-2023")</f>
        <v/>
      </c>
      <c r="X164">
        <f>HYPERLINK("https://klasma.github.io/Logging_0980/tillsyn/A 43219-2023 tillsynsbegäran.docx", "A 43219-2023")</f>
        <v/>
      </c>
      <c r="Y164">
        <f>HYPERLINK("https://klasma.github.io/Logging_0980/tillsynsmail/A 43219-2023 tillsynsbegäran mail.docx", "A 43219-2023")</f>
        <v/>
      </c>
      <c r="Z164">
        <f>HYPERLINK("https://klasma.github.io/Logging_0980/fåglar/A 43219-2023 prioriterade fågelarter.docx", "A 43219-2023")</f>
        <v/>
      </c>
    </row>
    <row r="165" ht="15" customHeight="1">
      <c r="A165" t="inlineStr">
        <is>
          <t>A 26461-2025</t>
        </is>
      </c>
      <c r="B165" s="1" t="n">
        <v>45807.43337962963</v>
      </c>
      <c r="C165" s="1" t="n">
        <v>45881</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61561-2023</t>
        </is>
      </c>
      <c r="B166" s="1" t="n">
        <v>45265</v>
      </c>
      <c r="C166" s="1" t="n">
        <v>45881</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8725-2025</t>
        </is>
      </c>
      <c r="B167" s="1" t="n">
        <v>45712</v>
      </c>
      <c r="C167" s="1" t="n">
        <v>45881</v>
      </c>
      <c r="D167" t="inlineStr">
        <is>
          <t>GOTLANDS LÄN</t>
        </is>
      </c>
      <c r="E167" t="inlineStr">
        <is>
          <t>GOTLAND</t>
        </is>
      </c>
      <c r="G167" t="n">
        <v>4.4</v>
      </c>
      <c r="H167" t="n">
        <v>1</v>
      </c>
      <c r="I167" t="n">
        <v>0</v>
      </c>
      <c r="J167" t="n">
        <v>1</v>
      </c>
      <c r="K167" t="n">
        <v>0</v>
      </c>
      <c r="L167" t="n">
        <v>0</v>
      </c>
      <c r="M167" t="n">
        <v>0</v>
      </c>
      <c r="N167" t="n">
        <v>0</v>
      </c>
      <c r="O167" t="n">
        <v>1</v>
      </c>
      <c r="P167" t="n">
        <v>0</v>
      </c>
      <c r="Q167" t="n">
        <v>1</v>
      </c>
      <c r="R167" s="2" t="inlineStr">
        <is>
          <t>Spillkråka</t>
        </is>
      </c>
      <c r="S167">
        <f>HYPERLINK("https://klasma.github.io/Logging_0980/artfynd/A 8725-2025 artfynd.xlsx", "A 8725-2025")</f>
        <v/>
      </c>
      <c r="T167">
        <f>HYPERLINK("https://klasma.github.io/Logging_0980/kartor/A 8725-2025 karta.png", "A 8725-2025")</f>
        <v/>
      </c>
      <c r="V167">
        <f>HYPERLINK("https://klasma.github.io/Logging_0980/klagomål/A 8725-2025 FSC-klagomål.docx", "A 8725-2025")</f>
        <v/>
      </c>
      <c r="W167">
        <f>HYPERLINK("https://klasma.github.io/Logging_0980/klagomålsmail/A 8725-2025 FSC-klagomål mail.docx", "A 8725-2025")</f>
        <v/>
      </c>
      <c r="X167">
        <f>HYPERLINK("https://klasma.github.io/Logging_0980/tillsyn/A 8725-2025 tillsynsbegäran.docx", "A 8725-2025")</f>
        <v/>
      </c>
      <c r="Y167">
        <f>HYPERLINK("https://klasma.github.io/Logging_0980/tillsynsmail/A 8725-2025 tillsynsbegäran mail.docx", "A 8725-2025")</f>
        <v/>
      </c>
      <c r="Z167">
        <f>HYPERLINK("https://klasma.github.io/Logging_0980/fåglar/A 8725-2025 prioriterade fågelarter.docx", "A 8725-2025")</f>
        <v/>
      </c>
    </row>
    <row r="168" ht="15" customHeight="1">
      <c r="A168" t="inlineStr">
        <is>
          <t>A 34141-2024</t>
        </is>
      </c>
      <c r="B168" s="1" t="n">
        <v>45524.36229166666</v>
      </c>
      <c r="C168" s="1" t="n">
        <v>45881</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45881</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45881</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45881</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45881</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45881</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45881</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45881</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45881</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45881</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45881</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45881</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45881</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24235-2022</t>
        </is>
      </c>
      <c r="B190" s="1" t="n">
        <v>44725</v>
      </c>
      <c r="C190" s="1" t="n">
        <v>45881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45881</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45881</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45881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45881</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45881</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37037-2021</t>
        </is>
      </c>
      <c r="B211" s="1" t="n">
        <v>44393.84688657407</v>
      </c>
      <c r="C211" s="1" t="n">
        <v>45881</v>
      </c>
      <c r="D211" t="inlineStr">
        <is>
          <t>GOTLANDS LÄN</t>
        </is>
      </c>
      <c r="E211" t="inlineStr">
        <is>
          <t>GOTLAND</t>
        </is>
      </c>
      <c r="G211" t="n">
        <v>10.2</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45881</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45881</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45881</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45881</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45881</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45881</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45881</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45881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45881</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45881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45881</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45881</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62120-2020</t>
        </is>
      </c>
      <c r="B224" s="1" t="n">
        <v>44158</v>
      </c>
      <c r="C224" s="1" t="n">
        <v>45881</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3271-2021</t>
        </is>
      </c>
      <c r="B225" s="1" t="n">
        <v>44217</v>
      </c>
      <c r="C225" s="1" t="n">
        <v>45881</v>
      </c>
      <c r="D225" t="inlineStr">
        <is>
          <t>GOTLANDS LÄN</t>
        </is>
      </c>
      <c r="E225" t="inlineStr">
        <is>
          <t>GOTLAND</t>
        </is>
      </c>
      <c r="G225" t="n">
        <v>0.7</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45881</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45881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45881</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45881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45881</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37569-2022</t>
        </is>
      </c>
      <c r="B231" s="1" t="n">
        <v>44809.68125</v>
      </c>
      <c r="C231" s="1" t="n">
        <v>45881</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45881</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45881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45881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45881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27930-2021</t>
        </is>
      </c>
      <c r="B236" s="1" t="n">
        <v>44354</v>
      </c>
      <c r="C236" s="1" t="n">
        <v>45881</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45881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61962-2024</t>
        </is>
      </c>
      <c r="B238" s="1" t="n">
        <v>45653.54340277778</v>
      </c>
      <c r="C238" s="1" t="n">
        <v>45881</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61964-2024</t>
        </is>
      </c>
      <c r="B239" s="1" t="n">
        <v>45653.54789351852</v>
      </c>
      <c r="C239" s="1" t="n">
        <v>45881</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45881</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45881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6108-2025</t>
        </is>
      </c>
      <c r="B242" s="1" t="n">
        <v>45698.29880787037</v>
      </c>
      <c r="C242" s="1" t="n">
        <v>45881</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8701-2025</t>
        </is>
      </c>
      <c r="B243" s="1" t="n">
        <v>45712</v>
      </c>
      <c r="C243" s="1" t="n">
        <v>45881</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45881</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10492-2023</t>
        </is>
      </c>
      <c r="B245" s="1" t="n">
        <v>44987</v>
      </c>
      <c r="C245" s="1" t="n">
        <v>45881</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21507-2021</t>
        </is>
      </c>
      <c r="B246" s="1" t="n">
        <v>44321</v>
      </c>
      <c r="C246" s="1" t="n">
        <v>45881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45881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15595-2024</t>
        </is>
      </c>
      <c r="B248" s="1" t="n">
        <v>45401.81480324074</v>
      </c>
      <c r="C248" s="1" t="n">
        <v>45881</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5909-2025</t>
        </is>
      </c>
      <c r="B249" s="1" t="n">
        <v>45695.40634259259</v>
      </c>
      <c r="C249" s="1" t="n">
        <v>45881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26810-2021</t>
        </is>
      </c>
      <c r="B250" s="1" t="n">
        <v>44349.55087962963</v>
      </c>
      <c r="C250" s="1" t="n">
        <v>45881</v>
      </c>
      <c r="D250" t="inlineStr">
        <is>
          <t>GOTLANDS LÄN</t>
        </is>
      </c>
      <c r="E250" t="inlineStr">
        <is>
          <t>GOTLAND</t>
        </is>
      </c>
      <c r="G250" t="n">
        <v>3.5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45881</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10653-2023</t>
        </is>
      </c>
      <c r="B252" s="1" t="n">
        <v>44988.48859953704</v>
      </c>
      <c r="C252" s="1" t="n">
        <v>45881</v>
      </c>
      <c r="D252" t="inlineStr">
        <is>
          <t>GOTLANDS LÄN</t>
        </is>
      </c>
      <c r="E252" t="inlineStr">
        <is>
          <t>GOTLAND</t>
        </is>
      </c>
      <c r="F252" t="inlineStr">
        <is>
          <t>Kyrkan</t>
        </is>
      </c>
      <c r="G252" t="n">
        <v>3</v>
      </c>
      <c r="H252" t="n">
        <v>0</v>
      </c>
      <c r="I252" t="n">
        <v>0</v>
      </c>
      <c r="J252" t="n">
        <v>0</v>
      </c>
      <c r="K252" t="n">
        <v>0</v>
      </c>
      <c r="L252" t="n">
        <v>0</v>
      </c>
      <c r="M252" t="n">
        <v>0</v>
      </c>
      <c r="N252" t="n">
        <v>0</v>
      </c>
      <c r="O252" t="n">
        <v>0</v>
      </c>
      <c r="P252" t="n">
        <v>0</v>
      </c>
      <c r="Q252" t="n">
        <v>0</v>
      </c>
      <c r="R252" s="2" t="inlineStr"/>
    </row>
    <row r="253" ht="15" customHeight="1">
      <c r="A253" t="inlineStr">
        <is>
          <t>A 15001-2025</t>
        </is>
      </c>
      <c r="B253" s="1" t="n">
        <v>45743</v>
      </c>
      <c r="C253" s="1" t="n">
        <v>45881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4990-2025</t>
        </is>
      </c>
      <c r="B254" s="1" t="n">
        <v>45691</v>
      </c>
      <c r="C254" s="1" t="n">
        <v>45881</v>
      </c>
      <c r="D254" t="inlineStr">
        <is>
          <t>GOTLANDS LÄN</t>
        </is>
      </c>
      <c r="E254" t="inlineStr">
        <is>
          <t>GOTLAND</t>
        </is>
      </c>
      <c r="G254" t="n">
        <v>7.7</v>
      </c>
      <c r="H254" t="n">
        <v>0</v>
      </c>
      <c r="I254" t="n">
        <v>0</v>
      </c>
      <c r="J254" t="n">
        <v>0</v>
      </c>
      <c r="K254" t="n">
        <v>0</v>
      </c>
      <c r="L254" t="n">
        <v>0</v>
      </c>
      <c r="M254" t="n">
        <v>0</v>
      </c>
      <c r="N254" t="n">
        <v>0</v>
      </c>
      <c r="O254" t="n">
        <v>0</v>
      </c>
      <c r="P254" t="n">
        <v>0</v>
      </c>
      <c r="Q254" t="n">
        <v>0</v>
      </c>
      <c r="R254" s="2" t="inlineStr"/>
    </row>
    <row r="255" ht="15" customHeight="1">
      <c r="A255" t="inlineStr">
        <is>
          <t>A 5923-2023</t>
        </is>
      </c>
      <c r="B255" s="1" t="n">
        <v>44963.69503472222</v>
      </c>
      <c r="C255" s="1" t="n">
        <v>45881</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33853-2024</t>
        </is>
      </c>
      <c r="B256" s="1" t="n">
        <v>45520.64298611111</v>
      </c>
      <c r="C256" s="1" t="n">
        <v>45881</v>
      </c>
      <c r="D256" t="inlineStr">
        <is>
          <t>GOTLANDS LÄN</t>
        </is>
      </c>
      <c r="E256" t="inlineStr">
        <is>
          <t>GOTLAND</t>
        </is>
      </c>
      <c r="G256" t="n">
        <v>3.9</v>
      </c>
      <c r="H256" t="n">
        <v>0</v>
      </c>
      <c r="I256" t="n">
        <v>0</v>
      </c>
      <c r="J256" t="n">
        <v>0</v>
      </c>
      <c r="K256" t="n">
        <v>0</v>
      </c>
      <c r="L256" t="n">
        <v>0</v>
      </c>
      <c r="M256" t="n">
        <v>0</v>
      </c>
      <c r="N256" t="n">
        <v>0</v>
      </c>
      <c r="O256" t="n">
        <v>0</v>
      </c>
      <c r="P256" t="n">
        <v>0</v>
      </c>
      <c r="Q256" t="n">
        <v>0</v>
      </c>
      <c r="R256" s="2" t="inlineStr"/>
    </row>
    <row r="257" ht="15" customHeight="1">
      <c r="A257" t="inlineStr">
        <is>
          <t>A 18918-2025</t>
        </is>
      </c>
      <c r="B257" s="1" t="n">
        <v>45764</v>
      </c>
      <c r="C257" s="1" t="n">
        <v>45881</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24966-2023</t>
        </is>
      </c>
      <c r="B258" s="1" t="n">
        <v>45085</v>
      </c>
      <c r="C258" s="1" t="n">
        <v>45881</v>
      </c>
      <c r="D258" t="inlineStr">
        <is>
          <t>GOTLANDS LÄN</t>
        </is>
      </c>
      <c r="E258" t="inlineStr">
        <is>
          <t>GOTLAND</t>
        </is>
      </c>
      <c r="G258" t="n">
        <v>7</v>
      </c>
      <c r="H258" t="n">
        <v>0</v>
      </c>
      <c r="I258" t="n">
        <v>0</v>
      </c>
      <c r="J258" t="n">
        <v>0</v>
      </c>
      <c r="K258" t="n">
        <v>0</v>
      </c>
      <c r="L258" t="n">
        <v>0</v>
      </c>
      <c r="M258" t="n">
        <v>0</v>
      </c>
      <c r="N258" t="n">
        <v>0</v>
      </c>
      <c r="O258" t="n">
        <v>0</v>
      </c>
      <c r="P258" t="n">
        <v>0</v>
      </c>
      <c r="Q258" t="n">
        <v>0</v>
      </c>
      <c r="R258" s="2" t="inlineStr"/>
    </row>
    <row r="259" ht="15" customHeight="1">
      <c r="A259" t="inlineStr">
        <is>
          <t>A 46189-2022</t>
        </is>
      </c>
      <c r="B259" s="1" t="n">
        <v>44847</v>
      </c>
      <c r="C259" s="1" t="n">
        <v>45881</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2674-2023</t>
        </is>
      </c>
      <c r="B260" s="1" t="n">
        <v>44944</v>
      </c>
      <c r="C260" s="1" t="n">
        <v>45881</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43081-2022</t>
        </is>
      </c>
      <c r="B261" s="1" t="n">
        <v>44833</v>
      </c>
      <c r="C261" s="1" t="n">
        <v>45881</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32958-2021</t>
        </is>
      </c>
      <c r="B262" s="1" t="n">
        <v>44376</v>
      </c>
      <c r="C262" s="1" t="n">
        <v>45881</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5884-2025</t>
        </is>
      </c>
      <c r="B263" s="1" t="n">
        <v>45695.37482638889</v>
      </c>
      <c r="C263" s="1" t="n">
        <v>45881</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5897-2025</t>
        </is>
      </c>
      <c r="B264" s="1" t="n">
        <v>45695.39273148148</v>
      </c>
      <c r="C264" s="1" t="n">
        <v>45881</v>
      </c>
      <c r="D264" t="inlineStr">
        <is>
          <t>GOTLANDS LÄN</t>
        </is>
      </c>
      <c r="E264" t="inlineStr">
        <is>
          <t>GOTLAND</t>
        </is>
      </c>
      <c r="G264" t="n">
        <v>3.7</v>
      </c>
      <c r="H264" t="n">
        <v>0</v>
      </c>
      <c r="I264" t="n">
        <v>0</v>
      </c>
      <c r="J264" t="n">
        <v>0</v>
      </c>
      <c r="K264" t="n">
        <v>0</v>
      </c>
      <c r="L264" t="n">
        <v>0</v>
      </c>
      <c r="M264" t="n">
        <v>0</v>
      </c>
      <c r="N264" t="n">
        <v>0</v>
      </c>
      <c r="O264" t="n">
        <v>0</v>
      </c>
      <c r="P264" t="n">
        <v>0</v>
      </c>
      <c r="Q264" t="n">
        <v>0</v>
      </c>
      <c r="R264" s="2" t="inlineStr"/>
    </row>
    <row r="265" ht="15" customHeight="1">
      <c r="A265" t="inlineStr">
        <is>
          <t>A 10655-2023</t>
        </is>
      </c>
      <c r="B265" s="1" t="n">
        <v>44988.49543981482</v>
      </c>
      <c r="C265" s="1" t="n">
        <v>45881</v>
      </c>
      <c r="D265" t="inlineStr">
        <is>
          <t>GOTLANDS LÄN</t>
        </is>
      </c>
      <c r="E265" t="inlineStr">
        <is>
          <t>GOTLAND</t>
        </is>
      </c>
      <c r="F265" t="inlineStr">
        <is>
          <t>Kyrkan</t>
        </is>
      </c>
      <c r="G265" t="n">
        <v>2</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45881</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45881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2719-2023</t>
        </is>
      </c>
      <c r="B268" s="1" t="n">
        <v>44944.55361111111</v>
      </c>
      <c r="C268" s="1" t="n">
        <v>45881</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26891-2024</t>
        </is>
      </c>
      <c r="B269" s="1" t="n">
        <v>45470.65540509259</v>
      </c>
      <c r="C269" s="1" t="n">
        <v>45881</v>
      </c>
      <c r="D269" t="inlineStr">
        <is>
          <t>GOTLANDS LÄN</t>
        </is>
      </c>
      <c r="E269" t="inlineStr">
        <is>
          <t>GOTLAND</t>
        </is>
      </c>
      <c r="G269" t="n">
        <v>0.8</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45881</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44204-2022</t>
        </is>
      </c>
      <c r="B271" s="1" t="n">
        <v>44839</v>
      </c>
      <c r="C271" s="1" t="n">
        <v>45881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55334-2024</t>
        </is>
      </c>
      <c r="B272" s="1" t="n">
        <v>45621</v>
      </c>
      <c r="C272" s="1" t="n">
        <v>45881</v>
      </c>
      <c r="D272" t="inlineStr">
        <is>
          <t>GOTLANDS LÄN</t>
        </is>
      </c>
      <c r="E272" t="inlineStr">
        <is>
          <t>GOTLAND</t>
        </is>
      </c>
      <c r="G272" t="n">
        <v>21.7</v>
      </c>
      <c r="H272" t="n">
        <v>0</v>
      </c>
      <c r="I272" t="n">
        <v>0</v>
      </c>
      <c r="J272" t="n">
        <v>0</v>
      </c>
      <c r="K272" t="n">
        <v>0</v>
      </c>
      <c r="L272" t="n">
        <v>0</v>
      </c>
      <c r="M272" t="n">
        <v>0</v>
      </c>
      <c r="N272" t="n">
        <v>0</v>
      </c>
      <c r="O272" t="n">
        <v>0</v>
      </c>
      <c r="P272" t="n">
        <v>0</v>
      </c>
      <c r="Q272" t="n">
        <v>0</v>
      </c>
      <c r="R272" s="2" t="inlineStr"/>
    </row>
    <row r="273" ht="15" customHeight="1">
      <c r="A273" t="inlineStr">
        <is>
          <t>A 49314-2024</t>
        </is>
      </c>
      <c r="B273" s="1" t="n">
        <v>45595.55893518519</v>
      </c>
      <c r="C273" s="1" t="n">
        <v>45881</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44919-2022</t>
        </is>
      </c>
      <c r="B274" s="1" t="n">
        <v>44841</v>
      </c>
      <c r="C274" s="1" t="n">
        <v>45881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42007-2023</t>
        </is>
      </c>
      <c r="B275" s="1" t="n">
        <v>45177</v>
      </c>
      <c r="C275" s="1" t="n">
        <v>45881</v>
      </c>
      <c r="D275" t="inlineStr">
        <is>
          <t>GOTLANDS LÄN</t>
        </is>
      </c>
      <c r="E275" t="inlineStr">
        <is>
          <t>GOTLAND</t>
        </is>
      </c>
      <c r="G275" t="n">
        <v>0.8</v>
      </c>
      <c r="H275" t="n">
        <v>0</v>
      </c>
      <c r="I275" t="n">
        <v>0</v>
      </c>
      <c r="J275" t="n">
        <v>0</v>
      </c>
      <c r="K275" t="n">
        <v>0</v>
      </c>
      <c r="L275" t="n">
        <v>0</v>
      </c>
      <c r="M275" t="n">
        <v>0</v>
      </c>
      <c r="N275" t="n">
        <v>0</v>
      </c>
      <c r="O275" t="n">
        <v>0</v>
      </c>
      <c r="P275" t="n">
        <v>0</v>
      </c>
      <c r="Q275" t="n">
        <v>0</v>
      </c>
      <c r="R275" s="2" t="inlineStr"/>
    </row>
    <row r="276" ht="15" customHeight="1">
      <c r="A276" t="inlineStr">
        <is>
          <t>A 17901-2023</t>
        </is>
      </c>
      <c r="B276" s="1" t="n">
        <v>45039</v>
      </c>
      <c r="C276" s="1" t="n">
        <v>45881</v>
      </c>
      <c r="D276" t="inlineStr">
        <is>
          <t>GOTLANDS LÄN</t>
        </is>
      </c>
      <c r="E276" t="inlineStr">
        <is>
          <t>GOTLAND</t>
        </is>
      </c>
      <c r="F276" t="inlineStr">
        <is>
          <t>Kyrkan</t>
        </is>
      </c>
      <c r="G276" t="n">
        <v>0.6</v>
      </c>
      <c r="H276" t="n">
        <v>0</v>
      </c>
      <c r="I276" t="n">
        <v>0</v>
      </c>
      <c r="J276" t="n">
        <v>0</v>
      </c>
      <c r="K276" t="n">
        <v>0</v>
      </c>
      <c r="L276" t="n">
        <v>0</v>
      </c>
      <c r="M276" t="n">
        <v>0</v>
      </c>
      <c r="N276" t="n">
        <v>0</v>
      </c>
      <c r="O276" t="n">
        <v>0</v>
      </c>
      <c r="P276" t="n">
        <v>0</v>
      </c>
      <c r="Q276" t="n">
        <v>0</v>
      </c>
      <c r="R276" s="2" t="inlineStr"/>
    </row>
    <row r="277" ht="15" customHeight="1">
      <c r="A277" t="inlineStr">
        <is>
          <t>A 9887-2025</t>
        </is>
      </c>
      <c r="B277" s="1" t="n">
        <v>45716</v>
      </c>
      <c r="C277" s="1" t="n">
        <v>45881</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38165-2023</t>
        </is>
      </c>
      <c r="B278" s="1" t="n">
        <v>45161</v>
      </c>
      <c r="C278" s="1" t="n">
        <v>45881</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48503-2023</t>
        </is>
      </c>
      <c r="B279" s="1" t="n">
        <v>45207</v>
      </c>
      <c r="C279" s="1" t="n">
        <v>45881</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45881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65901-2021</t>
        </is>
      </c>
      <c r="B281" s="1" t="n">
        <v>44516</v>
      </c>
      <c r="C281" s="1" t="n">
        <v>45881</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27596-2023</t>
        </is>
      </c>
      <c r="B282" s="1" t="n">
        <v>45097</v>
      </c>
      <c r="C282" s="1" t="n">
        <v>45881</v>
      </c>
      <c r="D282" t="inlineStr">
        <is>
          <t>GOTLANDS LÄN</t>
        </is>
      </c>
      <c r="E282" t="inlineStr">
        <is>
          <t>GOTLAND</t>
        </is>
      </c>
      <c r="G282" t="n">
        <v>3.6</v>
      </c>
      <c r="H282" t="n">
        <v>0</v>
      </c>
      <c r="I282" t="n">
        <v>0</v>
      </c>
      <c r="J282" t="n">
        <v>0</v>
      </c>
      <c r="K282" t="n">
        <v>0</v>
      </c>
      <c r="L282" t="n">
        <v>0</v>
      </c>
      <c r="M282" t="n">
        <v>0</v>
      </c>
      <c r="N282" t="n">
        <v>0</v>
      </c>
      <c r="O282" t="n">
        <v>0</v>
      </c>
      <c r="P282" t="n">
        <v>0</v>
      </c>
      <c r="Q282" t="n">
        <v>0</v>
      </c>
      <c r="R282" s="2" t="inlineStr"/>
    </row>
    <row r="283" ht="15" customHeight="1">
      <c r="A283" t="inlineStr">
        <is>
          <t>A 24825-2024</t>
        </is>
      </c>
      <c r="B283" s="1" t="n">
        <v>45461</v>
      </c>
      <c r="C283" s="1" t="n">
        <v>45881</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45881</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21247-2022</t>
        </is>
      </c>
      <c r="B285" s="1" t="n">
        <v>44705.38832175926</v>
      </c>
      <c r="C285" s="1" t="n">
        <v>45881</v>
      </c>
      <c r="D285" t="inlineStr">
        <is>
          <t>GOTLANDS LÄN</t>
        </is>
      </c>
      <c r="E285" t="inlineStr">
        <is>
          <t>GOTLAND</t>
        </is>
      </c>
      <c r="G285" t="n">
        <v>16.2</v>
      </c>
      <c r="H285" t="n">
        <v>0</v>
      </c>
      <c r="I285" t="n">
        <v>0</v>
      </c>
      <c r="J285" t="n">
        <v>0</v>
      </c>
      <c r="K285" t="n">
        <v>0</v>
      </c>
      <c r="L285" t="n">
        <v>0</v>
      </c>
      <c r="M285" t="n">
        <v>0</v>
      </c>
      <c r="N285" t="n">
        <v>0</v>
      </c>
      <c r="O285" t="n">
        <v>0</v>
      </c>
      <c r="P285" t="n">
        <v>0</v>
      </c>
      <c r="Q285" t="n">
        <v>0</v>
      </c>
      <c r="R285" s="2" t="inlineStr"/>
    </row>
    <row r="286" ht="15" customHeight="1">
      <c r="A286" t="inlineStr">
        <is>
          <t>A 456-2023</t>
        </is>
      </c>
      <c r="B286" s="1" t="n">
        <v>44929.87122685185</v>
      </c>
      <c r="C286" s="1" t="n">
        <v>45881</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44649-2021</t>
        </is>
      </c>
      <c r="B287" s="1" t="n">
        <v>44437</v>
      </c>
      <c r="C287" s="1" t="n">
        <v>45881</v>
      </c>
      <c r="D287" t="inlineStr">
        <is>
          <t>GOTLANDS LÄN</t>
        </is>
      </c>
      <c r="E287" t="inlineStr">
        <is>
          <t>GOTLAND</t>
        </is>
      </c>
      <c r="G287" t="n">
        <v>8.1</v>
      </c>
      <c r="H287" t="n">
        <v>0</v>
      </c>
      <c r="I287" t="n">
        <v>0</v>
      </c>
      <c r="J287" t="n">
        <v>0</v>
      </c>
      <c r="K287" t="n">
        <v>0</v>
      </c>
      <c r="L287" t="n">
        <v>0</v>
      </c>
      <c r="M287" t="n">
        <v>0</v>
      </c>
      <c r="N287" t="n">
        <v>0</v>
      </c>
      <c r="O287" t="n">
        <v>0</v>
      </c>
      <c r="P287" t="n">
        <v>0</v>
      </c>
      <c r="Q287" t="n">
        <v>0</v>
      </c>
      <c r="R287" s="2" t="inlineStr"/>
    </row>
    <row r="288" ht="15" customHeight="1">
      <c r="A288" t="inlineStr">
        <is>
          <t>A 1713-2025</t>
        </is>
      </c>
      <c r="B288" s="1" t="n">
        <v>45671.32342592593</v>
      </c>
      <c r="C288" s="1" t="n">
        <v>45881</v>
      </c>
      <c r="D288" t="inlineStr">
        <is>
          <t>GOTLANDS LÄN</t>
        </is>
      </c>
      <c r="E288" t="inlineStr">
        <is>
          <t>GOTLAND</t>
        </is>
      </c>
      <c r="G288" t="n">
        <v>10.1</v>
      </c>
      <c r="H288" t="n">
        <v>0</v>
      </c>
      <c r="I288" t="n">
        <v>0</v>
      </c>
      <c r="J288" t="n">
        <v>0</v>
      </c>
      <c r="K288" t="n">
        <v>0</v>
      </c>
      <c r="L288" t="n">
        <v>0</v>
      </c>
      <c r="M288" t="n">
        <v>0</v>
      </c>
      <c r="N288" t="n">
        <v>0</v>
      </c>
      <c r="O288" t="n">
        <v>0</v>
      </c>
      <c r="P288" t="n">
        <v>0</v>
      </c>
      <c r="Q288" t="n">
        <v>0</v>
      </c>
      <c r="R288" s="2" t="inlineStr"/>
    </row>
    <row r="289" ht="15" customHeight="1">
      <c r="A289" t="inlineStr">
        <is>
          <t>A 9947-2024</t>
        </is>
      </c>
      <c r="B289" s="1" t="n">
        <v>45363</v>
      </c>
      <c r="C289" s="1" t="n">
        <v>45881</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2714-2023</t>
        </is>
      </c>
      <c r="B290" s="1" t="n">
        <v>44944.54896990741</v>
      </c>
      <c r="C290" s="1" t="n">
        <v>45881</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46396-2023</t>
        </is>
      </c>
      <c r="B291" s="1" t="n">
        <v>45197</v>
      </c>
      <c r="C291" s="1" t="n">
        <v>45881</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44304-2021</t>
        </is>
      </c>
      <c r="B292" s="1" t="n">
        <v>44434</v>
      </c>
      <c r="C292" s="1" t="n">
        <v>45881</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4421-2024</t>
        </is>
      </c>
      <c r="B293" s="1" t="n">
        <v>45327.45173611111</v>
      </c>
      <c r="C293" s="1" t="n">
        <v>45881</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17682-2024</t>
        </is>
      </c>
      <c r="B294" s="1" t="n">
        <v>45418.42966435185</v>
      </c>
      <c r="C294" s="1" t="n">
        <v>45881</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57522-2022</t>
        </is>
      </c>
      <c r="B295" s="1" t="n">
        <v>44896</v>
      </c>
      <c r="C295" s="1" t="n">
        <v>45881</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51782-2023</t>
        </is>
      </c>
      <c r="B296" s="1" t="n">
        <v>45222.80952546297</v>
      </c>
      <c r="C296" s="1" t="n">
        <v>45881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54268-2022</t>
        </is>
      </c>
      <c r="B297" s="1" t="n">
        <v>44882</v>
      </c>
      <c r="C297" s="1" t="n">
        <v>45881</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32669-2024</t>
        </is>
      </c>
      <c r="B298" s="1" t="n">
        <v>45514</v>
      </c>
      <c r="C298" s="1" t="n">
        <v>45881</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17724-2024</t>
        </is>
      </c>
      <c r="B299" s="1" t="n">
        <v>45418.55096064815</v>
      </c>
      <c r="C299" s="1" t="n">
        <v>45881</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27593-2023</t>
        </is>
      </c>
      <c r="B300" s="1" t="n">
        <v>45097</v>
      </c>
      <c r="C300" s="1" t="n">
        <v>45881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45881</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57534-2022</t>
        </is>
      </c>
      <c r="B302" s="1" t="n">
        <v>44896</v>
      </c>
      <c r="C302" s="1" t="n">
        <v>45881</v>
      </c>
      <c r="D302" t="inlineStr">
        <is>
          <t>GOTLANDS LÄN</t>
        </is>
      </c>
      <c r="E302" t="inlineStr">
        <is>
          <t>GOTLAND</t>
        </is>
      </c>
      <c r="G302" t="n">
        <v>0.6</v>
      </c>
      <c r="H302" t="n">
        <v>0</v>
      </c>
      <c r="I302" t="n">
        <v>0</v>
      </c>
      <c r="J302" t="n">
        <v>0</v>
      </c>
      <c r="K302" t="n">
        <v>0</v>
      </c>
      <c r="L302" t="n">
        <v>0</v>
      </c>
      <c r="M302" t="n">
        <v>0</v>
      </c>
      <c r="N302" t="n">
        <v>0</v>
      </c>
      <c r="O302" t="n">
        <v>0</v>
      </c>
      <c r="P302" t="n">
        <v>0</v>
      </c>
      <c r="Q302" t="n">
        <v>0</v>
      </c>
      <c r="R302" s="2" t="inlineStr"/>
    </row>
    <row r="303" ht="15" customHeight="1">
      <c r="A303" t="inlineStr">
        <is>
          <t>A 25866-2022</t>
        </is>
      </c>
      <c r="B303" s="1" t="n">
        <v>44733</v>
      </c>
      <c r="C303" s="1" t="n">
        <v>45881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45881</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1175-2025</t>
        </is>
      </c>
      <c r="B305" s="1" t="n">
        <v>45667.34449074074</v>
      </c>
      <c r="C305" s="1" t="n">
        <v>45881</v>
      </c>
      <c r="D305" t="inlineStr">
        <is>
          <t>GOTLANDS LÄN</t>
        </is>
      </c>
      <c r="E305" t="inlineStr">
        <is>
          <t>GOTLAND</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27095-2022</t>
        </is>
      </c>
      <c r="B306" s="1" t="n">
        <v>44741</v>
      </c>
      <c r="C306" s="1" t="n">
        <v>45881</v>
      </c>
      <c r="D306" t="inlineStr">
        <is>
          <t>GOTLANDS LÄN</t>
        </is>
      </c>
      <c r="E306" t="inlineStr">
        <is>
          <t>GOTLAND</t>
        </is>
      </c>
      <c r="F306" t="inlineStr">
        <is>
          <t>Övriga Aktiebolag</t>
        </is>
      </c>
      <c r="G306" t="n">
        <v>2.9</v>
      </c>
      <c r="H306" t="n">
        <v>0</v>
      </c>
      <c r="I306" t="n">
        <v>0</v>
      </c>
      <c r="J306" t="n">
        <v>0</v>
      </c>
      <c r="K306" t="n">
        <v>0</v>
      </c>
      <c r="L306" t="n">
        <v>0</v>
      </c>
      <c r="M306" t="n">
        <v>0</v>
      </c>
      <c r="N306" t="n">
        <v>0</v>
      </c>
      <c r="O306" t="n">
        <v>0</v>
      </c>
      <c r="P306" t="n">
        <v>0</v>
      </c>
      <c r="Q306" t="n">
        <v>0</v>
      </c>
      <c r="R306" s="2" t="inlineStr"/>
    </row>
    <row r="307" ht="15" customHeight="1">
      <c r="A307" t="inlineStr">
        <is>
          <t>A 22899-2023</t>
        </is>
      </c>
      <c r="B307" s="1" t="n">
        <v>45072</v>
      </c>
      <c r="C307" s="1" t="n">
        <v>45881</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23978-2023</t>
        </is>
      </c>
      <c r="B308" s="1" t="n">
        <v>45078</v>
      </c>
      <c r="C308" s="1" t="n">
        <v>45881</v>
      </c>
      <c r="D308" t="inlineStr">
        <is>
          <t>GOTLANDS LÄN</t>
        </is>
      </c>
      <c r="E308" t="inlineStr">
        <is>
          <t>GOTLAND</t>
        </is>
      </c>
      <c r="F308" t="inlineStr">
        <is>
          <t>Naturvårdsverket</t>
        </is>
      </c>
      <c r="G308" t="n">
        <v>1.7</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45881</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11013-2024</t>
        </is>
      </c>
      <c r="B310" s="1" t="n">
        <v>45370</v>
      </c>
      <c r="C310" s="1" t="n">
        <v>45881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63516-2023</t>
        </is>
      </c>
      <c r="B311" s="1" t="n">
        <v>45274</v>
      </c>
      <c r="C311" s="1" t="n">
        <v>45881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27694-2024</t>
        </is>
      </c>
      <c r="B312" s="1" t="n">
        <v>45475</v>
      </c>
      <c r="C312" s="1" t="n">
        <v>45881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15083-2025</t>
        </is>
      </c>
      <c r="B313" s="1" t="n">
        <v>45743</v>
      </c>
      <c r="C313" s="1" t="n">
        <v>45881</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15216-2025</t>
        </is>
      </c>
      <c r="B314" s="1" t="n">
        <v>45744</v>
      </c>
      <c r="C314" s="1" t="n">
        <v>45881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6153-2024</t>
        </is>
      </c>
      <c r="B315" s="1" t="n">
        <v>45337</v>
      </c>
      <c r="C315" s="1" t="n">
        <v>45881</v>
      </c>
      <c r="D315" t="inlineStr">
        <is>
          <t>GOTLANDS LÄN</t>
        </is>
      </c>
      <c r="E315" t="inlineStr">
        <is>
          <t>GOTLAND</t>
        </is>
      </c>
      <c r="G315" t="n">
        <v>14.2</v>
      </c>
      <c r="H315" t="n">
        <v>0</v>
      </c>
      <c r="I315" t="n">
        <v>0</v>
      </c>
      <c r="J315" t="n">
        <v>0</v>
      </c>
      <c r="K315" t="n">
        <v>0</v>
      </c>
      <c r="L315" t="n">
        <v>0</v>
      </c>
      <c r="M315" t="n">
        <v>0</v>
      </c>
      <c r="N315" t="n">
        <v>0</v>
      </c>
      <c r="O315" t="n">
        <v>0</v>
      </c>
      <c r="P315" t="n">
        <v>0</v>
      </c>
      <c r="Q315" t="n">
        <v>0</v>
      </c>
      <c r="R315" s="2" t="inlineStr"/>
    </row>
    <row r="316" ht="15" customHeight="1">
      <c r="A316" t="inlineStr">
        <is>
          <t>A 24001-2021</t>
        </is>
      </c>
      <c r="B316" s="1" t="n">
        <v>44335</v>
      </c>
      <c r="C316" s="1" t="n">
        <v>45881</v>
      </c>
      <c r="D316" t="inlineStr">
        <is>
          <t>GOTLANDS LÄN</t>
        </is>
      </c>
      <c r="E316" t="inlineStr">
        <is>
          <t>GOTLAND</t>
        </is>
      </c>
      <c r="G316" t="n">
        <v>3.4</v>
      </c>
      <c r="H316" t="n">
        <v>0</v>
      </c>
      <c r="I316" t="n">
        <v>0</v>
      </c>
      <c r="J316" t="n">
        <v>0</v>
      </c>
      <c r="K316" t="n">
        <v>0</v>
      </c>
      <c r="L316" t="n">
        <v>0</v>
      </c>
      <c r="M316" t="n">
        <v>0</v>
      </c>
      <c r="N316" t="n">
        <v>0</v>
      </c>
      <c r="O316" t="n">
        <v>0</v>
      </c>
      <c r="P316" t="n">
        <v>0</v>
      </c>
      <c r="Q316" t="n">
        <v>0</v>
      </c>
      <c r="R316" s="2" t="inlineStr"/>
    </row>
    <row r="317" ht="15" customHeight="1">
      <c r="A317" t="inlineStr">
        <is>
          <t>A 69112-2021</t>
        </is>
      </c>
      <c r="B317" s="1" t="n">
        <v>44530</v>
      </c>
      <c r="C317" s="1" t="n">
        <v>45881</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13037-2025</t>
        </is>
      </c>
      <c r="B318" s="1" t="n">
        <v>45734</v>
      </c>
      <c r="C318" s="1" t="n">
        <v>45881</v>
      </c>
      <c r="D318" t="inlineStr">
        <is>
          <t>GOTLANDS LÄN</t>
        </is>
      </c>
      <c r="E318" t="inlineStr">
        <is>
          <t>GOTLAND</t>
        </is>
      </c>
      <c r="G318" t="n">
        <v>9.5</v>
      </c>
      <c r="H318" t="n">
        <v>0</v>
      </c>
      <c r="I318" t="n">
        <v>0</v>
      </c>
      <c r="J318" t="n">
        <v>0</v>
      </c>
      <c r="K318" t="n">
        <v>0</v>
      </c>
      <c r="L318" t="n">
        <v>0</v>
      </c>
      <c r="M318" t="n">
        <v>0</v>
      </c>
      <c r="N318" t="n">
        <v>0</v>
      </c>
      <c r="O318" t="n">
        <v>0</v>
      </c>
      <c r="P318" t="n">
        <v>0</v>
      </c>
      <c r="Q318" t="n">
        <v>0</v>
      </c>
      <c r="R318" s="2" t="inlineStr"/>
    </row>
    <row r="319" ht="15" customHeight="1">
      <c r="A319" t="inlineStr">
        <is>
          <t>A 7638-2025</t>
        </is>
      </c>
      <c r="B319" s="1" t="n">
        <v>45705.77306712963</v>
      </c>
      <c r="C319" s="1" t="n">
        <v>45881</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458-2023</t>
        </is>
      </c>
      <c r="B320" s="1" t="n">
        <v>44929</v>
      </c>
      <c r="C320" s="1" t="n">
        <v>45881</v>
      </c>
      <c r="D320" t="inlineStr">
        <is>
          <t>GOTLANDS LÄN</t>
        </is>
      </c>
      <c r="E320" t="inlineStr">
        <is>
          <t>GOTLAND</t>
        </is>
      </c>
      <c r="G320" t="n">
        <v>3.6</v>
      </c>
      <c r="H320" t="n">
        <v>0</v>
      </c>
      <c r="I320" t="n">
        <v>0</v>
      </c>
      <c r="J320" t="n">
        <v>0</v>
      </c>
      <c r="K320" t="n">
        <v>0</v>
      </c>
      <c r="L320" t="n">
        <v>0</v>
      </c>
      <c r="M320" t="n">
        <v>0</v>
      </c>
      <c r="N320" t="n">
        <v>0</v>
      </c>
      <c r="O320" t="n">
        <v>0</v>
      </c>
      <c r="P320" t="n">
        <v>0</v>
      </c>
      <c r="Q320" t="n">
        <v>0</v>
      </c>
      <c r="R320" s="2" t="inlineStr"/>
    </row>
    <row r="321" ht="15" customHeight="1">
      <c r="A321" t="inlineStr">
        <is>
          <t>A 50482-2024</t>
        </is>
      </c>
      <c r="B321" s="1" t="n">
        <v>45601.48114583334</v>
      </c>
      <c r="C321" s="1" t="n">
        <v>45881</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1394-2023</t>
        </is>
      </c>
      <c r="B322" s="1" t="n">
        <v>44936.72997685185</v>
      </c>
      <c r="C322" s="1" t="n">
        <v>45881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30365-2024</t>
        </is>
      </c>
      <c r="B323" s="1" t="n">
        <v>45491.3716087963</v>
      </c>
      <c r="C323" s="1" t="n">
        <v>45881</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44228-2022</t>
        </is>
      </c>
      <c r="B324" s="1" t="n">
        <v>44839.51599537037</v>
      </c>
      <c r="C324" s="1" t="n">
        <v>45881</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58230-2024</t>
        </is>
      </c>
      <c r="B325" s="1" t="n">
        <v>45632.51625</v>
      </c>
      <c r="C325" s="1" t="n">
        <v>45881</v>
      </c>
      <c r="D325" t="inlineStr">
        <is>
          <t>GOTLANDS LÄN</t>
        </is>
      </c>
      <c r="E325" t="inlineStr">
        <is>
          <t>GOTLAND</t>
        </is>
      </c>
      <c r="G325" t="n">
        <v>7.3</v>
      </c>
      <c r="H325" t="n">
        <v>0</v>
      </c>
      <c r="I325" t="n">
        <v>0</v>
      </c>
      <c r="J325" t="n">
        <v>0</v>
      </c>
      <c r="K325" t="n">
        <v>0</v>
      </c>
      <c r="L325" t="n">
        <v>0</v>
      </c>
      <c r="M325" t="n">
        <v>0</v>
      </c>
      <c r="N325" t="n">
        <v>0</v>
      </c>
      <c r="O325" t="n">
        <v>0</v>
      </c>
      <c r="P325" t="n">
        <v>0</v>
      </c>
      <c r="Q325" t="n">
        <v>0</v>
      </c>
      <c r="R325" s="2" t="inlineStr"/>
    </row>
    <row r="326" ht="15" customHeight="1">
      <c r="A326" t="inlineStr">
        <is>
          <t>A 58132-2023</t>
        </is>
      </c>
      <c r="B326" s="1" t="n">
        <v>45250</v>
      </c>
      <c r="C326" s="1" t="n">
        <v>45881</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1681-2023</t>
        </is>
      </c>
      <c r="B327" s="1" t="n">
        <v>44938.39715277778</v>
      </c>
      <c r="C327" s="1" t="n">
        <v>45881</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1462-2025</t>
        </is>
      </c>
      <c r="B328" s="1" t="n">
        <v>45670.36319444444</v>
      </c>
      <c r="C328" s="1" t="n">
        <v>45881</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45881</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1273-2023</t>
        </is>
      </c>
      <c r="B330" s="1" t="n">
        <v>44936</v>
      </c>
      <c r="C330" s="1" t="n">
        <v>45881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45881</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25129-2023</t>
        </is>
      </c>
      <c r="B332" s="1" t="n">
        <v>45086.44261574074</v>
      </c>
      <c r="C332" s="1" t="n">
        <v>45881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17343-2025</t>
        </is>
      </c>
      <c r="B333" s="1" t="n">
        <v>45756.6687037037</v>
      </c>
      <c r="C333" s="1" t="n">
        <v>45881</v>
      </c>
      <c r="D333" t="inlineStr">
        <is>
          <t>GOTLANDS LÄN</t>
        </is>
      </c>
      <c r="E333" t="inlineStr">
        <is>
          <t>GOTLAND</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24192-2023</t>
        </is>
      </c>
      <c r="B334" s="1" t="n">
        <v>45079</v>
      </c>
      <c r="C334" s="1" t="n">
        <v>45881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45881</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17847-2025</t>
        </is>
      </c>
      <c r="B336" s="1" t="n">
        <v>45758</v>
      </c>
      <c r="C336" s="1" t="n">
        <v>45881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45692-2023</t>
        </is>
      </c>
      <c r="B337" s="1" t="n">
        <v>45195</v>
      </c>
      <c r="C337" s="1" t="n">
        <v>45881</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33876-2024</t>
        </is>
      </c>
      <c r="B338" s="1" t="n">
        <v>45521.87988425926</v>
      </c>
      <c r="C338" s="1" t="n">
        <v>45881</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18914-2025</t>
        </is>
      </c>
      <c r="B339" s="1" t="n">
        <v>45764.46783564815</v>
      </c>
      <c r="C339" s="1" t="n">
        <v>45881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46778-2020</t>
        </is>
      </c>
      <c r="B340" s="1" t="n">
        <v>44096</v>
      </c>
      <c r="C340" s="1" t="n">
        <v>45881</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18742-2025</t>
        </is>
      </c>
      <c r="B341" s="1" t="n">
        <v>45763</v>
      </c>
      <c r="C341" s="1" t="n">
        <v>45881</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876-2024</t>
        </is>
      </c>
      <c r="B342" s="1" t="n">
        <v>45301</v>
      </c>
      <c r="C342" s="1" t="n">
        <v>45881</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6796-2025</t>
        </is>
      </c>
      <c r="B343" s="1" t="n">
        <v>45700.66559027778</v>
      </c>
      <c r="C343" s="1" t="n">
        <v>45881</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45881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61100-2022</t>
        </is>
      </c>
      <c r="B345" s="1" t="n">
        <v>44915</v>
      </c>
      <c r="C345" s="1" t="n">
        <v>45881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5386-2023</t>
        </is>
      </c>
      <c r="B346" s="1" t="n">
        <v>44959</v>
      </c>
      <c r="C346" s="1" t="n">
        <v>45881</v>
      </c>
      <c r="D346" t="inlineStr">
        <is>
          <t>GOTLANDS LÄN</t>
        </is>
      </c>
      <c r="E346" t="inlineStr">
        <is>
          <t>GOTLAND</t>
        </is>
      </c>
      <c r="G346" t="n">
        <v>5.4</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45881</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7026-2023</t>
        </is>
      </c>
      <c r="B348" s="1" t="n">
        <v>44968.30340277778</v>
      </c>
      <c r="C348" s="1" t="n">
        <v>45881</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45881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22704-2023</t>
        </is>
      </c>
      <c r="B350" s="1" t="n">
        <v>45071</v>
      </c>
      <c r="C350" s="1" t="n">
        <v>45881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28425-2023</t>
        </is>
      </c>
      <c r="B351" s="1" t="n">
        <v>45102</v>
      </c>
      <c r="C351" s="1" t="n">
        <v>45881</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58476-2022</t>
        </is>
      </c>
      <c r="B352" s="1" t="n">
        <v>44902</v>
      </c>
      <c r="C352" s="1" t="n">
        <v>45881</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16373-2025</t>
        </is>
      </c>
      <c r="B353" s="1" t="n">
        <v>45751</v>
      </c>
      <c r="C353" s="1" t="n">
        <v>45881</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43785-2024</t>
        </is>
      </c>
      <c r="B354" s="1" t="n">
        <v>45570</v>
      </c>
      <c r="C354" s="1" t="n">
        <v>45881</v>
      </c>
      <c r="D354" t="inlineStr">
        <is>
          <t>GOTLANDS LÄN</t>
        </is>
      </c>
      <c r="E354" t="inlineStr">
        <is>
          <t>GOTLAND</t>
        </is>
      </c>
      <c r="G354" t="n">
        <v>12.6</v>
      </c>
      <c r="H354" t="n">
        <v>0</v>
      </c>
      <c r="I354" t="n">
        <v>0</v>
      </c>
      <c r="J354" t="n">
        <v>0</v>
      </c>
      <c r="K354" t="n">
        <v>0</v>
      </c>
      <c r="L354" t="n">
        <v>0</v>
      </c>
      <c r="M354" t="n">
        <v>0</v>
      </c>
      <c r="N354" t="n">
        <v>0</v>
      </c>
      <c r="O354" t="n">
        <v>0</v>
      </c>
      <c r="P354" t="n">
        <v>0</v>
      </c>
      <c r="Q354" t="n">
        <v>0</v>
      </c>
      <c r="R354" s="2" t="inlineStr"/>
    </row>
    <row r="355" ht="15" customHeight="1">
      <c r="A355" t="inlineStr">
        <is>
          <t>A 1000-2024</t>
        </is>
      </c>
      <c r="B355" s="1" t="n">
        <v>45301.63371527778</v>
      </c>
      <c r="C355" s="1" t="n">
        <v>45881</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1010-2024</t>
        </is>
      </c>
      <c r="B356" s="1" t="n">
        <v>45301</v>
      </c>
      <c r="C356" s="1" t="n">
        <v>45881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45881</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43223-2023</t>
        </is>
      </c>
      <c r="B358" s="1" t="n">
        <v>45183.45642361111</v>
      </c>
      <c r="C358" s="1" t="n">
        <v>45881</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12327-2025</t>
        </is>
      </c>
      <c r="B359" s="1" t="n">
        <v>45730</v>
      </c>
      <c r="C359" s="1" t="n">
        <v>45881</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3431-2025</t>
        </is>
      </c>
      <c r="B360" s="1" t="n">
        <v>45680.42935185185</v>
      </c>
      <c r="C360" s="1" t="n">
        <v>45881</v>
      </c>
      <c r="D360" t="inlineStr">
        <is>
          <t>GOTLANDS LÄN</t>
        </is>
      </c>
      <c r="E360" t="inlineStr">
        <is>
          <t>GOTLAND</t>
        </is>
      </c>
      <c r="G360" t="n">
        <v>4.8</v>
      </c>
      <c r="H360" t="n">
        <v>0</v>
      </c>
      <c r="I360" t="n">
        <v>0</v>
      </c>
      <c r="J360" t="n">
        <v>0</v>
      </c>
      <c r="K360" t="n">
        <v>0</v>
      </c>
      <c r="L360" t="n">
        <v>0</v>
      </c>
      <c r="M360" t="n">
        <v>0</v>
      </c>
      <c r="N360" t="n">
        <v>0</v>
      </c>
      <c r="O360" t="n">
        <v>0</v>
      </c>
      <c r="P360" t="n">
        <v>0</v>
      </c>
      <c r="Q360" t="n">
        <v>0</v>
      </c>
      <c r="R360" s="2" t="inlineStr"/>
    </row>
    <row r="361" ht="15" customHeight="1">
      <c r="A361" t="inlineStr">
        <is>
          <t>A 12209-2024</t>
        </is>
      </c>
      <c r="B361" s="1" t="n">
        <v>45378</v>
      </c>
      <c r="C361" s="1" t="n">
        <v>45881</v>
      </c>
      <c r="D361" t="inlineStr">
        <is>
          <t>GOTLANDS LÄN</t>
        </is>
      </c>
      <c r="E361" t="inlineStr">
        <is>
          <t>GOTLAND</t>
        </is>
      </c>
      <c r="G361" t="n">
        <v>5.3</v>
      </c>
      <c r="H361" t="n">
        <v>0</v>
      </c>
      <c r="I361" t="n">
        <v>0</v>
      </c>
      <c r="J361" t="n">
        <v>0</v>
      </c>
      <c r="K361" t="n">
        <v>0</v>
      </c>
      <c r="L361" t="n">
        <v>0</v>
      </c>
      <c r="M361" t="n">
        <v>0</v>
      </c>
      <c r="N361" t="n">
        <v>0</v>
      </c>
      <c r="O361" t="n">
        <v>0</v>
      </c>
      <c r="P361" t="n">
        <v>0</v>
      </c>
      <c r="Q361" t="n">
        <v>0</v>
      </c>
      <c r="R361" s="2" t="inlineStr"/>
    </row>
    <row r="362" ht="15" customHeight="1">
      <c r="A362" t="inlineStr">
        <is>
          <t>A 12210-2024</t>
        </is>
      </c>
      <c r="B362" s="1" t="n">
        <v>45378</v>
      </c>
      <c r="C362" s="1" t="n">
        <v>45881</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1364-2025</t>
        </is>
      </c>
      <c r="B363" s="1" t="n">
        <v>45667.63929398148</v>
      </c>
      <c r="C363" s="1" t="n">
        <v>45881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58388-2022</t>
        </is>
      </c>
      <c r="B364" s="1" t="n">
        <v>44894</v>
      </c>
      <c r="C364" s="1" t="n">
        <v>45881</v>
      </c>
      <c r="D364" t="inlineStr">
        <is>
          <t>GOTLANDS LÄN</t>
        </is>
      </c>
      <c r="E364" t="inlineStr">
        <is>
          <t>GOTLAND</t>
        </is>
      </c>
      <c r="F364" t="inlineStr">
        <is>
          <t>Övriga statliga verk och myndigheter</t>
        </is>
      </c>
      <c r="G364" t="n">
        <v>3.1</v>
      </c>
      <c r="H364" t="n">
        <v>0</v>
      </c>
      <c r="I364" t="n">
        <v>0</v>
      </c>
      <c r="J364" t="n">
        <v>0</v>
      </c>
      <c r="K364" t="n">
        <v>0</v>
      </c>
      <c r="L364" t="n">
        <v>0</v>
      </c>
      <c r="M364" t="n">
        <v>0</v>
      </c>
      <c r="N364" t="n">
        <v>0</v>
      </c>
      <c r="O364" t="n">
        <v>0</v>
      </c>
      <c r="P364" t="n">
        <v>0</v>
      </c>
      <c r="Q364" t="n">
        <v>0</v>
      </c>
      <c r="R364" s="2" t="inlineStr"/>
    </row>
    <row r="365" ht="15" customHeight="1">
      <c r="A365" t="inlineStr">
        <is>
          <t>A 15042-2025</t>
        </is>
      </c>
      <c r="B365" s="1" t="n">
        <v>45743</v>
      </c>
      <c r="C365" s="1" t="n">
        <v>45881</v>
      </c>
      <c r="D365" t="inlineStr">
        <is>
          <t>GOTLANDS LÄN</t>
        </is>
      </c>
      <c r="E365" t="inlineStr">
        <is>
          <t>GOTLAND</t>
        </is>
      </c>
      <c r="G365" t="n">
        <v>8.5</v>
      </c>
      <c r="H365" t="n">
        <v>0</v>
      </c>
      <c r="I365" t="n">
        <v>0</v>
      </c>
      <c r="J365" t="n">
        <v>0</v>
      </c>
      <c r="K365" t="n">
        <v>0</v>
      </c>
      <c r="L365" t="n">
        <v>0</v>
      </c>
      <c r="M365" t="n">
        <v>0</v>
      </c>
      <c r="N365" t="n">
        <v>0</v>
      </c>
      <c r="O365" t="n">
        <v>0</v>
      </c>
      <c r="P365" t="n">
        <v>0</v>
      </c>
      <c r="Q365" t="n">
        <v>0</v>
      </c>
      <c r="R365" s="2" t="inlineStr"/>
    </row>
    <row r="366" ht="15" customHeight="1">
      <c r="A366" t="inlineStr">
        <is>
          <t>A 21792-2024</t>
        </is>
      </c>
      <c r="B366" s="1" t="n">
        <v>45442.64326388889</v>
      </c>
      <c r="C366" s="1" t="n">
        <v>45881</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45881</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18993-2025</t>
        </is>
      </c>
      <c r="B368" s="1" t="n">
        <v>45764</v>
      </c>
      <c r="C368" s="1" t="n">
        <v>45881</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46545-2024</t>
        </is>
      </c>
      <c r="B369" s="1" t="n">
        <v>45582.65831018519</v>
      </c>
      <c r="C369" s="1" t="n">
        <v>45881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17688-2024</t>
        </is>
      </c>
      <c r="B370" s="1" t="n">
        <v>45418.43575231481</v>
      </c>
      <c r="C370" s="1" t="n">
        <v>45881</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60086-2022</t>
        </is>
      </c>
      <c r="B371" s="1" t="n">
        <v>44909</v>
      </c>
      <c r="C371" s="1" t="n">
        <v>45881</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45881</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28480-2023</t>
        </is>
      </c>
      <c r="B373" s="1" t="n">
        <v>45103</v>
      </c>
      <c r="C373" s="1" t="n">
        <v>45881</v>
      </c>
      <c r="D373" t="inlineStr">
        <is>
          <t>GOTLANDS LÄN</t>
        </is>
      </c>
      <c r="E373" t="inlineStr">
        <is>
          <t>GOTLAND</t>
        </is>
      </c>
      <c r="G373" t="n">
        <v>5.7</v>
      </c>
      <c r="H373" t="n">
        <v>0</v>
      </c>
      <c r="I373" t="n">
        <v>0</v>
      </c>
      <c r="J373" t="n">
        <v>0</v>
      </c>
      <c r="K373" t="n">
        <v>0</v>
      </c>
      <c r="L373" t="n">
        <v>0</v>
      </c>
      <c r="M373" t="n">
        <v>0</v>
      </c>
      <c r="N373" t="n">
        <v>0</v>
      </c>
      <c r="O373" t="n">
        <v>0</v>
      </c>
      <c r="P373" t="n">
        <v>0</v>
      </c>
      <c r="Q373" t="n">
        <v>0</v>
      </c>
      <c r="R373" s="2" t="inlineStr"/>
    </row>
    <row r="374" ht="15" customHeight="1">
      <c r="A374" t="inlineStr">
        <is>
          <t>A 28485-2023</t>
        </is>
      </c>
      <c r="B374" s="1" t="n">
        <v>45103.43731481482</v>
      </c>
      <c r="C374" s="1" t="n">
        <v>45881</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45881</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15436-2025</t>
        </is>
      </c>
      <c r="B376" s="1" t="n">
        <v>45747.47462962963</v>
      </c>
      <c r="C376" s="1" t="n">
        <v>45881</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10652-2025</t>
        </is>
      </c>
      <c r="B377" s="1" t="n">
        <v>45721.68640046296</v>
      </c>
      <c r="C377" s="1" t="n">
        <v>45881</v>
      </c>
      <c r="D377" t="inlineStr">
        <is>
          <t>GOTLANDS LÄN</t>
        </is>
      </c>
      <c r="E377" t="inlineStr">
        <is>
          <t>GOTLAND</t>
        </is>
      </c>
      <c r="G377" t="n">
        <v>3.6</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45881</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49257-2024</t>
        </is>
      </c>
      <c r="B379" s="1" t="n">
        <v>45595.47627314815</v>
      </c>
      <c r="C379" s="1" t="n">
        <v>45881</v>
      </c>
      <c r="D379" t="inlineStr">
        <is>
          <t>GOTLANDS LÄN</t>
        </is>
      </c>
      <c r="E379" t="inlineStr">
        <is>
          <t>GOTLAND</t>
        </is>
      </c>
      <c r="G379" t="n">
        <v>6.3</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45881</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37202-2024</t>
        </is>
      </c>
      <c r="B381" s="1" t="n">
        <v>45539.67310185185</v>
      </c>
      <c r="C381" s="1" t="n">
        <v>45881</v>
      </c>
      <c r="D381" t="inlineStr">
        <is>
          <t>GOTLANDS LÄN</t>
        </is>
      </c>
      <c r="E381" t="inlineStr">
        <is>
          <t>GOTLAND</t>
        </is>
      </c>
      <c r="G381" t="n">
        <v>0.3</v>
      </c>
      <c r="H381" t="n">
        <v>0</v>
      </c>
      <c r="I381" t="n">
        <v>0</v>
      </c>
      <c r="J381" t="n">
        <v>0</v>
      </c>
      <c r="K381" t="n">
        <v>0</v>
      </c>
      <c r="L381" t="n">
        <v>0</v>
      </c>
      <c r="M381" t="n">
        <v>0</v>
      </c>
      <c r="N381" t="n">
        <v>0</v>
      </c>
      <c r="O381" t="n">
        <v>0</v>
      </c>
      <c r="P381" t="n">
        <v>0</v>
      </c>
      <c r="Q381" t="n">
        <v>0</v>
      </c>
      <c r="R381" s="2" t="inlineStr"/>
    </row>
    <row r="382" ht="15" customHeight="1">
      <c r="A382" t="inlineStr">
        <is>
          <t>A 4568-2025</t>
        </is>
      </c>
      <c r="B382" s="1" t="n">
        <v>45687</v>
      </c>
      <c r="C382" s="1" t="n">
        <v>45881</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56115-2023</t>
        </is>
      </c>
      <c r="B383" s="1" t="n">
        <v>45236</v>
      </c>
      <c r="C383" s="1" t="n">
        <v>45881</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45881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35512-2023</t>
        </is>
      </c>
      <c r="B385" s="1" t="n">
        <v>45147.25623842593</v>
      </c>
      <c r="C385" s="1" t="n">
        <v>45881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5905-2024</t>
        </is>
      </c>
      <c r="B386" s="1" t="n">
        <v>45335.88993055555</v>
      </c>
      <c r="C386" s="1" t="n">
        <v>45881</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3964-2024</t>
        </is>
      </c>
      <c r="B387" s="1" t="n">
        <v>45322</v>
      </c>
      <c r="C387" s="1" t="n">
        <v>45881</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2774-2024</t>
        </is>
      </c>
      <c r="B388" s="1" t="n">
        <v>45314.62375</v>
      </c>
      <c r="C388" s="1" t="n">
        <v>45881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45084-2024</t>
        </is>
      </c>
      <c r="B389" s="1" t="n">
        <v>45575</v>
      </c>
      <c r="C389" s="1" t="n">
        <v>45881</v>
      </c>
      <c r="D389" t="inlineStr">
        <is>
          <t>GOTLANDS LÄN</t>
        </is>
      </c>
      <c r="E389" t="inlineStr">
        <is>
          <t>GOTLAND</t>
        </is>
      </c>
      <c r="G389" t="n">
        <v>6.8</v>
      </c>
      <c r="H389" t="n">
        <v>0</v>
      </c>
      <c r="I389" t="n">
        <v>0</v>
      </c>
      <c r="J389" t="n">
        <v>0</v>
      </c>
      <c r="K389" t="n">
        <v>0</v>
      </c>
      <c r="L389" t="n">
        <v>0</v>
      </c>
      <c r="M389" t="n">
        <v>0</v>
      </c>
      <c r="N389" t="n">
        <v>0</v>
      </c>
      <c r="O389" t="n">
        <v>0</v>
      </c>
      <c r="P389" t="n">
        <v>0</v>
      </c>
      <c r="Q389" t="n">
        <v>0</v>
      </c>
      <c r="R389" s="2" t="inlineStr"/>
    </row>
    <row r="390" ht="15" customHeight="1">
      <c r="A390" t="inlineStr">
        <is>
          <t>A 1291-2023</t>
        </is>
      </c>
      <c r="B390" s="1" t="n">
        <v>44936.47561342592</v>
      </c>
      <c r="C390" s="1" t="n">
        <v>45881</v>
      </c>
      <c r="D390" t="inlineStr">
        <is>
          <t>GOTLANDS LÄN</t>
        </is>
      </c>
      <c r="E390" t="inlineStr">
        <is>
          <t>GOTLAND</t>
        </is>
      </c>
      <c r="G390" t="n">
        <v>7.4</v>
      </c>
      <c r="H390" t="n">
        <v>0</v>
      </c>
      <c r="I390" t="n">
        <v>0</v>
      </c>
      <c r="J390" t="n">
        <v>0</v>
      </c>
      <c r="K390" t="n">
        <v>0</v>
      </c>
      <c r="L390" t="n">
        <v>0</v>
      </c>
      <c r="M390" t="n">
        <v>0</v>
      </c>
      <c r="N390" t="n">
        <v>0</v>
      </c>
      <c r="O390" t="n">
        <v>0</v>
      </c>
      <c r="P390" t="n">
        <v>0</v>
      </c>
      <c r="Q390" t="n">
        <v>0</v>
      </c>
      <c r="R390" s="2" t="inlineStr"/>
    </row>
    <row r="391" ht="15" customHeight="1">
      <c r="A391" t="inlineStr">
        <is>
          <t>A 57652-2023</t>
        </is>
      </c>
      <c r="B391" s="1" t="n">
        <v>45246</v>
      </c>
      <c r="C391" s="1" t="n">
        <v>45881</v>
      </c>
      <c r="D391" t="inlineStr">
        <is>
          <t>GOTLANDS LÄN</t>
        </is>
      </c>
      <c r="E391" t="inlineStr">
        <is>
          <t>GOTLAND</t>
        </is>
      </c>
      <c r="G391" t="n">
        <v>7.2</v>
      </c>
      <c r="H391" t="n">
        <v>0</v>
      </c>
      <c r="I391" t="n">
        <v>0</v>
      </c>
      <c r="J391" t="n">
        <v>0</v>
      </c>
      <c r="K391" t="n">
        <v>0</v>
      </c>
      <c r="L391" t="n">
        <v>0</v>
      </c>
      <c r="M391" t="n">
        <v>0</v>
      </c>
      <c r="N391" t="n">
        <v>0</v>
      </c>
      <c r="O391" t="n">
        <v>0</v>
      </c>
      <c r="P391" t="n">
        <v>0</v>
      </c>
      <c r="Q391" t="n">
        <v>0</v>
      </c>
      <c r="R391" s="2" t="inlineStr"/>
    </row>
    <row r="392" ht="15" customHeight="1">
      <c r="A392" t="inlineStr">
        <is>
          <t>A 13627-2023</t>
        </is>
      </c>
      <c r="B392" s="1" t="n">
        <v>45006</v>
      </c>
      <c r="C392" s="1" t="n">
        <v>45881</v>
      </c>
      <c r="D392" t="inlineStr">
        <is>
          <t>GOTLANDS LÄN</t>
        </is>
      </c>
      <c r="E392" t="inlineStr">
        <is>
          <t>GOTLAND</t>
        </is>
      </c>
      <c r="G392" t="n">
        <v>10.7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45881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49315-2024</t>
        </is>
      </c>
      <c r="B394" s="1" t="n">
        <v>45595</v>
      </c>
      <c r="C394" s="1" t="n">
        <v>45881</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45106-2024</t>
        </is>
      </c>
      <c r="B395" s="1" t="n">
        <v>45575</v>
      </c>
      <c r="C395" s="1" t="n">
        <v>45881</v>
      </c>
      <c r="D395" t="inlineStr">
        <is>
          <t>GOTLANDS LÄN</t>
        </is>
      </c>
      <c r="E395" t="inlineStr">
        <is>
          <t>GOTLAND</t>
        </is>
      </c>
      <c r="G395" t="n">
        <v>10</v>
      </c>
      <c r="H395" t="n">
        <v>0</v>
      </c>
      <c r="I395" t="n">
        <v>0</v>
      </c>
      <c r="J395" t="n">
        <v>0</v>
      </c>
      <c r="K395" t="n">
        <v>0</v>
      </c>
      <c r="L395" t="n">
        <v>0</v>
      </c>
      <c r="M395" t="n">
        <v>0</v>
      </c>
      <c r="N395" t="n">
        <v>0</v>
      </c>
      <c r="O395" t="n">
        <v>0</v>
      </c>
      <c r="P395" t="n">
        <v>0</v>
      </c>
      <c r="Q395" t="n">
        <v>0</v>
      </c>
      <c r="R395" s="2" t="inlineStr"/>
    </row>
    <row r="396" ht="15" customHeight="1">
      <c r="A396" t="inlineStr">
        <is>
          <t>A 45112-2024</t>
        </is>
      </c>
      <c r="B396" s="1" t="n">
        <v>45575</v>
      </c>
      <c r="C396" s="1" t="n">
        <v>45881</v>
      </c>
      <c r="D396" t="inlineStr">
        <is>
          <t>GOTLANDS LÄN</t>
        </is>
      </c>
      <c r="E396" t="inlineStr">
        <is>
          <t>GOTLAND</t>
        </is>
      </c>
      <c r="G396" t="n">
        <v>5.1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45881</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64208-2021</t>
        </is>
      </c>
      <c r="B398" s="1" t="n">
        <v>44510</v>
      </c>
      <c r="C398" s="1" t="n">
        <v>45881</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39764-2022</t>
        </is>
      </c>
      <c r="B399" s="1" t="n">
        <v>44819</v>
      </c>
      <c r="C399" s="1" t="n">
        <v>45881</v>
      </c>
      <c r="D399" t="inlineStr">
        <is>
          <t>GOTLANDS LÄN</t>
        </is>
      </c>
      <c r="E399" t="inlineStr">
        <is>
          <t>GOTLAND</t>
        </is>
      </c>
      <c r="F399" t="inlineStr">
        <is>
          <t>Kyrkan</t>
        </is>
      </c>
      <c r="G399" t="n">
        <v>3.7</v>
      </c>
      <c r="H399" t="n">
        <v>0</v>
      </c>
      <c r="I399" t="n">
        <v>0</v>
      </c>
      <c r="J399" t="n">
        <v>0</v>
      </c>
      <c r="K399" t="n">
        <v>0</v>
      </c>
      <c r="L399" t="n">
        <v>0</v>
      </c>
      <c r="M399" t="n">
        <v>0</v>
      </c>
      <c r="N399" t="n">
        <v>0</v>
      </c>
      <c r="O399" t="n">
        <v>0</v>
      </c>
      <c r="P399" t="n">
        <v>0</v>
      </c>
      <c r="Q399" t="n">
        <v>0</v>
      </c>
      <c r="R399" s="2" t="inlineStr"/>
    </row>
    <row r="400" ht="15" customHeight="1">
      <c r="A400" t="inlineStr">
        <is>
          <t>A 3150-2025</t>
        </is>
      </c>
      <c r="B400" s="1" t="n">
        <v>45679.28974537037</v>
      </c>
      <c r="C400" s="1" t="n">
        <v>45881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8484-2025</t>
        </is>
      </c>
      <c r="B401" s="1" t="n">
        <v>45709</v>
      </c>
      <c r="C401" s="1" t="n">
        <v>45881</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7635-2025</t>
        </is>
      </c>
      <c r="B402" s="1" t="n">
        <v>45705</v>
      </c>
      <c r="C402" s="1" t="n">
        <v>45881</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7636-2025</t>
        </is>
      </c>
      <c r="B403" s="1" t="n">
        <v>45705.7687962963</v>
      </c>
      <c r="C403" s="1" t="n">
        <v>45881</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7639-2025</t>
        </is>
      </c>
      <c r="B404" s="1" t="n">
        <v>45705.77465277778</v>
      </c>
      <c r="C404" s="1" t="n">
        <v>45881</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14915-2025</t>
        </is>
      </c>
      <c r="B405" s="1" t="n">
        <v>45743.53121527778</v>
      </c>
      <c r="C405" s="1" t="n">
        <v>45881</v>
      </c>
      <c r="D405" t="inlineStr">
        <is>
          <t>GOTLANDS LÄN</t>
        </is>
      </c>
      <c r="E405" t="inlineStr">
        <is>
          <t>GOTLAND</t>
        </is>
      </c>
      <c r="G405" t="n">
        <v>5.9</v>
      </c>
      <c r="H405" t="n">
        <v>0</v>
      </c>
      <c r="I405" t="n">
        <v>0</v>
      </c>
      <c r="J405" t="n">
        <v>0</v>
      </c>
      <c r="K405" t="n">
        <v>0</v>
      </c>
      <c r="L405" t="n">
        <v>0</v>
      </c>
      <c r="M405" t="n">
        <v>0</v>
      </c>
      <c r="N405" t="n">
        <v>0</v>
      </c>
      <c r="O405" t="n">
        <v>0</v>
      </c>
      <c r="P405" t="n">
        <v>0</v>
      </c>
      <c r="Q405" t="n">
        <v>0</v>
      </c>
      <c r="R405" s="2" t="inlineStr"/>
    </row>
    <row r="406" ht="15" customHeight="1">
      <c r="A406" t="inlineStr">
        <is>
          <t>A 58211-2024</t>
        </is>
      </c>
      <c r="B406" s="1" t="n">
        <v>45632.49292824074</v>
      </c>
      <c r="C406" s="1" t="n">
        <v>45881</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5217-2023</t>
        </is>
      </c>
      <c r="B407" s="1" t="n">
        <v>44959.39582175926</v>
      </c>
      <c r="C407" s="1" t="n">
        <v>45881</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20356-2022</t>
        </is>
      </c>
      <c r="B408" s="1" t="n">
        <v>44699</v>
      </c>
      <c r="C408" s="1" t="n">
        <v>45881</v>
      </c>
      <c r="D408" t="inlineStr">
        <is>
          <t>GOTLANDS LÄN</t>
        </is>
      </c>
      <c r="E408" t="inlineStr">
        <is>
          <t>GOTLAND</t>
        </is>
      </c>
      <c r="F408" t="inlineStr">
        <is>
          <t>Övriga Aktiebolag</t>
        </is>
      </c>
      <c r="G408" t="n">
        <v>4.4</v>
      </c>
      <c r="H408" t="n">
        <v>0</v>
      </c>
      <c r="I408" t="n">
        <v>0</v>
      </c>
      <c r="J408" t="n">
        <v>0</v>
      </c>
      <c r="K408" t="n">
        <v>0</v>
      </c>
      <c r="L408" t="n">
        <v>0</v>
      </c>
      <c r="M408" t="n">
        <v>0</v>
      </c>
      <c r="N408" t="n">
        <v>0</v>
      </c>
      <c r="O408" t="n">
        <v>0</v>
      </c>
      <c r="P408" t="n">
        <v>0</v>
      </c>
      <c r="Q408" t="n">
        <v>0</v>
      </c>
      <c r="R408" s="2" t="inlineStr"/>
    </row>
    <row r="409" ht="15" customHeight="1">
      <c r="A409" t="inlineStr">
        <is>
          <t>A 48734-2022</t>
        </is>
      </c>
      <c r="B409" s="1" t="n">
        <v>44855</v>
      </c>
      <c r="C409" s="1" t="n">
        <v>45881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14141-2024</t>
        </is>
      </c>
      <c r="B410" s="1" t="n">
        <v>45392.85193287037</v>
      </c>
      <c r="C410" s="1" t="n">
        <v>45881</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29809-2022</t>
        </is>
      </c>
      <c r="B411" s="1" t="n">
        <v>44755.8713425926</v>
      </c>
      <c r="C411" s="1" t="n">
        <v>45881</v>
      </c>
      <c r="D411" t="inlineStr">
        <is>
          <t>GOTLANDS LÄN</t>
        </is>
      </c>
      <c r="E411" t="inlineStr">
        <is>
          <t>GOTLAND</t>
        </is>
      </c>
      <c r="G411" t="n">
        <v>11.5</v>
      </c>
      <c r="H411" t="n">
        <v>0</v>
      </c>
      <c r="I411" t="n">
        <v>0</v>
      </c>
      <c r="J411" t="n">
        <v>0</v>
      </c>
      <c r="K411" t="n">
        <v>0</v>
      </c>
      <c r="L411" t="n">
        <v>0</v>
      </c>
      <c r="M411" t="n">
        <v>0</v>
      </c>
      <c r="N411" t="n">
        <v>0</v>
      </c>
      <c r="O411" t="n">
        <v>0</v>
      </c>
      <c r="P411" t="n">
        <v>0</v>
      </c>
      <c r="Q411" t="n">
        <v>0</v>
      </c>
      <c r="R411" s="2" t="inlineStr"/>
    </row>
    <row r="412" ht="15" customHeight="1">
      <c r="A412" t="inlineStr">
        <is>
          <t>A 30956-2024</t>
        </is>
      </c>
      <c r="B412" s="1" t="n">
        <v>45499.42527777778</v>
      </c>
      <c r="C412" s="1" t="n">
        <v>45881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30892-2024</t>
        </is>
      </c>
      <c r="B413" s="1" t="n">
        <v>45491</v>
      </c>
      <c r="C413" s="1" t="n">
        <v>45881</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14635-2023</t>
        </is>
      </c>
      <c r="B414" s="1" t="n">
        <v>45013.69365740741</v>
      </c>
      <c r="C414" s="1" t="n">
        <v>45881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59469-2024</t>
        </is>
      </c>
      <c r="B415" s="1" t="n">
        <v>45638</v>
      </c>
      <c r="C415" s="1" t="n">
        <v>45881</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43790-2024</t>
        </is>
      </c>
      <c r="B416" s="1" t="n">
        <v>45571</v>
      </c>
      <c r="C416" s="1" t="n">
        <v>45881</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7858-2025</t>
        </is>
      </c>
      <c r="B417" s="1" t="n">
        <v>45706.68633101852</v>
      </c>
      <c r="C417" s="1" t="n">
        <v>45881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41373-2024</t>
        </is>
      </c>
      <c r="B418" s="1" t="n">
        <v>45559.82556712963</v>
      </c>
      <c r="C418" s="1" t="n">
        <v>45881</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1477-2024</t>
        </is>
      </c>
      <c r="B419" s="1" t="n">
        <v>45305.37987268518</v>
      </c>
      <c r="C419" s="1" t="n">
        <v>45881</v>
      </c>
      <c r="D419" t="inlineStr">
        <is>
          <t>GOTLANDS LÄN</t>
        </is>
      </c>
      <c r="E419" t="inlineStr">
        <is>
          <t>GOTLAND</t>
        </is>
      </c>
      <c r="G419" t="n">
        <v>6.9</v>
      </c>
      <c r="H419" t="n">
        <v>0</v>
      </c>
      <c r="I419" t="n">
        <v>0</v>
      </c>
      <c r="J419" t="n">
        <v>0</v>
      </c>
      <c r="K419" t="n">
        <v>0</v>
      </c>
      <c r="L419" t="n">
        <v>0</v>
      </c>
      <c r="M419" t="n">
        <v>0</v>
      </c>
      <c r="N419" t="n">
        <v>0</v>
      </c>
      <c r="O419" t="n">
        <v>0</v>
      </c>
      <c r="P419" t="n">
        <v>0</v>
      </c>
      <c r="Q419" t="n">
        <v>0</v>
      </c>
      <c r="R419" s="2" t="inlineStr"/>
    </row>
    <row r="420" ht="15" customHeight="1">
      <c r="A420" t="inlineStr">
        <is>
          <t>A 1677-2023</t>
        </is>
      </c>
      <c r="B420" s="1" t="n">
        <v>44938</v>
      </c>
      <c r="C420" s="1" t="n">
        <v>45881</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53935-2024</t>
        </is>
      </c>
      <c r="B421" s="1" t="n">
        <v>45615</v>
      </c>
      <c r="C421" s="1" t="n">
        <v>45881</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37591-2023</t>
        </is>
      </c>
      <c r="B422" s="1" t="n">
        <v>45159</v>
      </c>
      <c r="C422" s="1" t="n">
        <v>45881</v>
      </c>
      <c r="D422" t="inlineStr">
        <is>
          <t>GOTLANDS LÄN</t>
        </is>
      </c>
      <c r="E422" t="inlineStr">
        <is>
          <t>GOTLAND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45244-2024</t>
        </is>
      </c>
      <c r="B423" s="1" t="n">
        <v>45576</v>
      </c>
      <c r="C423" s="1" t="n">
        <v>45881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57685-2022</t>
        </is>
      </c>
      <c r="B424" s="1" t="n">
        <v>44897.4777662037</v>
      </c>
      <c r="C424" s="1" t="n">
        <v>45881</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12599-2025</t>
        </is>
      </c>
      <c r="B425" s="1" t="n">
        <v>45733.29546296296</v>
      </c>
      <c r="C425" s="1" t="n">
        <v>45881</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30815-2023</t>
        </is>
      </c>
      <c r="B426" s="1" t="n">
        <v>45112</v>
      </c>
      <c r="C426" s="1" t="n">
        <v>45881</v>
      </c>
      <c r="D426" t="inlineStr">
        <is>
          <t>GOTLANDS LÄN</t>
        </is>
      </c>
      <c r="E426" t="inlineStr">
        <is>
          <t>GOTLAND</t>
        </is>
      </c>
      <c r="G426" t="n">
        <v>6</v>
      </c>
      <c r="H426" t="n">
        <v>0</v>
      </c>
      <c r="I426" t="n">
        <v>0</v>
      </c>
      <c r="J426" t="n">
        <v>0</v>
      </c>
      <c r="K426" t="n">
        <v>0</v>
      </c>
      <c r="L426" t="n">
        <v>0</v>
      </c>
      <c r="M426" t="n">
        <v>0</v>
      </c>
      <c r="N426" t="n">
        <v>0</v>
      </c>
      <c r="O426" t="n">
        <v>0</v>
      </c>
      <c r="P426" t="n">
        <v>0</v>
      </c>
      <c r="Q426" t="n">
        <v>0</v>
      </c>
      <c r="R426" s="2" t="inlineStr"/>
    </row>
    <row r="427" ht="15" customHeight="1">
      <c r="A427" t="inlineStr">
        <is>
          <t>A 18223-2025</t>
        </is>
      </c>
      <c r="B427" s="1" t="n">
        <v>45761</v>
      </c>
      <c r="C427" s="1" t="n">
        <v>45881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4420-2025</t>
        </is>
      </c>
      <c r="B428" s="1" t="n">
        <v>45686.47157407407</v>
      </c>
      <c r="C428" s="1" t="n">
        <v>45881</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7034-2023</t>
        </is>
      </c>
      <c r="B429" s="1" t="n">
        <v>44968.32108796296</v>
      </c>
      <c r="C429" s="1" t="n">
        <v>45881</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7042-2023</t>
        </is>
      </c>
      <c r="B430" s="1" t="n">
        <v>44968</v>
      </c>
      <c r="C430" s="1" t="n">
        <v>45881</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14570-2025</t>
        </is>
      </c>
      <c r="B431" s="1" t="n">
        <v>45741.87113425926</v>
      </c>
      <c r="C431" s="1" t="n">
        <v>45881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23516-2023</t>
        </is>
      </c>
      <c r="B432" s="1" t="n">
        <v>45076.93391203704</v>
      </c>
      <c r="C432" s="1" t="n">
        <v>45881</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64660-2023</t>
        </is>
      </c>
      <c r="B433" s="1" t="n">
        <v>45281.60122685185</v>
      </c>
      <c r="C433" s="1" t="n">
        <v>45881</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63763-2023</t>
        </is>
      </c>
      <c r="B434" s="1" t="n">
        <v>45278.33944444444</v>
      </c>
      <c r="C434" s="1" t="n">
        <v>45881</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5891-2025</t>
        </is>
      </c>
      <c r="B435" s="1" t="n">
        <v>45695.38327546296</v>
      </c>
      <c r="C435" s="1" t="n">
        <v>45881</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8260-2023</t>
        </is>
      </c>
      <c r="B436" s="1" t="n">
        <v>44974.61608796296</v>
      </c>
      <c r="C436" s="1" t="n">
        <v>45881</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64969-2023</t>
        </is>
      </c>
      <c r="B437" s="1" t="n">
        <v>45284.54009259259</v>
      </c>
      <c r="C437" s="1" t="n">
        <v>45881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48843-2024</t>
        </is>
      </c>
      <c r="B438" s="1" t="n">
        <v>45593</v>
      </c>
      <c r="C438" s="1" t="n">
        <v>45881</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17541-2024</t>
        </is>
      </c>
      <c r="B439" s="1" t="n">
        <v>45415</v>
      </c>
      <c r="C439" s="1" t="n">
        <v>45881</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44508.34518518519</v>
      </c>
      <c r="C440" s="1" t="n">
        <v>45881</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46375-2024</t>
        </is>
      </c>
      <c r="B441" s="1" t="n">
        <v>45582</v>
      </c>
      <c r="C441" s="1" t="n">
        <v>45881</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2241-2025</t>
        </is>
      </c>
      <c r="B442" s="1" t="n">
        <v>45673.48710648148</v>
      </c>
      <c r="C442" s="1" t="n">
        <v>45881</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7835-2024</t>
        </is>
      </c>
      <c r="B443" s="1" t="n">
        <v>45349.83138888889</v>
      </c>
      <c r="C443" s="1" t="n">
        <v>45881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15434-2024</t>
        </is>
      </c>
      <c r="B444" s="1" t="n">
        <v>45401.38836805556</v>
      </c>
      <c r="C444" s="1" t="n">
        <v>45881</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20794-2025</t>
        </is>
      </c>
      <c r="B445" s="1" t="n">
        <v>45776</v>
      </c>
      <c r="C445" s="1" t="n">
        <v>45881</v>
      </c>
      <c r="D445" t="inlineStr">
        <is>
          <t>GOTLANDS LÄN</t>
        </is>
      </c>
      <c r="E445" t="inlineStr">
        <is>
          <t>GOTLAND</t>
        </is>
      </c>
      <c r="G445" t="n">
        <v>6</v>
      </c>
      <c r="H445" t="n">
        <v>0</v>
      </c>
      <c r="I445" t="n">
        <v>0</v>
      </c>
      <c r="J445" t="n">
        <v>0</v>
      </c>
      <c r="K445" t="n">
        <v>0</v>
      </c>
      <c r="L445" t="n">
        <v>0</v>
      </c>
      <c r="M445" t="n">
        <v>0</v>
      </c>
      <c r="N445" t="n">
        <v>0</v>
      </c>
      <c r="O445" t="n">
        <v>0</v>
      </c>
      <c r="P445" t="n">
        <v>0</v>
      </c>
      <c r="Q445" t="n">
        <v>0</v>
      </c>
      <c r="R445" s="2" t="inlineStr"/>
    </row>
    <row r="446" ht="15" customHeight="1">
      <c r="A446" t="inlineStr">
        <is>
          <t>A 20812-2025</t>
        </is>
      </c>
      <c r="B446" s="1" t="n">
        <v>45776</v>
      </c>
      <c r="C446" s="1" t="n">
        <v>45881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20805-2025</t>
        </is>
      </c>
      <c r="B447" s="1" t="n">
        <v>45776</v>
      </c>
      <c r="C447" s="1" t="n">
        <v>45881</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1345-2025</t>
        </is>
      </c>
      <c r="B448" s="1" t="n">
        <v>45667.60511574074</v>
      </c>
      <c r="C448" s="1" t="n">
        <v>45881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1734-2025</t>
        </is>
      </c>
      <c r="B449" s="1" t="n">
        <v>45671.3840625</v>
      </c>
      <c r="C449" s="1" t="n">
        <v>45881</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20993-2023</t>
        </is>
      </c>
      <c r="B450" s="1" t="n">
        <v>45056</v>
      </c>
      <c r="C450" s="1" t="n">
        <v>45881</v>
      </c>
      <c r="D450" t="inlineStr">
        <is>
          <t>GOTLANDS LÄN</t>
        </is>
      </c>
      <c r="E450" t="inlineStr">
        <is>
          <t>GOTLAND</t>
        </is>
      </c>
      <c r="G450" t="n">
        <v>7.1</v>
      </c>
      <c r="H450" t="n">
        <v>0</v>
      </c>
      <c r="I450" t="n">
        <v>0</v>
      </c>
      <c r="J450" t="n">
        <v>0</v>
      </c>
      <c r="K450" t="n">
        <v>0</v>
      </c>
      <c r="L450" t="n">
        <v>0</v>
      </c>
      <c r="M450" t="n">
        <v>0</v>
      </c>
      <c r="N450" t="n">
        <v>0</v>
      </c>
      <c r="O450" t="n">
        <v>0</v>
      </c>
      <c r="P450" t="n">
        <v>0</v>
      </c>
      <c r="Q450" t="n">
        <v>0</v>
      </c>
      <c r="R450" s="2" t="inlineStr"/>
    </row>
    <row r="451" ht="15" customHeight="1">
      <c r="A451" t="inlineStr">
        <is>
          <t>A 5943-2024</t>
        </is>
      </c>
      <c r="B451" s="1" t="n">
        <v>45336</v>
      </c>
      <c r="C451" s="1" t="n">
        <v>45881</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60908-2024</t>
        </is>
      </c>
      <c r="B452" s="1" t="n">
        <v>45645.31320601852</v>
      </c>
      <c r="C452" s="1" t="n">
        <v>45881</v>
      </c>
      <c r="D452" t="inlineStr">
        <is>
          <t>GOTLANDS LÄN</t>
        </is>
      </c>
      <c r="E452" t="inlineStr">
        <is>
          <t>GOTLAND</t>
        </is>
      </c>
      <c r="G452" t="n">
        <v>7.1</v>
      </c>
      <c r="H452" t="n">
        <v>0</v>
      </c>
      <c r="I452" t="n">
        <v>0</v>
      </c>
      <c r="J452" t="n">
        <v>0</v>
      </c>
      <c r="K452" t="n">
        <v>0</v>
      </c>
      <c r="L452" t="n">
        <v>0</v>
      </c>
      <c r="M452" t="n">
        <v>0</v>
      </c>
      <c r="N452" t="n">
        <v>0</v>
      </c>
      <c r="O452" t="n">
        <v>0</v>
      </c>
      <c r="P452" t="n">
        <v>0</v>
      </c>
      <c r="Q452" t="n">
        <v>0</v>
      </c>
      <c r="R452" s="2" t="inlineStr"/>
    </row>
    <row r="453" ht="15" customHeight="1">
      <c r="A453" t="inlineStr">
        <is>
          <t>A 54073-2022</t>
        </is>
      </c>
      <c r="B453" s="1" t="n">
        <v>44881.50380787037</v>
      </c>
      <c r="C453" s="1" t="n">
        <v>45881</v>
      </c>
      <c r="D453" t="inlineStr">
        <is>
          <t>GOTLANDS LÄN</t>
        </is>
      </c>
      <c r="E453" t="inlineStr">
        <is>
          <t>GOTLAND</t>
        </is>
      </c>
      <c r="G453" t="n">
        <v>3.8</v>
      </c>
      <c r="H453" t="n">
        <v>0</v>
      </c>
      <c r="I453" t="n">
        <v>0</v>
      </c>
      <c r="J453" t="n">
        <v>0</v>
      </c>
      <c r="K453" t="n">
        <v>0</v>
      </c>
      <c r="L453" t="n">
        <v>0</v>
      </c>
      <c r="M453" t="n">
        <v>0</v>
      </c>
      <c r="N453" t="n">
        <v>0</v>
      </c>
      <c r="O453" t="n">
        <v>0</v>
      </c>
      <c r="P453" t="n">
        <v>0</v>
      </c>
      <c r="Q453" t="n">
        <v>0</v>
      </c>
      <c r="R453" s="2" t="inlineStr"/>
    </row>
    <row r="454" ht="15" customHeight="1">
      <c r="A454" t="inlineStr">
        <is>
          <t>A 16361-2024</t>
        </is>
      </c>
      <c r="B454" s="1" t="n">
        <v>45407</v>
      </c>
      <c r="C454" s="1" t="n">
        <v>45881</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21389-2025</t>
        </is>
      </c>
      <c r="B455" s="1" t="n">
        <v>45782</v>
      </c>
      <c r="C455" s="1" t="n">
        <v>45881</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12596-2023</t>
        </is>
      </c>
      <c r="B456" s="1" t="n">
        <v>45000.43310185185</v>
      </c>
      <c r="C456" s="1" t="n">
        <v>45881</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2125-2025</t>
        </is>
      </c>
      <c r="B457" s="1" t="n">
        <v>45672.64940972222</v>
      </c>
      <c r="C457" s="1" t="n">
        <v>45881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41038-2023</t>
        </is>
      </c>
      <c r="B458" s="1" t="n">
        <v>45173.60959490741</v>
      </c>
      <c r="C458" s="1" t="n">
        <v>45881</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12155-2023</t>
        </is>
      </c>
      <c r="B459" s="1" t="n">
        <v>44998.49106481481</v>
      </c>
      <c r="C459" s="1" t="n">
        <v>45881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457-2023</t>
        </is>
      </c>
      <c r="B460" s="1" t="n">
        <v>44929.87238425926</v>
      </c>
      <c r="C460" s="1" t="n">
        <v>45881</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459-2023</t>
        </is>
      </c>
      <c r="B461" s="1" t="n">
        <v>44929.87423611111</v>
      </c>
      <c r="C461" s="1" t="n">
        <v>45881</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38234-2023</t>
        </is>
      </c>
      <c r="B462" s="1" t="n">
        <v>45161.56663194444</v>
      </c>
      <c r="C462" s="1" t="n">
        <v>45881</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21142-2025</t>
        </is>
      </c>
      <c r="B463" s="1" t="n">
        <v>45779</v>
      </c>
      <c r="C463" s="1" t="n">
        <v>45881</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34142-2024</t>
        </is>
      </c>
      <c r="B464" s="1" t="n">
        <v>45524.36521990741</v>
      </c>
      <c r="C464" s="1" t="n">
        <v>45881</v>
      </c>
      <c r="D464" t="inlineStr">
        <is>
          <t>GOTLANDS LÄN</t>
        </is>
      </c>
      <c r="E464" t="inlineStr">
        <is>
          <t>GOTLAND</t>
        </is>
      </c>
      <c r="G464" t="n">
        <v>6</v>
      </c>
      <c r="H464" t="n">
        <v>0</v>
      </c>
      <c r="I464" t="n">
        <v>0</v>
      </c>
      <c r="J464" t="n">
        <v>0</v>
      </c>
      <c r="K464" t="n">
        <v>0</v>
      </c>
      <c r="L464" t="n">
        <v>0</v>
      </c>
      <c r="M464" t="n">
        <v>0</v>
      </c>
      <c r="N464" t="n">
        <v>0</v>
      </c>
      <c r="O464" t="n">
        <v>0</v>
      </c>
      <c r="P464" t="n">
        <v>0</v>
      </c>
      <c r="Q464" t="n">
        <v>0</v>
      </c>
      <c r="R464" s="2" t="inlineStr"/>
    </row>
    <row r="465" ht="15" customHeight="1">
      <c r="A465" t="inlineStr">
        <is>
          <t>A 14427-2024</t>
        </is>
      </c>
      <c r="B465" s="1" t="n">
        <v>45394</v>
      </c>
      <c r="C465" s="1" t="n">
        <v>45881</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21651-2025</t>
        </is>
      </c>
      <c r="B466" s="1" t="n">
        <v>45783</v>
      </c>
      <c r="C466" s="1" t="n">
        <v>45881</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50744-2024</t>
        </is>
      </c>
      <c r="B467" s="1" t="n">
        <v>45602.4187037037</v>
      </c>
      <c r="C467" s="1" t="n">
        <v>45881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31802-2024</t>
        </is>
      </c>
      <c r="B468" s="1" t="n">
        <v>45509</v>
      </c>
      <c r="C468" s="1" t="n">
        <v>45881</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53934-2024</t>
        </is>
      </c>
      <c r="B469" s="1" t="n">
        <v>45615</v>
      </c>
      <c r="C469" s="1" t="n">
        <v>45881</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8684-2025</t>
        </is>
      </c>
      <c r="B470" s="1" t="n">
        <v>45712.45605324074</v>
      </c>
      <c r="C470" s="1" t="n">
        <v>45881</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45881</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45881</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1446-2025</t>
        </is>
      </c>
      <c r="B473" s="1" t="n">
        <v>45669.86035879629</v>
      </c>
      <c r="C473" s="1" t="n">
        <v>45881</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10813-2025</t>
        </is>
      </c>
      <c r="B474" s="1" t="n">
        <v>45722.54163194444</v>
      </c>
      <c r="C474" s="1" t="n">
        <v>45881</v>
      </c>
      <c r="D474" t="inlineStr">
        <is>
          <t>GOTLANDS LÄN</t>
        </is>
      </c>
      <c r="E474" t="inlineStr">
        <is>
          <t>GOTLAND</t>
        </is>
      </c>
      <c r="G474" t="n">
        <v>1.5</v>
      </c>
      <c r="H474" t="n">
        <v>0</v>
      </c>
      <c r="I474" t="n">
        <v>0</v>
      </c>
      <c r="J474" t="n">
        <v>0</v>
      </c>
      <c r="K474" t="n">
        <v>0</v>
      </c>
      <c r="L474" t="n">
        <v>0</v>
      </c>
      <c r="M474" t="n">
        <v>0</v>
      </c>
      <c r="N474" t="n">
        <v>0</v>
      </c>
      <c r="O474" t="n">
        <v>0</v>
      </c>
      <c r="P474" t="n">
        <v>0</v>
      </c>
      <c r="Q474" t="n">
        <v>0</v>
      </c>
      <c r="R474" s="2" t="inlineStr"/>
    </row>
    <row r="475" ht="15" customHeight="1">
      <c r="A475" t="inlineStr">
        <is>
          <t>A 46949-2024</t>
        </is>
      </c>
      <c r="B475" s="1" t="n">
        <v>45585</v>
      </c>
      <c r="C475" s="1" t="n">
        <v>45881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17227-2021</t>
        </is>
      </c>
      <c r="B476" s="1" t="n">
        <v>44298.49725694444</v>
      </c>
      <c r="C476" s="1" t="n">
        <v>45881</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31264-2021</t>
        </is>
      </c>
      <c r="B477" s="1" t="n">
        <v>44368</v>
      </c>
      <c r="C477" s="1" t="n">
        <v>45881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44624.57945601852</v>
      </c>
      <c r="C478" s="1" t="n">
        <v>45881</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45881</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10746-2025</t>
        </is>
      </c>
      <c r="B480" s="1" t="n">
        <v>45722.42766203704</v>
      </c>
      <c r="C480" s="1" t="n">
        <v>45881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16501-2023</t>
        </is>
      </c>
      <c r="B481" s="1" t="n">
        <v>45029</v>
      </c>
      <c r="C481" s="1" t="n">
        <v>45881</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15413-2025</t>
        </is>
      </c>
      <c r="B482" s="1" t="n">
        <v>45747.451875</v>
      </c>
      <c r="C482" s="1" t="n">
        <v>45881</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57356-2023</t>
        </is>
      </c>
      <c r="B483" s="1" t="n">
        <v>45240</v>
      </c>
      <c r="C483" s="1" t="n">
        <v>45881</v>
      </c>
      <c r="D483" t="inlineStr">
        <is>
          <t>GOTLANDS LÄN</t>
        </is>
      </c>
      <c r="E483" t="inlineStr">
        <is>
          <t>GOTLAND</t>
        </is>
      </c>
      <c r="G483" t="n">
        <v>6.4</v>
      </c>
      <c r="H483" t="n">
        <v>0</v>
      </c>
      <c r="I483" t="n">
        <v>0</v>
      </c>
      <c r="J483" t="n">
        <v>0</v>
      </c>
      <c r="K483" t="n">
        <v>0</v>
      </c>
      <c r="L483" t="n">
        <v>0</v>
      </c>
      <c r="M483" t="n">
        <v>0</v>
      </c>
      <c r="N483" t="n">
        <v>0</v>
      </c>
      <c r="O483" t="n">
        <v>0</v>
      </c>
      <c r="P483" t="n">
        <v>0</v>
      </c>
      <c r="Q483" t="n">
        <v>0</v>
      </c>
      <c r="R483" s="2" t="inlineStr"/>
    </row>
    <row r="484" ht="15" customHeight="1">
      <c r="A484" t="inlineStr">
        <is>
          <t>A 10656-2024</t>
        </is>
      </c>
      <c r="B484" s="1" t="n">
        <v>45368</v>
      </c>
      <c r="C484" s="1" t="n">
        <v>45881</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11634-2024</t>
        </is>
      </c>
      <c r="B485" s="1" t="n">
        <v>45373</v>
      </c>
      <c r="C485" s="1" t="n">
        <v>45881</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1351-2025</t>
        </is>
      </c>
      <c r="B486" s="1" t="n">
        <v>45667.62246527777</v>
      </c>
      <c r="C486" s="1" t="n">
        <v>45881</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39496-2022</t>
        </is>
      </c>
      <c r="B487" s="1" t="n">
        <v>44818</v>
      </c>
      <c r="C487" s="1" t="n">
        <v>45881</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49874-2024</t>
        </is>
      </c>
      <c r="B488" s="1" t="n">
        <v>45597.49274305555</v>
      </c>
      <c r="C488" s="1" t="n">
        <v>45881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28506-2023</t>
        </is>
      </c>
      <c r="B489" s="1" t="n">
        <v>45103</v>
      </c>
      <c r="C489" s="1" t="n">
        <v>45881</v>
      </c>
      <c r="D489" t="inlineStr">
        <is>
          <t>GOTLANDS LÄN</t>
        </is>
      </c>
      <c r="E489" t="inlineStr">
        <is>
          <t>GOTLAND</t>
        </is>
      </c>
      <c r="G489" t="n">
        <v>3.2</v>
      </c>
      <c r="H489" t="n">
        <v>0</v>
      </c>
      <c r="I489" t="n">
        <v>0</v>
      </c>
      <c r="J489" t="n">
        <v>0</v>
      </c>
      <c r="K489" t="n">
        <v>0</v>
      </c>
      <c r="L489" t="n">
        <v>0</v>
      </c>
      <c r="M489" t="n">
        <v>0</v>
      </c>
      <c r="N489" t="n">
        <v>0</v>
      </c>
      <c r="O489" t="n">
        <v>0</v>
      </c>
      <c r="P489" t="n">
        <v>0</v>
      </c>
      <c r="Q489" t="n">
        <v>0</v>
      </c>
      <c r="R489" s="2" t="inlineStr"/>
    </row>
    <row r="490" ht="15" customHeight="1">
      <c r="A490" t="inlineStr">
        <is>
          <t>A 3930-2025</t>
        </is>
      </c>
      <c r="B490" s="1" t="n">
        <v>45684.45427083333</v>
      </c>
      <c r="C490" s="1" t="n">
        <v>45881</v>
      </c>
      <c r="D490" t="inlineStr">
        <is>
          <t>GOTLANDS LÄN</t>
        </is>
      </c>
      <c r="E490" t="inlineStr">
        <is>
          <t>GOTLAND</t>
        </is>
      </c>
      <c r="G490" t="n">
        <v>5.2</v>
      </c>
      <c r="H490" t="n">
        <v>0</v>
      </c>
      <c r="I490" t="n">
        <v>0</v>
      </c>
      <c r="J490" t="n">
        <v>0</v>
      </c>
      <c r="K490" t="n">
        <v>0</v>
      </c>
      <c r="L490" t="n">
        <v>0</v>
      </c>
      <c r="M490" t="n">
        <v>0</v>
      </c>
      <c r="N490" t="n">
        <v>0</v>
      </c>
      <c r="O490" t="n">
        <v>0</v>
      </c>
      <c r="P490" t="n">
        <v>0</v>
      </c>
      <c r="Q490" t="n">
        <v>0</v>
      </c>
      <c r="R490" s="2" t="inlineStr"/>
    </row>
    <row r="491" ht="15" customHeight="1">
      <c r="A491" t="inlineStr">
        <is>
          <t>A 21420-2024</t>
        </is>
      </c>
      <c r="B491" s="1" t="n">
        <v>45441.38293981482</v>
      </c>
      <c r="C491" s="1" t="n">
        <v>45881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23188-2025</t>
        </is>
      </c>
      <c r="B492" s="1" t="n">
        <v>45791</v>
      </c>
      <c r="C492" s="1" t="n">
        <v>45881</v>
      </c>
      <c r="D492" t="inlineStr">
        <is>
          <t>GOTLANDS LÄN</t>
        </is>
      </c>
      <c r="E492" t="inlineStr">
        <is>
          <t>GOTLAND</t>
        </is>
      </c>
      <c r="G492" t="n">
        <v>6.2</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45881</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45881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45881</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19002-2025</t>
        </is>
      </c>
      <c r="B496" s="1" t="n">
        <v>45764</v>
      </c>
      <c r="C496" s="1" t="n">
        <v>45881</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23473-2025</t>
        </is>
      </c>
      <c r="B497" s="1" t="n">
        <v>45792</v>
      </c>
      <c r="C497" s="1" t="n">
        <v>45881</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45881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45881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23856-2025</t>
        </is>
      </c>
      <c r="B500" s="1" t="n">
        <v>45793</v>
      </c>
      <c r="C500" s="1" t="n">
        <v>45881</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23700-2025</t>
        </is>
      </c>
      <c r="B501" s="1" t="n">
        <v>45793</v>
      </c>
      <c r="C501" s="1" t="n">
        <v>45881</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22897-2023</t>
        </is>
      </c>
      <c r="B502" s="1" t="n">
        <v>45072.55239583334</v>
      </c>
      <c r="C502" s="1" t="n">
        <v>45881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15073-2025</t>
        </is>
      </c>
      <c r="B503" s="1" t="n">
        <v>45743</v>
      </c>
      <c r="C503" s="1" t="n">
        <v>45881</v>
      </c>
      <c r="D503" t="inlineStr">
        <is>
          <t>GOTLANDS LÄN</t>
        </is>
      </c>
      <c r="E503" t="inlineStr">
        <is>
          <t>GOTLAND</t>
        </is>
      </c>
      <c r="G503" t="n">
        <v>12.1</v>
      </c>
      <c r="H503" t="n">
        <v>0</v>
      </c>
      <c r="I503" t="n">
        <v>0</v>
      </c>
      <c r="J503" t="n">
        <v>0</v>
      </c>
      <c r="K503" t="n">
        <v>0</v>
      </c>
      <c r="L503" t="n">
        <v>0</v>
      </c>
      <c r="M503" t="n">
        <v>0</v>
      </c>
      <c r="N503" t="n">
        <v>0</v>
      </c>
      <c r="O503" t="n">
        <v>0</v>
      </c>
      <c r="P503" t="n">
        <v>0</v>
      </c>
      <c r="Q503" t="n">
        <v>0</v>
      </c>
      <c r="R503" s="2" t="inlineStr"/>
    </row>
    <row r="504" ht="15" customHeight="1">
      <c r="A504" t="inlineStr">
        <is>
          <t>A 6749-2025</t>
        </is>
      </c>
      <c r="B504" s="1" t="n">
        <v>45700</v>
      </c>
      <c r="C504" s="1" t="n">
        <v>45881</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45881</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15075-2025</t>
        </is>
      </c>
      <c r="B506" s="1" t="n">
        <v>45743</v>
      </c>
      <c r="C506" s="1" t="n">
        <v>45881</v>
      </c>
      <c r="D506" t="inlineStr">
        <is>
          <t>GOTLANDS LÄN</t>
        </is>
      </c>
      <c r="E506" t="inlineStr">
        <is>
          <t>GOTLAND</t>
        </is>
      </c>
      <c r="G506" t="n">
        <v>20.9</v>
      </c>
      <c r="H506" t="n">
        <v>0</v>
      </c>
      <c r="I506" t="n">
        <v>0</v>
      </c>
      <c r="J506" t="n">
        <v>0</v>
      </c>
      <c r="K506" t="n">
        <v>0</v>
      </c>
      <c r="L506" t="n">
        <v>0</v>
      </c>
      <c r="M506" t="n">
        <v>0</v>
      </c>
      <c r="N506" t="n">
        <v>0</v>
      </c>
      <c r="O506" t="n">
        <v>0</v>
      </c>
      <c r="P506" t="n">
        <v>0</v>
      </c>
      <c r="Q506" t="n">
        <v>0</v>
      </c>
      <c r="R506" s="2" t="inlineStr"/>
    </row>
    <row r="507" ht="15" customHeight="1">
      <c r="A507" t="inlineStr">
        <is>
          <t>A 23698-2025</t>
        </is>
      </c>
      <c r="B507" s="1" t="n">
        <v>45793</v>
      </c>
      <c r="C507" s="1" t="n">
        <v>45881</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49962-2023</t>
        </is>
      </c>
      <c r="B508" s="1" t="n">
        <v>45215.38775462963</v>
      </c>
      <c r="C508" s="1" t="n">
        <v>45881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5674-2025</t>
        </is>
      </c>
      <c r="B509" s="1" t="n">
        <v>45694.28993055555</v>
      </c>
      <c r="C509" s="1" t="n">
        <v>45881</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5676-2025</t>
        </is>
      </c>
      <c r="B510" s="1" t="n">
        <v>45694.29512731481</v>
      </c>
      <c r="C510" s="1" t="n">
        <v>45881</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20165-2022</t>
        </is>
      </c>
      <c r="B511" s="1" t="n">
        <v>44698.49854166667</v>
      </c>
      <c r="C511" s="1" t="n">
        <v>45881</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45881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45881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45881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33078-2025</t>
        </is>
      </c>
      <c r="B515" s="1" t="n">
        <v>45840</v>
      </c>
      <c r="C515" s="1" t="n">
        <v>45881</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20307-2025</t>
        </is>
      </c>
      <c r="B516" s="1" t="n">
        <v>45774.95546296296</v>
      </c>
      <c r="C516" s="1" t="n">
        <v>45881</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43231-2023</t>
        </is>
      </c>
      <c r="B517" s="1" t="n">
        <v>45183.47025462963</v>
      </c>
      <c r="C517" s="1" t="n">
        <v>45881</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17532-2024</t>
        </is>
      </c>
      <c r="B518" s="1" t="n">
        <v>45415</v>
      </c>
      <c r="C518" s="1" t="n">
        <v>45881</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45881</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5462-2025</t>
        </is>
      </c>
      <c r="B520" s="1" t="n">
        <v>45693.29331018519</v>
      </c>
      <c r="C520" s="1" t="n">
        <v>45881</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33007-2025</t>
        </is>
      </c>
      <c r="B521" s="1" t="n">
        <v>45840</v>
      </c>
      <c r="C521" s="1" t="n">
        <v>45881</v>
      </c>
      <c r="D521" t="inlineStr">
        <is>
          <t>GOTLANDS LÄN</t>
        </is>
      </c>
      <c r="E521" t="inlineStr">
        <is>
          <t>GOTLAND</t>
        </is>
      </c>
      <c r="G521" t="n">
        <v>4.9</v>
      </c>
      <c r="H521" t="n">
        <v>0</v>
      </c>
      <c r="I521" t="n">
        <v>0</v>
      </c>
      <c r="J521" t="n">
        <v>0</v>
      </c>
      <c r="K521" t="n">
        <v>0</v>
      </c>
      <c r="L521" t="n">
        <v>0</v>
      </c>
      <c r="M521" t="n">
        <v>0</v>
      </c>
      <c r="N521" t="n">
        <v>0</v>
      </c>
      <c r="O521" t="n">
        <v>0</v>
      </c>
      <c r="P521" t="n">
        <v>0</v>
      </c>
      <c r="Q521" t="n">
        <v>0</v>
      </c>
      <c r="R521" s="2" t="inlineStr"/>
    </row>
    <row r="522" ht="15" customHeight="1">
      <c r="A522" t="inlineStr">
        <is>
          <t>A 20225-2025</t>
        </is>
      </c>
      <c r="B522" s="1" t="n">
        <v>45772.65802083333</v>
      </c>
      <c r="C522" s="1" t="n">
        <v>45881</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883-2025</t>
        </is>
      </c>
      <c r="B523" s="1" t="n">
        <v>45665</v>
      </c>
      <c r="C523" s="1" t="n">
        <v>45881</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18938-2025</t>
        </is>
      </c>
      <c r="B524" s="1" t="n">
        <v>45764.49172453704</v>
      </c>
      <c r="C524" s="1" t="n">
        <v>45881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25796-2025</t>
        </is>
      </c>
      <c r="B525" s="1" t="n">
        <v>45804.39543981481</v>
      </c>
      <c r="C525" s="1" t="n">
        <v>45881</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25678-2025</t>
        </is>
      </c>
      <c r="B526" s="1" t="n">
        <v>45803.64118055555</v>
      </c>
      <c r="C526" s="1" t="n">
        <v>45881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33932-2025</t>
        </is>
      </c>
      <c r="B527" s="1" t="n">
        <v>45842</v>
      </c>
      <c r="C527" s="1" t="n">
        <v>45881</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10497-2025</t>
        </is>
      </c>
      <c r="B528" s="1" t="n">
        <v>45721</v>
      </c>
      <c r="C528" s="1" t="n">
        <v>45881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1066-2024</t>
        </is>
      </c>
      <c r="B529" s="1" t="n">
        <v>45302.285</v>
      </c>
      <c r="C529" s="1" t="n">
        <v>45881</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17144-2025</t>
        </is>
      </c>
      <c r="B530" s="1" t="n">
        <v>45755.9499537037</v>
      </c>
      <c r="C530" s="1" t="n">
        <v>45881</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26391-2025</t>
        </is>
      </c>
      <c r="B531" s="1" t="n">
        <v>45806</v>
      </c>
      <c r="C531" s="1" t="n">
        <v>45881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10158-2025</t>
        </is>
      </c>
      <c r="B532" s="1" t="n">
        <v>45719</v>
      </c>
      <c r="C532" s="1" t="n">
        <v>45881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35133-2025</t>
        </is>
      </c>
      <c r="B533" s="1" t="n">
        <v>45852.6363425926</v>
      </c>
      <c r="C533" s="1" t="n">
        <v>45881</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35141-2025</t>
        </is>
      </c>
      <c r="B534" s="1" t="n">
        <v>45852.65206018519</v>
      </c>
      <c r="C534" s="1" t="n">
        <v>45881</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35096-2025</t>
        </is>
      </c>
      <c r="B535" s="1" t="n">
        <v>45852.54356481481</v>
      </c>
      <c r="C535" s="1" t="n">
        <v>45881</v>
      </c>
      <c r="D535" t="inlineStr">
        <is>
          <t>GOTLANDS LÄN</t>
        </is>
      </c>
      <c r="E535" t="inlineStr">
        <is>
          <t>GOTLAND</t>
        </is>
      </c>
      <c r="F535" t="inlineStr">
        <is>
          <t>Kyrkan</t>
        </is>
      </c>
      <c r="G535" t="n">
        <v>1</v>
      </c>
      <c r="H535" t="n">
        <v>0</v>
      </c>
      <c r="I535" t="n">
        <v>0</v>
      </c>
      <c r="J535" t="n">
        <v>0</v>
      </c>
      <c r="K535" t="n">
        <v>0</v>
      </c>
      <c r="L535" t="n">
        <v>0</v>
      </c>
      <c r="M535" t="n">
        <v>0</v>
      </c>
      <c r="N535" t="n">
        <v>0</v>
      </c>
      <c r="O535" t="n">
        <v>0</v>
      </c>
      <c r="P535" t="n">
        <v>0</v>
      </c>
      <c r="Q535" t="n">
        <v>0</v>
      </c>
      <c r="R535" s="2" t="inlineStr"/>
    </row>
    <row r="536" ht="15" customHeight="1">
      <c r="A536" t="inlineStr">
        <is>
          <t>A 33011-2025</t>
        </is>
      </c>
      <c r="B536" s="1" t="n">
        <v>45840</v>
      </c>
      <c r="C536" s="1" t="n">
        <v>45881</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56009-2024</t>
        </is>
      </c>
      <c r="B537" s="1" t="n">
        <v>45623.80864583333</v>
      </c>
      <c r="C537" s="1" t="n">
        <v>45881</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26457-2025</t>
        </is>
      </c>
      <c r="B538" s="1" t="n">
        <v>45807.42773148148</v>
      </c>
      <c r="C538" s="1" t="n">
        <v>45881</v>
      </c>
      <c r="D538" t="inlineStr">
        <is>
          <t>GOTLANDS LÄN</t>
        </is>
      </c>
      <c r="E538" t="inlineStr">
        <is>
          <t>GOTLAND</t>
        </is>
      </c>
      <c r="G538" t="n">
        <v>5.7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45881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42338-2023</t>
        </is>
      </c>
      <c r="B540" s="1" t="n">
        <v>45180</v>
      </c>
      <c r="C540" s="1" t="n">
        <v>45881</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26465-2025</t>
        </is>
      </c>
      <c r="B541" s="1" t="n">
        <v>45807.44377314814</v>
      </c>
      <c r="C541" s="1" t="n">
        <v>45881</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35142-2025</t>
        </is>
      </c>
      <c r="B542" s="1" t="n">
        <v>45852.65532407408</v>
      </c>
      <c r="C542" s="1" t="n">
        <v>45881</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26660-2025</t>
        </is>
      </c>
      <c r="B543" s="1" t="n">
        <v>45810.39737268518</v>
      </c>
      <c r="C543" s="1" t="n">
        <v>45881</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35123-2025</t>
        </is>
      </c>
      <c r="B544" s="1" t="n">
        <v>45852.614375</v>
      </c>
      <c r="C544" s="1" t="n">
        <v>45881</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35129-2025</t>
        </is>
      </c>
      <c r="B545" s="1" t="n">
        <v>45852.63224537037</v>
      </c>
      <c r="C545" s="1" t="n">
        <v>45881</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27348-2025</t>
        </is>
      </c>
      <c r="B546" s="1" t="n">
        <v>45812.62451388889</v>
      </c>
      <c r="C546" s="1" t="n">
        <v>45881</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35290-2025</t>
        </is>
      </c>
      <c r="B547" s="1" t="n">
        <v>45854.38502314815</v>
      </c>
      <c r="C547" s="1" t="n">
        <v>45881</v>
      </c>
      <c r="D547" t="inlineStr">
        <is>
          <t>GOTLANDS LÄN</t>
        </is>
      </c>
      <c r="E547" t="inlineStr">
        <is>
          <t>GOTLAND</t>
        </is>
      </c>
      <c r="G547" t="n">
        <v>5.4</v>
      </c>
      <c r="H547" t="n">
        <v>0</v>
      </c>
      <c r="I547" t="n">
        <v>0</v>
      </c>
      <c r="J547" t="n">
        <v>0</v>
      </c>
      <c r="K547" t="n">
        <v>0</v>
      </c>
      <c r="L547" t="n">
        <v>0</v>
      </c>
      <c r="M547" t="n">
        <v>0</v>
      </c>
      <c r="N547" t="n">
        <v>0</v>
      </c>
      <c r="O547" t="n">
        <v>0</v>
      </c>
      <c r="P547" t="n">
        <v>0</v>
      </c>
      <c r="Q547" t="n">
        <v>0</v>
      </c>
      <c r="R547" s="2" t="inlineStr"/>
    </row>
    <row r="548" ht="15" customHeight="1">
      <c r="A548" t="inlineStr">
        <is>
          <t>A 27371-2025</t>
        </is>
      </c>
      <c r="B548" s="1" t="n">
        <v>45812</v>
      </c>
      <c r="C548" s="1" t="n">
        <v>45881</v>
      </c>
      <c r="D548" t="inlineStr">
        <is>
          <t>GOTLANDS LÄN</t>
        </is>
      </c>
      <c r="E548" t="inlineStr">
        <is>
          <t>GOTLAND</t>
        </is>
      </c>
      <c r="G548" t="n">
        <v>8</v>
      </c>
      <c r="H548" t="n">
        <v>0</v>
      </c>
      <c r="I548" t="n">
        <v>0</v>
      </c>
      <c r="J548" t="n">
        <v>0</v>
      </c>
      <c r="K548" t="n">
        <v>0</v>
      </c>
      <c r="L548" t="n">
        <v>0</v>
      </c>
      <c r="M548" t="n">
        <v>0</v>
      </c>
      <c r="N548" t="n">
        <v>0</v>
      </c>
      <c r="O548" t="n">
        <v>0</v>
      </c>
      <c r="P548" t="n">
        <v>0</v>
      </c>
      <c r="Q548" t="n">
        <v>0</v>
      </c>
      <c r="R548" s="2" t="inlineStr"/>
    </row>
    <row r="549" ht="15" customHeight="1">
      <c r="A549" t="inlineStr">
        <is>
          <t>A 27355-2025</t>
        </is>
      </c>
      <c r="B549" s="1" t="n">
        <v>45812</v>
      </c>
      <c r="C549" s="1" t="n">
        <v>45881</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45881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61386-2023</t>
        </is>
      </c>
      <c r="B551" s="1" t="n">
        <v>45264</v>
      </c>
      <c r="C551" s="1" t="n">
        <v>45881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873-2024</t>
        </is>
      </c>
      <c r="B552" s="1" t="n">
        <v>45301</v>
      </c>
      <c r="C552" s="1" t="n">
        <v>45881</v>
      </c>
      <c r="D552" t="inlineStr">
        <is>
          <t>GOTLANDS LÄN</t>
        </is>
      </c>
      <c r="E552" t="inlineStr">
        <is>
          <t>GOTLAND</t>
        </is>
      </c>
      <c r="G552" t="n">
        <v>2.7</v>
      </c>
      <c r="H552" t="n">
        <v>0</v>
      </c>
      <c r="I552" t="n">
        <v>0</v>
      </c>
      <c r="J552" t="n">
        <v>0</v>
      </c>
      <c r="K552" t="n">
        <v>0</v>
      </c>
      <c r="L552" t="n">
        <v>0</v>
      </c>
      <c r="M552" t="n">
        <v>0</v>
      </c>
      <c r="N552" t="n">
        <v>0</v>
      </c>
      <c r="O552" t="n">
        <v>0</v>
      </c>
      <c r="P552" t="n">
        <v>0</v>
      </c>
      <c r="Q552" t="n">
        <v>0</v>
      </c>
      <c r="R552" s="2" t="inlineStr"/>
    </row>
    <row r="553" ht="15" customHeight="1">
      <c r="A553" t="inlineStr">
        <is>
          <t>A 49411-2023</t>
        </is>
      </c>
      <c r="B553" s="1" t="n">
        <v>45205</v>
      </c>
      <c r="C553" s="1" t="n">
        <v>45881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45881</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12322-2025</t>
        </is>
      </c>
      <c r="B555" s="1" t="n">
        <v>45730</v>
      </c>
      <c r="C555" s="1" t="n">
        <v>45881</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14797-2024</t>
        </is>
      </c>
      <c r="B556" s="1" t="n">
        <v>45397.87030092593</v>
      </c>
      <c r="C556" s="1" t="n">
        <v>45881</v>
      </c>
      <c r="D556" t="inlineStr">
        <is>
          <t>GOTLANDS LÄN</t>
        </is>
      </c>
      <c r="E556" t="inlineStr">
        <is>
          <t>GOTLAND</t>
        </is>
      </c>
      <c r="G556" t="n">
        <v>8.1</v>
      </c>
      <c r="H556" t="n">
        <v>0</v>
      </c>
      <c r="I556" t="n">
        <v>0</v>
      </c>
      <c r="J556" t="n">
        <v>0</v>
      </c>
      <c r="K556" t="n">
        <v>0</v>
      </c>
      <c r="L556" t="n">
        <v>0</v>
      </c>
      <c r="M556" t="n">
        <v>0</v>
      </c>
      <c r="N556" t="n">
        <v>0</v>
      </c>
      <c r="O556" t="n">
        <v>0</v>
      </c>
      <c r="P556" t="n">
        <v>0</v>
      </c>
      <c r="Q556" t="n">
        <v>0</v>
      </c>
      <c r="R556" s="2" t="inlineStr"/>
    </row>
    <row r="557" ht="15" customHeight="1">
      <c r="A557" t="inlineStr">
        <is>
          <t>A 999-2024</t>
        </is>
      </c>
      <c r="B557" s="1" t="n">
        <v>45301</v>
      </c>
      <c r="C557" s="1" t="n">
        <v>45881</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61596-2023</t>
        </is>
      </c>
      <c r="B558" s="1" t="n">
        <v>45265</v>
      </c>
      <c r="C558" s="1" t="n">
        <v>45881</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6739-2025</t>
        </is>
      </c>
      <c r="B559" s="1" t="n">
        <v>45700</v>
      </c>
      <c r="C559" s="1" t="n">
        <v>45881</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7850-2025</t>
        </is>
      </c>
      <c r="B560" s="1" t="n">
        <v>45706</v>
      </c>
      <c r="C560" s="1" t="n">
        <v>45881</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14638-2025</t>
        </is>
      </c>
      <c r="B561" s="1" t="n">
        <v>45742</v>
      </c>
      <c r="C561" s="1" t="n">
        <v>45881</v>
      </c>
      <c r="D561" t="inlineStr">
        <is>
          <t>GOTLANDS LÄN</t>
        </is>
      </c>
      <c r="E561" t="inlineStr">
        <is>
          <t>GOTLAND</t>
        </is>
      </c>
      <c r="G561" t="n">
        <v>13.4</v>
      </c>
      <c r="H561" t="n">
        <v>0</v>
      </c>
      <c r="I561" t="n">
        <v>0</v>
      </c>
      <c r="J561" t="n">
        <v>0</v>
      </c>
      <c r="K561" t="n">
        <v>0</v>
      </c>
      <c r="L561" t="n">
        <v>0</v>
      </c>
      <c r="M561" t="n">
        <v>0</v>
      </c>
      <c r="N561" t="n">
        <v>0</v>
      </c>
      <c r="O561" t="n">
        <v>0</v>
      </c>
      <c r="P561" t="n">
        <v>0</v>
      </c>
      <c r="Q561" t="n">
        <v>0</v>
      </c>
      <c r="R561" s="2" t="inlineStr"/>
    </row>
    <row r="562" ht="15" customHeight="1">
      <c r="A562" t="inlineStr">
        <is>
          <t>A 60675-2021</t>
        </is>
      </c>
      <c r="B562" s="1" t="n">
        <v>44496.64855324074</v>
      </c>
      <c r="C562" s="1" t="n">
        <v>45881</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37728-2024</t>
        </is>
      </c>
      <c r="B563" s="1" t="n">
        <v>45541</v>
      </c>
      <c r="C563" s="1" t="n">
        <v>45881</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35550-2025</t>
        </is>
      </c>
      <c r="B564" s="1" t="n">
        <v>45856.49324074074</v>
      </c>
      <c r="C564" s="1" t="n">
        <v>45881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35537-2025</t>
        </is>
      </c>
      <c r="B565" s="1" t="n">
        <v>45856</v>
      </c>
      <c r="C565" s="1" t="n">
        <v>45881</v>
      </c>
      <c r="D565" t="inlineStr">
        <is>
          <t>GOTLANDS LÄN</t>
        </is>
      </c>
      <c r="E565" t="inlineStr">
        <is>
          <t>GOTLAND</t>
        </is>
      </c>
      <c r="G565" t="n">
        <v>16.8</v>
      </c>
      <c r="H565" t="n">
        <v>0</v>
      </c>
      <c r="I565" t="n">
        <v>0</v>
      </c>
      <c r="J565" t="n">
        <v>0</v>
      </c>
      <c r="K565" t="n">
        <v>0</v>
      </c>
      <c r="L565" t="n">
        <v>0</v>
      </c>
      <c r="M565" t="n">
        <v>0</v>
      </c>
      <c r="N565" t="n">
        <v>0</v>
      </c>
      <c r="O565" t="n">
        <v>0</v>
      </c>
      <c r="P565" t="n">
        <v>0</v>
      </c>
      <c r="Q565" t="n">
        <v>0</v>
      </c>
      <c r="R565" s="2" t="inlineStr"/>
    </row>
    <row r="566" ht="15" customHeight="1">
      <c r="A566" t="inlineStr">
        <is>
          <t>A 8444-2025</t>
        </is>
      </c>
      <c r="B566" s="1" t="n">
        <v>45709</v>
      </c>
      <c r="C566" s="1" t="n">
        <v>45881</v>
      </c>
      <c r="D566" t="inlineStr">
        <is>
          <t>GOTLANDS LÄN</t>
        </is>
      </c>
      <c r="E566" t="inlineStr">
        <is>
          <t>GOTLAND</t>
        </is>
      </c>
      <c r="G566" t="n">
        <v>5.2</v>
      </c>
      <c r="H566" t="n">
        <v>0</v>
      </c>
      <c r="I566" t="n">
        <v>0</v>
      </c>
      <c r="J566" t="n">
        <v>0</v>
      </c>
      <c r="K566" t="n">
        <v>0</v>
      </c>
      <c r="L566" t="n">
        <v>0</v>
      </c>
      <c r="M566" t="n">
        <v>0</v>
      </c>
      <c r="N566" t="n">
        <v>0</v>
      </c>
      <c r="O566" t="n">
        <v>0</v>
      </c>
      <c r="P566" t="n">
        <v>0</v>
      </c>
      <c r="Q566" t="n">
        <v>0</v>
      </c>
      <c r="R566" s="2" t="inlineStr"/>
    </row>
    <row r="567" ht="15" customHeight="1">
      <c r="A567" t="inlineStr">
        <is>
          <t>A 22287-2022</t>
        </is>
      </c>
      <c r="B567" s="1" t="n">
        <v>44712</v>
      </c>
      <c r="C567" s="1" t="n">
        <v>45881</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54074-2022</t>
        </is>
      </c>
      <c r="B568" s="1" t="n">
        <v>44881</v>
      </c>
      <c r="C568" s="1" t="n">
        <v>45881</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65249-2023</t>
        </is>
      </c>
      <c r="B569" s="1" t="n">
        <v>45290</v>
      </c>
      <c r="C569" s="1" t="n">
        <v>45881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16109-2025</t>
        </is>
      </c>
      <c r="B570" s="1" t="n">
        <v>45750</v>
      </c>
      <c r="C570" s="1" t="n">
        <v>45881</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20660-2025</t>
        </is>
      </c>
      <c r="B571" s="1" t="n">
        <v>45776</v>
      </c>
      <c r="C571" s="1" t="n">
        <v>45881</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19905-2025</t>
        </is>
      </c>
      <c r="B572" s="1" t="n">
        <v>45771</v>
      </c>
      <c r="C572" s="1" t="n">
        <v>45881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2035-2025</t>
        </is>
      </c>
      <c r="B573" s="1" t="n">
        <v>45672</v>
      </c>
      <c r="C573" s="1" t="n">
        <v>45881</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29196-2025</t>
        </is>
      </c>
      <c r="B574" s="1" t="n">
        <v>45822</v>
      </c>
      <c r="C574" s="1" t="n">
        <v>45881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29207-2025</t>
        </is>
      </c>
      <c r="B575" s="1" t="n">
        <v>45823</v>
      </c>
      <c r="C575" s="1" t="n">
        <v>45881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30104-2025</t>
        </is>
      </c>
      <c r="B576" s="1" t="n">
        <v>45826.68806712963</v>
      </c>
      <c r="C576" s="1" t="n">
        <v>45881</v>
      </c>
      <c r="D576" t="inlineStr">
        <is>
          <t>GOTLANDS LÄN</t>
        </is>
      </c>
      <c r="E576" t="inlineStr">
        <is>
          <t>GOTLAND</t>
        </is>
      </c>
      <c r="G576" t="n">
        <v>15.4</v>
      </c>
      <c r="H576" t="n">
        <v>0</v>
      </c>
      <c r="I576" t="n">
        <v>0</v>
      </c>
      <c r="J576" t="n">
        <v>0</v>
      </c>
      <c r="K576" t="n">
        <v>0</v>
      </c>
      <c r="L576" t="n">
        <v>0</v>
      </c>
      <c r="M576" t="n">
        <v>0</v>
      </c>
      <c r="N576" t="n">
        <v>0</v>
      </c>
      <c r="O576" t="n">
        <v>0</v>
      </c>
      <c r="P576" t="n">
        <v>0</v>
      </c>
      <c r="Q576" t="n">
        <v>0</v>
      </c>
      <c r="R576" s="2" t="inlineStr"/>
    </row>
    <row r="577" ht="15" customHeight="1">
      <c r="A577" t="inlineStr">
        <is>
          <t>A 30157-2025</t>
        </is>
      </c>
      <c r="B577" s="1" t="n">
        <v>45826</v>
      </c>
      <c r="C577" s="1" t="n">
        <v>45881</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36319-2025</t>
        </is>
      </c>
      <c r="B578" s="1" t="n">
        <v>45868.38543981482</v>
      </c>
      <c r="C578" s="1" t="n">
        <v>45881</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30061-2025</t>
        </is>
      </c>
      <c r="B579" s="1" t="n">
        <v>45826.61488425926</v>
      </c>
      <c r="C579" s="1" t="n">
        <v>45881</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13910-2025</t>
        </is>
      </c>
      <c r="B580" s="1" t="n">
        <v>45737</v>
      </c>
      <c r="C580" s="1" t="n">
        <v>45881</v>
      </c>
      <c r="D580" t="inlineStr">
        <is>
          <t>GOTLANDS LÄN</t>
        </is>
      </c>
      <c r="E580" t="inlineStr">
        <is>
          <t>GOTLAND</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58160-2024</t>
        </is>
      </c>
      <c r="B581" s="1" t="n">
        <v>45632.44927083333</v>
      </c>
      <c r="C581" s="1" t="n">
        <v>45881</v>
      </c>
      <c r="D581" t="inlineStr">
        <is>
          <t>GOTLANDS LÄN</t>
        </is>
      </c>
      <c r="E581" t="inlineStr">
        <is>
          <t>GOTLAND</t>
        </is>
      </c>
      <c r="G581" t="n">
        <v>5.6</v>
      </c>
      <c r="H581" t="n">
        <v>0</v>
      </c>
      <c r="I581" t="n">
        <v>0</v>
      </c>
      <c r="J581" t="n">
        <v>0</v>
      </c>
      <c r="K581" t="n">
        <v>0</v>
      </c>
      <c r="L581" t="n">
        <v>0</v>
      </c>
      <c r="M581" t="n">
        <v>0</v>
      </c>
      <c r="N581" t="n">
        <v>0</v>
      </c>
      <c r="O581" t="n">
        <v>0</v>
      </c>
      <c r="P581" t="n">
        <v>0</v>
      </c>
      <c r="Q581" t="n">
        <v>0</v>
      </c>
      <c r="R581" s="2" t="inlineStr"/>
    </row>
    <row r="582" ht="15" customHeight="1">
      <c r="A582" t="inlineStr">
        <is>
          <t>A 1728-2025</t>
        </is>
      </c>
      <c r="B582" s="1" t="n">
        <v>45671.3565162037</v>
      </c>
      <c r="C582" s="1" t="n">
        <v>45881</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17780-2022</t>
        </is>
      </c>
      <c r="B583" s="1" t="n">
        <v>44682.82622685185</v>
      </c>
      <c r="C583" s="1" t="n">
        <v>45881</v>
      </c>
      <c r="D583" t="inlineStr">
        <is>
          <t>GOTLANDS LÄN</t>
        </is>
      </c>
      <c r="E583" t="inlineStr">
        <is>
          <t>GOTLAND</t>
        </is>
      </c>
      <c r="G583" t="n">
        <v>2.2</v>
      </c>
      <c r="H583" t="n">
        <v>0</v>
      </c>
      <c r="I583" t="n">
        <v>0</v>
      </c>
      <c r="J583" t="n">
        <v>0</v>
      </c>
      <c r="K583" t="n">
        <v>0</v>
      </c>
      <c r="L583" t="n">
        <v>0</v>
      </c>
      <c r="M583" t="n">
        <v>0</v>
      </c>
      <c r="N583" t="n">
        <v>0</v>
      </c>
      <c r="O583" t="n">
        <v>0</v>
      </c>
      <c r="P583" t="n">
        <v>0</v>
      </c>
      <c r="Q583" t="n">
        <v>0</v>
      </c>
      <c r="R583" s="2" t="inlineStr"/>
    </row>
    <row r="584" ht="15" customHeight="1">
      <c r="A584" t="inlineStr">
        <is>
          <t>A 59986-2022</t>
        </is>
      </c>
      <c r="B584" s="1" t="n">
        <v>44909</v>
      </c>
      <c r="C584" s="1" t="n">
        <v>45881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14536-2021</t>
        </is>
      </c>
      <c r="B585" s="1" t="n">
        <v>44279.66168981481</v>
      </c>
      <c r="C585" s="1" t="n">
        <v>45881</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30488-2025</t>
        </is>
      </c>
      <c r="B586" s="1" t="n">
        <v>45830</v>
      </c>
      <c r="C586" s="1" t="n">
        <v>45881</v>
      </c>
      <c r="D586" t="inlineStr">
        <is>
          <t>GOTLANDS LÄN</t>
        </is>
      </c>
      <c r="E586" t="inlineStr">
        <is>
          <t>GOTLAND</t>
        </is>
      </c>
      <c r="F586" t="inlineStr">
        <is>
          <t>Kyrkan</t>
        </is>
      </c>
      <c r="G586" t="n">
        <v>3.9</v>
      </c>
      <c r="H586" t="n">
        <v>0</v>
      </c>
      <c r="I586" t="n">
        <v>0</v>
      </c>
      <c r="J586" t="n">
        <v>0</v>
      </c>
      <c r="K586" t="n">
        <v>0</v>
      </c>
      <c r="L586" t="n">
        <v>0</v>
      </c>
      <c r="M586" t="n">
        <v>0</v>
      </c>
      <c r="N586" t="n">
        <v>0</v>
      </c>
      <c r="O586" t="n">
        <v>0</v>
      </c>
      <c r="P586" t="n">
        <v>0</v>
      </c>
      <c r="Q586" t="n">
        <v>0</v>
      </c>
      <c r="R586" s="2" t="inlineStr"/>
    </row>
    <row r="587" ht="15" customHeight="1">
      <c r="A587" t="inlineStr">
        <is>
          <t>A 30489-2025</t>
        </is>
      </c>
      <c r="B587" s="1" t="n">
        <v>45830</v>
      </c>
      <c r="C587" s="1" t="n">
        <v>45881</v>
      </c>
      <c r="D587" t="inlineStr">
        <is>
          <t>GOTLANDS LÄN</t>
        </is>
      </c>
      <c r="E587" t="inlineStr">
        <is>
          <t>GOTLAND</t>
        </is>
      </c>
      <c r="G587" t="n">
        <v>4.6</v>
      </c>
      <c r="H587" t="n">
        <v>0</v>
      </c>
      <c r="I587" t="n">
        <v>0</v>
      </c>
      <c r="J587" t="n">
        <v>0</v>
      </c>
      <c r="K587" t="n">
        <v>0</v>
      </c>
      <c r="L587" t="n">
        <v>0</v>
      </c>
      <c r="M587" t="n">
        <v>0</v>
      </c>
      <c r="N587" t="n">
        <v>0</v>
      </c>
      <c r="O587" t="n">
        <v>0</v>
      </c>
      <c r="P587" t="n">
        <v>0</v>
      </c>
      <c r="Q587" t="n">
        <v>0</v>
      </c>
      <c r="R587" s="2" t="inlineStr"/>
    </row>
    <row r="588" ht="15" customHeight="1">
      <c r="A588" t="inlineStr">
        <is>
          <t>A 11874-2024</t>
        </is>
      </c>
      <c r="B588" s="1" t="n">
        <v>45376.46956018519</v>
      </c>
      <c r="C588" s="1" t="n">
        <v>45881</v>
      </c>
      <c r="D588" t="inlineStr">
        <is>
          <t>GOTLANDS LÄN</t>
        </is>
      </c>
      <c r="E588" t="inlineStr">
        <is>
          <t>GOTLAND</t>
        </is>
      </c>
      <c r="G588" t="n">
        <v>0.8</v>
      </c>
      <c r="H588" t="n">
        <v>0</v>
      </c>
      <c r="I588" t="n">
        <v>0</v>
      </c>
      <c r="J588" t="n">
        <v>0</v>
      </c>
      <c r="K588" t="n">
        <v>0</v>
      </c>
      <c r="L588" t="n">
        <v>0</v>
      </c>
      <c r="M588" t="n">
        <v>0</v>
      </c>
      <c r="N588" t="n">
        <v>0</v>
      </c>
      <c r="O588" t="n">
        <v>0</v>
      </c>
      <c r="P588" t="n">
        <v>0</v>
      </c>
      <c r="Q588" t="n">
        <v>0</v>
      </c>
      <c r="R588" s="2" t="inlineStr"/>
    </row>
    <row r="589" ht="15" customHeight="1">
      <c r="A589" t="inlineStr">
        <is>
          <t>A 2292-2021</t>
        </is>
      </c>
      <c r="B589" s="1" t="n">
        <v>44212</v>
      </c>
      <c r="C589" s="1" t="n">
        <v>45881</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42041-2024</t>
        </is>
      </c>
      <c r="B590" s="1" t="n">
        <v>45561</v>
      </c>
      <c r="C590" s="1" t="n">
        <v>45881</v>
      </c>
      <c r="D590" t="inlineStr">
        <is>
          <t>GOTLANDS LÄN</t>
        </is>
      </c>
      <c r="E590" t="inlineStr">
        <is>
          <t>GOTLAND</t>
        </is>
      </c>
      <c r="G590" t="n">
        <v>3.2</v>
      </c>
      <c r="H590" t="n">
        <v>0</v>
      </c>
      <c r="I590" t="n">
        <v>0</v>
      </c>
      <c r="J590" t="n">
        <v>0</v>
      </c>
      <c r="K590" t="n">
        <v>0</v>
      </c>
      <c r="L590" t="n">
        <v>0</v>
      </c>
      <c r="M590" t="n">
        <v>0</v>
      </c>
      <c r="N590" t="n">
        <v>0</v>
      </c>
      <c r="O590" t="n">
        <v>0</v>
      </c>
      <c r="P590" t="n">
        <v>0</v>
      </c>
      <c r="Q590" t="n">
        <v>0</v>
      </c>
      <c r="R590" s="2" t="inlineStr"/>
    </row>
    <row r="591" ht="15" customHeight="1">
      <c r="A591" t="inlineStr">
        <is>
          <t>A 61694-2023</t>
        </is>
      </c>
      <c r="B591" s="1" t="n">
        <v>45264</v>
      </c>
      <c r="C591" s="1" t="n">
        <v>45881</v>
      </c>
      <c r="D591" t="inlineStr">
        <is>
          <t>GOTLANDS LÄN</t>
        </is>
      </c>
      <c r="E591" t="inlineStr">
        <is>
          <t>GOTLAND</t>
        </is>
      </c>
      <c r="G591" t="n">
        <v>4.6</v>
      </c>
      <c r="H591" t="n">
        <v>0</v>
      </c>
      <c r="I591" t="n">
        <v>0</v>
      </c>
      <c r="J591" t="n">
        <v>0</v>
      </c>
      <c r="K591" t="n">
        <v>0</v>
      </c>
      <c r="L591" t="n">
        <v>0</v>
      </c>
      <c r="M591" t="n">
        <v>0</v>
      </c>
      <c r="N591" t="n">
        <v>0</v>
      </c>
      <c r="O591" t="n">
        <v>0</v>
      </c>
      <c r="P591" t="n">
        <v>0</v>
      </c>
      <c r="Q591" t="n">
        <v>0</v>
      </c>
      <c r="R591" s="2" t="inlineStr"/>
    </row>
    <row r="592" ht="15" customHeight="1">
      <c r="A592" t="inlineStr">
        <is>
          <t>A 30135-2025</t>
        </is>
      </c>
      <c r="B592" s="1" t="n">
        <v>45826</v>
      </c>
      <c r="C592" s="1" t="n">
        <v>45881</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32686-2025</t>
        </is>
      </c>
      <c r="B593" s="1" t="n">
        <v>45838</v>
      </c>
      <c r="C593" s="1" t="n">
        <v>45881</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32379-2025</t>
        </is>
      </c>
      <c r="B594" s="1" t="n">
        <v>45837</v>
      </c>
      <c r="C594" s="1" t="n">
        <v>45881</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64555-2023</t>
        </is>
      </c>
      <c r="B595" s="1" t="n">
        <v>45281</v>
      </c>
      <c r="C595" s="1" t="n">
        <v>45881</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64831-2023</t>
        </is>
      </c>
      <c r="B596" s="1" t="n">
        <v>45282.44924768519</v>
      </c>
      <c r="C596" s="1" t="n">
        <v>45881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32467-2025</t>
        </is>
      </c>
      <c r="B597" s="1" t="n">
        <v>45838.42111111111</v>
      </c>
      <c r="C597" s="1" t="n">
        <v>45881</v>
      </c>
      <c r="D597" t="inlineStr">
        <is>
          <t>GOTLANDS LÄN</t>
        </is>
      </c>
      <c r="E597" t="inlineStr">
        <is>
          <t>GOTLAND</t>
        </is>
      </c>
      <c r="G597" t="n">
        <v>4.3</v>
      </c>
      <c r="H597" t="n">
        <v>0</v>
      </c>
      <c r="I597" t="n">
        <v>0</v>
      </c>
      <c r="J597" t="n">
        <v>0</v>
      </c>
      <c r="K597" t="n">
        <v>0</v>
      </c>
      <c r="L597" t="n">
        <v>0</v>
      </c>
      <c r="M597" t="n">
        <v>0</v>
      </c>
      <c r="N597" t="n">
        <v>0</v>
      </c>
      <c r="O597" t="n">
        <v>0</v>
      </c>
      <c r="P597" t="n">
        <v>0</v>
      </c>
      <c r="Q597" t="n">
        <v>0</v>
      </c>
      <c r="R597" s="2" t="inlineStr"/>
    </row>
    <row r="598" ht="15" customHeight="1">
      <c r="A598" t="inlineStr">
        <is>
          <t>A 32378-2025</t>
        </is>
      </c>
      <c r="B598" s="1" t="n">
        <v>45837</v>
      </c>
      <c r="C598" s="1" t="n">
        <v>45881</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14804-2021</t>
        </is>
      </c>
      <c r="B599" s="1" t="n">
        <v>44280</v>
      </c>
      <c r="C599" s="1" t="n">
        <v>45881</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999-2023</t>
        </is>
      </c>
      <c r="B600" s="1" t="n">
        <v>44935</v>
      </c>
      <c r="C600" s="1" t="n">
        <v>45881</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45881</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44955.5502662037</v>
      </c>
      <c r="C602" s="1" t="n">
        <v>45881</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44955.73359953704</v>
      </c>
      <c r="C603" s="1" t="n">
        <v>45881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39479-2022</t>
        </is>
      </c>
      <c r="B604" s="1" t="n">
        <v>44818</v>
      </c>
      <c r="C604" s="1" t="n">
        <v>45881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45881</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22883-2024</t>
        </is>
      </c>
      <c r="B606" s="1" t="n">
        <v>45448.66368055555</v>
      </c>
      <c r="C606" s="1" t="n">
        <v>45881</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811-2023</t>
        </is>
      </c>
      <c r="B607" s="1" t="n">
        <v>44931</v>
      </c>
      <c r="C607" s="1" t="n">
        <v>45881</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c r="A608" t="inlineStr">
        <is>
          <t>A 46389-2021</t>
        </is>
      </c>
      <c r="B608" s="1" t="n">
        <v>44443</v>
      </c>
      <c r="C608" s="1" t="n">
        <v>45881</v>
      </c>
      <c r="D608" t="inlineStr">
        <is>
          <t>GOTLANDS LÄN</t>
        </is>
      </c>
      <c r="E608" t="inlineStr">
        <is>
          <t>GOTLAND</t>
        </is>
      </c>
      <c r="F608" t="inlineStr">
        <is>
          <t>Kyrkan</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2025-08-12T08:27:44Z</dcterms:created>
  <dcterms:modified xmlns:dcterms="http://purl.org/dc/terms/" xmlns:xsi="http://www.w3.org/2001/XMLSchema-instance" xsi:type="dcterms:W3CDTF">2025-08-12T08:27:45Z</dcterms:modified>
</cp:coreProperties>
</file>