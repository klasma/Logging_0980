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45879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45879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45879</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45879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45879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45879</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45879</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45879</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45879</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45879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45879</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45879</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45879</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45879</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45879</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45879</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45879</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45879</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45879</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45879</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24309-2025</t>
        </is>
      </c>
      <c r="B22" s="1" t="n">
        <v>45797</v>
      </c>
      <c r="C22" s="1" t="n">
        <v>45879</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33728-2025</t>
        </is>
      </c>
      <c r="B23" s="1" t="n">
        <v>45842.29344907407</v>
      </c>
      <c r="C23" s="1" t="n">
        <v>45879</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569-2023</t>
        </is>
      </c>
      <c r="B24" s="1" t="n">
        <v>44930</v>
      </c>
      <c r="C24" s="1" t="n">
        <v>45879</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2222-2024</t>
        </is>
      </c>
      <c r="B25" s="1" t="n">
        <v>45309</v>
      </c>
      <c r="C25" s="1" t="n">
        <v>45879</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45879</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45879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45879</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45879</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45879</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45879</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45879</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45879</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45879</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45879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45879</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45879</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45879</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45879</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45879</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45879</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45879</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45879</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45879</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45879</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45879</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45879</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45879</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45879</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45879</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45879</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10419-2025</t>
        </is>
      </c>
      <c r="B52" s="1" t="n">
        <v>45720</v>
      </c>
      <c r="C52" s="1" t="n">
        <v>45879</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45879</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45879</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45879</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45879</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45879</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45879</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45879</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45879</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45879</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45879</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45879</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45879</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45879</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32326-2024</t>
        </is>
      </c>
      <c r="B66" s="1" t="n">
        <v>45512</v>
      </c>
      <c r="C66" s="1" t="n">
        <v>45879</v>
      </c>
      <c r="D66" t="inlineStr">
        <is>
          <t>GOTLANDS LÄN</t>
        </is>
      </c>
      <c r="E66" t="inlineStr">
        <is>
          <t>GOTLAND</t>
        </is>
      </c>
      <c r="G66" t="n">
        <v>9.199999999999999</v>
      </c>
      <c r="H66" t="n">
        <v>3</v>
      </c>
      <c r="I66" t="n">
        <v>2</v>
      </c>
      <c r="J66" t="n">
        <v>2</v>
      </c>
      <c r="K66" t="n">
        <v>0</v>
      </c>
      <c r="L66" t="n">
        <v>0</v>
      </c>
      <c r="M66" t="n">
        <v>0</v>
      </c>
      <c r="N66" t="n">
        <v>0</v>
      </c>
      <c r="O66" t="n">
        <v>2</v>
      </c>
      <c r="P66" t="n">
        <v>0</v>
      </c>
      <c r="Q66" t="n">
        <v>5</v>
      </c>
      <c r="R66" s="2" t="inlineStr">
        <is>
          <t>Jordtistel
Svinrot
Purpurknipprot
Skogsknipprot
Brudsporre</t>
        </is>
      </c>
      <c r="S66">
        <f>HYPERLINK("https://klasma.github.io/Logging_0980/artfynd/A 32326-2024 artfynd.xlsx", "A 32326-2024")</f>
        <v/>
      </c>
      <c r="T66">
        <f>HYPERLINK("https://klasma.github.io/Logging_0980/kartor/A 32326-2024 karta.png", "A 32326-2024")</f>
        <v/>
      </c>
      <c r="V66">
        <f>HYPERLINK("https://klasma.github.io/Logging_0980/klagomål/A 32326-2024 FSC-klagomål.docx", "A 32326-2024")</f>
        <v/>
      </c>
      <c r="W66">
        <f>HYPERLINK("https://klasma.github.io/Logging_0980/klagomålsmail/A 32326-2024 FSC-klagomål mail.docx", "A 32326-2024")</f>
        <v/>
      </c>
      <c r="X66">
        <f>HYPERLINK("https://klasma.github.io/Logging_0980/tillsyn/A 32326-2024 tillsynsbegäran.docx", "A 32326-2024")</f>
        <v/>
      </c>
      <c r="Y66">
        <f>HYPERLINK("https://klasma.github.io/Logging_0980/tillsynsmail/A 32326-2024 tillsynsbegäran mail.docx", "A 32326-2024")</f>
        <v/>
      </c>
    </row>
    <row r="67" ht="15" customHeight="1">
      <c r="A67" t="inlineStr">
        <is>
          <t>A 54055-2022</t>
        </is>
      </c>
      <c r="B67" s="1" t="n">
        <v>44881</v>
      </c>
      <c r="C67" s="1" t="n">
        <v>45879</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39425-2023</t>
        </is>
      </c>
      <c r="B68" s="1" t="n">
        <v>45166</v>
      </c>
      <c r="C68" s="1" t="n">
        <v>45879</v>
      </c>
      <c r="D68" t="inlineStr">
        <is>
          <t>GOTLANDS LÄN</t>
        </is>
      </c>
      <c r="E68" t="inlineStr">
        <is>
          <t>GOTLAND</t>
        </is>
      </c>
      <c r="G68" t="n">
        <v>3.9</v>
      </c>
      <c r="H68" t="n">
        <v>1</v>
      </c>
      <c r="I68" t="n">
        <v>3</v>
      </c>
      <c r="J68" t="n">
        <v>0</v>
      </c>
      <c r="K68" t="n">
        <v>2</v>
      </c>
      <c r="L68" t="n">
        <v>0</v>
      </c>
      <c r="M68" t="n">
        <v>0</v>
      </c>
      <c r="N68" t="n">
        <v>0</v>
      </c>
      <c r="O68" t="n">
        <v>2</v>
      </c>
      <c r="P68" t="n">
        <v>2</v>
      </c>
      <c r="Q68" t="n">
        <v>5</v>
      </c>
      <c r="R68" s="2" t="inlineStr">
        <is>
          <t>Knärot
Violgubbe
Anisspindling
Rödgul trumpetsvamp
Svavelriska</t>
        </is>
      </c>
      <c r="S68">
        <f>HYPERLINK("https://klasma.github.io/Logging_0980/artfynd/A 39425-2023 artfynd.xlsx", "A 39425-2023")</f>
        <v/>
      </c>
      <c r="T68">
        <f>HYPERLINK("https://klasma.github.io/Logging_0980/kartor/A 39425-2023 karta.png", "A 39425-2023")</f>
        <v/>
      </c>
      <c r="U68">
        <f>HYPERLINK("https://klasma.github.io/Logging_0980/knärot/A 39425-2023 karta knärot.png", "A 39425-2023")</f>
        <v/>
      </c>
      <c r="V68">
        <f>HYPERLINK("https://klasma.github.io/Logging_0980/klagomål/A 39425-2023 FSC-klagomål.docx", "A 39425-2023")</f>
        <v/>
      </c>
      <c r="W68">
        <f>HYPERLINK("https://klasma.github.io/Logging_0980/klagomålsmail/A 39425-2023 FSC-klagomål mail.docx", "A 39425-2023")</f>
        <v/>
      </c>
      <c r="X68">
        <f>HYPERLINK("https://klasma.github.io/Logging_0980/tillsyn/A 39425-2023 tillsynsbegäran.docx", "A 39425-2023")</f>
        <v/>
      </c>
      <c r="Y68">
        <f>HYPERLINK("https://klasma.github.io/Logging_0980/tillsynsmail/A 39425-2023 tillsynsbegäran mail.docx", "A 39425-2023")</f>
        <v/>
      </c>
    </row>
    <row r="69" ht="15" customHeight="1">
      <c r="A69" t="inlineStr">
        <is>
          <t>A 42936-2024</t>
        </is>
      </c>
      <c r="B69" s="1" t="n">
        <v>45567</v>
      </c>
      <c r="C69" s="1" t="n">
        <v>45879</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45879</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45879</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45879</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45879</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45879</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45879</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45879</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45879</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45879</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45879</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45879</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45879</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45879</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5904-2024</t>
        </is>
      </c>
      <c r="B83" s="1" t="n">
        <v>45335</v>
      </c>
      <c r="C83" s="1" t="n">
        <v>45879</v>
      </c>
      <c r="D83" t="inlineStr">
        <is>
          <t>GOTLANDS LÄN</t>
        </is>
      </c>
      <c r="E83" t="inlineStr">
        <is>
          <t>GOTLAND</t>
        </is>
      </c>
      <c r="G83" t="n">
        <v>6.4</v>
      </c>
      <c r="H83" t="n">
        <v>1</v>
      </c>
      <c r="I83" t="n">
        <v>2</v>
      </c>
      <c r="J83" t="n">
        <v>1</v>
      </c>
      <c r="K83" t="n">
        <v>0</v>
      </c>
      <c r="L83" t="n">
        <v>0</v>
      </c>
      <c r="M83" t="n">
        <v>0</v>
      </c>
      <c r="N83" t="n">
        <v>0</v>
      </c>
      <c r="O83" t="n">
        <v>1</v>
      </c>
      <c r="P83" t="n">
        <v>0</v>
      </c>
      <c r="Q83" t="n">
        <v>4</v>
      </c>
      <c r="R83" s="2" t="inlineStr">
        <is>
          <t>Backstarr
Blåmossa
Kattfotslav
Sankt pers nycklar</t>
        </is>
      </c>
      <c r="S83">
        <f>HYPERLINK("https://klasma.github.io/Logging_0980/artfynd/A 5904-2024 artfynd.xlsx", "A 5904-2024")</f>
        <v/>
      </c>
      <c r="T83">
        <f>HYPERLINK("https://klasma.github.io/Logging_0980/kartor/A 5904-2024 karta.png", "A 5904-2024")</f>
        <v/>
      </c>
      <c r="V83">
        <f>HYPERLINK("https://klasma.github.io/Logging_0980/klagomål/A 5904-2024 FSC-klagomål.docx", "A 5904-2024")</f>
        <v/>
      </c>
      <c r="W83">
        <f>HYPERLINK("https://klasma.github.io/Logging_0980/klagomålsmail/A 5904-2024 FSC-klagomål mail.docx", "A 5904-2024")</f>
        <v/>
      </c>
      <c r="X83">
        <f>HYPERLINK("https://klasma.github.io/Logging_0980/tillsyn/A 5904-2024 tillsynsbegäran.docx", "A 5904-2024")</f>
        <v/>
      </c>
      <c r="Y83">
        <f>HYPERLINK("https://klasma.github.io/Logging_0980/tillsynsmail/A 5904-2024 tillsynsbegäran mail.docx", "A 5904-2024")</f>
        <v/>
      </c>
    </row>
    <row r="84" ht="15" customHeight="1">
      <c r="A84" t="inlineStr">
        <is>
          <t>A 2485-2025</t>
        </is>
      </c>
      <c r="B84" s="1" t="n">
        <v>45673</v>
      </c>
      <c r="C84" s="1" t="n">
        <v>45879</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45879</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45879</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45879</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45879</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45879</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45879</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45879</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45879</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45879</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45879</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45879</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20831-2024</t>
        </is>
      </c>
      <c r="B96" s="1" t="n">
        <v>45439</v>
      </c>
      <c r="C96" s="1" t="n">
        <v>45879</v>
      </c>
      <c r="D96" t="inlineStr">
        <is>
          <t>GOTLANDS LÄN</t>
        </is>
      </c>
      <c r="E96" t="inlineStr">
        <is>
          <t>GOTLAND</t>
        </is>
      </c>
      <c r="G96" t="n">
        <v>2.9</v>
      </c>
      <c r="H96" t="n">
        <v>2</v>
      </c>
      <c r="I96" t="n">
        <v>1</v>
      </c>
      <c r="J96" t="n">
        <v>2</v>
      </c>
      <c r="K96" t="n">
        <v>0</v>
      </c>
      <c r="L96" t="n">
        <v>0</v>
      </c>
      <c r="M96" t="n">
        <v>0</v>
      </c>
      <c r="N96" t="n">
        <v>0</v>
      </c>
      <c r="O96" t="n">
        <v>2</v>
      </c>
      <c r="P96" t="n">
        <v>0</v>
      </c>
      <c r="Q96" t="n">
        <v>3</v>
      </c>
      <c r="R96" s="2" t="inlineStr">
        <is>
          <t>Dårgräsfjäril
Svinrot
Skogsknipprot</t>
        </is>
      </c>
      <c r="S96">
        <f>HYPERLINK("https://klasma.github.io/Logging_0980/artfynd/A 20831-2024 artfynd.xlsx", "A 20831-2024")</f>
        <v/>
      </c>
      <c r="T96">
        <f>HYPERLINK("https://klasma.github.io/Logging_0980/kartor/A 20831-2024 karta.png", "A 20831-2024")</f>
        <v/>
      </c>
      <c r="V96">
        <f>HYPERLINK("https://klasma.github.io/Logging_0980/klagomål/A 20831-2024 FSC-klagomål.docx", "A 20831-2024")</f>
        <v/>
      </c>
      <c r="W96">
        <f>HYPERLINK("https://klasma.github.io/Logging_0980/klagomålsmail/A 20831-2024 FSC-klagomål mail.docx", "A 20831-2024")</f>
        <v/>
      </c>
      <c r="X96">
        <f>HYPERLINK("https://klasma.github.io/Logging_0980/tillsyn/A 20831-2024 tillsynsbegäran.docx", "A 20831-2024")</f>
        <v/>
      </c>
      <c r="Y96">
        <f>HYPERLINK("https://klasma.github.io/Logging_0980/tillsynsmail/A 20831-2024 tillsynsbegäran mail.docx", "A 20831-2024")</f>
        <v/>
      </c>
    </row>
    <row r="97" ht="15" customHeight="1">
      <c r="A97" t="inlineStr">
        <is>
          <t>A 12315-2024</t>
        </is>
      </c>
      <c r="B97" s="1" t="n">
        <v>45378.6434837963</v>
      </c>
      <c r="C97" s="1" t="n">
        <v>45879</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43013-2022</t>
        </is>
      </c>
      <c r="B98" s="1" t="n">
        <v>44833</v>
      </c>
      <c r="C98" s="1" t="n">
        <v>45879</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45879</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30490-2025</t>
        </is>
      </c>
      <c r="B100" s="1" t="n">
        <v>45830</v>
      </c>
      <c r="C100" s="1" t="n">
        <v>45879</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62326-2020</t>
        </is>
      </c>
      <c r="B101" s="1" t="n">
        <v>44160</v>
      </c>
      <c r="C101" s="1" t="n">
        <v>45879</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45879</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45879</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45879</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45879</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45879</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45879</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45879</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45879</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45879</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64263-2020</t>
        </is>
      </c>
      <c r="B111" s="1" t="n">
        <v>44168</v>
      </c>
      <c r="C111" s="1" t="n">
        <v>45879</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28276-2024</t>
        </is>
      </c>
      <c r="B112" s="1" t="n">
        <v>45477</v>
      </c>
      <c r="C112" s="1" t="n">
        <v>45879</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28276-2024 artfynd.xlsx", "A 28276-2024")</f>
        <v/>
      </c>
      <c r="T112">
        <f>HYPERLINK("https://klasma.github.io/Logging_0980/kartor/A 28276-2024 karta.png", "A 28276-2024")</f>
        <v/>
      </c>
      <c r="V112">
        <f>HYPERLINK("https://klasma.github.io/Logging_0980/klagomål/A 28276-2024 FSC-klagomål.docx", "A 28276-2024")</f>
        <v/>
      </c>
      <c r="W112">
        <f>HYPERLINK("https://klasma.github.io/Logging_0980/klagomålsmail/A 28276-2024 FSC-klagomål mail.docx", "A 28276-2024")</f>
        <v/>
      </c>
      <c r="X112">
        <f>HYPERLINK("https://klasma.github.io/Logging_0980/tillsyn/A 28276-2024 tillsynsbegäran.docx", "A 28276-2024")</f>
        <v/>
      </c>
      <c r="Y112">
        <f>HYPERLINK("https://klasma.github.io/Logging_0980/tillsynsmail/A 28276-2024 tillsynsbegäran mail.docx", "A 28276-2024")</f>
        <v/>
      </c>
    </row>
    <row r="113" ht="15" customHeight="1">
      <c r="A113" t="inlineStr">
        <is>
          <t>A 26077-2024</t>
        </is>
      </c>
      <c r="B113" s="1" t="n">
        <v>45467</v>
      </c>
      <c r="C113" s="1" t="n">
        <v>45879</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58701-2020</t>
        </is>
      </c>
      <c r="B114" s="1" t="n">
        <v>44146</v>
      </c>
      <c r="C114" s="1" t="n">
        <v>45879</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43321-2020</t>
        </is>
      </c>
      <c r="B115" s="1" t="n">
        <v>44081</v>
      </c>
      <c r="C115" s="1" t="n">
        <v>45879</v>
      </c>
      <c r="D115" t="inlineStr">
        <is>
          <t>GOTLANDS LÄN</t>
        </is>
      </c>
      <c r="E115" t="inlineStr">
        <is>
          <t>GOTLAND</t>
        </is>
      </c>
      <c r="G115" t="n">
        <v>10</v>
      </c>
      <c r="H115" t="n">
        <v>1</v>
      </c>
      <c r="I115" t="n">
        <v>0</v>
      </c>
      <c r="J115" t="n">
        <v>2</v>
      </c>
      <c r="K115" t="n">
        <v>0</v>
      </c>
      <c r="L115" t="n">
        <v>0</v>
      </c>
      <c r="M115" t="n">
        <v>0</v>
      </c>
      <c r="N115" t="n">
        <v>0</v>
      </c>
      <c r="O115" t="n">
        <v>2</v>
      </c>
      <c r="P115" t="n">
        <v>0</v>
      </c>
      <c r="Q115" t="n">
        <v>2</v>
      </c>
      <c r="R115" s="2" t="inlineStr">
        <is>
          <t>Buskskvätta
Ängsnätfjäril</t>
        </is>
      </c>
      <c r="S115">
        <f>HYPERLINK("https://klasma.github.io/Logging_0980/artfynd/A 43321-2020 artfynd.xlsx", "A 43321-2020")</f>
        <v/>
      </c>
      <c r="T115">
        <f>HYPERLINK("https://klasma.github.io/Logging_0980/kartor/A 43321-2020 karta.png", "A 43321-2020")</f>
        <v/>
      </c>
      <c r="V115">
        <f>HYPERLINK("https://klasma.github.io/Logging_0980/klagomål/A 43321-2020 FSC-klagomål.docx", "A 43321-2020")</f>
        <v/>
      </c>
      <c r="W115">
        <f>HYPERLINK("https://klasma.github.io/Logging_0980/klagomålsmail/A 43321-2020 FSC-klagomål mail.docx", "A 43321-2020")</f>
        <v/>
      </c>
      <c r="X115">
        <f>HYPERLINK("https://klasma.github.io/Logging_0980/tillsyn/A 43321-2020 tillsynsbegäran.docx", "A 43321-2020")</f>
        <v/>
      </c>
      <c r="Y115">
        <f>HYPERLINK("https://klasma.github.io/Logging_0980/tillsynsmail/A 43321-2020 tillsynsbegäran mail.docx", "A 43321-2020")</f>
        <v/>
      </c>
      <c r="Z115">
        <f>HYPERLINK("https://klasma.github.io/Logging_0980/fåglar/A 43321-2020 prioriterade fågelarter.docx", "A 43321-2020")</f>
        <v/>
      </c>
    </row>
    <row r="116" ht="15" customHeight="1">
      <c r="A116" t="inlineStr">
        <is>
          <t>A 21879-2025</t>
        </is>
      </c>
      <c r="B116" s="1" t="n">
        <v>45784.40533564815</v>
      </c>
      <c r="C116" s="1" t="n">
        <v>45879</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54357-2024</t>
        </is>
      </c>
      <c r="B117" s="1" t="n">
        <v>45617.40662037037</v>
      </c>
      <c r="C117" s="1" t="n">
        <v>45879</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7070-2022</t>
        </is>
      </c>
      <c r="B118" s="1" t="n">
        <v>44603</v>
      </c>
      <c r="C118" s="1" t="n">
        <v>45879</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45879</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45879</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45879</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45879</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45879</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45879</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45879</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45879</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45879</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45879</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45879</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45879</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9862-2024</t>
        </is>
      </c>
      <c r="B131" s="1" t="n">
        <v>45363</v>
      </c>
      <c r="C131" s="1" t="n">
        <v>45879</v>
      </c>
      <c r="D131" t="inlineStr">
        <is>
          <t>GOTLANDS LÄN</t>
        </is>
      </c>
      <c r="E131" t="inlineStr">
        <is>
          <t>GOTLAND</t>
        </is>
      </c>
      <c r="G131" t="n">
        <v>3.5</v>
      </c>
      <c r="H131" t="n">
        <v>1</v>
      </c>
      <c r="I131" t="n">
        <v>0</v>
      </c>
      <c r="J131" t="n">
        <v>0</v>
      </c>
      <c r="K131" t="n">
        <v>0</v>
      </c>
      <c r="L131" t="n">
        <v>0</v>
      </c>
      <c r="M131" t="n">
        <v>0</v>
      </c>
      <c r="N131" t="n">
        <v>0</v>
      </c>
      <c r="O131" t="n">
        <v>0</v>
      </c>
      <c r="P131" t="n">
        <v>0</v>
      </c>
      <c r="Q131" t="n">
        <v>1</v>
      </c>
      <c r="R131" s="2" t="inlineStr">
        <is>
          <t>Nattviol</t>
        </is>
      </c>
      <c r="S131">
        <f>HYPERLINK("https://klasma.github.io/Logging_0980/artfynd/A 9862-2024 artfynd.xlsx", "A 9862-2024")</f>
        <v/>
      </c>
      <c r="T131">
        <f>HYPERLINK("https://klasma.github.io/Logging_0980/kartor/A 9862-2024 karta.png", "A 9862-2024")</f>
        <v/>
      </c>
      <c r="V131">
        <f>HYPERLINK("https://klasma.github.io/Logging_0980/klagomål/A 9862-2024 FSC-klagomål.docx", "A 9862-2024")</f>
        <v/>
      </c>
      <c r="W131">
        <f>HYPERLINK("https://klasma.github.io/Logging_0980/klagomålsmail/A 9862-2024 FSC-klagomål mail.docx", "A 9862-2024")</f>
        <v/>
      </c>
      <c r="X131">
        <f>HYPERLINK("https://klasma.github.io/Logging_0980/tillsyn/A 9862-2024 tillsynsbegäran.docx", "A 9862-2024")</f>
        <v/>
      </c>
      <c r="Y131">
        <f>HYPERLINK("https://klasma.github.io/Logging_0980/tillsynsmail/A 9862-2024 tillsynsbegäran mail.docx", "A 9862-2024")</f>
        <v/>
      </c>
    </row>
    <row r="132" ht="15" customHeight="1">
      <c r="A132" t="inlineStr">
        <is>
          <t>A 44308-2021</t>
        </is>
      </c>
      <c r="B132" s="1" t="n">
        <v>44434</v>
      </c>
      <c r="C132" s="1" t="n">
        <v>45879</v>
      </c>
      <c r="D132" t="inlineStr">
        <is>
          <t>GOTLANDS LÄN</t>
        </is>
      </c>
      <c r="E132" t="inlineStr">
        <is>
          <t>GOTLAND</t>
        </is>
      </c>
      <c r="G132" t="n">
        <v>5.9</v>
      </c>
      <c r="H132" t="n">
        <v>0</v>
      </c>
      <c r="I132" t="n">
        <v>1</v>
      </c>
      <c r="J132" t="n">
        <v>0</v>
      </c>
      <c r="K132" t="n">
        <v>0</v>
      </c>
      <c r="L132" t="n">
        <v>0</v>
      </c>
      <c r="M132" t="n">
        <v>0</v>
      </c>
      <c r="N132" t="n">
        <v>0</v>
      </c>
      <c r="O132" t="n">
        <v>0</v>
      </c>
      <c r="P132" t="n">
        <v>0</v>
      </c>
      <c r="Q132" t="n">
        <v>1</v>
      </c>
      <c r="R132" s="2" t="inlineStr">
        <is>
          <t>Svavelriska</t>
        </is>
      </c>
      <c r="S132">
        <f>HYPERLINK("https://klasma.github.io/Logging_0980/artfynd/A 44308-2021 artfynd.xlsx", "A 44308-2021")</f>
        <v/>
      </c>
      <c r="T132">
        <f>HYPERLINK("https://klasma.github.io/Logging_0980/kartor/A 44308-2021 karta.png", "A 44308-2021")</f>
        <v/>
      </c>
      <c r="V132">
        <f>HYPERLINK("https://klasma.github.io/Logging_0980/klagomål/A 44308-2021 FSC-klagomål.docx", "A 44308-2021")</f>
        <v/>
      </c>
      <c r="W132">
        <f>HYPERLINK("https://klasma.github.io/Logging_0980/klagomålsmail/A 44308-2021 FSC-klagomål mail.docx", "A 44308-2021")</f>
        <v/>
      </c>
      <c r="X132">
        <f>HYPERLINK("https://klasma.github.io/Logging_0980/tillsyn/A 44308-2021 tillsynsbegäran.docx", "A 44308-2021")</f>
        <v/>
      </c>
      <c r="Y132">
        <f>HYPERLINK("https://klasma.github.io/Logging_0980/tillsynsmail/A 44308-2021 tillsynsbegäran mail.docx", "A 44308-2021")</f>
        <v/>
      </c>
    </row>
    <row r="133" ht="15" customHeight="1">
      <c r="A133" t="inlineStr">
        <is>
          <t>A 24245-2022</t>
        </is>
      </c>
      <c r="B133" s="1" t="n">
        <v>44725</v>
      </c>
      <c r="C133" s="1" t="n">
        <v>45879</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12379-2024</t>
        </is>
      </c>
      <c r="B134" s="1" t="n">
        <v>45379.28155092592</v>
      </c>
      <c r="C134" s="1" t="n">
        <v>45879</v>
      </c>
      <c r="D134" t="inlineStr">
        <is>
          <t>GOTLANDS LÄN</t>
        </is>
      </c>
      <c r="E134" t="inlineStr">
        <is>
          <t>GOTLAND</t>
        </is>
      </c>
      <c r="G134" t="n">
        <v>4.4</v>
      </c>
      <c r="H134" t="n">
        <v>0</v>
      </c>
      <c r="I134" t="n">
        <v>0</v>
      </c>
      <c r="J134" t="n">
        <v>1</v>
      </c>
      <c r="K134" t="n">
        <v>0</v>
      </c>
      <c r="L134" t="n">
        <v>0</v>
      </c>
      <c r="M134" t="n">
        <v>0</v>
      </c>
      <c r="N134" t="n">
        <v>0</v>
      </c>
      <c r="O134" t="n">
        <v>1</v>
      </c>
      <c r="P134" t="n">
        <v>0</v>
      </c>
      <c r="Q134" t="n">
        <v>1</v>
      </c>
      <c r="R134" s="2" t="inlineStr">
        <is>
          <t>Svinrot</t>
        </is>
      </c>
      <c r="S134">
        <f>HYPERLINK("https://klasma.github.io/Logging_0980/artfynd/A 12379-2024 artfynd.xlsx", "A 12379-2024")</f>
        <v/>
      </c>
      <c r="T134">
        <f>HYPERLINK("https://klasma.github.io/Logging_0980/kartor/A 12379-2024 karta.png", "A 12379-2024")</f>
        <v/>
      </c>
      <c r="V134">
        <f>HYPERLINK("https://klasma.github.io/Logging_0980/klagomål/A 12379-2024 FSC-klagomål.docx", "A 12379-2024")</f>
        <v/>
      </c>
      <c r="W134">
        <f>HYPERLINK("https://klasma.github.io/Logging_0980/klagomålsmail/A 12379-2024 FSC-klagomål mail.docx", "A 12379-2024")</f>
        <v/>
      </c>
      <c r="X134">
        <f>HYPERLINK("https://klasma.github.io/Logging_0980/tillsyn/A 12379-2024 tillsynsbegäran.docx", "A 12379-2024")</f>
        <v/>
      </c>
      <c r="Y134">
        <f>HYPERLINK("https://klasma.github.io/Logging_0980/tillsynsmail/A 12379-2024 tillsynsbegäran mail.docx", "A 12379-2024")</f>
        <v/>
      </c>
    </row>
    <row r="135" ht="15" customHeight="1">
      <c r="A135" t="inlineStr">
        <is>
          <t>A 17723-2021</t>
        </is>
      </c>
      <c r="B135" s="1" t="n">
        <v>44300</v>
      </c>
      <c r="C135" s="1" t="n">
        <v>45879</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447-2023</t>
        </is>
      </c>
      <c r="B136" s="1" t="n">
        <v>44929</v>
      </c>
      <c r="C136" s="1" t="n">
        <v>45879</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2213-2023</t>
        </is>
      </c>
      <c r="B137" s="1" t="n">
        <v>44942</v>
      </c>
      <c r="C137" s="1" t="n">
        <v>45879</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49847-2023</t>
        </is>
      </c>
      <c r="B138" s="1" t="n">
        <v>45212</v>
      </c>
      <c r="C138" s="1" t="n">
        <v>45879</v>
      </c>
      <c r="D138" t="inlineStr">
        <is>
          <t>GOTLANDS LÄN</t>
        </is>
      </c>
      <c r="E138" t="inlineStr">
        <is>
          <t>GOTLAND</t>
        </is>
      </c>
      <c r="G138" t="n">
        <v>35.2</v>
      </c>
      <c r="H138" t="n">
        <v>0</v>
      </c>
      <c r="I138" t="n">
        <v>0</v>
      </c>
      <c r="J138" t="n">
        <v>0</v>
      </c>
      <c r="K138" t="n">
        <v>1</v>
      </c>
      <c r="L138" t="n">
        <v>0</v>
      </c>
      <c r="M138" t="n">
        <v>0</v>
      </c>
      <c r="N138" t="n">
        <v>0</v>
      </c>
      <c r="O138" t="n">
        <v>1</v>
      </c>
      <c r="P138" t="n">
        <v>1</v>
      </c>
      <c r="Q138" t="n">
        <v>1</v>
      </c>
      <c r="R138" s="2" t="inlineStr">
        <is>
          <t>Strandviol</t>
        </is>
      </c>
      <c r="S138">
        <f>HYPERLINK("https://klasma.github.io/Logging_0980/artfynd/A 49847-2023 artfynd.xlsx", "A 49847-2023")</f>
        <v/>
      </c>
      <c r="T138">
        <f>HYPERLINK("https://klasma.github.io/Logging_0980/kartor/A 49847-2023 karta.png", "A 49847-2023")</f>
        <v/>
      </c>
      <c r="V138">
        <f>HYPERLINK("https://klasma.github.io/Logging_0980/klagomål/A 49847-2023 FSC-klagomål.docx", "A 49847-2023")</f>
        <v/>
      </c>
      <c r="W138">
        <f>HYPERLINK("https://klasma.github.io/Logging_0980/klagomålsmail/A 49847-2023 FSC-klagomål mail.docx", "A 49847-2023")</f>
        <v/>
      </c>
      <c r="X138">
        <f>HYPERLINK("https://klasma.github.io/Logging_0980/tillsyn/A 49847-2023 tillsynsbegäran.docx", "A 49847-2023")</f>
        <v/>
      </c>
      <c r="Y138">
        <f>HYPERLINK("https://klasma.github.io/Logging_0980/tillsynsmail/A 49847-2023 tillsynsbegäran mail.docx", "A 49847-2023")</f>
        <v/>
      </c>
    </row>
    <row r="139" ht="15" customHeight="1">
      <c r="A139" t="inlineStr">
        <is>
          <t>A 947-2023</t>
        </is>
      </c>
      <c r="B139" s="1" t="n">
        <v>44934</v>
      </c>
      <c r="C139" s="1" t="n">
        <v>45879</v>
      </c>
      <c r="D139" t="inlineStr">
        <is>
          <t>GOTLANDS LÄN</t>
        </is>
      </c>
      <c r="E139" t="inlineStr">
        <is>
          <t>GOTLAND</t>
        </is>
      </c>
      <c r="G139" t="n">
        <v>0.7</v>
      </c>
      <c r="H139" t="n">
        <v>1</v>
      </c>
      <c r="I139" t="n">
        <v>0</v>
      </c>
      <c r="J139" t="n">
        <v>0</v>
      </c>
      <c r="K139" t="n">
        <v>1</v>
      </c>
      <c r="L139" t="n">
        <v>0</v>
      </c>
      <c r="M139" t="n">
        <v>0</v>
      </c>
      <c r="N139" t="n">
        <v>0</v>
      </c>
      <c r="O139" t="n">
        <v>1</v>
      </c>
      <c r="P139" t="n">
        <v>1</v>
      </c>
      <c r="Q139" t="n">
        <v>1</v>
      </c>
      <c r="R139" s="2" t="inlineStr">
        <is>
          <t>Garderönn</t>
        </is>
      </c>
      <c r="S139">
        <f>HYPERLINK("https://klasma.github.io/Logging_0980/artfynd/A 947-2023 artfynd.xlsx", "A 947-2023")</f>
        <v/>
      </c>
      <c r="T139">
        <f>HYPERLINK("https://klasma.github.io/Logging_0980/kartor/A 947-2023 karta.png", "A 947-2023")</f>
        <v/>
      </c>
      <c r="V139">
        <f>HYPERLINK("https://klasma.github.io/Logging_0980/klagomål/A 947-2023 FSC-klagomål.docx", "A 947-2023")</f>
        <v/>
      </c>
      <c r="W139">
        <f>HYPERLINK("https://klasma.github.io/Logging_0980/klagomålsmail/A 947-2023 FSC-klagomål mail.docx", "A 947-2023")</f>
        <v/>
      </c>
      <c r="X139">
        <f>HYPERLINK("https://klasma.github.io/Logging_0980/tillsyn/A 947-2023 tillsynsbegäran.docx", "A 947-2023")</f>
        <v/>
      </c>
      <c r="Y139">
        <f>HYPERLINK("https://klasma.github.io/Logging_0980/tillsynsmail/A 947-2023 tillsynsbegäran mail.docx", "A 947-2023")</f>
        <v/>
      </c>
    </row>
    <row r="140" ht="15" customHeight="1">
      <c r="A140" t="inlineStr">
        <is>
          <t>A 46527-2023</t>
        </is>
      </c>
      <c r="B140" s="1" t="n">
        <v>45197</v>
      </c>
      <c r="C140" s="1" t="n">
        <v>45879</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12324-2025</t>
        </is>
      </c>
      <c r="B141" s="1" t="n">
        <v>45730</v>
      </c>
      <c r="C141" s="1" t="n">
        <v>45879</v>
      </c>
      <c r="D141" t="inlineStr">
        <is>
          <t>GOTLANDS LÄN</t>
        </is>
      </c>
      <c r="E141" t="inlineStr">
        <is>
          <t>GOTLAND</t>
        </is>
      </c>
      <c r="G141" t="n">
        <v>5</v>
      </c>
      <c r="H141" t="n">
        <v>0</v>
      </c>
      <c r="I141" t="n">
        <v>0</v>
      </c>
      <c r="J141" t="n">
        <v>0</v>
      </c>
      <c r="K141" t="n">
        <v>1</v>
      </c>
      <c r="L141" t="n">
        <v>0</v>
      </c>
      <c r="M141" t="n">
        <v>0</v>
      </c>
      <c r="N141" t="n">
        <v>0</v>
      </c>
      <c r="O141" t="n">
        <v>1</v>
      </c>
      <c r="P141" t="n">
        <v>1</v>
      </c>
      <c r="Q141" t="n">
        <v>1</v>
      </c>
      <c r="R141" s="2" t="inlineStr">
        <is>
          <t>Sommarklynne</t>
        </is>
      </c>
      <c r="S141">
        <f>HYPERLINK("https://klasma.github.io/Logging_0980/artfynd/A 12324-2025 artfynd.xlsx", "A 12324-2025")</f>
        <v/>
      </c>
      <c r="T141">
        <f>HYPERLINK("https://klasma.github.io/Logging_0980/kartor/A 12324-2025 karta.png", "A 12324-2025")</f>
        <v/>
      </c>
      <c r="V141">
        <f>HYPERLINK("https://klasma.github.io/Logging_0980/klagomål/A 12324-2025 FSC-klagomål.docx", "A 12324-2025")</f>
        <v/>
      </c>
      <c r="W141">
        <f>HYPERLINK("https://klasma.github.io/Logging_0980/klagomålsmail/A 12324-2025 FSC-klagomål mail.docx", "A 12324-2025")</f>
        <v/>
      </c>
      <c r="X141">
        <f>HYPERLINK("https://klasma.github.io/Logging_0980/tillsyn/A 12324-2025 tillsynsbegäran.docx", "A 12324-2025")</f>
        <v/>
      </c>
      <c r="Y141">
        <f>HYPERLINK("https://klasma.github.io/Logging_0980/tillsynsmail/A 12324-2025 tillsynsbegäran mail.docx", "A 12324-2025")</f>
        <v/>
      </c>
    </row>
    <row r="142" ht="15" customHeight="1">
      <c r="A142" t="inlineStr">
        <is>
          <t>A 49304-2024</t>
        </is>
      </c>
      <c r="B142" s="1" t="n">
        <v>45595.54996527778</v>
      </c>
      <c r="C142" s="1" t="n">
        <v>45879</v>
      </c>
      <c r="D142" t="inlineStr">
        <is>
          <t>GOTLANDS LÄN</t>
        </is>
      </c>
      <c r="E142" t="inlineStr">
        <is>
          <t>GOTLAND</t>
        </is>
      </c>
      <c r="G142" t="n">
        <v>10.8</v>
      </c>
      <c r="H142" t="n">
        <v>0</v>
      </c>
      <c r="I142" t="n">
        <v>0</v>
      </c>
      <c r="J142" t="n">
        <v>1</v>
      </c>
      <c r="K142" t="n">
        <v>0</v>
      </c>
      <c r="L142" t="n">
        <v>0</v>
      </c>
      <c r="M142" t="n">
        <v>0</v>
      </c>
      <c r="N142" t="n">
        <v>0</v>
      </c>
      <c r="O142" t="n">
        <v>1</v>
      </c>
      <c r="P142" t="n">
        <v>0</v>
      </c>
      <c r="Q142" t="n">
        <v>1</v>
      </c>
      <c r="R142" s="2" t="inlineStr">
        <is>
          <t>Åkerranunkel</t>
        </is>
      </c>
      <c r="S142">
        <f>HYPERLINK("https://klasma.github.io/Logging_0980/artfynd/A 49304-2024 artfynd.xlsx", "A 49304-2024")</f>
        <v/>
      </c>
      <c r="T142">
        <f>HYPERLINK("https://klasma.github.io/Logging_0980/kartor/A 49304-2024 karta.png", "A 49304-2024")</f>
        <v/>
      </c>
      <c r="V142">
        <f>HYPERLINK("https://klasma.github.io/Logging_0980/klagomål/A 49304-2024 FSC-klagomål.docx", "A 49304-2024")</f>
        <v/>
      </c>
      <c r="W142">
        <f>HYPERLINK("https://klasma.github.io/Logging_0980/klagomålsmail/A 49304-2024 FSC-klagomål mail.docx", "A 49304-2024")</f>
        <v/>
      </c>
      <c r="X142">
        <f>HYPERLINK("https://klasma.github.io/Logging_0980/tillsyn/A 49304-2024 tillsynsbegäran.docx", "A 49304-2024")</f>
        <v/>
      </c>
      <c r="Y142">
        <f>HYPERLINK("https://klasma.github.io/Logging_0980/tillsynsmail/A 49304-2024 tillsynsbegäran mail.docx", "A 49304-2024")</f>
        <v/>
      </c>
    </row>
    <row r="143" ht="15" customHeight="1">
      <c r="A143" t="inlineStr">
        <is>
          <t>A 63576-2021</t>
        </is>
      </c>
      <c r="B143" s="1" t="n">
        <v>44508</v>
      </c>
      <c r="C143" s="1" t="n">
        <v>45879</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64700-2021</t>
        </is>
      </c>
      <c r="B144" s="1" t="n">
        <v>44511</v>
      </c>
      <c r="C144" s="1" t="n">
        <v>45879</v>
      </c>
      <c r="D144" t="inlineStr">
        <is>
          <t>GOTLANDS LÄN</t>
        </is>
      </c>
      <c r="E144" t="inlineStr">
        <is>
          <t>GOTLAND</t>
        </is>
      </c>
      <c r="F144" t="inlineStr">
        <is>
          <t>Naturvårdsverket</t>
        </is>
      </c>
      <c r="G144" t="n">
        <v>2.4</v>
      </c>
      <c r="H144" t="n">
        <v>1</v>
      </c>
      <c r="I144" t="n">
        <v>0</v>
      </c>
      <c r="J144" t="n">
        <v>0</v>
      </c>
      <c r="K144" t="n">
        <v>1</v>
      </c>
      <c r="L144" t="n">
        <v>0</v>
      </c>
      <c r="M144" t="n">
        <v>0</v>
      </c>
      <c r="N144" t="n">
        <v>0</v>
      </c>
      <c r="O144" t="n">
        <v>1</v>
      </c>
      <c r="P144" t="n">
        <v>1</v>
      </c>
      <c r="Q144" t="n">
        <v>1</v>
      </c>
      <c r="R144" s="2" t="inlineStr">
        <is>
          <t>Kalkdån</t>
        </is>
      </c>
      <c r="S144">
        <f>HYPERLINK("https://klasma.github.io/Logging_0980/artfynd/A 64700-2021 artfynd.xlsx", "A 64700-2021")</f>
        <v/>
      </c>
      <c r="T144">
        <f>HYPERLINK("https://klasma.github.io/Logging_0980/kartor/A 64700-2021 karta.png", "A 64700-2021")</f>
        <v/>
      </c>
      <c r="V144">
        <f>HYPERLINK("https://klasma.github.io/Logging_0980/klagomål/A 64700-2021 FSC-klagomål.docx", "A 64700-2021")</f>
        <v/>
      </c>
      <c r="W144">
        <f>HYPERLINK("https://klasma.github.io/Logging_0980/klagomålsmail/A 64700-2021 FSC-klagomål mail.docx", "A 64700-2021")</f>
        <v/>
      </c>
      <c r="X144">
        <f>HYPERLINK("https://klasma.github.io/Logging_0980/tillsyn/A 64700-2021 tillsynsbegäran.docx", "A 64700-2021")</f>
        <v/>
      </c>
      <c r="Y144">
        <f>HYPERLINK("https://klasma.github.io/Logging_0980/tillsynsmail/A 64700-2021 tillsynsbegäran mail.docx", "A 64700-2021")</f>
        <v/>
      </c>
    </row>
    <row r="145" ht="15" customHeight="1">
      <c r="A145" t="inlineStr">
        <is>
          <t>A 44958-2020</t>
        </is>
      </c>
      <c r="B145" s="1" t="n">
        <v>44088</v>
      </c>
      <c r="C145" s="1" t="n">
        <v>45879</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25977-2024</t>
        </is>
      </c>
      <c r="B146" s="1" t="n">
        <v>45467.69356481481</v>
      </c>
      <c r="C146" s="1" t="n">
        <v>45879</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21466-2025</t>
        </is>
      </c>
      <c r="B147" s="1" t="n">
        <v>45782</v>
      </c>
      <c r="C147" s="1" t="n">
        <v>45879</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27589-2023</t>
        </is>
      </c>
      <c r="B148" s="1" t="n">
        <v>45097</v>
      </c>
      <c r="C148" s="1" t="n">
        <v>45879</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35574-2024</t>
        </is>
      </c>
      <c r="B149" s="1" t="n">
        <v>45531</v>
      </c>
      <c r="C149" s="1" t="n">
        <v>45879</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65927-2021</t>
        </is>
      </c>
      <c r="B150" s="1" t="n">
        <v>44516</v>
      </c>
      <c r="C150" s="1" t="n">
        <v>45879</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7637-2025</t>
        </is>
      </c>
      <c r="B151" s="1" t="n">
        <v>45705.77181712963</v>
      </c>
      <c r="C151" s="1" t="n">
        <v>45879</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10440-2024</t>
        </is>
      </c>
      <c r="B152" s="1" t="n">
        <v>45366.32818287037</v>
      </c>
      <c r="C152" s="1" t="n">
        <v>45879</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61796-2022</t>
        </is>
      </c>
      <c r="B153" s="1" t="n">
        <v>44917</v>
      </c>
      <c r="C153" s="1" t="n">
        <v>45879</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48155-2024</t>
        </is>
      </c>
      <c r="B154" s="1" t="n">
        <v>45589.68863425926</v>
      </c>
      <c r="C154" s="1" t="n">
        <v>45879</v>
      </c>
      <c r="D154" t="inlineStr">
        <is>
          <t>GOTLANDS LÄN</t>
        </is>
      </c>
      <c r="E154" t="inlineStr">
        <is>
          <t>GOTLAND</t>
        </is>
      </c>
      <c r="G154" t="n">
        <v>2.4</v>
      </c>
      <c r="H154" t="n">
        <v>1</v>
      </c>
      <c r="I154" t="n">
        <v>0</v>
      </c>
      <c r="J154" t="n">
        <v>0</v>
      </c>
      <c r="K154" t="n">
        <v>0</v>
      </c>
      <c r="L154" t="n">
        <v>0</v>
      </c>
      <c r="M154" t="n">
        <v>0</v>
      </c>
      <c r="N154" t="n">
        <v>0</v>
      </c>
      <c r="O154" t="n">
        <v>0</v>
      </c>
      <c r="P154" t="n">
        <v>0</v>
      </c>
      <c r="Q154" t="n">
        <v>1</v>
      </c>
      <c r="R154" s="2" t="inlineStr">
        <is>
          <t>Gröngöling</t>
        </is>
      </c>
      <c r="S154">
        <f>HYPERLINK("https://klasma.github.io/Logging_0980/artfynd/A 48155-2024 artfynd.xlsx", "A 48155-2024")</f>
        <v/>
      </c>
      <c r="T154">
        <f>HYPERLINK("https://klasma.github.io/Logging_0980/kartor/A 48155-2024 karta.png", "A 48155-2024")</f>
        <v/>
      </c>
      <c r="V154">
        <f>HYPERLINK("https://klasma.github.io/Logging_0980/klagomål/A 48155-2024 FSC-klagomål.docx", "A 48155-2024")</f>
        <v/>
      </c>
      <c r="W154">
        <f>HYPERLINK("https://klasma.github.io/Logging_0980/klagomålsmail/A 48155-2024 FSC-klagomål mail.docx", "A 48155-2024")</f>
        <v/>
      </c>
      <c r="X154">
        <f>HYPERLINK("https://klasma.github.io/Logging_0980/tillsyn/A 48155-2024 tillsynsbegäran.docx", "A 48155-2024")</f>
        <v/>
      </c>
      <c r="Y154">
        <f>HYPERLINK("https://klasma.github.io/Logging_0980/tillsynsmail/A 48155-2024 tillsynsbegäran mail.docx", "A 48155-2024")</f>
        <v/>
      </c>
      <c r="Z154">
        <f>HYPERLINK("https://klasma.github.io/Logging_0980/fåglar/A 48155-2024 prioriterade fågelarter.docx", "A 48155-2024")</f>
        <v/>
      </c>
    </row>
    <row r="155" ht="15" customHeight="1">
      <c r="A155" t="inlineStr">
        <is>
          <t>A 12924-2025</t>
        </is>
      </c>
      <c r="B155" s="1" t="n">
        <v>45734</v>
      </c>
      <c r="C155" s="1" t="n">
        <v>45879</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6303-2024</t>
        </is>
      </c>
      <c r="B156" s="1" t="n">
        <v>45338.35376157407</v>
      </c>
      <c r="C156" s="1" t="n">
        <v>45879</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15637-2024</t>
        </is>
      </c>
      <c r="B157" s="1" t="n">
        <v>45403.6684837963</v>
      </c>
      <c r="C157" s="1" t="n">
        <v>45879</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44468-2024</t>
        </is>
      </c>
      <c r="B158" s="1" t="n">
        <v>45574.36651620371</v>
      </c>
      <c r="C158" s="1" t="n">
        <v>45879</v>
      </c>
      <c r="D158" t="inlineStr">
        <is>
          <t>GOTLANDS LÄN</t>
        </is>
      </c>
      <c r="E158" t="inlineStr">
        <is>
          <t>GOTLAND</t>
        </is>
      </c>
      <c r="G158" t="n">
        <v>7</v>
      </c>
      <c r="H158" t="n">
        <v>0</v>
      </c>
      <c r="I158" t="n">
        <v>0</v>
      </c>
      <c r="J158" t="n">
        <v>0</v>
      </c>
      <c r="K158" t="n">
        <v>0</v>
      </c>
      <c r="L158" t="n">
        <v>0</v>
      </c>
      <c r="M158" t="n">
        <v>1</v>
      </c>
      <c r="N158" t="n">
        <v>0</v>
      </c>
      <c r="O158" t="n">
        <v>1</v>
      </c>
      <c r="P158" t="n">
        <v>1</v>
      </c>
      <c r="Q158" t="n">
        <v>1</v>
      </c>
      <c r="R158" s="2" t="inlineStr">
        <is>
          <t>Skogsalm</t>
        </is>
      </c>
      <c r="S158">
        <f>HYPERLINK("https://klasma.github.io/Logging_0980/artfynd/A 44468-2024 artfynd.xlsx", "A 44468-2024")</f>
        <v/>
      </c>
      <c r="T158">
        <f>HYPERLINK("https://klasma.github.io/Logging_0980/kartor/A 44468-2024 karta.png", "A 44468-2024")</f>
        <v/>
      </c>
      <c r="V158">
        <f>HYPERLINK("https://klasma.github.io/Logging_0980/klagomål/A 44468-2024 FSC-klagomål.docx", "A 44468-2024")</f>
        <v/>
      </c>
      <c r="W158">
        <f>HYPERLINK("https://klasma.github.io/Logging_0980/klagomålsmail/A 44468-2024 FSC-klagomål mail.docx", "A 44468-2024")</f>
        <v/>
      </c>
      <c r="X158">
        <f>HYPERLINK("https://klasma.github.io/Logging_0980/tillsyn/A 44468-2024 tillsynsbegäran.docx", "A 44468-2024")</f>
        <v/>
      </c>
      <c r="Y158">
        <f>HYPERLINK("https://klasma.github.io/Logging_0980/tillsynsmail/A 44468-2024 tillsynsbegäran mail.docx", "A 44468-2024")</f>
        <v/>
      </c>
    </row>
    <row r="159" ht="15" customHeight="1">
      <c r="A159" t="inlineStr">
        <is>
          <t>A 34809-2024</t>
        </is>
      </c>
      <c r="B159" s="1" t="n">
        <v>45526</v>
      </c>
      <c r="C159" s="1" t="n">
        <v>45879</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43219-2023</t>
        </is>
      </c>
      <c r="B160" s="1" t="n">
        <v>45183</v>
      </c>
      <c r="C160" s="1" t="n">
        <v>45879</v>
      </c>
      <c r="D160" t="inlineStr">
        <is>
          <t>GOTLANDS LÄN</t>
        </is>
      </c>
      <c r="E160" t="inlineStr">
        <is>
          <t>GOTLAND</t>
        </is>
      </c>
      <c r="G160" t="n">
        <v>3.6</v>
      </c>
      <c r="H160" t="n">
        <v>1</v>
      </c>
      <c r="I160" t="n">
        <v>0</v>
      </c>
      <c r="J160" t="n">
        <v>0</v>
      </c>
      <c r="K160" t="n">
        <v>0</v>
      </c>
      <c r="L160" t="n">
        <v>0</v>
      </c>
      <c r="M160" t="n">
        <v>0</v>
      </c>
      <c r="N160" t="n">
        <v>0</v>
      </c>
      <c r="O160" t="n">
        <v>0</v>
      </c>
      <c r="P160" t="n">
        <v>0</v>
      </c>
      <c r="Q160" t="n">
        <v>1</v>
      </c>
      <c r="R160" s="2" t="inlineStr">
        <is>
          <t>Skogsduva</t>
        </is>
      </c>
      <c r="S160">
        <f>HYPERLINK("https://klasma.github.io/Logging_0980/artfynd/A 43219-2023 artfynd.xlsx", "A 43219-2023")</f>
        <v/>
      </c>
      <c r="T160">
        <f>HYPERLINK("https://klasma.github.io/Logging_0980/kartor/A 43219-2023 karta.png", "A 43219-2023")</f>
        <v/>
      </c>
      <c r="V160">
        <f>HYPERLINK("https://klasma.github.io/Logging_0980/klagomål/A 43219-2023 FSC-klagomål.docx", "A 43219-2023")</f>
        <v/>
      </c>
      <c r="W160">
        <f>HYPERLINK("https://klasma.github.io/Logging_0980/klagomålsmail/A 43219-2023 FSC-klagomål mail.docx", "A 43219-2023")</f>
        <v/>
      </c>
      <c r="X160">
        <f>HYPERLINK("https://klasma.github.io/Logging_0980/tillsyn/A 43219-2023 tillsynsbegäran.docx", "A 43219-2023")</f>
        <v/>
      </c>
      <c r="Y160">
        <f>HYPERLINK("https://klasma.github.io/Logging_0980/tillsynsmail/A 43219-2023 tillsynsbegäran mail.docx", "A 43219-2023")</f>
        <v/>
      </c>
      <c r="Z160">
        <f>HYPERLINK("https://klasma.github.io/Logging_0980/fåglar/A 43219-2023 prioriterade fågelarter.docx", "A 43219-2023")</f>
        <v/>
      </c>
    </row>
    <row r="161" ht="15" customHeight="1">
      <c r="A161" t="inlineStr">
        <is>
          <t>A 2476-2025</t>
        </is>
      </c>
      <c r="B161" s="1" t="n">
        <v>45673</v>
      </c>
      <c r="C161" s="1" t="n">
        <v>45879</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26461-2025</t>
        </is>
      </c>
      <c r="B162" s="1" t="n">
        <v>45807.43337962963</v>
      </c>
      <c r="C162" s="1" t="n">
        <v>45879</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10995-2023</t>
        </is>
      </c>
      <c r="B163" s="1" t="n">
        <v>44986</v>
      </c>
      <c r="C163" s="1" t="n">
        <v>45879</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62552-2022</t>
        </is>
      </c>
      <c r="B164" s="1" t="n">
        <v>44924</v>
      </c>
      <c r="C164" s="1" t="n">
        <v>45879</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61561-2023</t>
        </is>
      </c>
      <c r="B165" s="1" t="n">
        <v>45265</v>
      </c>
      <c r="C165" s="1" t="n">
        <v>45879</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8725-2025</t>
        </is>
      </c>
      <c r="B166" s="1" t="n">
        <v>45712</v>
      </c>
      <c r="C166" s="1" t="n">
        <v>45879</v>
      </c>
      <c r="D166" t="inlineStr">
        <is>
          <t>GOTLANDS LÄN</t>
        </is>
      </c>
      <c r="E166" t="inlineStr">
        <is>
          <t>GOTLAND</t>
        </is>
      </c>
      <c r="G166" t="n">
        <v>4.4</v>
      </c>
      <c r="H166" t="n">
        <v>1</v>
      </c>
      <c r="I166" t="n">
        <v>0</v>
      </c>
      <c r="J166" t="n">
        <v>1</v>
      </c>
      <c r="K166" t="n">
        <v>0</v>
      </c>
      <c r="L166" t="n">
        <v>0</v>
      </c>
      <c r="M166" t="n">
        <v>0</v>
      </c>
      <c r="N166" t="n">
        <v>0</v>
      </c>
      <c r="O166" t="n">
        <v>1</v>
      </c>
      <c r="P166" t="n">
        <v>0</v>
      </c>
      <c r="Q166" t="n">
        <v>1</v>
      </c>
      <c r="R166" s="2" t="inlineStr">
        <is>
          <t>Spillkråka</t>
        </is>
      </c>
      <c r="S166">
        <f>HYPERLINK("https://klasma.github.io/Logging_0980/artfynd/A 8725-2025 artfynd.xlsx", "A 8725-2025")</f>
        <v/>
      </c>
      <c r="T166">
        <f>HYPERLINK("https://klasma.github.io/Logging_0980/kartor/A 8725-2025 karta.png", "A 8725-2025")</f>
        <v/>
      </c>
      <c r="V166">
        <f>HYPERLINK("https://klasma.github.io/Logging_0980/klagomål/A 8725-2025 FSC-klagomål.docx", "A 8725-2025")</f>
        <v/>
      </c>
      <c r="W166">
        <f>HYPERLINK("https://klasma.github.io/Logging_0980/klagomålsmail/A 8725-2025 FSC-klagomål mail.docx", "A 8725-2025")</f>
        <v/>
      </c>
      <c r="X166">
        <f>HYPERLINK("https://klasma.github.io/Logging_0980/tillsyn/A 8725-2025 tillsynsbegäran.docx", "A 8725-2025")</f>
        <v/>
      </c>
      <c r="Y166">
        <f>HYPERLINK("https://klasma.github.io/Logging_0980/tillsynsmail/A 8725-2025 tillsynsbegäran mail.docx", "A 8725-2025")</f>
        <v/>
      </c>
      <c r="Z166">
        <f>HYPERLINK("https://klasma.github.io/Logging_0980/fåglar/A 8725-2025 prioriterade fågelarter.docx", "A 8725-2025")</f>
        <v/>
      </c>
    </row>
    <row r="167" ht="15" customHeight="1">
      <c r="A167" t="inlineStr">
        <is>
          <t>A 44088-2022</t>
        </is>
      </c>
      <c r="B167" s="1" t="n">
        <v>44839</v>
      </c>
      <c r="C167" s="1" t="n">
        <v>45879</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34141-2024</t>
        </is>
      </c>
      <c r="B168" s="1" t="n">
        <v>45524.36229166666</v>
      </c>
      <c r="C168" s="1" t="n">
        <v>45879</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45879</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45879</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45879</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45879</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45879</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45879</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45879</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45879</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45879</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45879</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45879</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45879</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45879</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45879</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45879</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45879</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45879</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45879</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45879</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45879</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45879</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45879</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45879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45879</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45879</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45879</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45879</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45879</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39477-2020</t>
        </is>
      </c>
      <c r="B197" s="1" t="n">
        <v>44064.44814814815</v>
      </c>
      <c r="C197" s="1" t="n">
        <v>45879</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45879</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45879</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45879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45879</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45879</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45879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45879</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45879</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45879</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45879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45879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45879</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45879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45879</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45879</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45879</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45879</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45879</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45879</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45879</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45879</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45879</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45879</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45879</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45879</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45879</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45879</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45879</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45879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45879</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45879</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45879</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45879</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45879</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45879</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37204-2020</t>
        </is>
      </c>
      <c r="B233" s="1" t="n">
        <v>44054</v>
      </c>
      <c r="C233" s="1" t="n">
        <v>45879</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45879</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45879</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37569-2022</t>
        </is>
      </c>
      <c r="B236" s="1" t="n">
        <v>44809.68125</v>
      </c>
      <c r="C236" s="1" t="n">
        <v>45879</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55334-2024</t>
        </is>
      </c>
      <c r="B237" s="1" t="n">
        <v>45621</v>
      </c>
      <c r="C237" s="1" t="n">
        <v>45879</v>
      </c>
      <c r="D237" t="inlineStr">
        <is>
          <t>GOTLANDS LÄN</t>
        </is>
      </c>
      <c r="E237" t="inlineStr">
        <is>
          <t>GOTLAND</t>
        </is>
      </c>
      <c r="G237" t="n">
        <v>21.7</v>
      </c>
      <c r="H237" t="n">
        <v>0</v>
      </c>
      <c r="I237" t="n">
        <v>0</v>
      </c>
      <c r="J237" t="n">
        <v>0</v>
      </c>
      <c r="K237" t="n">
        <v>0</v>
      </c>
      <c r="L237" t="n">
        <v>0</v>
      </c>
      <c r="M237" t="n">
        <v>0</v>
      </c>
      <c r="N237" t="n">
        <v>0</v>
      </c>
      <c r="O237" t="n">
        <v>0</v>
      </c>
      <c r="P237" t="n">
        <v>0</v>
      </c>
      <c r="Q237" t="n">
        <v>0</v>
      </c>
      <c r="R237" s="2" t="inlineStr"/>
    </row>
    <row r="238" ht="15" customHeight="1">
      <c r="A238" t="inlineStr">
        <is>
          <t>A 25866-2022</t>
        </is>
      </c>
      <c r="B238" s="1" t="n">
        <v>44733</v>
      </c>
      <c r="C238" s="1" t="n">
        <v>45879</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53641-2020</t>
        </is>
      </c>
      <c r="B239" s="1" t="n">
        <v>44124</v>
      </c>
      <c r="C239" s="1" t="n">
        <v>45879</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43229-2023</t>
        </is>
      </c>
      <c r="B240" s="1" t="n">
        <v>45183.46704861111</v>
      </c>
      <c r="C240" s="1" t="n">
        <v>45879</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1175-2025</t>
        </is>
      </c>
      <c r="B241" s="1" t="n">
        <v>45667.34449074074</v>
      </c>
      <c r="C241" s="1" t="n">
        <v>45879</v>
      </c>
      <c r="D241" t="inlineStr">
        <is>
          <t>GOTLANDS LÄN</t>
        </is>
      </c>
      <c r="E241" t="inlineStr">
        <is>
          <t>GOTLAND</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27095-2022</t>
        </is>
      </c>
      <c r="B242" s="1" t="n">
        <v>44741</v>
      </c>
      <c r="C242" s="1" t="n">
        <v>45879</v>
      </c>
      <c r="D242" t="inlineStr">
        <is>
          <t>GOTLANDS LÄN</t>
        </is>
      </c>
      <c r="E242" t="inlineStr">
        <is>
          <t>GOTLAND</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22899-2023</t>
        </is>
      </c>
      <c r="B243" s="1" t="n">
        <v>45072</v>
      </c>
      <c r="C243" s="1" t="n">
        <v>45879</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37037-2021</t>
        </is>
      </c>
      <c r="B244" s="1" t="n">
        <v>44393.84688657407</v>
      </c>
      <c r="C244" s="1" t="n">
        <v>45879</v>
      </c>
      <c r="D244" t="inlineStr">
        <is>
          <t>GOTLANDS LÄN</t>
        </is>
      </c>
      <c r="E244" t="inlineStr">
        <is>
          <t>GOTLAND</t>
        </is>
      </c>
      <c r="G244" t="n">
        <v>10.2</v>
      </c>
      <c r="H244" t="n">
        <v>0</v>
      </c>
      <c r="I244" t="n">
        <v>0</v>
      </c>
      <c r="J244" t="n">
        <v>0</v>
      </c>
      <c r="K244" t="n">
        <v>0</v>
      </c>
      <c r="L244" t="n">
        <v>0</v>
      </c>
      <c r="M244" t="n">
        <v>0</v>
      </c>
      <c r="N244" t="n">
        <v>0</v>
      </c>
      <c r="O244" t="n">
        <v>0</v>
      </c>
      <c r="P244" t="n">
        <v>0</v>
      </c>
      <c r="Q244" t="n">
        <v>0</v>
      </c>
      <c r="R244" s="2" t="inlineStr"/>
    </row>
    <row r="245" ht="15" customHeight="1">
      <c r="A245" t="inlineStr">
        <is>
          <t>A 17901-2023</t>
        </is>
      </c>
      <c r="B245" s="1" t="n">
        <v>45039</v>
      </c>
      <c r="C245" s="1" t="n">
        <v>45879</v>
      </c>
      <c r="D245" t="inlineStr">
        <is>
          <t>GOTLANDS LÄN</t>
        </is>
      </c>
      <c r="E245" t="inlineStr">
        <is>
          <t>GOTLAND</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23978-2023</t>
        </is>
      </c>
      <c r="B246" s="1" t="n">
        <v>45078</v>
      </c>
      <c r="C246" s="1" t="n">
        <v>45879</v>
      </c>
      <c r="D246" t="inlineStr">
        <is>
          <t>GOTLANDS LÄN</t>
        </is>
      </c>
      <c r="E246" t="inlineStr">
        <is>
          <t>GOTLAND</t>
        </is>
      </c>
      <c r="F246" t="inlineStr">
        <is>
          <t>Naturvårdsverket</t>
        </is>
      </c>
      <c r="G246" t="n">
        <v>1.7</v>
      </c>
      <c r="H246" t="n">
        <v>0</v>
      </c>
      <c r="I246" t="n">
        <v>0</v>
      </c>
      <c r="J246" t="n">
        <v>0</v>
      </c>
      <c r="K246" t="n">
        <v>0</v>
      </c>
      <c r="L246" t="n">
        <v>0</v>
      </c>
      <c r="M246" t="n">
        <v>0</v>
      </c>
      <c r="N246" t="n">
        <v>0</v>
      </c>
      <c r="O246" t="n">
        <v>0</v>
      </c>
      <c r="P246" t="n">
        <v>0</v>
      </c>
      <c r="Q246" t="n">
        <v>0</v>
      </c>
      <c r="R246" s="2" t="inlineStr"/>
    </row>
    <row r="247" ht="15" customHeight="1">
      <c r="A247" t="inlineStr">
        <is>
          <t>A 34407-2023</t>
        </is>
      </c>
      <c r="B247" s="1" t="n">
        <v>45132</v>
      </c>
      <c r="C247" s="1" t="n">
        <v>45879</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11013-2024</t>
        </is>
      </c>
      <c r="B248" s="1" t="n">
        <v>45370</v>
      </c>
      <c r="C248" s="1" t="n">
        <v>45879</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27694-2024</t>
        </is>
      </c>
      <c r="B249" s="1" t="n">
        <v>45475</v>
      </c>
      <c r="C249" s="1" t="n">
        <v>45879</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45879</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15083-2025</t>
        </is>
      </c>
      <c r="B251" s="1" t="n">
        <v>45743</v>
      </c>
      <c r="C251" s="1" t="n">
        <v>45879</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45879</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13037-2025</t>
        </is>
      </c>
      <c r="B253" s="1" t="n">
        <v>45734</v>
      </c>
      <c r="C253" s="1" t="n">
        <v>45879</v>
      </c>
      <c r="D253" t="inlineStr">
        <is>
          <t>GOTLANDS LÄN</t>
        </is>
      </c>
      <c r="E253" t="inlineStr">
        <is>
          <t>GOTLAND</t>
        </is>
      </c>
      <c r="G253" t="n">
        <v>9.5</v>
      </c>
      <c r="H253" t="n">
        <v>0</v>
      </c>
      <c r="I253" t="n">
        <v>0</v>
      </c>
      <c r="J253" t="n">
        <v>0</v>
      </c>
      <c r="K253" t="n">
        <v>0</v>
      </c>
      <c r="L253" t="n">
        <v>0</v>
      </c>
      <c r="M253" t="n">
        <v>0</v>
      </c>
      <c r="N253" t="n">
        <v>0</v>
      </c>
      <c r="O253" t="n">
        <v>0</v>
      </c>
      <c r="P253" t="n">
        <v>0</v>
      </c>
      <c r="Q253" t="n">
        <v>0</v>
      </c>
      <c r="R253" s="2" t="inlineStr"/>
    </row>
    <row r="254" ht="15" customHeight="1">
      <c r="A254" t="inlineStr">
        <is>
          <t>A 4868-2024</t>
        </is>
      </c>
      <c r="B254" s="1" t="n">
        <v>45329</v>
      </c>
      <c r="C254" s="1" t="n">
        <v>45879</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6108-2025</t>
        </is>
      </c>
      <c r="B255" s="1" t="n">
        <v>45698.29880787037</v>
      </c>
      <c r="C255" s="1" t="n">
        <v>45879</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1713-2025</t>
        </is>
      </c>
      <c r="B256" s="1" t="n">
        <v>45671.32342592593</v>
      </c>
      <c r="C256" s="1" t="n">
        <v>45879</v>
      </c>
      <c r="D256" t="inlineStr">
        <is>
          <t>GOTLANDS LÄN</t>
        </is>
      </c>
      <c r="E256" t="inlineStr">
        <is>
          <t>GOTLAND</t>
        </is>
      </c>
      <c r="G256" t="n">
        <v>10.1</v>
      </c>
      <c r="H256" t="n">
        <v>0</v>
      </c>
      <c r="I256" t="n">
        <v>0</v>
      </c>
      <c r="J256" t="n">
        <v>0</v>
      </c>
      <c r="K256" t="n">
        <v>0</v>
      </c>
      <c r="L256" t="n">
        <v>0</v>
      </c>
      <c r="M256" t="n">
        <v>0</v>
      </c>
      <c r="N256" t="n">
        <v>0</v>
      </c>
      <c r="O256" t="n">
        <v>0</v>
      </c>
      <c r="P256" t="n">
        <v>0</v>
      </c>
      <c r="Q256" t="n">
        <v>0</v>
      </c>
      <c r="R256" s="2" t="inlineStr"/>
    </row>
    <row r="257" ht="15" customHeight="1">
      <c r="A257" t="inlineStr">
        <is>
          <t>A 8701-2025</t>
        </is>
      </c>
      <c r="B257" s="1" t="n">
        <v>45712</v>
      </c>
      <c r="C257" s="1" t="n">
        <v>45879</v>
      </c>
      <c r="D257" t="inlineStr">
        <is>
          <t>GOTLANDS LÄN</t>
        </is>
      </c>
      <c r="E257" t="inlineStr">
        <is>
          <t>GOTLAND</t>
        </is>
      </c>
      <c r="G257" t="n">
        <v>7</v>
      </c>
      <c r="H257" t="n">
        <v>0</v>
      </c>
      <c r="I257" t="n">
        <v>0</v>
      </c>
      <c r="J257" t="n">
        <v>0</v>
      </c>
      <c r="K257" t="n">
        <v>0</v>
      </c>
      <c r="L257" t="n">
        <v>0</v>
      </c>
      <c r="M257" t="n">
        <v>0</v>
      </c>
      <c r="N257" t="n">
        <v>0</v>
      </c>
      <c r="O257" t="n">
        <v>0</v>
      </c>
      <c r="P257" t="n">
        <v>0</v>
      </c>
      <c r="Q257" t="n">
        <v>0</v>
      </c>
      <c r="R257" s="2" t="inlineStr"/>
    </row>
    <row r="258" ht="15" customHeight="1">
      <c r="A258" t="inlineStr">
        <is>
          <t>A 458-2023</t>
        </is>
      </c>
      <c r="B258" s="1" t="n">
        <v>44929</v>
      </c>
      <c r="C258" s="1" t="n">
        <v>45879</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46396-2023</t>
        </is>
      </c>
      <c r="B259" s="1" t="n">
        <v>45197</v>
      </c>
      <c r="C259" s="1" t="n">
        <v>45879</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32330-2024</t>
        </is>
      </c>
      <c r="B260" s="1" t="n">
        <v>45512</v>
      </c>
      <c r="C260" s="1" t="n">
        <v>45879</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44228-2022</t>
        </is>
      </c>
      <c r="B261" s="1" t="n">
        <v>44839.51599537037</v>
      </c>
      <c r="C261" s="1" t="n">
        <v>45879</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58132-2023</t>
        </is>
      </c>
      <c r="B262" s="1" t="n">
        <v>45250</v>
      </c>
      <c r="C262" s="1" t="n">
        <v>45879</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17724-2024</t>
        </is>
      </c>
      <c r="B263" s="1" t="n">
        <v>45418.55096064815</v>
      </c>
      <c r="C263" s="1" t="n">
        <v>45879</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9613-2025</t>
        </is>
      </c>
      <c r="B264" s="1" t="n">
        <v>45715</v>
      </c>
      <c r="C264" s="1" t="n">
        <v>45879</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34312-2024</t>
        </is>
      </c>
      <c r="B265" s="1" t="n">
        <v>45524.69703703704</v>
      </c>
      <c r="C265" s="1" t="n">
        <v>45879</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15595-2024</t>
        </is>
      </c>
      <c r="B266" s="1" t="n">
        <v>45401.81480324074</v>
      </c>
      <c r="C266" s="1" t="n">
        <v>45879</v>
      </c>
      <c r="D266" t="inlineStr">
        <is>
          <t>GOTLANDS LÄN</t>
        </is>
      </c>
      <c r="E266" t="inlineStr">
        <is>
          <t>GOTLAND</t>
        </is>
      </c>
      <c r="G266" t="n">
        <v>6.4</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45879</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49884-2023</t>
        </is>
      </c>
      <c r="B268" s="1" t="n">
        <v>45213</v>
      </c>
      <c r="C268" s="1" t="n">
        <v>45879</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17847-2025</t>
        </is>
      </c>
      <c r="B269" s="1" t="n">
        <v>45758</v>
      </c>
      <c r="C269" s="1" t="n">
        <v>45879</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15216-2025</t>
        </is>
      </c>
      <c r="B270" s="1" t="n">
        <v>45744</v>
      </c>
      <c r="C270" s="1" t="n">
        <v>45879</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6153-2024</t>
        </is>
      </c>
      <c r="B271" s="1" t="n">
        <v>45337</v>
      </c>
      <c r="C271" s="1" t="n">
        <v>45879</v>
      </c>
      <c r="D271" t="inlineStr">
        <is>
          <t>GOTLANDS LÄN</t>
        </is>
      </c>
      <c r="E271" t="inlineStr">
        <is>
          <t>GOTLAND</t>
        </is>
      </c>
      <c r="G271" t="n">
        <v>14.2</v>
      </c>
      <c r="H271" t="n">
        <v>0</v>
      </c>
      <c r="I271" t="n">
        <v>0</v>
      </c>
      <c r="J271" t="n">
        <v>0</v>
      </c>
      <c r="K271" t="n">
        <v>0</v>
      </c>
      <c r="L271" t="n">
        <v>0</v>
      </c>
      <c r="M271" t="n">
        <v>0</v>
      </c>
      <c r="N271" t="n">
        <v>0</v>
      </c>
      <c r="O271" t="n">
        <v>0</v>
      </c>
      <c r="P271" t="n">
        <v>0</v>
      </c>
      <c r="Q271" t="n">
        <v>0</v>
      </c>
      <c r="R271" s="2" t="inlineStr"/>
    </row>
    <row r="272" ht="15" customHeight="1">
      <c r="A272" t="inlineStr">
        <is>
          <t>A 876-2024</t>
        </is>
      </c>
      <c r="B272" s="1" t="n">
        <v>45301</v>
      </c>
      <c r="C272" s="1" t="n">
        <v>45879</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69112-2021</t>
        </is>
      </c>
      <c r="B273" s="1" t="n">
        <v>44530</v>
      </c>
      <c r="C273" s="1" t="n">
        <v>45879</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6796-2025</t>
        </is>
      </c>
      <c r="B274" s="1" t="n">
        <v>45700.66559027778</v>
      </c>
      <c r="C274" s="1" t="n">
        <v>45879</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24966-2023</t>
        </is>
      </c>
      <c r="B275" s="1" t="n">
        <v>45085</v>
      </c>
      <c r="C275" s="1" t="n">
        <v>45879</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46189-2022</t>
        </is>
      </c>
      <c r="B276" s="1" t="n">
        <v>44847</v>
      </c>
      <c r="C276" s="1" t="n">
        <v>45879</v>
      </c>
      <c r="D276" t="inlineStr">
        <is>
          <t>GOTLANDS LÄN</t>
        </is>
      </c>
      <c r="E276" t="inlineStr">
        <is>
          <t>GOTLAND</t>
        </is>
      </c>
      <c r="G276" t="n">
        <v>0.4</v>
      </c>
      <c r="H276" t="n">
        <v>0</v>
      </c>
      <c r="I276" t="n">
        <v>0</v>
      </c>
      <c r="J276" t="n">
        <v>0</v>
      </c>
      <c r="K276" t="n">
        <v>0</v>
      </c>
      <c r="L276" t="n">
        <v>0</v>
      </c>
      <c r="M276" t="n">
        <v>0</v>
      </c>
      <c r="N276" t="n">
        <v>0</v>
      </c>
      <c r="O276" t="n">
        <v>0</v>
      </c>
      <c r="P276" t="n">
        <v>0</v>
      </c>
      <c r="Q276" t="n">
        <v>0</v>
      </c>
      <c r="R276" s="2" t="inlineStr"/>
    </row>
    <row r="277" ht="15" customHeight="1">
      <c r="A277" t="inlineStr">
        <is>
          <t>A 7638-2025</t>
        </is>
      </c>
      <c r="B277" s="1" t="n">
        <v>45705.77306712963</v>
      </c>
      <c r="C277" s="1" t="n">
        <v>45879</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50482-2024</t>
        </is>
      </c>
      <c r="B278" s="1" t="n">
        <v>45601.48114583334</v>
      </c>
      <c r="C278" s="1" t="n">
        <v>45879</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22704-2023</t>
        </is>
      </c>
      <c r="B279" s="1" t="n">
        <v>45071</v>
      </c>
      <c r="C279" s="1" t="n">
        <v>45879</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28425-2023</t>
        </is>
      </c>
      <c r="B280" s="1" t="n">
        <v>45102</v>
      </c>
      <c r="C280" s="1" t="n">
        <v>45879</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58476-2022</t>
        </is>
      </c>
      <c r="B281" s="1" t="n">
        <v>44902</v>
      </c>
      <c r="C281" s="1" t="n">
        <v>45879</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1394-2023</t>
        </is>
      </c>
      <c r="B282" s="1" t="n">
        <v>44936.72997685185</v>
      </c>
      <c r="C282" s="1" t="n">
        <v>45879</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58230-2024</t>
        </is>
      </c>
      <c r="B283" s="1" t="n">
        <v>45632.51625</v>
      </c>
      <c r="C283" s="1" t="n">
        <v>45879</v>
      </c>
      <c r="D283" t="inlineStr">
        <is>
          <t>GOTLANDS LÄN</t>
        </is>
      </c>
      <c r="E283" t="inlineStr">
        <is>
          <t>GOTLAND</t>
        </is>
      </c>
      <c r="G283" t="n">
        <v>7.3</v>
      </c>
      <c r="H283" t="n">
        <v>0</v>
      </c>
      <c r="I283" t="n">
        <v>0</v>
      </c>
      <c r="J283" t="n">
        <v>0</v>
      </c>
      <c r="K283" t="n">
        <v>0</v>
      </c>
      <c r="L283" t="n">
        <v>0</v>
      </c>
      <c r="M283" t="n">
        <v>0</v>
      </c>
      <c r="N283" t="n">
        <v>0</v>
      </c>
      <c r="O283" t="n">
        <v>0</v>
      </c>
      <c r="P283" t="n">
        <v>0</v>
      </c>
      <c r="Q283" t="n">
        <v>0</v>
      </c>
      <c r="R283" s="2" t="inlineStr"/>
    </row>
    <row r="284" ht="15" customHeight="1">
      <c r="A284" t="inlineStr">
        <is>
          <t>A 1462-2025</t>
        </is>
      </c>
      <c r="B284" s="1" t="n">
        <v>45670.36319444444</v>
      </c>
      <c r="C284" s="1" t="n">
        <v>45879</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43200-2023</t>
        </is>
      </c>
      <c r="B285" s="1" t="n">
        <v>45183</v>
      </c>
      <c r="C285" s="1" t="n">
        <v>45879</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43223-2023</t>
        </is>
      </c>
      <c r="B286" s="1" t="n">
        <v>45183.45642361111</v>
      </c>
      <c r="C286" s="1" t="n">
        <v>45879</v>
      </c>
      <c r="D286" t="inlineStr">
        <is>
          <t>GOTLANDS LÄN</t>
        </is>
      </c>
      <c r="E286" t="inlineStr">
        <is>
          <t>GOTLAND</t>
        </is>
      </c>
      <c r="G286" t="n">
        <v>1.8</v>
      </c>
      <c r="H286" t="n">
        <v>0</v>
      </c>
      <c r="I286" t="n">
        <v>0</v>
      </c>
      <c r="J286" t="n">
        <v>0</v>
      </c>
      <c r="K286" t="n">
        <v>0</v>
      </c>
      <c r="L286" t="n">
        <v>0</v>
      </c>
      <c r="M286" t="n">
        <v>0</v>
      </c>
      <c r="N286" t="n">
        <v>0</v>
      </c>
      <c r="O286" t="n">
        <v>0</v>
      </c>
      <c r="P286" t="n">
        <v>0</v>
      </c>
      <c r="Q286" t="n">
        <v>0</v>
      </c>
      <c r="R286" s="2" t="inlineStr"/>
    </row>
    <row r="287" ht="15" customHeight="1">
      <c r="A287" t="inlineStr">
        <is>
          <t>A 12327-2025</t>
        </is>
      </c>
      <c r="B287" s="1" t="n">
        <v>45730</v>
      </c>
      <c r="C287" s="1" t="n">
        <v>45879</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3431-2025</t>
        </is>
      </c>
      <c r="B288" s="1" t="n">
        <v>45680.42935185185</v>
      </c>
      <c r="C288" s="1" t="n">
        <v>45879</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22031-2024</t>
        </is>
      </c>
      <c r="B289" s="1" t="n">
        <v>45443.60075231481</v>
      </c>
      <c r="C289" s="1" t="n">
        <v>45879</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44204-2022</t>
        </is>
      </c>
      <c r="B290" s="1" t="n">
        <v>44839</v>
      </c>
      <c r="C290" s="1" t="n">
        <v>45879</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49314-2024</t>
        </is>
      </c>
      <c r="B291" s="1" t="n">
        <v>45595.55893518519</v>
      </c>
      <c r="C291" s="1" t="n">
        <v>45879</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44919-2022</t>
        </is>
      </c>
      <c r="B292" s="1" t="n">
        <v>44841</v>
      </c>
      <c r="C292" s="1" t="n">
        <v>45879</v>
      </c>
      <c r="D292" t="inlineStr">
        <is>
          <t>GOTLANDS LÄN</t>
        </is>
      </c>
      <c r="E292" t="inlineStr">
        <is>
          <t>GOTLAND</t>
        </is>
      </c>
      <c r="G292" t="n">
        <v>2.2</v>
      </c>
      <c r="H292" t="n">
        <v>0</v>
      </c>
      <c r="I292" t="n">
        <v>0</v>
      </c>
      <c r="J292" t="n">
        <v>0</v>
      </c>
      <c r="K292" t="n">
        <v>0</v>
      </c>
      <c r="L292" t="n">
        <v>0</v>
      </c>
      <c r="M292" t="n">
        <v>0</v>
      </c>
      <c r="N292" t="n">
        <v>0</v>
      </c>
      <c r="O292" t="n">
        <v>0</v>
      </c>
      <c r="P292" t="n">
        <v>0</v>
      </c>
      <c r="Q292" t="n">
        <v>0</v>
      </c>
      <c r="R292" s="2" t="inlineStr"/>
    </row>
    <row r="293" ht="15" customHeight="1">
      <c r="A293" t="inlineStr">
        <is>
          <t>A 25129-2023</t>
        </is>
      </c>
      <c r="B293" s="1" t="n">
        <v>45086.44261574074</v>
      </c>
      <c r="C293" s="1" t="n">
        <v>45879</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17343-2025</t>
        </is>
      </c>
      <c r="B294" s="1" t="n">
        <v>45756.6687037037</v>
      </c>
      <c r="C294" s="1" t="n">
        <v>45879</v>
      </c>
      <c r="D294" t="inlineStr">
        <is>
          <t>GOTLANDS LÄN</t>
        </is>
      </c>
      <c r="E294" t="inlineStr">
        <is>
          <t>GOTLAND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24192-2023</t>
        </is>
      </c>
      <c r="B295" s="1" t="n">
        <v>45079</v>
      </c>
      <c r="C295" s="1" t="n">
        <v>45879</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12209-2024</t>
        </is>
      </c>
      <c r="B296" s="1" t="n">
        <v>45378</v>
      </c>
      <c r="C296" s="1" t="n">
        <v>45879</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12210-2024</t>
        </is>
      </c>
      <c r="B297" s="1" t="n">
        <v>45378</v>
      </c>
      <c r="C297" s="1" t="n">
        <v>45879</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18914-2025</t>
        </is>
      </c>
      <c r="B298" s="1" t="n">
        <v>45764.46783564815</v>
      </c>
      <c r="C298" s="1" t="n">
        <v>45879</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1364-2025</t>
        </is>
      </c>
      <c r="B299" s="1" t="n">
        <v>45667.63929398148</v>
      </c>
      <c r="C299" s="1" t="n">
        <v>45879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15042-2025</t>
        </is>
      </c>
      <c r="B300" s="1" t="n">
        <v>45743</v>
      </c>
      <c r="C300" s="1" t="n">
        <v>45879</v>
      </c>
      <c r="D300" t="inlineStr">
        <is>
          <t>GOTLANDS LÄN</t>
        </is>
      </c>
      <c r="E300" t="inlineStr">
        <is>
          <t>GOTLAND</t>
        </is>
      </c>
      <c r="G300" t="n">
        <v>8.5</v>
      </c>
      <c r="H300" t="n">
        <v>0</v>
      </c>
      <c r="I300" t="n">
        <v>0</v>
      </c>
      <c r="J300" t="n">
        <v>0</v>
      </c>
      <c r="K300" t="n">
        <v>0</v>
      </c>
      <c r="L300" t="n">
        <v>0</v>
      </c>
      <c r="M300" t="n">
        <v>0</v>
      </c>
      <c r="N300" t="n">
        <v>0</v>
      </c>
      <c r="O300" t="n">
        <v>0</v>
      </c>
      <c r="P300" t="n">
        <v>0</v>
      </c>
      <c r="Q300" t="n">
        <v>0</v>
      </c>
      <c r="R300" s="2" t="inlineStr"/>
    </row>
    <row r="301" ht="15" customHeight="1">
      <c r="A301" t="inlineStr">
        <is>
          <t>A 18742-2025</t>
        </is>
      </c>
      <c r="B301" s="1" t="n">
        <v>45763</v>
      </c>
      <c r="C301" s="1" t="n">
        <v>45879</v>
      </c>
      <c r="D301" t="inlineStr">
        <is>
          <t>GOTLANDS LÄN</t>
        </is>
      </c>
      <c r="E301" t="inlineStr">
        <is>
          <t>GOTLAND</t>
        </is>
      </c>
      <c r="G301" t="n">
        <v>3.4</v>
      </c>
      <c r="H301" t="n">
        <v>0</v>
      </c>
      <c r="I301" t="n">
        <v>0</v>
      </c>
      <c r="J301" t="n">
        <v>0</v>
      </c>
      <c r="K301" t="n">
        <v>0</v>
      </c>
      <c r="L301" t="n">
        <v>0</v>
      </c>
      <c r="M301" t="n">
        <v>0</v>
      </c>
      <c r="N301" t="n">
        <v>0</v>
      </c>
      <c r="O301" t="n">
        <v>0</v>
      </c>
      <c r="P301" t="n">
        <v>0</v>
      </c>
      <c r="Q301" t="n">
        <v>0</v>
      </c>
      <c r="R301" s="2" t="inlineStr"/>
    </row>
    <row r="302" ht="15" customHeight="1">
      <c r="A302" t="inlineStr">
        <is>
          <t>A 5386-2023</t>
        </is>
      </c>
      <c r="B302" s="1" t="n">
        <v>44959</v>
      </c>
      <c r="C302" s="1" t="n">
        <v>45879</v>
      </c>
      <c r="D302" t="inlineStr">
        <is>
          <t>GOTLANDS LÄN</t>
        </is>
      </c>
      <c r="E302" t="inlineStr">
        <is>
          <t>GOTLAND</t>
        </is>
      </c>
      <c r="G302" t="n">
        <v>5.4</v>
      </c>
      <c r="H302" t="n">
        <v>0</v>
      </c>
      <c r="I302" t="n">
        <v>0</v>
      </c>
      <c r="J302" t="n">
        <v>0</v>
      </c>
      <c r="K302" t="n">
        <v>0</v>
      </c>
      <c r="L302" t="n">
        <v>0</v>
      </c>
      <c r="M302" t="n">
        <v>0</v>
      </c>
      <c r="N302" t="n">
        <v>0</v>
      </c>
      <c r="O302" t="n">
        <v>0</v>
      </c>
      <c r="P302" t="n">
        <v>0</v>
      </c>
      <c r="Q302" t="n">
        <v>0</v>
      </c>
      <c r="R302" s="2" t="inlineStr"/>
    </row>
    <row r="303" ht="15" customHeight="1">
      <c r="A303" t="inlineStr">
        <is>
          <t>A 7026-2023</t>
        </is>
      </c>
      <c r="B303" s="1" t="n">
        <v>44968.30340277778</v>
      </c>
      <c r="C303" s="1" t="n">
        <v>45879</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20855-2023</t>
        </is>
      </c>
      <c r="B304" s="1" t="n">
        <v>45058.82172453704</v>
      </c>
      <c r="C304" s="1" t="n">
        <v>45879</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2180-2025</t>
        </is>
      </c>
      <c r="B305" s="1" t="n">
        <v>45673</v>
      </c>
      <c r="C305" s="1" t="n">
        <v>45879</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15436-2025</t>
        </is>
      </c>
      <c r="B306" s="1" t="n">
        <v>45747.47462962963</v>
      </c>
      <c r="C306" s="1" t="n">
        <v>45879</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10652-2025</t>
        </is>
      </c>
      <c r="B307" s="1" t="n">
        <v>45721.68640046296</v>
      </c>
      <c r="C307" s="1" t="n">
        <v>45879</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45879</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45879</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45879</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49257-2024</t>
        </is>
      </c>
      <c r="B311" s="1" t="n">
        <v>45595.47627314815</v>
      </c>
      <c r="C311" s="1" t="n">
        <v>45879</v>
      </c>
      <c r="D311" t="inlineStr">
        <is>
          <t>GOTLANDS LÄN</t>
        </is>
      </c>
      <c r="E311" t="inlineStr">
        <is>
          <t>GOTLAND</t>
        </is>
      </c>
      <c r="G311" t="n">
        <v>6.3</v>
      </c>
      <c r="H311" t="n">
        <v>0</v>
      </c>
      <c r="I311" t="n">
        <v>0</v>
      </c>
      <c r="J311" t="n">
        <v>0</v>
      </c>
      <c r="K311" t="n">
        <v>0</v>
      </c>
      <c r="L311" t="n">
        <v>0</v>
      </c>
      <c r="M311" t="n">
        <v>0</v>
      </c>
      <c r="N311" t="n">
        <v>0</v>
      </c>
      <c r="O311" t="n">
        <v>0</v>
      </c>
      <c r="P311" t="n">
        <v>0</v>
      </c>
      <c r="Q311" t="n">
        <v>0</v>
      </c>
      <c r="R311" s="2" t="inlineStr"/>
    </row>
    <row r="312" ht="15" customHeight="1">
      <c r="A312" t="inlineStr">
        <is>
          <t>A 1000-2024</t>
        </is>
      </c>
      <c r="B312" s="1" t="n">
        <v>45301.63371527778</v>
      </c>
      <c r="C312" s="1" t="n">
        <v>45879</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1010-2024</t>
        </is>
      </c>
      <c r="B313" s="1" t="n">
        <v>45301</v>
      </c>
      <c r="C313" s="1" t="n">
        <v>45879</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45879</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56115-2023</t>
        </is>
      </c>
      <c r="B315" s="1" t="n">
        <v>45236</v>
      </c>
      <c r="C315" s="1" t="n">
        <v>45879</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44649-2021</t>
        </is>
      </c>
      <c r="B316" s="1" t="n">
        <v>44437</v>
      </c>
      <c r="C316" s="1" t="n">
        <v>45879</v>
      </c>
      <c r="D316" t="inlineStr">
        <is>
          <t>GOTLANDS LÄN</t>
        </is>
      </c>
      <c r="E316" t="inlineStr">
        <is>
          <t>GOTLAND</t>
        </is>
      </c>
      <c r="G316" t="n">
        <v>8.1</v>
      </c>
      <c r="H316" t="n">
        <v>0</v>
      </c>
      <c r="I316" t="n">
        <v>0</v>
      </c>
      <c r="J316" t="n">
        <v>0</v>
      </c>
      <c r="K316" t="n">
        <v>0</v>
      </c>
      <c r="L316" t="n">
        <v>0</v>
      </c>
      <c r="M316" t="n">
        <v>0</v>
      </c>
      <c r="N316" t="n">
        <v>0</v>
      </c>
      <c r="O316" t="n">
        <v>0</v>
      </c>
      <c r="P316" t="n">
        <v>0</v>
      </c>
      <c r="Q316" t="n">
        <v>0</v>
      </c>
      <c r="R316" s="2" t="inlineStr"/>
    </row>
    <row r="317" ht="15" customHeight="1">
      <c r="A317" t="inlineStr">
        <is>
          <t>A 9947-2024</t>
        </is>
      </c>
      <c r="B317" s="1" t="n">
        <v>45363</v>
      </c>
      <c r="C317" s="1" t="n">
        <v>45879</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44304-2021</t>
        </is>
      </c>
      <c r="B318" s="1" t="n">
        <v>44434</v>
      </c>
      <c r="C318" s="1" t="n">
        <v>45879</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17682-2024</t>
        </is>
      </c>
      <c r="B319" s="1" t="n">
        <v>45418.42966435185</v>
      </c>
      <c r="C319" s="1" t="n">
        <v>45879</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57522-2022</t>
        </is>
      </c>
      <c r="B320" s="1" t="n">
        <v>44896</v>
      </c>
      <c r="C320" s="1" t="n">
        <v>45879</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32669-2024</t>
        </is>
      </c>
      <c r="B321" s="1" t="n">
        <v>45514</v>
      </c>
      <c r="C321" s="1" t="n">
        <v>45879</v>
      </c>
      <c r="D321" t="inlineStr">
        <is>
          <t>GOTLANDS LÄN</t>
        </is>
      </c>
      <c r="E321" t="inlineStr">
        <is>
          <t>GOTLAND</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2774-2024</t>
        </is>
      </c>
      <c r="B322" s="1" t="n">
        <v>45314.62375</v>
      </c>
      <c r="C322" s="1" t="n">
        <v>45879</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27593-2023</t>
        </is>
      </c>
      <c r="B323" s="1" t="n">
        <v>45097</v>
      </c>
      <c r="C323" s="1" t="n">
        <v>45879</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60709-2023</t>
        </is>
      </c>
      <c r="B324" s="1" t="n">
        <v>45260</v>
      </c>
      <c r="C324" s="1" t="n">
        <v>45879</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47762-2023</t>
        </is>
      </c>
      <c r="B325" s="1" t="n">
        <v>45203.86256944444</v>
      </c>
      <c r="C325" s="1" t="n">
        <v>45879</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46545-2024</t>
        </is>
      </c>
      <c r="B326" s="1" t="n">
        <v>45582.65831018519</v>
      </c>
      <c r="C326" s="1" t="n">
        <v>45879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64208-2021</t>
        </is>
      </c>
      <c r="B327" s="1" t="n">
        <v>44510</v>
      </c>
      <c r="C327" s="1" t="n">
        <v>45879</v>
      </c>
      <c r="D327" t="inlineStr">
        <is>
          <t>GOTLANDS LÄN</t>
        </is>
      </c>
      <c r="E327" t="inlineStr">
        <is>
          <t>GOTLAND</t>
        </is>
      </c>
      <c r="G327" t="n">
        <v>4.7</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45879</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60086-2022</t>
        </is>
      </c>
      <c r="B329" s="1" t="n">
        <v>44909</v>
      </c>
      <c r="C329" s="1" t="n">
        <v>45879</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28480-2023</t>
        </is>
      </c>
      <c r="B330" s="1" t="n">
        <v>45103</v>
      </c>
      <c r="C330" s="1" t="n">
        <v>45879</v>
      </c>
      <c r="D330" t="inlineStr">
        <is>
          <t>GOTLANDS LÄN</t>
        </is>
      </c>
      <c r="E330" t="inlineStr">
        <is>
          <t>GOTLAND</t>
        </is>
      </c>
      <c r="G330" t="n">
        <v>5.7</v>
      </c>
      <c r="H330" t="n">
        <v>0</v>
      </c>
      <c r="I330" t="n">
        <v>0</v>
      </c>
      <c r="J330" t="n">
        <v>0</v>
      </c>
      <c r="K330" t="n">
        <v>0</v>
      </c>
      <c r="L330" t="n">
        <v>0</v>
      </c>
      <c r="M330" t="n">
        <v>0</v>
      </c>
      <c r="N330" t="n">
        <v>0</v>
      </c>
      <c r="O330" t="n">
        <v>0</v>
      </c>
      <c r="P330" t="n">
        <v>0</v>
      </c>
      <c r="Q330" t="n">
        <v>0</v>
      </c>
      <c r="R330" s="2" t="inlineStr"/>
    </row>
    <row r="331" ht="15" customHeight="1">
      <c r="A331" t="inlineStr">
        <is>
          <t>A 28485-2023</t>
        </is>
      </c>
      <c r="B331" s="1" t="n">
        <v>45103.43731481482</v>
      </c>
      <c r="C331" s="1" t="n">
        <v>45879</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63516-2023</t>
        </is>
      </c>
      <c r="B332" s="1" t="n">
        <v>45274</v>
      </c>
      <c r="C332" s="1" t="n">
        <v>45879</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58211-2024</t>
        </is>
      </c>
      <c r="B333" s="1" t="n">
        <v>45632.49292824074</v>
      </c>
      <c r="C333" s="1" t="n">
        <v>45879</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62915-2021</t>
        </is>
      </c>
      <c r="B334" s="1" t="n">
        <v>44504</v>
      </c>
      <c r="C334" s="1" t="n">
        <v>45879</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45879</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30892-2024</t>
        </is>
      </c>
      <c r="B336" s="1" t="n">
        <v>45491</v>
      </c>
      <c r="C336" s="1" t="n">
        <v>45879</v>
      </c>
      <c r="D336" t="inlineStr">
        <is>
          <t>GOTLANDS LÄN</t>
        </is>
      </c>
      <c r="E336" t="inlineStr">
        <is>
          <t>GOTLAND</t>
        </is>
      </c>
      <c r="G336" t="n">
        <v>6.1</v>
      </c>
      <c r="H336" t="n">
        <v>0</v>
      </c>
      <c r="I336" t="n">
        <v>0</v>
      </c>
      <c r="J336" t="n">
        <v>0</v>
      </c>
      <c r="K336" t="n">
        <v>0</v>
      </c>
      <c r="L336" t="n">
        <v>0</v>
      </c>
      <c r="M336" t="n">
        <v>0</v>
      </c>
      <c r="N336" t="n">
        <v>0</v>
      </c>
      <c r="O336" t="n">
        <v>0</v>
      </c>
      <c r="P336" t="n">
        <v>0</v>
      </c>
      <c r="Q336" t="n">
        <v>0</v>
      </c>
      <c r="R336" s="2" t="inlineStr"/>
    </row>
    <row r="337" ht="15" customHeight="1">
      <c r="A337" t="inlineStr">
        <is>
          <t>A 14635-2023</t>
        </is>
      </c>
      <c r="B337" s="1" t="n">
        <v>45013.69365740741</v>
      </c>
      <c r="C337" s="1" t="n">
        <v>45879</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44949-2023</t>
        </is>
      </c>
      <c r="B338" s="1" t="n">
        <v>45190.69520833333</v>
      </c>
      <c r="C338" s="1" t="n">
        <v>45879</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45879</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7858-2025</t>
        </is>
      </c>
      <c r="B340" s="1" t="n">
        <v>45706.68633101852</v>
      </c>
      <c r="C340" s="1" t="n">
        <v>45879</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24001-2021</t>
        </is>
      </c>
      <c r="B341" s="1" t="n">
        <v>44335</v>
      </c>
      <c r="C341" s="1" t="n">
        <v>45879</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53935-2024</t>
        </is>
      </c>
      <c r="B342" s="1" t="n">
        <v>45615</v>
      </c>
      <c r="C342" s="1" t="n">
        <v>45879</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37591-2023</t>
        </is>
      </c>
      <c r="B343" s="1" t="n">
        <v>45159</v>
      </c>
      <c r="C343" s="1" t="n">
        <v>45879</v>
      </c>
      <c r="D343" t="inlineStr">
        <is>
          <t>GOTLANDS LÄN</t>
        </is>
      </c>
      <c r="E343" t="inlineStr">
        <is>
          <t>GOTLAND</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37222-2021</t>
        </is>
      </c>
      <c r="B344" s="1" t="n">
        <v>44396</v>
      </c>
      <c r="C344" s="1" t="n">
        <v>45879</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18223-2025</t>
        </is>
      </c>
      <c r="B345" s="1" t="n">
        <v>45761</v>
      </c>
      <c r="C345" s="1" t="n">
        <v>45879</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4420-2025</t>
        </is>
      </c>
      <c r="B346" s="1" t="n">
        <v>45686.47157407407</v>
      </c>
      <c r="C346" s="1" t="n">
        <v>45879</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5891-2025</t>
        </is>
      </c>
      <c r="B347" s="1" t="n">
        <v>45695.38327546296</v>
      </c>
      <c r="C347" s="1" t="n">
        <v>45879</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30365-2024</t>
        </is>
      </c>
      <c r="B348" s="1" t="n">
        <v>45491.3716087963</v>
      </c>
      <c r="C348" s="1" t="n">
        <v>45879</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1681-2023</t>
        </is>
      </c>
      <c r="B349" s="1" t="n">
        <v>44938.39715277778</v>
      </c>
      <c r="C349" s="1" t="n">
        <v>45879</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3964-2024</t>
        </is>
      </c>
      <c r="B350" s="1" t="n">
        <v>45322</v>
      </c>
      <c r="C350" s="1" t="n">
        <v>45879</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45084-2024</t>
        </is>
      </c>
      <c r="B351" s="1" t="n">
        <v>45575</v>
      </c>
      <c r="C351" s="1" t="n">
        <v>45879</v>
      </c>
      <c r="D351" t="inlineStr">
        <is>
          <t>GOTLANDS LÄN</t>
        </is>
      </c>
      <c r="E351" t="inlineStr">
        <is>
          <t>GOTLAND</t>
        </is>
      </c>
      <c r="G351" t="n">
        <v>6.8</v>
      </c>
      <c r="H351" t="n">
        <v>0</v>
      </c>
      <c r="I351" t="n">
        <v>0</v>
      </c>
      <c r="J351" t="n">
        <v>0</v>
      </c>
      <c r="K351" t="n">
        <v>0</v>
      </c>
      <c r="L351" t="n">
        <v>0</v>
      </c>
      <c r="M351" t="n">
        <v>0</v>
      </c>
      <c r="N351" t="n">
        <v>0</v>
      </c>
      <c r="O351" t="n">
        <v>0</v>
      </c>
      <c r="P351" t="n">
        <v>0</v>
      </c>
      <c r="Q351" t="n">
        <v>0</v>
      </c>
      <c r="R351" s="2" t="inlineStr"/>
    </row>
    <row r="352" ht="15" customHeight="1">
      <c r="A352" t="inlineStr">
        <is>
          <t>A 6099-2024</t>
        </is>
      </c>
      <c r="B352" s="1" t="n">
        <v>45337</v>
      </c>
      <c r="C352" s="1" t="n">
        <v>45879</v>
      </c>
      <c r="D352" t="inlineStr">
        <is>
          <t>GOTLANDS LÄN</t>
        </is>
      </c>
      <c r="E352" t="inlineStr">
        <is>
          <t>GOTLAND</t>
        </is>
      </c>
      <c r="G352" t="n">
        <v>12.6</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45879</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1273-2023</t>
        </is>
      </c>
      <c r="B354" s="1" t="n">
        <v>44936</v>
      </c>
      <c r="C354" s="1" t="n">
        <v>45879</v>
      </c>
      <c r="D354" t="inlineStr">
        <is>
          <t>GOTLANDS LÄN</t>
        </is>
      </c>
      <c r="E354" t="inlineStr">
        <is>
          <t>GOTLAND</t>
        </is>
      </c>
      <c r="G354" t="n">
        <v>4.5</v>
      </c>
      <c r="H354" t="n">
        <v>0</v>
      </c>
      <c r="I354" t="n">
        <v>0</v>
      </c>
      <c r="J354" t="n">
        <v>0</v>
      </c>
      <c r="K354" t="n">
        <v>0</v>
      </c>
      <c r="L354" t="n">
        <v>0</v>
      </c>
      <c r="M354" t="n">
        <v>0</v>
      </c>
      <c r="N354" t="n">
        <v>0</v>
      </c>
      <c r="O354" t="n">
        <v>0</v>
      </c>
      <c r="P354" t="n">
        <v>0</v>
      </c>
      <c r="Q354" t="n">
        <v>0</v>
      </c>
      <c r="R354" s="2" t="inlineStr"/>
    </row>
    <row r="355" ht="15" customHeight="1">
      <c r="A355" t="inlineStr">
        <is>
          <t>A 20794-2025</t>
        </is>
      </c>
      <c r="B355" s="1" t="n">
        <v>45776</v>
      </c>
      <c r="C355" s="1" t="n">
        <v>45879</v>
      </c>
      <c r="D355" t="inlineStr">
        <is>
          <t>GOTLANDS LÄN</t>
        </is>
      </c>
      <c r="E355" t="inlineStr">
        <is>
          <t>GOTLAND</t>
        </is>
      </c>
      <c r="G355" t="n">
        <v>6</v>
      </c>
      <c r="H355" t="n">
        <v>0</v>
      </c>
      <c r="I355" t="n">
        <v>0</v>
      </c>
      <c r="J355" t="n">
        <v>0</v>
      </c>
      <c r="K355" t="n">
        <v>0</v>
      </c>
      <c r="L355" t="n">
        <v>0</v>
      </c>
      <c r="M355" t="n">
        <v>0</v>
      </c>
      <c r="N355" t="n">
        <v>0</v>
      </c>
      <c r="O355" t="n">
        <v>0</v>
      </c>
      <c r="P355" t="n">
        <v>0</v>
      </c>
      <c r="Q355" t="n">
        <v>0</v>
      </c>
      <c r="R355" s="2" t="inlineStr"/>
    </row>
    <row r="356" ht="15" customHeight="1">
      <c r="A356" t="inlineStr">
        <is>
          <t>A 13627-2023</t>
        </is>
      </c>
      <c r="B356" s="1" t="n">
        <v>45006</v>
      </c>
      <c r="C356" s="1" t="n">
        <v>45879</v>
      </c>
      <c r="D356" t="inlineStr">
        <is>
          <t>GOTLANDS LÄN</t>
        </is>
      </c>
      <c r="E356" t="inlineStr">
        <is>
          <t>GOTLAND</t>
        </is>
      </c>
      <c r="G356" t="n">
        <v>10.7</v>
      </c>
      <c r="H356" t="n">
        <v>0</v>
      </c>
      <c r="I356" t="n">
        <v>0</v>
      </c>
      <c r="J356" t="n">
        <v>0</v>
      </c>
      <c r="K356" t="n">
        <v>0</v>
      </c>
      <c r="L356" t="n">
        <v>0</v>
      </c>
      <c r="M356" t="n">
        <v>0</v>
      </c>
      <c r="N356" t="n">
        <v>0</v>
      </c>
      <c r="O356" t="n">
        <v>0</v>
      </c>
      <c r="P356" t="n">
        <v>0</v>
      </c>
      <c r="Q356" t="n">
        <v>0</v>
      </c>
      <c r="R356" s="2" t="inlineStr"/>
    </row>
    <row r="357" ht="15" customHeight="1">
      <c r="A357" t="inlineStr">
        <is>
          <t>A 20812-2025</t>
        </is>
      </c>
      <c r="B357" s="1" t="n">
        <v>45776</v>
      </c>
      <c r="C357" s="1" t="n">
        <v>45879</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58780-2024</t>
        </is>
      </c>
      <c r="B358" s="1" t="n">
        <v>45635.84113425926</v>
      </c>
      <c r="C358" s="1" t="n">
        <v>45879</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20805-2025</t>
        </is>
      </c>
      <c r="B359" s="1" t="n">
        <v>45776</v>
      </c>
      <c r="C359" s="1" t="n">
        <v>45879</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45879</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33876-2024</t>
        </is>
      </c>
      <c r="B361" s="1" t="n">
        <v>45521.87988425926</v>
      </c>
      <c r="C361" s="1" t="n">
        <v>45879</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45879</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45879</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14915-2025</t>
        </is>
      </c>
      <c r="B364" s="1" t="n">
        <v>45743.53121527778</v>
      </c>
      <c r="C364" s="1" t="n">
        <v>45879</v>
      </c>
      <c r="D364" t="inlineStr">
        <is>
          <t>GOTLANDS LÄN</t>
        </is>
      </c>
      <c r="E364" t="inlineStr">
        <is>
          <t>GOTLAND</t>
        </is>
      </c>
      <c r="G364" t="n">
        <v>5.9</v>
      </c>
      <c r="H364" t="n">
        <v>0</v>
      </c>
      <c r="I364" t="n">
        <v>0</v>
      </c>
      <c r="J364" t="n">
        <v>0</v>
      </c>
      <c r="K364" t="n">
        <v>0</v>
      </c>
      <c r="L364" t="n">
        <v>0</v>
      </c>
      <c r="M364" t="n">
        <v>0</v>
      </c>
      <c r="N364" t="n">
        <v>0</v>
      </c>
      <c r="O364" t="n">
        <v>0</v>
      </c>
      <c r="P364" t="n">
        <v>0</v>
      </c>
      <c r="Q364" t="n">
        <v>0</v>
      </c>
      <c r="R364" s="2" t="inlineStr"/>
    </row>
    <row r="365" ht="15" customHeight="1">
      <c r="A365" t="inlineStr">
        <is>
          <t>A 28285-2024</t>
        </is>
      </c>
      <c r="B365" s="1" t="n">
        <v>45477</v>
      </c>
      <c r="C365" s="1" t="n">
        <v>45879</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61100-2022</t>
        </is>
      </c>
      <c r="B366" s="1" t="n">
        <v>44915</v>
      </c>
      <c r="C366" s="1" t="n">
        <v>45879</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45879</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61682-2024</t>
        </is>
      </c>
      <c r="B368" s="1" t="n">
        <v>45647.48824074074</v>
      </c>
      <c r="C368" s="1" t="n">
        <v>45879</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5217-2023</t>
        </is>
      </c>
      <c r="B369" s="1" t="n">
        <v>44959.39582175926</v>
      </c>
      <c r="C369" s="1" t="n">
        <v>45879</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21651-2025</t>
        </is>
      </c>
      <c r="B370" s="1" t="n">
        <v>45783</v>
      </c>
      <c r="C370" s="1" t="n">
        <v>45879</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45879</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41373-2024</t>
        </is>
      </c>
      <c r="B372" s="1" t="n">
        <v>45559.82556712963</v>
      </c>
      <c r="C372" s="1" t="n">
        <v>45879</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1477-2024</t>
        </is>
      </c>
      <c r="B373" s="1" t="n">
        <v>45305.37987268518</v>
      </c>
      <c r="C373" s="1" t="n">
        <v>45879</v>
      </c>
      <c r="D373" t="inlineStr">
        <is>
          <t>GOTLANDS LÄN</t>
        </is>
      </c>
      <c r="E373" t="inlineStr">
        <is>
          <t>GOTLAND</t>
        </is>
      </c>
      <c r="G373" t="n">
        <v>6.9</v>
      </c>
      <c r="H373" t="n">
        <v>0</v>
      </c>
      <c r="I373" t="n">
        <v>0</v>
      </c>
      <c r="J373" t="n">
        <v>0</v>
      </c>
      <c r="K373" t="n">
        <v>0</v>
      </c>
      <c r="L373" t="n">
        <v>0</v>
      </c>
      <c r="M373" t="n">
        <v>0</v>
      </c>
      <c r="N373" t="n">
        <v>0</v>
      </c>
      <c r="O373" t="n">
        <v>0</v>
      </c>
      <c r="P373" t="n">
        <v>0</v>
      </c>
      <c r="Q373" t="n">
        <v>0</v>
      </c>
      <c r="R373" s="2" t="inlineStr"/>
    </row>
    <row r="374" ht="15" customHeight="1">
      <c r="A374" t="inlineStr">
        <is>
          <t>A 1677-2023</t>
        </is>
      </c>
      <c r="B374" s="1" t="n">
        <v>44938</v>
      </c>
      <c r="C374" s="1" t="n">
        <v>45879</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43785-2024</t>
        </is>
      </c>
      <c r="B375" s="1" t="n">
        <v>45570</v>
      </c>
      <c r="C375" s="1" t="n">
        <v>45879</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45244-2024</t>
        </is>
      </c>
      <c r="B376" s="1" t="n">
        <v>45576</v>
      </c>
      <c r="C376" s="1" t="n">
        <v>45879</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58388-2022</t>
        </is>
      </c>
      <c r="B377" s="1" t="n">
        <v>44894</v>
      </c>
      <c r="C377" s="1" t="n">
        <v>45879</v>
      </c>
      <c r="D377" t="inlineStr">
        <is>
          <t>GOTLANDS LÄN</t>
        </is>
      </c>
      <c r="E377" t="inlineStr">
        <is>
          <t>GOTLAND</t>
        </is>
      </c>
      <c r="F377" t="inlineStr">
        <is>
          <t>Övriga statliga verk och myndigheter</t>
        </is>
      </c>
      <c r="G377" t="n">
        <v>3.1</v>
      </c>
      <c r="H377" t="n">
        <v>0</v>
      </c>
      <c r="I377" t="n">
        <v>0</v>
      </c>
      <c r="J377" t="n">
        <v>0</v>
      </c>
      <c r="K377" t="n">
        <v>0</v>
      </c>
      <c r="L377" t="n">
        <v>0</v>
      </c>
      <c r="M377" t="n">
        <v>0</v>
      </c>
      <c r="N377" t="n">
        <v>0</v>
      </c>
      <c r="O377" t="n">
        <v>0</v>
      </c>
      <c r="P377" t="n">
        <v>0</v>
      </c>
      <c r="Q377" t="n">
        <v>0</v>
      </c>
      <c r="R377" s="2" t="inlineStr"/>
    </row>
    <row r="378" ht="15" customHeight="1">
      <c r="A378" t="inlineStr">
        <is>
          <t>A 8260-2023</t>
        </is>
      </c>
      <c r="B378" s="1" t="n">
        <v>44974.61608796296</v>
      </c>
      <c r="C378" s="1" t="n">
        <v>45879</v>
      </c>
      <c r="D378" t="inlineStr">
        <is>
          <t>GOTLANDS LÄN</t>
        </is>
      </c>
      <c r="E378" t="inlineStr">
        <is>
          <t>GOTLAND</t>
        </is>
      </c>
      <c r="G378" t="n">
        <v>2.9</v>
      </c>
      <c r="H378" t="n">
        <v>0</v>
      </c>
      <c r="I378" t="n">
        <v>0</v>
      </c>
      <c r="J378" t="n">
        <v>0</v>
      </c>
      <c r="K378" t="n">
        <v>0</v>
      </c>
      <c r="L378" t="n">
        <v>0</v>
      </c>
      <c r="M378" t="n">
        <v>0</v>
      </c>
      <c r="N378" t="n">
        <v>0</v>
      </c>
      <c r="O378" t="n">
        <v>0</v>
      </c>
      <c r="P378" t="n">
        <v>0</v>
      </c>
      <c r="Q378" t="n">
        <v>0</v>
      </c>
      <c r="R378" s="2" t="inlineStr"/>
    </row>
    <row r="379" ht="15" customHeight="1">
      <c r="A379" t="inlineStr">
        <is>
          <t>A 21792-2024</t>
        </is>
      </c>
      <c r="B379" s="1" t="n">
        <v>45442.64326388889</v>
      </c>
      <c r="C379" s="1" t="n">
        <v>45879</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64969-2023</t>
        </is>
      </c>
      <c r="B380" s="1" t="n">
        <v>45284.54009259259</v>
      </c>
      <c r="C380" s="1" t="n">
        <v>45879</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48843-2024</t>
        </is>
      </c>
      <c r="B381" s="1" t="n">
        <v>45593</v>
      </c>
      <c r="C381" s="1" t="n">
        <v>45879</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17541-2024</t>
        </is>
      </c>
      <c r="B382" s="1" t="n">
        <v>45415</v>
      </c>
      <c r="C382" s="1" t="n">
        <v>45879</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18993-2025</t>
        </is>
      </c>
      <c r="B383" s="1" t="n">
        <v>45764</v>
      </c>
      <c r="C383" s="1" t="n">
        <v>45879</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45879</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17688-2024</t>
        </is>
      </c>
      <c r="B385" s="1" t="n">
        <v>45418.43575231481</v>
      </c>
      <c r="C385" s="1" t="n">
        <v>45879</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45879</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15434-2024</t>
        </is>
      </c>
      <c r="B387" s="1" t="n">
        <v>45401.38836805556</v>
      </c>
      <c r="C387" s="1" t="n">
        <v>45879</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57356-2023</t>
        </is>
      </c>
      <c r="B388" s="1" t="n">
        <v>45240</v>
      </c>
      <c r="C388" s="1" t="n">
        <v>45879</v>
      </c>
      <c r="D388" t="inlineStr">
        <is>
          <t>GOTLANDS LÄN</t>
        </is>
      </c>
      <c r="E388" t="inlineStr">
        <is>
          <t>GOTLAND</t>
        </is>
      </c>
      <c r="G388" t="n">
        <v>6.4</v>
      </c>
      <c r="H388" t="n">
        <v>0</v>
      </c>
      <c r="I388" t="n">
        <v>0</v>
      </c>
      <c r="J388" t="n">
        <v>0</v>
      </c>
      <c r="K388" t="n">
        <v>0</v>
      </c>
      <c r="L388" t="n">
        <v>0</v>
      </c>
      <c r="M388" t="n">
        <v>0</v>
      </c>
      <c r="N388" t="n">
        <v>0</v>
      </c>
      <c r="O388" t="n">
        <v>0</v>
      </c>
      <c r="P388" t="n">
        <v>0</v>
      </c>
      <c r="Q388" t="n">
        <v>0</v>
      </c>
      <c r="R388" s="2" t="inlineStr"/>
    </row>
    <row r="389" ht="15" customHeight="1">
      <c r="A389" t="inlineStr">
        <is>
          <t>A 10656-2024</t>
        </is>
      </c>
      <c r="B389" s="1" t="n">
        <v>45368</v>
      </c>
      <c r="C389" s="1" t="n">
        <v>45879</v>
      </c>
      <c r="D389" t="inlineStr">
        <is>
          <t>GOTLANDS LÄN</t>
        </is>
      </c>
      <c r="E389" t="inlineStr">
        <is>
          <t>GOTLAND</t>
        </is>
      </c>
      <c r="G389" t="n">
        <v>1.5</v>
      </c>
      <c r="H389" t="n">
        <v>0</v>
      </c>
      <c r="I389" t="n">
        <v>0</v>
      </c>
      <c r="J389" t="n">
        <v>0</v>
      </c>
      <c r="K389" t="n">
        <v>0</v>
      </c>
      <c r="L389" t="n">
        <v>0</v>
      </c>
      <c r="M389" t="n">
        <v>0</v>
      </c>
      <c r="N389" t="n">
        <v>0</v>
      </c>
      <c r="O389" t="n">
        <v>0</v>
      </c>
      <c r="P389" t="n">
        <v>0</v>
      </c>
      <c r="Q389" t="n">
        <v>0</v>
      </c>
      <c r="R389" s="2" t="inlineStr"/>
    </row>
    <row r="390" ht="15" customHeight="1">
      <c r="A390" t="inlineStr">
        <is>
          <t>A 1345-2025</t>
        </is>
      </c>
      <c r="B390" s="1" t="n">
        <v>45667.60511574074</v>
      </c>
      <c r="C390" s="1" t="n">
        <v>45879</v>
      </c>
      <c r="D390" t="inlineStr">
        <is>
          <t>GOTLANDS LÄN</t>
        </is>
      </c>
      <c r="E390" t="inlineStr">
        <is>
          <t>GOTLAND</t>
        </is>
      </c>
      <c r="G390" t="n">
        <v>5.7</v>
      </c>
      <c r="H390" t="n">
        <v>0</v>
      </c>
      <c r="I390" t="n">
        <v>0</v>
      </c>
      <c r="J390" t="n">
        <v>0</v>
      </c>
      <c r="K390" t="n">
        <v>0</v>
      </c>
      <c r="L390" t="n">
        <v>0</v>
      </c>
      <c r="M390" t="n">
        <v>0</v>
      </c>
      <c r="N390" t="n">
        <v>0</v>
      </c>
      <c r="O390" t="n">
        <v>0</v>
      </c>
      <c r="P390" t="n">
        <v>0</v>
      </c>
      <c r="Q390" t="n">
        <v>0</v>
      </c>
      <c r="R390" s="2" t="inlineStr"/>
    </row>
    <row r="391" ht="15" customHeight="1">
      <c r="A391" t="inlineStr">
        <is>
          <t>A 5943-2024</t>
        </is>
      </c>
      <c r="B391" s="1" t="n">
        <v>45336</v>
      </c>
      <c r="C391" s="1" t="n">
        <v>45879</v>
      </c>
      <c r="D391" t="inlineStr">
        <is>
          <t>GOTLANDS LÄN</t>
        </is>
      </c>
      <c r="E391" t="inlineStr">
        <is>
          <t>GOTLAND</t>
        </is>
      </c>
      <c r="G391" t="n">
        <v>4.3</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45879</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54073-2022</t>
        </is>
      </c>
      <c r="B393" s="1" t="n">
        <v>44881.50380787037</v>
      </c>
      <c r="C393" s="1" t="n">
        <v>45879</v>
      </c>
      <c r="D393" t="inlineStr">
        <is>
          <t>GOTLANDS LÄN</t>
        </is>
      </c>
      <c r="E393" t="inlineStr">
        <is>
          <t>GOTLAND</t>
        </is>
      </c>
      <c r="G393" t="n">
        <v>3.8</v>
      </c>
      <c r="H393" t="n">
        <v>0</v>
      </c>
      <c r="I393" t="n">
        <v>0</v>
      </c>
      <c r="J393" t="n">
        <v>0</v>
      </c>
      <c r="K393" t="n">
        <v>0</v>
      </c>
      <c r="L393" t="n">
        <v>0</v>
      </c>
      <c r="M393" t="n">
        <v>0</v>
      </c>
      <c r="N393" t="n">
        <v>0</v>
      </c>
      <c r="O393" t="n">
        <v>0</v>
      </c>
      <c r="P393" t="n">
        <v>0</v>
      </c>
      <c r="Q393" t="n">
        <v>0</v>
      </c>
      <c r="R393" s="2" t="inlineStr"/>
    </row>
    <row r="394" ht="15" customHeight="1">
      <c r="A394" t="inlineStr">
        <is>
          <t>A 16361-2024</t>
        </is>
      </c>
      <c r="B394" s="1" t="n">
        <v>45407</v>
      </c>
      <c r="C394" s="1" t="n">
        <v>45879</v>
      </c>
      <c r="D394" t="inlineStr">
        <is>
          <t>GOTLANDS LÄN</t>
        </is>
      </c>
      <c r="E394" t="inlineStr">
        <is>
          <t>GOTLAND</t>
        </is>
      </c>
      <c r="G394" t="n">
        <v>6</v>
      </c>
      <c r="H394" t="n">
        <v>0</v>
      </c>
      <c r="I394" t="n">
        <v>0</v>
      </c>
      <c r="J394" t="n">
        <v>0</v>
      </c>
      <c r="K394" t="n">
        <v>0</v>
      </c>
      <c r="L394" t="n">
        <v>0</v>
      </c>
      <c r="M394" t="n">
        <v>0</v>
      </c>
      <c r="N394" t="n">
        <v>0</v>
      </c>
      <c r="O394" t="n">
        <v>0</v>
      </c>
      <c r="P394" t="n">
        <v>0</v>
      </c>
      <c r="Q394" t="n">
        <v>0</v>
      </c>
      <c r="R394" s="2" t="inlineStr"/>
    </row>
    <row r="395" ht="15" customHeight="1">
      <c r="A395" t="inlineStr">
        <is>
          <t>A 41038-2023</t>
        </is>
      </c>
      <c r="B395" s="1" t="n">
        <v>45173.60959490741</v>
      </c>
      <c r="C395" s="1" t="n">
        <v>45879</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28506-2023</t>
        </is>
      </c>
      <c r="B396" s="1" t="n">
        <v>45103</v>
      </c>
      <c r="C396" s="1" t="n">
        <v>45879</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21420-2024</t>
        </is>
      </c>
      <c r="B397" s="1" t="n">
        <v>45441.38293981482</v>
      </c>
      <c r="C397" s="1" t="n">
        <v>45879</v>
      </c>
      <c r="D397" t="inlineStr">
        <is>
          <t>GOTLANDS LÄN</t>
        </is>
      </c>
      <c r="E397" t="inlineStr">
        <is>
          <t>GOTLAND</t>
        </is>
      </c>
      <c r="G397" t="n">
        <v>4.1</v>
      </c>
      <c r="H397" t="n">
        <v>0</v>
      </c>
      <c r="I397" t="n">
        <v>0</v>
      </c>
      <c r="J397" t="n">
        <v>0</v>
      </c>
      <c r="K397" t="n">
        <v>0</v>
      </c>
      <c r="L397" t="n">
        <v>0</v>
      </c>
      <c r="M397" t="n">
        <v>0</v>
      </c>
      <c r="N397" t="n">
        <v>0</v>
      </c>
      <c r="O397" t="n">
        <v>0</v>
      </c>
      <c r="P397" t="n">
        <v>0</v>
      </c>
      <c r="Q397" t="n">
        <v>0</v>
      </c>
      <c r="R397" s="2" t="inlineStr"/>
    </row>
    <row r="398" ht="15" customHeight="1">
      <c r="A398" t="inlineStr">
        <is>
          <t>A 35512-2023</t>
        </is>
      </c>
      <c r="B398" s="1" t="n">
        <v>45147.25623842593</v>
      </c>
      <c r="C398" s="1" t="n">
        <v>45879</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5905-2024</t>
        </is>
      </c>
      <c r="B399" s="1" t="n">
        <v>45335.88993055555</v>
      </c>
      <c r="C399" s="1" t="n">
        <v>45879</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34142-2024</t>
        </is>
      </c>
      <c r="B400" s="1" t="n">
        <v>45524.36521990741</v>
      </c>
      <c r="C400" s="1" t="n">
        <v>45879</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14427-2024</t>
        </is>
      </c>
      <c r="B401" s="1" t="n">
        <v>45394</v>
      </c>
      <c r="C401" s="1" t="n">
        <v>45879</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23188-2025</t>
        </is>
      </c>
      <c r="B402" s="1" t="n">
        <v>45791</v>
      </c>
      <c r="C402" s="1" t="n">
        <v>45879</v>
      </c>
      <c r="D402" t="inlineStr">
        <is>
          <t>GOTLANDS LÄN</t>
        </is>
      </c>
      <c r="E402" t="inlineStr">
        <is>
          <t>GOTLAND</t>
        </is>
      </c>
      <c r="G402" t="n">
        <v>6.2</v>
      </c>
      <c r="H402" t="n">
        <v>0</v>
      </c>
      <c r="I402" t="n">
        <v>0</v>
      </c>
      <c r="J402" t="n">
        <v>0</v>
      </c>
      <c r="K402" t="n">
        <v>0</v>
      </c>
      <c r="L402" t="n">
        <v>0</v>
      </c>
      <c r="M402" t="n">
        <v>0</v>
      </c>
      <c r="N402" t="n">
        <v>0</v>
      </c>
      <c r="O402" t="n">
        <v>0</v>
      </c>
      <c r="P402" t="n">
        <v>0</v>
      </c>
      <c r="Q402" t="n">
        <v>0</v>
      </c>
      <c r="R402" s="2" t="inlineStr"/>
    </row>
    <row r="403" ht="15" customHeight="1">
      <c r="A403" t="inlineStr">
        <is>
          <t>A 1291-2023</t>
        </is>
      </c>
      <c r="B403" s="1" t="n">
        <v>44936.47561342592</v>
      </c>
      <c r="C403" s="1" t="n">
        <v>45879</v>
      </c>
      <c r="D403" t="inlineStr">
        <is>
          <t>GOTLANDS LÄN</t>
        </is>
      </c>
      <c r="E403" t="inlineStr">
        <is>
          <t>GOTLAND</t>
        </is>
      </c>
      <c r="G403" t="n">
        <v>7.4</v>
      </c>
      <c r="H403" t="n">
        <v>0</v>
      </c>
      <c r="I403" t="n">
        <v>0</v>
      </c>
      <c r="J403" t="n">
        <v>0</v>
      </c>
      <c r="K403" t="n">
        <v>0</v>
      </c>
      <c r="L403" t="n">
        <v>0</v>
      </c>
      <c r="M403" t="n">
        <v>0</v>
      </c>
      <c r="N403" t="n">
        <v>0</v>
      </c>
      <c r="O403" t="n">
        <v>0</v>
      </c>
      <c r="P403" t="n">
        <v>0</v>
      </c>
      <c r="Q403" t="n">
        <v>0</v>
      </c>
      <c r="R403" s="2" t="inlineStr"/>
    </row>
    <row r="404" ht="15" customHeight="1">
      <c r="A404" t="inlineStr">
        <is>
          <t>A 31802-2024</t>
        </is>
      </c>
      <c r="B404" s="1" t="n">
        <v>45509</v>
      </c>
      <c r="C404" s="1" t="n">
        <v>45879</v>
      </c>
      <c r="D404" t="inlineStr">
        <is>
          <t>GOTLANDS LÄN</t>
        </is>
      </c>
      <c r="E404" t="inlineStr">
        <is>
          <t>GOTLAND</t>
        </is>
      </c>
      <c r="G404" t="n">
        <v>2.8</v>
      </c>
      <c r="H404" t="n">
        <v>0</v>
      </c>
      <c r="I404" t="n">
        <v>0</v>
      </c>
      <c r="J404" t="n">
        <v>0</v>
      </c>
      <c r="K404" t="n">
        <v>0</v>
      </c>
      <c r="L404" t="n">
        <v>0</v>
      </c>
      <c r="M404" t="n">
        <v>0</v>
      </c>
      <c r="N404" t="n">
        <v>0</v>
      </c>
      <c r="O404" t="n">
        <v>0</v>
      </c>
      <c r="P404" t="n">
        <v>0</v>
      </c>
      <c r="Q404" t="n">
        <v>0</v>
      </c>
      <c r="R404" s="2" t="inlineStr"/>
    </row>
    <row r="405" ht="15" customHeight="1">
      <c r="A405" t="inlineStr">
        <is>
          <t>A 23473-2025</t>
        </is>
      </c>
      <c r="B405" s="1" t="n">
        <v>45792</v>
      </c>
      <c r="C405" s="1" t="n">
        <v>45879</v>
      </c>
      <c r="D405" t="inlineStr">
        <is>
          <t>GOTLANDS LÄN</t>
        </is>
      </c>
      <c r="E405" t="inlineStr">
        <is>
          <t>GOTLAND</t>
        </is>
      </c>
      <c r="G405" t="n">
        <v>3.6</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45879</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8684-2025</t>
        </is>
      </c>
      <c r="B407" s="1" t="n">
        <v>45712.45605324074</v>
      </c>
      <c r="C407" s="1" t="n">
        <v>45879</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8036-2022</t>
        </is>
      </c>
      <c r="B408" s="1" t="n">
        <v>44609.44362268518</v>
      </c>
      <c r="C408" s="1" t="n">
        <v>45879</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12846-2025</t>
        </is>
      </c>
      <c r="B409" s="1" t="n">
        <v>45733.65049768519</v>
      </c>
      <c r="C409" s="1" t="n">
        <v>45879</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23856-2025</t>
        </is>
      </c>
      <c r="B410" s="1" t="n">
        <v>45793</v>
      </c>
      <c r="C410" s="1" t="n">
        <v>45879</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23700-2025</t>
        </is>
      </c>
      <c r="B411" s="1" t="n">
        <v>45793</v>
      </c>
      <c r="C411" s="1" t="n">
        <v>45879</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49315-2024</t>
        </is>
      </c>
      <c r="B412" s="1" t="n">
        <v>45595</v>
      </c>
      <c r="C412" s="1" t="n">
        <v>45879</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45106-2024</t>
        </is>
      </c>
      <c r="B413" s="1" t="n">
        <v>45575</v>
      </c>
      <c r="C413" s="1" t="n">
        <v>45879</v>
      </c>
      <c r="D413" t="inlineStr">
        <is>
          <t>GOTLANDS LÄN</t>
        </is>
      </c>
      <c r="E413" t="inlineStr">
        <is>
          <t>GOTLAND</t>
        </is>
      </c>
      <c r="G413" t="n">
        <v>10</v>
      </c>
      <c r="H413" t="n">
        <v>0</v>
      </c>
      <c r="I413" t="n">
        <v>0</v>
      </c>
      <c r="J413" t="n">
        <v>0</v>
      </c>
      <c r="K413" t="n">
        <v>0</v>
      </c>
      <c r="L413" t="n">
        <v>0</v>
      </c>
      <c r="M413" t="n">
        <v>0</v>
      </c>
      <c r="N413" t="n">
        <v>0</v>
      </c>
      <c r="O413" t="n">
        <v>0</v>
      </c>
      <c r="P413" t="n">
        <v>0</v>
      </c>
      <c r="Q413" t="n">
        <v>0</v>
      </c>
      <c r="R413" s="2" t="inlineStr"/>
    </row>
    <row r="414" ht="15" customHeight="1">
      <c r="A414" t="inlineStr">
        <is>
          <t>A 45112-2024</t>
        </is>
      </c>
      <c r="B414" s="1" t="n">
        <v>45575</v>
      </c>
      <c r="C414" s="1" t="n">
        <v>45879</v>
      </c>
      <c r="D414" t="inlineStr">
        <is>
          <t>GOTLANDS LÄN</t>
        </is>
      </c>
      <c r="E414" t="inlineStr">
        <is>
          <t>GOTLAND</t>
        </is>
      </c>
      <c r="G414" t="n">
        <v>5.1</v>
      </c>
      <c r="H414" t="n">
        <v>0</v>
      </c>
      <c r="I414" t="n">
        <v>0</v>
      </c>
      <c r="J414" t="n">
        <v>0</v>
      </c>
      <c r="K414" t="n">
        <v>0</v>
      </c>
      <c r="L414" t="n">
        <v>0</v>
      </c>
      <c r="M414" t="n">
        <v>0</v>
      </c>
      <c r="N414" t="n">
        <v>0</v>
      </c>
      <c r="O414" t="n">
        <v>0</v>
      </c>
      <c r="P414" t="n">
        <v>0</v>
      </c>
      <c r="Q414" t="n">
        <v>0</v>
      </c>
      <c r="R414" s="2" t="inlineStr"/>
    </row>
    <row r="415" ht="15" customHeight="1">
      <c r="A415" t="inlineStr">
        <is>
          <t>A 15073-2025</t>
        </is>
      </c>
      <c r="B415" s="1" t="n">
        <v>45743</v>
      </c>
      <c r="C415" s="1" t="n">
        <v>45879</v>
      </c>
      <c r="D415" t="inlineStr">
        <is>
          <t>GOTLANDS LÄN</t>
        </is>
      </c>
      <c r="E415" t="inlineStr">
        <is>
          <t>GOTLAND</t>
        </is>
      </c>
      <c r="G415" t="n">
        <v>12.1</v>
      </c>
      <c r="H415" t="n">
        <v>0</v>
      </c>
      <c r="I415" t="n">
        <v>0</v>
      </c>
      <c r="J415" t="n">
        <v>0</v>
      </c>
      <c r="K415" t="n">
        <v>0</v>
      </c>
      <c r="L415" t="n">
        <v>0</v>
      </c>
      <c r="M415" t="n">
        <v>0</v>
      </c>
      <c r="N415" t="n">
        <v>0</v>
      </c>
      <c r="O415" t="n">
        <v>0</v>
      </c>
      <c r="P415" t="n">
        <v>0</v>
      </c>
      <c r="Q415" t="n">
        <v>0</v>
      </c>
      <c r="R415" s="2" t="inlineStr"/>
    </row>
    <row r="416" ht="15" customHeight="1">
      <c r="A416" t="inlineStr">
        <is>
          <t>A 46949-2024</t>
        </is>
      </c>
      <c r="B416" s="1" t="n">
        <v>45585</v>
      </c>
      <c r="C416" s="1" t="n">
        <v>45879</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45879</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45879</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6749-2025</t>
        </is>
      </c>
      <c r="B419" s="1" t="n">
        <v>45700</v>
      </c>
      <c r="C419" s="1" t="n">
        <v>45879</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10650-2022</t>
        </is>
      </c>
      <c r="B420" s="1" t="n">
        <v>44624.57945601852</v>
      </c>
      <c r="C420" s="1" t="n">
        <v>45879</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45879</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45879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45879</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45879</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45879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15075-2025</t>
        </is>
      </c>
      <c r="B426" s="1" t="n">
        <v>45743</v>
      </c>
      <c r="C426" s="1" t="n">
        <v>45879</v>
      </c>
      <c r="D426" t="inlineStr">
        <is>
          <t>GOTLANDS LÄN</t>
        </is>
      </c>
      <c r="E426" t="inlineStr">
        <is>
          <t>GOTLAND</t>
        </is>
      </c>
      <c r="G426" t="n">
        <v>20.9</v>
      </c>
      <c r="H426" t="n">
        <v>0</v>
      </c>
      <c r="I426" t="n">
        <v>0</v>
      </c>
      <c r="J426" t="n">
        <v>0</v>
      </c>
      <c r="K426" t="n">
        <v>0</v>
      </c>
      <c r="L426" t="n">
        <v>0</v>
      </c>
      <c r="M426" t="n">
        <v>0</v>
      </c>
      <c r="N426" t="n">
        <v>0</v>
      </c>
      <c r="O426" t="n">
        <v>0</v>
      </c>
      <c r="P426" t="n">
        <v>0</v>
      </c>
      <c r="Q426" t="n">
        <v>0</v>
      </c>
      <c r="R426" s="2" t="inlineStr"/>
    </row>
    <row r="427" ht="15" customHeight="1">
      <c r="A427" t="inlineStr">
        <is>
          <t>A 23698-2025</t>
        </is>
      </c>
      <c r="B427" s="1" t="n">
        <v>45793</v>
      </c>
      <c r="C427" s="1" t="n">
        <v>45879</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45879</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45879</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45879</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45879</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29809-2022</t>
        </is>
      </c>
      <c r="B432" s="1" t="n">
        <v>44755.8713425926</v>
      </c>
      <c r="C432" s="1" t="n">
        <v>45879</v>
      </c>
      <c r="D432" t="inlineStr">
        <is>
          <t>GOTLANDS LÄN</t>
        </is>
      </c>
      <c r="E432" t="inlineStr">
        <is>
          <t>GOTLAND</t>
        </is>
      </c>
      <c r="G432" t="n">
        <v>11.5</v>
      </c>
      <c r="H432" t="n">
        <v>0</v>
      </c>
      <c r="I432" t="n">
        <v>0</v>
      </c>
      <c r="J432" t="n">
        <v>0</v>
      </c>
      <c r="K432" t="n">
        <v>0</v>
      </c>
      <c r="L432" t="n">
        <v>0</v>
      </c>
      <c r="M432" t="n">
        <v>0</v>
      </c>
      <c r="N432" t="n">
        <v>0</v>
      </c>
      <c r="O432" t="n">
        <v>0</v>
      </c>
      <c r="P432" t="n">
        <v>0</v>
      </c>
      <c r="Q432" t="n">
        <v>0</v>
      </c>
      <c r="R432" s="2" t="inlineStr"/>
    </row>
    <row r="433" ht="15" customHeight="1">
      <c r="A433" t="inlineStr">
        <is>
          <t>A 11634-2024</t>
        </is>
      </c>
      <c r="B433" s="1" t="n">
        <v>45373</v>
      </c>
      <c r="C433" s="1" t="n">
        <v>45879</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1351-2025</t>
        </is>
      </c>
      <c r="B434" s="1" t="n">
        <v>45667.62246527777</v>
      </c>
      <c r="C434" s="1" t="n">
        <v>45879</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39496-2022</t>
        </is>
      </c>
      <c r="B435" s="1" t="n">
        <v>44818</v>
      </c>
      <c r="C435" s="1" t="n">
        <v>45879</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49874-2024</t>
        </is>
      </c>
      <c r="B436" s="1" t="n">
        <v>45597.49274305555</v>
      </c>
      <c r="C436" s="1" t="n">
        <v>45879</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57685-2022</t>
        </is>
      </c>
      <c r="B437" s="1" t="n">
        <v>44897.4777662037</v>
      </c>
      <c r="C437" s="1" t="n">
        <v>45879</v>
      </c>
      <c r="D437" t="inlineStr">
        <is>
          <t>GOTLANDS LÄN</t>
        </is>
      </c>
      <c r="E437" t="inlineStr">
        <is>
          <t>GOTLAND</t>
        </is>
      </c>
      <c r="G437" t="n">
        <v>3.7</v>
      </c>
      <c r="H437" t="n">
        <v>0</v>
      </c>
      <c r="I437" t="n">
        <v>0</v>
      </c>
      <c r="J437" t="n">
        <v>0</v>
      </c>
      <c r="K437" t="n">
        <v>0</v>
      </c>
      <c r="L437" t="n">
        <v>0</v>
      </c>
      <c r="M437" t="n">
        <v>0</v>
      </c>
      <c r="N437" t="n">
        <v>0</v>
      </c>
      <c r="O437" t="n">
        <v>0</v>
      </c>
      <c r="P437" t="n">
        <v>0</v>
      </c>
      <c r="Q437" t="n">
        <v>0</v>
      </c>
      <c r="R437" s="2" t="inlineStr"/>
    </row>
    <row r="438" ht="15" customHeight="1">
      <c r="A438" t="inlineStr">
        <is>
          <t>A 3930-2025</t>
        </is>
      </c>
      <c r="B438" s="1" t="n">
        <v>45684.45427083333</v>
      </c>
      <c r="C438" s="1" t="n">
        <v>45879</v>
      </c>
      <c r="D438" t="inlineStr">
        <is>
          <t>GOTLANDS LÄN</t>
        </is>
      </c>
      <c r="E438" t="inlineStr">
        <is>
          <t>GOTLAND</t>
        </is>
      </c>
      <c r="G438" t="n">
        <v>5.2</v>
      </c>
      <c r="H438" t="n">
        <v>0</v>
      </c>
      <c r="I438" t="n">
        <v>0</v>
      </c>
      <c r="J438" t="n">
        <v>0</v>
      </c>
      <c r="K438" t="n">
        <v>0</v>
      </c>
      <c r="L438" t="n">
        <v>0</v>
      </c>
      <c r="M438" t="n">
        <v>0</v>
      </c>
      <c r="N438" t="n">
        <v>0</v>
      </c>
      <c r="O438" t="n">
        <v>0</v>
      </c>
      <c r="P438" t="n">
        <v>0</v>
      </c>
      <c r="Q438" t="n">
        <v>0</v>
      </c>
      <c r="R438" s="2" t="inlineStr"/>
    </row>
    <row r="439" ht="15" customHeight="1">
      <c r="A439" t="inlineStr">
        <is>
          <t>A 12599-2025</t>
        </is>
      </c>
      <c r="B439" s="1" t="n">
        <v>45733.29546296296</v>
      </c>
      <c r="C439" s="1" t="n">
        <v>45879</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30815-2023</t>
        </is>
      </c>
      <c r="B440" s="1" t="n">
        <v>45112</v>
      </c>
      <c r="C440" s="1" t="n">
        <v>45879</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33078-2025</t>
        </is>
      </c>
      <c r="B441" s="1" t="n">
        <v>45840</v>
      </c>
      <c r="C441" s="1" t="n">
        <v>45879</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42201-2023</t>
        </is>
      </c>
      <c r="B442" s="1" t="n">
        <v>45179</v>
      </c>
      <c r="C442" s="1" t="n">
        <v>45879</v>
      </c>
      <c r="D442" t="inlineStr">
        <is>
          <t>GOTLANDS LÄN</t>
        </is>
      </c>
      <c r="E442" t="inlineStr">
        <is>
          <t>GOTLAND</t>
        </is>
      </c>
      <c r="G442" t="n">
        <v>11.9</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45879</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32686-2025</t>
        </is>
      </c>
      <c r="B444" s="1" t="n">
        <v>45838</v>
      </c>
      <c r="C444" s="1" t="n">
        <v>45879</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45879</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19002-2025</t>
        </is>
      </c>
      <c r="B446" s="1" t="n">
        <v>45764</v>
      </c>
      <c r="C446" s="1" t="n">
        <v>45879</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21164-2024</t>
        </is>
      </c>
      <c r="B447" s="1" t="n">
        <v>45440</v>
      </c>
      <c r="C447" s="1" t="n">
        <v>45879</v>
      </c>
      <c r="D447" t="inlineStr">
        <is>
          <t>GOTLANDS LÄN</t>
        </is>
      </c>
      <c r="E447" t="inlineStr">
        <is>
          <t>GOTLAND</t>
        </is>
      </c>
      <c r="G447" t="n">
        <v>6.3</v>
      </c>
      <c r="H447" t="n">
        <v>0</v>
      </c>
      <c r="I447" t="n">
        <v>0</v>
      </c>
      <c r="J447" t="n">
        <v>0</v>
      </c>
      <c r="K447" t="n">
        <v>0</v>
      </c>
      <c r="L447" t="n">
        <v>0</v>
      </c>
      <c r="M447" t="n">
        <v>0</v>
      </c>
      <c r="N447" t="n">
        <v>0</v>
      </c>
      <c r="O447" t="n">
        <v>0</v>
      </c>
      <c r="P447" t="n">
        <v>0</v>
      </c>
      <c r="Q447" t="n">
        <v>0</v>
      </c>
      <c r="R447" s="2" t="inlineStr"/>
    </row>
    <row r="448" ht="15" customHeight="1">
      <c r="A448" t="inlineStr">
        <is>
          <t>A 7034-2023</t>
        </is>
      </c>
      <c r="B448" s="1" t="n">
        <v>44968.32108796296</v>
      </c>
      <c r="C448" s="1" t="n">
        <v>45879</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7042-2023</t>
        </is>
      </c>
      <c r="B449" s="1" t="n">
        <v>44968</v>
      </c>
      <c r="C449" s="1" t="n">
        <v>45879</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14570-2025</t>
        </is>
      </c>
      <c r="B450" s="1" t="n">
        <v>45741.87113425926</v>
      </c>
      <c r="C450" s="1" t="n">
        <v>45879</v>
      </c>
      <c r="D450" t="inlineStr">
        <is>
          <t>GOTLANDS LÄN</t>
        </is>
      </c>
      <c r="E450" t="inlineStr">
        <is>
          <t>GOTLAND</t>
        </is>
      </c>
      <c r="G450" t="n">
        <v>6.2</v>
      </c>
      <c r="H450" t="n">
        <v>0</v>
      </c>
      <c r="I450" t="n">
        <v>0</v>
      </c>
      <c r="J450" t="n">
        <v>0</v>
      </c>
      <c r="K450" t="n">
        <v>0</v>
      </c>
      <c r="L450" t="n">
        <v>0</v>
      </c>
      <c r="M450" t="n">
        <v>0</v>
      </c>
      <c r="N450" t="n">
        <v>0</v>
      </c>
      <c r="O450" t="n">
        <v>0</v>
      </c>
      <c r="P450" t="n">
        <v>0</v>
      </c>
      <c r="Q450" t="n">
        <v>0</v>
      </c>
      <c r="R450" s="2" t="inlineStr"/>
    </row>
    <row r="451" ht="15" customHeight="1">
      <c r="A451" t="inlineStr">
        <is>
          <t>A 23516-2023</t>
        </is>
      </c>
      <c r="B451" s="1" t="n">
        <v>45076.93391203704</v>
      </c>
      <c r="C451" s="1" t="n">
        <v>45879</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45879</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64660-2023</t>
        </is>
      </c>
      <c r="B453" s="1" t="n">
        <v>45281.60122685185</v>
      </c>
      <c r="C453" s="1" t="n">
        <v>45879</v>
      </c>
      <c r="D453" t="inlineStr">
        <is>
          <t>GOTLANDS LÄN</t>
        </is>
      </c>
      <c r="E453" t="inlineStr">
        <is>
          <t>GOTLAND</t>
        </is>
      </c>
      <c r="G453" t="n">
        <v>6.3</v>
      </c>
      <c r="H453" t="n">
        <v>0</v>
      </c>
      <c r="I453" t="n">
        <v>0</v>
      </c>
      <c r="J453" t="n">
        <v>0</v>
      </c>
      <c r="K453" t="n">
        <v>0</v>
      </c>
      <c r="L453" t="n">
        <v>0</v>
      </c>
      <c r="M453" t="n">
        <v>0</v>
      </c>
      <c r="N453" t="n">
        <v>0</v>
      </c>
      <c r="O453" t="n">
        <v>0</v>
      </c>
      <c r="P453" t="n">
        <v>0</v>
      </c>
      <c r="Q453" t="n">
        <v>0</v>
      </c>
      <c r="R453" s="2" t="inlineStr"/>
    </row>
    <row r="454" ht="15" customHeight="1">
      <c r="A454" t="inlineStr">
        <is>
          <t>A 63763-2023</t>
        </is>
      </c>
      <c r="B454" s="1" t="n">
        <v>45278.33944444444</v>
      </c>
      <c r="C454" s="1" t="n">
        <v>45879</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5462-2025</t>
        </is>
      </c>
      <c r="B455" s="1" t="n">
        <v>45693.29331018519</v>
      </c>
      <c r="C455" s="1" t="n">
        <v>45879</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22897-2023</t>
        </is>
      </c>
      <c r="B456" s="1" t="n">
        <v>45072.55239583334</v>
      </c>
      <c r="C456" s="1" t="n">
        <v>45879</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33007-2025</t>
        </is>
      </c>
      <c r="B457" s="1" t="n">
        <v>45840</v>
      </c>
      <c r="C457" s="1" t="n">
        <v>45879</v>
      </c>
      <c r="D457" t="inlineStr">
        <is>
          <t>GOTLANDS LÄN</t>
        </is>
      </c>
      <c r="E457" t="inlineStr">
        <is>
          <t>GOTLAND</t>
        </is>
      </c>
      <c r="G457" t="n">
        <v>4.9</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44508.34518518519</v>
      </c>
      <c r="C458" s="1" t="n">
        <v>45879</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46375-2024</t>
        </is>
      </c>
      <c r="B459" s="1" t="n">
        <v>45582</v>
      </c>
      <c r="C459" s="1" t="n">
        <v>45879</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32124-2025</t>
        </is>
      </c>
      <c r="B460" s="1" t="n">
        <v>45835</v>
      </c>
      <c r="C460" s="1" t="n">
        <v>45879</v>
      </c>
      <c r="D460" t="inlineStr">
        <is>
          <t>GOTLANDS LÄN</t>
        </is>
      </c>
      <c r="E460" t="inlineStr">
        <is>
          <t>GOTLAND</t>
        </is>
      </c>
      <c r="G460" t="n">
        <v>17.7</v>
      </c>
      <c r="H460" t="n">
        <v>0</v>
      </c>
      <c r="I460" t="n">
        <v>0</v>
      </c>
      <c r="J460" t="n">
        <v>0</v>
      </c>
      <c r="K460" t="n">
        <v>0</v>
      </c>
      <c r="L460" t="n">
        <v>0</v>
      </c>
      <c r="M460" t="n">
        <v>0</v>
      </c>
      <c r="N460" t="n">
        <v>0</v>
      </c>
      <c r="O460" t="n">
        <v>0</v>
      </c>
      <c r="P460" t="n">
        <v>0</v>
      </c>
      <c r="Q460" t="n">
        <v>0</v>
      </c>
      <c r="R460" s="2" t="inlineStr"/>
    </row>
    <row r="461" ht="15" customHeight="1">
      <c r="A461" t="inlineStr">
        <is>
          <t>A 61897-2024</t>
        </is>
      </c>
      <c r="B461" s="1" t="n">
        <v>45652.75685185185</v>
      </c>
      <c r="C461" s="1" t="n">
        <v>45879</v>
      </c>
      <c r="D461" t="inlineStr">
        <is>
          <t>GOTLANDS LÄN</t>
        </is>
      </c>
      <c r="E461" t="inlineStr">
        <is>
          <t>GOTLAND</t>
        </is>
      </c>
      <c r="G461" t="n">
        <v>6.4</v>
      </c>
      <c r="H461" t="n">
        <v>0</v>
      </c>
      <c r="I461" t="n">
        <v>0</v>
      </c>
      <c r="J461" t="n">
        <v>0</v>
      </c>
      <c r="K461" t="n">
        <v>0</v>
      </c>
      <c r="L461" t="n">
        <v>0</v>
      </c>
      <c r="M461" t="n">
        <v>0</v>
      </c>
      <c r="N461" t="n">
        <v>0</v>
      </c>
      <c r="O461" t="n">
        <v>0</v>
      </c>
      <c r="P461" t="n">
        <v>0</v>
      </c>
      <c r="Q461" t="n">
        <v>0</v>
      </c>
      <c r="R461" s="2" t="inlineStr"/>
    </row>
    <row r="462" ht="15" customHeight="1">
      <c r="A462" t="inlineStr">
        <is>
          <t>A 25796-2025</t>
        </is>
      </c>
      <c r="B462" s="1" t="n">
        <v>45804.39543981481</v>
      </c>
      <c r="C462" s="1" t="n">
        <v>45879</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49962-2023</t>
        </is>
      </c>
      <c r="B463" s="1" t="n">
        <v>45215.38775462963</v>
      </c>
      <c r="C463" s="1" t="n">
        <v>45879</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5674-2025</t>
        </is>
      </c>
      <c r="B464" s="1" t="n">
        <v>45694.28993055555</v>
      </c>
      <c r="C464" s="1" t="n">
        <v>45879</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5676-2025</t>
        </is>
      </c>
      <c r="B465" s="1" t="n">
        <v>45694.29512731481</v>
      </c>
      <c r="C465" s="1" t="n">
        <v>45879</v>
      </c>
      <c r="D465" t="inlineStr">
        <is>
          <t>GOTLANDS LÄN</t>
        </is>
      </c>
      <c r="E465" t="inlineStr">
        <is>
          <t>GOTLAND</t>
        </is>
      </c>
      <c r="G465" t="n">
        <v>3.2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44698.49854166667</v>
      </c>
      <c r="C466" s="1" t="n">
        <v>45879</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25678-2025</t>
        </is>
      </c>
      <c r="B467" s="1" t="n">
        <v>45803.64118055555</v>
      </c>
      <c r="C467" s="1" t="n">
        <v>45879</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40294-2022</t>
        </is>
      </c>
      <c r="B468" s="1" t="n">
        <v>44821</v>
      </c>
      <c r="C468" s="1" t="n">
        <v>45879</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33932-2025</t>
        </is>
      </c>
      <c r="B469" s="1" t="n">
        <v>45842</v>
      </c>
      <c r="C469" s="1" t="n">
        <v>45879</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12032-2025</t>
        </is>
      </c>
      <c r="B470" s="1" t="n">
        <v>45728.64472222222</v>
      </c>
      <c r="C470" s="1" t="n">
        <v>45879</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38787-2023</t>
        </is>
      </c>
      <c r="B471" s="1" t="n">
        <v>45163</v>
      </c>
      <c r="C471" s="1" t="n">
        <v>45879</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20307-2025</t>
        </is>
      </c>
      <c r="B472" s="1" t="n">
        <v>45774.95546296296</v>
      </c>
      <c r="C472" s="1" t="n">
        <v>45879</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1734-2025</t>
        </is>
      </c>
      <c r="B473" s="1" t="n">
        <v>45671.3840625</v>
      </c>
      <c r="C473" s="1" t="n">
        <v>45879</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45183.47025462963</v>
      </c>
      <c r="C474" s="1" t="n">
        <v>45879</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26391-2025</t>
        </is>
      </c>
      <c r="B475" s="1" t="n">
        <v>45806</v>
      </c>
      <c r="C475" s="1" t="n">
        <v>45879</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17532-2024</t>
        </is>
      </c>
      <c r="B476" s="1" t="n">
        <v>45415</v>
      </c>
      <c r="C476" s="1" t="n">
        <v>45879</v>
      </c>
      <c r="D476" t="inlineStr">
        <is>
          <t>GOTLANDS LÄN</t>
        </is>
      </c>
      <c r="E476" t="inlineStr">
        <is>
          <t>GOTLAND</t>
        </is>
      </c>
      <c r="G476" t="n">
        <v>4.3</v>
      </c>
      <c r="H476" t="n">
        <v>0</v>
      </c>
      <c r="I476" t="n">
        <v>0</v>
      </c>
      <c r="J476" t="n">
        <v>0</v>
      </c>
      <c r="K476" t="n">
        <v>0</v>
      </c>
      <c r="L476" t="n">
        <v>0</v>
      </c>
      <c r="M476" t="n">
        <v>0</v>
      </c>
      <c r="N476" t="n">
        <v>0</v>
      </c>
      <c r="O476" t="n">
        <v>0</v>
      </c>
      <c r="P476" t="n">
        <v>0</v>
      </c>
      <c r="Q476" t="n">
        <v>0</v>
      </c>
      <c r="R476" s="2" t="inlineStr"/>
    </row>
    <row r="477" ht="15" customHeight="1">
      <c r="A477" t="inlineStr">
        <is>
          <t>A 20993-2023</t>
        </is>
      </c>
      <c r="B477" s="1" t="n">
        <v>45056</v>
      </c>
      <c r="C477" s="1" t="n">
        <v>45879</v>
      </c>
      <c r="D477" t="inlineStr">
        <is>
          <t>GOTLANDS LÄN</t>
        </is>
      </c>
      <c r="E477" t="inlineStr">
        <is>
          <t>GOTLAND</t>
        </is>
      </c>
      <c r="G477" t="n">
        <v>7.1</v>
      </c>
      <c r="H477" t="n">
        <v>0</v>
      </c>
      <c r="I477" t="n">
        <v>0</v>
      </c>
      <c r="J477" t="n">
        <v>0</v>
      </c>
      <c r="K477" t="n">
        <v>0</v>
      </c>
      <c r="L477" t="n">
        <v>0</v>
      </c>
      <c r="M477" t="n">
        <v>0</v>
      </c>
      <c r="N477" t="n">
        <v>0</v>
      </c>
      <c r="O477" t="n">
        <v>0</v>
      </c>
      <c r="P477" t="n">
        <v>0</v>
      </c>
      <c r="Q477" t="n">
        <v>0</v>
      </c>
      <c r="R477" s="2" t="inlineStr"/>
    </row>
    <row r="478" ht="15" customHeight="1">
      <c r="A478" t="inlineStr">
        <is>
          <t>A 60908-2024</t>
        </is>
      </c>
      <c r="B478" s="1" t="n">
        <v>45645.31320601852</v>
      </c>
      <c r="C478" s="1" t="n">
        <v>45879</v>
      </c>
      <c r="D478" t="inlineStr">
        <is>
          <t>GOTLANDS LÄN</t>
        </is>
      </c>
      <c r="E478" t="inlineStr">
        <is>
          <t>GOTLAND</t>
        </is>
      </c>
      <c r="G478" t="n">
        <v>7.1</v>
      </c>
      <c r="H478" t="n">
        <v>0</v>
      </c>
      <c r="I478" t="n">
        <v>0</v>
      </c>
      <c r="J478" t="n">
        <v>0</v>
      </c>
      <c r="K478" t="n">
        <v>0</v>
      </c>
      <c r="L478" t="n">
        <v>0</v>
      </c>
      <c r="M478" t="n">
        <v>0</v>
      </c>
      <c r="N478" t="n">
        <v>0</v>
      </c>
      <c r="O478" t="n">
        <v>0</v>
      </c>
      <c r="P478" t="n">
        <v>0</v>
      </c>
      <c r="Q478" t="n">
        <v>0</v>
      </c>
      <c r="R478" s="2" t="inlineStr"/>
    </row>
    <row r="479" ht="15" customHeight="1">
      <c r="A479" t="inlineStr">
        <is>
          <t>A 3935-2025</t>
        </is>
      </c>
      <c r="B479" s="1" t="n">
        <v>45684.46070601852</v>
      </c>
      <c r="C479" s="1" t="n">
        <v>45879</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35133-2025</t>
        </is>
      </c>
      <c r="B480" s="1" t="n">
        <v>45852.6363425926</v>
      </c>
      <c r="C480" s="1" t="n">
        <v>45879</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35141-2025</t>
        </is>
      </c>
      <c r="B481" s="1" t="n">
        <v>45852.65206018519</v>
      </c>
      <c r="C481" s="1" t="n">
        <v>45879</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35096-2025</t>
        </is>
      </c>
      <c r="B482" s="1" t="n">
        <v>45852.54356481481</v>
      </c>
      <c r="C482" s="1" t="n">
        <v>45879</v>
      </c>
      <c r="D482" t="inlineStr">
        <is>
          <t>GOTLANDS LÄN</t>
        </is>
      </c>
      <c r="E482" t="inlineStr">
        <is>
          <t>GOTLAND</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12596-2023</t>
        </is>
      </c>
      <c r="B483" s="1" t="n">
        <v>45000.43310185185</v>
      </c>
      <c r="C483" s="1" t="n">
        <v>45879</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2125-2025</t>
        </is>
      </c>
      <c r="B484" s="1" t="n">
        <v>45672.64940972222</v>
      </c>
      <c r="C484" s="1" t="n">
        <v>45879</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12155-2023</t>
        </is>
      </c>
      <c r="B485" s="1" t="n">
        <v>44998.49106481481</v>
      </c>
      <c r="C485" s="1" t="n">
        <v>45879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457-2023</t>
        </is>
      </c>
      <c r="B486" s="1" t="n">
        <v>44929.87238425926</v>
      </c>
      <c r="C486" s="1" t="n">
        <v>45879</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459-2023</t>
        </is>
      </c>
      <c r="B487" s="1" t="n">
        <v>44929.87423611111</v>
      </c>
      <c r="C487" s="1" t="n">
        <v>45879</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38234-2023</t>
        </is>
      </c>
      <c r="B488" s="1" t="n">
        <v>45161.56663194444</v>
      </c>
      <c r="C488" s="1" t="n">
        <v>45879</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33011-2025</t>
        </is>
      </c>
      <c r="B489" s="1" t="n">
        <v>45840</v>
      </c>
      <c r="C489" s="1" t="n">
        <v>45879</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50744-2024</t>
        </is>
      </c>
      <c r="B490" s="1" t="n">
        <v>45602.4187037037</v>
      </c>
      <c r="C490" s="1" t="n">
        <v>45879</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26457-2025</t>
        </is>
      </c>
      <c r="B491" s="1" t="n">
        <v>45807.42773148148</v>
      </c>
      <c r="C491" s="1" t="n">
        <v>45879</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26467-2025</t>
        </is>
      </c>
      <c r="B492" s="1" t="n">
        <v>45807.44640046296</v>
      </c>
      <c r="C492" s="1" t="n">
        <v>45879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20225-2025</t>
        </is>
      </c>
      <c r="B493" s="1" t="n">
        <v>45772.65802083333</v>
      </c>
      <c r="C493" s="1" t="n">
        <v>45879</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883-2025</t>
        </is>
      </c>
      <c r="B494" s="1" t="n">
        <v>45665</v>
      </c>
      <c r="C494" s="1" t="n">
        <v>45879</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45879</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26465-2025</t>
        </is>
      </c>
      <c r="B496" s="1" t="n">
        <v>45807.44377314814</v>
      </c>
      <c r="C496" s="1" t="n">
        <v>45879</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35142-2025</t>
        </is>
      </c>
      <c r="B497" s="1" t="n">
        <v>45852.65532407408</v>
      </c>
      <c r="C497" s="1" t="n">
        <v>45879</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18938-2025</t>
        </is>
      </c>
      <c r="B498" s="1" t="n">
        <v>45764.49172453704</v>
      </c>
      <c r="C498" s="1" t="n">
        <v>45879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26660-2025</t>
        </is>
      </c>
      <c r="B499" s="1" t="n">
        <v>45810.39737268518</v>
      </c>
      <c r="C499" s="1" t="n">
        <v>45879</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35123-2025</t>
        </is>
      </c>
      <c r="B500" s="1" t="n">
        <v>45852.614375</v>
      </c>
      <c r="C500" s="1" t="n">
        <v>45879</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35129-2025</t>
        </is>
      </c>
      <c r="B501" s="1" t="n">
        <v>45852.63224537037</v>
      </c>
      <c r="C501" s="1" t="n">
        <v>45879</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10497-2025</t>
        </is>
      </c>
      <c r="B502" s="1" t="n">
        <v>45721</v>
      </c>
      <c r="C502" s="1" t="n">
        <v>45879</v>
      </c>
      <c r="D502" t="inlineStr">
        <is>
          <t>GOTLANDS LÄN</t>
        </is>
      </c>
      <c r="E502" t="inlineStr">
        <is>
          <t>GOTLAND</t>
        </is>
      </c>
      <c r="G502" t="n">
        <v>0.9</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45879</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27348-2025</t>
        </is>
      </c>
      <c r="B504" s="1" t="n">
        <v>45812.62451388889</v>
      </c>
      <c r="C504" s="1" t="n">
        <v>45879</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35290-2025</t>
        </is>
      </c>
      <c r="B505" s="1" t="n">
        <v>45854.38502314815</v>
      </c>
      <c r="C505" s="1" t="n">
        <v>45879</v>
      </c>
      <c r="D505" t="inlineStr">
        <is>
          <t>GOTLANDS LÄN</t>
        </is>
      </c>
      <c r="E505" t="inlineStr">
        <is>
          <t>GOTLAND</t>
        </is>
      </c>
      <c r="G505" t="n">
        <v>5.4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45879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10158-2025</t>
        </is>
      </c>
      <c r="B507" s="1" t="n">
        <v>45719</v>
      </c>
      <c r="C507" s="1" t="n">
        <v>45879</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1446-2025</t>
        </is>
      </c>
      <c r="B508" s="1" t="n">
        <v>45669.86035879629</v>
      </c>
      <c r="C508" s="1" t="n">
        <v>45879</v>
      </c>
      <c r="D508" t="inlineStr">
        <is>
          <t>GOTLANDS LÄN</t>
        </is>
      </c>
      <c r="E508" t="inlineStr">
        <is>
          <t>GOTLAND</t>
        </is>
      </c>
      <c r="G508" t="n">
        <v>3.1</v>
      </c>
      <c r="H508" t="n">
        <v>0</v>
      </c>
      <c r="I508" t="n">
        <v>0</v>
      </c>
      <c r="J508" t="n">
        <v>0</v>
      </c>
      <c r="K508" t="n">
        <v>0</v>
      </c>
      <c r="L508" t="n">
        <v>0</v>
      </c>
      <c r="M508" t="n">
        <v>0</v>
      </c>
      <c r="N508" t="n">
        <v>0</v>
      </c>
      <c r="O508" t="n">
        <v>0</v>
      </c>
      <c r="P508" t="n">
        <v>0</v>
      </c>
      <c r="Q508" t="n">
        <v>0</v>
      </c>
      <c r="R508" s="2" t="inlineStr"/>
    </row>
    <row r="509" ht="15" customHeight="1">
      <c r="A509" t="inlineStr">
        <is>
          <t>A 10813-2025</t>
        </is>
      </c>
      <c r="B509" s="1" t="n">
        <v>45722.54163194444</v>
      </c>
      <c r="C509" s="1" t="n">
        <v>45879</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45879</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32378-2025</t>
        </is>
      </c>
      <c r="B511" s="1" t="n">
        <v>45837</v>
      </c>
      <c r="C511" s="1" t="n">
        <v>45879</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32379-2025</t>
        </is>
      </c>
      <c r="B512" s="1" t="n">
        <v>45837</v>
      </c>
      <c r="C512" s="1" t="n">
        <v>45879</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27355-2025</t>
        </is>
      </c>
      <c r="B513" s="1" t="n">
        <v>45812</v>
      </c>
      <c r="C513" s="1" t="n">
        <v>45879</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17227-2021</t>
        </is>
      </c>
      <c r="B514" s="1" t="n">
        <v>44298.49725694444</v>
      </c>
      <c r="C514" s="1" t="n">
        <v>45879</v>
      </c>
      <c r="D514" t="inlineStr">
        <is>
          <t>GOTLANDS LÄN</t>
        </is>
      </c>
      <c r="E514" t="inlineStr">
        <is>
          <t>GOTLAND</t>
        </is>
      </c>
      <c r="G514" t="n">
        <v>6.2</v>
      </c>
      <c r="H514" t="n">
        <v>0</v>
      </c>
      <c r="I514" t="n">
        <v>0</v>
      </c>
      <c r="J514" t="n">
        <v>0</v>
      </c>
      <c r="K514" t="n">
        <v>0</v>
      </c>
      <c r="L514" t="n">
        <v>0</v>
      </c>
      <c r="M514" t="n">
        <v>0</v>
      </c>
      <c r="N514" t="n">
        <v>0</v>
      </c>
      <c r="O514" t="n">
        <v>0</v>
      </c>
      <c r="P514" t="n">
        <v>0</v>
      </c>
      <c r="Q514" t="n">
        <v>0</v>
      </c>
      <c r="R514" s="2" t="inlineStr"/>
    </row>
    <row r="515" ht="15" customHeight="1">
      <c r="A515" t="inlineStr">
        <is>
          <t>A 6739-2025</t>
        </is>
      </c>
      <c r="B515" s="1" t="n">
        <v>45700</v>
      </c>
      <c r="C515" s="1" t="n">
        <v>45879</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7850-2025</t>
        </is>
      </c>
      <c r="B516" s="1" t="n">
        <v>45706</v>
      </c>
      <c r="C516" s="1" t="n">
        <v>45879</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31264-2021</t>
        </is>
      </c>
      <c r="B517" s="1" t="n">
        <v>44368</v>
      </c>
      <c r="C517" s="1" t="n">
        <v>45879</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45879</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45879</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35550-2025</t>
        </is>
      </c>
      <c r="B520" s="1" t="n">
        <v>45856.49324074074</v>
      </c>
      <c r="C520" s="1" t="n">
        <v>45879</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35537-2025</t>
        </is>
      </c>
      <c r="B521" s="1" t="n">
        <v>45856</v>
      </c>
      <c r="C521" s="1" t="n">
        <v>45879</v>
      </c>
      <c r="D521" t="inlineStr">
        <is>
          <t>GOTLANDS LÄN</t>
        </is>
      </c>
      <c r="E521" t="inlineStr">
        <is>
          <t>GOTLAND</t>
        </is>
      </c>
      <c r="G521" t="n">
        <v>16.8</v>
      </c>
      <c r="H521" t="n">
        <v>0</v>
      </c>
      <c r="I521" t="n">
        <v>0</v>
      </c>
      <c r="J521" t="n">
        <v>0</v>
      </c>
      <c r="K521" t="n">
        <v>0</v>
      </c>
      <c r="L521" t="n">
        <v>0</v>
      </c>
      <c r="M521" t="n">
        <v>0</v>
      </c>
      <c r="N521" t="n">
        <v>0</v>
      </c>
      <c r="O521" t="n">
        <v>0</v>
      </c>
      <c r="P521" t="n">
        <v>0</v>
      </c>
      <c r="Q521" t="n">
        <v>0</v>
      </c>
      <c r="R521" s="2" t="inlineStr"/>
    </row>
    <row r="522" ht="15" customHeight="1">
      <c r="A522" t="inlineStr">
        <is>
          <t>A 8444-2025</t>
        </is>
      </c>
      <c r="B522" s="1" t="n">
        <v>45709</v>
      </c>
      <c r="C522" s="1" t="n">
        <v>45879</v>
      </c>
      <c r="D522" t="inlineStr">
        <is>
          <t>GOTLANDS LÄN</t>
        </is>
      </c>
      <c r="E522" t="inlineStr">
        <is>
          <t>GOTLAND</t>
        </is>
      </c>
      <c r="G522" t="n">
        <v>5.2</v>
      </c>
      <c r="H522" t="n">
        <v>0</v>
      </c>
      <c r="I522" t="n">
        <v>0</v>
      </c>
      <c r="J522" t="n">
        <v>0</v>
      </c>
      <c r="K522" t="n">
        <v>0</v>
      </c>
      <c r="L522" t="n">
        <v>0</v>
      </c>
      <c r="M522" t="n">
        <v>0</v>
      </c>
      <c r="N522" t="n">
        <v>0</v>
      </c>
      <c r="O522" t="n">
        <v>0</v>
      </c>
      <c r="P522" t="n">
        <v>0</v>
      </c>
      <c r="Q522" t="n">
        <v>0</v>
      </c>
      <c r="R522" s="2" t="inlineStr"/>
    </row>
    <row r="523" ht="15" customHeight="1">
      <c r="A523" t="inlineStr">
        <is>
          <t>A 43901-2023</t>
        </is>
      </c>
      <c r="B523" s="1" t="n">
        <v>45187</v>
      </c>
      <c r="C523" s="1" t="n">
        <v>45879</v>
      </c>
      <c r="D523" t="inlineStr">
        <is>
          <t>GOTLANDS LÄN</t>
        </is>
      </c>
      <c r="E523" t="inlineStr">
        <is>
          <t>GOTLAND</t>
        </is>
      </c>
      <c r="G523" t="n">
        <v>5.4</v>
      </c>
      <c r="H523" t="n">
        <v>0</v>
      </c>
      <c r="I523" t="n">
        <v>0</v>
      </c>
      <c r="J523" t="n">
        <v>0</v>
      </c>
      <c r="K523" t="n">
        <v>0</v>
      </c>
      <c r="L523" t="n">
        <v>0</v>
      </c>
      <c r="M523" t="n">
        <v>0</v>
      </c>
      <c r="N523" t="n">
        <v>0</v>
      </c>
      <c r="O523" t="n">
        <v>0</v>
      </c>
      <c r="P523" t="n">
        <v>0</v>
      </c>
      <c r="Q523" t="n">
        <v>0</v>
      </c>
      <c r="R523" s="2" t="inlineStr"/>
    </row>
    <row r="524" ht="15" customHeight="1">
      <c r="A524" t="inlineStr">
        <is>
          <t>A 10746-2025</t>
        </is>
      </c>
      <c r="B524" s="1" t="n">
        <v>45722.42766203704</v>
      </c>
      <c r="C524" s="1" t="n">
        <v>45879</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16501-2023</t>
        </is>
      </c>
      <c r="B525" s="1" t="n">
        <v>45029</v>
      </c>
      <c r="C525" s="1" t="n">
        <v>45879</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27930-2021</t>
        </is>
      </c>
      <c r="B526" s="1" t="n">
        <v>44354</v>
      </c>
      <c r="C526" s="1" t="n">
        <v>45879</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16109-2025</t>
        </is>
      </c>
      <c r="B527" s="1" t="n">
        <v>45750</v>
      </c>
      <c r="C527" s="1" t="n">
        <v>45879</v>
      </c>
      <c r="D527" t="inlineStr">
        <is>
          <t>GOTLANDS LÄN</t>
        </is>
      </c>
      <c r="E527" t="inlineStr">
        <is>
          <t>GOTLAND</t>
        </is>
      </c>
      <c r="G527" t="n">
        <v>4.9</v>
      </c>
      <c r="H527" t="n">
        <v>0</v>
      </c>
      <c r="I527" t="n">
        <v>0</v>
      </c>
      <c r="J527" t="n">
        <v>0</v>
      </c>
      <c r="K527" t="n">
        <v>0</v>
      </c>
      <c r="L527" t="n">
        <v>0</v>
      </c>
      <c r="M527" t="n">
        <v>0</v>
      </c>
      <c r="N527" t="n">
        <v>0</v>
      </c>
      <c r="O527" t="n">
        <v>0</v>
      </c>
      <c r="P527" t="n">
        <v>0</v>
      </c>
      <c r="Q527" t="n">
        <v>0</v>
      </c>
      <c r="R527" s="2" t="inlineStr"/>
    </row>
    <row r="528" ht="15" customHeight="1">
      <c r="A528" t="inlineStr">
        <is>
          <t>A 581-2023</t>
        </is>
      </c>
      <c r="B528" s="1" t="n">
        <v>44930</v>
      </c>
      <c r="C528" s="1" t="n">
        <v>45879</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20660-2025</t>
        </is>
      </c>
      <c r="B529" s="1" t="n">
        <v>45776</v>
      </c>
      <c r="C529" s="1" t="n">
        <v>45879</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61962-2024</t>
        </is>
      </c>
      <c r="B530" s="1" t="n">
        <v>45653.54340277778</v>
      </c>
      <c r="C530" s="1" t="n">
        <v>45879</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61964-2024</t>
        </is>
      </c>
      <c r="B531" s="1" t="n">
        <v>45653.54789351852</v>
      </c>
      <c r="C531" s="1" t="n">
        <v>45879</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19905-2025</t>
        </is>
      </c>
      <c r="B532" s="1" t="n">
        <v>45771</v>
      </c>
      <c r="C532" s="1" t="n">
        <v>45879</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45879</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45879</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45879</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10492-2023</t>
        </is>
      </c>
      <c r="B536" s="1" t="n">
        <v>44987</v>
      </c>
      <c r="C536" s="1" t="n">
        <v>45879</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49411-2023</t>
        </is>
      </c>
      <c r="B537" s="1" t="n">
        <v>45205</v>
      </c>
      <c r="C537" s="1" t="n">
        <v>45879</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22275-2023</t>
        </is>
      </c>
      <c r="B538" s="1" t="n">
        <v>45070.39875</v>
      </c>
      <c r="C538" s="1" t="n">
        <v>45879</v>
      </c>
      <c r="D538" t="inlineStr">
        <is>
          <t>GOTLANDS LÄN</t>
        </is>
      </c>
      <c r="E538" t="inlineStr">
        <is>
          <t>GOTLAND</t>
        </is>
      </c>
      <c r="G538" t="n">
        <v>7.2</v>
      </c>
      <c r="H538" t="n">
        <v>0</v>
      </c>
      <c r="I538" t="n">
        <v>0</v>
      </c>
      <c r="J538" t="n">
        <v>0</v>
      </c>
      <c r="K538" t="n">
        <v>0</v>
      </c>
      <c r="L538" t="n">
        <v>0</v>
      </c>
      <c r="M538" t="n">
        <v>0</v>
      </c>
      <c r="N538" t="n">
        <v>0</v>
      </c>
      <c r="O538" t="n">
        <v>0</v>
      </c>
      <c r="P538" t="n">
        <v>0</v>
      </c>
      <c r="Q538" t="n">
        <v>0</v>
      </c>
      <c r="R538" s="2" t="inlineStr"/>
    </row>
    <row r="539" ht="15" customHeight="1">
      <c r="A539" t="inlineStr">
        <is>
          <t>A 12322-2025</t>
        </is>
      </c>
      <c r="B539" s="1" t="n">
        <v>45730</v>
      </c>
      <c r="C539" s="1" t="n">
        <v>45879</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29207-2025</t>
        </is>
      </c>
      <c r="B540" s="1" t="n">
        <v>45823</v>
      </c>
      <c r="C540" s="1" t="n">
        <v>45879</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5909-2025</t>
        </is>
      </c>
      <c r="B541" s="1" t="n">
        <v>45695.40634259259</v>
      </c>
      <c r="C541" s="1" t="n">
        <v>45879</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44988.48859953704</v>
      </c>
      <c r="C542" s="1" t="n">
        <v>45879</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14797-2024</t>
        </is>
      </c>
      <c r="B543" s="1" t="n">
        <v>45397.87030092593</v>
      </c>
      <c r="C543" s="1" t="n">
        <v>45879</v>
      </c>
      <c r="D543" t="inlineStr">
        <is>
          <t>GOTLANDS LÄN</t>
        </is>
      </c>
      <c r="E543" t="inlineStr">
        <is>
          <t>GOTLAND</t>
        </is>
      </c>
      <c r="G543" t="n">
        <v>8.1</v>
      </c>
      <c r="H543" t="n">
        <v>0</v>
      </c>
      <c r="I543" t="n">
        <v>0</v>
      </c>
      <c r="J543" t="n">
        <v>0</v>
      </c>
      <c r="K543" t="n">
        <v>0</v>
      </c>
      <c r="L543" t="n">
        <v>0</v>
      </c>
      <c r="M543" t="n">
        <v>0</v>
      </c>
      <c r="N543" t="n">
        <v>0</v>
      </c>
      <c r="O543" t="n">
        <v>0</v>
      </c>
      <c r="P543" t="n">
        <v>0</v>
      </c>
      <c r="Q543" t="n">
        <v>0</v>
      </c>
      <c r="R543" s="2" t="inlineStr"/>
    </row>
    <row r="544" ht="15" customHeight="1">
      <c r="A544" t="inlineStr">
        <is>
          <t>A 999-2024</t>
        </is>
      </c>
      <c r="B544" s="1" t="n">
        <v>45301</v>
      </c>
      <c r="C544" s="1" t="n">
        <v>45879</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30104-2025</t>
        </is>
      </c>
      <c r="B545" s="1" t="n">
        <v>45826.68806712963</v>
      </c>
      <c r="C545" s="1" t="n">
        <v>45879</v>
      </c>
      <c r="D545" t="inlineStr">
        <is>
          <t>GOTLANDS LÄN</t>
        </is>
      </c>
      <c r="E545" t="inlineStr">
        <is>
          <t>GOTLAND</t>
        </is>
      </c>
      <c r="G545" t="n">
        <v>15.4</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45879</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15001-2025</t>
        </is>
      </c>
      <c r="B547" s="1" t="n">
        <v>45743</v>
      </c>
      <c r="C547" s="1" t="n">
        <v>45879</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45879</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4990-2025</t>
        </is>
      </c>
      <c r="B549" s="1" t="n">
        <v>45691</v>
      </c>
      <c r="C549" s="1" t="n">
        <v>45879</v>
      </c>
      <c r="D549" t="inlineStr">
        <is>
          <t>GOTLANDS LÄN</t>
        </is>
      </c>
      <c r="E549" t="inlineStr">
        <is>
          <t>GOTLAND</t>
        </is>
      </c>
      <c r="G549" t="n">
        <v>7.7</v>
      </c>
      <c r="H549" t="n">
        <v>0</v>
      </c>
      <c r="I549" t="n">
        <v>0</v>
      </c>
      <c r="J549" t="n">
        <v>0</v>
      </c>
      <c r="K549" t="n">
        <v>0</v>
      </c>
      <c r="L549" t="n">
        <v>0</v>
      </c>
      <c r="M549" t="n">
        <v>0</v>
      </c>
      <c r="N549" t="n">
        <v>0</v>
      </c>
      <c r="O549" t="n">
        <v>0</v>
      </c>
      <c r="P549" t="n">
        <v>0</v>
      </c>
      <c r="Q549" t="n">
        <v>0</v>
      </c>
      <c r="R549" s="2" t="inlineStr"/>
    </row>
    <row r="550" ht="15" customHeight="1">
      <c r="A550" t="inlineStr">
        <is>
          <t>A 30157-2025</t>
        </is>
      </c>
      <c r="B550" s="1" t="n">
        <v>45826</v>
      </c>
      <c r="C550" s="1" t="n">
        <v>45879</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36319-2025</t>
        </is>
      </c>
      <c r="B551" s="1" t="n">
        <v>45868.38543981482</v>
      </c>
      <c r="C551" s="1" t="n">
        <v>45879</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30061-2025</t>
        </is>
      </c>
      <c r="B552" s="1" t="n">
        <v>45826.61488425926</v>
      </c>
      <c r="C552" s="1" t="n">
        <v>45879</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58160-2024</t>
        </is>
      </c>
      <c r="B553" s="1" t="n">
        <v>45632.44927083333</v>
      </c>
      <c r="C553" s="1" t="n">
        <v>45879</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43081-2022</t>
        </is>
      </c>
      <c r="B554" s="1" t="n">
        <v>44833</v>
      </c>
      <c r="C554" s="1" t="n">
        <v>45879</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32958-2021</t>
        </is>
      </c>
      <c r="B555" s="1" t="n">
        <v>44376</v>
      </c>
      <c r="C555" s="1" t="n">
        <v>45879</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5884-2025</t>
        </is>
      </c>
      <c r="B556" s="1" t="n">
        <v>45695.37482638889</v>
      </c>
      <c r="C556" s="1" t="n">
        <v>45879</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5897-2025</t>
        </is>
      </c>
      <c r="B557" s="1" t="n">
        <v>45695.39273148148</v>
      </c>
      <c r="C557" s="1" t="n">
        <v>45879</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60675-2021</t>
        </is>
      </c>
      <c r="B558" s="1" t="n">
        <v>44496.64855324074</v>
      </c>
      <c r="C558" s="1" t="n">
        <v>45879</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37728-2024</t>
        </is>
      </c>
      <c r="B559" s="1" t="n">
        <v>45541</v>
      </c>
      <c r="C559" s="1" t="n">
        <v>45879</v>
      </c>
      <c r="D559" t="inlineStr">
        <is>
          <t>GOTLANDS LÄN</t>
        </is>
      </c>
      <c r="E559" t="inlineStr">
        <is>
          <t>GOTLAND</t>
        </is>
      </c>
      <c r="G559" t="n">
        <v>0.4</v>
      </c>
      <c r="H559" t="n">
        <v>0</v>
      </c>
      <c r="I559" t="n">
        <v>0</v>
      </c>
      <c r="J559" t="n">
        <v>0</v>
      </c>
      <c r="K559" t="n">
        <v>0</v>
      </c>
      <c r="L559" t="n">
        <v>0</v>
      </c>
      <c r="M559" t="n">
        <v>0</v>
      </c>
      <c r="N559" t="n">
        <v>0</v>
      </c>
      <c r="O559" t="n">
        <v>0</v>
      </c>
      <c r="P559" t="n">
        <v>0</v>
      </c>
      <c r="Q559" t="n">
        <v>0</v>
      </c>
      <c r="R559" s="2" t="inlineStr"/>
    </row>
    <row r="560" ht="15" customHeight="1">
      <c r="A560" t="inlineStr">
        <is>
          <t>A 49693-2023</t>
        </is>
      </c>
      <c r="B560" s="1" t="n">
        <v>45212.38138888889</v>
      </c>
      <c r="C560" s="1" t="n">
        <v>45879</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49697-2023</t>
        </is>
      </c>
      <c r="B561" s="1" t="n">
        <v>45212.38909722222</v>
      </c>
      <c r="C561" s="1" t="n">
        <v>45879</v>
      </c>
      <c r="D561" t="inlineStr">
        <is>
          <t>GOTLANDS LÄN</t>
        </is>
      </c>
      <c r="E561" t="inlineStr">
        <is>
          <t>GOTLAND</t>
        </is>
      </c>
      <c r="G561" t="n">
        <v>4.4</v>
      </c>
      <c r="H561" t="n">
        <v>0</v>
      </c>
      <c r="I561" t="n">
        <v>0</v>
      </c>
      <c r="J561" t="n">
        <v>0</v>
      </c>
      <c r="K561" t="n">
        <v>0</v>
      </c>
      <c r="L561" t="n">
        <v>0</v>
      </c>
      <c r="M561" t="n">
        <v>0</v>
      </c>
      <c r="N561" t="n">
        <v>0</v>
      </c>
      <c r="O561" t="n">
        <v>0</v>
      </c>
      <c r="P561" t="n">
        <v>0</v>
      </c>
      <c r="Q561" t="n">
        <v>0</v>
      </c>
      <c r="R561" s="2" t="inlineStr"/>
    </row>
    <row r="562" ht="15" customHeight="1">
      <c r="A562" t="inlineStr">
        <is>
          <t>A 30488-2025</t>
        </is>
      </c>
      <c r="B562" s="1" t="n">
        <v>45830</v>
      </c>
      <c r="C562" s="1" t="n">
        <v>45879</v>
      </c>
      <c r="D562" t="inlineStr">
        <is>
          <t>GOTLANDS LÄN</t>
        </is>
      </c>
      <c r="E562" t="inlineStr">
        <is>
          <t>GOTLAND</t>
        </is>
      </c>
      <c r="F562" t="inlineStr">
        <is>
          <t>Kyrkan</t>
        </is>
      </c>
      <c r="G562" t="n">
        <v>3.9</v>
      </c>
      <c r="H562" t="n">
        <v>0</v>
      </c>
      <c r="I562" t="n">
        <v>0</v>
      </c>
      <c r="J562" t="n">
        <v>0</v>
      </c>
      <c r="K562" t="n">
        <v>0</v>
      </c>
      <c r="L562" t="n">
        <v>0</v>
      </c>
      <c r="M562" t="n">
        <v>0</v>
      </c>
      <c r="N562" t="n">
        <v>0</v>
      </c>
      <c r="O562" t="n">
        <v>0</v>
      </c>
      <c r="P562" t="n">
        <v>0</v>
      </c>
      <c r="Q562" t="n">
        <v>0</v>
      </c>
      <c r="R562" s="2" t="inlineStr"/>
    </row>
    <row r="563" ht="15" customHeight="1">
      <c r="A563" t="inlineStr">
        <is>
          <t>A 22287-2022</t>
        </is>
      </c>
      <c r="B563" s="1" t="n">
        <v>44712</v>
      </c>
      <c r="C563" s="1" t="n">
        <v>45879</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30489-2025</t>
        </is>
      </c>
      <c r="B564" s="1" t="n">
        <v>45830</v>
      </c>
      <c r="C564" s="1" t="n">
        <v>45879</v>
      </c>
      <c r="D564" t="inlineStr">
        <is>
          <t>GOTLANDS LÄN</t>
        </is>
      </c>
      <c r="E564" t="inlineStr">
        <is>
          <t>GOTLAND</t>
        </is>
      </c>
      <c r="G564" t="n">
        <v>4.6</v>
      </c>
      <c r="H564" t="n">
        <v>0</v>
      </c>
      <c r="I564" t="n">
        <v>0</v>
      </c>
      <c r="J564" t="n">
        <v>0</v>
      </c>
      <c r="K564" t="n">
        <v>0</v>
      </c>
      <c r="L564" t="n">
        <v>0</v>
      </c>
      <c r="M564" t="n">
        <v>0</v>
      </c>
      <c r="N564" t="n">
        <v>0</v>
      </c>
      <c r="O564" t="n">
        <v>0</v>
      </c>
      <c r="P564" t="n">
        <v>0</v>
      </c>
      <c r="Q564" t="n">
        <v>0</v>
      </c>
      <c r="R564" s="2" t="inlineStr"/>
    </row>
    <row r="565" ht="15" customHeight="1">
      <c r="A565" t="inlineStr">
        <is>
          <t>A 54074-2022</t>
        </is>
      </c>
      <c r="B565" s="1" t="n">
        <v>44881</v>
      </c>
      <c r="C565" s="1" t="n">
        <v>45879</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65249-2023</t>
        </is>
      </c>
      <c r="B566" s="1" t="n">
        <v>45290</v>
      </c>
      <c r="C566" s="1" t="n">
        <v>45879</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2035-2025</t>
        </is>
      </c>
      <c r="B567" s="1" t="n">
        <v>45672</v>
      </c>
      <c r="C567" s="1" t="n">
        <v>45879</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30135-2025</t>
        </is>
      </c>
      <c r="B568" s="1" t="n">
        <v>45826</v>
      </c>
      <c r="C568" s="1" t="n">
        <v>45879</v>
      </c>
      <c r="D568" t="inlineStr">
        <is>
          <t>GOTLANDS LÄN</t>
        </is>
      </c>
      <c r="E568" t="inlineStr">
        <is>
          <t>GOTLAND</t>
        </is>
      </c>
      <c r="G568" t="n">
        <v>2.7</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45879</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1728-2025</t>
        </is>
      </c>
      <c r="B570" s="1" t="n">
        <v>45671.3565162037</v>
      </c>
      <c r="C570" s="1" t="n">
        <v>45879</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17780-2022</t>
        </is>
      </c>
      <c r="B571" s="1" t="n">
        <v>44682.82622685185</v>
      </c>
      <c r="C571" s="1" t="n">
        <v>45879</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59986-2022</t>
        </is>
      </c>
      <c r="B572" s="1" t="n">
        <v>44909</v>
      </c>
      <c r="C572" s="1" t="n">
        <v>45879</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45879</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11874-2024</t>
        </is>
      </c>
      <c r="B574" s="1" t="n">
        <v>45376.46956018519</v>
      </c>
      <c r="C574" s="1" t="n">
        <v>45879</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2292-2021</t>
        </is>
      </c>
      <c r="B575" s="1" t="n">
        <v>44212</v>
      </c>
      <c r="C575" s="1" t="n">
        <v>45879</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42041-2024</t>
        </is>
      </c>
      <c r="B576" s="1" t="n">
        <v>45561</v>
      </c>
      <c r="C576" s="1" t="n">
        <v>45879</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61694-2023</t>
        </is>
      </c>
      <c r="B577" s="1" t="n">
        <v>45264</v>
      </c>
      <c r="C577" s="1" t="n">
        <v>45879</v>
      </c>
      <c r="D577" t="inlineStr">
        <is>
          <t>GOTLANDS LÄN</t>
        </is>
      </c>
      <c r="E577" t="inlineStr">
        <is>
          <t>GOTLAND</t>
        </is>
      </c>
      <c r="G577" t="n">
        <v>4.6</v>
      </c>
      <c r="H577" t="n">
        <v>0</v>
      </c>
      <c r="I577" t="n">
        <v>0</v>
      </c>
      <c r="J577" t="n">
        <v>0</v>
      </c>
      <c r="K577" t="n">
        <v>0</v>
      </c>
      <c r="L577" t="n">
        <v>0</v>
      </c>
      <c r="M577" t="n">
        <v>0</v>
      </c>
      <c r="N577" t="n">
        <v>0</v>
      </c>
      <c r="O577" t="n">
        <v>0</v>
      </c>
      <c r="P577" t="n">
        <v>0</v>
      </c>
      <c r="Q577" t="n">
        <v>0</v>
      </c>
      <c r="R577" s="2" t="inlineStr"/>
    </row>
    <row r="578" ht="15" customHeight="1">
      <c r="A578" t="inlineStr">
        <is>
          <t>A 64555-2023</t>
        </is>
      </c>
      <c r="B578" s="1" t="n">
        <v>45281</v>
      </c>
      <c r="C578" s="1" t="n">
        <v>45879</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64831-2023</t>
        </is>
      </c>
      <c r="B579" s="1" t="n">
        <v>45282.44924768519</v>
      </c>
      <c r="C579" s="1" t="n">
        <v>45879</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14804-2021</t>
        </is>
      </c>
      <c r="B580" s="1" t="n">
        <v>44280</v>
      </c>
      <c r="C580" s="1" t="n">
        <v>45879</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45879</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27602-2023</t>
        </is>
      </c>
      <c r="B582" s="1" t="n">
        <v>45097</v>
      </c>
      <c r="C582" s="1" t="n">
        <v>45879</v>
      </c>
      <c r="D582" t="inlineStr">
        <is>
          <t>GOTLANDS LÄN</t>
        </is>
      </c>
      <c r="E582" t="inlineStr">
        <is>
          <t>GOTLAND</t>
        </is>
      </c>
      <c r="G582" t="n">
        <v>2.7</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44955.5502662037</v>
      </c>
      <c r="C583" s="1" t="n">
        <v>45879</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44955.73359953704</v>
      </c>
      <c r="C584" s="1" t="n">
        <v>45879</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45879</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45879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22883-2024</t>
        </is>
      </c>
      <c r="B587" s="1" t="n">
        <v>45448.66368055555</v>
      </c>
      <c r="C587" s="1" t="n">
        <v>45879</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811-2023</t>
        </is>
      </c>
      <c r="B588" s="1" t="n">
        <v>44931</v>
      </c>
      <c r="C588" s="1" t="n">
        <v>45879</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46389-2021</t>
        </is>
      </c>
      <c r="B589" s="1" t="n">
        <v>44443</v>
      </c>
      <c r="C589" s="1" t="n">
        <v>45879</v>
      </c>
      <c r="D589" t="inlineStr">
        <is>
          <t>GOTLANDS LÄN</t>
        </is>
      </c>
      <c r="E589" t="inlineStr">
        <is>
          <t>GOTLAND</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26810-2021</t>
        </is>
      </c>
      <c r="B590" s="1" t="n">
        <v>44349.55087962963</v>
      </c>
      <c r="C590" s="1" t="n">
        <v>45879</v>
      </c>
      <c r="D590" t="inlineStr">
        <is>
          <t>GOTLANDS LÄN</t>
        </is>
      </c>
      <c r="E590" t="inlineStr">
        <is>
          <t>GOTLAND</t>
        </is>
      </c>
      <c r="G590" t="n">
        <v>3.5</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44963.69503472222</v>
      </c>
      <c r="C591" s="1" t="n">
        <v>45879</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33853-2024</t>
        </is>
      </c>
      <c r="B592" s="1" t="n">
        <v>45520.64298611111</v>
      </c>
      <c r="C592" s="1" t="n">
        <v>45879</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18918-2025</t>
        </is>
      </c>
      <c r="B593" s="1" t="n">
        <v>45764</v>
      </c>
      <c r="C593" s="1" t="n">
        <v>45879</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45879</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44988.49543981482</v>
      </c>
      <c r="C595" s="1" t="n">
        <v>45879</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44944.55361111111</v>
      </c>
      <c r="C596" s="1" t="n">
        <v>45879</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26891-2024</t>
        </is>
      </c>
      <c r="B597" s="1" t="n">
        <v>45470.65540509259</v>
      </c>
      <c r="C597" s="1" t="n">
        <v>45879</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42007-2023</t>
        </is>
      </c>
      <c r="B598" s="1" t="n">
        <v>45177</v>
      </c>
      <c r="C598" s="1" t="n">
        <v>45879</v>
      </c>
      <c r="D598" t="inlineStr">
        <is>
          <t>GOTLANDS LÄN</t>
        </is>
      </c>
      <c r="E598" t="inlineStr">
        <is>
          <t>GOTLAND</t>
        </is>
      </c>
      <c r="G598" t="n">
        <v>0.8</v>
      </c>
      <c r="H598" t="n">
        <v>0</v>
      </c>
      <c r="I598" t="n">
        <v>0</v>
      </c>
      <c r="J598" t="n">
        <v>0</v>
      </c>
      <c r="K598" t="n">
        <v>0</v>
      </c>
      <c r="L598" t="n">
        <v>0</v>
      </c>
      <c r="M598" t="n">
        <v>0</v>
      </c>
      <c r="N598" t="n">
        <v>0</v>
      </c>
      <c r="O598" t="n">
        <v>0</v>
      </c>
      <c r="P598" t="n">
        <v>0</v>
      </c>
      <c r="Q598" t="n">
        <v>0</v>
      </c>
      <c r="R598" s="2" t="inlineStr"/>
    </row>
    <row r="599" ht="15" customHeight="1">
      <c r="A599" t="inlineStr">
        <is>
          <t>A 9887-2025</t>
        </is>
      </c>
      <c r="B599" s="1" t="n">
        <v>45716</v>
      </c>
      <c r="C599" s="1" t="n">
        <v>45879</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38165-2023</t>
        </is>
      </c>
      <c r="B600" s="1" t="n">
        <v>45161</v>
      </c>
      <c r="C600" s="1" t="n">
        <v>45879</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45879</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24825-2024</t>
        </is>
      </c>
      <c r="B602" s="1" t="n">
        <v>45461</v>
      </c>
      <c r="C602" s="1" t="n">
        <v>45879</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6696-2023</t>
        </is>
      </c>
      <c r="B603" s="1" t="n">
        <v>44966.66425925926</v>
      </c>
      <c r="C603" s="1" t="n">
        <v>45879</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21247-2022</t>
        </is>
      </c>
      <c r="B604" s="1" t="n">
        <v>44705.38832175926</v>
      </c>
      <c r="C604" s="1" t="n">
        <v>45879</v>
      </c>
      <c r="D604" t="inlineStr">
        <is>
          <t>GOTLANDS LÄN</t>
        </is>
      </c>
      <c r="E604" t="inlineStr">
        <is>
          <t>GOTLAND</t>
        </is>
      </c>
      <c r="G604" t="n">
        <v>16.2</v>
      </c>
      <c r="H604" t="n">
        <v>0</v>
      </c>
      <c r="I604" t="n">
        <v>0</v>
      </c>
      <c r="J604" t="n">
        <v>0</v>
      </c>
      <c r="K604" t="n">
        <v>0</v>
      </c>
      <c r="L604" t="n">
        <v>0</v>
      </c>
      <c r="M604" t="n">
        <v>0</v>
      </c>
      <c r="N604" t="n">
        <v>0</v>
      </c>
      <c r="O604" t="n">
        <v>0</v>
      </c>
      <c r="P604" t="n">
        <v>0</v>
      </c>
      <c r="Q604" t="n">
        <v>0</v>
      </c>
      <c r="R604" s="2" t="inlineStr"/>
    </row>
    <row r="605" ht="15" customHeight="1">
      <c r="A605" t="inlineStr">
        <is>
          <t>A 456-2023</t>
        </is>
      </c>
      <c r="B605" s="1" t="n">
        <v>44929.87122685185</v>
      </c>
      <c r="C605" s="1" t="n">
        <v>45879</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2714-2023</t>
        </is>
      </c>
      <c r="B606" s="1" t="n">
        <v>44944.54896990741</v>
      </c>
      <c r="C606" s="1" t="n">
        <v>45879</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4421-2024</t>
        </is>
      </c>
      <c r="B607" s="1" t="n">
        <v>45327.45173611111</v>
      </c>
      <c r="C607" s="1" t="n">
        <v>45879</v>
      </c>
      <c r="D607" t="inlineStr">
        <is>
          <t>GOTLANDS LÄN</t>
        </is>
      </c>
      <c r="E607" t="inlineStr">
        <is>
          <t>GOTLAND</t>
        </is>
      </c>
      <c r="G607" t="n">
        <v>5.1</v>
      </c>
      <c r="H607" t="n">
        <v>0</v>
      </c>
      <c r="I607" t="n">
        <v>0</v>
      </c>
      <c r="J607" t="n">
        <v>0</v>
      </c>
      <c r="K607" t="n">
        <v>0</v>
      </c>
      <c r="L607" t="n">
        <v>0</v>
      </c>
      <c r="M607" t="n">
        <v>0</v>
      </c>
      <c r="N607" t="n">
        <v>0</v>
      </c>
      <c r="O607" t="n">
        <v>0</v>
      </c>
      <c r="P607" t="n">
        <v>0</v>
      </c>
      <c r="Q607" t="n">
        <v>0</v>
      </c>
      <c r="R607" s="2" t="inlineStr"/>
    </row>
    <row r="608" ht="15" customHeight="1">
      <c r="A608" t="inlineStr">
        <is>
          <t>A 51782-2023</t>
        </is>
      </c>
      <c r="B608" s="1" t="n">
        <v>45222.80952546297</v>
      </c>
      <c r="C608" s="1" t="n">
        <v>45879</v>
      </c>
      <c r="D608" t="inlineStr">
        <is>
          <t>GOTLANDS LÄN</t>
        </is>
      </c>
      <c r="E608" t="inlineStr">
        <is>
          <t>GOTLAND</t>
        </is>
      </c>
      <c r="G608" t="n">
        <v>1.2</v>
      </c>
      <c r="H608" t="n">
        <v>0</v>
      </c>
      <c r="I608" t="n">
        <v>0</v>
      </c>
      <c r="J608" t="n">
        <v>0</v>
      </c>
      <c r="K608" t="n">
        <v>0</v>
      </c>
      <c r="L608" t="n">
        <v>0</v>
      </c>
      <c r="M608" t="n">
        <v>0</v>
      </c>
      <c r="N608" t="n">
        <v>0</v>
      </c>
      <c r="O608" t="n">
        <v>0</v>
      </c>
      <c r="P608" t="n">
        <v>0</v>
      </c>
      <c r="Q608" t="n">
        <v>0</v>
      </c>
      <c r="R608" s="2" t="inlineStr"/>
    </row>
    <row r="609" ht="15" customHeight="1">
      <c r="A609" t="inlineStr">
        <is>
          <t>A 54268-2022</t>
        </is>
      </c>
      <c r="B609" s="1" t="n">
        <v>44882</v>
      </c>
      <c r="C609" s="1" t="n">
        <v>45879</v>
      </c>
      <c r="D609" t="inlineStr">
        <is>
          <t>GOTLANDS LÄN</t>
        </is>
      </c>
      <c r="E609" t="inlineStr">
        <is>
          <t>GOTLAND</t>
        </is>
      </c>
      <c r="G609" t="n">
        <v>2.7</v>
      </c>
      <c r="H609" t="n">
        <v>0</v>
      </c>
      <c r="I609" t="n">
        <v>0</v>
      </c>
      <c r="J609" t="n">
        <v>0</v>
      </c>
      <c r="K609" t="n">
        <v>0</v>
      </c>
      <c r="L609" t="n">
        <v>0</v>
      </c>
      <c r="M609" t="n">
        <v>0</v>
      </c>
      <c r="N609" t="n">
        <v>0</v>
      </c>
      <c r="O609" t="n">
        <v>0</v>
      </c>
      <c r="P609" t="n">
        <v>0</v>
      </c>
      <c r="Q609" t="n">
        <v>0</v>
      </c>
      <c r="R609" s="2" t="inlineStr"/>
    </row>
    <row r="610">
      <c r="A610" t="inlineStr">
        <is>
          <t>A 57534-2022</t>
        </is>
      </c>
      <c r="B610" s="1" t="n">
        <v>44896</v>
      </c>
      <c r="C610" s="1" t="n">
        <v>45879</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2025-08-10T08:23:54Z</dcterms:created>
  <dcterms:modified xmlns:dcterms="http://purl.org/dc/terms/" xmlns:xsi="http://www.w3.org/2001/XMLSchema-instance" xsi:type="dcterms:W3CDTF">2025-08-10T08:23:55Z</dcterms:modified>
</cp:coreProperties>
</file>