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24575-2025</t>
        </is>
      </c>
      <c r="B25" s="1" t="n">
        <v>45798</v>
      </c>
      <c r="C25" s="1" t="n">
        <v>46043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34100-2024</t>
        </is>
      </c>
      <c r="B26" s="1" t="n">
        <v>45523</v>
      </c>
      <c r="C26" s="1" t="n">
        <v>46043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46043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46043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46043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46043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46043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46043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46043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46043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46043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46043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46043</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11176-2024</t>
        </is>
      </c>
      <c r="B46" s="1" t="n">
        <v>45371</v>
      </c>
      <c r="C46" s="1" t="n">
        <v>46043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43201-2023</t>
        </is>
      </c>
      <c r="B47" s="1" t="n">
        <v>45183</v>
      </c>
      <c r="C47" s="1" t="n">
        <v>46043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46043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46043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46043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46043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46043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584-2023</t>
        </is>
      </c>
      <c r="B53" s="1" t="n">
        <v>44930</v>
      </c>
      <c r="C53" s="1" t="n">
        <v>46043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46043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46043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46043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46043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46043</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46043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46043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46043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46043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46043</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46043</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46043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46043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46043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57773-2025</t>
        </is>
      </c>
      <c r="B71" s="1" t="n">
        <v>45981.56349537037</v>
      </c>
      <c r="C71" s="1" t="n">
        <v>46043</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2085-2023</t>
        </is>
      </c>
      <c r="B72" s="1" t="n">
        <v>44939</v>
      </c>
      <c r="C72" s="1" t="n">
        <v>46043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446-2023</t>
        </is>
      </c>
      <c r="B73" s="1" t="n">
        <v>44929</v>
      </c>
      <c r="C73" s="1" t="n">
        <v>46043</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46043</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54527-2023</t>
        </is>
      </c>
      <c r="B75" s="1" t="n">
        <v>45233</v>
      </c>
      <c r="C75" s="1" t="n">
        <v>46043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46043</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54527-2023</t>
        </is>
      </c>
      <c r="B77" s="1" t="n">
        <v>45233</v>
      </c>
      <c r="C77" s="1" t="n">
        <v>46043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46043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46043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46043</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46043</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46043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16375-2025</t>
        </is>
      </c>
      <c r="B83" s="1" t="n">
        <v>45751.41064814815</v>
      </c>
      <c r="C83" s="1" t="n">
        <v>46043</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35293-2025</t>
        </is>
      </c>
      <c r="B84" s="1" t="n">
        <v>45854.39438657407</v>
      </c>
      <c r="C84" s="1" t="n">
        <v>46043</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46043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46043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46043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46043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46043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46043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52250-2025</t>
        </is>
      </c>
      <c r="B91" s="1" t="n">
        <v>45953.48998842593</v>
      </c>
      <c r="C91" s="1" t="n">
        <v>46043</v>
      </c>
      <c r="D91" t="inlineStr">
        <is>
          <t>GOTLANDS LÄN</t>
        </is>
      </c>
      <c r="E91" t="inlineStr">
        <is>
          <t>GOTLAND</t>
        </is>
      </c>
      <c r="F91" t="inlineStr">
        <is>
          <t>Övriga Aktiebolag</t>
        </is>
      </c>
      <c r="G91" t="n">
        <v>1.2</v>
      </c>
      <c r="H91" t="n">
        <v>2</v>
      </c>
      <c r="I91" t="n">
        <v>1</v>
      </c>
      <c r="J91" t="n">
        <v>2</v>
      </c>
      <c r="K91" t="n">
        <v>0</v>
      </c>
      <c r="L91" t="n">
        <v>0</v>
      </c>
      <c r="M91" t="n">
        <v>0</v>
      </c>
      <c r="N91" t="n">
        <v>0</v>
      </c>
      <c r="O91" t="n">
        <v>2</v>
      </c>
      <c r="P91" t="n">
        <v>0</v>
      </c>
      <c r="Q91" t="n">
        <v>4</v>
      </c>
      <c r="R91" s="2" t="inlineStr">
        <is>
          <t>Backtimjan
Spillkråka
Anisspindling
Nattviol</t>
        </is>
      </c>
      <c r="S91">
        <f>HYPERLINK("https://klasma.github.io/Logging_0980/artfynd/A 52250-2025 artfynd.xlsx", "A 52250-2025")</f>
        <v/>
      </c>
      <c r="T91">
        <f>HYPERLINK("https://klasma.github.io/Logging_0980/kartor/A 52250-2025 karta.png", "A 52250-2025")</f>
        <v/>
      </c>
      <c r="V91">
        <f>HYPERLINK("https://klasma.github.io/Logging_0980/klagomål/A 52250-2025 FSC-klagomål.docx", "A 52250-2025")</f>
        <v/>
      </c>
      <c r="W91">
        <f>HYPERLINK("https://klasma.github.io/Logging_0980/klagomålsmail/A 52250-2025 FSC-klagomål mail.docx", "A 52250-2025")</f>
        <v/>
      </c>
      <c r="X91">
        <f>HYPERLINK("https://klasma.github.io/Logging_0980/tillsyn/A 52250-2025 tillsynsbegäran.docx", "A 52250-2025")</f>
        <v/>
      </c>
      <c r="Y91">
        <f>HYPERLINK("https://klasma.github.io/Logging_0980/tillsynsmail/A 52250-2025 tillsynsbegäran mail.docx", "A 52250-2025")</f>
        <v/>
      </c>
      <c r="Z91">
        <f>HYPERLINK("https://klasma.github.io/Logging_0980/fåglar/A 52250-2025 prioriterade fågelarter.docx", "A 52250-2025")</f>
        <v/>
      </c>
    </row>
    <row r="92" ht="15" customHeight="1">
      <c r="A92" t="inlineStr">
        <is>
          <t>A 40099-2025</t>
        </is>
      </c>
      <c r="B92" s="1" t="n">
        <v>45894.48462962963</v>
      </c>
      <c r="C92" s="1" t="n">
        <v>46043</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57463-2025</t>
        </is>
      </c>
      <c r="B93" s="1" t="n">
        <v>45980.54174768519</v>
      </c>
      <c r="C93" s="1" t="n">
        <v>46043</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43197-2023</t>
        </is>
      </c>
      <c r="B94" s="1" t="n">
        <v>45183</v>
      </c>
      <c r="C94" s="1" t="n">
        <v>46043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46043</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54523-2023</t>
        </is>
      </c>
      <c r="B96" s="1" t="n">
        <v>45233</v>
      </c>
      <c r="C96" s="1" t="n">
        <v>46043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20833-2024</t>
        </is>
      </c>
      <c r="B97" s="1" t="n">
        <v>45439</v>
      </c>
      <c r="C97" s="1" t="n">
        <v>46043</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44933-2022</t>
        </is>
      </c>
      <c r="B98" s="1" t="n">
        <v>44841</v>
      </c>
      <c r="C98" s="1" t="n">
        <v>46043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46043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46043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46043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46043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46043</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46043</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46043</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46043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1520-2026</t>
        </is>
      </c>
      <c r="B108" s="1" t="n">
        <v>46034.35891203704</v>
      </c>
      <c r="C108" s="1" t="n">
        <v>46043</v>
      </c>
      <c r="D108" t="inlineStr">
        <is>
          <t>GOTLANDS LÄN</t>
        </is>
      </c>
      <c r="E108" t="inlineStr">
        <is>
          <t>GOTLAND</t>
        </is>
      </c>
      <c r="G108" t="n">
        <v>7.4</v>
      </c>
      <c r="H108" t="n">
        <v>0</v>
      </c>
      <c r="I108" t="n">
        <v>1</v>
      </c>
      <c r="J108" t="n">
        <v>0</v>
      </c>
      <c r="K108" t="n">
        <v>2</v>
      </c>
      <c r="L108" t="n">
        <v>0</v>
      </c>
      <c r="M108" t="n">
        <v>0</v>
      </c>
      <c r="N108" t="n">
        <v>0</v>
      </c>
      <c r="O108" t="n">
        <v>2</v>
      </c>
      <c r="P108" t="n">
        <v>2</v>
      </c>
      <c r="Q108" t="n">
        <v>3</v>
      </c>
      <c r="R108" s="2" t="inlineStr">
        <is>
          <t>Granrotsspindling
Gulsträngad fagerspindling
Brandmusseron</t>
        </is>
      </c>
      <c r="S108">
        <f>HYPERLINK("https://klasma.github.io/Logging_0980/artfynd/A 1520-2026 artfynd.xlsx", "A 1520-2026")</f>
        <v/>
      </c>
      <c r="T108">
        <f>HYPERLINK("https://klasma.github.io/Logging_0980/kartor/A 1520-2026 karta.png", "A 1520-2026")</f>
        <v/>
      </c>
      <c r="V108">
        <f>HYPERLINK("https://klasma.github.io/Logging_0980/klagomål/A 1520-2026 FSC-klagomål.docx", "A 1520-2026")</f>
        <v/>
      </c>
      <c r="W108">
        <f>HYPERLINK("https://klasma.github.io/Logging_0980/klagomålsmail/A 1520-2026 FSC-klagomål mail.docx", "A 1520-2026")</f>
        <v/>
      </c>
      <c r="X108">
        <f>HYPERLINK("https://klasma.github.io/Logging_0980/tillsyn/A 1520-2026 tillsynsbegäran.docx", "A 1520-2026")</f>
        <v/>
      </c>
      <c r="Y108">
        <f>HYPERLINK("https://klasma.github.io/Logging_0980/tillsynsmail/A 1520-2026 tillsynsbegäran mail.docx", "A 1520-2026")</f>
        <v/>
      </c>
    </row>
    <row r="109" ht="15" customHeight="1">
      <c r="A109" t="inlineStr">
        <is>
          <t>A 55334-2024</t>
        </is>
      </c>
      <c r="B109" s="1" t="n">
        <v>45621</v>
      </c>
      <c r="C109" s="1" t="n">
        <v>46043</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46043</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43013-2022</t>
        </is>
      </c>
      <c r="B111" s="1" t="n">
        <v>44833</v>
      </c>
      <c r="C111" s="1" t="n">
        <v>46043</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46043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53552-2021</t>
        </is>
      </c>
      <c r="B113" s="1" t="n">
        <v>44468</v>
      </c>
      <c r="C113" s="1" t="n">
        <v>46043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30490-2025</t>
        </is>
      </c>
      <c r="B114" s="1" t="n">
        <v>45830</v>
      </c>
      <c r="C114" s="1" t="n">
        <v>46043</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46043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17982-2023</t>
        </is>
      </c>
      <c r="B116" s="1" t="n">
        <v>45040</v>
      </c>
      <c r="C116" s="1" t="n">
        <v>46043</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46043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46043</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46043</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46043</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46043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46043</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46043</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46043</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46043</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46043</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62760-2025</t>
        </is>
      </c>
      <c r="B128" s="1" t="n">
        <v>46008</v>
      </c>
      <c r="C128" s="1" t="n">
        <v>46043</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46043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20838-2024</t>
        </is>
      </c>
      <c r="B130" s="1" t="n">
        <v>45439</v>
      </c>
      <c r="C130" s="1" t="n">
        <v>46043</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46043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46043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46043</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46043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46043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46043</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46043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46043</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46043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46043</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46043</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46043</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46043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46043</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46043</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46043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63149-2025</t>
        </is>
      </c>
      <c r="B149" s="1" t="n">
        <v>46010</v>
      </c>
      <c r="C149" s="1" t="n">
        <v>46043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Anisspindling</t>
        </is>
      </c>
      <c r="S149">
        <f>HYPERLINK("https://klasma.github.io/Logging_0980/artfynd/A 63149-2025 artfynd.xlsx", "A 63149-2025")</f>
        <v/>
      </c>
      <c r="T149">
        <f>HYPERLINK("https://klasma.github.io/Logging_0980/kartor/A 63149-2025 karta.png", "A 63149-2025")</f>
        <v/>
      </c>
      <c r="V149">
        <f>HYPERLINK("https://klasma.github.io/Logging_0980/klagomål/A 63149-2025 FSC-klagomål.docx", "A 63149-2025")</f>
        <v/>
      </c>
      <c r="W149">
        <f>HYPERLINK("https://klasma.github.io/Logging_0980/klagomålsmail/A 63149-2025 FSC-klagomål mail.docx", "A 63149-2025")</f>
        <v/>
      </c>
      <c r="X149">
        <f>HYPERLINK("https://klasma.github.io/Logging_0980/tillsyn/A 63149-2025 tillsynsbegäran.docx", "A 63149-2025")</f>
        <v/>
      </c>
      <c r="Y149">
        <f>HYPERLINK("https://klasma.github.io/Logging_0980/tillsynsmail/A 63149-2025 tillsynsbegäran mail.docx", "A 63149-2025")</f>
        <v/>
      </c>
    </row>
    <row r="150" ht="15" customHeight="1">
      <c r="A150" t="inlineStr">
        <is>
          <t>A 65927-2021</t>
        </is>
      </c>
      <c r="B150" s="1" t="n">
        <v>44516</v>
      </c>
      <c r="C150" s="1" t="n">
        <v>46043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35467-2021</t>
        </is>
      </c>
      <c r="B151" s="1" t="n">
        <v>44385</v>
      </c>
      <c r="C151" s="1" t="n">
        <v>46043</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46043</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61796-2022</t>
        </is>
      </c>
      <c r="B153" s="1" t="n">
        <v>44917</v>
      </c>
      <c r="C153" s="1" t="n">
        <v>46043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15637-2024</t>
        </is>
      </c>
      <c r="B154" s="1" t="n">
        <v>45403.6684837963</v>
      </c>
      <c r="C154" s="1" t="n">
        <v>46043</v>
      </c>
      <c r="D154" t="inlineStr">
        <is>
          <t>GOTLANDS LÄN</t>
        </is>
      </c>
      <c r="E154" t="inlineStr">
        <is>
          <t>GOTLAND</t>
        </is>
      </c>
      <c r="G154" t="n">
        <v>4.1</v>
      </c>
      <c r="H154" t="n">
        <v>1</v>
      </c>
      <c r="I154" t="n">
        <v>0</v>
      </c>
      <c r="J154" t="n">
        <v>0</v>
      </c>
      <c r="K154" t="n">
        <v>0</v>
      </c>
      <c r="L154" t="n">
        <v>0</v>
      </c>
      <c r="M154" t="n">
        <v>0</v>
      </c>
      <c r="N154" t="n">
        <v>0</v>
      </c>
      <c r="O154" t="n">
        <v>0</v>
      </c>
      <c r="P154" t="n">
        <v>0</v>
      </c>
      <c r="Q154" t="n">
        <v>1</v>
      </c>
      <c r="R154" s="2" t="inlineStr">
        <is>
          <t>Blåsippa</t>
        </is>
      </c>
      <c r="S154">
        <f>HYPERLINK("https://klasma.github.io/Logging_0980/artfynd/A 15637-2024 artfynd.xlsx", "A 15637-2024")</f>
        <v/>
      </c>
      <c r="T154">
        <f>HYPERLINK("https://klasma.github.io/Logging_0980/kartor/A 15637-2024 karta.png", "A 15637-2024")</f>
        <v/>
      </c>
      <c r="V154">
        <f>HYPERLINK("https://klasma.github.io/Logging_0980/klagomål/A 15637-2024 FSC-klagomål.docx", "A 15637-2024")</f>
        <v/>
      </c>
      <c r="W154">
        <f>HYPERLINK("https://klasma.github.io/Logging_0980/klagomålsmail/A 15637-2024 FSC-klagomål mail.docx", "A 15637-2024")</f>
        <v/>
      </c>
      <c r="X154">
        <f>HYPERLINK("https://klasma.github.io/Logging_0980/tillsyn/A 15637-2024 tillsynsbegäran.docx", "A 15637-2024")</f>
        <v/>
      </c>
      <c r="Y154">
        <f>HYPERLINK("https://klasma.github.io/Logging_0980/tillsynsmail/A 15637-2024 tillsynsbegäran mail.docx", "A 15637-2024")</f>
        <v/>
      </c>
    </row>
    <row r="155" ht="15" customHeight="1">
      <c r="A155" t="inlineStr">
        <is>
          <t>A 49726-2025</t>
        </is>
      </c>
      <c r="B155" s="1" t="n">
        <v>45939.84466435185</v>
      </c>
      <c r="C155" s="1" t="n">
        <v>46043</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20429-2025</t>
        </is>
      </c>
      <c r="B156" s="1" t="n">
        <v>45775.47728009259</v>
      </c>
      <c r="C156" s="1" t="n">
        <v>46043</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26461-2025</t>
        </is>
      </c>
      <c r="B157" s="1" t="n">
        <v>45807.43337962963</v>
      </c>
      <c r="C157" s="1" t="n">
        <v>46043</v>
      </c>
      <c r="D157" t="inlineStr">
        <is>
          <t>GOTLANDS LÄN</t>
        </is>
      </c>
      <c r="E157" t="inlineStr">
        <is>
          <t>GOTLAND</t>
        </is>
      </c>
      <c r="G157" t="n">
        <v>4.1</v>
      </c>
      <c r="H157" t="n">
        <v>0</v>
      </c>
      <c r="I157" t="n">
        <v>0</v>
      </c>
      <c r="J157" t="n">
        <v>0</v>
      </c>
      <c r="K157" t="n">
        <v>1</v>
      </c>
      <c r="L157" t="n">
        <v>0</v>
      </c>
      <c r="M157" t="n">
        <v>0</v>
      </c>
      <c r="N157" t="n">
        <v>0</v>
      </c>
      <c r="O157" t="n">
        <v>1</v>
      </c>
      <c r="P157" t="n">
        <v>1</v>
      </c>
      <c r="Q157" t="n">
        <v>1</v>
      </c>
      <c r="R157" s="2" t="inlineStr">
        <is>
          <t>Gotlandsmåra</t>
        </is>
      </c>
      <c r="S157">
        <f>HYPERLINK("https://klasma.github.io/Logging_0980/artfynd/A 26461-2025 artfynd.xlsx", "A 26461-2025")</f>
        <v/>
      </c>
      <c r="T157">
        <f>HYPERLINK("https://klasma.github.io/Logging_0980/kartor/A 26461-2025 karta.png", "A 26461-2025")</f>
        <v/>
      </c>
      <c r="V157">
        <f>HYPERLINK("https://klasma.github.io/Logging_0980/klagomål/A 26461-2025 FSC-klagomål.docx", "A 26461-2025")</f>
        <v/>
      </c>
      <c r="W157">
        <f>HYPERLINK("https://klasma.github.io/Logging_0980/klagomålsmail/A 26461-2025 FSC-klagomål mail.docx", "A 26461-2025")</f>
        <v/>
      </c>
      <c r="X157">
        <f>HYPERLINK("https://klasma.github.io/Logging_0980/tillsyn/A 26461-2025 tillsynsbegäran.docx", "A 26461-2025")</f>
        <v/>
      </c>
      <c r="Y157">
        <f>HYPERLINK("https://klasma.github.io/Logging_0980/tillsynsmail/A 26461-2025 tillsynsbegäran mail.docx", "A 26461-2025")</f>
        <v/>
      </c>
    </row>
    <row r="158" ht="15" customHeight="1">
      <c r="A158" t="inlineStr">
        <is>
          <t>A 2476-2025</t>
        </is>
      </c>
      <c r="B158" s="1" t="n">
        <v>45673</v>
      </c>
      <c r="C158" s="1" t="n">
        <v>46043</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46043</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46043</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46043</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46043</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46043</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46043</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34141-2024</t>
        </is>
      </c>
      <c r="B165" s="1" t="n">
        <v>45524.36229166666</v>
      </c>
      <c r="C165" s="1" t="n">
        <v>46043</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46043</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49304-2024</t>
        </is>
      </c>
      <c r="B167" s="1" t="n">
        <v>45595.54996527778</v>
      </c>
      <c r="C167" s="1" t="n">
        <v>46043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46043</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46043</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46043</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46043</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46043</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46043</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12924-2025</t>
        </is>
      </c>
      <c r="B174" s="1" t="n">
        <v>45734</v>
      </c>
      <c r="C174" s="1" t="n">
        <v>46043</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46043</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6303-2024</t>
        </is>
      </c>
      <c r="B176" s="1" t="n">
        <v>45338.35376157407</v>
      </c>
      <c r="C176" s="1" t="n">
        <v>46043</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46043</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46043</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46043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46043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46043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46043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46043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46043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46043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46043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46043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46043</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46043</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46043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46043</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46043</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46043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46043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46043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46043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46043</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46043</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46043</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46043</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46043</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46043</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46043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46043</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46043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46043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46043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46043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46043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46043</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46043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46043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46043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46043</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46043</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46043</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46043</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46043</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46043</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46043</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46043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46043</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46043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46043</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46043</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46043</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4868-2024</t>
        </is>
      </c>
      <c r="B237" s="1" t="n">
        <v>45329</v>
      </c>
      <c r="C237" s="1" t="n">
        <v>46043</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46043</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46043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5751-2024</t>
        </is>
      </c>
      <c r="B240" s="1" t="n">
        <v>45335.32702546296</v>
      </c>
      <c r="C240" s="1" t="n">
        <v>46043</v>
      </c>
      <c r="D240" t="inlineStr">
        <is>
          <t>GOTLANDS LÄN</t>
        </is>
      </c>
      <c r="E240" t="inlineStr">
        <is>
          <t>GOTLAND</t>
        </is>
      </c>
      <c r="G240" t="n">
        <v>4.2</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46043</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24966-2023</t>
        </is>
      </c>
      <c r="B242" s="1" t="n">
        <v>45085</v>
      </c>
      <c r="C242" s="1" t="n">
        <v>46043</v>
      </c>
      <c r="D242" t="inlineStr">
        <is>
          <t>GOTLANDS LÄN</t>
        </is>
      </c>
      <c r="E242" t="inlineStr">
        <is>
          <t>GOTLAND</t>
        </is>
      </c>
      <c r="G242" t="n">
        <v>7</v>
      </c>
      <c r="H242" t="n">
        <v>0</v>
      </c>
      <c r="I242" t="n">
        <v>0</v>
      </c>
      <c r="J242" t="n">
        <v>0</v>
      </c>
      <c r="K242" t="n">
        <v>0</v>
      </c>
      <c r="L242" t="n">
        <v>0</v>
      </c>
      <c r="M242" t="n">
        <v>0</v>
      </c>
      <c r="N242" t="n">
        <v>0</v>
      </c>
      <c r="O242" t="n">
        <v>0</v>
      </c>
      <c r="P242" t="n">
        <v>0</v>
      </c>
      <c r="Q242" t="n">
        <v>0</v>
      </c>
      <c r="R242" s="2" t="inlineStr"/>
    </row>
    <row r="243" ht="15" customHeight="1">
      <c r="A243" t="inlineStr">
        <is>
          <t>A 46189-2022</t>
        </is>
      </c>
      <c r="B243" s="1" t="n">
        <v>44847</v>
      </c>
      <c r="C243" s="1" t="n">
        <v>46043</v>
      </c>
      <c r="D243" t="inlineStr">
        <is>
          <t>GOTLANDS LÄN</t>
        </is>
      </c>
      <c r="E243" t="inlineStr">
        <is>
          <t>GOTLAND</t>
        </is>
      </c>
      <c r="G243" t="n">
        <v>0.4</v>
      </c>
      <c r="H243" t="n">
        <v>0</v>
      </c>
      <c r="I243" t="n">
        <v>0</v>
      </c>
      <c r="J243" t="n">
        <v>0</v>
      </c>
      <c r="K243" t="n">
        <v>0</v>
      </c>
      <c r="L243" t="n">
        <v>0</v>
      </c>
      <c r="M243" t="n">
        <v>0</v>
      </c>
      <c r="N243" t="n">
        <v>0</v>
      </c>
      <c r="O243" t="n">
        <v>0</v>
      </c>
      <c r="P243" t="n">
        <v>0</v>
      </c>
      <c r="Q243" t="n">
        <v>0</v>
      </c>
      <c r="R243" s="2" t="inlineStr"/>
    </row>
    <row r="244" ht="15" customHeight="1">
      <c r="A244" t="inlineStr">
        <is>
          <t>A 22031-2024</t>
        </is>
      </c>
      <c r="B244" s="1" t="n">
        <v>45443.60075231481</v>
      </c>
      <c r="C244" s="1" t="n">
        <v>46043</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49314-2024</t>
        </is>
      </c>
      <c r="B245" s="1" t="n">
        <v>45595.55893518519</v>
      </c>
      <c r="C245" s="1" t="n">
        <v>46043</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56688-2025</t>
        </is>
      </c>
      <c r="B246" s="1" t="n">
        <v>45975.84331018518</v>
      </c>
      <c r="C246" s="1" t="n">
        <v>46043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46043</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46043</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48503-2023</t>
        </is>
      </c>
      <c r="B249" s="1" t="n">
        <v>45207</v>
      </c>
      <c r="C249" s="1" t="n">
        <v>46043</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46043</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36-2026</t>
        </is>
      </c>
      <c r="B251" s="1" t="n">
        <v>46024.38886574074</v>
      </c>
      <c r="C251" s="1" t="n">
        <v>46043</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44649-2021</t>
        </is>
      </c>
      <c r="B252" s="1" t="n">
        <v>44437</v>
      </c>
      <c r="C252" s="1" t="n">
        <v>46043</v>
      </c>
      <c r="D252" t="inlineStr">
        <is>
          <t>GOTLANDS LÄN</t>
        </is>
      </c>
      <c r="E252" t="inlineStr">
        <is>
          <t>GOTLAND</t>
        </is>
      </c>
      <c r="G252" t="n">
        <v>8.1</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46043</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10656-2024</t>
        </is>
      </c>
      <c r="B254" s="1" t="n">
        <v>45368</v>
      </c>
      <c r="C254" s="1" t="n">
        <v>46043</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9947-2024</t>
        </is>
      </c>
      <c r="B255" s="1" t="n">
        <v>45363</v>
      </c>
      <c r="C255" s="1" t="n">
        <v>46043</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18993-2025</t>
        </is>
      </c>
      <c r="B256" s="1" t="n">
        <v>45764</v>
      </c>
      <c r="C256" s="1" t="n">
        <v>46043</v>
      </c>
      <c r="D256" t="inlineStr">
        <is>
          <t>GOTLANDS LÄN</t>
        </is>
      </c>
      <c r="E256" t="inlineStr">
        <is>
          <t>GOTLAND</t>
        </is>
      </c>
      <c r="G256" t="n">
        <v>3</v>
      </c>
      <c r="H256" t="n">
        <v>0</v>
      </c>
      <c r="I256" t="n">
        <v>0</v>
      </c>
      <c r="J256" t="n">
        <v>0</v>
      </c>
      <c r="K256" t="n">
        <v>0</v>
      </c>
      <c r="L256" t="n">
        <v>0</v>
      </c>
      <c r="M256" t="n">
        <v>0</v>
      </c>
      <c r="N256" t="n">
        <v>0</v>
      </c>
      <c r="O256" t="n">
        <v>0</v>
      </c>
      <c r="P256" t="n">
        <v>0</v>
      </c>
      <c r="Q256" t="n">
        <v>0</v>
      </c>
      <c r="R256" s="2" t="inlineStr"/>
    </row>
    <row r="257" ht="15" customHeight="1">
      <c r="A257" t="inlineStr">
        <is>
          <t>A 28506-2023</t>
        </is>
      </c>
      <c r="B257" s="1" t="n">
        <v>45103</v>
      </c>
      <c r="C257" s="1" t="n">
        <v>46043</v>
      </c>
      <c r="D257" t="inlineStr">
        <is>
          <t>GOTLANDS LÄN</t>
        </is>
      </c>
      <c r="E257" t="inlineStr">
        <is>
          <t>GOTLAND</t>
        </is>
      </c>
      <c r="G257" t="n">
        <v>3.2</v>
      </c>
      <c r="H257" t="n">
        <v>0</v>
      </c>
      <c r="I257" t="n">
        <v>0</v>
      </c>
      <c r="J257" t="n">
        <v>0</v>
      </c>
      <c r="K257" t="n">
        <v>0</v>
      </c>
      <c r="L257" t="n">
        <v>0</v>
      </c>
      <c r="M257" t="n">
        <v>0</v>
      </c>
      <c r="N257" t="n">
        <v>0</v>
      </c>
      <c r="O257" t="n">
        <v>0</v>
      </c>
      <c r="P257" t="n">
        <v>0</v>
      </c>
      <c r="Q257" t="n">
        <v>0</v>
      </c>
      <c r="R257" s="2" t="inlineStr"/>
    </row>
    <row r="258" ht="15" customHeight="1">
      <c r="A258" t="inlineStr">
        <is>
          <t>A 17682-2024</t>
        </is>
      </c>
      <c r="B258" s="1" t="n">
        <v>45418.42966435185</v>
      </c>
      <c r="C258" s="1" t="n">
        <v>46043</v>
      </c>
      <c r="D258" t="inlineStr">
        <is>
          <t>GOTLANDS LÄN</t>
        </is>
      </c>
      <c r="E258" t="inlineStr">
        <is>
          <t>GOTLAND</t>
        </is>
      </c>
      <c r="G258" t="n">
        <v>2.9</v>
      </c>
      <c r="H258" t="n">
        <v>0</v>
      </c>
      <c r="I258" t="n">
        <v>0</v>
      </c>
      <c r="J258" t="n">
        <v>0</v>
      </c>
      <c r="K258" t="n">
        <v>0</v>
      </c>
      <c r="L258" t="n">
        <v>0</v>
      </c>
      <c r="M258" t="n">
        <v>0</v>
      </c>
      <c r="N258" t="n">
        <v>0</v>
      </c>
      <c r="O258" t="n">
        <v>0</v>
      </c>
      <c r="P258" t="n">
        <v>0</v>
      </c>
      <c r="Q258" t="n">
        <v>0</v>
      </c>
      <c r="R258" s="2" t="inlineStr"/>
    </row>
    <row r="259" ht="15" customHeight="1">
      <c r="A259" t="inlineStr">
        <is>
          <t>A 57522-2022</t>
        </is>
      </c>
      <c r="B259" s="1" t="n">
        <v>44896</v>
      </c>
      <c r="C259" s="1" t="n">
        <v>46043</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30135-2025</t>
        </is>
      </c>
      <c r="B260" s="1" t="n">
        <v>45826</v>
      </c>
      <c r="C260" s="1" t="n">
        <v>46043</v>
      </c>
      <c r="D260" t="inlineStr">
        <is>
          <t>GOTLANDS LÄN</t>
        </is>
      </c>
      <c r="E260" t="inlineStr">
        <is>
          <t>GOTLAND</t>
        </is>
      </c>
      <c r="G260" t="n">
        <v>2.7</v>
      </c>
      <c r="H260" t="n">
        <v>0</v>
      </c>
      <c r="I260" t="n">
        <v>0</v>
      </c>
      <c r="J260" t="n">
        <v>0</v>
      </c>
      <c r="K260" t="n">
        <v>0</v>
      </c>
      <c r="L260" t="n">
        <v>0</v>
      </c>
      <c r="M260" t="n">
        <v>0</v>
      </c>
      <c r="N260" t="n">
        <v>0</v>
      </c>
      <c r="O260" t="n">
        <v>0</v>
      </c>
      <c r="P260" t="n">
        <v>0</v>
      </c>
      <c r="Q260" t="n">
        <v>0</v>
      </c>
      <c r="R260" s="2" t="inlineStr"/>
    </row>
    <row r="261" ht="15" customHeight="1">
      <c r="A261" t="inlineStr">
        <is>
          <t>A 21420-2024</t>
        </is>
      </c>
      <c r="B261" s="1" t="n">
        <v>45441.38293981482</v>
      </c>
      <c r="C261" s="1" t="n">
        <v>46043</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12599-2025</t>
        </is>
      </c>
      <c r="B262" s="1" t="n">
        <v>45733.29546296296</v>
      </c>
      <c r="C262" s="1" t="n">
        <v>46043</v>
      </c>
      <c r="D262" t="inlineStr">
        <is>
          <t>GOTLANDS LÄN</t>
        </is>
      </c>
      <c r="E262" t="inlineStr">
        <is>
          <t>GOTLAND</t>
        </is>
      </c>
      <c r="G262" t="n">
        <v>4.7</v>
      </c>
      <c r="H262" t="n">
        <v>0</v>
      </c>
      <c r="I262" t="n">
        <v>0</v>
      </c>
      <c r="J262" t="n">
        <v>0</v>
      </c>
      <c r="K262" t="n">
        <v>0</v>
      </c>
      <c r="L262" t="n">
        <v>0</v>
      </c>
      <c r="M262" t="n">
        <v>0</v>
      </c>
      <c r="N262" t="n">
        <v>0</v>
      </c>
      <c r="O262" t="n">
        <v>0</v>
      </c>
      <c r="P262" t="n">
        <v>0</v>
      </c>
      <c r="Q262" t="n">
        <v>0</v>
      </c>
      <c r="R262" s="2" t="inlineStr"/>
    </row>
    <row r="263" ht="15" customHeight="1">
      <c r="A263" t="inlineStr">
        <is>
          <t>A 35141-2025</t>
        </is>
      </c>
      <c r="B263" s="1" t="n">
        <v>45852.65206018519</v>
      </c>
      <c r="C263" s="1" t="n">
        <v>46043</v>
      </c>
      <c r="D263" t="inlineStr">
        <is>
          <t>GOTLANDS LÄN</t>
        </is>
      </c>
      <c r="E263" t="inlineStr">
        <is>
          <t>GOTLAND</t>
        </is>
      </c>
      <c r="G263" t="n">
        <v>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46043</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23188-2025</t>
        </is>
      </c>
      <c r="B265" s="1" t="n">
        <v>45791</v>
      </c>
      <c r="C265" s="1" t="n">
        <v>46043</v>
      </c>
      <c r="D265" t="inlineStr">
        <is>
          <t>GOTLANDS LÄN</t>
        </is>
      </c>
      <c r="E265" t="inlineStr">
        <is>
          <t>GOTLAND</t>
        </is>
      </c>
      <c r="G265" t="n">
        <v>6.2</v>
      </c>
      <c r="H265" t="n">
        <v>0</v>
      </c>
      <c r="I265" t="n">
        <v>0</v>
      </c>
      <c r="J265" t="n">
        <v>0</v>
      </c>
      <c r="K265" t="n">
        <v>0</v>
      </c>
      <c r="L265" t="n">
        <v>0</v>
      </c>
      <c r="M265" t="n">
        <v>0</v>
      </c>
      <c r="N265" t="n">
        <v>0</v>
      </c>
      <c r="O265" t="n">
        <v>0</v>
      </c>
      <c r="P265" t="n">
        <v>0</v>
      </c>
      <c r="Q265" t="n">
        <v>0</v>
      </c>
      <c r="R265" s="2" t="inlineStr"/>
    </row>
    <row r="266" ht="15" customHeight="1">
      <c r="A266" t="inlineStr">
        <is>
          <t>A 27593-2023</t>
        </is>
      </c>
      <c r="B266" s="1" t="n">
        <v>45097</v>
      </c>
      <c r="C266" s="1" t="n">
        <v>46043</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63516-2023</t>
        </is>
      </c>
      <c r="B267" s="1" t="n">
        <v>45274</v>
      </c>
      <c r="C267" s="1" t="n">
        <v>46043</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46043</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39814-2025</t>
        </is>
      </c>
      <c r="B269" s="1" t="n">
        <v>45891.52694444444</v>
      </c>
      <c r="C269" s="1" t="n">
        <v>46043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46043</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24001-2021</t>
        </is>
      </c>
      <c r="B271" s="1" t="n">
        <v>44335</v>
      </c>
      <c r="C271" s="1" t="n">
        <v>46043</v>
      </c>
      <c r="D271" t="inlineStr">
        <is>
          <t>GOTLANDS LÄN</t>
        </is>
      </c>
      <c r="E271" t="inlineStr">
        <is>
          <t>GOTLAND</t>
        </is>
      </c>
      <c r="G271" t="n">
        <v>3.4</v>
      </c>
      <c r="H271" t="n">
        <v>0</v>
      </c>
      <c r="I271" t="n">
        <v>0</v>
      </c>
      <c r="J271" t="n">
        <v>0</v>
      </c>
      <c r="K271" t="n">
        <v>0</v>
      </c>
      <c r="L271" t="n">
        <v>0</v>
      </c>
      <c r="M271" t="n">
        <v>0</v>
      </c>
      <c r="N271" t="n">
        <v>0</v>
      </c>
      <c r="O271" t="n">
        <v>0</v>
      </c>
      <c r="P271" t="n">
        <v>0</v>
      </c>
      <c r="Q271" t="n">
        <v>0</v>
      </c>
      <c r="R271" s="2" t="inlineStr"/>
    </row>
    <row r="272" ht="15" customHeight="1">
      <c r="A272" t="inlineStr">
        <is>
          <t>A 39752-2025</t>
        </is>
      </c>
      <c r="B272" s="1" t="n">
        <v>45891</v>
      </c>
      <c r="C272" s="1" t="n">
        <v>46043</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46043</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39816-2025</t>
        </is>
      </c>
      <c r="B274" s="1" t="n">
        <v>45891</v>
      </c>
      <c r="C274" s="1" t="n">
        <v>46043</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40103-2025</t>
        </is>
      </c>
      <c r="B275" s="1" t="n">
        <v>45894.4880324074</v>
      </c>
      <c r="C275" s="1" t="n">
        <v>46043</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40373-2025</t>
        </is>
      </c>
      <c r="B276" s="1" t="n">
        <v>45895.51821759259</v>
      </c>
      <c r="C276" s="1" t="n">
        <v>46043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40499-2025</t>
        </is>
      </c>
      <c r="B277" s="1" t="n">
        <v>45896.32517361111</v>
      </c>
      <c r="C277" s="1" t="n">
        <v>46043</v>
      </c>
      <c r="D277" t="inlineStr">
        <is>
          <t>GOTLANDS LÄN</t>
        </is>
      </c>
      <c r="E277" t="inlineStr">
        <is>
          <t>GOTLAND</t>
        </is>
      </c>
      <c r="G277" t="n">
        <v>2.6</v>
      </c>
      <c r="H277" t="n">
        <v>0</v>
      </c>
      <c r="I277" t="n">
        <v>0</v>
      </c>
      <c r="J277" t="n">
        <v>0</v>
      </c>
      <c r="K277" t="n">
        <v>0</v>
      </c>
      <c r="L277" t="n">
        <v>0</v>
      </c>
      <c r="M277" t="n">
        <v>0</v>
      </c>
      <c r="N277" t="n">
        <v>0</v>
      </c>
      <c r="O277" t="n">
        <v>0</v>
      </c>
      <c r="P277" t="n">
        <v>0</v>
      </c>
      <c r="Q277" t="n">
        <v>0</v>
      </c>
      <c r="R277" s="2" t="inlineStr"/>
    </row>
    <row r="278" ht="15" customHeight="1">
      <c r="A278" t="inlineStr">
        <is>
          <t>A 59197-2025</t>
        </is>
      </c>
      <c r="B278" s="1" t="n">
        <v>45988.59846064815</v>
      </c>
      <c r="C278" s="1" t="n">
        <v>46043</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40372-2025</t>
        </is>
      </c>
      <c r="B279" s="1" t="n">
        <v>45895.5162037037</v>
      </c>
      <c r="C279" s="1" t="n">
        <v>46043</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30365-2024</t>
        </is>
      </c>
      <c r="B280" s="1" t="n">
        <v>45491.3716087963</v>
      </c>
      <c r="C280" s="1" t="n">
        <v>46043</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47147-2025</t>
        </is>
      </c>
      <c r="B281" s="1" t="n">
        <v>45929</v>
      </c>
      <c r="C281" s="1" t="n">
        <v>46043</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1355-2026</t>
        </is>
      </c>
      <c r="B282" s="1" t="n">
        <v>46031.59909722222</v>
      </c>
      <c r="C282" s="1" t="n">
        <v>46043</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1681-2023</t>
        </is>
      </c>
      <c r="B283" s="1" t="n">
        <v>44938.39715277778</v>
      </c>
      <c r="C283" s="1" t="n">
        <v>46043</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39278-2025</t>
        </is>
      </c>
      <c r="B284" s="1" t="n">
        <v>45889</v>
      </c>
      <c r="C284" s="1" t="n">
        <v>46043</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62836-2025</t>
        </is>
      </c>
      <c r="B285" s="1" t="n">
        <v>46008</v>
      </c>
      <c r="C285" s="1" t="n">
        <v>46043</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23856-2025</t>
        </is>
      </c>
      <c r="B286" s="1" t="n">
        <v>45793</v>
      </c>
      <c r="C286" s="1" t="n">
        <v>46043</v>
      </c>
      <c r="D286" t="inlineStr">
        <is>
          <t>GOTLANDS LÄN</t>
        </is>
      </c>
      <c r="E286" t="inlineStr">
        <is>
          <t>GOTLAND</t>
        </is>
      </c>
      <c r="G286" t="n">
        <v>4.4</v>
      </c>
      <c r="H286" t="n">
        <v>0</v>
      </c>
      <c r="I286" t="n">
        <v>0</v>
      </c>
      <c r="J286" t="n">
        <v>0</v>
      </c>
      <c r="K286" t="n">
        <v>0</v>
      </c>
      <c r="L286" t="n">
        <v>0</v>
      </c>
      <c r="M286" t="n">
        <v>0</v>
      </c>
      <c r="N286" t="n">
        <v>0</v>
      </c>
      <c r="O286" t="n">
        <v>0</v>
      </c>
      <c r="P286" t="n">
        <v>0</v>
      </c>
      <c r="Q286" t="n">
        <v>0</v>
      </c>
      <c r="R286" s="2" t="inlineStr"/>
    </row>
    <row r="287" ht="15" customHeight="1">
      <c r="A287" t="inlineStr">
        <is>
          <t>A 15073-2025</t>
        </is>
      </c>
      <c r="B287" s="1" t="n">
        <v>45743</v>
      </c>
      <c r="C287" s="1" t="n">
        <v>46043</v>
      </c>
      <c r="D287" t="inlineStr">
        <is>
          <t>GOTLANDS LÄN</t>
        </is>
      </c>
      <c r="E287" t="inlineStr">
        <is>
          <t>GOTLAND</t>
        </is>
      </c>
      <c r="G287" t="n">
        <v>12.1</v>
      </c>
      <c r="H287" t="n">
        <v>0</v>
      </c>
      <c r="I287" t="n">
        <v>0</v>
      </c>
      <c r="J287" t="n">
        <v>0</v>
      </c>
      <c r="K287" t="n">
        <v>0</v>
      </c>
      <c r="L287" t="n">
        <v>0</v>
      </c>
      <c r="M287" t="n">
        <v>0</v>
      </c>
      <c r="N287" t="n">
        <v>0</v>
      </c>
      <c r="O287" t="n">
        <v>0</v>
      </c>
      <c r="P287" t="n">
        <v>0</v>
      </c>
      <c r="Q287" t="n">
        <v>0</v>
      </c>
      <c r="R287" s="2" t="inlineStr"/>
    </row>
    <row r="288" ht="15" customHeight="1">
      <c r="A288" t="inlineStr">
        <is>
          <t>A 6099-2024</t>
        </is>
      </c>
      <c r="B288" s="1" t="n">
        <v>45337</v>
      </c>
      <c r="C288" s="1" t="n">
        <v>46043</v>
      </c>
      <c r="D288" t="inlineStr">
        <is>
          <t>GOTLANDS LÄN</t>
        </is>
      </c>
      <c r="E288" t="inlineStr">
        <is>
          <t>GOTLAND</t>
        </is>
      </c>
      <c r="G288" t="n">
        <v>12.6</v>
      </c>
      <c r="H288" t="n">
        <v>0</v>
      </c>
      <c r="I288" t="n">
        <v>0</v>
      </c>
      <c r="J288" t="n">
        <v>0</v>
      </c>
      <c r="K288" t="n">
        <v>0</v>
      </c>
      <c r="L288" t="n">
        <v>0</v>
      </c>
      <c r="M288" t="n">
        <v>0</v>
      </c>
      <c r="N288" t="n">
        <v>0</v>
      </c>
      <c r="O288" t="n">
        <v>0</v>
      </c>
      <c r="P288" t="n">
        <v>0</v>
      </c>
      <c r="Q288" t="n">
        <v>0</v>
      </c>
      <c r="R288" s="2" t="inlineStr"/>
    </row>
    <row r="289" ht="15" customHeight="1">
      <c r="A289" t="inlineStr">
        <is>
          <t>A 6749-2025</t>
        </is>
      </c>
      <c r="B289" s="1" t="n">
        <v>45700</v>
      </c>
      <c r="C289" s="1" t="n">
        <v>46043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1273-2023</t>
        </is>
      </c>
      <c r="B290" s="1" t="n">
        <v>44936</v>
      </c>
      <c r="C290" s="1" t="n">
        <v>46043</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23698-2025</t>
        </is>
      </c>
      <c r="B291" s="1" t="n">
        <v>45793</v>
      </c>
      <c r="C291" s="1" t="n">
        <v>46043</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46043</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58780-2024</t>
        </is>
      </c>
      <c r="B293" s="1" t="n">
        <v>45635.84113425926</v>
      </c>
      <c r="C293" s="1" t="n">
        <v>46043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2415-2026</t>
        </is>
      </c>
      <c r="B294" s="1" t="n">
        <v>46036.76203703704</v>
      </c>
      <c r="C294" s="1" t="n">
        <v>46043</v>
      </c>
      <c r="D294" t="inlineStr">
        <is>
          <t>GOTLANDS LÄN</t>
        </is>
      </c>
      <c r="E294" t="inlineStr">
        <is>
          <t>GOTLAND</t>
        </is>
      </c>
      <c r="G294" t="n">
        <v>6.9</v>
      </c>
      <c r="H294" t="n">
        <v>0</v>
      </c>
      <c r="I294" t="n">
        <v>0</v>
      </c>
      <c r="J294" t="n">
        <v>0</v>
      </c>
      <c r="K294" t="n">
        <v>0</v>
      </c>
      <c r="L294" t="n">
        <v>0</v>
      </c>
      <c r="M294" t="n">
        <v>0</v>
      </c>
      <c r="N294" t="n">
        <v>0</v>
      </c>
      <c r="O294" t="n">
        <v>0</v>
      </c>
      <c r="P294" t="n">
        <v>0</v>
      </c>
      <c r="Q294" t="n">
        <v>0</v>
      </c>
      <c r="R294" s="2" t="inlineStr"/>
    </row>
    <row r="295" ht="15" customHeight="1">
      <c r="A295" t="inlineStr">
        <is>
          <t>A 63105-2025</t>
        </is>
      </c>
      <c r="B295" s="1" t="n">
        <v>46009</v>
      </c>
      <c r="C295" s="1" t="n">
        <v>46043</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45692-2023</t>
        </is>
      </c>
      <c r="B296" s="1" t="n">
        <v>45195</v>
      </c>
      <c r="C296" s="1" t="n">
        <v>46043</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33876-2024</t>
        </is>
      </c>
      <c r="B297" s="1" t="n">
        <v>45521.87988425926</v>
      </c>
      <c r="C297" s="1" t="n">
        <v>46043</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41551-2025</t>
        </is>
      </c>
      <c r="B298" s="1" t="n">
        <v>45901.58854166666</v>
      </c>
      <c r="C298" s="1" t="n">
        <v>46043</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28285-2024</t>
        </is>
      </c>
      <c r="B299" s="1" t="n">
        <v>45477</v>
      </c>
      <c r="C299" s="1" t="n">
        <v>46043</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61100-2022</t>
        </is>
      </c>
      <c r="B300" s="1" t="n">
        <v>44915</v>
      </c>
      <c r="C300" s="1" t="n">
        <v>46043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36319-2025</t>
        </is>
      </c>
      <c r="B301" s="1" t="n">
        <v>45868</v>
      </c>
      <c r="C301" s="1" t="n">
        <v>46043</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61682-2024</t>
        </is>
      </c>
      <c r="B302" s="1" t="n">
        <v>45647.48824074074</v>
      </c>
      <c r="C302" s="1" t="n">
        <v>46043</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1839-2026</t>
        </is>
      </c>
      <c r="B303" s="1" t="n">
        <v>46035.3942824074</v>
      </c>
      <c r="C303" s="1" t="n">
        <v>46043</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1854-2026</t>
        </is>
      </c>
      <c r="B304" s="1" t="n">
        <v>46035.4171875</v>
      </c>
      <c r="C304" s="1" t="n">
        <v>46043</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62103-2025</t>
        </is>
      </c>
      <c r="B305" s="1" t="n">
        <v>46006</v>
      </c>
      <c r="C305" s="1" t="n">
        <v>46043</v>
      </c>
      <c r="D305" t="inlineStr">
        <is>
          <t>GOTLANDS LÄN</t>
        </is>
      </c>
      <c r="E305" t="inlineStr">
        <is>
          <t>GOTLAND</t>
        </is>
      </c>
      <c r="F305" t="inlineStr">
        <is>
          <t>Övriga Aktiebolag</t>
        </is>
      </c>
      <c r="G305" t="n">
        <v>1.7</v>
      </c>
      <c r="H305" t="n">
        <v>0</v>
      </c>
      <c r="I305" t="n">
        <v>0</v>
      </c>
      <c r="J305" t="n">
        <v>0</v>
      </c>
      <c r="K305" t="n">
        <v>0</v>
      </c>
      <c r="L305" t="n">
        <v>0</v>
      </c>
      <c r="M305" t="n">
        <v>0</v>
      </c>
      <c r="N305" t="n">
        <v>0</v>
      </c>
      <c r="O305" t="n">
        <v>0</v>
      </c>
      <c r="P305" t="n">
        <v>0</v>
      </c>
      <c r="Q305" t="n">
        <v>0</v>
      </c>
      <c r="R305" s="2" t="inlineStr"/>
    </row>
    <row r="306" ht="15" customHeight="1">
      <c r="A306" t="inlineStr">
        <is>
          <t>A 38649-2025</t>
        </is>
      </c>
      <c r="B306" s="1" t="n">
        <v>45884</v>
      </c>
      <c r="C306" s="1" t="n">
        <v>46043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63152-2025</t>
        </is>
      </c>
      <c r="B307" s="1" t="n">
        <v>46010</v>
      </c>
      <c r="C307" s="1" t="n">
        <v>46043</v>
      </c>
      <c r="D307" t="inlineStr">
        <is>
          <t>GOTLANDS LÄN</t>
        </is>
      </c>
      <c r="E307" t="inlineStr">
        <is>
          <t>GOTLAND</t>
        </is>
      </c>
      <c r="G307" t="n">
        <v>1.5</v>
      </c>
      <c r="H307" t="n">
        <v>0</v>
      </c>
      <c r="I307" t="n">
        <v>0</v>
      </c>
      <c r="J307" t="n">
        <v>0</v>
      </c>
      <c r="K307" t="n">
        <v>0</v>
      </c>
      <c r="L307" t="n">
        <v>0</v>
      </c>
      <c r="M307" t="n">
        <v>0</v>
      </c>
      <c r="N307" t="n">
        <v>0</v>
      </c>
      <c r="O307" t="n">
        <v>0</v>
      </c>
      <c r="P307" t="n">
        <v>0</v>
      </c>
      <c r="Q307" t="n">
        <v>0</v>
      </c>
      <c r="R307" s="2" t="inlineStr"/>
    </row>
    <row r="308" ht="15" customHeight="1">
      <c r="A308" t="inlineStr">
        <is>
          <t>A 2135-2026</t>
        </is>
      </c>
      <c r="B308" s="1" t="n">
        <v>46036</v>
      </c>
      <c r="C308" s="1" t="n">
        <v>46043</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42608-2025</t>
        </is>
      </c>
      <c r="B309" s="1" t="n">
        <v>45905</v>
      </c>
      <c r="C309" s="1" t="n">
        <v>46043</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62674-2025</t>
        </is>
      </c>
      <c r="B310" s="1" t="n">
        <v>46008</v>
      </c>
      <c r="C310" s="1" t="n">
        <v>46043</v>
      </c>
      <c r="D310" t="inlineStr">
        <is>
          <t>GOTLANDS LÄN</t>
        </is>
      </c>
      <c r="E310" t="inlineStr">
        <is>
          <t>GOTLAND</t>
        </is>
      </c>
      <c r="G310" t="n">
        <v>5</v>
      </c>
      <c r="H310" t="n">
        <v>0</v>
      </c>
      <c r="I310" t="n">
        <v>0</v>
      </c>
      <c r="J310" t="n">
        <v>0</v>
      </c>
      <c r="K310" t="n">
        <v>0</v>
      </c>
      <c r="L310" t="n">
        <v>0</v>
      </c>
      <c r="M310" t="n">
        <v>0</v>
      </c>
      <c r="N310" t="n">
        <v>0</v>
      </c>
      <c r="O310" t="n">
        <v>0</v>
      </c>
      <c r="P310" t="n">
        <v>0</v>
      </c>
      <c r="Q310" t="n">
        <v>0</v>
      </c>
      <c r="R310" s="2" t="inlineStr"/>
    </row>
    <row r="311" ht="15" customHeight="1">
      <c r="A311" t="inlineStr">
        <is>
          <t>A 2134-2026</t>
        </is>
      </c>
      <c r="B311" s="1" t="n">
        <v>46036</v>
      </c>
      <c r="C311" s="1" t="n">
        <v>46043</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1898-2026</t>
        </is>
      </c>
      <c r="B312" s="1" t="n">
        <v>46035.52024305556</v>
      </c>
      <c r="C312" s="1" t="n">
        <v>46043</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16373-2025</t>
        </is>
      </c>
      <c r="B313" s="1" t="n">
        <v>45751</v>
      </c>
      <c r="C313" s="1" t="n">
        <v>46043</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62754-2025</t>
        </is>
      </c>
      <c r="B314" s="1" t="n">
        <v>46008</v>
      </c>
      <c r="C314" s="1" t="n">
        <v>46043</v>
      </c>
      <c r="D314" t="inlineStr">
        <is>
          <t>GOTLANDS LÄN</t>
        </is>
      </c>
      <c r="E314" t="inlineStr">
        <is>
          <t>GOTLAND</t>
        </is>
      </c>
      <c r="F314" t="inlineStr">
        <is>
          <t>Övriga Aktiebolag</t>
        </is>
      </c>
      <c r="G314" t="n">
        <v>2.9</v>
      </c>
      <c r="H314" t="n">
        <v>0</v>
      </c>
      <c r="I314" t="n">
        <v>0</v>
      </c>
      <c r="J314" t="n">
        <v>0</v>
      </c>
      <c r="K314" t="n">
        <v>0</v>
      </c>
      <c r="L314" t="n">
        <v>0</v>
      </c>
      <c r="M314" t="n">
        <v>0</v>
      </c>
      <c r="N314" t="n">
        <v>0</v>
      </c>
      <c r="O314" t="n">
        <v>0</v>
      </c>
      <c r="P314" t="n">
        <v>0</v>
      </c>
      <c r="Q314" t="n">
        <v>0</v>
      </c>
      <c r="R314" s="2" t="inlineStr"/>
    </row>
    <row r="315" ht="15" customHeight="1">
      <c r="A315" t="inlineStr">
        <is>
          <t>A 60384-2025</t>
        </is>
      </c>
      <c r="B315" s="1" t="n">
        <v>45995</v>
      </c>
      <c r="C315" s="1" t="n">
        <v>46043</v>
      </c>
      <c r="D315" t="inlineStr">
        <is>
          <t>GOTLANDS LÄN</t>
        </is>
      </c>
      <c r="E315" t="inlineStr">
        <is>
          <t>GOTLAND</t>
        </is>
      </c>
      <c r="G315" t="n">
        <v>2.5</v>
      </c>
      <c r="H315" t="n">
        <v>0</v>
      </c>
      <c r="I315" t="n">
        <v>0</v>
      </c>
      <c r="J315" t="n">
        <v>0</v>
      </c>
      <c r="K315" t="n">
        <v>0</v>
      </c>
      <c r="L315" t="n">
        <v>0</v>
      </c>
      <c r="M315" t="n">
        <v>0</v>
      </c>
      <c r="N315" t="n">
        <v>0</v>
      </c>
      <c r="O315" t="n">
        <v>0</v>
      </c>
      <c r="P315" t="n">
        <v>0</v>
      </c>
      <c r="Q315" t="n">
        <v>0</v>
      </c>
      <c r="R315" s="2" t="inlineStr"/>
    </row>
    <row r="316" ht="15" customHeight="1">
      <c r="A316" t="inlineStr">
        <is>
          <t>A 58388-2022</t>
        </is>
      </c>
      <c r="B316" s="1" t="n">
        <v>44894</v>
      </c>
      <c r="C316" s="1" t="n">
        <v>46043</v>
      </c>
      <c r="D316" t="inlineStr">
        <is>
          <t>GOTLANDS LÄN</t>
        </is>
      </c>
      <c r="E316" t="inlineStr">
        <is>
          <t>GOTLAND</t>
        </is>
      </c>
      <c r="F316" t="inlineStr">
        <is>
          <t>Övriga statliga verk och myndigheter</t>
        </is>
      </c>
      <c r="G316" t="n">
        <v>3.1</v>
      </c>
      <c r="H316" t="n">
        <v>0</v>
      </c>
      <c r="I316" t="n">
        <v>0</v>
      </c>
      <c r="J316" t="n">
        <v>0</v>
      </c>
      <c r="K316" t="n">
        <v>0</v>
      </c>
      <c r="L316" t="n">
        <v>0</v>
      </c>
      <c r="M316" t="n">
        <v>0</v>
      </c>
      <c r="N316" t="n">
        <v>0</v>
      </c>
      <c r="O316" t="n">
        <v>0</v>
      </c>
      <c r="P316" t="n">
        <v>0</v>
      </c>
      <c r="Q316" t="n">
        <v>0</v>
      </c>
      <c r="R316" s="2" t="inlineStr"/>
    </row>
    <row r="317" ht="15" customHeight="1">
      <c r="A317" t="inlineStr">
        <is>
          <t>A 63000-2025</t>
        </is>
      </c>
      <c r="B317" s="1" t="n">
        <v>46009</v>
      </c>
      <c r="C317" s="1" t="n">
        <v>46043</v>
      </c>
      <c r="D317" t="inlineStr">
        <is>
          <t>GOTLANDS LÄN</t>
        </is>
      </c>
      <c r="E317" t="inlineStr">
        <is>
          <t>GOTLAND</t>
        </is>
      </c>
      <c r="F317" t="inlineStr">
        <is>
          <t>Övriga Aktiebolag</t>
        </is>
      </c>
      <c r="G317" t="n">
        <v>1.7</v>
      </c>
      <c r="H317" t="n">
        <v>0</v>
      </c>
      <c r="I317" t="n">
        <v>0</v>
      </c>
      <c r="J317" t="n">
        <v>0</v>
      </c>
      <c r="K317" t="n">
        <v>0</v>
      </c>
      <c r="L317" t="n">
        <v>0</v>
      </c>
      <c r="M317" t="n">
        <v>0</v>
      </c>
      <c r="N317" t="n">
        <v>0</v>
      </c>
      <c r="O317" t="n">
        <v>0</v>
      </c>
      <c r="P317" t="n">
        <v>0</v>
      </c>
      <c r="Q317" t="n">
        <v>0</v>
      </c>
      <c r="R317" s="2" t="inlineStr"/>
    </row>
    <row r="318" ht="15" customHeight="1">
      <c r="A318" t="inlineStr">
        <is>
          <t>A 10158-2025</t>
        </is>
      </c>
      <c r="B318" s="1" t="n">
        <v>45719</v>
      </c>
      <c r="C318" s="1" t="n">
        <v>46043</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46043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43911-2025</t>
        </is>
      </c>
      <c r="B320" s="1" t="n">
        <v>45914.3881712963</v>
      </c>
      <c r="C320" s="1" t="n">
        <v>46043</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44410-2025</t>
        </is>
      </c>
      <c r="B321" s="1" t="n">
        <v>45916.53699074074</v>
      </c>
      <c r="C321" s="1" t="n">
        <v>46043</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43951-2025</t>
        </is>
      </c>
      <c r="B322" s="1" t="n">
        <v>45915.38119212963</v>
      </c>
      <c r="C322" s="1" t="n">
        <v>46043</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46043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46043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7837-2024</t>
        </is>
      </c>
      <c r="B325" s="1" t="n">
        <v>45349.83787037037</v>
      </c>
      <c r="C325" s="1" t="n">
        <v>46043</v>
      </c>
      <c r="D325" t="inlineStr">
        <is>
          <t>GOTLANDS LÄN</t>
        </is>
      </c>
      <c r="E325" t="inlineStr">
        <is>
          <t>GOTLAND</t>
        </is>
      </c>
      <c r="G325" t="n">
        <v>5</v>
      </c>
      <c r="H325" t="n">
        <v>0</v>
      </c>
      <c r="I325" t="n">
        <v>0</v>
      </c>
      <c r="J325" t="n">
        <v>0</v>
      </c>
      <c r="K325" t="n">
        <v>0</v>
      </c>
      <c r="L325" t="n">
        <v>0</v>
      </c>
      <c r="M325" t="n">
        <v>0</v>
      </c>
      <c r="N325" t="n">
        <v>0</v>
      </c>
      <c r="O325" t="n">
        <v>0</v>
      </c>
      <c r="P325" t="n">
        <v>0</v>
      </c>
      <c r="Q325" t="n">
        <v>0</v>
      </c>
      <c r="R325" s="2" t="inlineStr"/>
    </row>
    <row r="326" ht="15" customHeight="1">
      <c r="A326" t="inlineStr">
        <is>
          <t>A 61080-2025</t>
        </is>
      </c>
      <c r="B326" s="1" t="n">
        <v>46000</v>
      </c>
      <c r="C326" s="1" t="n">
        <v>46043</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46043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61078-2025</t>
        </is>
      </c>
      <c r="B328" s="1" t="n">
        <v>46000</v>
      </c>
      <c r="C328" s="1" t="n">
        <v>46043</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62751-2025</t>
        </is>
      </c>
      <c r="B329" s="1" t="n">
        <v>46008</v>
      </c>
      <c r="C329" s="1" t="n">
        <v>46043</v>
      </c>
      <c r="D329" t="inlineStr">
        <is>
          <t>GOTLANDS LÄN</t>
        </is>
      </c>
      <c r="E329" t="inlineStr">
        <is>
          <t>GOTLAND</t>
        </is>
      </c>
      <c r="F329" t="inlineStr">
        <is>
          <t>Övriga Aktiebolag</t>
        </is>
      </c>
      <c r="G329" t="n">
        <v>7.8</v>
      </c>
      <c r="H329" t="n">
        <v>0</v>
      </c>
      <c r="I329" t="n">
        <v>0</v>
      </c>
      <c r="J329" t="n">
        <v>0</v>
      </c>
      <c r="K329" t="n">
        <v>0</v>
      </c>
      <c r="L329" t="n">
        <v>0</v>
      </c>
      <c r="M329" t="n">
        <v>0</v>
      </c>
      <c r="N329" t="n">
        <v>0</v>
      </c>
      <c r="O329" t="n">
        <v>0</v>
      </c>
      <c r="P329" t="n">
        <v>0</v>
      </c>
      <c r="Q329" t="n">
        <v>0</v>
      </c>
      <c r="R329" s="2" t="inlineStr"/>
    </row>
    <row r="330" ht="15" customHeight="1">
      <c r="A330" t="inlineStr">
        <is>
          <t>A 5462-2025</t>
        </is>
      </c>
      <c r="B330" s="1" t="n">
        <v>45693.29331018519</v>
      </c>
      <c r="C330" s="1" t="n">
        <v>46043</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35512-2023</t>
        </is>
      </c>
      <c r="B331" s="1" t="n">
        <v>45147.25623842593</v>
      </c>
      <c r="C331" s="1" t="n">
        <v>46043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46043</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5905-2024</t>
        </is>
      </c>
      <c r="B333" s="1" t="n">
        <v>45335.88993055555</v>
      </c>
      <c r="C333" s="1" t="n">
        <v>46043</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3253-2026</t>
        </is>
      </c>
      <c r="B334" s="1" t="n">
        <v>46041.58902777778</v>
      </c>
      <c r="C334" s="1" t="n">
        <v>46043</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46043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1291-2023</t>
        </is>
      </c>
      <c r="B336" s="1" t="n">
        <v>44936.47561342592</v>
      </c>
      <c r="C336" s="1" t="n">
        <v>46043</v>
      </c>
      <c r="D336" t="inlineStr">
        <is>
          <t>GOTLANDS LÄN</t>
        </is>
      </c>
      <c r="E336" t="inlineStr">
        <is>
          <t>GOTLAND</t>
        </is>
      </c>
      <c r="G336" t="n">
        <v>7.4</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46043</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46836-2025</t>
        </is>
      </c>
      <c r="B338" s="1" t="n">
        <v>45928.31511574074</v>
      </c>
      <c r="C338" s="1" t="n">
        <v>46043</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49315-2024</t>
        </is>
      </c>
      <c r="B339" s="1" t="n">
        <v>45595</v>
      </c>
      <c r="C339" s="1" t="n">
        <v>46043</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45106-2024</t>
        </is>
      </c>
      <c r="B340" s="1" t="n">
        <v>45575</v>
      </c>
      <c r="C340" s="1" t="n">
        <v>46043</v>
      </c>
      <c r="D340" t="inlineStr">
        <is>
          <t>GOTLANDS LÄN</t>
        </is>
      </c>
      <c r="E340" t="inlineStr">
        <is>
          <t>GOTLAND</t>
        </is>
      </c>
      <c r="G340" t="n">
        <v>10</v>
      </c>
      <c r="H340" t="n">
        <v>0</v>
      </c>
      <c r="I340" t="n">
        <v>0</v>
      </c>
      <c r="J340" t="n">
        <v>0</v>
      </c>
      <c r="K340" t="n">
        <v>0</v>
      </c>
      <c r="L340" t="n">
        <v>0</v>
      </c>
      <c r="M340" t="n">
        <v>0</v>
      </c>
      <c r="N340" t="n">
        <v>0</v>
      </c>
      <c r="O340" t="n">
        <v>0</v>
      </c>
      <c r="P340" t="n">
        <v>0</v>
      </c>
      <c r="Q340" t="n">
        <v>0</v>
      </c>
      <c r="R340" s="2" t="inlineStr"/>
    </row>
    <row r="341" ht="15" customHeight="1">
      <c r="A341" t="inlineStr">
        <is>
          <t>A 45112-2024</t>
        </is>
      </c>
      <c r="B341" s="1" t="n">
        <v>45575</v>
      </c>
      <c r="C341" s="1" t="n">
        <v>46043</v>
      </c>
      <c r="D341" t="inlineStr">
        <is>
          <t>GOTLANDS LÄN</t>
        </is>
      </c>
      <c r="E341" t="inlineStr">
        <is>
          <t>GOTLAND</t>
        </is>
      </c>
      <c r="G341" t="n">
        <v>5.1</v>
      </c>
      <c r="H341" t="n">
        <v>0</v>
      </c>
      <c r="I341" t="n">
        <v>0</v>
      </c>
      <c r="J341" t="n">
        <v>0</v>
      </c>
      <c r="K341" t="n">
        <v>0</v>
      </c>
      <c r="L341" t="n">
        <v>0</v>
      </c>
      <c r="M341" t="n">
        <v>0</v>
      </c>
      <c r="N341" t="n">
        <v>0</v>
      </c>
      <c r="O341" t="n">
        <v>0</v>
      </c>
      <c r="P341" t="n">
        <v>0</v>
      </c>
      <c r="Q341" t="n">
        <v>0</v>
      </c>
      <c r="R341" s="2" t="inlineStr"/>
    </row>
    <row r="342" ht="15" customHeight="1">
      <c r="A342" t="inlineStr">
        <is>
          <t>A 2676-2023</t>
        </is>
      </c>
      <c r="B342" s="1" t="n">
        <v>44944</v>
      </c>
      <c r="C342" s="1" t="n">
        <v>46043</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25796-2025</t>
        </is>
      </c>
      <c r="B343" s="1" t="n">
        <v>45804.39543981481</v>
      </c>
      <c r="C343" s="1" t="n">
        <v>46043</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3150-2025</t>
        </is>
      </c>
      <c r="B344" s="1" t="n">
        <v>45679.28974537037</v>
      </c>
      <c r="C344" s="1" t="n">
        <v>46043</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8484-2025</t>
        </is>
      </c>
      <c r="B345" s="1" t="n">
        <v>45709</v>
      </c>
      <c r="C345" s="1" t="n">
        <v>46043</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7635-2025</t>
        </is>
      </c>
      <c r="B346" s="1" t="n">
        <v>45705</v>
      </c>
      <c r="C346" s="1" t="n">
        <v>46043</v>
      </c>
      <c r="D346" t="inlineStr">
        <is>
          <t>GOTLANDS LÄN</t>
        </is>
      </c>
      <c r="E346" t="inlineStr">
        <is>
          <t>GOTLAND</t>
        </is>
      </c>
      <c r="G346" t="n">
        <v>0.9</v>
      </c>
      <c r="H346" t="n">
        <v>0</v>
      </c>
      <c r="I346" t="n">
        <v>0</v>
      </c>
      <c r="J346" t="n">
        <v>0</v>
      </c>
      <c r="K346" t="n">
        <v>0</v>
      </c>
      <c r="L346" t="n">
        <v>0</v>
      </c>
      <c r="M346" t="n">
        <v>0</v>
      </c>
      <c r="N346" t="n">
        <v>0</v>
      </c>
      <c r="O346" t="n">
        <v>0</v>
      </c>
      <c r="P346" t="n">
        <v>0</v>
      </c>
      <c r="Q346" t="n">
        <v>0</v>
      </c>
      <c r="R346" s="2" t="inlineStr"/>
    </row>
    <row r="347" ht="15" customHeight="1">
      <c r="A347" t="inlineStr">
        <is>
          <t>A 7636-2025</t>
        </is>
      </c>
      <c r="B347" s="1" t="n">
        <v>45705.7687962963</v>
      </c>
      <c r="C347" s="1" t="n">
        <v>46043</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7639-2025</t>
        </is>
      </c>
      <c r="B348" s="1" t="n">
        <v>45705.77465277778</v>
      </c>
      <c r="C348" s="1" t="n">
        <v>46043</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46043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46043</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48734-2022</t>
        </is>
      </c>
      <c r="B351" s="1" t="n">
        <v>44855</v>
      </c>
      <c r="C351" s="1" t="n">
        <v>46043</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14141-2024</t>
        </is>
      </c>
      <c r="B352" s="1" t="n">
        <v>45392.85193287037</v>
      </c>
      <c r="C352" s="1" t="n">
        <v>46043</v>
      </c>
      <c r="D352" t="inlineStr">
        <is>
          <t>GOTLANDS LÄN</t>
        </is>
      </c>
      <c r="E352" t="inlineStr">
        <is>
          <t>GOTLAND</t>
        </is>
      </c>
      <c r="G352" t="n">
        <v>5.3</v>
      </c>
      <c r="H352" t="n">
        <v>0</v>
      </c>
      <c r="I352" t="n">
        <v>0</v>
      </c>
      <c r="J352" t="n">
        <v>0</v>
      </c>
      <c r="K352" t="n">
        <v>0</v>
      </c>
      <c r="L352" t="n">
        <v>0</v>
      </c>
      <c r="M352" t="n">
        <v>0</v>
      </c>
      <c r="N352" t="n">
        <v>0</v>
      </c>
      <c r="O352" t="n">
        <v>0</v>
      </c>
      <c r="P352" t="n">
        <v>0</v>
      </c>
      <c r="Q352" t="n">
        <v>0</v>
      </c>
      <c r="R352" s="2" t="inlineStr"/>
    </row>
    <row r="353" ht="15" customHeight="1">
      <c r="A353" t="inlineStr">
        <is>
          <t>A 29809-2022</t>
        </is>
      </c>
      <c r="B353" s="1" t="n">
        <v>44755.8713425926</v>
      </c>
      <c r="C353" s="1" t="n">
        <v>46043</v>
      </c>
      <c r="D353" t="inlineStr">
        <is>
          <t>GOTLANDS LÄN</t>
        </is>
      </c>
      <c r="E353" t="inlineStr">
        <is>
          <t>GOTLAND</t>
        </is>
      </c>
      <c r="G353" t="n">
        <v>11.5</v>
      </c>
      <c r="H353" t="n">
        <v>0</v>
      </c>
      <c r="I353" t="n">
        <v>0</v>
      </c>
      <c r="J353" t="n">
        <v>0</v>
      </c>
      <c r="K353" t="n">
        <v>0</v>
      </c>
      <c r="L353" t="n">
        <v>0</v>
      </c>
      <c r="M353" t="n">
        <v>0</v>
      </c>
      <c r="N353" t="n">
        <v>0</v>
      </c>
      <c r="O353" t="n">
        <v>0</v>
      </c>
      <c r="P353" t="n">
        <v>0</v>
      </c>
      <c r="Q353" t="n">
        <v>0</v>
      </c>
      <c r="R353" s="2" t="inlineStr"/>
    </row>
    <row r="354" ht="15" customHeight="1">
      <c r="A354" t="inlineStr">
        <is>
          <t>A 32378-2025</t>
        </is>
      </c>
      <c r="B354" s="1" t="n">
        <v>45837</v>
      </c>
      <c r="C354" s="1" t="n">
        <v>46043</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35550-2025</t>
        </is>
      </c>
      <c r="B355" s="1" t="n">
        <v>45856.49324074074</v>
      </c>
      <c r="C355" s="1" t="n">
        <v>46043</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47578-2025</t>
        </is>
      </c>
      <c r="B356" s="1" t="n">
        <v>45931</v>
      </c>
      <c r="C356" s="1" t="n">
        <v>46043</v>
      </c>
      <c r="D356" t="inlineStr">
        <is>
          <t>GOTLANDS LÄN</t>
        </is>
      </c>
      <c r="E356" t="inlineStr">
        <is>
          <t>GOTLAND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57685-2022</t>
        </is>
      </c>
      <c r="B357" s="1" t="n">
        <v>44897.4777662037</v>
      </c>
      <c r="C357" s="1" t="n">
        <v>46043</v>
      </c>
      <c r="D357" t="inlineStr">
        <is>
          <t>GOTLANDS LÄN</t>
        </is>
      </c>
      <c r="E357" t="inlineStr">
        <is>
          <t>GOTLAND</t>
        </is>
      </c>
      <c r="G357" t="n">
        <v>3.7</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46043</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46043</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49690-2025</t>
        </is>
      </c>
      <c r="B360" s="1" t="n">
        <v>45939.66730324074</v>
      </c>
      <c r="C360" s="1" t="n">
        <v>46043</v>
      </c>
      <c r="D360" t="inlineStr">
        <is>
          <t>GOTLANDS LÄN</t>
        </is>
      </c>
      <c r="E360" t="inlineStr">
        <is>
          <t>GOTLAND</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33011-2025</t>
        </is>
      </c>
      <c r="B361" s="1" t="n">
        <v>45840</v>
      </c>
      <c r="C361" s="1" t="n">
        <v>46043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30815-2023</t>
        </is>
      </c>
      <c r="B362" s="1" t="n">
        <v>45112</v>
      </c>
      <c r="C362" s="1" t="n">
        <v>46043</v>
      </c>
      <c r="D362" t="inlineStr">
        <is>
          <t>GOTLANDS LÄN</t>
        </is>
      </c>
      <c r="E362" t="inlineStr">
        <is>
          <t>GOTLAND</t>
        </is>
      </c>
      <c r="G362" t="n">
        <v>6</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46043</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7034-2023</t>
        </is>
      </c>
      <c r="B364" s="1" t="n">
        <v>44968.32108796296</v>
      </c>
      <c r="C364" s="1" t="n">
        <v>46043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7042-2023</t>
        </is>
      </c>
      <c r="B365" s="1" t="n">
        <v>44968</v>
      </c>
      <c r="C365" s="1" t="n">
        <v>46043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46043</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64660-2023</t>
        </is>
      </c>
      <c r="B367" s="1" t="n">
        <v>45281.60122685185</v>
      </c>
      <c r="C367" s="1" t="n">
        <v>46043</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63763-2023</t>
        </is>
      </c>
      <c r="B368" s="1" t="n">
        <v>45278.33944444444</v>
      </c>
      <c r="C368" s="1" t="n">
        <v>46043</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46043</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46043</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46043</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26457-2025</t>
        </is>
      </c>
      <c r="B372" s="1" t="n">
        <v>45807.42773148148</v>
      </c>
      <c r="C372" s="1" t="n">
        <v>46043</v>
      </c>
      <c r="D372" t="inlineStr">
        <is>
          <t>GOTLANDS LÄN</t>
        </is>
      </c>
      <c r="E372" t="inlineStr">
        <is>
          <t>GOTLAND</t>
        </is>
      </c>
      <c r="G372" t="n">
        <v>5.7</v>
      </c>
      <c r="H372" t="n">
        <v>0</v>
      </c>
      <c r="I372" t="n">
        <v>0</v>
      </c>
      <c r="J372" t="n">
        <v>0</v>
      </c>
      <c r="K372" t="n">
        <v>0</v>
      </c>
      <c r="L372" t="n">
        <v>0</v>
      </c>
      <c r="M372" t="n">
        <v>0</v>
      </c>
      <c r="N372" t="n">
        <v>0</v>
      </c>
      <c r="O372" t="n">
        <v>0</v>
      </c>
      <c r="P372" t="n">
        <v>0</v>
      </c>
      <c r="Q372" t="n">
        <v>0</v>
      </c>
      <c r="R372" s="2" t="inlineStr"/>
    </row>
    <row r="373" ht="15" customHeight="1">
      <c r="A373" t="inlineStr">
        <is>
          <t>A 26467-2025</t>
        </is>
      </c>
      <c r="B373" s="1" t="n">
        <v>45807.44640046296</v>
      </c>
      <c r="C373" s="1" t="n">
        <v>46043</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50928-2025</t>
        </is>
      </c>
      <c r="B374" s="1" t="n">
        <v>45946.67896990741</v>
      </c>
      <c r="C374" s="1" t="n">
        <v>46043</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26465-2025</t>
        </is>
      </c>
      <c r="B375" s="1" t="n">
        <v>45807.44377314814</v>
      </c>
      <c r="C375" s="1" t="n">
        <v>46043</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26660-2025</t>
        </is>
      </c>
      <c r="B376" s="1" t="n">
        <v>45810.39737268518</v>
      </c>
      <c r="C376" s="1" t="n">
        <v>46043</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46043</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1734-2025</t>
        </is>
      </c>
      <c r="B378" s="1" t="n">
        <v>45671.3840625</v>
      </c>
      <c r="C378" s="1" t="n">
        <v>46043</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20993-2023</t>
        </is>
      </c>
      <c r="B379" s="1" t="n">
        <v>45056</v>
      </c>
      <c r="C379" s="1" t="n">
        <v>46043</v>
      </c>
      <c r="D379" t="inlineStr">
        <is>
          <t>GOTLANDS LÄN</t>
        </is>
      </c>
      <c r="E379" t="inlineStr">
        <is>
          <t>GOTLAND</t>
        </is>
      </c>
      <c r="G379" t="n">
        <v>7.1</v>
      </c>
      <c r="H379" t="n">
        <v>0</v>
      </c>
      <c r="I379" t="n">
        <v>0</v>
      </c>
      <c r="J379" t="n">
        <v>0</v>
      </c>
      <c r="K379" t="n">
        <v>0</v>
      </c>
      <c r="L379" t="n">
        <v>0</v>
      </c>
      <c r="M379" t="n">
        <v>0</v>
      </c>
      <c r="N379" t="n">
        <v>0</v>
      </c>
      <c r="O379" t="n">
        <v>0</v>
      </c>
      <c r="P379" t="n">
        <v>0</v>
      </c>
      <c r="Q379" t="n">
        <v>0</v>
      </c>
      <c r="R379" s="2" t="inlineStr"/>
    </row>
    <row r="380" ht="15" customHeight="1">
      <c r="A380" t="inlineStr">
        <is>
          <t>A 12596-2023</t>
        </is>
      </c>
      <c r="B380" s="1" t="n">
        <v>45000.43310185185</v>
      </c>
      <c r="C380" s="1" t="n">
        <v>46043</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46043</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52249-2025</t>
        </is>
      </c>
      <c r="B382" s="1" t="n">
        <v>45953.48637731482</v>
      </c>
      <c r="C382" s="1" t="n">
        <v>46043</v>
      </c>
      <c r="D382" t="inlineStr">
        <is>
          <t>GOTLANDS LÄN</t>
        </is>
      </c>
      <c r="E382" t="inlineStr">
        <is>
          <t>GOTLAND</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12155-2023</t>
        </is>
      </c>
      <c r="B383" s="1" t="n">
        <v>44998.49106481481</v>
      </c>
      <c r="C383" s="1" t="n">
        <v>46043</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457-2023</t>
        </is>
      </c>
      <c r="B384" s="1" t="n">
        <v>44929.87238425926</v>
      </c>
      <c r="C384" s="1" t="n">
        <v>46043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459-2023</t>
        </is>
      </c>
      <c r="B385" s="1" t="n">
        <v>44929.87423611111</v>
      </c>
      <c r="C385" s="1" t="n">
        <v>46043</v>
      </c>
      <c r="D385" t="inlineStr">
        <is>
          <t>GOTLANDS LÄN</t>
        </is>
      </c>
      <c r="E385" t="inlineStr">
        <is>
          <t>GOTLAND</t>
        </is>
      </c>
      <c r="G385" t="n">
        <v>4.2</v>
      </c>
      <c r="H385" t="n">
        <v>0</v>
      </c>
      <c r="I385" t="n">
        <v>0</v>
      </c>
      <c r="J385" t="n">
        <v>0</v>
      </c>
      <c r="K385" t="n">
        <v>0</v>
      </c>
      <c r="L385" t="n">
        <v>0</v>
      </c>
      <c r="M385" t="n">
        <v>0</v>
      </c>
      <c r="N385" t="n">
        <v>0</v>
      </c>
      <c r="O385" t="n">
        <v>0</v>
      </c>
      <c r="P385" t="n">
        <v>0</v>
      </c>
      <c r="Q385" t="n">
        <v>0</v>
      </c>
      <c r="R385" s="2" t="inlineStr"/>
    </row>
    <row r="386" ht="15" customHeight="1">
      <c r="A386" t="inlineStr">
        <is>
          <t>A 38234-2023</t>
        </is>
      </c>
      <c r="B386" s="1" t="n">
        <v>45161.56663194444</v>
      </c>
      <c r="C386" s="1" t="n">
        <v>46043</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46043</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52637-2025</t>
        </is>
      </c>
      <c r="B388" s="1" t="n">
        <v>45954.75099537037</v>
      </c>
      <c r="C388" s="1" t="n">
        <v>46043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46043</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27371-2025</t>
        </is>
      </c>
      <c r="B390" s="1" t="n">
        <v>45812</v>
      </c>
      <c r="C390" s="1" t="n">
        <v>46043</v>
      </c>
      <c r="D390" t="inlineStr">
        <is>
          <t>GOTLANDS LÄN</t>
        </is>
      </c>
      <c r="E390" t="inlineStr">
        <is>
          <t>GOTLAND</t>
        </is>
      </c>
      <c r="G390" t="n">
        <v>8</v>
      </c>
      <c r="H390" t="n">
        <v>0</v>
      </c>
      <c r="I390" t="n">
        <v>0</v>
      </c>
      <c r="J390" t="n">
        <v>0</v>
      </c>
      <c r="K390" t="n">
        <v>0</v>
      </c>
      <c r="L390" t="n">
        <v>0</v>
      </c>
      <c r="M390" t="n">
        <v>0</v>
      </c>
      <c r="N390" t="n">
        <v>0</v>
      </c>
      <c r="O390" t="n">
        <v>0</v>
      </c>
      <c r="P390" t="n">
        <v>0</v>
      </c>
      <c r="Q390" t="n">
        <v>0</v>
      </c>
      <c r="R390" s="2" t="inlineStr"/>
    </row>
    <row r="391" ht="15" customHeight="1">
      <c r="A391" t="inlineStr">
        <is>
          <t>A 27355-2025</t>
        </is>
      </c>
      <c r="B391" s="1" t="n">
        <v>45812</v>
      </c>
      <c r="C391" s="1" t="n">
        <v>46043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6739-2025</t>
        </is>
      </c>
      <c r="B392" s="1" t="n">
        <v>45700</v>
      </c>
      <c r="C392" s="1" t="n">
        <v>46043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7850-2025</t>
        </is>
      </c>
      <c r="B393" s="1" t="n">
        <v>45706</v>
      </c>
      <c r="C393" s="1" t="n">
        <v>46043</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53569-2025</t>
        </is>
      </c>
      <c r="B394" s="1" t="n">
        <v>45960.41155092593</v>
      </c>
      <c r="C394" s="1" t="n">
        <v>46043</v>
      </c>
      <c r="D394" t="inlineStr">
        <is>
          <t>GOTLANDS LÄN</t>
        </is>
      </c>
      <c r="E394" t="inlineStr">
        <is>
          <t>GOTLAND</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53577-2025</t>
        </is>
      </c>
      <c r="B395" s="1" t="n">
        <v>45960.42224537037</v>
      </c>
      <c r="C395" s="1" t="n">
        <v>46043</v>
      </c>
      <c r="D395" t="inlineStr">
        <is>
          <t>GOTLANDS LÄN</t>
        </is>
      </c>
      <c r="E395" t="inlineStr">
        <is>
          <t>GOTLAND</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53587-2025</t>
        </is>
      </c>
      <c r="B396" s="1" t="n">
        <v>45960.43681712963</v>
      </c>
      <c r="C396" s="1" t="n">
        <v>46043</v>
      </c>
      <c r="D396" t="inlineStr">
        <is>
          <t>GOTLANDS LÄN</t>
        </is>
      </c>
      <c r="E396" t="inlineStr">
        <is>
          <t>GOTLAND</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1446-2025</t>
        </is>
      </c>
      <c r="B397" s="1" t="n">
        <v>45669.86035879629</v>
      </c>
      <c r="C397" s="1" t="n">
        <v>46043</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62066-2025</t>
        </is>
      </c>
      <c r="B398" s="1" t="n">
        <v>46006.34738425926</v>
      </c>
      <c r="C398" s="1" t="n">
        <v>46043</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31264-2021</t>
        </is>
      </c>
      <c r="B399" s="1" t="n">
        <v>44368</v>
      </c>
      <c r="C399" s="1" t="n">
        <v>46043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8444-2025</t>
        </is>
      </c>
      <c r="B400" s="1" t="n">
        <v>45709</v>
      </c>
      <c r="C400" s="1" t="n">
        <v>46043</v>
      </c>
      <c r="D400" t="inlineStr">
        <is>
          <t>GOTLANDS LÄN</t>
        </is>
      </c>
      <c r="E400" t="inlineStr">
        <is>
          <t>GOTLAND</t>
        </is>
      </c>
      <c r="G400" t="n">
        <v>5.2</v>
      </c>
      <c r="H400" t="n">
        <v>0</v>
      </c>
      <c r="I400" t="n">
        <v>0</v>
      </c>
      <c r="J400" t="n">
        <v>0</v>
      </c>
      <c r="K400" t="n">
        <v>0</v>
      </c>
      <c r="L400" t="n">
        <v>0</v>
      </c>
      <c r="M400" t="n">
        <v>0</v>
      </c>
      <c r="N400" t="n">
        <v>0</v>
      </c>
      <c r="O400" t="n">
        <v>0</v>
      </c>
      <c r="P400" t="n">
        <v>0</v>
      </c>
      <c r="Q400" t="n">
        <v>0</v>
      </c>
      <c r="R400" s="2" t="inlineStr"/>
    </row>
    <row r="401" ht="15" customHeight="1">
      <c r="A401" t="inlineStr">
        <is>
          <t>A 53561-2025</t>
        </is>
      </c>
      <c r="B401" s="1" t="n">
        <v>45960.4059375</v>
      </c>
      <c r="C401" s="1" t="n">
        <v>46043</v>
      </c>
      <c r="D401" t="inlineStr">
        <is>
          <t>GOTLANDS LÄN</t>
        </is>
      </c>
      <c r="E401" t="inlineStr">
        <is>
          <t>GOTLAND</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43901-2023</t>
        </is>
      </c>
      <c r="B402" s="1" t="n">
        <v>45187</v>
      </c>
      <c r="C402" s="1" t="n">
        <v>46043</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10746-2025</t>
        </is>
      </c>
      <c r="B403" s="1" t="n">
        <v>45722.42766203704</v>
      </c>
      <c r="C403" s="1" t="n">
        <v>46043</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16501-2023</t>
        </is>
      </c>
      <c r="B404" s="1" t="n">
        <v>45029</v>
      </c>
      <c r="C404" s="1" t="n">
        <v>46043</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46043</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61962-2024</t>
        </is>
      </c>
      <c r="B406" s="1" t="n">
        <v>45653.54340277778</v>
      </c>
      <c r="C406" s="1" t="n">
        <v>46043</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10492-2023</t>
        </is>
      </c>
      <c r="B407" s="1" t="n">
        <v>44987</v>
      </c>
      <c r="C407" s="1" t="n">
        <v>46043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5909-2025</t>
        </is>
      </c>
      <c r="B408" s="1" t="n">
        <v>45695.40634259259</v>
      </c>
      <c r="C408" s="1" t="n">
        <v>46043</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10653-2023</t>
        </is>
      </c>
      <c r="B409" s="1" t="n">
        <v>44988.48859953704</v>
      </c>
      <c r="C409" s="1" t="n">
        <v>46043</v>
      </c>
      <c r="D409" t="inlineStr">
        <is>
          <t>GOTLANDS LÄN</t>
        </is>
      </c>
      <c r="E409" t="inlineStr">
        <is>
          <t>GOTLAND</t>
        </is>
      </c>
      <c r="F409" t="inlineStr">
        <is>
          <t>Kyrkan</t>
        </is>
      </c>
      <c r="G409" t="n">
        <v>3</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46043</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19905-2025</t>
        </is>
      </c>
      <c r="B411" s="1" t="n">
        <v>45771</v>
      </c>
      <c r="C411" s="1" t="n">
        <v>46043</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4990-2025</t>
        </is>
      </c>
      <c r="B412" s="1" t="n">
        <v>45691</v>
      </c>
      <c r="C412" s="1" t="n">
        <v>46043</v>
      </c>
      <c r="D412" t="inlineStr">
        <is>
          <t>GOTLANDS LÄN</t>
        </is>
      </c>
      <c r="E412" t="inlineStr">
        <is>
          <t>GOTLAND</t>
        </is>
      </c>
      <c r="G412" t="n">
        <v>7.7</v>
      </c>
      <c r="H412" t="n">
        <v>0</v>
      </c>
      <c r="I412" t="n">
        <v>0</v>
      </c>
      <c r="J412" t="n">
        <v>0</v>
      </c>
      <c r="K412" t="n">
        <v>0</v>
      </c>
      <c r="L412" t="n">
        <v>0</v>
      </c>
      <c r="M412" t="n">
        <v>0</v>
      </c>
      <c r="N412" t="n">
        <v>0</v>
      </c>
      <c r="O412" t="n">
        <v>0</v>
      </c>
      <c r="P412" t="n">
        <v>0</v>
      </c>
      <c r="Q412" t="n">
        <v>0</v>
      </c>
      <c r="R412" s="2" t="inlineStr"/>
    </row>
    <row r="413" ht="15" customHeight="1">
      <c r="A413" t="inlineStr">
        <is>
          <t>A 29196-2025</t>
        </is>
      </c>
      <c r="B413" s="1" t="n">
        <v>45822</v>
      </c>
      <c r="C413" s="1" t="n">
        <v>46043</v>
      </c>
      <c r="D413" t="inlineStr">
        <is>
          <t>GOTLANDS LÄN</t>
        </is>
      </c>
      <c r="E413" t="inlineStr">
        <is>
          <t>GOTLAND</t>
        </is>
      </c>
      <c r="G413" t="n">
        <v>0.5</v>
      </c>
      <c r="H413" t="n">
        <v>0</v>
      </c>
      <c r="I413" t="n">
        <v>0</v>
      </c>
      <c r="J413" t="n">
        <v>0</v>
      </c>
      <c r="K413" t="n">
        <v>0</v>
      </c>
      <c r="L413" t="n">
        <v>0</v>
      </c>
      <c r="M413" t="n">
        <v>0</v>
      </c>
      <c r="N413" t="n">
        <v>0</v>
      </c>
      <c r="O413" t="n">
        <v>0</v>
      </c>
      <c r="P413" t="n">
        <v>0</v>
      </c>
      <c r="Q413" t="n">
        <v>0</v>
      </c>
      <c r="R413" s="2" t="inlineStr"/>
    </row>
    <row r="414" ht="15" customHeight="1">
      <c r="A414" t="inlineStr">
        <is>
          <t>A 63002-2025</t>
        </is>
      </c>
      <c r="B414" s="1" t="n">
        <v>46009.56564814815</v>
      </c>
      <c r="C414" s="1" t="n">
        <v>46043</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29207-2025</t>
        </is>
      </c>
      <c r="B415" s="1" t="n">
        <v>45823</v>
      </c>
      <c r="C415" s="1" t="n">
        <v>46043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43081-2022</t>
        </is>
      </c>
      <c r="B416" s="1" t="n">
        <v>44833</v>
      </c>
      <c r="C416" s="1" t="n">
        <v>46043</v>
      </c>
      <c r="D416" t="inlineStr">
        <is>
          <t>GOTLANDS LÄN</t>
        </is>
      </c>
      <c r="E416" t="inlineStr">
        <is>
          <t>GOTLAND</t>
        </is>
      </c>
      <c r="G416" t="n">
        <v>6.8</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46043</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5884-2025</t>
        </is>
      </c>
      <c r="B418" s="1" t="n">
        <v>45695.37482638889</v>
      </c>
      <c r="C418" s="1" t="n">
        <v>46043</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5897-2025</t>
        </is>
      </c>
      <c r="B419" s="1" t="n">
        <v>45695.39273148148</v>
      </c>
      <c r="C419" s="1" t="n">
        <v>46043</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49693-2023</t>
        </is>
      </c>
      <c r="B420" s="1" t="n">
        <v>45212.38138888889</v>
      </c>
      <c r="C420" s="1" t="n">
        <v>46043</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49697-2023</t>
        </is>
      </c>
      <c r="B421" s="1" t="n">
        <v>45212.38909722222</v>
      </c>
      <c r="C421" s="1" t="n">
        <v>46043</v>
      </c>
      <c r="D421" t="inlineStr">
        <is>
          <t>GOTLANDS LÄN</t>
        </is>
      </c>
      <c r="E421" t="inlineStr">
        <is>
          <t>GOTLAND</t>
        </is>
      </c>
      <c r="G421" t="n">
        <v>4.4</v>
      </c>
      <c r="H421" t="n">
        <v>0</v>
      </c>
      <c r="I421" t="n">
        <v>0</v>
      </c>
      <c r="J421" t="n">
        <v>0</v>
      </c>
      <c r="K421" t="n">
        <v>0</v>
      </c>
      <c r="L421" t="n">
        <v>0</v>
      </c>
      <c r="M421" t="n">
        <v>0</v>
      </c>
      <c r="N421" t="n">
        <v>0</v>
      </c>
      <c r="O421" t="n">
        <v>0</v>
      </c>
      <c r="P421" t="n">
        <v>0</v>
      </c>
      <c r="Q421" t="n">
        <v>0</v>
      </c>
      <c r="R421" s="2" t="inlineStr"/>
    </row>
    <row r="422" ht="15" customHeight="1">
      <c r="A422" t="inlineStr">
        <is>
          <t>A 30061-2025</t>
        </is>
      </c>
      <c r="B422" s="1" t="n">
        <v>45826.61488425926</v>
      </c>
      <c r="C422" s="1" t="n">
        <v>46043</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17901-2023</t>
        </is>
      </c>
      <c r="B423" s="1" t="n">
        <v>45039</v>
      </c>
      <c r="C423" s="1" t="n">
        <v>46043</v>
      </c>
      <c r="D423" t="inlineStr">
        <is>
          <t>GOTLANDS LÄN</t>
        </is>
      </c>
      <c r="E423" t="inlineStr">
        <is>
          <t>GOTLAND</t>
        </is>
      </c>
      <c r="F423" t="inlineStr">
        <is>
          <t>Kyrkan</t>
        </is>
      </c>
      <c r="G423" t="n">
        <v>0.6</v>
      </c>
      <c r="H423" t="n">
        <v>0</v>
      </c>
      <c r="I423" t="n">
        <v>0</v>
      </c>
      <c r="J423" t="n">
        <v>0</v>
      </c>
      <c r="K423" t="n">
        <v>0</v>
      </c>
      <c r="L423" t="n">
        <v>0</v>
      </c>
      <c r="M423" t="n">
        <v>0</v>
      </c>
      <c r="N423" t="n">
        <v>0</v>
      </c>
      <c r="O423" t="n">
        <v>0</v>
      </c>
      <c r="P423" t="n">
        <v>0</v>
      </c>
      <c r="Q423" t="n">
        <v>0</v>
      </c>
      <c r="R423" s="2" t="inlineStr"/>
    </row>
    <row r="424" ht="15" customHeight="1">
      <c r="A424" t="inlineStr">
        <is>
          <t>A 58160-2024</t>
        </is>
      </c>
      <c r="B424" s="1" t="n">
        <v>45632.44927083333</v>
      </c>
      <c r="C424" s="1" t="n">
        <v>46043</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44467.49048611111</v>
      </c>
      <c r="C425" s="1" t="n">
        <v>46043</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46396-2023</t>
        </is>
      </c>
      <c r="B426" s="1" t="n">
        <v>45197</v>
      </c>
      <c r="C426" s="1" t="n">
        <v>46043</v>
      </c>
      <c r="D426" t="inlineStr">
        <is>
          <t>GOTLANDS LÄN</t>
        </is>
      </c>
      <c r="E426" t="inlineStr">
        <is>
          <t>GOTLAND</t>
        </is>
      </c>
      <c r="G426" t="n">
        <v>1.4</v>
      </c>
      <c r="H426" t="n">
        <v>0</v>
      </c>
      <c r="I426" t="n">
        <v>0</v>
      </c>
      <c r="J426" t="n">
        <v>0</v>
      </c>
      <c r="K426" t="n">
        <v>0</v>
      </c>
      <c r="L426" t="n">
        <v>0</v>
      </c>
      <c r="M426" t="n">
        <v>0</v>
      </c>
      <c r="N426" t="n">
        <v>0</v>
      </c>
      <c r="O426" t="n">
        <v>0</v>
      </c>
      <c r="P426" t="n">
        <v>0</v>
      </c>
      <c r="Q426" t="n">
        <v>0</v>
      </c>
      <c r="R426" s="2" t="inlineStr"/>
    </row>
    <row r="427" ht="15" customHeight="1">
      <c r="A427" t="inlineStr">
        <is>
          <t>A 56799-2025</t>
        </is>
      </c>
      <c r="B427" s="1" t="n">
        <v>45978.43392361111</v>
      </c>
      <c r="C427" s="1" t="n">
        <v>46043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46043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46043</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69112-2021</t>
        </is>
      </c>
      <c r="B430" s="1" t="n">
        <v>44530</v>
      </c>
      <c r="C430" s="1" t="n">
        <v>46043</v>
      </c>
      <c r="D430" t="inlineStr">
        <is>
          <t>GOTLANDS LÄN</t>
        </is>
      </c>
      <c r="E430" t="inlineStr">
        <is>
          <t>GOTLAND</t>
        </is>
      </c>
      <c r="G430" t="n">
        <v>4.2</v>
      </c>
      <c r="H430" t="n">
        <v>0</v>
      </c>
      <c r="I430" t="n">
        <v>0</v>
      </c>
      <c r="J430" t="n">
        <v>0</v>
      </c>
      <c r="K430" t="n">
        <v>0</v>
      </c>
      <c r="L430" t="n">
        <v>0</v>
      </c>
      <c r="M430" t="n">
        <v>0</v>
      </c>
      <c r="N430" t="n">
        <v>0</v>
      </c>
      <c r="O430" t="n">
        <v>0</v>
      </c>
      <c r="P430" t="n">
        <v>0</v>
      </c>
      <c r="Q430" t="n">
        <v>0</v>
      </c>
      <c r="R430" s="2" t="inlineStr"/>
    </row>
    <row r="431" ht="15" customHeight="1">
      <c r="A431" t="inlineStr">
        <is>
          <t>A 7638-2025</t>
        </is>
      </c>
      <c r="B431" s="1" t="n">
        <v>45705.77306712963</v>
      </c>
      <c r="C431" s="1" t="n">
        <v>46043</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32379-2025</t>
        </is>
      </c>
      <c r="B432" s="1" t="n">
        <v>45837</v>
      </c>
      <c r="C432" s="1" t="n">
        <v>46043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46043</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1394-2023</t>
        </is>
      </c>
      <c r="B434" s="1" t="n">
        <v>44936.72997685185</v>
      </c>
      <c r="C434" s="1" t="n">
        <v>46043</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32467-2025</t>
        </is>
      </c>
      <c r="B435" s="1" t="n">
        <v>45838.42111111111</v>
      </c>
      <c r="C435" s="1" t="n">
        <v>46043</v>
      </c>
      <c r="D435" t="inlineStr">
        <is>
          <t>GOTLANDS LÄN</t>
        </is>
      </c>
      <c r="E435" t="inlineStr">
        <is>
          <t>GOTLAND</t>
        </is>
      </c>
      <c r="G435" t="n">
        <v>4.3</v>
      </c>
      <c r="H435" t="n">
        <v>0</v>
      </c>
      <c r="I435" t="n">
        <v>0</v>
      </c>
      <c r="J435" t="n">
        <v>0</v>
      </c>
      <c r="K435" t="n">
        <v>0</v>
      </c>
      <c r="L435" t="n">
        <v>0</v>
      </c>
      <c r="M435" t="n">
        <v>0</v>
      </c>
      <c r="N435" t="n">
        <v>0</v>
      </c>
      <c r="O435" t="n">
        <v>0</v>
      </c>
      <c r="P435" t="n">
        <v>0</v>
      </c>
      <c r="Q435" t="n">
        <v>0</v>
      </c>
      <c r="R435" s="2" t="inlineStr"/>
    </row>
    <row r="436" ht="15" customHeight="1">
      <c r="A436" t="inlineStr">
        <is>
          <t>A 16109-2025</t>
        </is>
      </c>
      <c r="B436" s="1" t="n">
        <v>45750</v>
      </c>
      <c r="C436" s="1" t="n">
        <v>46043</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58230-2024</t>
        </is>
      </c>
      <c r="B437" s="1" t="n">
        <v>45632.51625</v>
      </c>
      <c r="C437" s="1" t="n">
        <v>46043</v>
      </c>
      <c r="D437" t="inlineStr">
        <is>
          <t>GOTLANDS LÄN</t>
        </is>
      </c>
      <c r="E437" t="inlineStr">
        <is>
          <t>GOTLAND</t>
        </is>
      </c>
      <c r="G437" t="n">
        <v>7.3</v>
      </c>
      <c r="H437" t="n">
        <v>0</v>
      </c>
      <c r="I437" t="n">
        <v>0</v>
      </c>
      <c r="J437" t="n">
        <v>0</v>
      </c>
      <c r="K437" t="n">
        <v>0</v>
      </c>
      <c r="L437" t="n">
        <v>0</v>
      </c>
      <c r="M437" t="n">
        <v>0</v>
      </c>
      <c r="N437" t="n">
        <v>0</v>
      </c>
      <c r="O437" t="n">
        <v>0</v>
      </c>
      <c r="P437" t="n">
        <v>0</v>
      </c>
      <c r="Q437" t="n">
        <v>0</v>
      </c>
      <c r="R437" s="2" t="inlineStr"/>
    </row>
    <row r="438" ht="15" customHeight="1">
      <c r="A438" t="inlineStr">
        <is>
          <t>A 1462-2025</t>
        </is>
      </c>
      <c r="B438" s="1" t="n">
        <v>45670.36319444444</v>
      </c>
      <c r="C438" s="1" t="n">
        <v>46043</v>
      </c>
      <c r="D438" t="inlineStr">
        <is>
          <t>GOTLANDS LÄN</t>
        </is>
      </c>
      <c r="E438" t="inlineStr">
        <is>
          <t>GOTLAND</t>
        </is>
      </c>
      <c r="G438" t="n">
        <v>2.8</v>
      </c>
      <c r="H438" t="n">
        <v>0</v>
      </c>
      <c r="I438" t="n">
        <v>0</v>
      </c>
      <c r="J438" t="n">
        <v>0</v>
      </c>
      <c r="K438" t="n">
        <v>0</v>
      </c>
      <c r="L438" t="n">
        <v>0</v>
      </c>
      <c r="M438" t="n">
        <v>0</v>
      </c>
      <c r="N438" t="n">
        <v>0</v>
      </c>
      <c r="O438" t="n">
        <v>0</v>
      </c>
      <c r="P438" t="n">
        <v>0</v>
      </c>
      <c r="Q438" t="n">
        <v>0</v>
      </c>
      <c r="R438" s="2" t="inlineStr"/>
    </row>
    <row r="439" ht="15" customHeight="1">
      <c r="A439" t="inlineStr">
        <is>
          <t>A 25129-2023</t>
        </is>
      </c>
      <c r="B439" s="1" t="n">
        <v>45086.44261574074</v>
      </c>
      <c r="C439" s="1" t="n">
        <v>46043</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24192-2023</t>
        </is>
      </c>
      <c r="B440" s="1" t="n">
        <v>45079</v>
      </c>
      <c r="C440" s="1" t="n">
        <v>46043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33007-2025</t>
        </is>
      </c>
      <c r="B441" s="1" t="n">
        <v>45840</v>
      </c>
      <c r="C441" s="1" t="n">
        <v>46043</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5386-2023</t>
        </is>
      </c>
      <c r="B442" s="1" t="n">
        <v>44959</v>
      </c>
      <c r="C442" s="1" t="n">
        <v>46043</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7026-2023</t>
        </is>
      </c>
      <c r="B443" s="1" t="n">
        <v>44968.30340277778</v>
      </c>
      <c r="C443" s="1" t="n">
        <v>46043</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20855-2023</t>
        </is>
      </c>
      <c r="B444" s="1" t="n">
        <v>45058.82172453704</v>
      </c>
      <c r="C444" s="1" t="n">
        <v>46043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1000-2024</t>
        </is>
      </c>
      <c r="B445" s="1" t="n">
        <v>45301.63371527778</v>
      </c>
      <c r="C445" s="1" t="n">
        <v>46043</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1010-2024</t>
        </is>
      </c>
      <c r="B446" s="1" t="n">
        <v>45301</v>
      </c>
      <c r="C446" s="1" t="n">
        <v>46043</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47762-2023</t>
        </is>
      </c>
      <c r="B447" s="1" t="n">
        <v>45203.86256944444</v>
      </c>
      <c r="C447" s="1" t="n">
        <v>46043</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46545-2024</t>
        </is>
      </c>
      <c r="B448" s="1" t="n">
        <v>45582.65831018519</v>
      </c>
      <c r="C448" s="1" t="n">
        <v>46043</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15413-2025</t>
        </is>
      </c>
      <c r="B449" s="1" t="n">
        <v>45747.451875</v>
      </c>
      <c r="C449" s="1" t="n">
        <v>46043</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60086-2022</t>
        </is>
      </c>
      <c r="B450" s="1" t="n">
        <v>44909</v>
      </c>
      <c r="C450" s="1" t="n">
        <v>46043</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46043</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28480-2023</t>
        </is>
      </c>
      <c r="B452" s="1" t="n">
        <v>45103</v>
      </c>
      <c r="C452" s="1" t="n">
        <v>46043</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28485-2023</t>
        </is>
      </c>
      <c r="B453" s="1" t="n">
        <v>45103.43731481482</v>
      </c>
      <c r="C453" s="1" t="n">
        <v>46043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35096-2025</t>
        </is>
      </c>
      <c r="B454" s="1" t="n">
        <v>45852.54356481481</v>
      </c>
      <c r="C454" s="1" t="n">
        <v>46043</v>
      </c>
      <c r="D454" t="inlineStr">
        <is>
          <t>GOTLANDS LÄN</t>
        </is>
      </c>
      <c r="E454" t="inlineStr">
        <is>
          <t>GOTLAND</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62915-2021</t>
        </is>
      </c>
      <c r="B455" s="1" t="n">
        <v>44504</v>
      </c>
      <c r="C455" s="1" t="n">
        <v>46043</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30104-2025</t>
        </is>
      </c>
      <c r="B456" s="1" t="n">
        <v>45826.68806712963</v>
      </c>
      <c r="C456" s="1" t="n">
        <v>46043</v>
      </c>
      <c r="D456" t="inlineStr">
        <is>
          <t>GOTLANDS LÄN</t>
        </is>
      </c>
      <c r="E456" t="inlineStr">
        <is>
          <t>GOTLAND</t>
        </is>
      </c>
      <c r="G456" t="n">
        <v>15.4</v>
      </c>
      <c r="H456" t="n">
        <v>0</v>
      </c>
      <c r="I456" t="n">
        <v>0</v>
      </c>
      <c r="J456" t="n">
        <v>0</v>
      </c>
      <c r="K456" t="n">
        <v>0</v>
      </c>
      <c r="L456" t="n">
        <v>0</v>
      </c>
      <c r="M456" t="n">
        <v>0</v>
      </c>
      <c r="N456" t="n">
        <v>0</v>
      </c>
      <c r="O456" t="n">
        <v>0</v>
      </c>
      <c r="P456" t="n">
        <v>0</v>
      </c>
      <c r="Q456" t="n">
        <v>0</v>
      </c>
      <c r="R456" s="2" t="inlineStr"/>
    </row>
    <row r="457" ht="15" customHeight="1">
      <c r="A457" t="inlineStr">
        <is>
          <t>A 44949-2023</t>
        </is>
      </c>
      <c r="B457" s="1" t="n">
        <v>45190.69520833333</v>
      </c>
      <c r="C457" s="1" t="n">
        <v>46043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35290-2025</t>
        </is>
      </c>
      <c r="B458" s="1" t="n">
        <v>45854.38502314815</v>
      </c>
      <c r="C458" s="1" t="n">
        <v>46043</v>
      </c>
      <c r="D458" t="inlineStr">
        <is>
          <t>GOTLANDS LÄN</t>
        </is>
      </c>
      <c r="E458" t="inlineStr">
        <is>
          <t>GOTLAND</t>
        </is>
      </c>
      <c r="G458" t="n">
        <v>5.4</v>
      </c>
      <c r="H458" t="n">
        <v>0</v>
      </c>
      <c r="I458" t="n">
        <v>0</v>
      </c>
      <c r="J458" t="n">
        <v>0</v>
      </c>
      <c r="K458" t="n">
        <v>0</v>
      </c>
      <c r="L458" t="n">
        <v>0</v>
      </c>
      <c r="M458" t="n">
        <v>0</v>
      </c>
      <c r="N458" t="n">
        <v>0</v>
      </c>
      <c r="O458" t="n">
        <v>0</v>
      </c>
      <c r="P458" t="n">
        <v>0</v>
      </c>
      <c r="Q458" t="n">
        <v>0</v>
      </c>
      <c r="R458" s="2" t="inlineStr"/>
    </row>
    <row r="459" ht="15" customHeight="1">
      <c r="A459" t="inlineStr">
        <is>
          <t>A 32669-2024</t>
        </is>
      </c>
      <c r="B459" s="1" t="n">
        <v>45514</v>
      </c>
      <c r="C459" s="1" t="n">
        <v>46043</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35537-2025</t>
        </is>
      </c>
      <c r="B460" s="1" t="n">
        <v>45856</v>
      </c>
      <c r="C460" s="1" t="n">
        <v>46043</v>
      </c>
      <c r="D460" t="inlineStr">
        <is>
          <t>GOTLANDS LÄN</t>
        </is>
      </c>
      <c r="E460" t="inlineStr">
        <is>
          <t>GOTLAND</t>
        </is>
      </c>
      <c r="G460" t="n">
        <v>16.8</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46043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3964-2024</t>
        </is>
      </c>
      <c r="B462" s="1" t="n">
        <v>45322</v>
      </c>
      <c r="C462" s="1" t="n">
        <v>46043</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45084-2024</t>
        </is>
      </c>
      <c r="B463" s="1" t="n">
        <v>45575</v>
      </c>
      <c r="C463" s="1" t="n">
        <v>46043</v>
      </c>
      <c r="D463" t="inlineStr">
        <is>
          <t>GOTLANDS LÄN</t>
        </is>
      </c>
      <c r="E463" t="inlineStr">
        <is>
          <t>GOTLAND</t>
        </is>
      </c>
      <c r="G463" t="n">
        <v>6.8</v>
      </c>
      <c r="H463" t="n">
        <v>0</v>
      </c>
      <c r="I463" t="n">
        <v>0</v>
      </c>
      <c r="J463" t="n">
        <v>0</v>
      </c>
      <c r="K463" t="n">
        <v>0</v>
      </c>
      <c r="L463" t="n">
        <v>0</v>
      </c>
      <c r="M463" t="n">
        <v>0</v>
      </c>
      <c r="N463" t="n">
        <v>0</v>
      </c>
      <c r="O463" t="n">
        <v>0</v>
      </c>
      <c r="P463" t="n">
        <v>0</v>
      </c>
      <c r="Q463" t="n">
        <v>0</v>
      </c>
      <c r="R463" s="2" t="inlineStr"/>
    </row>
    <row r="464" ht="15" customHeight="1">
      <c r="A464" t="inlineStr">
        <is>
          <t>A 15216-2025</t>
        </is>
      </c>
      <c r="B464" s="1" t="n">
        <v>45744</v>
      </c>
      <c r="C464" s="1" t="n">
        <v>46043</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43790-2024</t>
        </is>
      </c>
      <c r="B465" s="1" t="n">
        <v>45571</v>
      </c>
      <c r="C465" s="1" t="n">
        <v>46043</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15001-2025</t>
        </is>
      </c>
      <c r="B466" s="1" t="n">
        <v>45743</v>
      </c>
      <c r="C466" s="1" t="n">
        <v>46043</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30488-2025</t>
        </is>
      </c>
      <c r="B467" s="1" t="n">
        <v>45830</v>
      </c>
      <c r="C467" s="1" t="n">
        <v>46043</v>
      </c>
      <c r="D467" t="inlineStr">
        <is>
          <t>GOTLANDS LÄN</t>
        </is>
      </c>
      <c r="E467" t="inlineStr">
        <is>
          <t>GOTLAND</t>
        </is>
      </c>
      <c r="F467" t="inlineStr">
        <is>
          <t>Kyrkan</t>
        </is>
      </c>
      <c r="G467" t="n">
        <v>3.9</v>
      </c>
      <c r="H467" t="n">
        <v>0</v>
      </c>
      <c r="I467" t="n">
        <v>0</v>
      </c>
      <c r="J467" t="n">
        <v>0</v>
      </c>
      <c r="K467" t="n">
        <v>0</v>
      </c>
      <c r="L467" t="n">
        <v>0</v>
      </c>
      <c r="M467" t="n">
        <v>0</v>
      </c>
      <c r="N467" t="n">
        <v>0</v>
      </c>
      <c r="O467" t="n">
        <v>0</v>
      </c>
      <c r="P467" t="n">
        <v>0</v>
      </c>
      <c r="Q467" t="n">
        <v>0</v>
      </c>
      <c r="R467" s="2" t="inlineStr"/>
    </row>
    <row r="468" ht="15" customHeight="1">
      <c r="A468" t="inlineStr">
        <is>
          <t>A 17847-2025</t>
        </is>
      </c>
      <c r="B468" s="1" t="n">
        <v>45758</v>
      </c>
      <c r="C468" s="1" t="n">
        <v>46043</v>
      </c>
      <c r="D468" t="inlineStr">
        <is>
          <t>GOTLANDS LÄN</t>
        </is>
      </c>
      <c r="E468" t="inlineStr">
        <is>
          <t>GOTLAND</t>
        </is>
      </c>
      <c r="G468" t="n">
        <v>1.9</v>
      </c>
      <c r="H468" t="n">
        <v>0</v>
      </c>
      <c r="I468" t="n">
        <v>0</v>
      </c>
      <c r="J468" t="n">
        <v>0</v>
      </c>
      <c r="K468" t="n">
        <v>0</v>
      </c>
      <c r="L468" t="n">
        <v>0</v>
      </c>
      <c r="M468" t="n">
        <v>0</v>
      </c>
      <c r="N468" t="n">
        <v>0</v>
      </c>
      <c r="O468" t="n">
        <v>0</v>
      </c>
      <c r="P468" t="n">
        <v>0</v>
      </c>
      <c r="Q468" t="n">
        <v>0</v>
      </c>
      <c r="R468" s="2" t="inlineStr"/>
    </row>
    <row r="469" ht="15" customHeight="1">
      <c r="A469" t="inlineStr">
        <is>
          <t>A 18742-2025</t>
        </is>
      </c>
      <c r="B469" s="1" t="n">
        <v>45763</v>
      </c>
      <c r="C469" s="1" t="n">
        <v>46043</v>
      </c>
      <c r="D469" t="inlineStr">
        <is>
          <t>GOTLANDS LÄN</t>
        </is>
      </c>
      <c r="E469" t="inlineStr">
        <is>
          <t>GOTLAND</t>
        </is>
      </c>
      <c r="G469" t="n">
        <v>3.4</v>
      </c>
      <c r="H469" t="n">
        <v>0</v>
      </c>
      <c r="I469" t="n">
        <v>0</v>
      </c>
      <c r="J469" t="n">
        <v>0</v>
      </c>
      <c r="K469" t="n">
        <v>0</v>
      </c>
      <c r="L469" t="n">
        <v>0</v>
      </c>
      <c r="M469" t="n">
        <v>0</v>
      </c>
      <c r="N469" t="n">
        <v>0</v>
      </c>
      <c r="O469" t="n">
        <v>0</v>
      </c>
      <c r="P469" t="n">
        <v>0</v>
      </c>
      <c r="Q469" t="n">
        <v>0</v>
      </c>
      <c r="R469" s="2" t="inlineStr"/>
    </row>
    <row r="470" ht="15" customHeight="1">
      <c r="A470" t="inlineStr">
        <is>
          <t>A 35129-2025</t>
        </is>
      </c>
      <c r="B470" s="1" t="n">
        <v>45852.63224537037</v>
      </c>
      <c r="C470" s="1" t="n">
        <v>46043</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5217-2023</t>
        </is>
      </c>
      <c r="B471" s="1" t="n">
        <v>44959.39582175926</v>
      </c>
      <c r="C471" s="1" t="n">
        <v>46043</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46043</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45244-2024</t>
        </is>
      </c>
      <c r="B473" s="1" t="n">
        <v>45576</v>
      </c>
      <c r="C473" s="1" t="n">
        <v>46043</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8260-2023</t>
        </is>
      </c>
      <c r="B474" s="1" t="n">
        <v>44974.61608796296</v>
      </c>
      <c r="C474" s="1" t="n">
        <v>46043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64969-2023</t>
        </is>
      </c>
      <c r="B475" s="1" t="n">
        <v>45284.54009259259</v>
      </c>
      <c r="C475" s="1" t="n">
        <v>46043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48843-2024</t>
        </is>
      </c>
      <c r="B476" s="1" t="n">
        <v>45593</v>
      </c>
      <c r="C476" s="1" t="n">
        <v>46043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17541-2024</t>
        </is>
      </c>
      <c r="B477" s="1" t="n">
        <v>45415</v>
      </c>
      <c r="C477" s="1" t="n">
        <v>46043</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2241-2025</t>
        </is>
      </c>
      <c r="B478" s="1" t="n">
        <v>45673.48710648148</v>
      </c>
      <c r="C478" s="1" t="n">
        <v>46043</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6108-2025</t>
        </is>
      </c>
      <c r="B479" s="1" t="n">
        <v>45698.29880787037</v>
      </c>
      <c r="C479" s="1" t="n">
        <v>46043</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21142-2025</t>
        </is>
      </c>
      <c r="B480" s="1" t="n">
        <v>45779</v>
      </c>
      <c r="C480" s="1" t="n">
        <v>46043</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15434-2024</t>
        </is>
      </c>
      <c r="B481" s="1" t="n">
        <v>45401.38836805556</v>
      </c>
      <c r="C481" s="1" t="n">
        <v>46043</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17343-2025</t>
        </is>
      </c>
      <c r="B482" s="1" t="n">
        <v>45756.6687037037</v>
      </c>
      <c r="C482" s="1" t="n">
        <v>46043</v>
      </c>
      <c r="D482" t="inlineStr">
        <is>
          <t>GOTLANDS LÄN</t>
        </is>
      </c>
      <c r="E482" t="inlineStr">
        <is>
          <t>GOTLAND</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18938-2025</t>
        </is>
      </c>
      <c r="B483" s="1" t="n">
        <v>45764.49172453704</v>
      </c>
      <c r="C483" s="1" t="n">
        <v>46043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5943-2024</t>
        </is>
      </c>
      <c r="B484" s="1" t="n">
        <v>45336</v>
      </c>
      <c r="C484" s="1" t="n">
        <v>46043</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54073-2022</t>
        </is>
      </c>
      <c r="B485" s="1" t="n">
        <v>44881.50380787037</v>
      </c>
      <c r="C485" s="1" t="n">
        <v>46043</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46043</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46043</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41038-2023</t>
        </is>
      </c>
      <c r="B488" s="1" t="n">
        <v>45173.60959490741</v>
      </c>
      <c r="C488" s="1" t="n">
        <v>46043</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20307-2025</t>
        </is>
      </c>
      <c r="B489" s="1" t="n">
        <v>45774.95546296296</v>
      </c>
      <c r="C489" s="1" t="n">
        <v>46043</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14427-2024</t>
        </is>
      </c>
      <c r="B490" s="1" t="n">
        <v>45394</v>
      </c>
      <c r="C490" s="1" t="n">
        <v>46043</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31802-2024</t>
        </is>
      </c>
      <c r="B491" s="1" t="n">
        <v>45509</v>
      </c>
      <c r="C491" s="1" t="n">
        <v>46043</v>
      </c>
      <c r="D491" t="inlineStr">
        <is>
          <t>GOTLANDS LÄN</t>
        </is>
      </c>
      <c r="E491" t="inlineStr">
        <is>
          <t>GOTLAND</t>
        </is>
      </c>
      <c r="G491" t="n">
        <v>2.8</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44609.44362268518</v>
      </c>
      <c r="C492" s="1" t="n">
        <v>46043</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12846-2025</t>
        </is>
      </c>
      <c r="B493" s="1" t="n">
        <v>45733.65049768519</v>
      </c>
      <c r="C493" s="1" t="n">
        <v>46043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46949-2024</t>
        </is>
      </c>
      <c r="B494" s="1" t="n">
        <v>45585</v>
      </c>
      <c r="C494" s="1" t="n">
        <v>46043</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44624.57945601852</v>
      </c>
      <c r="C495" s="1" t="n">
        <v>46043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11634-2024</t>
        </is>
      </c>
      <c r="B496" s="1" t="n">
        <v>45373</v>
      </c>
      <c r="C496" s="1" t="n">
        <v>46043</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1351-2025</t>
        </is>
      </c>
      <c r="B497" s="1" t="n">
        <v>45667.62246527777</v>
      </c>
      <c r="C497" s="1" t="n">
        <v>46043</v>
      </c>
      <c r="D497" t="inlineStr">
        <is>
          <t>GOTLANDS LÄN</t>
        </is>
      </c>
      <c r="E497" t="inlineStr">
        <is>
          <t>GOTLAND</t>
        </is>
      </c>
      <c r="G497" t="n">
        <v>1.3</v>
      </c>
      <c r="H497" t="n">
        <v>0</v>
      </c>
      <c r="I497" t="n">
        <v>0</v>
      </c>
      <c r="J497" t="n">
        <v>0</v>
      </c>
      <c r="K497" t="n">
        <v>0</v>
      </c>
      <c r="L497" t="n">
        <v>0</v>
      </c>
      <c r="M497" t="n">
        <v>0</v>
      </c>
      <c r="N497" t="n">
        <v>0</v>
      </c>
      <c r="O497" t="n">
        <v>0</v>
      </c>
      <c r="P497" t="n">
        <v>0</v>
      </c>
      <c r="Q497" t="n">
        <v>0</v>
      </c>
      <c r="R497" s="2" t="inlineStr"/>
    </row>
    <row r="498" ht="15" customHeight="1">
      <c r="A498" t="inlineStr">
        <is>
          <t>A 39496-2022</t>
        </is>
      </c>
      <c r="B498" s="1" t="n">
        <v>44818</v>
      </c>
      <c r="C498" s="1" t="n">
        <v>46043</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49874-2024</t>
        </is>
      </c>
      <c r="B499" s="1" t="n">
        <v>45597.49274305555</v>
      </c>
      <c r="C499" s="1" t="n">
        <v>46043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42201-2023</t>
        </is>
      </c>
      <c r="B500" s="1" t="n">
        <v>45179</v>
      </c>
      <c r="C500" s="1" t="n">
        <v>46043</v>
      </c>
      <c r="D500" t="inlineStr">
        <is>
          <t>GOTLANDS LÄN</t>
        </is>
      </c>
      <c r="E500" t="inlineStr">
        <is>
          <t>GOTLAND</t>
        </is>
      </c>
      <c r="G500" t="n">
        <v>11.9</v>
      </c>
      <c r="H500" t="n">
        <v>0</v>
      </c>
      <c r="I500" t="n">
        <v>0</v>
      </c>
      <c r="J500" t="n">
        <v>0</v>
      </c>
      <c r="K500" t="n">
        <v>0</v>
      </c>
      <c r="L500" t="n">
        <v>0</v>
      </c>
      <c r="M500" t="n">
        <v>0</v>
      </c>
      <c r="N500" t="n">
        <v>0</v>
      </c>
      <c r="O500" t="n">
        <v>0</v>
      </c>
      <c r="P500" t="n">
        <v>0</v>
      </c>
      <c r="Q500" t="n">
        <v>0</v>
      </c>
      <c r="R500" s="2" t="inlineStr"/>
    </row>
    <row r="501" ht="15" customHeight="1">
      <c r="A501" t="inlineStr">
        <is>
          <t>A 46400-2023</t>
        </is>
      </c>
      <c r="B501" s="1" t="n">
        <v>45197.49290509259</v>
      </c>
      <c r="C501" s="1" t="n">
        <v>46043</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9875-2025</t>
        </is>
      </c>
      <c r="B502" s="1" t="n">
        <v>45716</v>
      </c>
      <c r="C502" s="1" t="n">
        <v>46043</v>
      </c>
      <c r="D502" t="inlineStr">
        <is>
          <t>GOTLANDS LÄN</t>
        </is>
      </c>
      <c r="E502" t="inlineStr">
        <is>
          <t>GOTLAND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21164-2024</t>
        </is>
      </c>
      <c r="B503" s="1" t="n">
        <v>45440</v>
      </c>
      <c r="C503" s="1" t="n">
        <v>46043</v>
      </c>
      <c r="D503" t="inlineStr">
        <is>
          <t>GOTLANDS LÄN</t>
        </is>
      </c>
      <c r="E503" t="inlineStr">
        <is>
          <t>GOTLAND</t>
        </is>
      </c>
      <c r="G503" t="n">
        <v>6.3</v>
      </c>
      <c r="H503" t="n">
        <v>0</v>
      </c>
      <c r="I503" t="n">
        <v>0</v>
      </c>
      <c r="J503" t="n">
        <v>0</v>
      </c>
      <c r="K503" t="n">
        <v>0</v>
      </c>
      <c r="L503" t="n">
        <v>0</v>
      </c>
      <c r="M503" t="n">
        <v>0</v>
      </c>
      <c r="N503" t="n">
        <v>0</v>
      </c>
      <c r="O503" t="n">
        <v>0</v>
      </c>
      <c r="P503" t="n">
        <v>0</v>
      </c>
      <c r="Q503" t="n">
        <v>0</v>
      </c>
      <c r="R503" s="2" t="inlineStr"/>
    </row>
    <row r="504" ht="15" customHeight="1">
      <c r="A504" t="inlineStr">
        <is>
          <t>A 8045-2022</t>
        </is>
      </c>
      <c r="B504" s="1" t="n">
        <v>44609</v>
      </c>
      <c r="C504" s="1" t="n">
        <v>46043</v>
      </c>
      <c r="D504" t="inlineStr">
        <is>
          <t>GOTLANDS LÄN</t>
        </is>
      </c>
      <c r="E504" t="inlineStr">
        <is>
          <t>GOTLAND</t>
        </is>
      </c>
      <c r="G504" t="n">
        <v>7</v>
      </c>
      <c r="H504" t="n">
        <v>0</v>
      </c>
      <c r="I504" t="n">
        <v>0</v>
      </c>
      <c r="J504" t="n">
        <v>0</v>
      </c>
      <c r="K504" t="n">
        <v>0</v>
      </c>
      <c r="L504" t="n">
        <v>0</v>
      </c>
      <c r="M504" t="n">
        <v>0</v>
      </c>
      <c r="N504" t="n">
        <v>0</v>
      </c>
      <c r="O504" t="n">
        <v>0</v>
      </c>
      <c r="P504" t="n">
        <v>0</v>
      </c>
      <c r="Q504" t="n">
        <v>0</v>
      </c>
      <c r="R504" s="2" t="inlineStr"/>
    </row>
    <row r="505" ht="15" customHeight="1">
      <c r="A505" t="inlineStr">
        <is>
          <t>A 22897-2023</t>
        </is>
      </c>
      <c r="B505" s="1" t="n">
        <v>45072.55239583334</v>
      </c>
      <c r="C505" s="1" t="n">
        <v>46043</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61897-2024</t>
        </is>
      </c>
      <c r="B506" s="1" t="n">
        <v>45652.75685185185</v>
      </c>
      <c r="C506" s="1" t="n">
        <v>46043</v>
      </c>
      <c r="D506" t="inlineStr">
        <is>
          <t>GOTLANDS LÄN</t>
        </is>
      </c>
      <c r="E506" t="inlineStr">
        <is>
          <t>GOTLAND</t>
        </is>
      </c>
      <c r="G506" t="n">
        <v>6.4</v>
      </c>
      <c r="H506" t="n">
        <v>0</v>
      </c>
      <c r="I506" t="n">
        <v>0</v>
      </c>
      <c r="J506" t="n">
        <v>0</v>
      </c>
      <c r="K506" t="n">
        <v>0</v>
      </c>
      <c r="L506" t="n">
        <v>0</v>
      </c>
      <c r="M506" t="n">
        <v>0</v>
      </c>
      <c r="N506" t="n">
        <v>0</v>
      </c>
      <c r="O506" t="n">
        <v>0</v>
      </c>
      <c r="P506" t="n">
        <v>0</v>
      </c>
      <c r="Q506" t="n">
        <v>0</v>
      </c>
      <c r="R506" s="2" t="inlineStr"/>
    </row>
    <row r="507" ht="15" customHeight="1">
      <c r="A507" t="inlineStr">
        <is>
          <t>A 49962-2023</t>
        </is>
      </c>
      <c r="B507" s="1" t="n">
        <v>45215.38775462963</v>
      </c>
      <c r="C507" s="1" t="n">
        <v>46043</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46043</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46043</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12032-2025</t>
        </is>
      </c>
      <c r="B510" s="1" t="n">
        <v>45728.64472222222</v>
      </c>
      <c r="C510" s="1" t="n">
        <v>46043</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38787-2023</t>
        </is>
      </c>
      <c r="B511" s="1" t="n">
        <v>45163</v>
      </c>
      <c r="C511" s="1" t="n">
        <v>46043</v>
      </c>
      <c r="D511" t="inlineStr">
        <is>
          <t>GOTLANDS LÄN</t>
        </is>
      </c>
      <c r="E511" t="inlineStr">
        <is>
          <t>GOTLAND</t>
        </is>
      </c>
      <c r="G511" t="n">
        <v>0.4</v>
      </c>
      <c r="H511" t="n">
        <v>0</v>
      </c>
      <c r="I511" t="n">
        <v>0</v>
      </c>
      <c r="J511" t="n">
        <v>0</v>
      </c>
      <c r="K511" t="n">
        <v>0</v>
      </c>
      <c r="L511" t="n">
        <v>0</v>
      </c>
      <c r="M511" t="n">
        <v>0</v>
      </c>
      <c r="N511" t="n">
        <v>0</v>
      </c>
      <c r="O511" t="n">
        <v>0</v>
      </c>
      <c r="P511" t="n">
        <v>0</v>
      </c>
      <c r="Q511" t="n">
        <v>0</v>
      </c>
      <c r="R511" s="2" t="inlineStr"/>
    </row>
    <row r="512" ht="15" customHeight="1">
      <c r="A512" t="inlineStr">
        <is>
          <t>A 43231-2023</t>
        </is>
      </c>
      <c r="B512" s="1" t="n">
        <v>45183.47025462963</v>
      </c>
      <c r="C512" s="1" t="n">
        <v>46043</v>
      </c>
      <c r="D512" t="inlineStr">
        <is>
          <t>GOTLANDS LÄN</t>
        </is>
      </c>
      <c r="E512" t="inlineStr">
        <is>
          <t>GOTLAND</t>
        </is>
      </c>
      <c r="G512" t="n">
        <v>3.6</v>
      </c>
      <c r="H512" t="n">
        <v>0</v>
      </c>
      <c r="I512" t="n">
        <v>0</v>
      </c>
      <c r="J512" t="n">
        <v>0</v>
      </c>
      <c r="K512" t="n">
        <v>0</v>
      </c>
      <c r="L512" t="n">
        <v>0</v>
      </c>
      <c r="M512" t="n">
        <v>0</v>
      </c>
      <c r="N512" t="n">
        <v>0</v>
      </c>
      <c r="O512" t="n">
        <v>0</v>
      </c>
      <c r="P512" t="n">
        <v>0</v>
      </c>
      <c r="Q512" t="n">
        <v>0</v>
      </c>
      <c r="R512" s="2" t="inlineStr"/>
    </row>
    <row r="513" ht="15" customHeight="1">
      <c r="A513" t="inlineStr">
        <is>
          <t>A 17532-2024</t>
        </is>
      </c>
      <c r="B513" s="1" t="n">
        <v>45415</v>
      </c>
      <c r="C513" s="1" t="n">
        <v>46043</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3935-2025</t>
        </is>
      </c>
      <c r="B514" s="1" t="n">
        <v>45684.46070601852</v>
      </c>
      <c r="C514" s="1" t="n">
        <v>46043</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20225-2025</t>
        </is>
      </c>
      <c r="B515" s="1" t="n">
        <v>45772.65802083333</v>
      </c>
      <c r="C515" s="1" t="n">
        <v>46043</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883-2025</t>
        </is>
      </c>
      <c r="B516" s="1" t="n">
        <v>45665</v>
      </c>
      <c r="C516" s="1" t="n">
        <v>46043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1066-2024</t>
        </is>
      </c>
      <c r="B517" s="1" t="n">
        <v>45302.285</v>
      </c>
      <c r="C517" s="1" t="n">
        <v>46043</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17144-2025</t>
        </is>
      </c>
      <c r="B518" s="1" t="n">
        <v>45755.9499537037</v>
      </c>
      <c r="C518" s="1" t="n">
        <v>46043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56009-2024</t>
        </is>
      </c>
      <c r="B519" s="1" t="n">
        <v>45623.80864583333</v>
      </c>
      <c r="C519" s="1" t="n">
        <v>46043</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42338-2023</t>
        </is>
      </c>
      <c r="B520" s="1" t="n">
        <v>45180</v>
      </c>
      <c r="C520" s="1" t="n">
        <v>46043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581-2023</t>
        </is>
      </c>
      <c r="B521" s="1" t="n">
        <v>44930</v>
      </c>
      <c r="C521" s="1" t="n">
        <v>46043</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61386-2023</t>
        </is>
      </c>
      <c r="B522" s="1" t="n">
        <v>45264</v>
      </c>
      <c r="C522" s="1" t="n">
        <v>46043</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873-2024</t>
        </is>
      </c>
      <c r="B523" s="1" t="n">
        <v>45301</v>
      </c>
      <c r="C523" s="1" t="n">
        <v>46043</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49411-2023</t>
        </is>
      </c>
      <c r="B524" s="1" t="n">
        <v>45205</v>
      </c>
      <c r="C524" s="1" t="n">
        <v>46043</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22275-2023</t>
        </is>
      </c>
      <c r="B525" s="1" t="n">
        <v>45070.39875</v>
      </c>
      <c r="C525" s="1" t="n">
        <v>46043</v>
      </c>
      <c r="D525" t="inlineStr">
        <is>
          <t>GOTLANDS LÄN</t>
        </is>
      </c>
      <c r="E525" t="inlineStr">
        <is>
          <t>GOTLAND</t>
        </is>
      </c>
      <c r="G525" t="n">
        <v>7.2</v>
      </c>
      <c r="H525" t="n">
        <v>0</v>
      </c>
      <c r="I525" t="n">
        <v>0</v>
      </c>
      <c r="J525" t="n">
        <v>0</v>
      </c>
      <c r="K525" t="n">
        <v>0</v>
      </c>
      <c r="L525" t="n">
        <v>0</v>
      </c>
      <c r="M525" t="n">
        <v>0</v>
      </c>
      <c r="N525" t="n">
        <v>0</v>
      </c>
      <c r="O525" t="n">
        <v>0</v>
      </c>
      <c r="P525" t="n">
        <v>0</v>
      </c>
      <c r="Q525" t="n">
        <v>0</v>
      </c>
      <c r="R525" s="2" t="inlineStr"/>
    </row>
    <row r="526" ht="15" customHeight="1">
      <c r="A526" t="inlineStr">
        <is>
          <t>A 12322-2025</t>
        </is>
      </c>
      <c r="B526" s="1" t="n">
        <v>45730</v>
      </c>
      <c r="C526" s="1" t="n">
        <v>46043</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14797-2024</t>
        </is>
      </c>
      <c r="B527" s="1" t="n">
        <v>45397.87030092593</v>
      </c>
      <c r="C527" s="1" t="n">
        <v>46043</v>
      </c>
      <c r="D527" t="inlineStr">
        <is>
          <t>GOTLANDS LÄN</t>
        </is>
      </c>
      <c r="E527" t="inlineStr">
        <is>
          <t>GOTLAND</t>
        </is>
      </c>
      <c r="G527" t="n">
        <v>8.1</v>
      </c>
      <c r="H527" t="n">
        <v>0</v>
      </c>
      <c r="I527" t="n">
        <v>0</v>
      </c>
      <c r="J527" t="n">
        <v>0</v>
      </c>
      <c r="K527" t="n">
        <v>0</v>
      </c>
      <c r="L527" t="n">
        <v>0</v>
      </c>
      <c r="M527" t="n">
        <v>0</v>
      </c>
      <c r="N527" t="n">
        <v>0</v>
      </c>
      <c r="O527" t="n">
        <v>0</v>
      </c>
      <c r="P527" t="n">
        <v>0</v>
      </c>
      <c r="Q527" t="n">
        <v>0</v>
      </c>
      <c r="R527" s="2" t="inlineStr"/>
    </row>
    <row r="528" ht="15" customHeight="1">
      <c r="A528" t="inlineStr">
        <is>
          <t>A 999-2024</t>
        </is>
      </c>
      <c r="B528" s="1" t="n">
        <v>45301</v>
      </c>
      <c r="C528" s="1" t="n">
        <v>46043</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61596-2023</t>
        </is>
      </c>
      <c r="B529" s="1" t="n">
        <v>45265</v>
      </c>
      <c r="C529" s="1" t="n">
        <v>46043</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14638-2025</t>
        </is>
      </c>
      <c r="B530" s="1" t="n">
        <v>45742</v>
      </c>
      <c r="C530" s="1" t="n">
        <v>46043</v>
      </c>
      <c r="D530" t="inlineStr">
        <is>
          <t>GOTLANDS LÄN</t>
        </is>
      </c>
      <c r="E530" t="inlineStr">
        <is>
          <t>GOTLAND</t>
        </is>
      </c>
      <c r="G530" t="n">
        <v>13.4</v>
      </c>
      <c r="H530" t="n">
        <v>0</v>
      </c>
      <c r="I530" t="n">
        <v>0</v>
      </c>
      <c r="J530" t="n">
        <v>0</v>
      </c>
      <c r="K530" t="n">
        <v>0</v>
      </c>
      <c r="L530" t="n">
        <v>0</v>
      </c>
      <c r="M530" t="n">
        <v>0</v>
      </c>
      <c r="N530" t="n">
        <v>0</v>
      </c>
      <c r="O530" t="n">
        <v>0</v>
      </c>
      <c r="P530" t="n">
        <v>0</v>
      </c>
      <c r="Q530" t="n">
        <v>0</v>
      </c>
      <c r="R530" s="2" t="inlineStr"/>
    </row>
    <row r="531" ht="15" customHeight="1">
      <c r="A531" t="inlineStr">
        <is>
          <t>A 60675-2021</t>
        </is>
      </c>
      <c r="B531" s="1" t="n">
        <v>44496.64855324074</v>
      </c>
      <c r="C531" s="1" t="n">
        <v>46043</v>
      </c>
      <c r="D531" t="inlineStr">
        <is>
          <t>GOTLANDS LÄN</t>
        </is>
      </c>
      <c r="E531" t="inlineStr">
        <is>
          <t>GOTLAND</t>
        </is>
      </c>
      <c r="G531" t="n">
        <v>4.6</v>
      </c>
      <c r="H531" t="n">
        <v>0</v>
      </c>
      <c r="I531" t="n">
        <v>0</v>
      </c>
      <c r="J531" t="n">
        <v>0</v>
      </c>
      <c r="K531" t="n">
        <v>0</v>
      </c>
      <c r="L531" t="n">
        <v>0</v>
      </c>
      <c r="M531" t="n">
        <v>0</v>
      </c>
      <c r="N531" t="n">
        <v>0</v>
      </c>
      <c r="O531" t="n">
        <v>0</v>
      </c>
      <c r="P531" t="n">
        <v>0</v>
      </c>
      <c r="Q531" t="n">
        <v>0</v>
      </c>
      <c r="R531" s="2" t="inlineStr"/>
    </row>
    <row r="532" ht="15" customHeight="1">
      <c r="A532" t="inlineStr">
        <is>
          <t>A 37728-2024</t>
        </is>
      </c>
      <c r="B532" s="1" t="n">
        <v>45541</v>
      </c>
      <c r="C532" s="1" t="n">
        <v>46043</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22287-2022</t>
        </is>
      </c>
      <c r="B533" s="1" t="n">
        <v>44712</v>
      </c>
      <c r="C533" s="1" t="n">
        <v>46043</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46043</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46043</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13910-2025</t>
        </is>
      </c>
      <c r="B536" s="1" t="n">
        <v>45737</v>
      </c>
      <c r="C536" s="1" t="n">
        <v>46043</v>
      </c>
      <c r="D536" t="inlineStr">
        <is>
          <t>GOTLANDS LÄN</t>
        </is>
      </c>
      <c r="E536" t="inlineStr">
        <is>
          <t>GOTLAND</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17780-2022</t>
        </is>
      </c>
      <c r="B537" s="1" t="n">
        <v>44682.82622685185</v>
      </c>
      <c r="C537" s="1" t="n">
        <v>46043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59986-2022</t>
        </is>
      </c>
      <c r="B538" s="1" t="n">
        <v>44909</v>
      </c>
      <c r="C538" s="1" t="n">
        <v>46043</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14536-2021</t>
        </is>
      </c>
      <c r="B539" s="1" t="n">
        <v>44279.66168981481</v>
      </c>
      <c r="C539" s="1" t="n">
        <v>46043</v>
      </c>
      <c r="D539" t="inlineStr">
        <is>
          <t>GOTLANDS LÄN</t>
        </is>
      </c>
      <c r="E539" t="inlineStr">
        <is>
          <t>GOTLAND</t>
        </is>
      </c>
      <c r="G539" t="n">
        <v>8.5</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46043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46043</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46043</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64555-2023</t>
        </is>
      </c>
      <c r="B543" s="1" t="n">
        <v>45281</v>
      </c>
      <c r="C543" s="1" t="n">
        <v>46043</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64831-2023</t>
        </is>
      </c>
      <c r="B544" s="1" t="n">
        <v>45282.44924768519</v>
      </c>
      <c r="C544" s="1" t="n">
        <v>46043</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14804-2021</t>
        </is>
      </c>
      <c r="B545" s="1" t="n">
        <v>44280</v>
      </c>
      <c r="C545" s="1" t="n">
        <v>46043</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999-2023</t>
        </is>
      </c>
      <c r="B546" s="1" t="n">
        <v>44935</v>
      </c>
      <c r="C546" s="1" t="n">
        <v>46043</v>
      </c>
      <c r="D546" t="inlineStr">
        <is>
          <t>GOTLANDS LÄN</t>
        </is>
      </c>
      <c r="E546" t="inlineStr">
        <is>
          <t>GOTLAND</t>
        </is>
      </c>
      <c r="G546" t="n">
        <v>4.7</v>
      </c>
      <c r="H546" t="n">
        <v>0</v>
      </c>
      <c r="I546" t="n">
        <v>0</v>
      </c>
      <c r="J546" t="n">
        <v>0</v>
      </c>
      <c r="K546" t="n">
        <v>0</v>
      </c>
      <c r="L546" t="n">
        <v>0</v>
      </c>
      <c r="M546" t="n">
        <v>0</v>
      </c>
      <c r="N546" t="n">
        <v>0</v>
      </c>
      <c r="O546" t="n">
        <v>0</v>
      </c>
      <c r="P546" t="n">
        <v>0</v>
      </c>
      <c r="Q546" t="n">
        <v>0</v>
      </c>
      <c r="R546" s="2" t="inlineStr"/>
    </row>
    <row r="547" ht="15" customHeight="1">
      <c r="A547" t="inlineStr">
        <is>
          <t>A 27602-2023</t>
        </is>
      </c>
      <c r="B547" s="1" t="n">
        <v>45097</v>
      </c>
      <c r="C547" s="1" t="n">
        <v>46043</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46043</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4387-2023</t>
        </is>
      </c>
      <c r="B549" s="1" t="n">
        <v>44955.73359953704</v>
      </c>
      <c r="C549" s="1" t="n">
        <v>46043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39479-2022</t>
        </is>
      </c>
      <c r="B550" s="1" t="n">
        <v>44818</v>
      </c>
      <c r="C550" s="1" t="n">
        <v>46043</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51963-2024</t>
        </is>
      </c>
      <c r="B551" s="1" t="n">
        <v>45607.64833333333</v>
      </c>
      <c r="C551" s="1" t="n">
        <v>46043</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811-2023</t>
        </is>
      </c>
      <c r="B552" s="1" t="n">
        <v>44931</v>
      </c>
      <c r="C552" s="1" t="n">
        <v>46043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46389-2021</t>
        </is>
      </c>
      <c r="B553" s="1" t="n">
        <v>44443</v>
      </c>
      <c r="C553" s="1" t="n">
        <v>46043</v>
      </c>
      <c r="D553" t="inlineStr">
        <is>
          <t>GOTLANDS LÄN</t>
        </is>
      </c>
      <c r="E553" t="inlineStr">
        <is>
          <t>GOTLAND</t>
        </is>
      </c>
      <c r="F553" t="inlineStr">
        <is>
          <t>Kyrkan</t>
        </is>
      </c>
      <c r="G553" t="n">
        <v>2.1</v>
      </c>
      <c r="H553" t="n">
        <v>0</v>
      </c>
      <c r="I553" t="n">
        <v>0</v>
      </c>
      <c r="J553" t="n">
        <v>0</v>
      </c>
      <c r="K553" t="n">
        <v>0</v>
      </c>
      <c r="L553" t="n">
        <v>0</v>
      </c>
      <c r="M553" t="n">
        <v>0</v>
      </c>
      <c r="N553" t="n">
        <v>0</v>
      </c>
      <c r="O553" t="n">
        <v>0</v>
      </c>
      <c r="P553" t="n">
        <v>0</v>
      </c>
      <c r="Q553" t="n">
        <v>0</v>
      </c>
      <c r="R553" s="2" t="inlineStr"/>
    </row>
    <row r="554" ht="15" customHeight="1">
      <c r="A554" t="inlineStr">
        <is>
          <t>A 26810-2021</t>
        </is>
      </c>
      <c r="B554" s="1" t="n">
        <v>44349.55087962963</v>
      </c>
      <c r="C554" s="1" t="n">
        <v>46043</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5923-2023</t>
        </is>
      </c>
      <c r="B555" s="1" t="n">
        <v>44963.69503472222</v>
      </c>
      <c r="C555" s="1" t="n">
        <v>46043</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33853-2024</t>
        </is>
      </c>
      <c r="B556" s="1" t="n">
        <v>45520.64298611111</v>
      </c>
      <c r="C556" s="1" t="n">
        <v>46043</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18918-2025</t>
        </is>
      </c>
      <c r="B557" s="1" t="n">
        <v>45764</v>
      </c>
      <c r="C557" s="1" t="n">
        <v>46043</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46043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46043</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44944.55361111111</v>
      </c>
      <c r="C560" s="1" t="n">
        <v>46043</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26891-2024</t>
        </is>
      </c>
      <c r="B561" s="1" t="n">
        <v>45470.65540509259</v>
      </c>
      <c r="C561" s="1" t="n">
        <v>46043</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42007-2023</t>
        </is>
      </c>
      <c r="B562" s="1" t="n">
        <v>45177</v>
      </c>
      <c r="C562" s="1" t="n">
        <v>46043</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9887-2025</t>
        </is>
      </c>
      <c r="B563" s="1" t="n">
        <v>45716</v>
      </c>
      <c r="C563" s="1" t="n">
        <v>46043</v>
      </c>
      <c r="D563" t="inlineStr">
        <is>
          <t>GOTLANDS LÄN</t>
        </is>
      </c>
      <c r="E563" t="inlineStr">
        <is>
          <t>GOTLAND</t>
        </is>
      </c>
      <c r="G563" t="n">
        <v>7.5</v>
      </c>
      <c r="H563" t="n">
        <v>0</v>
      </c>
      <c r="I563" t="n">
        <v>0</v>
      </c>
      <c r="J563" t="n">
        <v>0</v>
      </c>
      <c r="K563" t="n">
        <v>0</v>
      </c>
      <c r="L563" t="n">
        <v>0</v>
      </c>
      <c r="M563" t="n">
        <v>0</v>
      </c>
      <c r="N563" t="n">
        <v>0</v>
      </c>
      <c r="O563" t="n">
        <v>0</v>
      </c>
      <c r="P563" t="n">
        <v>0</v>
      </c>
      <c r="Q563" t="n">
        <v>0</v>
      </c>
      <c r="R563" s="2" t="inlineStr"/>
    </row>
    <row r="564" ht="15" customHeight="1">
      <c r="A564" t="inlineStr">
        <is>
          <t>A 38165-2023</t>
        </is>
      </c>
      <c r="B564" s="1" t="n">
        <v>45161</v>
      </c>
      <c r="C564" s="1" t="n">
        <v>46043</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27596-2023</t>
        </is>
      </c>
      <c r="B565" s="1" t="n">
        <v>45097</v>
      </c>
      <c r="C565" s="1" t="n">
        <v>46043</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24825-2024</t>
        </is>
      </c>
      <c r="B566" s="1" t="n">
        <v>45461</v>
      </c>
      <c r="C566" s="1" t="n">
        <v>46043</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6696-2023</t>
        </is>
      </c>
      <c r="B567" s="1" t="n">
        <v>44966.66425925926</v>
      </c>
      <c r="C567" s="1" t="n">
        <v>46043</v>
      </c>
      <c r="D567" t="inlineStr">
        <is>
          <t>GOTLANDS LÄN</t>
        </is>
      </c>
      <c r="E567" t="inlineStr">
        <is>
          <t>GOTLAND</t>
        </is>
      </c>
      <c r="G567" t="n">
        <v>1.5</v>
      </c>
      <c r="H567" t="n">
        <v>0</v>
      </c>
      <c r="I567" t="n">
        <v>0</v>
      </c>
      <c r="J567" t="n">
        <v>0</v>
      </c>
      <c r="K567" t="n">
        <v>0</v>
      </c>
      <c r="L567" t="n">
        <v>0</v>
      </c>
      <c r="M567" t="n">
        <v>0</v>
      </c>
      <c r="N567" t="n">
        <v>0</v>
      </c>
      <c r="O567" t="n">
        <v>0</v>
      </c>
      <c r="P567" t="n">
        <v>0</v>
      </c>
      <c r="Q567" t="n">
        <v>0</v>
      </c>
      <c r="R567" s="2" t="inlineStr"/>
    </row>
    <row r="568" ht="15" customHeight="1">
      <c r="A568" t="inlineStr">
        <is>
          <t>A 21247-2022</t>
        </is>
      </c>
      <c r="B568" s="1" t="n">
        <v>44705.38832175926</v>
      </c>
      <c r="C568" s="1" t="n">
        <v>46043</v>
      </c>
      <c r="D568" t="inlineStr">
        <is>
          <t>GOTLANDS LÄN</t>
        </is>
      </c>
      <c r="E568" t="inlineStr">
        <is>
          <t>GOTLAND</t>
        </is>
      </c>
      <c r="G568" t="n">
        <v>16.2</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44929.87122685185</v>
      </c>
      <c r="C569" s="1" t="n">
        <v>46043</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46043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4421-2024</t>
        </is>
      </c>
      <c r="B571" s="1" t="n">
        <v>45327.45173611111</v>
      </c>
      <c r="C571" s="1" t="n">
        <v>46043</v>
      </c>
      <c r="D571" t="inlineStr">
        <is>
          <t>GOTLANDS LÄN</t>
        </is>
      </c>
      <c r="E571" t="inlineStr">
        <is>
          <t>GOTLAND</t>
        </is>
      </c>
      <c r="G571" t="n">
        <v>5.1</v>
      </c>
      <c r="H571" t="n">
        <v>0</v>
      </c>
      <c r="I571" t="n">
        <v>0</v>
      </c>
      <c r="J571" t="n">
        <v>0</v>
      </c>
      <c r="K571" t="n">
        <v>0</v>
      </c>
      <c r="L571" t="n">
        <v>0</v>
      </c>
      <c r="M571" t="n">
        <v>0</v>
      </c>
      <c r="N571" t="n">
        <v>0</v>
      </c>
      <c r="O571" t="n">
        <v>0</v>
      </c>
      <c r="P571" t="n">
        <v>0</v>
      </c>
      <c r="Q571" t="n">
        <v>0</v>
      </c>
      <c r="R571" s="2" t="inlineStr"/>
    </row>
    <row r="572" ht="15" customHeight="1">
      <c r="A572" t="inlineStr">
        <is>
          <t>A 51782-2023</t>
        </is>
      </c>
      <c r="B572" s="1" t="n">
        <v>45222.80952546297</v>
      </c>
      <c r="C572" s="1" t="n">
        <v>46043</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54268-2022</t>
        </is>
      </c>
      <c r="B573" s="1" t="n">
        <v>44882</v>
      </c>
      <c r="C573" s="1" t="n">
        <v>46043</v>
      </c>
      <c r="D573" t="inlineStr">
        <is>
          <t>GOTLANDS LÄN</t>
        </is>
      </c>
      <c r="E573" t="inlineStr">
        <is>
          <t>GOTLAND</t>
        </is>
      </c>
      <c r="G573" t="n">
        <v>2.7</v>
      </c>
      <c r="H573" t="n">
        <v>0</v>
      </c>
      <c r="I573" t="n">
        <v>0</v>
      </c>
      <c r="J573" t="n">
        <v>0</v>
      </c>
      <c r="K573" t="n">
        <v>0</v>
      </c>
      <c r="L573" t="n">
        <v>0</v>
      </c>
      <c r="M573" t="n">
        <v>0</v>
      </c>
      <c r="N573" t="n">
        <v>0</v>
      </c>
      <c r="O573" t="n">
        <v>0</v>
      </c>
      <c r="P573" t="n">
        <v>0</v>
      </c>
      <c r="Q573" t="n">
        <v>0</v>
      </c>
      <c r="R573" s="2" t="inlineStr"/>
    </row>
    <row r="574" ht="15" customHeight="1">
      <c r="A574" t="inlineStr">
        <is>
          <t>A 57534-2022</t>
        </is>
      </c>
      <c r="B574" s="1" t="n">
        <v>44896</v>
      </c>
      <c r="C574" s="1" t="n">
        <v>46043</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25866-2022</t>
        </is>
      </c>
      <c r="B575" s="1" t="n">
        <v>44733</v>
      </c>
      <c r="C575" s="1" t="n">
        <v>46043</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43229-2023</t>
        </is>
      </c>
      <c r="B576" s="1" t="n">
        <v>45183.46704861111</v>
      </c>
      <c r="C576" s="1" t="n">
        <v>46043</v>
      </c>
      <c r="D576" t="inlineStr">
        <is>
          <t>GOTLANDS LÄN</t>
        </is>
      </c>
      <c r="E576" t="inlineStr">
        <is>
          <t>GOTLAND</t>
        </is>
      </c>
      <c r="G576" t="n">
        <v>7.1</v>
      </c>
      <c r="H576" t="n">
        <v>0</v>
      </c>
      <c r="I576" t="n">
        <v>0</v>
      </c>
      <c r="J576" t="n">
        <v>0</v>
      </c>
      <c r="K576" t="n">
        <v>0</v>
      </c>
      <c r="L576" t="n">
        <v>0</v>
      </c>
      <c r="M576" t="n">
        <v>0</v>
      </c>
      <c r="N576" t="n">
        <v>0</v>
      </c>
      <c r="O576" t="n">
        <v>0</v>
      </c>
      <c r="P576" t="n">
        <v>0</v>
      </c>
      <c r="Q576" t="n">
        <v>0</v>
      </c>
      <c r="R576" s="2" t="inlineStr"/>
    </row>
    <row r="577" ht="15" customHeight="1">
      <c r="A577" t="inlineStr">
        <is>
          <t>A 1175-2025</t>
        </is>
      </c>
      <c r="B577" s="1" t="n">
        <v>45667.34449074074</v>
      </c>
      <c r="C577" s="1" t="n">
        <v>46043</v>
      </c>
      <c r="D577" t="inlineStr">
        <is>
          <t>GOTLANDS LÄN</t>
        </is>
      </c>
      <c r="E577" t="inlineStr">
        <is>
          <t>GOTLAND</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27095-2022</t>
        </is>
      </c>
      <c r="B578" s="1" t="n">
        <v>44741</v>
      </c>
      <c r="C578" s="1" t="n">
        <v>46043</v>
      </c>
      <c r="D578" t="inlineStr">
        <is>
          <t>GOTLANDS LÄN</t>
        </is>
      </c>
      <c r="E578" t="inlineStr">
        <is>
          <t>GOTLAND</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46043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23978-2023</t>
        </is>
      </c>
      <c r="B580" s="1" t="n">
        <v>45078</v>
      </c>
      <c r="C580" s="1" t="n">
        <v>46043</v>
      </c>
      <c r="D580" t="inlineStr">
        <is>
          <t>GOTLANDS LÄN</t>
        </is>
      </c>
      <c r="E580" t="inlineStr">
        <is>
          <t>GOTLAND</t>
        </is>
      </c>
      <c r="F580" t="inlineStr">
        <is>
          <t>Naturvårdsverket</t>
        </is>
      </c>
      <c r="G580" t="n">
        <v>1.7</v>
      </c>
      <c r="H580" t="n">
        <v>0</v>
      </c>
      <c r="I580" t="n">
        <v>0</v>
      </c>
      <c r="J580" t="n">
        <v>0</v>
      </c>
      <c r="K580" t="n">
        <v>0</v>
      </c>
      <c r="L580" t="n">
        <v>0</v>
      </c>
      <c r="M580" t="n">
        <v>0</v>
      </c>
      <c r="N580" t="n">
        <v>0</v>
      </c>
      <c r="O580" t="n">
        <v>0</v>
      </c>
      <c r="P580" t="n">
        <v>0</v>
      </c>
      <c r="Q580" t="n">
        <v>0</v>
      </c>
      <c r="R580" s="2" t="inlineStr"/>
    </row>
    <row r="581" ht="15" customHeight="1">
      <c r="A581" t="inlineStr">
        <is>
          <t>A 34407-2023</t>
        </is>
      </c>
      <c r="B581" s="1" t="n">
        <v>45132</v>
      </c>
      <c r="C581" s="1" t="n">
        <v>46043</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11013-2024</t>
        </is>
      </c>
      <c r="B582" s="1" t="n">
        <v>45370</v>
      </c>
      <c r="C582" s="1" t="n">
        <v>46043</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27694-2024</t>
        </is>
      </c>
      <c r="B583" s="1" t="n">
        <v>45475</v>
      </c>
      <c r="C583" s="1" t="n">
        <v>46043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15083-2025</t>
        </is>
      </c>
      <c r="B584" s="1" t="n">
        <v>45743</v>
      </c>
      <c r="C584" s="1" t="n">
        <v>46043</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13037-2025</t>
        </is>
      </c>
      <c r="B585" s="1" t="n">
        <v>45734</v>
      </c>
      <c r="C585" s="1" t="n">
        <v>46043</v>
      </c>
      <c r="D585" t="inlineStr">
        <is>
          <t>GOTLANDS LÄN</t>
        </is>
      </c>
      <c r="E585" t="inlineStr">
        <is>
          <t>GOTLAND</t>
        </is>
      </c>
      <c r="G585" t="n">
        <v>9.5</v>
      </c>
      <c r="H585" t="n">
        <v>0</v>
      </c>
      <c r="I585" t="n">
        <v>0</v>
      </c>
      <c r="J585" t="n">
        <v>0</v>
      </c>
      <c r="K585" t="n">
        <v>0</v>
      </c>
      <c r="L585" t="n">
        <v>0</v>
      </c>
      <c r="M585" t="n">
        <v>0</v>
      </c>
      <c r="N585" t="n">
        <v>0</v>
      </c>
      <c r="O585" t="n">
        <v>0</v>
      </c>
      <c r="P585" t="n">
        <v>0</v>
      </c>
      <c r="Q585" t="n">
        <v>0</v>
      </c>
      <c r="R585" s="2" t="inlineStr"/>
    </row>
    <row r="586" ht="15" customHeight="1">
      <c r="A586" t="inlineStr">
        <is>
          <t>A 458-2023</t>
        </is>
      </c>
      <c r="B586" s="1" t="n">
        <v>44929</v>
      </c>
      <c r="C586" s="1" t="n">
        <v>46043</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44228-2022</t>
        </is>
      </c>
      <c r="B587" s="1" t="n">
        <v>44839.51599537037</v>
      </c>
      <c r="C587" s="1" t="n">
        <v>46043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58132-2023</t>
        </is>
      </c>
      <c r="B588" s="1" t="n">
        <v>45250</v>
      </c>
      <c r="C588" s="1" t="n">
        <v>46043</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49884-2023</t>
        </is>
      </c>
      <c r="B589" s="1" t="n">
        <v>45213</v>
      </c>
      <c r="C589" s="1" t="n">
        <v>46043</v>
      </c>
      <c r="D589" t="inlineStr">
        <is>
          <t>GOTLANDS LÄN</t>
        </is>
      </c>
      <c r="E589" t="inlineStr">
        <is>
          <t>GOTLAND</t>
        </is>
      </c>
      <c r="G589" t="n">
        <v>8.9</v>
      </c>
      <c r="H589" t="n">
        <v>0</v>
      </c>
      <c r="I589" t="n">
        <v>0</v>
      </c>
      <c r="J589" t="n">
        <v>0</v>
      </c>
      <c r="K589" t="n">
        <v>0</v>
      </c>
      <c r="L589" t="n">
        <v>0</v>
      </c>
      <c r="M589" t="n">
        <v>0</v>
      </c>
      <c r="N589" t="n">
        <v>0</v>
      </c>
      <c r="O589" t="n">
        <v>0</v>
      </c>
      <c r="P589" t="n">
        <v>0</v>
      </c>
      <c r="Q589" t="n">
        <v>0</v>
      </c>
      <c r="R589" s="2" t="inlineStr"/>
    </row>
    <row r="590" ht="15" customHeight="1">
      <c r="A590" t="inlineStr">
        <is>
          <t>A 876-2024</t>
        </is>
      </c>
      <c r="B590" s="1" t="n">
        <v>45301</v>
      </c>
      <c r="C590" s="1" t="n">
        <v>46043</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22704-2023</t>
        </is>
      </c>
      <c r="B591" s="1" t="n">
        <v>45071</v>
      </c>
      <c r="C591" s="1" t="n">
        <v>46043</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28425-2023</t>
        </is>
      </c>
      <c r="B592" s="1" t="n">
        <v>45102</v>
      </c>
      <c r="C592" s="1" t="n">
        <v>46043</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58476-2022</t>
        </is>
      </c>
      <c r="B593" s="1" t="n">
        <v>44902</v>
      </c>
      <c r="C593" s="1" t="n">
        <v>46043</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43200-2023</t>
        </is>
      </c>
      <c r="B594" s="1" t="n">
        <v>45183</v>
      </c>
      <c r="C594" s="1" t="n">
        <v>46043</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43223-2023</t>
        </is>
      </c>
      <c r="B595" s="1" t="n">
        <v>45183.45642361111</v>
      </c>
      <c r="C595" s="1" t="n">
        <v>46043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46043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3431-2025</t>
        </is>
      </c>
      <c r="B597" s="1" t="n">
        <v>45680.42935185185</v>
      </c>
      <c r="C597" s="1" t="n">
        <v>46043</v>
      </c>
      <c r="D597" t="inlineStr">
        <is>
          <t>GOTLANDS LÄN</t>
        </is>
      </c>
      <c r="E597" t="inlineStr">
        <is>
          <t>GOTLAND</t>
        </is>
      </c>
      <c r="G597" t="n">
        <v>4.8</v>
      </c>
      <c r="H597" t="n">
        <v>0</v>
      </c>
      <c r="I597" t="n">
        <v>0</v>
      </c>
      <c r="J597" t="n">
        <v>0</v>
      </c>
      <c r="K597" t="n">
        <v>0</v>
      </c>
      <c r="L597" t="n">
        <v>0</v>
      </c>
      <c r="M597" t="n">
        <v>0</v>
      </c>
      <c r="N597" t="n">
        <v>0</v>
      </c>
      <c r="O597" t="n">
        <v>0</v>
      </c>
      <c r="P597" t="n">
        <v>0</v>
      </c>
      <c r="Q597" t="n">
        <v>0</v>
      </c>
      <c r="R597" s="2" t="inlineStr"/>
    </row>
    <row r="598" ht="15" customHeight="1">
      <c r="A598" t="inlineStr">
        <is>
          <t>A 12209-2024</t>
        </is>
      </c>
      <c r="B598" s="1" t="n">
        <v>45378</v>
      </c>
      <c r="C598" s="1" t="n">
        <v>46043</v>
      </c>
      <c r="D598" t="inlineStr">
        <is>
          <t>GOTLANDS LÄN</t>
        </is>
      </c>
      <c r="E598" t="inlineStr">
        <is>
          <t>GOTLAND</t>
        </is>
      </c>
      <c r="G598" t="n">
        <v>5.3</v>
      </c>
      <c r="H598" t="n">
        <v>0</v>
      </c>
      <c r="I598" t="n">
        <v>0</v>
      </c>
      <c r="J598" t="n">
        <v>0</v>
      </c>
      <c r="K598" t="n">
        <v>0</v>
      </c>
      <c r="L598" t="n">
        <v>0</v>
      </c>
      <c r="M598" t="n">
        <v>0</v>
      </c>
      <c r="N598" t="n">
        <v>0</v>
      </c>
      <c r="O598" t="n">
        <v>0</v>
      </c>
      <c r="P598" t="n">
        <v>0</v>
      </c>
      <c r="Q598" t="n">
        <v>0</v>
      </c>
      <c r="R598" s="2" t="inlineStr"/>
    </row>
    <row r="599" ht="15" customHeight="1">
      <c r="A599" t="inlineStr">
        <is>
          <t>A 12210-2024</t>
        </is>
      </c>
      <c r="B599" s="1" t="n">
        <v>45378</v>
      </c>
      <c r="C599" s="1" t="n">
        <v>46043</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1364-2025</t>
        </is>
      </c>
      <c r="B600" s="1" t="n">
        <v>45667.63929398148</v>
      </c>
      <c r="C600" s="1" t="n">
        <v>46043</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15042-2025</t>
        </is>
      </c>
      <c r="B601" s="1" t="n">
        <v>45743</v>
      </c>
      <c r="C601" s="1" t="n">
        <v>46043</v>
      </c>
      <c r="D601" t="inlineStr">
        <is>
          <t>GOTLANDS LÄN</t>
        </is>
      </c>
      <c r="E601" t="inlineStr">
        <is>
          <t>GOTLAND</t>
        </is>
      </c>
      <c r="G601" t="n">
        <v>8.5</v>
      </c>
      <c r="H601" t="n">
        <v>0</v>
      </c>
      <c r="I601" t="n">
        <v>0</v>
      </c>
      <c r="J601" t="n">
        <v>0</v>
      </c>
      <c r="K601" t="n">
        <v>0</v>
      </c>
      <c r="L601" t="n">
        <v>0</v>
      </c>
      <c r="M601" t="n">
        <v>0</v>
      </c>
      <c r="N601" t="n">
        <v>0</v>
      </c>
      <c r="O601" t="n">
        <v>0</v>
      </c>
      <c r="P601" t="n">
        <v>0</v>
      </c>
      <c r="Q601" t="n">
        <v>0</v>
      </c>
      <c r="R601" s="2" t="inlineStr"/>
    </row>
    <row r="602" ht="15" customHeight="1">
      <c r="A602" t="inlineStr">
        <is>
          <t>A 2180-2025</t>
        </is>
      </c>
      <c r="B602" s="1" t="n">
        <v>45673</v>
      </c>
      <c r="C602" s="1" t="n">
        <v>46043</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15436-2025</t>
        </is>
      </c>
      <c r="B603" s="1" t="n">
        <v>45747.47462962963</v>
      </c>
      <c r="C603" s="1" t="n">
        <v>46043</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49257-2024</t>
        </is>
      </c>
      <c r="B604" s="1" t="n">
        <v>45595.47627314815</v>
      </c>
      <c r="C604" s="1" t="n">
        <v>46043</v>
      </c>
      <c r="D604" t="inlineStr">
        <is>
          <t>GOTLANDS LÄN</t>
        </is>
      </c>
      <c r="E604" t="inlineStr">
        <is>
          <t>GOTLAND</t>
        </is>
      </c>
      <c r="G604" t="n">
        <v>6.3</v>
      </c>
      <c r="H604" t="n">
        <v>0</v>
      </c>
      <c r="I604" t="n">
        <v>0</v>
      </c>
      <c r="J604" t="n">
        <v>0</v>
      </c>
      <c r="K604" t="n">
        <v>0</v>
      </c>
      <c r="L604" t="n">
        <v>0</v>
      </c>
      <c r="M604" t="n">
        <v>0</v>
      </c>
      <c r="N604" t="n">
        <v>0</v>
      </c>
      <c r="O604" t="n">
        <v>0</v>
      </c>
      <c r="P604" t="n">
        <v>0</v>
      </c>
      <c r="Q604" t="n">
        <v>0</v>
      </c>
      <c r="R604" s="2" t="inlineStr"/>
    </row>
    <row r="605" ht="15" customHeight="1">
      <c r="A605" t="inlineStr">
        <is>
          <t>A 37202-2024</t>
        </is>
      </c>
      <c r="B605" s="1" t="n">
        <v>45539.67310185185</v>
      </c>
      <c r="C605" s="1" t="n">
        <v>46043</v>
      </c>
      <c r="D605" t="inlineStr">
        <is>
          <t>GOTLANDS LÄN</t>
        </is>
      </c>
      <c r="E605" t="inlineStr">
        <is>
          <t>GOTLAND</t>
        </is>
      </c>
      <c r="G605" t="n">
        <v>0.3</v>
      </c>
      <c r="H605" t="n">
        <v>0</v>
      </c>
      <c r="I605" t="n">
        <v>0</v>
      </c>
      <c r="J605" t="n">
        <v>0</v>
      </c>
      <c r="K605" t="n">
        <v>0</v>
      </c>
      <c r="L605" t="n">
        <v>0</v>
      </c>
      <c r="M605" t="n">
        <v>0</v>
      </c>
      <c r="N605" t="n">
        <v>0</v>
      </c>
      <c r="O605" t="n">
        <v>0</v>
      </c>
      <c r="P605" t="n">
        <v>0</v>
      </c>
      <c r="Q605" t="n">
        <v>0</v>
      </c>
      <c r="R605" s="2" t="inlineStr"/>
    </row>
    <row r="606" ht="15" customHeight="1">
      <c r="A606" t="inlineStr">
        <is>
          <t>A 56115-2023</t>
        </is>
      </c>
      <c r="B606" s="1" t="n">
        <v>45236</v>
      </c>
      <c r="C606" s="1" t="n">
        <v>46043</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2774-2024</t>
        </is>
      </c>
      <c r="B607" s="1" t="n">
        <v>45314.62375</v>
      </c>
      <c r="C607" s="1" t="n">
        <v>46043</v>
      </c>
      <c r="D607" t="inlineStr">
        <is>
          <t>GOTLANDS LÄN</t>
        </is>
      </c>
      <c r="E607" t="inlineStr">
        <is>
          <t>GOTLAND</t>
        </is>
      </c>
      <c r="G607" t="n">
        <v>1</v>
      </c>
      <c r="H607" t="n">
        <v>0</v>
      </c>
      <c r="I607" t="n">
        <v>0</v>
      </c>
      <c r="J607" t="n">
        <v>0</v>
      </c>
      <c r="K607" t="n">
        <v>0</v>
      </c>
      <c r="L607" t="n">
        <v>0</v>
      </c>
      <c r="M607" t="n">
        <v>0</v>
      </c>
      <c r="N607" t="n">
        <v>0</v>
      </c>
      <c r="O607" t="n">
        <v>0</v>
      </c>
      <c r="P607" t="n">
        <v>0</v>
      </c>
      <c r="Q607" t="n">
        <v>0</v>
      </c>
      <c r="R607" s="2" t="inlineStr"/>
    </row>
    <row r="608" ht="15" customHeight="1">
      <c r="A608" t="inlineStr">
        <is>
          <t>A 60709-2023</t>
        </is>
      </c>
      <c r="B608" s="1" t="n">
        <v>45260</v>
      </c>
      <c r="C608" s="1" t="n">
        <v>46043</v>
      </c>
      <c r="D608" t="inlineStr">
        <is>
          <t>GOTLANDS LÄN</t>
        </is>
      </c>
      <c r="E608" t="inlineStr">
        <is>
          <t>GOTLAND</t>
        </is>
      </c>
      <c r="G608" t="n">
        <v>1.7</v>
      </c>
      <c r="H608" t="n">
        <v>0</v>
      </c>
      <c r="I608" t="n">
        <v>0</v>
      </c>
      <c r="J608" t="n">
        <v>0</v>
      </c>
      <c r="K608" t="n">
        <v>0</v>
      </c>
      <c r="L608" t="n">
        <v>0</v>
      </c>
      <c r="M608" t="n">
        <v>0</v>
      </c>
      <c r="N608" t="n">
        <v>0</v>
      </c>
      <c r="O608" t="n">
        <v>0</v>
      </c>
      <c r="P608" t="n">
        <v>0</v>
      </c>
      <c r="Q608" t="n">
        <v>0</v>
      </c>
      <c r="R608" s="2" t="inlineStr"/>
    </row>
    <row r="609" ht="15" customHeight="1">
      <c r="A609" t="inlineStr">
        <is>
          <t>A 64208-2021</t>
        </is>
      </c>
      <c r="B609" s="1" t="n">
        <v>44510</v>
      </c>
      <c r="C609" s="1" t="n">
        <v>46043</v>
      </c>
      <c r="D609" t="inlineStr">
        <is>
          <t>GOTLANDS LÄN</t>
        </is>
      </c>
      <c r="E609" t="inlineStr">
        <is>
          <t>GOTLAND</t>
        </is>
      </c>
      <c r="G609" t="n">
        <v>4.7</v>
      </c>
      <c r="H609" t="n">
        <v>0</v>
      </c>
      <c r="I609" t="n">
        <v>0</v>
      </c>
      <c r="J609" t="n">
        <v>0</v>
      </c>
      <c r="K609" t="n">
        <v>0</v>
      </c>
      <c r="L609" t="n">
        <v>0</v>
      </c>
      <c r="M609" t="n">
        <v>0</v>
      </c>
      <c r="N609" t="n">
        <v>0</v>
      </c>
      <c r="O609" t="n">
        <v>0</v>
      </c>
      <c r="P609" t="n">
        <v>0</v>
      </c>
      <c r="Q609" t="n">
        <v>0</v>
      </c>
      <c r="R609" s="2" t="inlineStr"/>
    </row>
    <row r="610" ht="15" customHeight="1">
      <c r="A610" t="inlineStr">
        <is>
          <t>A 39764-2022</t>
        </is>
      </c>
      <c r="B610" s="1" t="n">
        <v>44819</v>
      </c>
      <c r="C610" s="1" t="n">
        <v>46043</v>
      </c>
      <c r="D610" t="inlineStr">
        <is>
          <t>GOTLANDS LÄN</t>
        </is>
      </c>
      <c r="E610" t="inlineStr">
        <is>
          <t>GOTLAND</t>
        </is>
      </c>
      <c r="F610" t="inlineStr">
        <is>
          <t>Kyrkan</t>
        </is>
      </c>
      <c r="G610" t="n">
        <v>3.7</v>
      </c>
      <c r="H610" t="n">
        <v>0</v>
      </c>
      <c r="I610" t="n">
        <v>0</v>
      </c>
      <c r="J610" t="n">
        <v>0</v>
      </c>
      <c r="K610" t="n">
        <v>0</v>
      </c>
      <c r="L610" t="n">
        <v>0</v>
      </c>
      <c r="M610" t="n">
        <v>0</v>
      </c>
      <c r="N610" t="n">
        <v>0</v>
      </c>
      <c r="O610" t="n">
        <v>0</v>
      </c>
      <c r="P610" t="n">
        <v>0</v>
      </c>
      <c r="Q610" t="n">
        <v>0</v>
      </c>
      <c r="R610" s="2" t="inlineStr"/>
    </row>
    <row r="611" ht="15" customHeight="1">
      <c r="A611" t="inlineStr">
        <is>
          <t>A 58211-2024</t>
        </is>
      </c>
      <c r="B611" s="1" t="n">
        <v>45632.49292824074</v>
      </c>
      <c r="C611" s="1" t="n">
        <v>46043</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30956-2024</t>
        </is>
      </c>
      <c r="B612" s="1" t="n">
        <v>45499.42527777778</v>
      </c>
      <c r="C612" s="1" t="n">
        <v>46043</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30892-2024</t>
        </is>
      </c>
      <c r="B613" s="1" t="n">
        <v>45491</v>
      </c>
      <c r="C613" s="1" t="n">
        <v>46043</v>
      </c>
      <c r="D613" t="inlineStr">
        <is>
          <t>GOTLANDS LÄN</t>
        </is>
      </c>
      <c r="E613" t="inlineStr">
        <is>
          <t>GOTLAND</t>
        </is>
      </c>
      <c r="G613" t="n">
        <v>6.1</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45013.69365740741</v>
      </c>
      <c r="C614" s="1" t="n">
        <v>46043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59469-2024</t>
        </is>
      </c>
      <c r="B615" s="1" t="n">
        <v>45638</v>
      </c>
      <c r="C615" s="1" t="n">
        <v>46043</v>
      </c>
      <c r="D615" t="inlineStr">
        <is>
          <t>GOTLANDS LÄN</t>
        </is>
      </c>
      <c r="E615" t="inlineStr">
        <is>
          <t>GOTLAND</t>
        </is>
      </c>
      <c r="G615" t="n">
        <v>0.4</v>
      </c>
      <c r="H615" t="n">
        <v>0</v>
      </c>
      <c r="I615" t="n">
        <v>0</v>
      </c>
      <c r="J615" t="n">
        <v>0</v>
      </c>
      <c r="K615" t="n">
        <v>0</v>
      </c>
      <c r="L615" t="n">
        <v>0</v>
      </c>
      <c r="M615" t="n">
        <v>0</v>
      </c>
      <c r="N615" t="n">
        <v>0</v>
      </c>
      <c r="O615" t="n">
        <v>0</v>
      </c>
      <c r="P615" t="n">
        <v>0</v>
      </c>
      <c r="Q615" t="n">
        <v>0</v>
      </c>
      <c r="R615" s="2" t="inlineStr"/>
    </row>
    <row r="616" ht="15" customHeight="1">
      <c r="A616" t="inlineStr">
        <is>
          <t>A 7858-2025</t>
        </is>
      </c>
      <c r="B616" s="1" t="n">
        <v>45706.68633101852</v>
      </c>
      <c r="C616" s="1" t="n">
        <v>46043</v>
      </c>
      <c r="D616" t="inlineStr">
        <is>
          <t>GOTLANDS LÄN</t>
        </is>
      </c>
      <c r="E616" t="inlineStr">
        <is>
          <t>GOTLAND</t>
        </is>
      </c>
      <c r="G616" t="n">
        <v>3</v>
      </c>
      <c r="H616" t="n">
        <v>0</v>
      </c>
      <c r="I616" t="n">
        <v>0</v>
      </c>
      <c r="J616" t="n">
        <v>0</v>
      </c>
      <c r="K616" t="n">
        <v>0</v>
      </c>
      <c r="L616" t="n">
        <v>0</v>
      </c>
      <c r="M616" t="n">
        <v>0</v>
      </c>
      <c r="N616" t="n">
        <v>0</v>
      </c>
      <c r="O616" t="n">
        <v>0</v>
      </c>
      <c r="P616" t="n">
        <v>0</v>
      </c>
      <c r="Q616" t="n">
        <v>0</v>
      </c>
      <c r="R616" s="2" t="inlineStr"/>
    </row>
    <row r="617" ht="15" customHeight="1">
      <c r="A617" t="inlineStr">
        <is>
          <t>A 53935-2024</t>
        </is>
      </c>
      <c r="B617" s="1" t="n">
        <v>45615</v>
      </c>
      <c r="C617" s="1" t="n">
        <v>46043</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18223-2025</t>
        </is>
      </c>
      <c r="B618" s="1" t="n">
        <v>45761</v>
      </c>
      <c r="C618" s="1" t="n">
        <v>46043</v>
      </c>
      <c r="D618" t="inlineStr">
        <is>
          <t>GOTLANDS LÄN</t>
        </is>
      </c>
      <c r="E618" t="inlineStr">
        <is>
          <t>GOTLAND</t>
        </is>
      </c>
      <c r="G618" t="n">
        <v>0.7</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46043</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5891-2025</t>
        </is>
      </c>
      <c r="B620" s="1" t="n">
        <v>45695.38327546296</v>
      </c>
      <c r="C620" s="1" t="n">
        <v>46043</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7835-2024</t>
        </is>
      </c>
      <c r="B621" s="1" t="n">
        <v>45349.83138888889</v>
      </c>
      <c r="C621" s="1" t="n">
        <v>46043</v>
      </c>
      <c r="D621" t="inlineStr">
        <is>
          <t>GOTLANDS LÄN</t>
        </is>
      </c>
      <c r="E621" t="inlineStr">
        <is>
          <t>GOTLAND</t>
        </is>
      </c>
      <c r="G621" t="n">
        <v>3.8</v>
      </c>
      <c r="H621" t="n">
        <v>0</v>
      </c>
      <c r="I621" t="n">
        <v>0</v>
      </c>
      <c r="J621" t="n">
        <v>0</v>
      </c>
      <c r="K621" t="n">
        <v>0</v>
      </c>
      <c r="L621" t="n">
        <v>0</v>
      </c>
      <c r="M621" t="n">
        <v>0</v>
      </c>
      <c r="N621" t="n">
        <v>0</v>
      </c>
      <c r="O621" t="n">
        <v>0</v>
      </c>
      <c r="P621" t="n">
        <v>0</v>
      </c>
      <c r="Q621" t="n">
        <v>0</v>
      </c>
      <c r="R621" s="2" t="inlineStr"/>
    </row>
    <row r="622" ht="15" customHeight="1">
      <c r="A622" t="inlineStr">
        <is>
          <t>A 20794-2025</t>
        </is>
      </c>
      <c r="B622" s="1" t="n">
        <v>45776</v>
      </c>
      <c r="C622" s="1" t="n">
        <v>46043</v>
      </c>
      <c r="D622" t="inlineStr">
        <is>
          <t>GOTLANDS LÄN</t>
        </is>
      </c>
      <c r="E622" t="inlineStr">
        <is>
          <t>GOTLAND</t>
        </is>
      </c>
      <c r="G622" t="n">
        <v>6</v>
      </c>
      <c r="H622" t="n">
        <v>0</v>
      </c>
      <c r="I622" t="n">
        <v>0</v>
      </c>
      <c r="J622" t="n">
        <v>0</v>
      </c>
      <c r="K622" t="n">
        <v>0</v>
      </c>
      <c r="L622" t="n">
        <v>0</v>
      </c>
      <c r="M622" t="n">
        <v>0</v>
      </c>
      <c r="N622" t="n">
        <v>0</v>
      </c>
      <c r="O622" t="n">
        <v>0</v>
      </c>
      <c r="P622" t="n">
        <v>0</v>
      </c>
      <c r="Q622" t="n">
        <v>0</v>
      </c>
      <c r="R622" s="2" t="inlineStr"/>
    </row>
    <row r="623" ht="15" customHeight="1">
      <c r="A623" t="inlineStr">
        <is>
          <t>A 20805-2025</t>
        </is>
      </c>
      <c r="B623" s="1" t="n">
        <v>45776</v>
      </c>
      <c r="C623" s="1" t="n">
        <v>46043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21389-2025</t>
        </is>
      </c>
      <c r="B624" s="1" t="n">
        <v>45782</v>
      </c>
      <c r="C624" s="1" t="n">
        <v>46043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c r="A625" t="inlineStr">
        <is>
          <t>A 21651-2025</t>
        </is>
      </c>
      <c r="B625" s="1" t="n">
        <v>45783</v>
      </c>
      <c r="C625" s="1" t="n">
        <v>46043</v>
      </c>
      <c r="D625" t="inlineStr">
        <is>
          <t>GOTLANDS LÄN</t>
        </is>
      </c>
      <c r="E625" t="inlineStr">
        <is>
          <t>GOTLAND</t>
        </is>
      </c>
      <c r="G625" t="n">
        <v>4.2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2026-01-21T10:52:20Z</dcterms:created>
  <dcterms:modified xmlns:dcterms="http://purl.org/dc/terms/" xmlns:xsi="http://www.w3.org/2001/XMLSchema-instance" xsi:type="dcterms:W3CDTF">2026-01-21T10:52:21Z</dcterms:modified>
</cp:coreProperties>
</file>