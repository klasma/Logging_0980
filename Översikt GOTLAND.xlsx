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45970</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45970</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45970</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45970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45970</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45970</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45970</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45970</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45970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45970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45970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45970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45970</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35141-2022</t>
        </is>
      </c>
      <c r="B34" s="1" t="n">
        <v>44797.53318287037</v>
      </c>
      <c r="C34" s="1" t="n">
        <v>45970</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45970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45970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45970</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45970</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63872-2021</t>
        </is>
      </c>
      <c r="B39" s="1" t="n">
        <v>44509</v>
      </c>
      <c r="C39" s="1" t="n">
        <v>45970</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45970</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3324-2023</t>
        </is>
      </c>
      <c r="B41" s="1" t="n">
        <v>44949</v>
      </c>
      <c r="C41" s="1" t="n">
        <v>45970</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45970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45970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45970</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45970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45970</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45970</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45970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45970</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45970</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45970</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45970</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45970</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45970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45970</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45970</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45970</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45970</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45970</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4984-2025</t>
        </is>
      </c>
      <c r="B60" s="1" t="n">
        <v>45691.29891203704</v>
      </c>
      <c r="C60" s="1" t="n">
        <v>45970</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45970</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45970</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45970</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10419-2025</t>
        </is>
      </c>
      <c r="B64" s="1" t="n">
        <v>45720</v>
      </c>
      <c r="C64" s="1" t="n">
        <v>45970</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34142-2024</t>
        </is>
      </c>
      <c r="B65" s="1" t="n">
        <v>45524.36521990741</v>
      </c>
      <c r="C65" s="1" t="n">
        <v>45970</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52223-2025</t>
        </is>
      </c>
      <c r="B66" s="1" t="n">
        <v>45953.44509259259</v>
      </c>
      <c r="C66" s="1" t="n">
        <v>45970</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45970</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45970</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45970</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45970</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45970</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45970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45970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45970</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45970</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45970</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54055-2022</t>
        </is>
      </c>
      <c r="B77" s="1" t="n">
        <v>44881</v>
      </c>
      <c r="C77" s="1" t="n">
        <v>45970</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45970</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2213-2023</t>
        </is>
      </c>
      <c r="B79" s="1" t="n">
        <v>44942</v>
      </c>
      <c r="C79" s="1" t="n">
        <v>45970</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45970</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45970</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45970</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45970</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45970</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5904-2024</t>
        </is>
      </c>
      <c r="B85" s="1" t="n">
        <v>45335</v>
      </c>
      <c r="C85" s="1" t="n">
        <v>45970</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45970</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45970</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45970</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8265-2023</t>
        </is>
      </c>
      <c r="B89" s="1" t="n">
        <v>44974</v>
      </c>
      <c r="C89" s="1" t="n">
        <v>45970</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1971-2023</t>
        </is>
      </c>
      <c r="B90" s="1" t="n">
        <v>44939</v>
      </c>
      <c r="C90" s="1" t="n">
        <v>45970</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186-2023</t>
        </is>
      </c>
      <c r="B91" s="1" t="n">
        <v>44928</v>
      </c>
      <c r="C91" s="1" t="n">
        <v>45970</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56717-2024</t>
        </is>
      </c>
      <c r="B92" s="1" t="n">
        <v>45628.3166550926</v>
      </c>
      <c r="C92" s="1" t="n">
        <v>45970</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45970</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40099-2025</t>
        </is>
      </c>
      <c r="B94" s="1" t="n">
        <v>45894.48462962963</v>
      </c>
      <c r="C94" s="1" t="n">
        <v>45970</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45970</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2485-2025</t>
        </is>
      </c>
      <c r="B96" s="1" t="n">
        <v>45673</v>
      </c>
      <c r="C96" s="1" t="n">
        <v>45970</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52309-2025</t>
        </is>
      </c>
      <c r="B97" s="1" t="n">
        <v>45953.64381944444</v>
      </c>
      <c r="C97" s="1" t="n">
        <v>45970</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45970</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20833-2024</t>
        </is>
      </c>
      <c r="B99" s="1" t="n">
        <v>45439</v>
      </c>
      <c r="C99" s="1" t="n">
        <v>45970</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45970</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45970</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45970</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45970</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45970</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32718-2021</t>
        </is>
      </c>
      <c r="B105" s="1" t="n">
        <v>44375</v>
      </c>
      <c r="C105" s="1" t="n">
        <v>45970</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45970</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43013-2022</t>
        </is>
      </c>
      <c r="B107" s="1" t="n">
        <v>44833</v>
      </c>
      <c r="C107" s="1" t="n">
        <v>45970</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45970</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45970</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73144-2021</t>
        </is>
      </c>
      <c r="B110" s="1" t="n">
        <v>44550</v>
      </c>
      <c r="C110" s="1" t="n">
        <v>45970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45970</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49709-2025</t>
        </is>
      </c>
      <c r="B112" s="1" t="n">
        <v>45939.68228009259</v>
      </c>
      <c r="C112" s="1" t="n">
        <v>45970</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45970</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13499-2022</t>
        </is>
      </c>
      <c r="B114" s="1" t="n">
        <v>44647.79203703703</v>
      </c>
      <c r="C114" s="1" t="n">
        <v>45970</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30490-2025</t>
        </is>
      </c>
      <c r="B115" s="1" t="n">
        <v>45830</v>
      </c>
      <c r="C115" s="1" t="n">
        <v>45970</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12315-2024</t>
        </is>
      </c>
      <c r="B116" s="1" t="n">
        <v>45378.6434837963</v>
      </c>
      <c r="C116" s="1" t="n">
        <v>45970</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45970</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20831-2024</t>
        </is>
      </c>
      <c r="B118" s="1" t="n">
        <v>45439</v>
      </c>
      <c r="C118" s="1" t="n">
        <v>45970</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62326-2020</t>
        </is>
      </c>
      <c r="B119" s="1" t="n">
        <v>44160</v>
      </c>
      <c r="C119" s="1" t="n">
        <v>45970</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29870-2021</t>
        </is>
      </c>
      <c r="B120" s="1" t="n">
        <v>44362</v>
      </c>
      <c r="C120" s="1" t="n">
        <v>45970</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45970</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45970</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45970</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45970</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45970</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26077-2024</t>
        </is>
      </c>
      <c r="B126" s="1" t="n">
        <v>45467</v>
      </c>
      <c r="C126" s="1" t="n">
        <v>45970</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58701-2020</t>
        </is>
      </c>
      <c r="B127" s="1" t="n">
        <v>44146</v>
      </c>
      <c r="C127" s="1" t="n">
        <v>45970</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20838-2024</t>
        </is>
      </c>
      <c r="B128" s="1" t="n">
        <v>45439</v>
      </c>
      <c r="C128" s="1" t="n">
        <v>45970</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64263-2020</t>
        </is>
      </c>
      <c r="B129" s="1" t="n">
        <v>44168</v>
      </c>
      <c r="C129" s="1" t="n">
        <v>45970</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28276-2024</t>
        </is>
      </c>
      <c r="B130" s="1" t="n">
        <v>45477</v>
      </c>
      <c r="C130" s="1" t="n">
        <v>45970</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45970</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54357-2024</t>
        </is>
      </c>
      <c r="B132" s="1" t="n">
        <v>45617.40662037037</v>
      </c>
      <c r="C132" s="1" t="n">
        <v>45970</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45970</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45970</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45970</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45970</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52245-2025</t>
        </is>
      </c>
      <c r="B137" s="1" t="n">
        <v>45953.47115740741</v>
      </c>
      <c r="C137" s="1" t="n">
        <v>45970</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55649-2024</t>
        </is>
      </c>
      <c r="B138" s="1" t="n">
        <v>45622.63053240741</v>
      </c>
      <c r="C138" s="1" t="n">
        <v>45970</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24-2021</t>
        </is>
      </c>
      <c r="B139" s="1" t="n">
        <v>44197</v>
      </c>
      <c r="C139" s="1" t="n">
        <v>45970</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45970</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45970</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2476-2025</t>
        </is>
      </c>
      <c r="B145" s="1" t="n">
        <v>45673</v>
      </c>
      <c r="C145" s="1" t="n">
        <v>45970</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17723-2021</t>
        </is>
      </c>
      <c r="B146" s="1" t="n">
        <v>44300</v>
      </c>
      <c r="C146" s="1" t="n">
        <v>45970</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22782-2023</t>
        </is>
      </c>
      <c r="B147" s="1" t="n">
        <v>45072</v>
      </c>
      <c r="C147" s="1" t="n">
        <v>45970</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45970</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10995-2023</t>
        </is>
      </c>
      <c r="B149" s="1" t="n">
        <v>44986</v>
      </c>
      <c r="C149" s="1" t="n">
        <v>45970</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13939-2021</t>
        </is>
      </c>
      <c r="B150" s="1" t="n">
        <v>44277</v>
      </c>
      <c r="C150" s="1" t="n">
        <v>45970</v>
      </c>
      <c r="D150" t="inlineStr">
        <is>
          <t>GOTLANDS LÄN</t>
        </is>
      </c>
      <c r="E150" t="inlineStr">
        <is>
          <t>GOTLAND</t>
        </is>
      </c>
      <c r="G150" t="n">
        <v>1</v>
      </c>
      <c r="H150" t="n">
        <v>0</v>
      </c>
      <c r="I150" t="n">
        <v>0</v>
      </c>
      <c r="J150" t="n">
        <v>1</v>
      </c>
      <c r="K150" t="n">
        <v>0</v>
      </c>
      <c r="L150" t="n">
        <v>0</v>
      </c>
      <c r="M150" t="n">
        <v>0</v>
      </c>
      <c r="N150" t="n">
        <v>0</v>
      </c>
      <c r="O150" t="n">
        <v>1</v>
      </c>
      <c r="P150" t="n">
        <v>0</v>
      </c>
      <c r="Q150" t="n">
        <v>1</v>
      </c>
      <c r="R150" s="2" t="inlineStr">
        <is>
          <t>Axveronika</t>
        </is>
      </c>
      <c r="S150">
        <f>HYPERLINK("https://klasma.github.io/Logging_0980/artfynd/A 13939-2021 artfynd.xlsx", "A 13939-2021")</f>
        <v/>
      </c>
      <c r="T150">
        <f>HYPERLINK("https://klasma.github.io/Logging_0980/kartor/A 13939-2021 karta.png", "A 13939-2021")</f>
        <v/>
      </c>
      <c r="V150">
        <f>HYPERLINK("https://klasma.github.io/Logging_0980/klagomål/A 13939-2021 FSC-klagomål.docx", "A 13939-2021")</f>
        <v/>
      </c>
      <c r="W150">
        <f>HYPERLINK("https://klasma.github.io/Logging_0980/klagomålsmail/A 13939-2021 FSC-klagomål mail.docx", "A 13939-2021")</f>
        <v/>
      </c>
      <c r="X150">
        <f>HYPERLINK("https://klasma.github.io/Logging_0980/tillsyn/A 13939-2021 tillsynsbegäran.docx", "A 13939-2021")</f>
        <v/>
      </c>
      <c r="Y150">
        <f>HYPERLINK("https://klasma.github.io/Logging_0980/tillsynsmail/A 13939-2021 tillsynsbegäran mail.docx", "A 13939-2021")</f>
        <v/>
      </c>
    </row>
    <row r="151" ht="15" customHeight="1">
      <c r="A151" t="inlineStr">
        <is>
          <t>A 62552-2022</t>
        </is>
      </c>
      <c r="B151" s="1" t="n">
        <v>44924</v>
      </c>
      <c r="C151" s="1" t="n">
        <v>45970</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45970</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25977-2024</t>
        </is>
      </c>
      <c r="B153" s="1" t="n">
        <v>45467.69356481481</v>
      </c>
      <c r="C153" s="1" t="n">
        <v>45970</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44308-2021</t>
        </is>
      </c>
      <c r="B154" s="1" t="n">
        <v>44434</v>
      </c>
      <c r="C154" s="1" t="n">
        <v>45970</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20429-2025</t>
        </is>
      </c>
      <c r="B155" s="1" t="n">
        <v>45775.47728009259</v>
      </c>
      <c r="C155" s="1" t="n">
        <v>45970</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24245-2022</t>
        </is>
      </c>
      <c r="B156" s="1" t="n">
        <v>44725</v>
      </c>
      <c r="C156" s="1" t="n">
        <v>45970</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65927-2021</t>
        </is>
      </c>
      <c r="B157" s="1" t="n">
        <v>44516</v>
      </c>
      <c r="C157" s="1" t="n">
        <v>45970</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447-2023</t>
        </is>
      </c>
      <c r="B158" s="1" t="n">
        <v>44929</v>
      </c>
      <c r="C158" s="1" t="n">
        <v>45970</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947-2023</t>
        </is>
      </c>
      <c r="B159" s="1" t="n">
        <v>44934</v>
      </c>
      <c r="C159" s="1" t="n">
        <v>45970</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49847-2023</t>
        </is>
      </c>
      <c r="B160" s="1" t="n">
        <v>45212</v>
      </c>
      <c r="C160" s="1" t="n">
        <v>45970</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61796-2022</t>
        </is>
      </c>
      <c r="B161" s="1" t="n">
        <v>44917</v>
      </c>
      <c r="C161" s="1" t="n">
        <v>45970</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46527-2023</t>
        </is>
      </c>
      <c r="B162" s="1" t="n">
        <v>45197</v>
      </c>
      <c r="C162" s="1" t="n">
        <v>45970</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49304-2024</t>
        </is>
      </c>
      <c r="B163" s="1" t="n">
        <v>45595.54996527778</v>
      </c>
      <c r="C163" s="1" t="n">
        <v>45970</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45970</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45970</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12324-2025</t>
        </is>
      </c>
      <c r="B166" s="1" t="n">
        <v>45730</v>
      </c>
      <c r="C166" s="1" t="n">
        <v>45970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39812-2025</t>
        </is>
      </c>
      <c r="B167" s="1" t="n">
        <v>45891</v>
      </c>
      <c r="C167" s="1" t="n">
        <v>45970</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37591-2023</t>
        </is>
      </c>
      <c r="B168" s="1" t="n">
        <v>45159</v>
      </c>
      <c r="C168" s="1" t="n">
        <v>45970</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15637-2024</t>
        </is>
      </c>
      <c r="B169" s="1" t="n">
        <v>45403.6684837963</v>
      </c>
      <c r="C169" s="1" t="n">
        <v>45970</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27589-2023</t>
        </is>
      </c>
      <c r="B170" s="1" t="n">
        <v>45097</v>
      </c>
      <c r="C170" s="1" t="n">
        <v>45970</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45970</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45970</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45970</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21466-2025</t>
        </is>
      </c>
      <c r="B174" s="1" t="n">
        <v>45782</v>
      </c>
      <c r="C174" s="1" t="n">
        <v>45970</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49726-2025</t>
        </is>
      </c>
      <c r="B175" s="1" t="n">
        <v>45939.84466435185</v>
      </c>
      <c r="C175" s="1" t="n">
        <v>45970</v>
      </c>
      <c r="D175" t="inlineStr">
        <is>
          <t>GOTLANDS LÄN</t>
        </is>
      </c>
      <c r="E175" t="inlineStr">
        <is>
          <t>GOTLAND</t>
        </is>
      </c>
      <c r="F175" t="inlineStr">
        <is>
          <t>Kyrkan</t>
        </is>
      </c>
      <c r="G175" t="n">
        <v>5.4</v>
      </c>
      <c r="H175" t="n">
        <v>0</v>
      </c>
      <c r="I175" t="n">
        <v>0</v>
      </c>
      <c r="J175" t="n">
        <v>1</v>
      </c>
      <c r="K175" t="n">
        <v>0</v>
      </c>
      <c r="L175" t="n">
        <v>0</v>
      </c>
      <c r="M175" t="n">
        <v>0</v>
      </c>
      <c r="N175" t="n">
        <v>0</v>
      </c>
      <c r="O175" t="n">
        <v>1</v>
      </c>
      <c r="P175" t="n">
        <v>0</v>
      </c>
      <c r="Q175" t="n">
        <v>1</v>
      </c>
      <c r="R175" s="2" t="inlineStr">
        <is>
          <t>Odörspindling</t>
        </is>
      </c>
      <c r="S175">
        <f>HYPERLINK("https://klasma.github.io/Logging_0980/artfynd/A 49726-2025 artfynd.xlsx", "A 49726-2025")</f>
        <v/>
      </c>
      <c r="T175">
        <f>HYPERLINK("https://klasma.github.io/Logging_0980/kartor/A 49726-2025 karta.png", "A 49726-2025")</f>
        <v/>
      </c>
      <c r="V175">
        <f>HYPERLINK("https://klasma.github.io/Logging_0980/klagomål/A 49726-2025 FSC-klagomål.docx", "A 49726-2025")</f>
        <v/>
      </c>
      <c r="W175">
        <f>HYPERLINK("https://klasma.github.io/Logging_0980/klagomålsmail/A 49726-2025 FSC-klagomål mail.docx", "A 49726-2025")</f>
        <v/>
      </c>
      <c r="X175">
        <f>HYPERLINK("https://klasma.github.io/Logging_0980/tillsyn/A 49726-2025 tillsynsbegäran.docx", "A 49726-2025")</f>
        <v/>
      </c>
      <c r="Y175">
        <f>HYPERLINK("https://klasma.github.io/Logging_0980/tillsynsmail/A 49726-2025 tillsynsbegäran mail.docx", "A 49726-2025")</f>
        <v/>
      </c>
    </row>
    <row r="176" ht="15" customHeight="1">
      <c r="A176" t="inlineStr">
        <is>
          <t>A 10440-2024</t>
        </is>
      </c>
      <c r="B176" s="1" t="n">
        <v>45366.32818287037</v>
      </c>
      <c r="C176" s="1" t="n">
        <v>45970</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6303-2024</t>
        </is>
      </c>
      <c r="B177" s="1" t="n">
        <v>45338.35376157407</v>
      </c>
      <c r="C177" s="1" t="n">
        <v>45970</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26461-2025</t>
        </is>
      </c>
      <c r="B178" s="1" t="n">
        <v>45807.43337962963</v>
      </c>
      <c r="C178" s="1" t="n">
        <v>45970</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34809-2024</t>
        </is>
      </c>
      <c r="B179" s="1" t="n">
        <v>45526</v>
      </c>
      <c r="C179" s="1" t="n">
        <v>45970</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35467-2021</t>
        </is>
      </c>
      <c r="B180" s="1" t="n">
        <v>44385</v>
      </c>
      <c r="C180" s="1" t="n">
        <v>45970</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44619-2025</t>
        </is>
      </c>
      <c r="B181" s="1" t="n">
        <v>45917</v>
      </c>
      <c r="C181" s="1" t="n">
        <v>45970</v>
      </c>
      <c r="D181" t="inlineStr">
        <is>
          <t>GOTLANDS LÄN</t>
        </is>
      </c>
      <c r="E181" t="inlineStr">
        <is>
          <t>GOTLAND</t>
        </is>
      </c>
      <c r="G181" t="n">
        <v>4.3</v>
      </c>
      <c r="H181" t="n">
        <v>0</v>
      </c>
      <c r="I181" t="n">
        <v>1</v>
      </c>
      <c r="J181" t="n">
        <v>0</v>
      </c>
      <c r="K181" t="n">
        <v>0</v>
      </c>
      <c r="L181" t="n">
        <v>0</v>
      </c>
      <c r="M181" t="n">
        <v>0</v>
      </c>
      <c r="N181" t="n">
        <v>0</v>
      </c>
      <c r="O181" t="n">
        <v>0</v>
      </c>
      <c r="P181" t="n">
        <v>0</v>
      </c>
      <c r="Q181" t="n">
        <v>1</v>
      </c>
      <c r="R181" s="2" t="inlineStr">
        <is>
          <t>Ögonpyrola</t>
        </is>
      </c>
      <c r="S181">
        <f>HYPERLINK("https://klasma.github.io/Logging_0980/artfynd/A 44619-2025 artfynd.xlsx", "A 44619-2025")</f>
        <v/>
      </c>
      <c r="T181">
        <f>HYPERLINK("https://klasma.github.io/Logging_0980/kartor/A 44619-2025 karta.png", "A 44619-2025")</f>
        <v/>
      </c>
      <c r="V181">
        <f>HYPERLINK("https://klasma.github.io/Logging_0980/klagomål/A 44619-2025 FSC-klagomål.docx", "A 44619-2025")</f>
        <v/>
      </c>
      <c r="W181">
        <f>HYPERLINK("https://klasma.github.io/Logging_0980/klagomålsmail/A 44619-2025 FSC-klagomål mail.docx", "A 44619-2025")</f>
        <v/>
      </c>
      <c r="X181">
        <f>HYPERLINK("https://klasma.github.io/Logging_0980/tillsyn/A 44619-2025 tillsynsbegäran.docx", "A 44619-2025")</f>
        <v/>
      </c>
      <c r="Y181">
        <f>HYPERLINK("https://klasma.github.io/Logging_0980/tillsynsmail/A 44619-2025 tillsynsbegäran mail.docx", "A 44619-2025")</f>
        <v/>
      </c>
    </row>
    <row r="182" ht="15" customHeight="1">
      <c r="A182" t="inlineStr">
        <is>
          <t>A 34141-2024</t>
        </is>
      </c>
      <c r="B182" s="1" t="n">
        <v>45524.36229166666</v>
      </c>
      <c r="C182" s="1" t="n">
        <v>45970</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9862-2024</t>
        </is>
      </c>
      <c r="B183" s="1" t="n">
        <v>45363</v>
      </c>
      <c r="C183" s="1" t="n">
        <v>45970</v>
      </c>
      <c r="D183" t="inlineStr">
        <is>
          <t>GOTLANDS LÄN</t>
        </is>
      </c>
      <c r="E183" t="inlineStr">
        <is>
          <t>GOTLAND</t>
        </is>
      </c>
      <c r="G183" t="n">
        <v>3.5</v>
      </c>
      <c r="H183" t="n">
        <v>1</v>
      </c>
      <c r="I183" t="n">
        <v>0</v>
      </c>
      <c r="J183" t="n">
        <v>0</v>
      </c>
      <c r="K183" t="n">
        <v>0</v>
      </c>
      <c r="L183" t="n">
        <v>0</v>
      </c>
      <c r="M183" t="n">
        <v>0</v>
      </c>
      <c r="N183" t="n">
        <v>0</v>
      </c>
      <c r="O183" t="n">
        <v>0</v>
      </c>
      <c r="P183" t="n">
        <v>0</v>
      </c>
      <c r="Q183" t="n">
        <v>1</v>
      </c>
      <c r="R183" s="2" t="inlineStr">
        <is>
          <t>Nattviol</t>
        </is>
      </c>
      <c r="S183">
        <f>HYPERLINK("https://klasma.github.io/Logging_0980/artfynd/A 9862-2024 artfynd.xlsx", "A 9862-2024")</f>
        <v/>
      </c>
      <c r="T183">
        <f>HYPERLINK("https://klasma.github.io/Logging_0980/kartor/A 9862-2024 karta.png", "A 9862-2024")</f>
        <v/>
      </c>
      <c r="V183">
        <f>HYPERLINK("https://klasma.github.io/Logging_0980/klagomål/A 9862-2024 FSC-klagomål.docx", "A 9862-2024")</f>
        <v/>
      </c>
      <c r="W183">
        <f>HYPERLINK("https://klasma.github.io/Logging_0980/klagomålsmail/A 9862-2024 FSC-klagomål mail.docx", "A 9862-2024")</f>
        <v/>
      </c>
      <c r="X183">
        <f>HYPERLINK("https://klasma.github.io/Logging_0980/tillsyn/A 9862-2024 tillsynsbegäran.docx", "A 9862-2024")</f>
        <v/>
      </c>
      <c r="Y183">
        <f>HYPERLINK("https://klasma.github.io/Logging_0980/tillsynsmail/A 9862-2024 tillsynsbegäran mail.docx", "A 9862-2024")</f>
        <v/>
      </c>
    </row>
    <row r="184" ht="15" customHeight="1">
      <c r="A184" t="inlineStr">
        <is>
          <t>A 61561-2023</t>
        </is>
      </c>
      <c r="B184" s="1" t="n">
        <v>45265</v>
      </c>
      <c r="C184" s="1" t="n">
        <v>45970</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63299-2020</t>
        </is>
      </c>
      <c r="B185" s="1" t="n">
        <v>44165</v>
      </c>
      <c r="C185" s="1" t="n">
        <v>45970</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12924-2025</t>
        </is>
      </c>
      <c r="B186" s="1" t="n">
        <v>45734</v>
      </c>
      <c r="C186" s="1" t="n">
        <v>45970</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27168-2022</t>
        </is>
      </c>
      <c r="B187" s="1" t="n">
        <v>44741</v>
      </c>
      <c r="C187" s="1" t="n">
        <v>45970</v>
      </c>
      <c r="D187" t="inlineStr">
        <is>
          <t>GOTLANDS LÄN</t>
        </is>
      </c>
      <c r="E187" t="inlineStr">
        <is>
          <t>GOTLAND</t>
        </is>
      </c>
      <c r="G187" t="n">
        <v>2.2</v>
      </c>
      <c r="H187" t="n">
        <v>1</v>
      </c>
      <c r="I187" t="n">
        <v>1</v>
      </c>
      <c r="J187" t="n">
        <v>0</v>
      </c>
      <c r="K187" t="n">
        <v>0</v>
      </c>
      <c r="L187" t="n">
        <v>0</v>
      </c>
      <c r="M187" t="n">
        <v>0</v>
      </c>
      <c r="N187" t="n">
        <v>0</v>
      </c>
      <c r="O187" t="n">
        <v>0</v>
      </c>
      <c r="P187" t="n">
        <v>0</v>
      </c>
      <c r="Q187" t="n">
        <v>1</v>
      </c>
      <c r="R187" s="2" t="inlineStr">
        <is>
          <t>Purpurknipprot</t>
        </is>
      </c>
      <c r="S187">
        <f>HYPERLINK("https://klasma.github.io/Logging_0980/artfynd/A 27168-2022 artfynd.xlsx", "A 27168-2022")</f>
        <v/>
      </c>
      <c r="T187">
        <f>HYPERLINK("https://klasma.github.io/Logging_0980/kartor/A 27168-2022 karta.png", "A 27168-2022")</f>
        <v/>
      </c>
      <c r="V187">
        <f>HYPERLINK("https://klasma.github.io/Logging_0980/klagomål/A 27168-2022 FSC-klagomål.docx", "A 27168-2022")</f>
        <v/>
      </c>
      <c r="W187">
        <f>HYPERLINK("https://klasma.github.io/Logging_0980/klagomålsmail/A 27168-2022 FSC-klagomål mail.docx", "A 27168-2022")</f>
        <v/>
      </c>
      <c r="X187">
        <f>HYPERLINK("https://klasma.github.io/Logging_0980/tillsyn/A 27168-2022 tillsynsbegäran.docx", "A 27168-2022")</f>
        <v/>
      </c>
      <c r="Y187">
        <f>HYPERLINK("https://klasma.github.io/Logging_0980/tillsynsmail/A 27168-2022 tillsynsbegäran mail.docx", "A 27168-2022")</f>
        <v/>
      </c>
    </row>
    <row r="188" ht="15" customHeight="1">
      <c r="A188" t="inlineStr">
        <is>
          <t>A 19901-2021</t>
        </is>
      </c>
      <c r="B188" s="1" t="n">
        <v>44312</v>
      </c>
      <c r="C188" s="1" t="n">
        <v>45970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45970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45970</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45970</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45970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45970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45970</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45970</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45970</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45970</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45970</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45970</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45970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45970</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45970</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45970</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45970</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45970</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45970</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45970</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45970</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45970</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45970</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45970</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45970</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45970</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45970</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45970</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45970</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45970</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45970</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45970</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45970</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45970</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45970</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45970</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45970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45970</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45970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45970</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45970</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45970</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45970</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45970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45970</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45970</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45970</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45970</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45970</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62120-2020</t>
        </is>
      </c>
      <c r="B239" s="1" t="n">
        <v>44158</v>
      </c>
      <c r="C239" s="1" t="n">
        <v>45970</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45970</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53225-2022</t>
        </is>
      </c>
      <c r="B241" s="1" t="n">
        <v>44876</v>
      </c>
      <c r="C241" s="1" t="n">
        <v>45970</v>
      </c>
      <c r="D241" t="inlineStr">
        <is>
          <t>GOTLANDS LÄN</t>
        </is>
      </c>
      <c r="E241" t="inlineStr">
        <is>
          <t>GOTLAND</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3271-2021</t>
        </is>
      </c>
      <c r="B242" s="1" t="n">
        <v>44217</v>
      </c>
      <c r="C242" s="1" t="n">
        <v>45970</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30055-2021</t>
        </is>
      </c>
      <c r="B243" s="1" t="n">
        <v>44363</v>
      </c>
      <c r="C243" s="1" t="n">
        <v>45970</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65393-2021</t>
        </is>
      </c>
      <c r="B244" s="1" t="n">
        <v>44515</v>
      </c>
      <c r="C244" s="1" t="n">
        <v>45970</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45970</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1734-2025</t>
        </is>
      </c>
      <c r="B246" s="1" t="n">
        <v>45671.3840625</v>
      </c>
      <c r="C246" s="1" t="n">
        <v>45970</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45970</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20993-2023</t>
        </is>
      </c>
      <c r="B248" s="1" t="n">
        <v>45056</v>
      </c>
      <c r="C248" s="1" t="n">
        <v>45970</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45970</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23910-2021</t>
        </is>
      </c>
      <c r="B250" s="1" t="n">
        <v>44335</v>
      </c>
      <c r="C250" s="1" t="n">
        <v>45970</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45970</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12596-2023</t>
        </is>
      </c>
      <c r="B252" s="1" t="n">
        <v>45000.43310185185</v>
      </c>
      <c r="C252" s="1" t="n">
        <v>45970</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2125-2025</t>
        </is>
      </c>
      <c r="B253" s="1" t="n">
        <v>45672.64940972222</v>
      </c>
      <c r="C253" s="1" t="n">
        <v>45970</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64555-2023</t>
        </is>
      </c>
      <c r="B254" s="1" t="n">
        <v>45281</v>
      </c>
      <c r="C254" s="1" t="n">
        <v>45970</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64831-2023</t>
        </is>
      </c>
      <c r="B255" s="1" t="n">
        <v>45282.44924768519</v>
      </c>
      <c r="C255" s="1" t="n">
        <v>45970</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14804-2021</t>
        </is>
      </c>
      <c r="B256" s="1" t="n">
        <v>44280</v>
      </c>
      <c r="C256" s="1" t="n">
        <v>45970</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12155-2023</t>
        </is>
      </c>
      <c r="B257" s="1" t="n">
        <v>44998.49106481481</v>
      </c>
      <c r="C257" s="1" t="n">
        <v>45970</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457-2023</t>
        </is>
      </c>
      <c r="B258" s="1" t="n">
        <v>44929.87238425926</v>
      </c>
      <c r="C258" s="1" t="n">
        <v>45970</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459-2023</t>
        </is>
      </c>
      <c r="B259" s="1" t="n">
        <v>44929.87423611111</v>
      </c>
      <c r="C259" s="1" t="n">
        <v>45970</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999-2023</t>
        </is>
      </c>
      <c r="B260" s="1" t="n">
        <v>44935</v>
      </c>
      <c r="C260" s="1" t="n">
        <v>45970</v>
      </c>
      <c r="D260" t="inlineStr">
        <is>
          <t>GOTLANDS LÄN</t>
        </is>
      </c>
      <c r="E260" t="inlineStr">
        <is>
          <t>GOTLAND</t>
        </is>
      </c>
      <c r="G260" t="n">
        <v>4.7</v>
      </c>
      <c r="H260" t="n">
        <v>0</v>
      </c>
      <c r="I260" t="n">
        <v>0</v>
      </c>
      <c r="J260" t="n">
        <v>0</v>
      </c>
      <c r="K260" t="n">
        <v>0</v>
      </c>
      <c r="L260" t="n">
        <v>0</v>
      </c>
      <c r="M260" t="n">
        <v>0</v>
      </c>
      <c r="N260" t="n">
        <v>0</v>
      </c>
      <c r="O260" t="n">
        <v>0</v>
      </c>
      <c r="P260" t="n">
        <v>0</v>
      </c>
      <c r="Q260" t="n">
        <v>0</v>
      </c>
      <c r="R260" s="2" t="inlineStr"/>
    </row>
    <row r="261" ht="15" customHeight="1">
      <c r="A261" t="inlineStr">
        <is>
          <t>A 38234-2023</t>
        </is>
      </c>
      <c r="B261" s="1" t="n">
        <v>45161.56663194444</v>
      </c>
      <c r="C261" s="1" t="n">
        <v>45970</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27602-2023</t>
        </is>
      </c>
      <c r="B262" s="1" t="n">
        <v>45097</v>
      </c>
      <c r="C262" s="1" t="n">
        <v>45970</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50744-2024</t>
        </is>
      </c>
      <c r="B263" s="1" t="n">
        <v>45602.4187037037</v>
      </c>
      <c r="C263" s="1" t="n">
        <v>45970</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24966-2023</t>
        </is>
      </c>
      <c r="B264" s="1" t="n">
        <v>45085</v>
      </c>
      <c r="C264" s="1" t="n">
        <v>45970</v>
      </c>
      <c r="D264" t="inlineStr">
        <is>
          <t>GOTLANDS LÄN</t>
        </is>
      </c>
      <c r="E264" t="inlineStr">
        <is>
          <t>GOTLAND</t>
        </is>
      </c>
      <c r="G264" t="n">
        <v>7</v>
      </c>
      <c r="H264" t="n">
        <v>0</v>
      </c>
      <c r="I264" t="n">
        <v>0</v>
      </c>
      <c r="J264" t="n">
        <v>0</v>
      </c>
      <c r="K264" t="n">
        <v>0</v>
      </c>
      <c r="L264" t="n">
        <v>0</v>
      </c>
      <c r="M264" t="n">
        <v>0</v>
      </c>
      <c r="N264" t="n">
        <v>0</v>
      </c>
      <c r="O264" t="n">
        <v>0</v>
      </c>
      <c r="P264" t="n">
        <v>0</v>
      </c>
      <c r="Q264" t="n">
        <v>0</v>
      </c>
      <c r="R264" s="2" t="inlineStr"/>
    </row>
    <row r="265" ht="15" customHeight="1">
      <c r="A265" t="inlineStr">
        <is>
          <t>A 46189-2022</t>
        </is>
      </c>
      <c r="B265" s="1" t="n">
        <v>44847</v>
      </c>
      <c r="C265" s="1" t="n">
        <v>45970</v>
      </c>
      <c r="D265" t="inlineStr">
        <is>
          <t>GOTLANDS LÄN</t>
        </is>
      </c>
      <c r="E265" t="inlineStr">
        <is>
          <t>GOTLAND</t>
        </is>
      </c>
      <c r="G265" t="n">
        <v>0.4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45970</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4377-2023</t>
        </is>
      </c>
      <c r="B267" s="1" t="n">
        <v>44955.5502662037</v>
      </c>
      <c r="C267" s="1" t="n">
        <v>45970</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4387-2023</t>
        </is>
      </c>
      <c r="B268" s="1" t="n">
        <v>44955.73359953704</v>
      </c>
      <c r="C268" s="1" t="n">
        <v>45970</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45970</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45970</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45970</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51963-2024</t>
        </is>
      </c>
      <c r="B272" s="1" t="n">
        <v>45607.64833333333</v>
      </c>
      <c r="C272" s="1" t="n">
        <v>45970</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811-2023</t>
        </is>
      </c>
      <c r="B273" s="1" t="n">
        <v>44931</v>
      </c>
      <c r="C273" s="1" t="n">
        <v>45970</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1446-2025</t>
        </is>
      </c>
      <c r="B274" s="1" t="n">
        <v>45669.86035879629</v>
      </c>
      <c r="C274" s="1" t="n">
        <v>45970</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44919-2022</t>
        </is>
      </c>
      <c r="B275" s="1" t="n">
        <v>44841</v>
      </c>
      <c r="C275" s="1" t="n">
        <v>45970</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46389-2021</t>
        </is>
      </c>
      <c r="B276" s="1" t="n">
        <v>44443</v>
      </c>
      <c r="C276" s="1" t="n">
        <v>45970</v>
      </c>
      <c r="D276" t="inlineStr">
        <is>
          <t>GOTLANDS LÄN</t>
        </is>
      </c>
      <c r="E276" t="inlineStr">
        <is>
          <t>GOTLAND</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2292-2021</t>
        </is>
      </c>
      <c r="B277" s="1" t="n">
        <v>44212</v>
      </c>
      <c r="C277" s="1" t="n">
        <v>45970</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26810-2021</t>
        </is>
      </c>
      <c r="B278" s="1" t="n">
        <v>44349.55087962963</v>
      </c>
      <c r="C278" s="1" t="n">
        <v>45970</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31264-2021</t>
        </is>
      </c>
      <c r="B279" s="1" t="n">
        <v>44368</v>
      </c>
      <c r="C279" s="1" t="n">
        <v>45970</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43901-2023</t>
        </is>
      </c>
      <c r="B280" s="1" t="n">
        <v>45187</v>
      </c>
      <c r="C280" s="1" t="n">
        <v>45970</v>
      </c>
      <c r="D280" t="inlineStr">
        <is>
          <t>GOTLANDS LÄN</t>
        </is>
      </c>
      <c r="E280" t="inlineStr">
        <is>
          <t>GOTLAND</t>
        </is>
      </c>
      <c r="G280" t="n">
        <v>5.4</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45970</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5923-2023</t>
        </is>
      </c>
      <c r="B282" s="1" t="n">
        <v>44963.69503472222</v>
      </c>
      <c r="C282" s="1" t="n">
        <v>45970</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33853-2024</t>
        </is>
      </c>
      <c r="B283" s="1" t="n">
        <v>45520.64298611111</v>
      </c>
      <c r="C283" s="1" t="n">
        <v>45970</v>
      </c>
      <c r="D283" t="inlineStr">
        <is>
          <t>GOTLANDS LÄN</t>
        </is>
      </c>
      <c r="E283" t="inlineStr">
        <is>
          <t>GOTLAND</t>
        </is>
      </c>
      <c r="G283" t="n">
        <v>3.9</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45970</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10746-2025</t>
        </is>
      </c>
      <c r="B285" s="1" t="n">
        <v>45722.42766203704</v>
      </c>
      <c r="C285" s="1" t="n">
        <v>45970</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2674-2023</t>
        </is>
      </c>
      <c r="B286" s="1" t="n">
        <v>44944</v>
      </c>
      <c r="C286" s="1" t="n">
        <v>45970</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16501-2023</t>
        </is>
      </c>
      <c r="B287" s="1" t="n">
        <v>45029</v>
      </c>
      <c r="C287" s="1" t="n">
        <v>45970</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45970</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45970</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44649-2021</t>
        </is>
      </c>
      <c r="B290" s="1" t="n">
        <v>44437</v>
      </c>
      <c r="C290" s="1" t="n">
        <v>45970</v>
      </c>
      <c r="D290" t="inlineStr">
        <is>
          <t>GOTLANDS LÄN</t>
        </is>
      </c>
      <c r="E290" t="inlineStr">
        <is>
          <t>GOTLAND</t>
        </is>
      </c>
      <c r="G290" t="n">
        <v>8.1</v>
      </c>
      <c r="H290" t="n">
        <v>0</v>
      </c>
      <c r="I290" t="n">
        <v>0</v>
      </c>
      <c r="J290" t="n">
        <v>0</v>
      </c>
      <c r="K290" t="n">
        <v>0</v>
      </c>
      <c r="L290" t="n">
        <v>0</v>
      </c>
      <c r="M290" t="n">
        <v>0</v>
      </c>
      <c r="N290" t="n">
        <v>0</v>
      </c>
      <c r="O290" t="n">
        <v>0</v>
      </c>
      <c r="P290" t="n">
        <v>0</v>
      </c>
      <c r="Q290" t="n">
        <v>0</v>
      </c>
      <c r="R290" s="2" t="inlineStr"/>
    </row>
    <row r="291" ht="15" customHeight="1">
      <c r="A291" t="inlineStr">
        <is>
          <t>A 27930-2021</t>
        </is>
      </c>
      <c r="B291" s="1" t="n">
        <v>44354</v>
      </c>
      <c r="C291" s="1" t="n">
        <v>45970</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45970</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45970</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10655-2023</t>
        </is>
      </c>
      <c r="B294" s="1" t="n">
        <v>44988.49543981482</v>
      </c>
      <c r="C294" s="1" t="n">
        <v>45970</v>
      </c>
      <c r="D294" t="inlineStr">
        <is>
          <t>GOTLANDS LÄN</t>
        </is>
      </c>
      <c r="E294" t="inlineStr">
        <is>
          <t>GOTLAND</t>
        </is>
      </c>
      <c r="F294" t="inlineStr">
        <is>
          <t>Kyrkan</t>
        </is>
      </c>
      <c r="G294" t="n">
        <v>2</v>
      </c>
      <c r="H294" t="n">
        <v>0</v>
      </c>
      <c r="I294" t="n">
        <v>0</v>
      </c>
      <c r="J294" t="n">
        <v>0</v>
      </c>
      <c r="K294" t="n">
        <v>0</v>
      </c>
      <c r="L294" t="n">
        <v>0</v>
      </c>
      <c r="M294" t="n">
        <v>0</v>
      </c>
      <c r="N294" t="n">
        <v>0</v>
      </c>
      <c r="O294" t="n">
        <v>0</v>
      </c>
      <c r="P294" t="n">
        <v>0</v>
      </c>
      <c r="Q294" t="n">
        <v>0</v>
      </c>
      <c r="R294" s="2" t="inlineStr"/>
    </row>
    <row r="295" ht="15" customHeight="1">
      <c r="A295" t="inlineStr">
        <is>
          <t>A 47147-2025</t>
        </is>
      </c>
      <c r="B295" s="1" t="n">
        <v>45929.71716435185</v>
      </c>
      <c r="C295" s="1" t="n">
        <v>45970</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44304-2021</t>
        </is>
      </c>
      <c r="B296" s="1" t="n">
        <v>44434</v>
      </c>
      <c r="C296" s="1" t="n">
        <v>45970</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45970</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2719-2023</t>
        </is>
      </c>
      <c r="B298" s="1" t="n">
        <v>44944.55361111111</v>
      </c>
      <c r="C298" s="1" t="n">
        <v>45970</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45970</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10492-2023</t>
        </is>
      </c>
      <c r="B300" s="1" t="n">
        <v>44987</v>
      </c>
      <c r="C300" s="1" t="n">
        <v>45970</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45970</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57522-2022</t>
        </is>
      </c>
      <c r="B302" s="1" t="n">
        <v>44896</v>
      </c>
      <c r="C302" s="1" t="n">
        <v>45970</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42007-2023</t>
        </is>
      </c>
      <c r="B303" s="1" t="n">
        <v>45177</v>
      </c>
      <c r="C303" s="1" t="n">
        <v>45970</v>
      </c>
      <c r="D303" t="inlineStr">
        <is>
          <t>GOTLANDS LÄN</t>
        </is>
      </c>
      <c r="E303" t="inlineStr">
        <is>
          <t>GOTLAND</t>
        </is>
      </c>
      <c r="G303" t="n">
        <v>0.8</v>
      </c>
      <c r="H303" t="n">
        <v>0</v>
      </c>
      <c r="I303" t="n">
        <v>0</v>
      </c>
      <c r="J303" t="n">
        <v>0</v>
      </c>
      <c r="K303" t="n">
        <v>0</v>
      </c>
      <c r="L303" t="n">
        <v>0</v>
      </c>
      <c r="M303" t="n">
        <v>0</v>
      </c>
      <c r="N303" t="n">
        <v>0</v>
      </c>
      <c r="O303" t="n">
        <v>0</v>
      </c>
      <c r="P303" t="n">
        <v>0</v>
      </c>
      <c r="Q303" t="n">
        <v>0</v>
      </c>
      <c r="R303" s="2" t="inlineStr"/>
    </row>
    <row r="304" ht="15" customHeight="1">
      <c r="A304" t="inlineStr">
        <is>
          <t>A 9887-2025</t>
        </is>
      </c>
      <c r="B304" s="1" t="n">
        <v>45716</v>
      </c>
      <c r="C304" s="1" t="n">
        <v>45970</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45970</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5909-2025</t>
        </is>
      </c>
      <c r="B306" s="1" t="n">
        <v>45695.40634259259</v>
      </c>
      <c r="C306" s="1" t="n">
        <v>45970</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27593-2023</t>
        </is>
      </c>
      <c r="B307" s="1" t="n">
        <v>45097</v>
      </c>
      <c r="C307" s="1" t="n">
        <v>45970</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10653-2023</t>
        </is>
      </c>
      <c r="B308" s="1" t="n">
        <v>44988.48859953704</v>
      </c>
      <c r="C308" s="1" t="n">
        <v>45970</v>
      </c>
      <c r="D308" t="inlineStr">
        <is>
          <t>GOTLANDS LÄN</t>
        </is>
      </c>
      <c r="E308" t="inlineStr">
        <is>
          <t>GOTLAND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27596-2023</t>
        </is>
      </c>
      <c r="B309" s="1" t="n">
        <v>45097</v>
      </c>
      <c r="C309" s="1" t="n">
        <v>45970</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30135-2025</t>
        </is>
      </c>
      <c r="B310" s="1" t="n">
        <v>45826</v>
      </c>
      <c r="C310" s="1" t="n">
        <v>45970</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4990-2025</t>
        </is>
      </c>
      <c r="B311" s="1" t="n">
        <v>45691</v>
      </c>
      <c r="C311" s="1" t="n">
        <v>45970</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45970</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6696-2023</t>
        </is>
      </c>
      <c r="B313" s="1" t="n">
        <v>44966.66425925926</v>
      </c>
      <c r="C313" s="1" t="n">
        <v>45970</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63516-2023</t>
        </is>
      </c>
      <c r="B314" s="1" t="n">
        <v>45274</v>
      </c>
      <c r="C314" s="1" t="n">
        <v>45970</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21247-2022</t>
        </is>
      </c>
      <c r="B315" s="1" t="n">
        <v>44705.38832175926</v>
      </c>
      <c r="C315" s="1" t="n">
        <v>45970</v>
      </c>
      <c r="D315" t="inlineStr">
        <is>
          <t>GOTLANDS LÄN</t>
        </is>
      </c>
      <c r="E315" t="inlineStr">
        <is>
          <t>GOTLAND</t>
        </is>
      </c>
      <c r="G315" t="n">
        <v>16.2</v>
      </c>
      <c r="H315" t="n">
        <v>0</v>
      </c>
      <c r="I315" t="n">
        <v>0</v>
      </c>
      <c r="J315" t="n">
        <v>0</v>
      </c>
      <c r="K315" t="n">
        <v>0</v>
      </c>
      <c r="L315" t="n">
        <v>0</v>
      </c>
      <c r="M315" t="n">
        <v>0</v>
      </c>
      <c r="N315" t="n">
        <v>0</v>
      </c>
      <c r="O315" t="n">
        <v>0</v>
      </c>
      <c r="P315" t="n">
        <v>0</v>
      </c>
      <c r="Q315" t="n">
        <v>0</v>
      </c>
      <c r="R315" s="2" t="inlineStr"/>
    </row>
    <row r="316" ht="15" customHeight="1">
      <c r="A316" t="inlineStr">
        <is>
          <t>A 456-2023</t>
        </is>
      </c>
      <c r="B316" s="1" t="n">
        <v>44929.87122685185</v>
      </c>
      <c r="C316" s="1" t="n">
        <v>45970</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2714-2023</t>
        </is>
      </c>
      <c r="B317" s="1" t="n">
        <v>44944.54896990741</v>
      </c>
      <c r="C317" s="1" t="n">
        <v>45970</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43081-2022</t>
        </is>
      </c>
      <c r="B318" s="1" t="n">
        <v>44833</v>
      </c>
      <c r="C318" s="1" t="n">
        <v>45970</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24001-2021</t>
        </is>
      </c>
      <c r="B319" s="1" t="n">
        <v>44335</v>
      </c>
      <c r="C319" s="1" t="n">
        <v>45970</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32958-2021</t>
        </is>
      </c>
      <c r="B320" s="1" t="n">
        <v>44376</v>
      </c>
      <c r="C320" s="1" t="n">
        <v>45970</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45970</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5884-2025</t>
        </is>
      </c>
      <c r="B322" s="1" t="n">
        <v>45695.37482638889</v>
      </c>
      <c r="C322" s="1" t="n">
        <v>45970</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5897-2025</t>
        </is>
      </c>
      <c r="B323" s="1" t="n">
        <v>45695.39273148148</v>
      </c>
      <c r="C323" s="1" t="n">
        <v>45970</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51782-2023</t>
        </is>
      </c>
      <c r="B324" s="1" t="n">
        <v>45222.80952546297</v>
      </c>
      <c r="C324" s="1" t="n">
        <v>45970</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54268-2022</t>
        </is>
      </c>
      <c r="B325" s="1" t="n">
        <v>44882</v>
      </c>
      <c r="C325" s="1" t="n">
        <v>45970</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49693-2023</t>
        </is>
      </c>
      <c r="B326" s="1" t="n">
        <v>45212.38138888889</v>
      </c>
      <c r="C326" s="1" t="n">
        <v>45970</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49697-2023</t>
        </is>
      </c>
      <c r="B327" s="1" t="n">
        <v>45212.38909722222</v>
      </c>
      <c r="C327" s="1" t="n">
        <v>45970</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57534-2022</t>
        </is>
      </c>
      <c r="B328" s="1" t="n">
        <v>44896</v>
      </c>
      <c r="C328" s="1" t="n">
        <v>45970</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30365-2024</t>
        </is>
      </c>
      <c r="B329" s="1" t="n">
        <v>45491.3716087963</v>
      </c>
      <c r="C329" s="1" t="n">
        <v>45970</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25866-2022</t>
        </is>
      </c>
      <c r="B330" s="1" t="n">
        <v>44733</v>
      </c>
      <c r="C330" s="1" t="n">
        <v>45970</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1681-2023</t>
        </is>
      </c>
      <c r="B331" s="1" t="n">
        <v>44938.39715277778</v>
      </c>
      <c r="C331" s="1" t="n">
        <v>45970</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45970</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12599-2025</t>
        </is>
      </c>
      <c r="B333" s="1" t="n">
        <v>45733.29546296296</v>
      </c>
      <c r="C333" s="1" t="n">
        <v>45970</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43229-2023</t>
        </is>
      </c>
      <c r="B334" s="1" t="n">
        <v>45183.46704861111</v>
      </c>
      <c r="C334" s="1" t="n">
        <v>45970</v>
      </c>
      <c r="D334" t="inlineStr">
        <is>
          <t>GOTLANDS LÄN</t>
        </is>
      </c>
      <c r="E334" t="inlineStr">
        <is>
          <t>GOTLAND</t>
        </is>
      </c>
      <c r="G334" t="n">
        <v>7.1</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45970</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27095-2022</t>
        </is>
      </c>
      <c r="B336" s="1" t="n">
        <v>44741</v>
      </c>
      <c r="C336" s="1" t="n">
        <v>45970</v>
      </c>
      <c r="D336" t="inlineStr">
        <is>
          <t>GOTLANDS LÄN</t>
        </is>
      </c>
      <c r="E336" t="inlineStr">
        <is>
          <t>GOTLAND</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22899-2023</t>
        </is>
      </c>
      <c r="B337" s="1" t="n">
        <v>45072</v>
      </c>
      <c r="C337" s="1" t="n">
        <v>45970</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23978-2023</t>
        </is>
      </c>
      <c r="B338" s="1" t="n">
        <v>45078</v>
      </c>
      <c r="C338" s="1" t="n">
        <v>45970</v>
      </c>
      <c r="D338" t="inlineStr">
        <is>
          <t>GOTLANDS LÄN</t>
        </is>
      </c>
      <c r="E338" t="inlineStr">
        <is>
          <t>GOTLAND</t>
        </is>
      </c>
      <c r="F338" t="inlineStr">
        <is>
          <t>Naturvårdsverket</t>
        </is>
      </c>
      <c r="G338" t="n">
        <v>1.7</v>
      </c>
      <c r="H338" t="n">
        <v>0</v>
      </c>
      <c r="I338" t="n">
        <v>0</v>
      </c>
      <c r="J338" t="n">
        <v>0</v>
      </c>
      <c r="K338" t="n">
        <v>0</v>
      </c>
      <c r="L338" t="n">
        <v>0</v>
      </c>
      <c r="M338" t="n">
        <v>0</v>
      </c>
      <c r="N338" t="n">
        <v>0</v>
      </c>
      <c r="O338" t="n">
        <v>0</v>
      </c>
      <c r="P338" t="n">
        <v>0</v>
      </c>
      <c r="Q338" t="n">
        <v>0</v>
      </c>
      <c r="R338" s="2" t="inlineStr"/>
    </row>
    <row r="339" ht="15" customHeight="1">
      <c r="A339" t="inlineStr">
        <is>
          <t>A 52892-2021</t>
        </is>
      </c>
      <c r="B339" s="1" t="n">
        <v>44467.49048611111</v>
      </c>
      <c r="C339" s="1" t="n">
        <v>45970</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45970</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45970</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11013-2024</t>
        </is>
      </c>
      <c r="B342" s="1" t="n">
        <v>45370</v>
      </c>
      <c r="C342" s="1" t="n">
        <v>45970</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27694-2024</t>
        </is>
      </c>
      <c r="B343" s="1" t="n">
        <v>45475</v>
      </c>
      <c r="C343" s="1" t="n">
        <v>45970</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1273-2023</t>
        </is>
      </c>
      <c r="B344" s="1" t="n">
        <v>44936</v>
      </c>
      <c r="C344" s="1" t="n">
        <v>45970</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15083-2025</t>
        </is>
      </c>
      <c r="B345" s="1" t="n">
        <v>45743</v>
      </c>
      <c r="C345" s="1" t="n">
        <v>45970</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46396-2023</t>
        </is>
      </c>
      <c r="B346" s="1" t="n">
        <v>45197</v>
      </c>
      <c r="C346" s="1" t="n">
        <v>45970</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13037-2025</t>
        </is>
      </c>
      <c r="B347" s="1" t="n">
        <v>45734</v>
      </c>
      <c r="C347" s="1" t="n">
        <v>45970</v>
      </c>
      <c r="D347" t="inlineStr">
        <is>
          <t>GOTLANDS LÄN</t>
        </is>
      </c>
      <c r="E347" t="inlineStr">
        <is>
          <t>GOTLAND</t>
        </is>
      </c>
      <c r="G347" t="n">
        <v>9.5</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45970</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458-2023</t>
        </is>
      </c>
      <c r="B349" s="1" t="n">
        <v>44929</v>
      </c>
      <c r="C349" s="1" t="n">
        <v>45970</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45970</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33876-2024</t>
        </is>
      </c>
      <c r="B351" s="1" t="n">
        <v>45521.87988425926</v>
      </c>
      <c r="C351" s="1" t="n">
        <v>45970</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45970</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45970</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45970</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44228-2022</t>
        </is>
      </c>
      <c r="B355" s="1" t="n">
        <v>44839.51599537037</v>
      </c>
      <c r="C355" s="1" t="n">
        <v>45970</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46836-2025</t>
        </is>
      </c>
      <c r="B356" s="1" t="n">
        <v>45928.31511574074</v>
      </c>
      <c r="C356" s="1" t="n">
        <v>45970</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58132-2023</t>
        </is>
      </c>
      <c r="B357" s="1" t="n">
        <v>45250</v>
      </c>
      <c r="C357" s="1" t="n">
        <v>45970</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45970</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45970</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61100-2022</t>
        </is>
      </c>
      <c r="B360" s="1" t="n">
        <v>44915</v>
      </c>
      <c r="C360" s="1" t="n">
        <v>45970</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61682-2024</t>
        </is>
      </c>
      <c r="B361" s="1" t="n">
        <v>45647.48824074074</v>
      </c>
      <c r="C361" s="1" t="n">
        <v>45970</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49884-2023</t>
        </is>
      </c>
      <c r="B362" s="1" t="n">
        <v>45213</v>
      </c>
      <c r="C362" s="1" t="n">
        <v>45970</v>
      </c>
      <c r="D362" t="inlineStr">
        <is>
          <t>GOTLANDS LÄN</t>
        </is>
      </c>
      <c r="E362" t="inlineStr">
        <is>
          <t>GOTLAND</t>
        </is>
      </c>
      <c r="G362" t="n">
        <v>8.9</v>
      </c>
      <c r="H362" t="n">
        <v>0</v>
      </c>
      <c r="I362" t="n">
        <v>0</v>
      </c>
      <c r="J362" t="n">
        <v>0</v>
      </c>
      <c r="K362" t="n">
        <v>0</v>
      </c>
      <c r="L362" t="n">
        <v>0</v>
      </c>
      <c r="M362" t="n">
        <v>0</v>
      </c>
      <c r="N362" t="n">
        <v>0</v>
      </c>
      <c r="O362" t="n">
        <v>0</v>
      </c>
      <c r="P362" t="n">
        <v>0</v>
      </c>
      <c r="Q362" t="n">
        <v>0</v>
      </c>
      <c r="R362" s="2" t="inlineStr"/>
    </row>
    <row r="363" ht="15" customHeight="1">
      <c r="A363" t="inlineStr">
        <is>
          <t>A 69112-2021</t>
        </is>
      </c>
      <c r="B363" s="1" t="n">
        <v>44530</v>
      </c>
      <c r="C363" s="1" t="n">
        <v>45970</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45705.77306712963</v>
      </c>
      <c r="C364" s="1" t="n">
        <v>45970</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45970</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50482-2024</t>
        </is>
      </c>
      <c r="B366" s="1" t="n">
        <v>45601.48114583334</v>
      </c>
      <c r="C366" s="1" t="n">
        <v>45970</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1394-2023</t>
        </is>
      </c>
      <c r="B367" s="1" t="n">
        <v>44936.72997685185</v>
      </c>
      <c r="C367" s="1" t="n">
        <v>45970</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45970</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22704-2023</t>
        </is>
      </c>
      <c r="B369" s="1" t="n">
        <v>45071</v>
      </c>
      <c r="C369" s="1" t="n">
        <v>45970</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45970</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58230-2024</t>
        </is>
      </c>
      <c r="B371" s="1" t="n">
        <v>45632.51625</v>
      </c>
      <c r="C371" s="1" t="n">
        <v>45970</v>
      </c>
      <c r="D371" t="inlineStr">
        <is>
          <t>GOTLANDS LÄN</t>
        </is>
      </c>
      <c r="E371" t="inlineStr">
        <is>
          <t>GOTLAND</t>
        </is>
      </c>
      <c r="G371" t="n">
        <v>7.3</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45970</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45670.36319444444</v>
      </c>
      <c r="C373" s="1" t="n">
        <v>45970</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58476-2022</t>
        </is>
      </c>
      <c r="B374" s="1" t="n">
        <v>44902</v>
      </c>
      <c r="C374" s="1" t="n">
        <v>45970</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45970</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43223-2023</t>
        </is>
      </c>
      <c r="B376" s="1" t="n">
        <v>45183.45642361111</v>
      </c>
      <c r="C376" s="1" t="n">
        <v>45970</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25129-2023</t>
        </is>
      </c>
      <c r="B377" s="1" t="n">
        <v>45086.44261574074</v>
      </c>
      <c r="C377" s="1" t="n">
        <v>45970</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45970</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45970</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3431-2025</t>
        </is>
      </c>
      <c r="B380" s="1" t="n">
        <v>45680.42935185185</v>
      </c>
      <c r="C380" s="1" t="n">
        <v>45970</v>
      </c>
      <c r="D380" t="inlineStr">
        <is>
          <t>GOTLANDS LÄN</t>
        </is>
      </c>
      <c r="E380" t="inlineStr">
        <is>
          <t>GOTLAND</t>
        </is>
      </c>
      <c r="G380" t="n">
        <v>4.8</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45970</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12209-2024</t>
        </is>
      </c>
      <c r="B382" s="1" t="n">
        <v>45378</v>
      </c>
      <c r="C382" s="1" t="n">
        <v>45970</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12210-2024</t>
        </is>
      </c>
      <c r="B383" s="1" t="n">
        <v>45378</v>
      </c>
      <c r="C383" s="1" t="n">
        <v>45970</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7837-2024</t>
        </is>
      </c>
      <c r="B384" s="1" t="n">
        <v>45349.83787037037</v>
      </c>
      <c r="C384" s="1" t="n">
        <v>45970</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1364-2025</t>
        </is>
      </c>
      <c r="B385" s="1" t="n">
        <v>45667.63929398148</v>
      </c>
      <c r="C385" s="1" t="n">
        <v>45970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15042-2025</t>
        </is>
      </c>
      <c r="B386" s="1" t="n">
        <v>45743</v>
      </c>
      <c r="C386" s="1" t="n">
        <v>45970</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45970</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45970</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45970</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45970</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47578-2025</t>
        </is>
      </c>
      <c r="B391" s="1" t="n">
        <v>45931</v>
      </c>
      <c r="C391" s="1" t="n">
        <v>45970</v>
      </c>
      <c r="D391" t="inlineStr">
        <is>
          <t>GOTLANDS LÄN</t>
        </is>
      </c>
      <c r="E391" t="inlineStr">
        <is>
          <t>GOTLAND</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45970</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45970</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15436-2025</t>
        </is>
      </c>
      <c r="B394" s="1" t="n">
        <v>45747.47462962963</v>
      </c>
      <c r="C394" s="1" t="n">
        <v>45970</v>
      </c>
      <c r="D394" t="inlineStr">
        <is>
          <t>GOTLANDS LÄN</t>
        </is>
      </c>
      <c r="E394" t="inlineStr">
        <is>
          <t>GOTLAND</t>
        </is>
      </c>
      <c r="G394" t="n">
        <v>4.1</v>
      </c>
      <c r="H394" t="n">
        <v>0</v>
      </c>
      <c r="I394" t="n">
        <v>0</v>
      </c>
      <c r="J394" t="n">
        <v>0</v>
      </c>
      <c r="K394" t="n">
        <v>0</v>
      </c>
      <c r="L394" t="n">
        <v>0</v>
      </c>
      <c r="M394" t="n">
        <v>0</v>
      </c>
      <c r="N394" t="n">
        <v>0</v>
      </c>
      <c r="O394" t="n">
        <v>0</v>
      </c>
      <c r="P394" t="n">
        <v>0</v>
      </c>
      <c r="Q394" t="n">
        <v>0</v>
      </c>
      <c r="R394" s="2" t="inlineStr"/>
    </row>
    <row r="395" ht="15" customHeight="1">
      <c r="A395" t="inlineStr">
        <is>
          <t>A 1000-2024</t>
        </is>
      </c>
      <c r="B395" s="1" t="n">
        <v>45301.63371527778</v>
      </c>
      <c r="C395" s="1" t="n">
        <v>45970</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1010-2024</t>
        </is>
      </c>
      <c r="B396" s="1" t="n">
        <v>45301</v>
      </c>
      <c r="C396" s="1" t="n">
        <v>45970</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39819-2025</t>
        </is>
      </c>
      <c r="B397" s="1" t="n">
        <v>45891.53418981482</v>
      </c>
      <c r="C397" s="1" t="n">
        <v>45970</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45970</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45970</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45970</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45970</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56115-2023</t>
        </is>
      </c>
      <c r="B402" s="1" t="n">
        <v>45236</v>
      </c>
      <c r="C402" s="1" t="n">
        <v>45970</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39814-2025</t>
        </is>
      </c>
      <c r="B403" s="1" t="n">
        <v>45891.52694444444</v>
      </c>
      <c r="C403" s="1" t="n">
        <v>45970</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1291-2023</t>
        </is>
      </c>
      <c r="B404" s="1" t="n">
        <v>44936.47561342592</v>
      </c>
      <c r="C404" s="1" t="n">
        <v>45970</v>
      </c>
      <c r="D404" t="inlineStr">
        <is>
          <t>GOTLANDS LÄN</t>
        </is>
      </c>
      <c r="E404" t="inlineStr">
        <is>
          <t>GOTLAND</t>
        </is>
      </c>
      <c r="G404" t="n">
        <v>7.4</v>
      </c>
      <c r="H404" t="n">
        <v>0</v>
      </c>
      <c r="I404" t="n">
        <v>0</v>
      </c>
      <c r="J404" t="n">
        <v>0</v>
      </c>
      <c r="K404" t="n">
        <v>0</v>
      </c>
      <c r="L404" t="n">
        <v>0</v>
      </c>
      <c r="M404" t="n">
        <v>0</v>
      </c>
      <c r="N404" t="n">
        <v>0</v>
      </c>
      <c r="O404" t="n">
        <v>0</v>
      </c>
      <c r="P404" t="n">
        <v>0</v>
      </c>
      <c r="Q404" t="n">
        <v>0</v>
      </c>
      <c r="R404" s="2" t="inlineStr"/>
    </row>
    <row r="405" ht="15" customHeight="1">
      <c r="A405" t="inlineStr">
        <is>
          <t>A 47762-2023</t>
        </is>
      </c>
      <c r="B405" s="1" t="n">
        <v>45203.86256944444</v>
      </c>
      <c r="C405" s="1" t="n">
        <v>45970</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45970</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46545-2024</t>
        </is>
      </c>
      <c r="B407" s="1" t="n">
        <v>45582.65831018519</v>
      </c>
      <c r="C407" s="1" t="n">
        <v>45970</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60086-2022</t>
        </is>
      </c>
      <c r="B408" s="1" t="n">
        <v>44909</v>
      </c>
      <c r="C408" s="1" t="n">
        <v>45970</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28480-2023</t>
        </is>
      </c>
      <c r="B409" s="1" t="n">
        <v>45103</v>
      </c>
      <c r="C409" s="1" t="n">
        <v>45970</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45103.43731481482</v>
      </c>
      <c r="C410" s="1" t="n">
        <v>45970</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45970</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2774-2024</t>
        </is>
      </c>
      <c r="B412" s="1" t="n">
        <v>45314.62375</v>
      </c>
      <c r="C412" s="1" t="n">
        <v>45970</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62915-2021</t>
        </is>
      </c>
      <c r="B413" s="1" t="n">
        <v>44504</v>
      </c>
      <c r="C413" s="1" t="n">
        <v>45970</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45970</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45970</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39849-2025</t>
        </is>
      </c>
      <c r="B416" s="1" t="n">
        <v>45891.58502314815</v>
      </c>
      <c r="C416" s="1" t="n">
        <v>45970</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45970</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44949-2023</t>
        </is>
      </c>
      <c r="B418" s="1" t="n">
        <v>45190.69520833333</v>
      </c>
      <c r="C418" s="1" t="n">
        <v>45970</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45970</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45970</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45970</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45970</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45970</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45970</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45970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64208-2021</t>
        </is>
      </c>
      <c r="B426" s="1" t="n">
        <v>44510</v>
      </c>
      <c r="C426" s="1" t="n">
        <v>45970</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39764-2022</t>
        </is>
      </c>
      <c r="B427" s="1" t="n">
        <v>44819</v>
      </c>
      <c r="C427" s="1" t="n">
        <v>45970</v>
      </c>
      <c r="D427" t="inlineStr">
        <is>
          <t>GOTLANDS LÄN</t>
        </is>
      </c>
      <c r="E427" t="inlineStr">
        <is>
          <t>GOTLAND</t>
        </is>
      </c>
      <c r="F427" t="inlineStr">
        <is>
          <t>Kyrkan</t>
        </is>
      </c>
      <c r="G427" t="n">
        <v>3.7</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45970</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45970</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3964-2024</t>
        </is>
      </c>
      <c r="B430" s="1" t="n">
        <v>45322</v>
      </c>
      <c r="C430" s="1" t="n">
        <v>45970</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45970</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58211-2024</t>
        </is>
      </c>
      <c r="B432" s="1" t="n">
        <v>45632.49292824074</v>
      </c>
      <c r="C432" s="1" t="n">
        <v>45970</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30956-2024</t>
        </is>
      </c>
      <c r="B433" s="1" t="n">
        <v>45499.42527777778</v>
      </c>
      <c r="C433" s="1" t="n">
        <v>45970</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29809-2022</t>
        </is>
      </c>
      <c r="B434" s="1" t="n">
        <v>44755.8713425926</v>
      </c>
      <c r="C434" s="1" t="n">
        <v>45970</v>
      </c>
      <c r="D434" t="inlineStr">
        <is>
          <t>GOTLANDS LÄN</t>
        </is>
      </c>
      <c r="E434" t="inlineStr">
        <is>
          <t>GOTLAND</t>
        </is>
      </c>
      <c r="G434" t="n">
        <v>11.5</v>
      </c>
      <c r="H434" t="n">
        <v>0</v>
      </c>
      <c r="I434" t="n">
        <v>0</v>
      </c>
      <c r="J434" t="n">
        <v>0</v>
      </c>
      <c r="K434" t="n">
        <v>0</v>
      </c>
      <c r="L434" t="n">
        <v>0</v>
      </c>
      <c r="M434" t="n">
        <v>0</v>
      </c>
      <c r="N434" t="n">
        <v>0</v>
      </c>
      <c r="O434" t="n">
        <v>0</v>
      </c>
      <c r="P434" t="n">
        <v>0</v>
      </c>
      <c r="Q434" t="n">
        <v>0</v>
      </c>
      <c r="R434" s="2" t="inlineStr"/>
    </row>
    <row r="435" ht="15" customHeight="1">
      <c r="A435" t="inlineStr">
        <is>
          <t>A 45084-2024</t>
        </is>
      </c>
      <c r="B435" s="1" t="n">
        <v>45575</v>
      </c>
      <c r="C435" s="1" t="n">
        <v>45970</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30892-2024</t>
        </is>
      </c>
      <c r="B436" s="1" t="n">
        <v>45491</v>
      </c>
      <c r="C436" s="1" t="n">
        <v>45970</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14635-2023</t>
        </is>
      </c>
      <c r="B437" s="1" t="n">
        <v>45013.69365740741</v>
      </c>
      <c r="C437" s="1" t="n">
        <v>45970</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59469-2024</t>
        </is>
      </c>
      <c r="B438" s="1" t="n">
        <v>45638</v>
      </c>
      <c r="C438" s="1" t="n">
        <v>45970</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45970</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45970</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18223-2025</t>
        </is>
      </c>
      <c r="B441" s="1" t="n">
        <v>45761</v>
      </c>
      <c r="C441" s="1" t="n">
        <v>45970</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4420-2025</t>
        </is>
      </c>
      <c r="B442" s="1" t="n">
        <v>45686.47157407407</v>
      </c>
      <c r="C442" s="1" t="n">
        <v>45970</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45970</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39752-2025</t>
        </is>
      </c>
      <c r="B444" s="1" t="n">
        <v>45891</v>
      </c>
      <c r="C444" s="1" t="n">
        <v>45970</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5891-2025</t>
        </is>
      </c>
      <c r="B445" s="1" t="n">
        <v>45695.38327546296</v>
      </c>
      <c r="C445" s="1" t="n">
        <v>45970</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30815-2023</t>
        </is>
      </c>
      <c r="B446" s="1" t="n">
        <v>45112</v>
      </c>
      <c r="C446" s="1" t="n">
        <v>45970</v>
      </c>
      <c r="D446" t="inlineStr">
        <is>
          <t>GOTLANDS LÄN</t>
        </is>
      </c>
      <c r="E446" t="inlineStr">
        <is>
          <t>GOTLAND</t>
        </is>
      </c>
      <c r="G446" t="n">
        <v>6</v>
      </c>
      <c r="H446" t="n">
        <v>0</v>
      </c>
      <c r="I446" t="n">
        <v>0</v>
      </c>
      <c r="J446" t="n">
        <v>0</v>
      </c>
      <c r="K446" t="n">
        <v>0</v>
      </c>
      <c r="L446" t="n">
        <v>0</v>
      </c>
      <c r="M446" t="n">
        <v>0</v>
      </c>
      <c r="N446" t="n">
        <v>0</v>
      </c>
      <c r="O446" t="n">
        <v>0</v>
      </c>
      <c r="P446" t="n">
        <v>0</v>
      </c>
      <c r="Q446" t="n">
        <v>0</v>
      </c>
      <c r="R446" s="2" t="inlineStr"/>
    </row>
    <row r="447" ht="15" customHeight="1">
      <c r="A447" t="inlineStr">
        <is>
          <t>A 5217-2023</t>
        </is>
      </c>
      <c r="B447" s="1" t="n">
        <v>44959.39582175926</v>
      </c>
      <c r="C447" s="1" t="n">
        <v>45970</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38649-2025</t>
        </is>
      </c>
      <c r="B448" s="1" t="n">
        <v>45884</v>
      </c>
      <c r="C448" s="1" t="n">
        <v>45970</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39816-2025</t>
        </is>
      </c>
      <c r="B449" s="1" t="n">
        <v>45891</v>
      </c>
      <c r="C449" s="1" t="n">
        <v>45970</v>
      </c>
      <c r="D449" t="inlineStr">
        <is>
          <t>GOTLANDS LÄN</t>
        </is>
      </c>
      <c r="E449" t="inlineStr">
        <is>
          <t>GOTLAND</t>
        </is>
      </c>
      <c r="G449" t="n">
        <v>0.9</v>
      </c>
      <c r="H449" t="n">
        <v>0</v>
      </c>
      <c r="I449" t="n">
        <v>0</v>
      </c>
      <c r="J449" t="n">
        <v>0</v>
      </c>
      <c r="K449" t="n">
        <v>0</v>
      </c>
      <c r="L449" t="n">
        <v>0</v>
      </c>
      <c r="M449" t="n">
        <v>0</v>
      </c>
      <c r="N449" t="n">
        <v>0</v>
      </c>
      <c r="O449" t="n">
        <v>0</v>
      </c>
      <c r="P449" t="n">
        <v>0</v>
      </c>
      <c r="Q449" t="n">
        <v>0</v>
      </c>
      <c r="R449" s="2" t="inlineStr"/>
    </row>
    <row r="450" ht="15" customHeight="1">
      <c r="A450" t="inlineStr">
        <is>
          <t>A 40103-2025</t>
        </is>
      </c>
      <c r="B450" s="1" t="n">
        <v>45894.4880324074</v>
      </c>
      <c r="C450" s="1" t="n">
        <v>45970</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40373-2025</t>
        </is>
      </c>
      <c r="B451" s="1" t="n">
        <v>45895.51821759259</v>
      </c>
      <c r="C451" s="1" t="n">
        <v>45970</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7034-2023</t>
        </is>
      </c>
      <c r="B452" s="1" t="n">
        <v>44968.32108796296</v>
      </c>
      <c r="C452" s="1" t="n">
        <v>45970</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7042-2023</t>
        </is>
      </c>
      <c r="B453" s="1" t="n">
        <v>44968</v>
      </c>
      <c r="C453" s="1" t="n">
        <v>45970</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40499-2025</t>
        </is>
      </c>
      <c r="B454" s="1" t="n">
        <v>45896.32517361111</v>
      </c>
      <c r="C454" s="1" t="n">
        <v>45970</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23516-2023</t>
        </is>
      </c>
      <c r="B455" s="1" t="n">
        <v>45076.93391203704</v>
      </c>
      <c r="C455" s="1" t="n">
        <v>45970</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40372-2025</t>
        </is>
      </c>
      <c r="B456" s="1" t="n">
        <v>45895.5162037037</v>
      </c>
      <c r="C456" s="1" t="n">
        <v>45970</v>
      </c>
      <c r="D456" t="inlineStr">
        <is>
          <t>GOTLANDS LÄN</t>
        </is>
      </c>
      <c r="E456" t="inlineStr">
        <is>
          <t>GOTLAND</t>
        </is>
      </c>
      <c r="G456" t="n">
        <v>3.3</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45970</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7835-2024</t>
        </is>
      </c>
      <c r="B458" s="1" t="n">
        <v>45349.83138888889</v>
      </c>
      <c r="C458" s="1" t="n">
        <v>45970</v>
      </c>
      <c r="D458" t="inlineStr">
        <is>
          <t>GOTLANDS LÄN</t>
        </is>
      </c>
      <c r="E458" t="inlineStr">
        <is>
          <t>GOTLAND</t>
        </is>
      </c>
      <c r="G458" t="n">
        <v>3.8</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45278.33944444444</v>
      </c>
      <c r="C459" s="1" t="n">
        <v>45970</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45970</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20794-2025</t>
        </is>
      </c>
      <c r="B461" s="1" t="n">
        <v>45776</v>
      </c>
      <c r="C461" s="1" t="n">
        <v>45970</v>
      </c>
      <c r="D461" t="inlineStr">
        <is>
          <t>GOTLANDS LÄN</t>
        </is>
      </c>
      <c r="E461" t="inlineStr">
        <is>
          <t>GOTLAND</t>
        </is>
      </c>
      <c r="G461" t="n">
        <v>6</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45970</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20805-2025</t>
        </is>
      </c>
      <c r="B463" s="1" t="n">
        <v>45776</v>
      </c>
      <c r="C463" s="1" t="n">
        <v>45970</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44508.34518518519</v>
      </c>
      <c r="C464" s="1" t="n">
        <v>45970</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46375-2024</t>
        </is>
      </c>
      <c r="B465" s="1" t="n">
        <v>45582</v>
      </c>
      <c r="C465" s="1" t="n">
        <v>45970</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45970</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21389-2025</t>
        </is>
      </c>
      <c r="B467" s="1" t="n">
        <v>45782</v>
      </c>
      <c r="C467" s="1" t="n">
        <v>45970</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64969-2023</t>
        </is>
      </c>
      <c r="B468" s="1" t="n">
        <v>45284.54009259259</v>
      </c>
      <c r="C468" s="1" t="n">
        <v>45970</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45970</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17541-2024</t>
        </is>
      </c>
      <c r="B470" s="1" t="n">
        <v>45415</v>
      </c>
      <c r="C470" s="1" t="n">
        <v>45970</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21651-2025</t>
        </is>
      </c>
      <c r="B471" s="1" t="n">
        <v>45783</v>
      </c>
      <c r="C471" s="1" t="n">
        <v>45970</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45970</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45970</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39278-2025</t>
        </is>
      </c>
      <c r="B474" s="1" t="n">
        <v>45889</v>
      </c>
      <c r="C474" s="1" t="n">
        <v>45970</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5943-2024</t>
        </is>
      </c>
      <c r="B475" s="1" t="n">
        <v>45336</v>
      </c>
      <c r="C475" s="1" t="n">
        <v>45970</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54073-2022</t>
        </is>
      </c>
      <c r="B476" s="1" t="n">
        <v>44881.50380787037</v>
      </c>
      <c r="C476" s="1" t="n">
        <v>45970</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16361-2024</t>
        </is>
      </c>
      <c r="B477" s="1" t="n">
        <v>45407</v>
      </c>
      <c r="C477" s="1" t="n">
        <v>45970</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41038-2023</t>
        </is>
      </c>
      <c r="B478" s="1" t="n">
        <v>45173.60959490741</v>
      </c>
      <c r="C478" s="1" t="n">
        <v>45970</v>
      </c>
      <c r="D478" t="inlineStr">
        <is>
          <t>GOTLANDS LÄN</t>
        </is>
      </c>
      <c r="E478" t="inlineStr">
        <is>
          <t>GOTLAND</t>
        </is>
      </c>
      <c r="G478" t="n">
        <v>2.7</v>
      </c>
      <c r="H478" t="n">
        <v>0</v>
      </c>
      <c r="I478" t="n">
        <v>0</v>
      </c>
      <c r="J478" t="n">
        <v>0</v>
      </c>
      <c r="K478" t="n">
        <v>0</v>
      </c>
      <c r="L478" t="n">
        <v>0</v>
      </c>
      <c r="M478" t="n">
        <v>0</v>
      </c>
      <c r="N478" t="n">
        <v>0</v>
      </c>
      <c r="O478" t="n">
        <v>0</v>
      </c>
      <c r="P478" t="n">
        <v>0</v>
      </c>
      <c r="Q478" t="n">
        <v>0</v>
      </c>
      <c r="R478" s="2" t="inlineStr"/>
    </row>
    <row r="479" ht="15" customHeight="1">
      <c r="A479" t="inlineStr">
        <is>
          <t>A 57356-2023</t>
        </is>
      </c>
      <c r="B479" s="1" t="n">
        <v>45240</v>
      </c>
      <c r="C479" s="1" t="n">
        <v>45970</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10656-2024</t>
        </is>
      </c>
      <c r="B480" s="1" t="n">
        <v>45368</v>
      </c>
      <c r="C480" s="1" t="n">
        <v>45970</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45970</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28506-2023</t>
        </is>
      </c>
      <c r="B482" s="1" t="n">
        <v>45103</v>
      </c>
      <c r="C482" s="1" t="n">
        <v>45970</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21420-2024</t>
        </is>
      </c>
      <c r="B483" s="1" t="n">
        <v>45441.38293981482</v>
      </c>
      <c r="C483" s="1" t="n">
        <v>45970</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49724-2025</t>
        </is>
      </c>
      <c r="B484" s="1" t="n">
        <v>45939.83730324074</v>
      </c>
      <c r="C484" s="1" t="n">
        <v>45970</v>
      </c>
      <c r="D484" t="inlineStr">
        <is>
          <t>GOTLANDS LÄN</t>
        </is>
      </c>
      <c r="E484" t="inlineStr">
        <is>
          <t>GOTLAND</t>
        </is>
      </c>
      <c r="F484" t="inlineStr">
        <is>
          <t>Kyrkan</t>
        </is>
      </c>
      <c r="G484" t="n">
        <v>3.1</v>
      </c>
      <c r="H484" t="n">
        <v>0</v>
      </c>
      <c r="I484" t="n">
        <v>0</v>
      </c>
      <c r="J484" t="n">
        <v>0</v>
      </c>
      <c r="K484" t="n">
        <v>0</v>
      </c>
      <c r="L484" t="n">
        <v>0</v>
      </c>
      <c r="M484" t="n">
        <v>0</v>
      </c>
      <c r="N484" t="n">
        <v>0</v>
      </c>
      <c r="O484" t="n">
        <v>0</v>
      </c>
      <c r="P484" t="n">
        <v>0</v>
      </c>
      <c r="Q484" t="n">
        <v>0</v>
      </c>
      <c r="R484" s="2" t="inlineStr"/>
    </row>
    <row r="485" ht="15" customHeight="1">
      <c r="A485" t="inlineStr">
        <is>
          <t>A 49730-2025</t>
        </is>
      </c>
      <c r="B485" s="1" t="n">
        <v>45939.87613425926</v>
      </c>
      <c r="C485" s="1" t="n">
        <v>45970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23188-2025</t>
        </is>
      </c>
      <c r="B486" s="1" t="n">
        <v>45791</v>
      </c>
      <c r="C486" s="1" t="n">
        <v>45970</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14427-2024</t>
        </is>
      </c>
      <c r="B487" s="1" t="n">
        <v>45394</v>
      </c>
      <c r="C487" s="1" t="n">
        <v>45970</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23473-2025</t>
        </is>
      </c>
      <c r="B488" s="1" t="n">
        <v>45792</v>
      </c>
      <c r="C488" s="1" t="n">
        <v>45970</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45970</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45970</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50421-2025</t>
        </is>
      </c>
      <c r="B491" s="1" t="n">
        <v>45944.66049768519</v>
      </c>
      <c r="C491" s="1" t="n">
        <v>45970</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45970</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41435-2025</t>
        </is>
      </c>
      <c r="B493" s="1" t="n">
        <v>45901.39974537037</v>
      </c>
      <c r="C493" s="1" t="n">
        <v>45970</v>
      </c>
      <c r="D493" t="inlineStr">
        <is>
          <t>GOTLANDS LÄN</t>
        </is>
      </c>
      <c r="E493" t="inlineStr">
        <is>
          <t>GOTLAND</t>
        </is>
      </c>
      <c r="G493" t="n">
        <v>4.9</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45970</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12846-2025</t>
        </is>
      </c>
      <c r="B495" s="1" t="n">
        <v>45733.65049768519</v>
      </c>
      <c r="C495" s="1" t="n">
        <v>45970</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6749-2025</t>
        </is>
      </c>
      <c r="B496" s="1" t="n">
        <v>45700</v>
      </c>
      <c r="C496" s="1" t="n">
        <v>45970</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33011-2025</t>
        </is>
      </c>
      <c r="B497" s="1" t="n">
        <v>45840</v>
      </c>
      <c r="C497" s="1" t="n">
        <v>45970</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23698-2025</t>
        </is>
      </c>
      <c r="B498" s="1" t="n">
        <v>45793</v>
      </c>
      <c r="C498" s="1" t="n">
        <v>45970</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45970</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45970</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45970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41551-2025</t>
        </is>
      </c>
      <c r="B502" s="1" t="n">
        <v>45901.58854166666</v>
      </c>
      <c r="C502" s="1" t="n">
        <v>45970</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5462-2025</t>
        </is>
      </c>
      <c r="B503" s="1" t="n">
        <v>45693.29331018519</v>
      </c>
      <c r="C503" s="1" t="n">
        <v>45970</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11634-2024</t>
        </is>
      </c>
      <c r="B504" s="1" t="n">
        <v>45373</v>
      </c>
      <c r="C504" s="1" t="n">
        <v>45970</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1351-2025</t>
        </is>
      </c>
      <c r="B505" s="1" t="n">
        <v>45667.62246527777</v>
      </c>
      <c r="C505" s="1" t="n">
        <v>45970</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45804.39543981481</v>
      </c>
      <c r="C506" s="1" t="n">
        <v>45970</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45970</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50928-2025</t>
        </is>
      </c>
      <c r="B508" s="1" t="n">
        <v>45946.67896990741</v>
      </c>
      <c r="C508" s="1" t="n">
        <v>45970</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45970</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45970</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45970</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45970</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26457-2025</t>
        </is>
      </c>
      <c r="B513" s="1" t="n">
        <v>45807.42773148148</v>
      </c>
      <c r="C513" s="1" t="n">
        <v>45970</v>
      </c>
      <c r="D513" t="inlineStr">
        <is>
          <t>GOTLANDS LÄN</t>
        </is>
      </c>
      <c r="E513" t="inlineStr">
        <is>
          <t>GOTLAND</t>
        </is>
      </c>
      <c r="G513" t="n">
        <v>5.7</v>
      </c>
      <c r="H513" t="n">
        <v>0</v>
      </c>
      <c r="I513" t="n">
        <v>0</v>
      </c>
      <c r="J513" t="n">
        <v>0</v>
      </c>
      <c r="K513" t="n">
        <v>0</v>
      </c>
      <c r="L513" t="n">
        <v>0</v>
      </c>
      <c r="M513" t="n">
        <v>0</v>
      </c>
      <c r="N513" t="n">
        <v>0</v>
      </c>
      <c r="O513" t="n">
        <v>0</v>
      </c>
      <c r="P513" t="n">
        <v>0</v>
      </c>
      <c r="Q513" t="n">
        <v>0</v>
      </c>
      <c r="R513" s="2" t="inlineStr"/>
    </row>
    <row r="514" ht="15" customHeight="1">
      <c r="A514" t="inlineStr">
        <is>
          <t>A 26467-2025</t>
        </is>
      </c>
      <c r="B514" s="1" t="n">
        <v>45807.44640046296</v>
      </c>
      <c r="C514" s="1" t="n">
        <v>45970</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51262-2025</t>
        </is>
      </c>
      <c r="B515" s="1" t="n">
        <v>45949.49872685185</v>
      </c>
      <c r="C515" s="1" t="n">
        <v>45970</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26465-2025</t>
        </is>
      </c>
      <c r="B516" s="1" t="n">
        <v>45807.44377314814</v>
      </c>
      <c r="C516" s="1" t="n">
        <v>45970</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45970</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45970</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42608-2025</t>
        </is>
      </c>
      <c r="B519" s="1" t="n">
        <v>45905</v>
      </c>
      <c r="C519" s="1" t="n">
        <v>45970</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8045-2022</t>
        </is>
      </c>
      <c r="B520" s="1" t="n">
        <v>44609</v>
      </c>
      <c r="C520" s="1" t="n">
        <v>45970</v>
      </c>
      <c r="D520" t="inlineStr">
        <is>
          <t>GOTLANDS LÄN</t>
        </is>
      </c>
      <c r="E520" t="inlineStr">
        <is>
          <t>GOTLAND</t>
        </is>
      </c>
      <c r="G520" t="n">
        <v>7</v>
      </c>
      <c r="H520" t="n">
        <v>0</v>
      </c>
      <c r="I520" t="n">
        <v>0</v>
      </c>
      <c r="J520" t="n">
        <v>0</v>
      </c>
      <c r="K520" t="n">
        <v>0</v>
      </c>
      <c r="L520" t="n">
        <v>0</v>
      </c>
      <c r="M520" t="n">
        <v>0</v>
      </c>
      <c r="N520" t="n">
        <v>0</v>
      </c>
      <c r="O520" t="n">
        <v>0</v>
      </c>
      <c r="P520" t="n">
        <v>0</v>
      </c>
      <c r="Q520" t="n">
        <v>0</v>
      </c>
      <c r="R520" s="2" t="inlineStr"/>
    </row>
    <row r="521" ht="15" customHeight="1">
      <c r="A521" t="inlineStr">
        <is>
          <t>A 22897-2023</t>
        </is>
      </c>
      <c r="B521" s="1" t="n">
        <v>45072.55239583334</v>
      </c>
      <c r="C521" s="1" t="n">
        <v>45970</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45970</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27371-2025</t>
        </is>
      </c>
      <c r="B523" s="1" t="n">
        <v>45812</v>
      </c>
      <c r="C523" s="1" t="n">
        <v>45970</v>
      </c>
      <c r="D523" t="inlineStr">
        <is>
          <t>GOTLANDS LÄN</t>
        </is>
      </c>
      <c r="E523" t="inlineStr">
        <is>
          <t>GOTLAND</t>
        </is>
      </c>
      <c r="G523" t="n">
        <v>8</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45970</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61897-2024</t>
        </is>
      </c>
      <c r="B525" s="1" t="n">
        <v>45652.75685185185</v>
      </c>
      <c r="C525" s="1" t="n">
        <v>45970</v>
      </c>
      <c r="D525" t="inlineStr">
        <is>
          <t>GOTLANDS LÄN</t>
        </is>
      </c>
      <c r="E525" t="inlineStr">
        <is>
          <t>GOTLAND</t>
        </is>
      </c>
      <c r="G525" t="n">
        <v>6.4</v>
      </c>
      <c r="H525" t="n">
        <v>0</v>
      </c>
      <c r="I525" t="n">
        <v>0</v>
      </c>
      <c r="J525" t="n">
        <v>0</v>
      </c>
      <c r="K525" t="n">
        <v>0</v>
      </c>
      <c r="L525" t="n">
        <v>0</v>
      </c>
      <c r="M525" t="n">
        <v>0</v>
      </c>
      <c r="N525" t="n">
        <v>0</v>
      </c>
      <c r="O525" t="n">
        <v>0</v>
      </c>
      <c r="P525" t="n">
        <v>0</v>
      </c>
      <c r="Q525" t="n">
        <v>0</v>
      </c>
      <c r="R525" s="2" t="inlineStr"/>
    </row>
    <row r="526" ht="15" customHeight="1">
      <c r="A526" t="inlineStr">
        <is>
          <t>A 6739-2025</t>
        </is>
      </c>
      <c r="B526" s="1" t="n">
        <v>45700</v>
      </c>
      <c r="C526" s="1" t="n">
        <v>45970</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7850-2025</t>
        </is>
      </c>
      <c r="B527" s="1" t="n">
        <v>45706</v>
      </c>
      <c r="C527" s="1" t="n">
        <v>45970</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45970</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8444-2025</t>
        </is>
      </c>
      <c r="B529" s="1" t="n">
        <v>45709</v>
      </c>
      <c r="C529" s="1" t="n">
        <v>45970</v>
      </c>
      <c r="D529" t="inlineStr">
        <is>
          <t>GOTLANDS LÄN</t>
        </is>
      </c>
      <c r="E529" t="inlineStr">
        <is>
          <t>GOTLAND</t>
        </is>
      </c>
      <c r="G529" t="n">
        <v>5.2</v>
      </c>
      <c r="H529" t="n">
        <v>0</v>
      </c>
      <c r="I529" t="n">
        <v>0</v>
      </c>
      <c r="J529" t="n">
        <v>0</v>
      </c>
      <c r="K529" t="n">
        <v>0</v>
      </c>
      <c r="L529" t="n">
        <v>0</v>
      </c>
      <c r="M529" t="n">
        <v>0</v>
      </c>
      <c r="N529" t="n">
        <v>0</v>
      </c>
      <c r="O529" t="n">
        <v>0</v>
      </c>
      <c r="P529" t="n">
        <v>0</v>
      </c>
      <c r="Q529" t="n">
        <v>0</v>
      </c>
      <c r="R529" s="2" t="inlineStr"/>
    </row>
    <row r="530" ht="15" customHeight="1">
      <c r="A530" t="inlineStr">
        <is>
          <t>A 52637-2025</t>
        </is>
      </c>
      <c r="B530" s="1" t="n">
        <v>45954.75099537037</v>
      </c>
      <c r="C530" s="1" t="n">
        <v>45970</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20165-2022</t>
        </is>
      </c>
      <c r="B531" s="1" t="n">
        <v>44698.49854166667</v>
      </c>
      <c r="C531" s="1" t="n">
        <v>45970</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45970</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12032-2025</t>
        </is>
      </c>
      <c r="B533" s="1" t="n">
        <v>45728.64472222222</v>
      </c>
      <c r="C533" s="1" t="n">
        <v>45970</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38787-2023</t>
        </is>
      </c>
      <c r="B534" s="1" t="n">
        <v>45163</v>
      </c>
      <c r="C534" s="1" t="n">
        <v>45970</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52249-2025</t>
        </is>
      </c>
      <c r="B535" s="1" t="n">
        <v>45953.48637731482</v>
      </c>
      <c r="C535" s="1" t="n">
        <v>45970</v>
      </c>
      <c r="D535" t="inlineStr">
        <is>
          <t>GOTLANDS LÄN</t>
        </is>
      </c>
      <c r="E535" t="inlineStr">
        <is>
          <t>GOTLAND</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10158-2025</t>
        </is>
      </c>
      <c r="B536" s="1" t="n">
        <v>45719</v>
      </c>
      <c r="C536" s="1" t="n">
        <v>45970</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45970</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45970</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43231-2023</t>
        </is>
      </c>
      <c r="B539" s="1" t="n">
        <v>45183.47025462963</v>
      </c>
      <c r="C539" s="1" t="n">
        <v>45970</v>
      </c>
      <c r="D539" t="inlineStr">
        <is>
          <t>GOTLANDS LÄN</t>
        </is>
      </c>
      <c r="E539" t="inlineStr">
        <is>
          <t>GOTLAND</t>
        </is>
      </c>
      <c r="G539" t="n">
        <v>3.6</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45970</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45970</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45970</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30061-2025</t>
        </is>
      </c>
      <c r="B543" s="1" t="n">
        <v>45826.61488425926</v>
      </c>
      <c r="C543" s="1" t="n">
        <v>45970</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45970</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20225-2025</t>
        </is>
      </c>
      <c r="B545" s="1" t="n">
        <v>45772.65802083333</v>
      </c>
      <c r="C545" s="1" t="n">
        <v>45970</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883-2025</t>
        </is>
      </c>
      <c r="B546" s="1" t="n">
        <v>45665</v>
      </c>
      <c r="C546" s="1" t="n">
        <v>45970</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43911-2025</t>
        </is>
      </c>
      <c r="B547" s="1" t="n">
        <v>45914.3881712963</v>
      </c>
      <c r="C547" s="1" t="n">
        <v>45970</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44410-2025</t>
        </is>
      </c>
      <c r="B548" s="1" t="n">
        <v>45916.53699074074</v>
      </c>
      <c r="C548" s="1" t="n">
        <v>45970</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43951-2025</t>
        </is>
      </c>
      <c r="B549" s="1" t="n">
        <v>45915.38119212963</v>
      </c>
      <c r="C549" s="1" t="n">
        <v>45970</v>
      </c>
      <c r="D549" t="inlineStr">
        <is>
          <t>GOTLANDS LÄN</t>
        </is>
      </c>
      <c r="E549" t="inlineStr">
        <is>
          <t>GOTLAND</t>
        </is>
      </c>
      <c r="G549" t="n">
        <v>4.4</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45970</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44405-2025</t>
        </is>
      </c>
      <c r="B551" s="1" t="n">
        <v>45916.52405092592</v>
      </c>
      <c r="C551" s="1" t="n">
        <v>45970</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17144-2025</t>
        </is>
      </c>
      <c r="B552" s="1" t="n">
        <v>45755.9499537037</v>
      </c>
      <c r="C552" s="1" t="n">
        <v>45970</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53561-2025</t>
        </is>
      </c>
      <c r="B553" s="1" t="n">
        <v>45960.4059375</v>
      </c>
      <c r="C553" s="1" t="n">
        <v>45970</v>
      </c>
      <c r="D553" t="inlineStr">
        <is>
          <t>GOTLANDS LÄN</t>
        </is>
      </c>
      <c r="E553" t="inlineStr">
        <is>
          <t>GOTLAND</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53569-2025</t>
        </is>
      </c>
      <c r="B554" s="1" t="n">
        <v>45960.41155092593</v>
      </c>
      <c r="C554" s="1" t="n">
        <v>45970</v>
      </c>
      <c r="D554" t="inlineStr">
        <is>
          <t>GOTLANDS LÄN</t>
        </is>
      </c>
      <c r="E554" t="inlineStr">
        <is>
          <t>GOTLAND</t>
        </is>
      </c>
      <c r="F554" t="inlineStr">
        <is>
          <t>Övriga Aktiebolag</t>
        </is>
      </c>
      <c r="G554" t="n">
        <v>11.3</v>
      </c>
      <c r="H554" t="n">
        <v>0</v>
      </c>
      <c r="I554" t="n">
        <v>0</v>
      </c>
      <c r="J554" t="n">
        <v>0</v>
      </c>
      <c r="K554" t="n">
        <v>0</v>
      </c>
      <c r="L554" t="n">
        <v>0</v>
      </c>
      <c r="M554" t="n">
        <v>0</v>
      </c>
      <c r="N554" t="n">
        <v>0</v>
      </c>
      <c r="O554" t="n">
        <v>0</v>
      </c>
      <c r="P554" t="n">
        <v>0</v>
      </c>
      <c r="Q554" t="n">
        <v>0</v>
      </c>
      <c r="R554" s="2" t="inlineStr"/>
    </row>
    <row r="555" ht="15" customHeight="1">
      <c r="A555" t="inlineStr">
        <is>
          <t>A 53577-2025</t>
        </is>
      </c>
      <c r="B555" s="1" t="n">
        <v>45960.42224537037</v>
      </c>
      <c r="C555" s="1" t="n">
        <v>45970</v>
      </c>
      <c r="D555" t="inlineStr">
        <is>
          <t>GOTLANDS LÄN</t>
        </is>
      </c>
      <c r="E555" t="inlineStr">
        <is>
          <t>GOTLAND</t>
        </is>
      </c>
      <c r="F555" t="inlineStr">
        <is>
          <t>Övriga Aktiebolag</t>
        </is>
      </c>
      <c r="G555" t="n">
        <v>3.3</v>
      </c>
      <c r="H555" t="n">
        <v>0</v>
      </c>
      <c r="I555" t="n">
        <v>0</v>
      </c>
      <c r="J555" t="n">
        <v>0</v>
      </c>
      <c r="K555" t="n">
        <v>0</v>
      </c>
      <c r="L555" t="n">
        <v>0</v>
      </c>
      <c r="M555" t="n">
        <v>0</v>
      </c>
      <c r="N555" t="n">
        <v>0</v>
      </c>
      <c r="O555" t="n">
        <v>0</v>
      </c>
      <c r="P555" t="n">
        <v>0</v>
      </c>
      <c r="Q555" t="n">
        <v>0</v>
      </c>
      <c r="R555" s="2" t="inlineStr"/>
    </row>
    <row r="556" ht="15" customHeight="1">
      <c r="A556" t="inlineStr">
        <is>
          <t>A 53587-2025</t>
        </is>
      </c>
      <c r="B556" s="1" t="n">
        <v>45960.43681712963</v>
      </c>
      <c r="C556" s="1" t="n">
        <v>45970</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32379-2025</t>
        </is>
      </c>
      <c r="B557" s="1" t="n">
        <v>45837</v>
      </c>
      <c r="C557" s="1" t="n">
        <v>45970</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32467-2025</t>
        </is>
      </c>
      <c r="B558" s="1" t="n">
        <v>45838.42111111111</v>
      </c>
      <c r="C558" s="1" t="n">
        <v>45970</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32378-2025</t>
        </is>
      </c>
      <c r="B559" s="1" t="n">
        <v>45837</v>
      </c>
      <c r="C559" s="1" t="n">
        <v>45970</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56009-2024</t>
        </is>
      </c>
      <c r="B560" s="1" t="n">
        <v>45623.80864583333</v>
      </c>
      <c r="C560" s="1" t="n">
        <v>45970</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16109-2025</t>
        </is>
      </c>
      <c r="B561" s="1" t="n">
        <v>45750</v>
      </c>
      <c r="C561" s="1" t="n">
        <v>45970</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42338-2023</t>
        </is>
      </c>
      <c r="B562" s="1" t="n">
        <v>45180</v>
      </c>
      <c r="C562" s="1" t="n">
        <v>45970</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33007-2025</t>
        </is>
      </c>
      <c r="B563" s="1" t="n">
        <v>45840</v>
      </c>
      <c r="C563" s="1" t="n">
        <v>45970</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45970</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45970</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61386-2023</t>
        </is>
      </c>
      <c r="B566" s="1" t="n">
        <v>45264</v>
      </c>
      <c r="C566" s="1" t="n">
        <v>45970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52250-2025</t>
        </is>
      </c>
      <c r="B567" s="1" t="n">
        <v>45953.48998842593</v>
      </c>
      <c r="C567" s="1" t="n">
        <v>45970</v>
      </c>
      <c r="D567" t="inlineStr">
        <is>
          <t>GOTLANDS LÄN</t>
        </is>
      </c>
      <c r="E567" t="inlineStr">
        <is>
          <t>GOTLAND</t>
        </is>
      </c>
      <c r="F567" t="inlineStr">
        <is>
          <t>Övriga Aktiebolag</t>
        </is>
      </c>
      <c r="G567" t="n">
        <v>1.2</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45970</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873-2024</t>
        </is>
      </c>
      <c r="B569" s="1" t="n">
        <v>45301</v>
      </c>
      <c r="C569" s="1" t="n">
        <v>45970</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49411-2023</t>
        </is>
      </c>
      <c r="B570" s="1" t="n">
        <v>45205</v>
      </c>
      <c r="C570" s="1" t="n">
        <v>45970</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35096-2025</t>
        </is>
      </c>
      <c r="B571" s="1" t="n">
        <v>45852.54356481481</v>
      </c>
      <c r="C571" s="1" t="n">
        <v>45970</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22275-2023</t>
        </is>
      </c>
      <c r="B572" s="1" t="n">
        <v>45070.39875</v>
      </c>
      <c r="C572" s="1" t="n">
        <v>45970</v>
      </c>
      <c r="D572" t="inlineStr">
        <is>
          <t>GOTLANDS LÄN</t>
        </is>
      </c>
      <c r="E572" t="inlineStr">
        <is>
          <t>GOTLAND</t>
        </is>
      </c>
      <c r="G572" t="n">
        <v>7.2</v>
      </c>
      <c r="H572" t="n">
        <v>0</v>
      </c>
      <c r="I572" t="n">
        <v>0</v>
      </c>
      <c r="J572" t="n">
        <v>0</v>
      </c>
      <c r="K572" t="n">
        <v>0</v>
      </c>
      <c r="L572" t="n">
        <v>0</v>
      </c>
      <c r="M572" t="n">
        <v>0</v>
      </c>
      <c r="N572" t="n">
        <v>0</v>
      </c>
      <c r="O572" t="n">
        <v>0</v>
      </c>
      <c r="P572" t="n">
        <v>0</v>
      </c>
      <c r="Q572" t="n">
        <v>0</v>
      </c>
      <c r="R572" s="2" t="inlineStr"/>
    </row>
    <row r="573" ht="15" customHeight="1">
      <c r="A573" t="inlineStr">
        <is>
          <t>A 12322-2025</t>
        </is>
      </c>
      <c r="B573" s="1" t="n">
        <v>45730</v>
      </c>
      <c r="C573" s="1" t="n">
        <v>45970</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30104-2025</t>
        </is>
      </c>
      <c r="B574" s="1" t="n">
        <v>45826.68806712963</v>
      </c>
      <c r="C574" s="1" t="n">
        <v>45970</v>
      </c>
      <c r="D574" t="inlineStr">
        <is>
          <t>GOTLANDS LÄN</t>
        </is>
      </c>
      <c r="E574" t="inlineStr">
        <is>
          <t>GOTLAND</t>
        </is>
      </c>
      <c r="G574" t="n">
        <v>15.4</v>
      </c>
      <c r="H574" t="n">
        <v>0</v>
      </c>
      <c r="I574" t="n">
        <v>0</v>
      </c>
      <c r="J574" t="n">
        <v>0</v>
      </c>
      <c r="K574" t="n">
        <v>0</v>
      </c>
      <c r="L574" t="n">
        <v>0</v>
      </c>
      <c r="M574" t="n">
        <v>0</v>
      </c>
      <c r="N574" t="n">
        <v>0</v>
      </c>
      <c r="O574" t="n">
        <v>0</v>
      </c>
      <c r="P574" t="n">
        <v>0</v>
      </c>
      <c r="Q574" t="n">
        <v>0</v>
      </c>
      <c r="R574" s="2" t="inlineStr"/>
    </row>
    <row r="575" ht="15" customHeight="1">
      <c r="A575" t="inlineStr">
        <is>
          <t>A 14797-2024</t>
        </is>
      </c>
      <c r="B575" s="1" t="n">
        <v>45397.87030092593</v>
      </c>
      <c r="C575" s="1" t="n">
        <v>45970</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999-2024</t>
        </is>
      </c>
      <c r="B576" s="1" t="n">
        <v>45301</v>
      </c>
      <c r="C576" s="1" t="n">
        <v>45970</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35290-2025</t>
        </is>
      </c>
      <c r="B577" s="1" t="n">
        <v>45854.38502314815</v>
      </c>
      <c r="C577" s="1" t="n">
        <v>45970</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32669-2024</t>
        </is>
      </c>
      <c r="B578" s="1" t="n">
        <v>45514</v>
      </c>
      <c r="C578" s="1" t="n">
        <v>45970</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61596-2023</t>
        </is>
      </c>
      <c r="B579" s="1" t="n">
        <v>45265</v>
      </c>
      <c r="C579" s="1" t="n">
        <v>45970</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45970</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35550-2025</t>
        </is>
      </c>
      <c r="B581" s="1" t="n">
        <v>45856.49324074074</v>
      </c>
      <c r="C581" s="1" t="n">
        <v>45970</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14638-2025</t>
        </is>
      </c>
      <c r="B582" s="1" t="n">
        <v>45742</v>
      </c>
      <c r="C582" s="1" t="n">
        <v>45970</v>
      </c>
      <c r="D582" t="inlineStr">
        <is>
          <t>GOTLANDS LÄN</t>
        </is>
      </c>
      <c r="E582" t="inlineStr">
        <is>
          <t>GOTLAND</t>
        </is>
      </c>
      <c r="G582" t="n">
        <v>13.4</v>
      </c>
      <c r="H582" t="n">
        <v>0</v>
      </c>
      <c r="I582" t="n">
        <v>0</v>
      </c>
      <c r="J582" t="n">
        <v>0</v>
      </c>
      <c r="K582" t="n">
        <v>0</v>
      </c>
      <c r="L582" t="n">
        <v>0</v>
      </c>
      <c r="M582" t="n">
        <v>0</v>
      </c>
      <c r="N582" t="n">
        <v>0</v>
      </c>
      <c r="O582" t="n">
        <v>0</v>
      </c>
      <c r="P582" t="n">
        <v>0</v>
      </c>
      <c r="Q582" t="n">
        <v>0</v>
      </c>
      <c r="R582" s="2" t="inlineStr"/>
    </row>
    <row r="583" ht="15" customHeight="1">
      <c r="A583" t="inlineStr">
        <is>
          <t>A 60675-2021</t>
        </is>
      </c>
      <c r="B583" s="1" t="n">
        <v>44496.64855324074</v>
      </c>
      <c r="C583" s="1" t="n">
        <v>45970</v>
      </c>
      <c r="D583" t="inlineStr">
        <is>
          <t>GOTLANDS LÄN</t>
        </is>
      </c>
      <c r="E583" t="inlineStr">
        <is>
          <t>GOTLAND</t>
        </is>
      </c>
      <c r="G583" t="n">
        <v>4.6</v>
      </c>
      <c r="H583" t="n">
        <v>0</v>
      </c>
      <c r="I583" t="n">
        <v>0</v>
      </c>
      <c r="J583" t="n">
        <v>0</v>
      </c>
      <c r="K583" t="n">
        <v>0</v>
      </c>
      <c r="L583" t="n">
        <v>0</v>
      </c>
      <c r="M583" t="n">
        <v>0</v>
      </c>
      <c r="N583" t="n">
        <v>0</v>
      </c>
      <c r="O583" t="n">
        <v>0</v>
      </c>
      <c r="P583" t="n">
        <v>0</v>
      </c>
      <c r="Q583" t="n">
        <v>0</v>
      </c>
      <c r="R583" s="2" t="inlineStr"/>
    </row>
    <row r="584" ht="15" customHeight="1">
      <c r="A584" t="inlineStr">
        <is>
          <t>A 37728-2024</t>
        </is>
      </c>
      <c r="B584" s="1" t="n">
        <v>45541</v>
      </c>
      <c r="C584" s="1" t="n">
        <v>45970</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15216-2025</t>
        </is>
      </c>
      <c r="B585" s="1" t="n">
        <v>45744</v>
      </c>
      <c r="C585" s="1" t="n">
        <v>45970</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43790-2024</t>
        </is>
      </c>
      <c r="B586" s="1" t="n">
        <v>45571</v>
      </c>
      <c r="C586" s="1" t="n">
        <v>45970</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22287-2022</t>
        </is>
      </c>
      <c r="B587" s="1" t="n">
        <v>44712</v>
      </c>
      <c r="C587" s="1" t="n">
        <v>45970</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15001-2025</t>
        </is>
      </c>
      <c r="B588" s="1" t="n">
        <v>45743</v>
      </c>
      <c r="C588" s="1" t="n">
        <v>45970</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45970</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17847-2025</t>
        </is>
      </c>
      <c r="B590" s="1" t="n">
        <v>45758</v>
      </c>
      <c r="C590" s="1" t="n">
        <v>45970</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45970</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v>
      </c>
      <c r="C592" s="1" t="n">
        <v>45970</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54074-2022</t>
        </is>
      </c>
      <c r="B593" s="1" t="n">
        <v>44881</v>
      </c>
      <c r="C593" s="1" t="n">
        <v>45970</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35129-2025</t>
        </is>
      </c>
      <c r="B594" s="1" t="n">
        <v>45852.63224537037</v>
      </c>
      <c r="C594" s="1" t="n">
        <v>45970</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65249-2023</t>
        </is>
      </c>
      <c r="B595" s="1" t="n">
        <v>45290</v>
      </c>
      <c r="C595" s="1" t="n">
        <v>45970</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54584-2025</t>
        </is>
      </c>
      <c r="B596" s="1" t="n">
        <v>45965.71788194445</v>
      </c>
      <c r="C596" s="1" t="n">
        <v>45970</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45970</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17780-2022</t>
        </is>
      </c>
      <c r="B598" s="1" t="n">
        <v>44682.82622685185</v>
      </c>
      <c r="C598" s="1" t="n">
        <v>45970</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45970</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14536-2021</t>
        </is>
      </c>
      <c r="B600" s="1" t="n">
        <v>44279.66168981481</v>
      </c>
      <c r="C600" s="1" t="n">
        <v>45970</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45970</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45970</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45970</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45970</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45970</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ht="15" customHeight="1">
      <c r="A606" t="inlineStr">
        <is>
          <t>A 11874-2024</t>
        </is>
      </c>
      <c r="B606" s="1" t="n">
        <v>45376.46956018519</v>
      </c>
      <c r="C606" s="1" t="n">
        <v>45970</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45970</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42041-2024</t>
        </is>
      </c>
      <c r="B608" s="1" t="n">
        <v>45561</v>
      </c>
      <c r="C608" s="1" t="n">
        <v>45970</v>
      </c>
      <c r="D608" t="inlineStr">
        <is>
          <t>GOTLANDS LÄN</t>
        </is>
      </c>
      <c r="E608" t="inlineStr">
        <is>
          <t>GOTLAND</t>
        </is>
      </c>
      <c r="G608" t="n">
        <v>3.2</v>
      </c>
      <c r="H608" t="n">
        <v>0</v>
      </c>
      <c r="I608" t="n">
        <v>0</v>
      </c>
      <c r="J608" t="n">
        <v>0</v>
      </c>
      <c r="K608" t="n">
        <v>0</v>
      </c>
      <c r="L608" t="n">
        <v>0</v>
      </c>
      <c r="M608" t="n">
        <v>0</v>
      </c>
      <c r="N608" t="n">
        <v>0</v>
      </c>
      <c r="O608" t="n">
        <v>0</v>
      </c>
      <c r="P608" t="n">
        <v>0</v>
      </c>
      <c r="Q608" t="n">
        <v>0</v>
      </c>
      <c r="R608" s="2" t="inlineStr"/>
    </row>
    <row r="609" ht="15" customHeight="1">
      <c r="A609" t="inlineStr">
        <is>
          <t>A 61694-2023</t>
        </is>
      </c>
      <c r="B609" s="1" t="n">
        <v>45264</v>
      </c>
      <c r="C609" s="1" t="n">
        <v>45970</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26391-2025</t>
        </is>
      </c>
      <c r="B610" s="1" t="n">
        <v>45806</v>
      </c>
      <c r="C610" s="1" t="n">
        <v>45970</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2025-11-09T10:08:33Z</dcterms:created>
  <dcterms:modified xmlns:dcterms="http://purl.org/dc/terms/" xmlns:xsi="http://www.w3.org/2001/XMLSchema-instance" xsi:type="dcterms:W3CDTF">2025-11-09T10:08:33Z</dcterms:modified>
</cp:coreProperties>
</file>