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46296</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17762-2024</t>
        </is>
      </c>
      <c r="B21" t="inlineStr">
        <is>
          <t>avverkningsanmälan</t>
        </is>
      </c>
      <c r="C21" t="inlineStr">
        <is>
          <t>Föryngringsavverkning</t>
        </is>
      </c>
      <c r="D21" s="1" t="n">
        <v>45418</v>
      </c>
      <c r="E21" s="1" t="n">
        <v>46296</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62551-2022</t>
        </is>
      </c>
      <c r="B22" t="inlineStr">
        <is>
          <t>avverkningsanmälan</t>
        </is>
      </c>
      <c r="C22" t="inlineStr">
        <is>
          <t>Föryngringsavverkning</t>
        </is>
      </c>
      <c r="D22" s="1" t="n">
        <v>44924</v>
      </c>
      <c r="E22" s="1" t="n">
        <v>46296</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46296</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46296</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46296</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46296</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46296</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46296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2213-2023</t>
        </is>
      </c>
      <c r="B35" t="inlineStr">
        <is>
          <t>avverkningsanmälan</t>
        </is>
      </c>
      <c r="C35" t="inlineStr">
        <is>
          <t>Föryngringsavverkning</t>
        </is>
      </c>
      <c r="D35" s="1" t="n">
        <v>44942</v>
      </c>
      <c r="E35" s="1" t="n">
        <v>46296</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t="n">
        <v>18</v>
      </c>
      <c r="V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5">
        <f>HYPERLINK("https://klasma.github.io/Logging_0980/artfynd/A 2213-2023 artfynd.xlsx", "A 2213-2023")</f>
        <v/>
      </c>
      <c r="X35">
        <f>HYPERLINK("https://klasma.github.io/Logging_0980/kartor/A 2213-2023 karta.png", "A 2213-2023")</f>
        <v/>
      </c>
      <c r="Y35">
        <f>HYPERLINK("https://klasma.github.io/Logging_0980/kartor_geotiff/A 2213-2023 georefererad karta.tif", "A 2213-2023")</f>
        <v/>
      </c>
      <c r="AA35">
        <f>HYPERLINK("https://klasma.github.io/Logging_0980/klagomål/A 2213-2023 FSC-klagomål.docx", "A 2213-2023")</f>
        <v/>
      </c>
      <c r="AB35">
        <f>HYPERLINK("https://klasma.github.io/Logging_0980/klagomålsmail/A 2213-2023 FSC-klagomål mail.docx", "A 2213-2023")</f>
        <v/>
      </c>
      <c r="AC35">
        <f>HYPERLINK("https://klasma.github.io/Logging_0980/tillsyn/A 2213-2023 tillsynsbegäran.docx", "A 2213-2023")</f>
        <v/>
      </c>
      <c r="AD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46296</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t="n">
        <v>5</v>
      </c>
      <c r="V36" s="2" t="inlineStr">
        <is>
          <t>Ruttaggsvamp
Duvspindling
Knärot
Blå slemspindling
Flattoppad klubbsvamp
Jordtistel
Odörspindling
Solvända
Nästrot
Rödgul trumpetsvamp
Skogsknipprot
Strimspindling
Strävlosta
Svavelriska
Vit skogslilja
Zontaggsvamp</t>
        </is>
      </c>
      <c r="W36">
        <f>HYPERLINK("https://klasma.github.io/Logging_0980/artfynd/A 25779-2022 artfynd.xlsx", "A 25779-2022")</f>
        <v/>
      </c>
      <c r="X36">
        <f>HYPERLINK("https://klasma.github.io/Logging_0980/kartor/A 25779-2022 karta.png", "A 25779-2022")</f>
        <v/>
      </c>
      <c r="Y36">
        <f>HYPERLINK("https://klasma.github.io/Logging_0980/kartor_geotiff/A 25779-2022 georefererad karta.tif", "A 25779-2022")</f>
        <v/>
      </c>
      <c r="Z36">
        <f>HYPERLINK("https://klasma.github.io/Logging_0980/knärot/A 25779-2022 karta knärot.png", "A 25779-2022")</f>
        <v/>
      </c>
      <c r="AA36">
        <f>HYPERLINK("https://klasma.github.io/Logging_0980/klagomål/A 25779-2022 FSC-klagomål.docx", "A 25779-2022")</f>
        <v/>
      </c>
      <c r="AB36">
        <f>HYPERLINK("https://klasma.github.io/Logging_0980/klagomålsmail/A 25779-2022 FSC-klagomål mail.docx", "A 25779-2022")</f>
        <v/>
      </c>
      <c r="AC36">
        <f>HYPERLINK("https://klasma.github.io/Logging_0980/tillsyn/A 25779-2022 tillsynsbegäran.docx", "A 25779-2022")</f>
        <v/>
      </c>
      <c r="AD36">
        <f>HYPERLINK("https://klasma.github.io/Logging_0980/tillsynsmail/A 25779-2022 tillsynsbegäran mail.docx", "A 25779-2022")</f>
        <v/>
      </c>
    </row>
    <row r="37" ht="15" customHeight="1">
      <c r="A37" t="inlineStr">
        <is>
          <t>A 35141-2022</t>
        </is>
      </c>
      <c r="B37" t="inlineStr">
        <is>
          <t>avverkningsanmälan</t>
        </is>
      </c>
      <c r="C37" t="inlineStr">
        <is>
          <t>Föryngringsavverkning</t>
        </is>
      </c>
      <c r="D37" s="1" t="n">
        <v>44797</v>
      </c>
      <c r="E37" s="1" t="n">
        <v>46296</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44204-2022</t>
        </is>
      </c>
      <c r="B38" t="inlineStr">
        <is>
          <t>avverkningsanmälan</t>
        </is>
      </c>
      <c r="C38" t="inlineStr">
        <is>
          <t>Föryngringsavverkning</t>
        </is>
      </c>
      <c r="D38" s="1" t="n">
        <v>44839</v>
      </c>
      <c r="E38" s="1" t="n">
        <v>46296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33153-2024</t>
        </is>
      </c>
      <c r="B40" t="inlineStr">
        <is>
          <t>avverkningsanmälan</t>
        </is>
      </c>
      <c r="C40" t="inlineStr">
        <is>
          <t>Avverkning för annat ändamål</t>
        </is>
      </c>
      <c r="D40" s="1" t="n">
        <v>45518</v>
      </c>
      <c r="E40" s="1" t="n">
        <v>46296</v>
      </c>
      <c r="F40" t="inlineStr">
        <is>
          <t>GOTLANDS LÄN</t>
        </is>
      </c>
      <c r="G40" t="inlineStr">
        <is>
          <t>GOTLAND</t>
        </is>
      </c>
      <c r="I40" t="n">
        <v>10.3</v>
      </c>
      <c r="J40" t="n">
        <v>3</v>
      </c>
      <c r="K40" t="n">
        <v>8</v>
      </c>
      <c r="L40" t="n">
        <v>5</v>
      </c>
      <c r="M40" t="n">
        <v>1</v>
      </c>
      <c r="N40" t="n">
        <v>0</v>
      </c>
      <c r="O40" t="n">
        <v>0</v>
      </c>
      <c r="P40" t="n">
        <v>0</v>
      </c>
      <c r="Q40" t="n">
        <v>6</v>
      </c>
      <c r="R40" t="n">
        <v>1</v>
      </c>
      <c r="S40" t="n">
        <v>14</v>
      </c>
      <c r="T40" t="n">
        <v>23</v>
      </c>
      <c r="U40" t="n">
        <v>0</v>
      </c>
      <c r="V40" s="2" t="inlineStr">
        <is>
          <t>Duvspindling
Blå slemspindling
Flattoppad klubbsvamp
Jordtistel
Odörspindling
Solvända
Nästrot
Rödgul trumpetsvamp
Skogsknipprot
Strimspindling
Strävlosta
Svavelriska
Vit skogslilja
Zontaggsvamp</t>
        </is>
      </c>
      <c r="W40">
        <f>HYPERLINK("https://klasma.github.io/Logging_0980/artfynd/A 33153-2024 artfynd.xlsx", "A 33153-2024")</f>
        <v/>
      </c>
      <c r="X40">
        <f>HYPERLINK("https://klasma.github.io/Logging_0980/kartor/A 33153-2024 karta.png", "A 33153-2024")</f>
        <v/>
      </c>
      <c r="Y40">
        <f>HYPERLINK("https://klasma.github.io/Logging_0980/kartor_geotiff/A 33153-2024 georefererad karta.tif", "A 33153-2024")</f>
        <v/>
      </c>
      <c r="Z40">
        <f>HYPERLINK("https://klasma.github.io/Logging_0980/knärot/A 33153-2024 karta knärot.png", "A 33153-2024")</f>
        <v/>
      </c>
      <c r="AA40">
        <f>HYPERLINK("https://klasma.github.io/Logging_0980/klagomål/A 33153-2024 FSC-klagomål.docx", "A 33153-2024")</f>
        <v/>
      </c>
      <c r="AB40">
        <f>HYPERLINK("https://klasma.github.io/Logging_0980/klagomålsmail/A 33153-2024 FSC-klagomål mail.docx", "A 33153-2024")</f>
        <v/>
      </c>
      <c r="AC40">
        <f>HYPERLINK("https://klasma.github.io/Logging_0980/tillsyn/A 33153-2024 tillsynsbegäran.docx", "A 33153-2024")</f>
        <v/>
      </c>
      <c r="AD40">
        <f>HYPERLINK("https://klasma.github.io/Logging_0980/tillsynsmail/A 33153-2024 tillsynsbegäran mail.docx", "A 33153-2024")</f>
        <v/>
      </c>
    </row>
    <row r="41" ht="15" customHeight="1">
      <c r="A41" t="inlineStr">
        <is>
          <t>A 44928-2022</t>
        </is>
      </c>
      <c r="B41" t="inlineStr">
        <is>
          <t>avverkningsanmälan</t>
        </is>
      </c>
      <c r="C41" t="inlineStr">
        <is>
          <t>Föryngringsavverkning</t>
        </is>
      </c>
      <c r="D41" s="1" t="n">
        <v>44841</v>
      </c>
      <c r="E41" s="1" t="n">
        <v>46296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46296</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46296</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46296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46296</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46296</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28287-2024</t>
        </is>
      </c>
      <c r="B49" t="inlineStr">
        <is>
          <t>avverkningsanmälan</t>
        </is>
      </c>
      <c r="C49" t="inlineStr">
        <is>
          <t>Avverkning för annat ändamål</t>
        </is>
      </c>
      <c r="D49" s="1" t="n">
        <v>45477</v>
      </c>
      <c r="E49" s="1" t="n">
        <v>46296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46296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27280-2023</t>
        </is>
      </c>
      <c r="B51" t="inlineStr">
        <is>
          <t>avverkningsanmälan</t>
        </is>
      </c>
      <c r="C51" t="inlineStr">
        <is>
          <t>Föryngringsavverkning</t>
        </is>
      </c>
      <c r="D51" s="1" t="n">
        <v>45096</v>
      </c>
      <c r="E51" s="1" t="n">
        <v>46296</v>
      </c>
      <c r="F51" t="inlineStr">
        <is>
          <t>GOTLANDS LÄN</t>
        </is>
      </c>
      <c r="G51" t="inlineStr">
        <is>
          <t>GOTLAND</t>
        </is>
      </c>
      <c r="I51" t="n">
        <v>2.7</v>
      </c>
      <c r="J51" t="n">
        <v>11</v>
      </c>
      <c r="K51" t="n">
        <v>2</v>
      </c>
      <c r="L51" t="n">
        <v>2</v>
      </c>
      <c r="M51" t="n">
        <v>1</v>
      </c>
      <c r="N51" t="n">
        <v>1</v>
      </c>
      <c r="O51" t="n">
        <v>0</v>
      </c>
      <c r="P51" t="n">
        <v>0</v>
      </c>
      <c r="Q51" t="n">
        <v>4</v>
      </c>
      <c r="R51" t="n">
        <v>2</v>
      </c>
      <c r="S51" t="n">
        <v>11</v>
      </c>
      <c r="T51" t="n">
        <v>14</v>
      </c>
      <c r="U51" t="n">
        <v>14</v>
      </c>
      <c r="V51" s="2" t="inlineStr">
        <is>
          <t>Sommargylling
Stare
Björktrast
Mindre hackspett
Skogsknipprot
Tvåblad
Spillkråka
Brudsporre
Fläcknycklar
Grönvit nattviol
Nattviol</t>
        </is>
      </c>
      <c r="W51">
        <f>HYPERLINK("https://klasma.github.io/Logging_0980/artfynd/A 27280-2023 artfynd.xlsx", "A 27280-2023")</f>
        <v/>
      </c>
      <c r="X51">
        <f>HYPERLINK("https://klasma.github.io/Logging_0980/kartor/A 27280-2023 karta.png", "A 27280-2023")</f>
        <v/>
      </c>
      <c r="Y51">
        <f>HYPERLINK("https://klasma.github.io/Logging_0980/kartor_geotiff/A 27280-2023 georefererad karta.tif", "A 27280-2023")</f>
        <v/>
      </c>
      <c r="AA51">
        <f>HYPERLINK("https://klasma.github.io/Logging_0980/klagomål/A 27280-2023 FSC-klagomål.docx", "A 27280-2023")</f>
        <v/>
      </c>
      <c r="AB51">
        <f>HYPERLINK("https://klasma.github.io/Logging_0980/klagomålsmail/A 27280-2023 FSC-klagomål mail.docx", "A 27280-2023")</f>
        <v/>
      </c>
      <c r="AC51">
        <f>HYPERLINK("https://klasma.github.io/Logging_0980/tillsyn/A 27280-2023 tillsynsbegäran.docx", "A 27280-2023")</f>
        <v/>
      </c>
      <c r="AD51">
        <f>HYPERLINK("https://klasma.github.io/Logging_0980/tillsynsmail/A 27280-2023 tillsynsbegäran mail.docx", "A 27280-2023")</f>
        <v/>
      </c>
      <c r="AE51">
        <f>HYPERLINK("https://klasma.github.io/Logging_0980/fåglar/A 27280-2023 prioriterade fågelarter.docx", "A 27280-2023")</f>
        <v/>
      </c>
    </row>
    <row r="52" ht="15" customHeight="1">
      <c r="A52" t="inlineStr">
        <is>
          <t>A 584-2023</t>
        </is>
      </c>
      <c r="B52" t="inlineStr">
        <is>
          <t>avverkningsanmälan</t>
        </is>
      </c>
      <c r="C52" t="inlineStr">
        <is>
          <t>Föryngringsavverkning</t>
        </is>
      </c>
      <c r="D52" s="1" t="n">
        <v>44930</v>
      </c>
      <c r="E52" s="1" t="n">
        <v>46296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46296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46296</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46296</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186-2023</t>
        </is>
      </c>
      <c r="B56" t="inlineStr">
        <is>
          <t>avverkningsanmälan</t>
        </is>
      </c>
      <c r="C56" t="inlineStr">
        <is>
          <t>Föryngringsavverkning</t>
        </is>
      </c>
      <c r="D56" s="1" t="n">
        <v>44928</v>
      </c>
      <c r="E56" s="1" t="n">
        <v>46296</v>
      </c>
      <c r="F56" t="inlineStr">
        <is>
          <t>GOTLANDS LÄN</t>
        </is>
      </c>
      <c r="G56" t="inlineStr">
        <is>
          <t>GOTLAND</t>
        </is>
      </c>
      <c r="I56" t="n">
        <v>2.2</v>
      </c>
      <c r="J56" t="n">
        <v>2</v>
      </c>
      <c r="K56" t="n">
        <v>4</v>
      </c>
      <c r="L56" t="n">
        <v>4</v>
      </c>
      <c r="M56" t="n">
        <v>2</v>
      </c>
      <c r="N56" t="n">
        <v>0</v>
      </c>
      <c r="O56" t="n">
        <v>0</v>
      </c>
      <c r="P56" t="n">
        <v>0</v>
      </c>
      <c r="Q56" t="n">
        <v>6</v>
      </c>
      <c r="R56" t="n">
        <v>2</v>
      </c>
      <c r="S56" t="n">
        <v>10</v>
      </c>
      <c r="T56" t="n">
        <v>11</v>
      </c>
      <c r="U56" t="n">
        <v>6</v>
      </c>
      <c r="V56" s="2" t="inlineStr">
        <is>
          <t>Svartgrön spindling
Vit taggsvamp
Blå slemspindling
Bronspraktbagge
Odörspindling
Smedbock
Anisspindling
Mindre märgborre
Nästrot
Skogsknipprot</t>
        </is>
      </c>
      <c r="W56">
        <f>HYPERLINK("https://klasma.github.io/Logging_0980/artfynd/A 186-2023 artfynd.xlsx", "A 186-2023")</f>
        <v/>
      </c>
      <c r="X56">
        <f>HYPERLINK("https://klasma.github.io/Logging_0980/kartor/A 186-2023 karta.png", "A 186-2023")</f>
        <v/>
      </c>
      <c r="Y56">
        <f>HYPERLINK("https://klasma.github.io/Logging_0980/kartor_geotiff/A 186-2023 georefererad karta.tif", "A 186-2023")</f>
        <v/>
      </c>
      <c r="AA56">
        <f>HYPERLINK("https://klasma.github.io/Logging_0980/klagomål/A 186-2023 FSC-klagomål.docx", "A 186-2023")</f>
        <v/>
      </c>
      <c r="AB56">
        <f>HYPERLINK("https://klasma.github.io/Logging_0980/klagomålsmail/A 186-2023 FSC-klagomål mail.docx", "A 186-2023")</f>
        <v/>
      </c>
      <c r="AC56">
        <f>HYPERLINK("https://klasma.github.io/Logging_0980/tillsyn/A 186-2023 tillsynsbegäran.docx", "A 186-2023")</f>
        <v/>
      </c>
      <c r="AD56">
        <f>HYPERLINK("https://klasma.github.io/Logging_0980/tillsynsmail/A 186-2023 tillsynsbegäran mail.docx", "A 186-2023")</f>
        <v/>
      </c>
    </row>
    <row r="57" ht="15" customHeight="1">
      <c r="A57" t="inlineStr">
        <is>
          <t>A 32326-2024</t>
        </is>
      </c>
      <c r="B57" t="inlineStr">
        <is>
          <t>avverkningsanmälan</t>
        </is>
      </c>
      <c r="C57" t="inlineStr">
        <is>
          <t>Föryngringsavverkning</t>
        </is>
      </c>
      <c r="D57" s="1" t="n">
        <v>45512</v>
      </c>
      <c r="E57" s="1" t="n">
        <v>46296</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55649-2024</t>
        </is>
      </c>
      <c r="B58" t="inlineStr">
        <is>
          <t>avverkningsanmälan</t>
        </is>
      </c>
      <c r="C58" t="inlineStr">
        <is>
          <t>Föryngringsavverkning</t>
        </is>
      </c>
      <c r="D58" s="1" t="n">
        <v>45622</v>
      </c>
      <c r="E58" s="1" t="n">
        <v>46296</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4984-2025</t>
        </is>
      </c>
      <c r="B59" t="inlineStr">
        <is>
          <t>avverkningsanmälan</t>
        </is>
      </c>
      <c r="C59" t="inlineStr">
        <is>
          <t>Föryngringsavverkning</t>
        </is>
      </c>
      <c r="D59" s="1" t="n">
        <v>45691</v>
      </c>
      <c r="E59" s="1" t="n">
        <v>46296</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t="n">
        <v>30</v>
      </c>
      <c r="V59" s="2" t="inlineStr">
        <is>
          <t>Gulsparv
Jordtistel
Sminkrot
Svinrot
Grönpyrola
Tvåblad
Ärtsångare
Brudsporre
Kärrknipprot
Nattviol</t>
        </is>
      </c>
      <c r="W59">
        <f>HYPERLINK("https://klasma.github.io/Logging_0980/artfynd/A 4984-2025 artfynd.xlsx", "A 4984-2025")</f>
        <v/>
      </c>
      <c r="X59">
        <f>HYPERLINK("https://klasma.github.io/Logging_0980/kartor/A 4984-2025 karta.png", "A 4984-2025")</f>
        <v/>
      </c>
      <c r="Y59">
        <f>HYPERLINK("https://klasma.github.io/Logging_0980/kartor_geotiff/A 4984-2025 georefererad karta.tif", "A 4984-2025")</f>
        <v/>
      </c>
      <c r="AA59">
        <f>HYPERLINK("https://klasma.github.io/Logging_0980/klagomål/A 4984-2025 FSC-klagomål.docx", "A 4984-2025")</f>
        <v/>
      </c>
      <c r="AB59">
        <f>HYPERLINK("https://klasma.github.io/Logging_0980/klagomålsmail/A 4984-2025 FSC-klagomål mail.docx", "A 4984-2025")</f>
        <v/>
      </c>
      <c r="AC59">
        <f>HYPERLINK("https://klasma.github.io/Logging_0980/tillsyn/A 4984-2025 tillsynsbegäran.docx", "A 4984-2025")</f>
        <v/>
      </c>
      <c r="AD59">
        <f>HYPERLINK("https://klasma.github.io/Logging_0980/tillsynsmail/A 4984-2025 tillsynsbegäran mail.docx", "A 4984-2025")</f>
        <v/>
      </c>
      <c r="AE59">
        <f>HYPERLINK("https://klasma.github.io/Logging_0980/fåglar/A 4984-2025 prioriterade fågelarter.docx", "A 4984-2025")</f>
        <v/>
      </c>
    </row>
    <row r="60" ht="15" customHeight="1">
      <c r="A60" t="inlineStr">
        <is>
          <t>A 22404-2024</t>
        </is>
      </c>
      <c r="B60" t="inlineStr">
        <is>
          <t>avverkningsanmälan</t>
        </is>
      </c>
      <c r="C60" t="inlineStr">
        <is>
          <t>Avverkning för annat ändamål</t>
        </is>
      </c>
      <c r="D60" s="1" t="n">
        <v>45446</v>
      </c>
      <c r="E60" s="1" t="n">
        <v>46296</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t="n">
        <v>3</v>
      </c>
      <c r="V60" s="2" t="inlineStr">
        <is>
          <t>Blåfotad fagerspindling
Bullspindling
Vit taggsvamp
Barrfagerspindling
Blå slemspindling
Flugblomster
Purpurknipprot
Rödgul trumpetsvamp
Svavelriska
Tvåblad</t>
        </is>
      </c>
      <c r="W60">
        <f>HYPERLINK("https://klasma.github.io/Logging_0980/artfynd/A 22404-2024 artfynd.xlsx", "A 22404-2024")</f>
        <v/>
      </c>
      <c r="X60">
        <f>HYPERLINK("https://klasma.github.io/Logging_0980/kartor/A 22404-2024 karta.png", "A 22404-2024")</f>
        <v/>
      </c>
      <c r="Y60">
        <f>HYPERLINK("https://klasma.github.io/Logging_0980/kartor_geotiff/A 22404-2024 georefererad karta.tif", "A 22404-2024")</f>
        <v/>
      </c>
      <c r="AA60">
        <f>HYPERLINK("https://klasma.github.io/Logging_0980/klagomål/A 22404-2024 FSC-klagomål.docx", "A 22404-2024")</f>
        <v/>
      </c>
      <c r="AB60">
        <f>HYPERLINK("https://klasma.github.io/Logging_0980/klagomålsmail/A 22404-2024 FSC-klagomål mail.docx", "A 22404-2024")</f>
        <v/>
      </c>
      <c r="AC60">
        <f>HYPERLINK("https://klasma.github.io/Logging_0980/tillsyn/A 22404-2024 tillsynsbegäran.docx", "A 22404-2024")</f>
        <v/>
      </c>
      <c r="AD60">
        <f>HYPERLINK("https://klasma.github.io/Logging_0980/tillsynsmail/A 22404-2024 tillsynsbegäran mail.docx", "A 22404-2024")</f>
        <v/>
      </c>
    </row>
    <row r="61" ht="15" customHeight="1">
      <c r="A61" t="inlineStr">
        <is>
          <t>A 18541-2024</t>
        </is>
      </c>
      <c r="B61" t="inlineStr">
        <is>
          <t>avverkningsanmälan</t>
        </is>
      </c>
      <c r="C61" t="inlineStr">
        <is>
          <t>Föryngringsavverkning</t>
        </is>
      </c>
      <c r="D61" s="1" t="n">
        <v>45425</v>
      </c>
      <c r="E61" s="1" t="n">
        <v>46296</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44944-2022</t>
        </is>
      </c>
      <c r="B62" t="inlineStr">
        <is>
          <t>avverkningsanmälan</t>
        </is>
      </c>
      <c r="C62" t="inlineStr">
        <is>
          <t>Föryngringsavverkning</t>
        </is>
      </c>
      <c r="D62" s="1" t="n">
        <v>44841</v>
      </c>
      <c r="E62" s="1" t="n">
        <v>46296</v>
      </c>
      <c r="F62" t="inlineStr">
        <is>
          <t>GOTLANDS LÄN</t>
        </is>
      </c>
      <c r="G62" t="inlineStr">
        <is>
          <t>GOTLAND</t>
        </is>
      </c>
      <c r="I62" t="n">
        <v>2.8</v>
      </c>
      <c r="J62" t="n">
        <v>0</v>
      </c>
      <c r="K62" t="n">
        <v>3</v>
      </c>
      <c r="L62" t="n">
        <v>4</v>
      </c>
      <c r="M62" t="n">
        <v>2</v>
      </c>
      <c r="N62" t="n">
        <v>1</v>
      </c>
      <c r="O62" t="n">
        <v>0</v>
      </c>
      <c r="P62" t="n">
        <v>0</v>
      </c>
      <c r="Q62" t="n">
        <v>7</v>
      </c>
      <c r="R62" t="n">
        <v>3</v>
      </c>
      <c r="S62" t="n">
        <v>10</v>
      </c>
      <c r="T62" t="n">
        <v>13</v>
      </c>
      <c r="U62" t="n">
        <v>9</v>
      </c>
      <c r="V62" s="2" t="inlineStr">
        <is>
          <t>Sienamusseron
Bredbrämad bastardsvärmare
Gotlandsmåra
Axveronika
Denisespindling
Fjällig taggsvamp s.str.
Odörspindling
Anisspindling
Olivspindling
Rödgul trumpetsvamp</t>
        </is>
      </c>
      <c r="W62">
        <f>HYPERLINK("https://klasma.github.io/Logging_0980/artfynd/A 44944-2022 artfynd.xlsx", "A 44944-2022")</f>
        <v/>
      </c>
      <c r="X62">
        <f>HYPERLINK("https://klasma.github.io/Logging_0980/kartor/A 44944-2022 karta.png", "A 44944-2022")</f>
        <v/>
      </c>
      <c r="Y62">
        <f>HYPERLINK("https://klasma.github.io/Logging_0980/kartor_geotiff/A 44944-2022 georefererad karta.tif", "A 44944-2022")</f>
        <v/>
      </c>
      <c r="AA62">
        <f>HYPERLINK("https://klasma.github.io/Logging_0980/klagomål/A 44944-2022 FSC-klagomål.docx", "A 44944-2022")</f>
        <v/>
      </c>
      <c r="AB62">
        <f>HYPERLINK("https://klasma.github.io/Logging_0980/klagomålsmail/A 44944-2022 FSC-klagomål mail.docx", "A 44944-2022")</f>
        <v/>
      </c>
      <c r="AC62">
        <f>HYPERLINK("https://klasma.github.io/Logging_0980/tillsyn/A 44944-2022 tillsynsbegäran.docx", "A 44944-2022")</f>
        <v/>
      </c>
      <c r="AD62">
        <f>HYPERLINK("https://klasma.github.io/Logging_0980/tillsynsmail/A 44944-2022 tillsynsbegäran mail.docx", "A 44944-2022")</f>
        <v/>
      </c>
    </row>
    <row r="63" ht="15" customHeight="1">
      <c r="A63" t="inlineStr">
        <is>
          <t>A 45248-2024</t>
        </is>
      </c>
      <c r="B63" t="inlineStr">
        <is>
          <t>avverkningsanmälan</t>
        </is>
      </c>
      <c r="C63" t="inlineStr">
        <is>
          <t>Avverkning för annat ändamål</t>
        </is>
      </c>
      <c r="D63" s="1" t="n">
        <v>45576</v>
      </c>
      <c r="E63" s="1" t="n">
        <v>46296</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7039-2023</t>
        </is>
      </c>
      <c r="B64" t="inlineStr">
        <is>
          <t>avverkningsanmälan</t>
        </is>
      </c>
      <c r="C64" t="inlineStr">
        <is>
          <t>Föryngringsavverkning</t>
        </is>
      </c>
      <c r="D64" s="1" t="n">
        <v>44968</v>
      </c>
      <c r="E64" s="1" t="n">
        <v>46296</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46296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46296</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46296</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46296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46296</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46296</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54527-2023</t>
        </is>
      </c>
      <c r="B71" t="inlineStr">
        <is>
          <t>avverkningsanmälan</t>
        </is>
      </c>
      <c r="C71" t="inlineStr">
        <is>
          <t>Avverkning för annat ändamål</t>
        </is>
      </c>
      <c r="D71" s="1" t="n">
        <v>45233</v>
      </c>
      <c r="E71" s="1" t="n">
        <v>46296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46296</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46296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46296</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46296</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46296</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46296</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46296</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10419-2025</t>
        </is>
      </c>
      <c r="B79" t="inlineStr">
        <is>
          <t>avverkningsanmälan</t>
        </is>
      </c>
      <c r="C79" t="inlineStr">
        <is>
          <t>Avverkning för att bevara och utveckla /försöksver</t>
        </is>
      </c>
      <c r="D79" s="1" t="n">
        <v>45720</v>
      </c>
      <c r="E79" s="1" t="n">
        <v>46296</v>
      </c>
      <c r="F79" t="inlineStr">
        <is>
          <t>GOTLANDS LÄN</t>
        </is>
      </c>
      <c r="G79" t="inlineStr">
        <is>
          <t>GOTLAND</t>
        </is>
      </c>
      <c r="I79" t="n">
        <v>1.2</v>
      </c>
      <c r="J79" t="n">
        <v>0</v>
      </c>
      <c r="K79" t="n">
        <v>2</v>
      </c>
      <c r="L79" t="n">
        <v>3</v>
      </c>
      <c r="M79" t="n">
        <v>2</v>
      </c>
      <c r="N79" t="n">
        <v>0</v>
      </c>
      <c r="O79" t="n">
        <v>0</v>
      </c>
      <c r="P79" t="n">
        <v>0</v>
      </c>
      <c r="Q79" t="n">
        <v>5</v>
      </c>
      <c r="R79" t="n">
        <v>2</v>
      </c>
      <c r="S79" t="n">
        <v>7</v>
      </c>
      <c r="T79" t="n">
        <v>16</v>
      </c>
      <c r="U79" t="n">
        <v>0</v>
      </c>
      <c r="V79" s="2" t="inlineStr">
        <is>
          <t>Mörkfjällig olivspindling
Violettfläckig spindling
Blå slemspindling
Fjällig taggsvamp s.str.
Kryddspindling
Anisspindling
Olivspindling</t>
        </is>
      </c>
      <c r="W79">
        <f>HYPERLINK("https://klasma.github.io/Logging_0980/artfynd/A 10419-2025 artfynd.xlsx", "A 10419-2025")</f>
        <v/>
      </c>
      <c r="X79">
        <f>HYPERLINK("https://klasma.github.io/Logging_0980/kartor/A 10419-2025 karta.png", "A 10419-2025")</f>
        <v/>
      </c>
      <c r="Y79">
        <f>HYPERLINK("https://klasma.github.io/Logging_0980/kartor_geotiff/A 10419-2025 georefererad karta.tif", "A 10419-2025")</f>
        <v/>
      </c>
      <c r="AA79">
        <f>HYPERLINK("https://klasma.github.io/Logging_0980/klagomål/A 10419-2025 FSC-klagomål.docx", "A 10419-2025")</f>
        <v/>
      </c>
      <c r="AB79">
        <f>HYPERLINK("https://klasma.github.io/Logging_0980/klagomålsmail/A 10419-2025 FSC-klagomål mail.docx", "A 10419-2025")</f>
        <v/>
      </c>
      <c r="AC79">
        <f>HYPERLINK("https://klasma.github.io/Logging_0980/tillsyn/A 10419-2025 tillsynsbegäran.docx", "A 10419-2025")</f>
        <v/>
      </c>
      <c r="AD79">
        <f>HYPERLINK("https://klasma.github.io/Logging_0980/tillsynsmail/A 10419-2025 tillsynsbegäran mail.docx", "A 10419-2025")</f>
        <v/>
      </c>
    </row>
    <row r="80" ht="15" customHeight="1">
      <c r="A80" t="inlineStr">
        <is>
          <t>A 6159-2023</t>
        </is>
      </c>
      <c r="B80" t="inlineStr">
        <is>
          <t>avverkningsanmälan</t>
        </is>
      </c>
      <c r="C80" t="inlineStr">
        <is>
          <t>Föryngringsavverkning</t>
        </is>
      </c>
      <c r="D80" s="1" t="n">
        <v>44964</v>
      </c>
      <c r="E80" s="1" t="n">
        <v>46296</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46296</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46296</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35293-2025</t>
        </is>
      </c>
      <c r="B83" t="inlineStr">
        <is>
          <t>avverkningsanmälan</t>
        </is>
      </c>
      <c r="C83" t="inlineStr">
        <is>
          <t>Föryngringsavverkning</t>
        </is>
      </c>
      <c r="D83" s="1" t="n">
        <v>45854</v>
      </c>
      <c r="E83" s="1" t="n">
        <v>46296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46296</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S 3948-2024</t>
        </is>
      </c>
      <c r="B85" t="inlineStr">
        <is>
          <t>samrådsanmälan</t>
        </is>
      </c>
      <c r="C85" t="inlineStr">
        <is>
          <t>Annan skogsbruksåtgärd</t>
        </is>
      </c>
      <c r="D85" s="1" t="n">
        <v>45567</v>
      </c>
      <c r="E85" s="1" t="n">
        <v>46296</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43200-2023</t>
        </is>
      </c>
      <c r="B86" t="inlineStr">
        <is>
          <t>avverkningsanmälan</t>
        </is>
      </c>
      <c r="C86" t="inlineStr">
        <is>
          <t>Föryngringsavverkning</t>
        </is>
      </c>
      <c r="D86" s="1" t="n">
        <v>45183</v>
      </c>
      <c r="E86" s="1" t="n">
        <v>46296</v>
      </c>
      <c r="F86" t="inlineStr">
        <is>
          <t>GOTLANDS LÄN</t>
        </is>
      </c>
      <c r="G86" t="inlineStr">
        <is>
          <t>GOTLAND</t>
        </is>
      </c>
      <c r="I86" t="n">
        <v>0.5</v>
      </c>
      <c r="J86" t="n">
        <v>2</v>
      </c>
      <c r="K86" t="n">
        <v>3</v>
      </c>
      <c r="L86" t="n">
        <v>3</v>
      </c>
      <c r="M86" t="n">
        <v>0</v>
      </c>
      <c r="N86" t="n">
        <v>0</v>
      </c>
      <c r="O86" t="n">
        <v>0</v>
      </c>
      <c r="P86" t="n">
        <v>0</v>
      </c>
      <c r="Q86" t="n">
        <v>3</v>
      </c>
      <c r="R86" t="n">
        <v>0</v>
      </c>
      <c r="S86" t="n">
        <v>6</v>
      </c>
      <c r="T86" t="n">
        <v>8</v>
      </c>
      <c r="U86" t="n">
        <v>0</v>
      </c>
      <c r="V86" s="2" t="inlineStr">
        <is>
          <t>Kattfotslav
Sårläka
Vårärt
Kalktallört
Nästrot
Skogsknipprot</t>
        </is>
      </c>
      <c r="W86">
        <f>HYPERLINK("https://klasma.github.io/Logging_0980/artfynd/A 43200-2023 artfynd.xlsx", "A 43200-2023")</f>
        <v/>
      </c>
      <c r="X86">
        <f>HYPERLINK("https://klasma.github.io/Logging_0980/kartor/A 43200-2023 karta.png", "A 43200-2023")</f>
        <v/>
      </c>
      <c r="Y86">
        <f>HYPERLINK("https://klasma.github.io/Logging_0980/kartor_geotiff/A 43200-2023 georefererad karta.tif", "A 43200-2023")</f>
        <v/>
      </c>
      <c r="AA86">
        <f>HYPERLINK("https://klasma.github.io/Logging_0980/klagomål/A 43200-2023 FSC-klagomål.docx", "A 43200-2023")</f>
        <v/>
      </c>
      <c r="AB86">
        <f>HYPERLINK("https://klasma.github.io/Logging_0980/klagomålsmail/A 43200-2023 FSC-klagomål mail.docx", "A 43200-2023")</f>
        <v/>
      </c>
      <c r="AC86">
        <f>HYPERLINK("https://klasma.github.io/Logging_0980/tillsyn/A 43200-2023 tillsynsbegäran.docx", "A 43200-2023")</f>
        <v/>
      </c>
      <c r="AD86">
        <f>HYPERLINK("https://klasma.github.io/Logging_0980/tillsynsmail/A 43200-2023 tillsynsbegäran mail.docx", "A 43200-2023")</f>
        <v/>
      </c>
    </row>
    <row r="87" ht="15" customHeight="1">
      <c r="A87" t="inlineStr">
        <is>
          <t>A 64208-2021</t>
        </is>
      </c>
      <c r="B87" t="inlineStr">
        <is>
          <t>avverkningsanmälan</t>
        </is>
      </c>
      <c r="C87" t="inlineStr">
        <is>
          <t>Föryngringsavverkning</t>
        </is>
      </c>
      <c r="D87" s="1" t="n">
        <v>44510</v>
      </c>
      <c r="E87" s="1" t="n">
        <v>46296</v>
      </c>
      <c r="F87" t="inlineStr">
        <is>
          <t>GOTLANDS LÄN</t>
        </is>
      </c>
      <c r="G87" t="inlineStr">
        <is>
          <t>GOTLAND</t>
        </is>
      </c>
      <c r="I87" t="n">
        <v>4.7</v>
      </c>
      <c r="J87" t="n">
        <v>2</v>
      </c>
      <c r="K87" t="n">
        <v>0</v>
      </c>
      <c r="L87" t="n">
        <v>4</v>
      </c>
      <c r="M87" t="n">
        <v>1</v>
      </c>
      <c r="N87" t="n">
        <v>0</v>
      </c>
      <c r="O87" t="n">
        <v>0</v>
      </c>
      <c r="P87" t="n">
        <v>0</v>
      </c>
      <c r="Q87" t="n">
        <v>5</v>
      </c>
      <c r="R87" t="n">
        <v>1</v>
      </c>
      <c r="S87" t="n">
        <v>6</v>
      </c>
      <c r="T87" t="n">
        <v>9</v>
      </c>
      <c r="U87" t="n">
        <v>9</v>
      </c>
      <c r="V87" s="2" t="inlineStr">
        <is>
          <t>Svartfläckig blåvinge
Axveronika
Backtimjan
Jordtistel
Solvända
Alvarstånds</t>
        </is>
      </c>
      <c r="W87">
        <f>HYPERLINK("https://klasma.github.io/Logging_0980/artfynd/A 64208-2021 artfynd.xlsx", "A 64208-2021")</f>
        <v/>
      </c>
      <c r="X87">
        <f>HYPERLINK("https://klasma.github.io/Logging_0980/kartor/A 64208-2021 karta.png", "A 64208-2021")</f>
        <v/>
      </c>
      <c r="Y87">
        <f>HYPERLINK("https://klasma.github.io/Logging_0980/kartor_geotiff/A 64208-2021 georefererad karta.tif", "A 64208-2021")</f>
        <v/>
      </c>
      <c r="AA87">
        <f>HYPERLINK("https://klasma.github.io/Logging_0980/klagomål/A 64208-2021 FSC-klagomål.docx", "A 64208-2021")</f>
        <v/>
      </c>
      <c r="AB87">
        <f>HYPERLINK("https://klasma.github.io/Logging_0980/klagomålsmail/A 64208-2021 FSC-klagomål mail.docx", "A 64208-2021")</f>
        <v/>
      </c>
      <c r="AC87">
        <f>HYPERLINK("https://klasma.github.io/Logging_0980/tillsyn/A 64208-2021 tillsynsbegäran.docx", "A 64208-2021")</f>
        <v/>
      </c>
      <c r="AD87">
        <f>HYPERLINK("https://klasma.github.io/Logging_0980/tillsynsmail/A 64208-2021 tillsynsbegäran mail.docx", "A 64208-2021")</f>
        <v/>
      </c>
    </row>
    <row r="88" ht="15" customHeight="1">
      <c r="A88" t="inlineStr">
        <is>
          <t>A 16823-2024</t>
        </is>
      </c>
      <c r="B88" t="inlineStr">
        <is>
          <t>avverkningsanmälan</t>
        </is>
      </c>
      <c r="C88" t="inlineStr">
        <is>
          <t>Avverkning för annat ändamål</t>
        </is>
      </c>
      <c r="D88" s="1" t="n">
        <v>45411</v>
      </c>
      <c r="E88" s="1" t="n">
        <v>46296</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48126-2022</t>
        </is>
      </c>
      <c r="B89" t="inlineStr">
        <is>
          <t>avverkningsanmälan</t>
        </is>
      </c>
      <c r="C89" t="inlineStr">
        <is>
          <t>Föryngringsavverkning</t>
        </is>
      </c>
      <c r="D89" s="1" t="n">
        <v>44857</v>
      </c>
      <c r="E89" s="1" t="n">
        <v>46296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46296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46296</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S 452-2025</t>
        </is>
      </c>
      <c r="B92" t="inlineStr">
        <is>
          <t>samrådsanmälan</t>
        </is>
      </c>
      <c r="C92" t="inlineStr">
        <is>
          <t>Askåterföring</t>
        </is>
      </c>
      <c r="D92" s="1" t="n">
        <v>45701</v>
      </c>
      <c r="E92" s="1" t="n">
        <v>46296</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46296</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46296</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42936-2024</t>
        </is>
      </c>
      <c r="B95" t="inlineStr">
        <is>
          <t>avverkningsanmälan</t>
        </is>
      </c>
      <c r="C95" t="inlineStr">
        <is>
          <t>Föryngringsavverkning</t>
        </is>
      </c>
      <c r="D95" s="1" t="n">
        <v>45567</v>
      </c>
      <c r="E95" s="1" t="n">
        <v>46296</v>
      </c>
      <c r="F95" t="inlineStr">
        <is>
          <t>GOTLANDS LÄN</t>
        </is>
      </c>
      <c r="G95" t="inlineStr">
        <is>
          <t>GOTLAND</t>
        </is>
      </c>
      <c r="I95" t="n">
        <v>3.4</v>
      </c>
      <c r="J95" t="n">
        <v>0</v>
      </c>
      <c r="K95" t="n">
        <v>1</v>
      </c>
      <c r="L95" t="n">
        <v>3</v>
      </c>
      <c r="M95" t="n">
        <v>1</v>
      </c>
      <c r="N95" t="n">
        <v>0</v>
      </c>
      <c r="O95" t="n">
        <v>0</v>
      </c>
      <c r="P95" t="n">
        <v>0</v>
      </c>
      <c r="Q95" t="n">
        <v>4</v>
      </c>
      <c r="R95" t="n">
        <v>1</v>
      </c>
      <c r="S95" t="n">
        <v>5</v>
      </c>
      <c r="T95" t="n">
        <v>5</v>
      </c>
      <c r="U95" t="n">
        <v>0</v>
      </c>
      <c r="V95" s="2" t="inlineStr">
        <is>
          <t>Vit taggsvamp
Barrfagerspindling
Blå slemspindling
Äggspindling
Svavelriska</t>
        </is>
      </c>
      <c r="W95">
        <f>HYPERLINK("https://klasma.github.io/Logging_0980/artfynd/A 42936-2024 artfynd.xlsx", "A 42936-2024")</f>
        <v/>
      </c>
      <c r="X95">
        <f>HYPERLINK("https://klasma.github.io/Logging_0980/kartor/A 42936-2024 karta.png", "A 42936-2024")</f>
        <v/>
      </c>
      <c r="Y95">
        <f>HYPERLINK("https://klasma.github.io/Logging_0980/kartor_geotiff/A 42936-2024 georefererad karta.tif", "A 42936-2024")</f>
        <v/>
      </c>
      <c r="AA95">
        <f>HYPERLINK("https://klasma.github.io/Logging_0980/klagomål/A 42936-2024 FSC-klagomål.docx", "A 42936-2024")</f>
        <v/>
      </c>
      <c r="AB95">
        <f>HYPERLINK("https://klasma.github.io/Logging_0980/klagomålsmail/A 42936-2024 FSC-klagomål mail.docx", "A 42936-2024")</f>
        <v/>
      </c>
      <c r="AC95">
        <f>HYPERLINK("https://klasma.github.io/Logging_0980/tillsyn/A 42936-2024 tillsynsbegäran.docx", "A 42936-2024")</f>
        <v/>
      </c>
      <c r="AD95">
        <f>HYPERLINK("https://klasma.github.io/Logging_0980/tillsynsmail/A 42936-2024 tillsynsbegäran mail.docx", "A 42936-2024")</f>
        <v/>
      </c>
    </row>
    <row r="96" ht="15" customHeight="1">
      <c r="A96" t="inlineStr">
        <is>
          <t>A 54055-2022</t>
        </is>
      </c>
      <c r="B96" t="inlineStr">
        <is>
          <t>avverkningsanmälan</t>
        </is>
      </c>
      <c r="C96" t="inlineStr">
        <is>
          <t>Föryngringsavverkning</t>
        </is>
      </c>
      <c r="D96" s="1" t="n">
        <v>44881</v>
      </c>
      <c r="E96" s="1" t="n">
        <v>46296</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8265-2023</t>
        </is>
      </c>
      <c r="B97" t="inlineStr">
        <is>
          <t>avverkningsanmälan</t>
        </is>
      </c>
      <c r="C97" t="inlineStr">
        <is>
          <t>Föryngringsavverkning</t>
        </is>
      </c>
      <c r="D97" s="1" t="n">
        <v>44974</v>
      </c>
      <c r="E97" s="1" t="n">
        <v>46296</v>
      </c>
      <c r="F97" t="inlineStr">
        <is>
          <t>GOTLANDS LÄN</t>
        </is>
      </c>
      <c r="G97" t="inlineStr">
        <is>
          <t>GOTLAND</t>
        </is>
      </c>
      <c r="I97" t="n">
        <v>3.3</v>
      </c>
      <c r="J97" t="n">
        <v>4</v>
      </c>
      <c r="K97" t="n">
        <v>3</v>
      </c>
      <c r="L97" t="n">
        <v>1</v>
      </c>
      <c r="M97" t="n">
        <v>0</v>
      </c>
      <c r="N97" t="n">
        <v>0</v>
      </c>
      <c r="O97" t="n">
        <v>0</v>
      </c>
      <c r="P97" t="n">
        <v>0</v>
      </c>
      <c r="Q97" t="n">
        <v>1</v>
      </c>
      <c r="R97" t="n">
        <v>0</v>
      </c>
      <c r="S97" t="n">
        <v>5</v>
      </c>
      <c r="T97" t="n">
        <v>9</v>
      </c>
      <c r="U97" t="n">
        <v>9</v>
      </c>
      <c r="V97" s="2" t="inlineStr">
        <is>
          <t>Säfferot
Flugblomster
Purpurknipprot
Tvåblad
Salepsrot</t>
        </is>
      </c>
      <c r="W97">
        <f>HYPERLINK("https://klasma.github.io/Logging_0980/artfynd/A 8265-2023 artfynd.xlsx", "A 8265-2023")</f>
        <v/>
      </c>
      <c r="X97">
        <f>HYPERLINK("https://klasma.github.io/Logging_0980/kartor/A 8265-2023 karta.png", "A 8265-2023")</f>
        <v/>
      </c>
      <c r="Y97">
        <f>HYPERLINK("https://klasma.github.io/Logging_0980/kartor_geotiff/A 8265-2023 georefererad karta.tif", "A 8265-2023")</f>
        <v/>
      </c>
      <c r="AA97">
        <f>HYPERLINK("https://klasma.github.io/Logging_0980/klagomål/A 8265-2023 FSC-klagomål.docx", "A 8265-2023")</f>
        <v/>
      </c>
      <c r="AB97">
        <f>HYPERLINK("https://klasma.github.io/Logging_0980/klagomålsmail/A 8265-2023 FSC-klagomål mail.docx", "A 8265-2023")</f>
        <v/>
      </c>
      <c r="AC97">
        <f>HYPERLINK("https://klasma.github.io/Logging_0980/tillsyn/A 8265-2023 tillsynsbegäran.docx", "A 8265-2023")</f>
        <v/>
      </c>
      <c r="AD97">
        <f>HYPERLINK("https://klasma.github.io/Logging_0980/tillsynsmail/A 8265-2023 tillsynsbegäran mail.docx", "A 8265-2023")</f>
        <v/>
      </c>
    </row>
    <row r="98" ht="15" customHeight="1">
      <c r="A98" t="inlineStr">
        <is>
          <t>A 39425-2023</t>
        </is>
      </c>
      <c r="B98" t="inlineStr">
        <is>
          <t>avverkningsanmälan</t>
        </is>
      </c>
      <c r="C98" t="inlineStr">
        <is>
          <t>Avverkning för annat ändamål</t>
        </is>
      </c>
      <c r="D98" s="1" t="n">
        <v>45166</v>
      </c>
      <c r="E98" s="1" t="n">
        <v>46296</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5904-2024</t>
        </is>
      </c>
      <c r="B99" t="inlineStr">
        <is>
          <t>avverkningsanmälan</t>
        </is>
      </c>
      <c r="C99" t="inlineStr">
        <is>
          <t>Föryngringsavverkning</t>
        </is>
      </c>
      <c r="D99" s="1" t="n">
        <v>45335</v>
      </c>
      <c r="E99" s="1" t="n">
        <v>46296</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46296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46296</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46296</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1273-2023</t>
        </is>
      </c>
      <c r="B103" t="inlineStr">
        <is>
          <t>avverkningsanmälan</t>
        </is>
      </c>
      <c r="C103" t="inlineStr">
        <is>
          <t>Föryngringsavverkning</t>
        </is>
      </c>
      <c r="D103" s="1" t="n">
        <v>44936</v>
      </c>
      <c r="E103" s="1" t="n">
        <v>46296</v>
      </c>
      <c r="F103" t="inlineStr">
        <is>
          <t>GOTLANDS LÄN</t>
        </is>
      </c>
      <c r="G103" t="inlineStr">
        <is>
          <t>GOTLAND</t>
        </is>
      </c>
      <c r="I103" t="n">
        <v>4.5</v>
      </c>
      <c r="J103" t="n">
        <v>2</v>
      </c>
      <c r="K103" t="n">
        <v>1</v>
      </c>
      <c r="L103" t="n">
        <v>2</v>
      </c>
      <c r="M103" t="n">
        <v>1</v>
      </c>
      <c r="N103" t="n">
        <v>0</v>
      </c>
      <c r="O103" t="n">
        <v>0</v>
      </c>
      <c r="P103" t="n">
        <v>0</v>
      </c>
      <c r="Q103" t="n">
        <v>3</v>
      </c>
      <c r="R103" t="n">
        <v>1</v>
      </c>
      <c r="S103" t="n">
        <v>4</v>
      </c>
      <c r="T103" t="n">
        <v>7</v>
      </c>
      <c r="U103" t="n">
        <v>3</v>
      </c>
      <c r="V103" s="2" t="inlineStr">
        <is>
          <t>Garderönn
Svinrot
Vårärt
Skogsknipprot</t>
        </is>
      </c>
      <c r="W103">
        <f>HYPERLINK("https://klasma.github.io/Logging_0980/artfynd/A 1273-2023 artfynd.xlsx", "A 1273-2023")</f>
        <v/>
      </c>
      <c r="X103">
        <f>HYPERLINK("https://klasma.github.io/Logging_0980/kartor/A 1273-2023 karta.png", "A 1273-2023")</f>
        <v/>
      </c>
      <c r="Y103">
        <f>HYPERLINK("https://klasma.github.io/Logging_0980/kartor_geotiff/A 1273-2023 georefererad karta.tif", "A 1273-2023")</f>
        <v/>
      </c>
      <c r="AA103">
        <f>HYPERLINK("https://klasma.github.io/Logging_0980/klagomål/A 1273-2023 FSC-klagomål.docx", "A 1273-2023")</f>
        <v/>
      </c>
      <c r="AB103">
        <f>HYPERLINK("https://klasma.github.io/Logging_0980/klagomålsmail/A 1273-2023 FSC-klagomål mail.docx", "A 1273-2023")</f>
        <v/>
      </c>
      <c r="AC103">
        <f>HYPERLINK("https://klasma.github.io/Logging_0980/tillsyn/A 1273-2023 tillsynsbegäran.docx", "A 1273-2023")</f>
        <v/>
      </c>
      <c r="AD103">
        <f>HYPERLINK("https://klasma.github.io/Logging_0980/tillsynsmail/A 1273-2023 tillsynsbegäran mail.docx", "A 1273-2023")</f>
        <v/>
      </c>
    </row>
    <row r="104" ht="15" customHeight="1">
      <c r="A104" t="inlineStr">
        <is>
          <t>A 2485-2025</t>
        </is>
      </c>
      <c r="B104" t="inlineStr">
        <is>
          <t>avverkningsanmälan</t>
        </is>
      </c>
      <c r="C104" t="inlineStr">
        <is>
          <t>Föryngringsavverkning</t>
        </is>
      </c>
      <c r="D104" s="1" t="n">
        <v>45673</v>
      </c>
      <c r="E104" s="1" t="n">
        <v>46296</v>
      </c>
      <c r="F104" t="inlineStr">
        <is>
          <t>GOTLANDS LÄN</t>
        </is>
      </c>
      <c r="G104" t="inlineStr">
        <is>
          <t>GOTLAND</t>
        </is>
      </c>
      <c r="I104" t="n">
        <v>5</v>
      </c>
      <c r="J104" t="n">
        <v>2</v>
      </c>
      <c r="K104" t="n">
        <v>2</v>
      </c>
      <c r="L104" t="n">
        <v>0</v>
      </c>
      <c r="M104" t="n">
        <v>2</v>
      </c>
      <c r="N104" t="n">
        <v>0</v>
      </c>
      <c r="O104" t="n">
        <v>0</v>
      </c>
      <c r="P104" t="n">
        <v>0</v>
      </c>
      <c r="Q104" t="n">
        <v>2</v>
      </c>
      <c r="R104" t="n">
        <v>2</v>
      </c>
      <c r="S104" t="n">
        <v>4</v>
      </c>
      <c r="T104" t="n">
        <v>84</v>
      </c>
      <c r="U104" t="n">
        <v>84</v>
      </c>
      <c r="V104" s="2" t="inlineStr">
        <is>
          <t>Gotlandsmåra
Skogskorn
Nästrot
Skogsknipprot</t>
        </is>
      </c>
      <c r="W104">
        <f>HYPERLINK("https://klasma.github.io/Logging_0980/artfynd/A 2485-2025 artfynd.xlsx", "A 2485-2025")</f>
        <v/>
      </c>
      <c r="X104">
        <f>HYPERLINK("https://klasma.github.io/Logging_0980/kartor/A 2485-2025 karta.png", "A 2485-2025")</f>
        <v/>
      </c>
      <c r="Y104">
        <f>HYPERLINK("https://klasma.github.io/Logging_0980/kartor_geotiff/A 2485-2025 georefererad karta.tif", "A 2485-2025")</f>
        <v/>
      </c>
      <c r="AA104">
        <f>HYPERLINK("https://klasma.github.io/Logging_0980/klagomål/A 2485-2025 FSC-klagomål.docx", "A 2485-2025")</f>
        <v/>
      </c>
      <c r="AB104">
        <f>HYPERLINK("https://klasma.github.io/Logging_0980/klagomålsmail/A 2485-2025 FSC-klagomål mail.docx", "A 2485-2025")</f>
        <v/>
      </c>
      <c r="AC104">
        <f>HYPERLINK("https://klasma.github.io/Logging_0980/tillsyn/A 2485-2025 tillsynsbegäran.docx", "A 2485-2025")</f>
        <v/>
      </c>
      <c r="AD104">
        <f>HYPERLINK("https://klasma.github.io/Logging_0980/tillsynsmail/A 2485-2025 tillsynsbegäran mail.docx", "A 2485-2025")</f>
        <v/>
      </c>
    </row>
    <row r="105" ht="15" customHeight="1">
      <c r="A105" t="inlineStr">
        <is>
          <t>A 5235-2025</t>
        </is>
      </c>
      <c r="B105" t="inlineStr">
        <is>
          <t>avverkningsanmälan</t>
        </is>
      </c>
      <c r="C105" t="inlineStr">
        <is>
          <t>Föryngringsavverkning</t>
        </is>
      </c>
      <c r="D105" s="1" t="n">
        <v>45692</v>
      </c>
      <c r="E105" s="1" t="n">
        <v>46296</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61100-2022</t>
        </is>
      </c>
      <c r="B106" t="inlineStr">
        <is>
          <t>avverkningsanmälan</t>
        </is>
      </c>
      <c r="C106" t="inlineStr">
        <is>
          <t>Föryngringsavverkning</t>
        </is>
      </c>
      <c r="D106" s="1" t="n">
        <v>44915</v>
      </c>
      <c r="E106" s="1" t="n">
        <v>46296</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37591-2023</t>
        </is>
      </c>
      <c r="B107" t="inlineStr">
        <is>
          <t>avverkningsanmälan</t>
        </is>
      </c>
      <c r="C107" t="inlineStr">
        <is>
          <t>Föryngringsavverkning</t>
        </is>
      </c>
      <c r="D107" s="1" t="n">
        <v>45159</v>
      </c>
      <c r="E107" s="1" t="n">
        <v>46296</v>
      </c>
      <c r="F107" t="inlineStr">
        <is>
          <t>GOTLANDS LÄN</t>
        </is>
      </c>
      <c r="G107" t="inlineStr">
        <is>
          <t>GOTLAND</t>
        </is>
      </c>
      <c r="I107" t="n">
        <v>8.300000000000001</v>
      </c>
      <c r="J107" t="n">
        <v>1</v>
      </c>
      <c r="K107" t="n">
        <v>0</v>
      </c>
      <c r="L107" t="n">
        <v>3</v>
      </c>
      <c r="M107" t="n">
        <v>0</v>
      </c>
      <c r="N107" t="n">
        <v>0</v>
      </c>
      <c r="O107" t="n">
        <v>0</v>
      </c>
      <c r="P107" t="n">
        <v>0</v>
      </c>
      <c r="Q107" t="n">
        <v>3</v>
      </c>
      <c r="R107" t="n">
        <v>0</v>
      </c>
      <c r="S107" t="n">
        <v>4</v>
      </c>
      <c r="T107" t="n">
        <v>4</v>
      </c>
      <c r="U107" t="n">
        <v>1</v>
      </c>
      <c r="V107" s="2" t="inlineStr">
        <is>
          <t>Bergjohannesört
Solvända
Ängsstarr
Vanlig snok</t>
        </is>
      </c>
      <c r="W107">
        <f>HYPERLINK("https://klasma.github.io/Logging_0980/artfynd/A 37591-2023 artfynd.xlsx", "A 37591-2023")</f>
        <v/>
      </c>
      <c r="X107">
        <f>HYPERLINK("https://klasma.github.io/Logging_0980/kartor/A 37591-2023 karta.png", "A 37591-2023")</f>
        <v/>
      </c>
      <c r="Y107">
        <f>HYPERLINK("https://klasma.github.io/Logging_0980/kartor_geotiff/A 37591-2023 georefererad karta.tif", "A 37591-2023")</f>
        <v/>
      </c>
      <c r="AA107">
        <f>HYPERLINK("https://klasma.github.io/Logging_0980/klagomål/A 37591-2023 FSC-klagomål.docx", "A 37591-2023")</f>
        <v/>
      </c>
      <c r="AB107">
        <f>HYPERLINK("https://klasma.github.io/Logging_0980/klagomålsmail/A 37591-2023 FSC-klagomål mail.docx", "A 37591-2023")</f>
        <v/>
      </c>
      <c r="AC107">
        <f>HYPERLINK("https://klasma.github.io/Logging_0980/tillsyn/A 37591-2023 tillsynsbegäran.docx", "A 37591-2023")</f>
        <v/>
      </c>
      <c r="AD107">
        <f>HYPERLINK("https://klasma.github.io/Logging_0980/tillsynsmail/A 37591-2023 tillsynsbegäran mail.docx", "A 37591-2023")</f>
        <v/>
      </c>
    </row>
    <row r="108" ht="15" customHeight="1">
      <c r="A108" t="inlineStr">
        <is>
          <t>A 56717-2024</t>
        </is>
      </c>
      <c r="B108" t="inlineStr">
        <is>
          <t>avverkningsanmälan</t>
        </is>
      </c>
      <c r="C108" t="inlineStr">
        <is>
          <t>Föryngringsavverkning</t>
        </is>
      </c>
      <c r="D108" s="1" t="n">
        <v>45628</v>
      </c>
      <c r="E108" s="1" t="n">
        <v>46296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54523-2023</t>
        </is>
      </c>
      <c r="B109" t="inlineStr">
        <is>
          <t>avverkningsanmälan</t>
        </is>
      </c>
      <c r="C109" t="inlineStr">
        <is>
          <t>Föryngringsavverkning</t>
        </is>
      </c>
      <c r="D109" s="1" t="n">
        <v>45233</v>
      </c>
      <c r="E109" s="1" t="n">
        <v>46296</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46296</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46296</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7625-2026</t>
        </is>
      </c>
      <c r="B112" t="inlineStr">
        <is>
          <t>avverkningsanmälan</t>
        </is>
      </c>
      <c r="C112" t="inlineStr">
        <is>
          <t>Föryngringsavverkning</t>
        </is>
      </c>
      <c r="D112" s="1" t="n">
        <v>46062</v>
      </c>
      <c r="E112" s="1" t="n">
        <v>46296</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32550-2026</t>
        </is>
      </c>
      <c r="B113" t="inlineStr">
        <is>
          <t>avverkningsanmälan</t>
        </is>
      </c>
      <c r="C113" t="inlineStr">
        <is>
          <t>Föryngringsavverkning</t>
        </is>
      </c>
      <c r="D113" s="1" t="n">
        <v>46239</v>
      </c>
      <c r="E113" s="1" t="n">
        <v>46296</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6218-2026</t>
        </is>
      </c>
      <c r="B114" t="inlineStr">
        <is>
          <t>avverkningsanmälan</t>
        </is>
      </c>
      <c r="C114" t="inlineStr">
        <is>
          <t>Föryngringsavverkning</t>
        </is>
      </c>
      <c r="D114" s="1" t="n">
        <v>46055</v>
      </c>
      <c r="E114" s="1" t="n">
        <v>46296</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38832-2026</t>
        </is>
      </c>
      <c r="B115" t="inlineStr">
        <is>
          <t>avverkningsanmälan</t>
        </is>
      </c>
      <c r="C115" t="inlineStr">
        <is>
          <t>Föryngringsavverkning</t>
        </is>
      </c>
      <c r="D115" s="1" t="n">
        <v>46286</v>
      </c>
      <c r="E115" s="1" t="n">
        <v>46296</v>
      </c>
      <c r="F115" t="inlineStr">
        <is>
          <t>GOTLANDS LÄN</t>
        </is>
      </c>
      <c r="G115" t="inlineStr">
        <is>
          <t>GOTLAND</t>
        </is>
      </c>
      <c r="I115" t="n">
        <v>6</v>
      </c>
      <c r="J115" t="n">
        <v>2</v>
      </c>
      <c r="K115" t="n">
        <v>0</v>
      </c>
      <c r="L115" t="n">
        <v>2</v>
      </c>
      <c r="M115" t="n">
        <v>1</v>
      </c>
      <c r="N115" t="n">
        <v>0</v>
      </c>
      <c r="O115" t="n">
        <v>0</v>
      </c>
      <c r="P115" t="n">
        <v>0</v>
      </c>
      <c r="Q115" t="n">
        <v>3</v>
      </c>
      <c r="R115" t="n">
        <v>1</v>
      </c>
      <c r="S115" t="n">
        <v>4</v>
      </c>
      <c r="T115" t="n">
        <v>6</v>
      </c>
      <c r="U115" t="n">
        <v>5</v>
      </c>
      <c r="V115" s="2" t="inlineStr">
        <is>
          <t>Igelkott
Kattfotslav
Mindre hackspett
Stjärtmes</t>
        </is>
      </c>
      <c r="W115">
        <f>HYPERLINK("https://klasma.github.io/Logging_0980/artfynd/A 38832-2026 artfynd.xlsx", "A 38832-2026")</f>
        <v/>
      </c>
      <c r="X115">
        <f>HYPERLINK("https://klasma.github.io/Logging_0980/kartor/A 38832-2026 karta.png", "A 38832-2026")</f>
        <v/>
      </c>
      <c r="Y115">
        <f>HYPERLINK("https://klasma.github.io/Logging_0980/kartor_geotiff/A 38832-2026 georefererad karta.tif", "A 38832-2026")</f>
        <v/>
      </c>
      <c r="AA115">
        <f>HYPERLINK("https://klasma.github.io/Logging_0980/klagomål/A 38832-2026 FSC-klagomål.docx", "A 38832-2026")</f>
        <v/>
      </c>
      <c r="AB115">
        <f>HYPERLINK("https://klasma.github.io/Logging_0980/klagomålsmail/A 38832-2026 FSC-klagomål mail.docx", "A 38832-2026")</f>
        <v/>
      </c>
      <c r="AC115">
        <f>HYPERLINK("https://klasma.github.io/Logging_0980/tillsyn/A 38832-2026 tillsynsbegäran.docx", "A 38832-2026")</f>
        <v/>
      </c>
      <c r="AD115">
        <f>HYPERLINK("https://klasma.github.io/Logging_0980/tillsynsmail/A 38832-2026 tillsynsbegäran mail.docx", "A 38832-2026")</f>
        <v/>
      </c>
      <c r="AE115">
        <f>HYPERLINK("https://klasma.github.io/Logging_0980/fåglar/A 38832-2026 prioriterade fågelarter.docx", "A 38832-2026")</f>
        <v/>
      </c>
    </row>
    <row r="116" ht="15" customHeight="1">
      <c r="A116" t="inlineStr">
        <is>
          <t>A 43013-2022</t>
        </is>
      </c>
      <c r="B116" t="inlineStr">
        <is>
          <t>avverkningsanmälan</t>
        </is>
      </c>
      <c r="C116" t="inlineStr">
        <is>
          <t>Föryngringsavverkning</t>
        </is>
      </c>
      <c r="D116" s="1" t="n">
        <v>44833</v>
      </c>
      <c r="E116" s="1" t="n">
        <v>46296</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65927-2021</t>
        </is>
      </c>
      <c r="B117" t="inlineStr">
        <is>
          <t>avverkningsanmälan</t>
        </is>
      </c>
      <c r="C117" t="inlineStr">
        <is>
          <t>Föryngringsavverkning</t>
        </is>
      </c>
      <c r="D117" s="1" t="n">
        <v>44516</v>
      </c>
      <c r="E117" s="1" t="n">
        <v>46296</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61561-2023</t>
        </is>
      </c>
      <c r="B118" t="inlineStr">
        <is>
          <t>avverkningsanmälan</t>
        </is>
      </c>
      <c r="C118" t="inlineStr">
        <is>
          <t>Föryngringsavverkning</t>
        </is>
      </c>
      <c r="D118" s="1" t="n">
        <v>45265</v>
      </c>
      <c r="E118" s="1" t="n">
        <v>46296</v>
      </c>
      <c r="F118" t="inlineStr">
        <is>
          <t>GOTLANDS LÄN</t>
        </is>
      </c>
      <c r="G118" t="inlineStr">
        <is>
          <t>GOTLAND</t>
        </is>
      </c>
      <c r="I118" t="n">
        <v>7.4</v>
      </c>
      <c r="J118" t="n">
        <v>0</v>
      </c>
      <c r="K118" t="n">
        <v>0</v>
      </c>
      <c r="L118" t="n">
        <v>3</v>
      </c>
      <c r="M118" t="n">
        <v>0</v>
      </c>
      <c r="N118" t="n">
        <v>0</v>
      </c>
      <c r="O118" t="n">
        <v>0</v>
      </c>
      <c r="P118" t="n">
        <v>0</v>
      </c>
      <c r="Q118" t="n">
        <v>3</v>
      </c>
      <c r="R118" t="n">
        <v>0</v>
      </c>
      <c r="S118" t="n">
        <v>3</v>
      </c>
      <c r="T118" t="n">
        <v>3</v>
      </c>
      <c r="U118" t="n">
        <v>1</v>
      </c>
      <c r="V118" s="2" t="inlineStr">
        <is>
          <t>Jordtistel
Loppstarr
Solvända</t>
        </is>
      </c>
      <c r="W118">
        <f>HYPERLINK("https://klasma.github.io/Logging_0980/artfynd/A 61561-2023 artfynd.xlsx", "A 61561-2023")</f>
        <v/>
      </c>
      <c r="X118">
        <f>HYPERLINK("https://klasma.github.io/Logging_0980/kartor/A 61561-2023 karta.png", "A 61561-2023")</f>
        <v/>
      </c>
      <c r="Y118">
        <f>HYPERLINK("https://klasma.github.io/Logging_0980/kartor_geotiff/A 61561-2023 georefererad karta.tif", "A 61561-2023")</f>
        <v/>
      </c>
      <c r="AA118">
        <f>HYPERLINK("https://klasma.github.io/Logging_0980/klagomål/A 61561-2023 FSC-klagomål.docx", "A 61561-2023")</f>
        <v/>
      </c>
      <c r="AB118">
        <f>HYPERLINK("https://klasma.github.io/Logging_0980/klagomålsmail/A 61561-2023 FSC-klagomål mail.docx", "A 61561-2023")</f>
        <v/>
      </c>
      <c r="AC118">
        <f>HYPERLINK("https://klasma.github.io/Logging_0980/tillsyn/A 61561-2023 tillsynsbegäran.docx", "A 61561-2023")</f>
        <v/>
      </c>
      <c r="AD118">
        <f>HYPERLINK("https://klasma.github.io/Logging_0980/tillsynsmail/A 61561-2023 tillsynsbegäran mail.docx", "A 61561-2023")</f>
        <v/>
      </c>
    </row>
    <row r="119" ht="15" customHeight="1">
      <c r="A119" t="inlineStr">
        <is>
          <t>A 12315-2024</t>
        </is>
      </c>
      <c r="B119" t="inlineStr">
        <is>
          <t>avverkningsanmälan</t>
        </is>
      </c>
      <c r="C119" t="inlineStr">
        <is>
          <t>Föryngringsavverkning</t>
        </is>
      </c>
      <c r="D119" s="1" t="n">
        <v>45378</v>
      </c>
      <c r="E119" s="1" t="n">
        <v>46296</v>
      </c>
      <c r="F119" t="inlineStr">
        <is>
          <t>GOTLANDS LÄN</t>
        </is>
      </c>
      <c r="G119" t="inlineStr">
        <is>
          <t>GOTLAND</t>
        </is>
      </c>
      <c r="I119" t="n">
        <v>6</v>
      </c>
      <c r="J119" t="n">
        <v>3</v>
      </c>
      <c r="K119" t="n">
        <v>1</v>
      </c>
      <c r="L119" t="n">
        <v>0</v>
      </c>
      <c r="M119" t="n">
        <v>0</v>
      </c>
      <c r="N119" t="n">
        <v>0</v>
      </c>
      <c r="O119" t="n">
        <v>0</v>
      </c>
      <c r="P119" t="n">
        <v>0</v>
      </c>
      <c r="Q119" t="n">
        <v>0</v>
      </c>
      <c r="R119" t="n">
        <v>0</v>
      </c>
      <c r="S119" t="n">
        <v>3</v>
      </c>
      <c r="T119" t="n">
        <v>3</v>
      </c>
      <c r="U119" t="n">
        <v>3</v>
      </c>
      <c r="V119" s="2" t="inlineStr">
        <is>
          <t>Tvåblad
Buskskvätta
Fläcknycklar</t>
        </is>
      </c>
      <c r="W119">
        <f>HYPERLINK("https://klasma.github.io/Logging_0980/artfynd/A 12315-2024 artfynd.xlsx", "A 12315-2024")</f>
        <v/>
      </c>
      <c r="X119">
        <f>HYPERLINK("https://klasma.github.io/Logging_0980/kartor/A 12315-2024 karta.png", "A 12315-2024")</f>
        <v/>
      </c>
      <c r="Y119">
        <f>HYPERLINK("https://klasma.github.io/Logging_0980/kartor_geotiff/A 12315-2024 georefererad karta.tif", "A 12315-2024")</f>
        <v/>
      </c>
      <c r="AA119">
        <f>HYPERLINK("https://klasma.github.io/Logging_0980/klagomål/A 12315-2024 FSC-klagomål.docx", "A 12315-2024")</f>
        <v/>
      </c>
      <c r="AB119">
        <f>HYPERLINK("https://klasma.github.io/Logging_0980/klagomålsmail/A 12315-2024 FSC-klagomål mail.docx", "A 12315-2024")</f>
        <v/>
      </c>
      <c r="AC119">
        <f>HYPERLINK("https://klasma.github.io/Logging_0980/tillsyn/A 12315-2024 tillsynsbegäran.docx", "A 12315-2024")</f>
        <v/>
      </c>
      <c r="AD119">
        <f>HYPERLINK("https://klasma.github.io/Logging_0980/tillsynsmail/A 12315-2024 tillsynsbegäran mail.docx", "A 12315-2024")</f>
        <v/>
      </c>
    </row>
    <row r="120" ht="15" customHeight="1">
      <c r="A120" t="inlineStr">
        <is>
          <t>A 63576-2021</t>
        </is>
      </c>
      <c r="B120" t="inlineStr">
        <is>
          <t>avverkningsanmälan</t>
        </is>
      </c>
      <c r="C120" t="inlineStr">
        <is>
          <t>Föryngringsavverkning</t>
        </is>
      </c>
      <c r="D120" s="1" t="n">
        <v>44508</v>
      </c>
      <c r="E120" s="1" t="n">
        <v>46296</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49411-2023</t>
        </is>
      </c>
      <c r="B121" t="inlineStr">
        <is>
          <t>avverkningsanmälan</t>
        </is>
      </c>
      <c r="C121" t="inlineStr">
        <is>
          <t>Föryngringsavverkning</t>
        </is>
      </c>
      <c r="D121" s="1" t="n">
        <v>45205</v>
      </c>
      <c r="E121" s="1" t="n">
        <v>46296</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46296</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10440-2024</t>
        </is>
      </c>
      <c r="B123" t="inlineStr">
        <is>
          <t>avverkningsanmälan</t>
        </is>
      </c>
      <c r="C123" t="inlineStr">
        <is>
          <t>Föryngringsavverkning</t>
        </is>
      </c>
      <c r="D123" s="1" t="n">
        <v>45366</v>
      </c>
      <c r="E123" s="1" t="n">
        <v>46296</v>
      </c>
      <c r="F123" t="inlineStr">
        <is>
          <t>GOTLANDS LÄN</t>
        </is>
      </c>
      <c r="G123" t="inlineStr">
        <is>
          <t>GOTLAND</t>
        </is>
      </c>
      <c r="I123" t="n">
        <v>2.5</v>
      </c>
      <c r="J123" t="n">
        <v>2</v>
      </c>
      <c r="K123" t="n">
        <v>1</v>
      </c>
      <c r="L123" t="n">
        <v>1</v>
      </c>
      <c r="M123" t="n">
        <v>0</v>
      </c>
      <c r="N123" t="n">
        <v>0</v>
      </c>
      <c r="O123" t="n">
        <v>0</v>
      </c>
      <c r="P123" t="n">
        <v>0</v>
      </c>
      <c r="Q123" t="n">
        <v>1</v>
      </c>
      <c r="R123" t="n">
        <v>0</v>
      </c>
      <c r="S123" t="n">
        <v>3</v>
      </c>
      <c r="T123" t="n">
        <v>5</v>
      </c>
      <c r="U123" t="n">
        <v>5</v>
      </c>
      <c r="V123" s="2" t="inlineStr">
        <is>
          <t>Mindre hackspett
Blåmossa
Blåsippa</t>
        </is>
      </c>
      <c r="W123">
        <f>HYPERLINK("https://klasma.github.io/Logging_0980/artfynd/A 10440-2024 artfynd.xlsx", "A 10440-2024")</f>
        <v/>
      </c>
      <c r="X123">
        <f>HYPERLINK("https://klasma.github.io/Logging_0980/kartor/A 10440-2024 karta.png", "A 10440-2024")</f>
        <v/>
      </c>
      <c r="Y123">
        <f>HYPERLINK("https://klasma.github.io/Logging_0980/kartor_geotiff/A 10440-2024 georefererad karta.tif", "A 10440-2024")</f>
        <v/>
      </c>
      <c r="AA123">
        <f>HYPERLINK("https://klasma.github.io/Logging_0980/klagomål/A 10440-2024 FSC-klagomål.docx", "A 10440-2024")</f>
        <v/>
      </c>
      <c r="AB123">
        <f>HYPERLINK("https://klasma.github.io/Logging_0980/klagomålsmail/A 10440-2024 FSC-klagomål mail.docx", "A 10440-2024")</f>
        <v/>
      </c>
      <c r="AC123">
        <f>HYPERLINK("https://klasma.github.io/Logging_0980/tillsyn/A 10440-2024 tillsynsbegäran.docx", "A 10440-2024")</f>
        <v/>
      </c>
      <c r="AD123">
        <f>HYPERLINK("https://klasma.github.io/Logging_0980/tillsynsmail/A 10440-2024 tillsynsbegäran mail.docx", "A 10440-2024")</f>
        <v/>
      </c>
      <c r="AE123">
        <f>HYPERLINK("https://klasma.github.io/Logging_0980/fåglar/A 10440-2024 prioriterade fågelarter.docx", "A 10440-2024")</f>
        <v/>
      </c>
    </row>
    <row r="124" ht="15" customHeight="1">
      <c r="A124" t="inlineStr">
        <is>
          <t>A 13499-2022</t>
        </is>
      </c>
      <c r="B124" t="inlineStr">
        <is>
          <t>avverkningsanmälan</t>
        </is>
      </c>
      <c r="C124" t="inlineStr">
        <is>
          <t>Föryngringsavverkning</t>
        </is>
      </c>
      <c r="D124" s="1" t="n">
        <v>44647</v>
      </c>
      <c r="E124" s="1" t="n">
        <v>46296</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2476-2025</t>
        </is>
      </c>
      <c r="B125" t="inlineStr">
        <is>
          <t>avverkningsanmälan</t>
        </is>
      </c>
      <c r="C125" t="inlineStr">
        <is>
          <t>Föryngringsavverkning</t>
        </is>
      </c>
      <c r="D125" s="1" t="n">
        <v>45673</v>
      </c>
      <c r="E125" s="1" t="n">
        <v>46296</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35574-2024</t>
        </is>
      </c>
      <c r="B126" t="inlineStr">
        <is>
          <t>avverkningsanmälan</t>
        </is>
      </c>
      <c r="C126" t="inlineStr">
        <is>
          <t>Föryngringsavverkning</t>
        </is>
      </c>
      <c r="D126" s="1" t="n">
        <v>45531</v>
      </c>
      <c r="E126" s="1" t="n">
        <v>46296</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34312-2024</t>
        </is>
      </c>
      <c r="B127" t="inlineStr">
        <is>
          <t>avverkningsanmälan</t>
        </is>
      </c>
      <c r="C127" t="inlineStr">
        <is>
          <t>Föryngringsavverkning</t>
        </is>
      </c>
      <c r="D127" s="1" t="n">
        <v>45524</v>
      </c>
      <c r="E127" s="1" t="n">
        <v>46296</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43219-2023</t>
        </is>
      </c>
      <c r="B128" t="inlineStr">
        <is>
          <t>avverkningsanmälan</t>
        </is>
      </c>
      <c r="C128" t="inlineStr">
        <is>
          <t>Föryngringsavverkning</t>
        </is>
      </c>
      <c r="D128" s="1" t="n">
        <v>45183</v>
      </c>
      <c r="E128" s="1" t="n">
        <v>46296</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17982-2023</t>
        </is>
      </c>
      <c r="B129" t="inlineStr">
        <is>
          <t>avverkningsanmälan</t>
        </is>
      </c>
      <c r="C129" t="inlineStr">
        <is>
          <t>Avverkning för att bevara och utveckla /försöksver</t>
        </is>
      </c>
      <c r="D129" s="1" t="n">
        <v>45040</v>
      </c>
      <c r="E129" s="1" t="n">
        <v>46296</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19322-2026</t>
        </is>
      </c>
      <c r="B130" t="inlineStr">
        <is>
          <t>avverkningsanmälan</t>
        </is>
      </c>
      <c r="C130" t="inlineStr">
        <is>
          <t>Avverkning för annat ändamål</t>
        </is>
      </c>
      <c r="D130" s="1" t="n">
        <v>46129</v>
      </c>
      <c r="E130" s="1" t="n">
        <v>46296</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26992-2026</t>
        </is>
      </c>
      <c r="B131" t="inlineStr">
        <is>
          <t>avverkningsanmälan</t>
        </is>
      </c>
      <c r="C131" t="inlineStr">
        <is>
          <t>Föryngringsavverkning</t>
        </is>
      </c>
      <c r="D131" s="1" t="n">
        <v>46185</v>
      </c>
      <c r="E131" s="1" t="n">
        <v>46296</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5909-2025</t>
        </is>
      </c>
      <c r="B132" t="inlineStr">
        <is>
          <t>avverkningsanmälan</t>
        </is>
      </c>
      <c r="C132" t="inlineStr">
        <is>
          <t>Föryngringsavverkning</t>
        </is>
      </c>
      <c r="D132" s="1" t="n">
        <v>45695</v>
      </c>
      <c r="E132" s="1" t="n">
        <v>46296</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44207-2022</t>
        </is>
      </c>
      <c r="B133" t="inlineStr">
        <is>
          <t>avverkningsanmälan</t>
        </is>
      </c>
      <c r="C133" t="inlineStr">
        <is>
          <t>Föryngringsavverkning</t>
        </is>
      </c>
      <c r="D133" s="1" t="n">
        <v>44839</v>
      </c>
      <c r="E133" s="1" t="n">
        <v>46296</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46296</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28261-2024</t>
        </is>
      </c>
      <c r="B135" t="inlineStr">
        <is>
          <t>avverkningsanmälan</t>
        </is>
      </c>
      <c r="C135" t="inlineStr">
        <is>
          <t>Avverkning för annat ändamål</t>
        </is>
      </c>
      <c r="D135" s="1" t="n">
        <v>45477</v>
      </c>
      <c r="E135" s="1" t="n">
        <v>46296</v>
      </c>
      <c r="F135" t="inlineStr">
        <is>
          <t>GOTLANDS LÄN</t>
        </is>
      </c>
      <c r="G135" t="inlineStr">
        <is>
          <t>GOTLAND</t>
        </is>
      </c>
      <c r="I135" t="n">
        <v>22.8</v>
      </c>
      <c r="J135" t="n">
        <v>0</v>
      </c>
      <c r="K135" t="n">
        <v>0</v>
      </c>
      <c r="L135" t="n">
        <v>2</v>
      </c>
      <c r="M135" t="n">
        <v>0</v>
      </c>
      <c r="N135" t="n">
        <v>0</v>
      </c>
      <c r="O135" t="n">
        <v>0</v>
      </c>
      <c r="P135" t="n">
        <v>0</v>
      </c>
      <c r="Q135" t="n">
        <v>2</v>
      </c>
      <c r="R135" t="n">
        <v>0</v>
      </c>
      <c r="S135" t="n">
        <v>2</v>
      </c>
      <c r="T135" t="n">
        <v>4</v>
      </c>
      <c r="U135" t="n">
        <v>4</v>
      </c>
      <c r="V135" s="2" t="inlineStr">
        <is>
          <t>Grådådra
Åkerkulla</t>
        </is>
      </c>
      <c r="W135">
        <f>HYPERLINK("https://klasma.github.io/Logging_0980/artfynd/A 28261-2024 artfynd.xlsx", "A 28261-2024")</f>
        <v/>
      </c>
      <c r="X135">
        <f>HYPERLINK("https://klasma.github.io/Logging_0980/kartor/A 28261-2024 karta.png", "A 28261-2024")</f>
        <v/>
      </c>
      <c r="Y135">
        <f>HYPERLINK("https://klasma.github.io/Logging_0980/kartor_geotiff/A 28261-2024 georefererad karta.tif", "A 28261-2024")</f>
        <v/>
      </c>
      <c r="AA135">
        <f>HYPERLINK("https://klasma.github.io/Logging_0980/klagomål/A 28261-2024 FSC-klagomål.docx", "A 28261-2024")</f>
        <v/>
      </c>
      <c r="AB135">
        <f>HYPERLINK("https://klasma.github.io/Logging_0980/klagomålsmail/A 28261-2024 FSC-klagomål mail.docx", "A 28261-2024")</f>
        <v/>
      </c>
      <c r="AC135">
        <f>HYPERLINK("https://klasma.github.io/Logging_0980/tillsyn/A 28261-2024 tillsynsbegäran.docx", "A 28261-2024")</f>
        <v/>
      </c>
      <c r="AD135">
        <f>HYPERLINK("https://klasma.github.io/Logging_0980/tillsynsmail/A 28261-2024 tillsynsbegäran mail.docx", "A 28261-2024")</f>
        <v/>
      </c>
    </row>
    <row r="136" ht="15" customHeight="1">
      <c r="A136" t="inlineStr">
        <is>
          <t>A 20218-2022</t>
        </is>
      </c>
      <c r="B136" t="inlineStr">
        <is>
          <t>avverkningsanmälan</t>
        </is>
      </c>
      <c r="C136" t="inlineStr">
        <is>
          <t>Föryngringsavverkning</t>
        </is>
      </c>
      <c r="D136" s="1" t="n">
        <v>44698</v>
      </c>
      <c r="E136" s="1" t="n">
        <v>46296</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7070-2022</t>
        </is>
      </c>
      <c r="B137" t="inlineStr">
        <is>
          <t>avverkningsanmälan</t>
        </is>
      </c>
      <c r="C137" t="inlineStr">
        <is>
          <t>Föryngringsavverkning</t>
        </is>
      </c>
      <c r="D137" s="1" t="n">
        <v>44603</v>
      </c>
      <c r="E137" s="1" t="n">
        <v>46296</v>
      </c>
      <c r="F137" t="inlineStr">
        <is>
          <t>GOTLANDS LÄN</t>
        </is>
      </c>
      <c r="G137" t="inlineStr">
        <is>
          <t>GOTLAND</t>
        </is>
      </c>
      <c r="I137" t="n">
        <v>2.6</v>
      </c>
      <c r="J137" t="n">
        <v>0</v>
      </c>
      <c r="K137" t="n">
        <v>1</v>
      </c>
      <c r="L137" t="n">
        <v>1</v>
      </c>
      <c r="M137" t="n">
        <v>0</v>
      </c>
      <c r="N137" t="n">
        <v>0</v>
      </c>
      <c r="O137" t="n">
        <v>0</v>
      </c>
      <c r="P137" t="n">
        <v>0</v>
      </c>
      <c r="Q137" t="n">
        <v>1</v>
      </c>
      <c r="R137" t="n">
        <v>0</v>
      </c>
      <c r="S137" t="n">
        <v>2</v>
      </c>
      <c r="T137" t="n">
        <v>2</v>
      </c>
      <c r="U137" t="n">
        <v>0</v>
      </c>
      <c r="V137" s="2" t="inlineStr">
        <is>
          <t>Kattfotslav
Blåmossa</t>
        </is>
      </c>
      <c r="W137">
        <f>HYPERLINK("https://klasma.github.io/Logging_0980/artfynd/A 7070-2022 artfynd.xlsx", "A 7070-2022")</f>
        <v/>
      </c>
      <c r="X137">
        <f>HYPERLINK("https://klasma.github.io/Logging_0980/kartor/A 7070-2022 karta.png", "A 7070-2022")</f>
        <v/>
      </c>
      <c r="Y137">
        <f>HYPERLINK("https://klasma.github.io/Logging_0980/kartor_geotiff/A 7070-2022 georefererad karta.tif", "A 7070-2022")</f>
        <v/>
      </c>
      <c r="AA137">
        <f>HYPERLINK("https://klasma.github.io/Logging_0980/klagomål/A 7070-2022 FSC-klagomål.docx", "A 7070-2022")</f>
        <v/>
      </c>
      <c r="AB137">
        <f>HYPERLINK("https://klasma.github.io/Logging_0980/klagomålsmail/A 7070-2022 FSC-klagomål mail.docx", "A 7070-2022")</f>
        <v/>
      </c>
      <c r="AC137">
        <f>HYPERLINK("https://klasma.github.io/Logging_0980/tillsyn/A 7070-2022 tillsynsbegäran.docx", "A 7070-2022")</f>
        <v/>
      </c>
      <c r="AD137">
        <f>HYPERLINK("https://klasma.github.io/Logging_0980/tillsynsmail/A 7070-2022 tillsynsbegäran mail.docx", "A 7070-2022")</f>
        <v/>
      </c>
    </row>
    <row r="138" ht="15" customHeight="1">
      <c r="A138" t="inlineStr">
        <is>
          <t>A 27589-2023</t>
        </is>
      </c>
      <c r="B138" t="inlineStr">
        <is>
          <t>avverkningsanmälan</t>
        </is>
      </c>
      <c r="C138" t="inlineStr">
        <is>
          <t>Avverkning för annat ändamål</t>
        </is>
      </c>
      <c r="D138" s="1" t="n">
        <v>45097</v>
      </c>
      <c r="E138" s="1" t="n">
        <v>46296</v>
      </c>
      <c r="F138" t="inlineStr">
        <is>
          <t>GOTLANDS LÄN</t>
        </is>
      </c>
      <c r="G138" t="inlineStr">
        <is>
          <t>GOTLAND</t>
        </is>
      </c>
      <c r="I138" t="n">
        <v>5.4</v>
      </c>
      <c r="J138" t="n">
        <v>0</v>
      </c>
      <c r="K138" t="n">
        <v>1</v>
      </c>
      <c r="L138" t="n">
        <v>0</v>
      </c>
      <c r="M138" t="n">
        <v>0</v>
      </c>
      <c r="N138" t="n">
        <v>1</v>
      </c>
      <c r="O138" t="n">
        <v>0</v>
      </c>
      <c r="P138" t="n">
        <v>0</v>
      </c>
      <c r="Q138" t="n">
        <v>1</v>
      </c>
      <c r="R138" t="n">
        <v>1</v>
      </c>
      <c r="S138" t="n">
        <v>2</v>
      </c>
      <c r="T138" t="n">
        <v>2</v>
      </c>
      <c r="U138" t="n">
        <v>2</v>
      </c>
      <c r="V138" s="2" t="inlineStr">
        <is>
          <t>Skogsalm
Underviol</t>
        </is>
      </c>
      <c r="W138">
        <f>HYPERLINK("https://klasma.github.io/Logging_0980/artfynd/A 27589-2023 artfynd.xlsx", "A 27589-2023")</f>
        <v/>
      </c>
      <c r="X138">
        <f>HYPERLINK("https://klasma.github.io/Logging_0980/kartor/A 27589-2023 karta.png", "A 27589-2023")</f>
        <v/>
      </c>
      <c r="Y138">
        <f>HYPERLINK("https://klasma.github.io/Logging_0980/kartor_geotiff/A 27589-2023 georefererad karta.tif", "A 27589-2023")</f>
        <v/>
      </c>
      <c r="AA138">
        <f>HYPERLINK("https://klasma.github.io/Logging_0980/klagomål/A 27589-2023 FSC-klagomål.docx", "A 27589-2023")</f>
        <v/>
      </c>
      <c r="AB138">
        <f>HYPERLINK("https://klasma.github.io/Logging_0980/klagomålsmail/A 27589-2023 FSC-klagomål mail.docx", "A 27589-2023")</f>
        <v/>
      </c>
      <c r="AC138">
        <f>HYPERLINK("https://klasma.github.io/Logging_0980/tillsyn/A 27589-2023 tillsynsbegäran.docx", "A 27589-2023")</f>
        <v/>
      </c>
      <c r="AD138">
        <f>HYPERLINK("https://klasma.github.io/Logging_0980/tillsynsmail/A 27589-2023 tillsynsbegäran mail.docx", "A 27589-2023")</f>
        <v/>
      </c>
    </row>
    <row r="139" ht="15" customHeight="1">
      <c r="A139" t="inlineStr">
        <is>
          <t>A 1010-2024</t>
        </is>
      </c>
      <c r="B139" t="inlineStr">
        <is>
          <t>avverkningsanmälan</t>
        </is>
      </c>
      <c r="C139" t="inlineStr">
        <is>
          <t>Föryngringsavverkning</t>
        </is>
      </c>
      <c r="D139" s="1" t="n">
        <v>45301</v>
      </c>
      <c r="E139" s="1" t="n">
        <v>46296</v>
      </c>
      <c r="F139" t="inlineStr">
        <is>
          <t>GOTLANDS LÄN</t>
        </is>
      </c>
      <c r="G139" t="inlineStr">
        <is>
          <t>GOTLAND</t>
        </is>
      </c>
      <c r="I139" t="n">
        <v>2.4</v>
      </c>
      <c r="J139" t="n">
        <v>0</v>
      </c>
      <c r="K139" t="n">
        <v>2</v>
      </c>
      <c r="L139" t="n">
        <v>0</v>
      </c>
      <c r="M139" t="n">
        <v>0</v>
      </c>
      <c r="N139" t="n">
        <v>0</v>
      </c>
      <c r="O139" t="n">
        <v>0</v>
      </c>
      <c r="P139" t="n">
        <v>0</v>
      </c>
      <c r="Q139" t="n">
        <v>0</v>
      </c>
      <c r="R139" t="n">
        <v>0</v>
      </c>
      <c r="S139" t="n">
        <v>2</v>
      </c>
      <c r="T139" t="n">
        <v>2</v>
      </c>
      <c r="U139" t="n">
        <v>0</v>
      </c>
      <c r="V139" s="2" t="inlineStr">
        <is>
          <t>Anisspindling
Diskvaxskivling</t>
        </is>
      </c>
      <c r="W139">
        <f>HYPERLINK("https://klasma.github.io/Logging_0980/artfynd/A 1010-2024 artfynd.xlsx", "A 1010-2024")</f>
        <v/>
      </c>
      <c r="X139">
        <f>HYPERLINK("https://klasma.github.io/Logging_0980/kartor/A 1010-2024 karta.png", "A 1010-2024")</f>
        <v/>
      </c>
      <c r="Y139">
        <f>HYPERLINK("https://klasma.github.io/Logging_0980/kartor_geotiff/A 1010-2024 georefererad karta.tif", "A 1010-2024")</f>
        <v/>
      </c>
      <c r="AA139">
        <f>HYPERLINK("https://klasma.github.io/Logging_0980/klagomål/A 1010-2024 FSC-klagomål.docx", "A 1010-2024")</f>
        <v/>
      </c>
      <c r="AB139">
        <f>HYPERLINK("https://klasma.github.io/Logging_0980/klagomålsmail/A 1010-2024 FSC-klagomål mail.docx", "A 1010-2024")</f>
        <v/>
      </c>
      <c r="AC139">
        <f>HYPERLINK("https://klasma.github.io/Logging_0980/tillsyn/A 1010-2024 tillsynsbegäran.docx", "A 1010-2024")</f>
        <v/>
      </c>
      <c r="AD139">
        <f>HYPERLINK("https://klasma.github.io/Logging_0980/tillsynsmail/A 1010-2024 tillsynsbegäran mail.docx", "A 1010-2024")</f>
        <v/>
      </c>
    </row>
    <row r="140" ht="15" customHeight="1">
      <c r="A140" t="inlineStr">
        <is>
          <t>A 28276-2024</t>
        </is>
      </c>
      <c r="B140" t="inlineStr">
        <is>
          <t>avverkningsanmälan</t>
        </is>
      </c>
      <c r="C140" t="inlineStr">
        <is>
          <t>Avverkning för annat ändamål</t>
        </is>
      </c>
      <c r="D140" s="1" t="n">
        <v>45477</v>
      </c>
      <c r="E140" s="1" t="n">
        <v>46296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28276-2024 artfynd.xlsx", "A 28276-2024")</f>
        <v/>
      </c>
      <c r="X140">
        <f>HYPERLINK("https://klasma.github.io/Logging_0980/kartor/A 28276-2024 karta.png", "A 28276-2024")</f>
        <v/>
      </c>
      <c r="Y140">
        <f>HYPERLINK("https://klasma.github.io/Logging_0980/kartor_geotiff/A 28276-2024 georefererad karta.tif", "A 28276-2024")</f>
        <v/>
      </c>
      <c r="AA140">
        <f>HYPERLINK("https://klasma.github.io/Logging_0980/klagomål/A 28276-2024 FSC-klagomål.docx", "A 28276-2024")</f>
        <v/>
      </c>
      <c r="AB140">
        <f>HYPERLINK("https://klasma.github.io/Logging_0980/klagomålsmail/A 28276-2024 FSC-klagomål mail.docx", "A 28276-2024")</f>
        <v/>
      </c>
      <c r="AC140">
        <f>HYPERLINK("https://klasma.github.io/Logging_0980/tillsyn/A 28276-2024 tillsynsbegäran.docx", "A 28276-2024")</f>
        <v/>
      </c>
      <c r="AD140">
        <f>HYPERLINK("https://klasma.github.io/Logging_0980/tillsynsmail/A 28276-2024 tillsynsbegäran mail.docx", "A 28276-2024")</f>
        <v/>
      </c>
    </row>
    <row r="141" ht="15" customHeight="1">
      <c r="A141" t="inlineStr">
        <is>
          <t>A 26077-2024</t>
        </is>
      </c>
      <c r="B141" t="inlineStr">
        <is>
          <t>avverkningsanmälan</t>
        </is>
      </c>
      <c r="C141" t="inlineStr">
        <is>
          <t>Avverkning för annat ändamål</t>
        </is>
      </c>
      <c r="D141" s="1" t="n">
        <v>45467</v>
      </c>
      <c r="E141" s="1" t="n">
        <v>46296</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8036-2022</t>
        </is>
      </c>
      <c r="B142" t="inlineStr">
        <is>
          <t>avverkningsanmälan</t>
        </is>
      </c>
      <c r="C142" t="inlineStr">
        <is>
          <t>Föryngringsavverkning</t>
        </is>
      </c>
      <c r="D142" s="1" t="n">
        <v>44609</v>
      </c>
      <c r="E142" s="1" t="n">
        <v>46296</v>
      </c>
      <c r="F142" t="inlineStr">
        <is>
          <t>GOTLANDS LÄN</t>
        </is>
      </c>
      <c r="G142" t="inlineStr">
        <is>
          <t>GOTLAND</t>
        </is>
      </c>
      <c r="I142" t="n">
        <v>6.1</v>
      </c>
      <c r="J142" t="n">
        <v>2</v>
      </c>
      <c r="K142" t="n">
        <v>0</v>
      </c>
      <c r="L142" t="n">
        <v>1</v>
      </c>
      <c r="M142" t="n">
        <v>1</v>
      </c>
      <c r="N142" t="n">
        <v>0</v>
      </c>
      <c r="O142" t="n">
        <v>0</v>
      </c>
      <c r="P142" t="n">
        <v>0</v>
      </c>
      <c r="Q142" t="n">
        <v>2</v>
      </c>
      <c r="R142" t="n">
        <v>1</v>
      </c>
      <c r="S142" t="n">
        <v>2</v>
      </c>
      <c r="T142" t="n">
        <v>2</v>
      </c>
      <c r="U142" t="n">
        <v>2</v>
      </c>
      <c r="V142" s="2" t="inlineStr">
        <is>
          <t>Grönfink
Grönsångare</t>
        </is>
      </c>
      <c r="W142">
        <f>HYPERLINK("https://klasma.github.io/Logging_0980/artfynd/A 8036-2022 artfynd.xlsx", "A 8036-2022")</f>
        <v/>
      </c>
      <c r="X142">
        <f>HYPERLINK("https://klasma.github.io/Logging_0980/kartor/A 8036-2022 karta.png", "A 8036-2022")</f>
        <v/>
      </c>
      <c r="Y142">
        <f>HYPERLINK("https://klasma.github.io/Logging_0980/kartor_geotiff/A 8036-2022 georefererad karta.tif", "A 8036-2022")</f>
        <v/>
      </c>
      <c r="AA142">
        <f>HYPERLINK("https://klasma.github.io/Logging_0980/klagomål/A 8036-2022 FSC-klagomål.docx", "A 8036-2022")</f>
        <v/>
      </c>
      <c r="AB142">
        <f>HYPERLINK("https://klasma.github.io/Logging_0980/klagomålsmail/A 8036-2022 FSC-klagomål mail.docx", "A 8036-2022")</f>
        <v/>
      </c>
      <c r="AC142">
        <f>HYPERLINK("https://klasma.github.io/Logging_0980/tillsyn/A 8036-2022 tillsynsbegäran.docx", "A 8036-2022")</f>
        <v/>
      </c>
      <c r="AD142">
        <f>HYPERLINK("https://klasma.github.io/Logging_0980/tillsynsmail/A 8036-2022 tillsynsbegäran mail.docx", "A 8036-2022")</f>
        <v/>
      </c>
      <c r="AE142">
        <f>HYPERLINK("https://klasma.github.io/Logging_0980/fåglar/A 8036-2022 prioriterade fågelarter.docx", "A 8036-2022")</f>
        <v/>
      </c>
    </row>
    <row r="143" ht="15" customHeight="1">
      <c r="A143" t="inlineStr">
        <is>
          <t>A 49314-2024</t>
        </is>
      </c>
      <c r="B143" t="inlineStr">
        <is>
          <t>avverkningsanmälan</t>
        </is>
      </c>
      <c r="C143" t="inlineStr">
        <is>
          <t>Föryngringsavverkning</t>
        </is>
      </c>
      <c r="D143" s="1" t="n">
        <v>45595</v>
      </c>
      <c r="E143" s="1" t="n">
        <v>46296</v>
      </c>
      <c r="F143" t="inlineStr">
        <is>
          <t>GOTLANDS LÄN</t>
        </is>
      </c>
      <c r="G143" t="inlineStr">
        <is>
          <t>GOTLAND</t>
        </is>
      </c>
      <c r="I143" t="n">
        <v>1.1</v>
      </c>
      <c r="J143" t="n">
        <v>0</v>
      </c>
      <c r="K143" t="n">
        <v>1</v>
      </c>
      <c r="L143" t="n">
        <v>0</v>
      </c>
      <c r="M143" t="n">
        <v>1</v>
      </c>
      <c r="N143" t="n">
        <v>0</v>
      </c>
      <c r="O143" t="n">
        <v>0</v>
      </c>
      <c r="P143" t="n">
        <v>0</v>
      </c>
      <c r="Q143" t="n">
        <v>1</v>
      </c>
      <c r="R143" t="n">
        <v>1</v>
      </c>
      <c r="S143" t="n">
        <v>2</v>
      </c>
      <c r="T143" t="n">
        <v>2</v>
      </c>
      <c r="U143" t="n">
        <v>2</v>
      </c>
      <c r="V143" s="2" t="inlineStr">
        <is>
          <t>Skogskorn
Underviol</t>
        </is>
      </c>
      <c r="W143">
        <f>HYPERLINK("https://klasma.github.io/Logging_0980/artfynd/A 49314-2024 artfynd.xlsx", "A 49314-2024")</f>
        <v/>
      </c>
      <c r="X143">
        <f>HYPERLINK("https://klasma.github.io/Logging_0980/kartor/A 49314-2024 karta.png", "A 49314-2024")</f>
        <v/>
      </c>
      <c r="Y143">
        <f>HYPERLINK("https://klasma.github.io/Logging_0980/kartor_geotiff/A 49314-2024 georefererad karta.tif", "A 49314-2024")</f>
        <v/>
      </c>
      <c r="AA143">
        <f>HYPERLINK("https://klasma.github.io/Logging_0980/klagomål/A 49314-2024 FSC-klagomål.docx", "A 49314-2024")</f>
        <v/>
      </c>
      <c r="AB143">
        <f>HYPERLINK("https://klasma.github.io/Logging_0980/klagomålsmail/A 49314-2024 FSC-klagomål mail.docx", "A 49314-2024")</f>
        <v/>
      </c>
      <c r="AC143">
        <f>HYPERLINK("https://klasma.github.io/Logging_0980/tillsyn/A 49314-2024 tillsynsbegäran.docx", "A 49314-2024")</f>
        <v/>
      </c>
      <c r="AD143">
        <f>HYPERLINK("https://klasma.github.io/Logging_0980/tillsynsmail/A 49314-2024 tillsynsbegäran mail.docx", "A 49314-2024")</f>
        <v/>
      </c>
    </row>
    <row r="144" ht="15" customHeight="1">
      <c r="A144" t="inlineStr">
        <is>
          <t>A 33011-2025</t>
        </is>
      </c>
      <c r="B144" t="inlineStr">
        <is>
          <t>avverkningsanmälan</t>
        </is>
      </c>
      <c r="C144" t="inlineStr">
        <is>
          <t>Föryngringsavverkning</t>
        </is>
      </c>
      <c r="D144" s="1" t="n">
        <v>45840</v>
      </c>
      <c r="E144" s="1" t="n">
        <v>46296</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46296</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46296</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883-2025</t>
        </is>
      </c>
      <c r="B147" t="inlineStr">
        <is>
          <t>avverkningsanmälan</t>
        </is>
      </c>
      <c r="C147" t="inlineStr">
        <is>
          <t>Föryngringsavverkning</t>
        </is>
      </c>
      <c r="D147" s="1" t="n">
        <v>45665</v>
      </c>
      <c r="E147" s="1" t="n">
        <v>46296</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30470-2026</t>
        </is>
      </c>
      <c r="B148" t="inlineStr">
        <is>
          <t>avverkningsanmälan</t>
        </is>
      </c>
      <c r="C148" t="inlineStr">
        <is>
          <t>Föryngringsavverkning</t>
        </is>
      </c>
      <c r="D148" s="1" t="n">
        <v>46209</v>
      </c>
      <c r="E148" s="1" t="n">
        <v>46296</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27621-2026</t>
        </is>
      </c>
      <c r="B149" t="inlineStr">
        <is>
          <t>avverkningsanmälan</t>
        </is>
      </c>
      <c r="C149" t="inlineStr">
        <is>
          <t>Föryngringsavverkning</t>
        </is>
      </c>
      <c r="D149" s="1" t="n">
        <v>46190</v>
      </c>
      <c r="E149" s="1" t="n">
        <v>46296</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S 3320-2023</t>
        </is>
      </c>
      <c r="B150" t="inlineStr">
        <is>
          <t>samrådsanmälan</t>
        </is>
      </c>
      <c r="C150" t="inlineStr">
        <is>
          <t>Annan skogsbruksåtgärd</t>
        </is>
      </c>
      <c r="D150" s="1" t="n">
        <v>45198</v>
      </c>
      <c r="E150" s="1" t="n">
        <v>46296</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46296</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46296</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46296</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44088-2022</t>
        </is>
      </c>
      <c r="B154" t="inlineStr">
        <is>
          <t>avverkningsanmälan</t>
        </is>
      </c>
      <c r="C154" t="inlineStr">
        <is>
          <t>Föryngringsavverkning</t>
        </is>
      </c>
      <c r="D154" s="1" t="n">
        <v>44839</v>
      </c>
      <c r="E154" s="1" t="n">
        <v>46296</v>
      </c>
      <c r="F154" t="inlineStr">
        <is>
          <t>GOTLANDS LÄN</t>
        </is>
      </c>
      <c r="G154" t="inlineStr">
        <is>
          <t>GOTLAND</t>
        </is>
      </c>
      <c r="I154" t="n">
        <v>1.5</v>
      </c>
      <c r="J154" t="n">
        <v>0</v>
      </c>
      <c r="K154" t="n">
        <v>1</v>
      </c>
      <c r="L154" t="n">
        <v>0</v>
      </c>
      <c r="M154" t="n">
        <v>0</v>
      </c>
      <c r="N154" t="n">
        <v>0</v>
      </c>
      <c r="O154" t="n">
        <v>0</v>
      </c>
      <c r="P154" t="n">
        <v>0</v>
      </c>
      <c r="Q154" t="n">
        <v>0</v>
      </c>
      <c r="R154" t="n">
        <v>0</v>
      </c>
      <c r="S154" t="n">
        <v>1</v>
      </c>
      <c r="T154" t="n">
        <v>1</v>
      </c>
      <c r="U154" t="n">
        <v>0</v>
      </c>
      <c r="V154" s="2" t="inlineStr">
        <is>
          <t>Strävlosta</t>
        </is>
      </c>
      <c r="W154">
        <f>HYPERLINK("https://klasma.github.io/Logging_0980/artfynd/A 44088-2022 artfynd.xlsx", "A 44088-2022")</f>
        <v/>
      </c>
      <c r="X154">
        <f>HYPERLINK("https://klasma.github.io/Logging_0980/kartor/A 44088-2022 karta.png", "A 44088-2022")</f>
        <v/>
      </c>
      <c r="Y154">
        <f>HYPERLINK("https://klasma.github.io/Logging_0980/kartor_geotiff/A 44088-2022 georefererad karta.tif", "A 44088-2022")</f>
        <v/>
      </c>
      <c r="AA154">
        <f>HYPERLINK("https://klasma.github.io/Logging_0980/klagomål/A 44088-2022 FSC-klagomål.docx", "A 44088-2022")</f>
        <v/>
      </c>
      <c r="AB154">
        <f>HYPERLINK("https://klasma.github.io/Logging_0980/klagomålsmail/A 44088-2022 FSC-klagomål mail.docx", "A 44088-2022")</f>
        <v/>
      </c>
      <c r="AC154">
        <f>HYPERLINK("https://klasma.github.io/Logging_0980/tillsyn/A 44088-2022 tillsynsbegäran.docx", "A 44088-2022")</f>
        <v/>
      </c>
      <c r="AD154">
        <f>HYPERLINK("https://klasma.github.io/Logging_0980/tillsynsmail/A 44088-2022 tillsynsbegäran mail.docx", "A 44088-2022")</f>
        <v/>
      </c>
    </row>
    <row r="155" ht="15" customHeight="1">
      <c r="A155" t="inlineStr">
        <is>
          <t>A 40294-2022</t>
        </is>
      </c>
      <c r="B155" t="inlineStr">
        <is>
          <t>avverkningsanmälan</t>
        </is>
      </c>
      <c r="C155" t="inlineStr">
        <is>
          <t>Föryngringsavverkning</t>
        </is>
      </c>
      <c r="D155" s="1" t="n">
        <v>44821</v>
      </c>
      <c r="E155" s="1" t="n">
        <v>46296</v>
      </c>
      <c r="F155" t="inlineStr">
        <is>
          <t>GOTLANDS LÄN</t>
        </is>
      </c>
      <c r="G155" t="inlineStr">
        <is>
          <t>GOTLAND</t>
        </is>
      </c>
      <c r="I155" t="n">
        <v>1.6</v>
      </c>
      <c r="J155" t="n">
        <v>0</v>
      </c>
      <c r="K155" t="n">
        <v>0</v>
      </c>
      <c r="L155" t="n">
        <v>0</v>
      </c>
      <c r="M155" t="n">
        <v>1</v>
      </c>
      <c r="N155" t="n">
        <v>0</v>
      </c>
      <c r="O155" t="n">
        <v>0</v>
      </c>
      <c r="P155" t="n">
        <v>0</v>
      </c>
      <c r="Q155" t="n">
        <v>1</v>
      </c>
      <c r="R155" t="n">
        <v>1</v>
      </c>
      <c r="S155" t="n">
        <v>1</v>
      </c>
      <c r="T155" t="n">
        <v>1</v>
      </c>
      <c r="U155" t="n">
        <v>1</v>
      </c>
      <c r="V155" s="2" t="inlineStr">
        <is>
          <t>Gotlandsmåra</t>
        </is>
      </c>
      <c r="W155">
        <f>HYPERLINK("https://klasma.github.io/Logging_0980/artfynd/A 40294-2022 artfynd.xlsx", "A 40294-2022")</f>
        <v/>
      </c>
      <c r="X155">
        <f>HYPERLINK("https://klasma.github.io/Logging_0980/kartor/A 40294-2022 karta.png", "A 40294-2022")</f>
        <v/>
      </c>
      <c r="Y155">
        <f>HYPERLINK("https://klasma.github.io/Logging_0980/kartor_geotiff/A 40294-2022 georefererad karta.tif", "A 40294-2022")</f>
        <v/>
      </c>
      <c r="AA155">
        <f>HYPERLINK("https://klasma.github.io/Logging_0980/klagomål/A 40294-2022 FSC-klagomål.docx", "A 40294-2022")</f>
        <v/>
      </c>
      <c r="AB155">
        <f>HYPERLINK("https://klasma.github.io/Logging_0980/klagomålsmail/A 40294-2022 FSC-klagomål mail.docx", "A 40294-2022")</f>
        <v/>
      </c>
      <c r="AC155">
        <f>HYPERLINK("https://klasma.github.io/Logging_0980/tillsyn/A 40294-2022 tillsynsbegäran.docx", "A 40294-2022")</f>
        <v/>
      </c>
      <c r="AD155">
        <f>HYPERLINK("https://klasma.github.io/Logging_0980/tillsynsmail/A 40294-2022 tillsynsbegäran mail.docx", "A 40294-2022")</f>
        <v/>
      </c>
    </row>
    <row r="156" ht="15" customHeight="1">
      <c r="A156" t="inlineStr">
        <is>
          <t>A 27602-2023</t>
        </is>
      </c>
      <c r="B156" t="inlineStr">
        <is>
          <t>avverkningsanmälan</t>
        </is>
      </c>
      <c r="C156" t="inlineStr">
        <is>
          <t>Avverkning för annat ändamål</t>
        </is>
      </c>
      <c r="D156" s="1" t="n">
        <v>45097</v>
      </c>
      <c r="E156" s="1" t="n">
        <v>46296</v>
      </c>
      <c r="F156" t="inlineStr">
        <is>
          <t>GOTLANDS LÄN</t>
        </is>
      </c>
      <c r="G156" t="inlineStr">
        <is>
          <t>GOTLAND</t>
        </is>
      </c>
      <c r="I156" t="n">
        <v>2.7</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HYPERLINK("https://klasma.github.io/Logging_0980/artfynd/A 27602-2023 artfynd.xlsx", "A 27602-2023")</f>
        <v/>
      </c>
      <c r="X156">
        <f>HYPERLINK("https://klasma.github.io/Logging_0980/kartor/A 27602-2023 karta.png", "A 27602-2023")</f>
        <v/>
      </c>
      <c r="Y156">
        <f>HYPERLINK("https://klasma.github.io/Logging_0980/kartor_geotiff/A 27602-2023 georefererad karta.tif", "A 27602-2023")</f>
        <v/>
      </c>
      <c r="AA156">
        <f>HYPERLINK("https://klasma.github.io/Logging_0980/klagomål/A 27602-2023 FSC-klagomål.docx", "A 27602-2023")</f>
        <v/>
      </c>
      <c r="AB156">
        <f>HYPERLINK("https://klasma.github.io/Logging_0980/klagomålsmail/A 27602-2023 FSC-klagomål mail.docx", "A 27602-2023")</f>
        <v/>
      </c>
      <c r="AC156">
        <f>HYPERLINK("https://klasma.github.io/Logging_0980/tillsyn/A 27602-2023 tillsynsbegäran.docx", "A 27602-2023")</f>
        <v/>
      </c>
      <c r="AD156">
        <f>HYPERLINK("https://klasma.github.io/Logging_0980/tillsynsmail/A 27602-2023 tillsynsbegäran mail.docx", "A 27602-2023")</f>
        <v/>
      </c>
    </row>
    <row r="157" ht="15" customHeight="1">
      <c r="A157" t="inlineStr">
        <is>
          <t>A 49847-2023</t>
        </is>
      </c>
      <c r="B157" t="inlineStr">
        <is>
          <t>avverkningsanmälan</t>
        </is>
      </c>
      <c r="C157" t="inlineStr">
        <is>
          <t>Föryngringsavverkning</t>
        </is>
      </c>
      <c r="D157" s="1" t="n">
        <v>45212</v>
      </c>
      <c r="E157" s="1" t="n">
        <v>46296</v>
      </c>
      <c r="F157" t="inlineStr">
        <is>
          <t>GOTLANDS LÄN</t>
        </is>
      </c>
      <c r="G157" t="inlineStr">
        <is>
          <t>GOTLAND</t>
        </is>
      </c>
      <c r="I157" t="n">
        <v>35.2</v>
      </c>
      <c r="J157" t="n">
        <v>0</v>
      </c>
      <c r="K157" t="n">
        <v>0</v>
      </c>
      <c r="L157" t="n">
        <v>0</v>
      </c>
      <c r="M157" t="n">
        <v>1</v>
      </c>
      <c r="N157" t="n">
        <v>0</v>
      </c>
      <c r="O157" t="n">
        <v>0</v>
      </c>
      <c r="P157" t="n">
        <v>0</v>
      </c>
      <c r="Q157" t="n">
        <v>1</v>
      </c>
      <c r="R157" t="n">
        <v>1</v>
      </c>
      <c r="S157" t="n">
        <v>1</v>
      </c>
      <c r="T157" t="n">
        <v>1</v>
      </c>
      <c r="U157" t="n">
        <v>1</v>
      </c>
      <c r="V157" s="2" t="inlineStr">
        <is>
          <t>Strandviol</t>
        </is>
      </c>
      <c r="W157">
        <f>HYPERLINK("https://klasma.github.io/Logging_0980/artfynd/A 49847-2023 artfynd.xlsx", "A 49847-2023")</f>
        <v/>
      </c>
      <c r="X157">
        <f>HYPERLINK("https://klasma.github.io/Logging_0980/kartor/A 49847-2023 karta.png", "A 49847-2023")</f>
        <v/>
      </c>
      <c r="Y157">
        <f>HYPERLINK("https://klasma.github.io/Logging_0980/kartor_geotiff/A 49847-2023 georefererad karta.tif", "A 49847-2023")</f>
        <v/>
      </c>
      <c r="AA157">
        <f>HYPERLINK("https://klasma.github.io/Logging_0980/klagomål/A 49847-2023 FSC-klagomål.docx", "A 49847-2023")</f>
        <v/>
      </c>
      <c r="AB157">
        <f>HYPERLINK("https://klasma.github.io/Logging_0980/klagomålsmail/A 49847-2023 FSC-klagomål mail.docx", "A 49847-2023")</f>
        <v/>
      </c>
      <c r="AC157">
        <f>HYPERLINK("https://klasma.github.io/Logging_0980/tillsyn/A 49847-2023 tillsynsbegäran.docx", "A 49847-2023")</f>
        <v/>
      </c>
      <c r="AD157">
        <f>HYPERLINK("https://klasma.github.io/Logging_0980/tillsynsmail/A 49847-2023 tillsynsbegäran mail.docx", "A 49847-2023")</f>
        <v/>
      </c>
    </row>
    <row r="158" ht="15" customHeight="1">
      <c r="A158" t="inlineStr">
        <is>
          <t>A 63229-2021</t>
        </is>
      </c>
      <c r="B158" t="inlineStr">
        <is>
          <t>avverkningsanmälan</t>
        </is>
      </c>
      <c r="C158" t="inlineStr">
        <is>
          <t>Föryngringsavverkning</t>
        </is>
      </c>
      <c r="D158" s="1" t="n">
        <v>44508</v>
      </c>
      <c r="E158" s="1" t="n">
        <v>46296</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46296</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69112-2021</t>
        </is>
      </c>
      <c r="B160" t="inlineStr">
        <is>
          <t>avverkningsanmälan</t>
        </is>
      </c>
      <c r="C160" t="inlineStr">
        <is>
          <t>Avverkning för annat ändamål</t>
        </is>
      </c>
      <c r="D160" s="1" t="n">
        <v>44530</v>
      </c>
      <c r="E160" s="1" t="n">
        <v>46296</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0</v>
      </c>
      <c r="V160" s="2" t="inlineStr">
        <is>
          <t>Sårläka</t>
        </is>
      </c>
      <c r="W160">
        <f>HYPERLINK("https://klasma.github.io/Logging_0980/artfynd/A 69112-2021 artfynd.xlsx", "A 69112-2021")</f>
        <v/>
      </c>
      <c r="X160">
        <f>HYPERLINK("https://klasma.github.io/Logging_0980/kartor/A 69112-2021 karta.png", "A 69112-2021")</f>
        <v/>
      </c>
      <c r="Y160">
        <f>HYPERLINK("https://klasma.github.io/Logging_0980/kartor_geotiff/A 69112-2021 georefererad karta.tif", "A 69112-2021")</f>
        <v/>
      </c>
      <c r="AA160">
        <f>HYPERLINK("https://klasma.github.io/Logging_0980/klagomål/A 69112-2021 FSC-klagomål.docx", "A 69112-2021")</f>
        <v/>
      </c>
      <c r="AB160">
        <f>HYPERLINK("https://klasma.github.io/Logging_0980/klagomålsmail/A 69112-2021 FSC-klagomål mail.docx", "A 69112-2021")</f>
        <v/>
      </c>
      <c r="AC160">
        <f>HYPERLINK("https://klasma.github.io/Logging_0980/tillsyn/A 69112-2021 tillsynsbegäran.docx", "A 69112-2021")</f>
        <v/>
      </c>
      <c r="AD160">
        <f>HYPERLINK("https://klasma.github.io/Logging_0980/tillsynsmail/A 69112-2021 tillsynsbegäran mail.docx", "A 69112-2021")</f>
        <v/>
      </c>
    </row>
    <row r="161" ht="15" customHeight="1">
      <c r="A161" t="inlineStr">
        <is>
          <t>A 22883-2024</t>
        </is>
      </c>
      <c r="B161" t="inlineStr">
        <is>
          <t>avverkningsanmälan</t>
        </is>
      </c>
      <c r="C161" t="inlineStr">
        <is>
          <t>Föryngringsavverkning</t>
        </is>
      </c>
      <c r="D161" s="1" t="n">
        <v>45448</v>
      </c>
      <c r="E161" s="1" t="n">
        <v>46296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46296</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947-2023</t>
        </is>
      </c>
      <c r="B163" t="inlineStr">
        <is>
          <t>avverkningsanmälan</t>
        </is>
      </c>
      <c r="C163" t="inlineStr">
        <is>
          <t>Föryngringsavverkning</t>
        </is>
      </c>
      <c r="D163" s="1" t="n">
        <v>44934</v>
      </c>
      <c r="E163" s="1" t="n">
        <v>46296</v>
      </c>
      <c r="F163" t="inlineStr">
        <is>
          <t>GOTLANDS LÄN</t>
        </is>
      </c>
      <c r="G163" t="inlineStr">
        <is>
          <t>GOTLAND</t>
        </is>
      </c>
      <c r="I163" t="n">
        <v>0.7</v>
      </c>
      <c r="J163" t="n">
        <v>1</v>
      </c>
      <c r="K163" t="n">
        <v>0</v>
      </c>
      <c r="L163" t="n">
        <v>0</v>
      </c>
      <c r="M163" t="n">
        <v>1</v>
      </c>
      <c r="N163" t="n">
        <v>0</v>
      </c>
      <c r="O163" t="n">
        <v>0</v>
      </c>
      <c r="P163" t="n">
        <v>0</v>
      </c>
      <c r="Q163" t="n">
        <v>1</v>
      </c>
      <c r="R163" t="n">
        <v>1</v>
      </c>
      <c r="S163" t="n">
        <v>1</v>
      </c>
      <c r="T163" t="n">
        <v>1</v>
      </c>
      <c r="U163" t="n">
        <v>0</v>
      </c>
      <c r="V163" s="2" t="inlineStr">
        <is>
          <t>Garderönn</t>
        </is>
      </c>
      <c r="W163">
        <f>HYPERLINK("https://klasma.github.io/Logging_0980/artfynd/A 947-2023 artfynd.xlsx", "A 947-2023")</f>
        <v/>
      </c>
      <c r="X163">
        <f>HYPERLINK("https://klasma.github.io/Logging_0980/kartor/A 947-2023 karta.png", "A 947-2023")</f>
        <v/>
      </c>
      <c r="Y163">
        <f>HYPERLINK("https://klasma.github.io/Logging_0980/kartor_geotiff/A 947-2023 georefererad karta.tif", "A 947-2023")</f>
        <v/>
      </c>
      <c r="AA163">
        <f>HYPERLINK("https://klasma.github.io/Logging_0980/klagomål/A 947-2023 FSC-klagomål.docx", "A 947-2023")</f>
        <v/>
      </c>
      <c r="AB163">
        <f>HYPERLINK("https://klasma.github.io/Logging_0980/klagomålsmail/A 947-2023 FSC-klagomål mail.docx", "A 947-2023")</f>
        <v/>
      </c>
      <c r="AC163">
        <f>HYPERLINK("https://klasma.github.io/Logging_0980/tillsyn/A 947-2023 tillsynsbegäran.docx", "A 947-2023")</f>
        <v/>
      </c>
      <c r="AD163">
        <f>HYPERLINK("https://klasma.github.io/Logging_0980/tillsynsmail/A 947-2023 tillsynsbegäran mail.docx", "A 947-2023")</f>
        <v/>
      </c>
    </row>
    <row r="164" ht="15" customHeight="1">
      <c r="A164" t="inlineStr">
        <is>
          <t>A 56115-2023</t>
        </is>
      </c>
      <c r="B164" t="inlineStr">
        <is>
          <t>avverkningsanmälan</t>
        </is>
      </c>
      <c r="C164" t="inlineStr">
        <is>
          <t>Avverkning för annat ändamål</t>
        </is>
      </c>
      <c r="D164" s="1" t="n">
        <v>45236</v>
      </c>
      <c r="E164" s="1" t="n">
        <v>46296</v>
      </c>
      <c r="F164" t="inlineStr">
        <is>
          <t>GOTLANDS LÄN</t>
        </is>
      </c>
      <c r="G164" t="inlineStr">
        <is>
          <t>GOTLAND</t>
        </is>
      </c>
      <c r="I164" t="n">
        <v>2</v>
      </c>
      <c r="J164" t="n">
        <v>1</v>
      </c>
      <c r="K164" t="n">
        <v>1</v>
      </c>
      <c r="L164" t="n">
        <v>0</v>
      </c>
      <c r="M164" t="n">
        <v>0</v>
      </c>
      <c r="N164" t="n">
        <v>0</v>
      </c>
      <c r="O164" t="n">
        <v>0</v>
      </c>
      <c r="P164" t="n">
        <v>0</v>
      </c>
      <c r="Q164" t="n">
        <v>0</v>
      </c>
      <c r="R164" t="n">
        <v>0</v>
      </c>
      <c r="S164" t="n">
        <v>1</v>
      </c>
      <c r="T164" t="n">
        <v>1</v>
      </c>
      <c r="U164" t="n">
        <v>1</v>
      </c>
      <c r="V164" s="2" t="inlineStr">
        <is>
          <t>Skogsknipprot</t>
        </is>
      </c>
      <c r="W164">
        <f>HYPERLINK("https://klasma.github.io/Logging_0980/artfynd/A 56115-2023 artfynd.xlsx", "A 56115-2023")</f>
        <v/>
      </c>
      <c r="X164">
        <f>HYPERLINK("https://klasma.github.io/Logging_0980/kartor/A 56115-2023 karta.png", "A 56115-2023")</f>
        <v/>
      </c>
      <c r="Y164">
        <f>HYPERLINK("https://klasma.github.io/Logging_0980/kartor_geotiff/A 56115-2023 georefererad karta.tif", "A 56115-2023")</f>
        <v/>
      </c>
      <c r="AA164">
        <f>HYPERLINK("https://klasma.github.io/Logging_0980/klagomål/A 56115-2023 FSC-klagomål.docx", "A 56115-2023")</f>
        <v/>
      </c>
      <c r="AB164">
        <f>HYPERLINK("https://klasma.github.io/Logging_0980/klagomålsmail/A 56115-2023 FSC-klagomål mail.docx", "A 56115-2023")</f>
        <v/>
      </c>
      <c r="AC164">
        <f>HYPERLINK("https://klasma.github.io/Logging_0980/tillsyn/A 56115-2023 tillsynsbegäran.docx", "A 56115-2023")</f>
        <v/>
      </c>
      <c r="AD164">
        <f>HYPERLINK("https://klasma.github.io/Logging_0980/tillsynsmail/A 56115-2023 tillsynsbegäran mail.docx", "A 56115-2023")</f>
        <v/>
      </c>
    </row>
    <row r="165" ht="15" customHeight="1">
      <c r="A165" t="inlineStr">
        <is>
          <t>A 1477-2024</t>
        </is>
      </c>
      <c r="B165" t="inlineStr">
        <is>
          <t>avverkningsanmälan</t>
        </is>
      </c>
      <c r="C165" t="inlineStr">
        <is>
          <t>Föryngringsavverkning</t>
        </is>
      </c>
      <c r="D165" s="1" t="n">
        <v>45305</v>
      </c>
      <c r="E165" s="1" t="n">
        <v>46296</v>
      </c>
      <c r="F165" t="inlineStr">
        <is>
          <t>GOTLANDS LÄN</t>
        </is>
      </c>
      <c r="G165" t="inlineStr">
        <is>
          <t>GOTLAND</t>
        </is>
      </c>
      <c r="I165" t="n">
        <v>6.9</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HYPERLINK("https://klasma.github.io/Logging_0980/artfynd/A 1477-2024 artfynd.xlsx", "A 1477-2024")</f>
        <v/>
      </c>
      <c r="X165">
        <f>HYPERLINK("https://klasma.github.io/Logging_0980/kartor/A 1477-2024 karta.png", "A 1477-2024")</f>
        <v/>
      </c>
      <c r="Y165">
        <f>HYPERLINK("https://klasma.github.io/Logging_0980/kartor_geotiff/A 1477-2024 georefererad karta.tif", "A 1477-2024")</f>
        <v/>
      </c>
      <c r="AA165">
        <f>HYPERLINK("https://klasma.github.io/Logging_0980/klagomål/A 1477-2024 FSC-klagomål.docx", "A 1477-2024")</f>
        <v/>
      </c>
      <c r="AB165">
        <f>HYPERLINK("https://klasma.github.io/Logging_0980/klagomålsmail/A 1477-2024 FSC-klagomål mail.docx", "A 1477-2024")</f>
        <v/>
      </c>
      <c r="AC165">
        <f>HYPERLINK("https://klasma.github.io/Logging_0980/tillsyn/A 1477-2024 tillsynsbegäran.docx", "A 1477-2024")</f>
        <v/>
      </c>
      <c r="AD165">
        <f>HYPERLINK("https://klasma.github.io/Logging_0980/tillsynsmail/A 1477-2024 tillsynsbegäran mail.docx", "A 1477-2024")</f>
        <v/>
      </c>
    </row>
    <row r="166" ht="15" customHeight="1">
      <c r="A166" t="inlineStr">
        <is>
          <t>A 46189-2022</t>
        </is>
      </c>
      <c r="B166" t="inlineStr">
        <is>
          <t>avverkningsanmälan</t>
        </is>
      </c>
      <c r="C166" t="inlineStr">
        <is>
          <t>Avverkning för annat ändamål</t>
        </is>
      </c>
      <c r="D166" s="1" t="n">
        <v>44847</v>
      </c>
      <c r="E166" s="1" t="n">
        <v>46296</v>
      </c>
      <c r="F166" t="inlineStr">
        <is>
          <t>GOTLANDS LÄN</t>
        </is>
      </c>
      <c r="G166" t="inlineStr">
        <is>
          <t>GOTLAND</t>
        </is>
      </c>
      <c r="I166" t="n">
        <v>0.4</v>
      </c>
      <c r="J166" t="n">
        <v>0</v>
      </c>
      <c r="K166" t="n">
        <v>0</v>
      </c>
      <c r="L166" t="n">
        <v>1</v>
      </c>
      <c r="M166" t="n">
        <v>0</v>
      </c>
      <c r="N166" t="n">
        <v>0</v>
      </c>
      <c r="O166" t="n">
        <v>0</v>
      </c>
      <c r="P166" t="n">
        <v>0</v>
      </c>
      <c r="Q166" t="n">
        <v>1</v>
      </c>
      <c r="R166" t="n">
        <v>0</v>
      </c>
      <c r="S166" t="n">
        <v>1</v>
      </c>
      <c r="T166" t="n">
        <v>1</v>
      </c>
      <c r="U166" t="n">
        <v>1</v>
      </c>
      <c r="V166" s="2" t="inlineStr">
        <is>
          <t>Stjälkröksvamp</t>
        </is>
      </c>
      <c r="W166">
        <f>HYPERLINK("https://klasma.github.io/Logging_0980/artfynd/A 46189-2022 artfynd.xlsx", "A 46189-2022")</f>
        <v/>
      </c>
      <c r="X166">
        <f>HYPERLINK("https://klasma.github.io/Logging_0980/kartor/A 46189-2022 karta.png", "A 46189-2022")</f>
        <v/>
      </c>
      <c r="Y166">
        <f>HYPERLINK("https://klasma.github.io/Logging_0980/kartor_geotiff/A 46189-2022 georefererad karta.tif", "A 46189-2022")</f>
        <v/>
      </c>
      <c r="AA166">
        <f>HYPERLINK("https://klasma.github.io/Logging_0980/klagomål/A 46189-2022 FSC-klagomål.docx", "A 46189-2022")</f>
        <v/>
      </c>
      <c r="AB166">
        <f>HYPERLINK("https://klasma.github.io/Logging_0980/klagomålsmail/A 46189-2022 FSC-klagomål mail.docx", "A 46189-2022")</f>
        <v/>
      </c>
      <c r="AC166">
        <f>HYPERLINK("https://klasma.github.io/Logging_0980/tillsyn/A 46189-2022 tillsynsbegäran.docx", "A 46189-2022")</f>
        <v/>
      </c>
      <c r="AD166">
        <f>HYPERLINK("https://klasma.github.io/Logging_0980/tillsynsmail/A 46189-2022 tillsynsbegäran mail.docx", "A 46189-2022")</f>
        <v/>
      </c>
    </row>
    <row r="167" ht="15" customHeight="1">
      <c r="A167" t="inlineStr">
        <is>
          <t>A 10995-2023</t>
        </is>
      </c>
      <c r="B167" t="inlineStr">
        <is>
          <t>avverkningsanmälan</t>
        </is>
      </c>
      <c r="C167" t="inlineStr">
        <is>
          <t>Föryngringsavverkning</t>
        </is>
      </c>
      <c r="D167" s="1" t="n">
        <v>44986</v>
      </c>
      <c r="E167" s="1" t="n">
        <v>46296</v>
      </c>
      <c r="F167" t="inlineStr">
        <is>
          <t>GOTLANDS LÄN</t>
        </is>
      </c>
      <c r="G167" t="inlineStr">
        <is>
          <t>GOTLAND</t>
        </is>
      </c>
      <c r="I167" t="n">
        <v>2.8</v>
      </c>
      <c r="J167" t="n">
        <v>0</v>
      </c>
      <c r="K167" t="n">
        <v>0</v>
      </c>
      <c r="L167" t="n">
        <v>0</v>
      </c>
      <c r="M167" t="n">
        <v>1</v>
      </c>
      <c r="N167" t="n">
        <v>0</v>
      </c>
      <c r="O167" t="n">
        <v>0</v>
      </c>
      <c r="P167" t="n">
        <v>0</v>
      </c>
      <c r="Q167" t="n">
        <v>1</v>
      </c>
      <c r="R167" t="n">
        <v>1</v>
      </c>
      <c r="S167" t="n">
        <v>1</v>
      </c>
      <c r="T167" t="n">
        <v>1</v>
      </c>
      <c r="U167" t="n">
        <v>0</v>
      </c>
      <c r="V167" s="2" t="inlineStr">
        <is>
          <t>Violettfläckig spindling</t>
        </is>
      </c>
      <c r="W167">
        <f>HYPERLINK("https://klasma.github.io/Logging_0980/artfynd/A 10995-2023 artfynd.xlsx", "A 10995-2023")</f>
        <v/>
      </c>
      <c r="X167">
        <f>HYPERLINK("https://klasma.github.io/Logging_0980/kartor/A 10995-2023 karta.png", "A 10995-2023")</f>
        <v/>
      </c>
      <c r="Y167">
        <f>HYPERLINK("https://klasma.github.io/Logging_0980/kartor_geotiff/A 10995-2023 georefererad karta.tif", "A 10995-2023")</f>
        <v/>
      </c>
      <c r="AA167">
        <f>HYPERLINK("https://klasma.github.io/Logging_0980/klagomål/A 10995-2023 FSC-klagomål.docx", "A 10995-2023")</f>
        <v/>
      </c>
      <c r="AB167">
        <f>HYPERLINK("https://klasma.github.io/Logging_0980/klagomålsmail/A 10995-2023 FSC-klagomål mail.docx", "A 10995-2023")</f>
        <v/>
      </c>
      <c r="AC167">
        <f>HYPERLINK("https://klasma.github.io/Logging_0980/tillsyn/A 10995-2023 tillsynsbegäran.docx", "A 10995-2023")</f>
        <v/>
      </c>
      <c r="AD167">
        <f>HYPERLINK("https://klasma.github.io/Logging_0980/tillsynsmail/A 10995-2023 tillsynsbegäran mail.docx", "A 10995-2023")</f>
        <v/>
      </c>
    </row>
    <row r="168" ht="15" customHeight="1">
      <c r="A168" t="inlineStr">
        <is>
          <t>A 1677-2023</t>
        </is>
      </c>
      <c r="B168" t="inlineStr">
        <is>
          <t>avverkningsanmälan</t>
        </is>
      </c>
      <c r="C168" t="inlineStr">
        <is>
          <t>Föryngringsavverkning</t>
        </is>
      </c>
      <c r="D168" s="1" t="n">
        <v>44938</v>
      </c>
      <c r="E168" s="1" t="n">
        <v>46296</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Strandrosettmossa</t>
        </is>
      </c>
      <c r="W168">
        <f>HYPERLINK("https://klasma.github.io/Logging_0980/artfynd/A 1677-2023 artfynd.xlsx", "A 1677-2023")</f>
        <v/>
      </c>
      <c r="X168">
        <f>HYPERLINK("https://klasma.github.io/Logging_0980/kartor/A 1677-2023 karta.png", "A 1677-2023")</f>
        <v/>
      </c>
      <c r="Y168">
        <f>HYPERLINK("https://klasma.github.io/Logging_0980/kartor_geotiff/A 1677-2023 georefererad karta.tif", "A 1677-2023")</f>
        <v/>
      </c>
      <c r="AA168">
        <f>HYPERLINK("https://klasma.github.io/Logging_0980/klagomål/A 1677-2023 FSC-klagomål.docx", "A 1677-2023")</f>
        <v/>
      </c>
      <c r="AB168">
        <f>HYPERLINK("https://klasma.github.io/Logging_0980/klagomålsmail/A 1677-2023 FSC-klagomål mail.docx", "A 1677-2023")</f>
        <v/>
      </c>
      <c r="AC168">
        <f>HYPERLINK("https://klasma.github.io/Logging_0980/tillsyn/A 1677-2023 tillsynsbegäran.docx", "A 1677-2023")</f>
        <v/>
      </c>
      <c r="AD168">
        <f>HYPERLINK("https://klasma.github.io/Logging_0980/tillsynsmail/A 1677-2023 tillsynsbegäran mail.docx", "A 1677-2023")</f>
        <v/>
      </c>
    </row>
    <row r="169" ht="15" customHeight="1">
      <c r="A169" t="inlineStr">
        <is>
          <t>A 62915-2021</t>
        </is>
      </c>
      <c r="B169" t="inlineStr">
        <is>
          <t>avverkningsanmälan</t>
        </is>
      </c>
      <c r="C169" t="inlineStr">
        <is>
          <t>Föryngringsavverkning</t>
        </is>
      </c>
      <c r="D169" s="1" t="n">
        <v>44504</v>
      </c>
      <c r="E169" s="1" t="n">
        <v>46296</v>
      </c>
      <c r="F169" t="inlineStr">
        <is>
          <t>GOTLANDS LÄN</t>
        </is>
      </c>
      <c r="G169" t="inlineStr">
        <is>
          <t>GOTLAND</t>
        </is>
      </c>
      <c r="I169" t="n">
        <v>1.1</v>
      </c>
      <c r="J169" t="n">
        <v>1</v>
      </c>
      <c r="K169" t="n">
        <v>0</v>
      </c>
      <c r="L169" t="n">
        <v>0</v>
      </c>
      <c r="M169" t="n">
        <v>0</v>
      </c>
      <c r="N169" t="n">
        <v>0</v>
      </c>
      <c r="O169" t="n">
        <v>0</v>
      </c>
      <c r="P169" t="n">
        <v>0</v>
      </c>
      <c r="Q169" t="n">
        <v>0</v>
      </c>
      <c r="R169" t="n">
        <v>0</v>
      </c>
      <c r="S169" t="n">
        <v>1</v>
      </c>
      <c r="T169" t="n">
        <v>1</v>
      </c>
      <c r="U169" t="n">
        <v>1</v>
      </c>
      <c r="V169" s="2" t="inlineStr">
        <is>
          <t>Bredarun</t>
        </is>
      </c>
      <c r="W169">
        <f>HYPERLINK("https://klasma.github.io/Logging_0980/artfynd/A 62915-2021 artfynd.xlsx", "A 62915-2021")</f>
        <v/>
      </c>
      <c r="X169">
        <f>HYPERLINK("https://klasma.github.io/Logging_0980/kartor/A 62915-2021 karta.png", "A 62915-2021")</f>
        <v/>
      </c>
      <c r="Y169">
        <f>HYPERLINK("https://klasma.github.io/Logging_0980/kartor_geotiff/A 62915-2021 georefererad karta.tif", "A 62915-2021")</f>
        <v/>
      </c>
      <c r="AA169">
        <f>HYPERLINK("https://klasma.github.io/Logging_0980/klagomål/A 62915-2021 FSC-klagomål.docx", "A 62915-2021")</f>
        <v/>
      </c>
      <c r="AB169">
        <f>HYPERLINK("https://klasma.github.io/Logging_0980/klagomålsmail/A 62915-2021 FSC-klagomål mail.docx", "A 62915-2021")</f>
        <v/>
      </c>
      <c r="AC169">
        <f>HYPERLINK("https://klasma.github.io/Logging_0980/tillsyn/A 62915-2021 tillsynsbegäran.docx", "A 62915-2021")</f>
        <v/>
      </c>
      <c r="AD169">
        <f>HYPERLINK("https://klasma.github.io/Logging_0980/tillsynsmail/A 62915-2021 tillsynsbegäran mail.docx", "A 62915-2021")</f>
        <v/>
      </c>
    </row>
    <row r="170" ht="15" customHeight="1">
      <c r="A170" t="inlineStr">
        <is>
          <t>A 7637-2025</t>
        </is>
      </c>
      <c r="B170" t="inlineStr">
        <is>
          <t>avverkningsanmälan</t>
        </is>
      </c>
      <c r="C170" t="inlineStr">
        <is>
          <t>Föryngringsavverkning</t>
        </is>
      </c>
      <c r="D170" s="1" t="n">
        <v>45705</v>
      </c>
      <c r="E170" s="1" t="n">
        <v>46296</v>
      </c>
      <c r="F170" t="inlineStr">
        <is>
          <t>GOTLANDS LÄN</t>
        </is>
      </c>
      <c r="G170" t="inlineStr">
        <is>
          <t>GOTLAND</t>
        </is>
      </c>
      <c r="I170" t="n">
        <v>3.7</v>
      </c>
      <c r="J170" t="n">
        <v>0</v>
      </c>
      <c r="K170" t="n">
        <v>0</v>
      </c>
      <c r="L170" t="n">
        <v>0</v>
      </c>
      <c r="M170" t="n">
        <v>0</v>
      </c>
      <c r="N170" t="n">
        <v>1</v>
      </c>
      <c r="O170" t="n">
        <v>0</v>
      </c>
      <c r="P170" t="n">
        <v>0</v>
      </c>
      <c r="Q170" t="n">
        <v>1</v>
      </c>
      <c r="R170" t="n">
        <v>1</v>
      </c>
      <c r="S170" t="n">
        <v>1</v>
      </c>
      <c r="T170" t="n">
        <v>1</v>
      </c>
      <c r="U170" t="n">
        <v>1</v>
      </c>
      <c r="V170" s="2" t="inlineStr">
        <is>
          <t>Skogsalm</t>
        </is>
      </c>
      <c r="W170">
        <f>HYPERLINK("https://klasma.github.io/Logging_0980/artfynd/A 7637-2025 artfynd.xlsx", "A 7637-2025")</f>
        <v/>
      </c>
      <c r="X170">
        <f>HYPERLINK("https://klasma.github.io/Logging_0980/kartor/A 7637-2025 karta.png", "A 7637-2025")</f>
        <v/>
      </c>
      <c r="Y170">
        <f>HYPERLINK("https://klasma.github.io/Logging_0980/kartor_geotiff/A 7637-2025 georefererad karta.tif", "A 7637-2025")</f>
        <v/>
      </c>
      <c r="AA170">
        <f>HYPERLINK("https://klasma.github.io/Logging_0980/klagomål/A 7637-2025 FSC-klagomål.docx", "A 7637-2025")</f>
        <v/>
      </c>
      <c r="AB170">
        <f>HYPERLINK("https://klasma.github.io/Logging_0980/klagomålsmail/A 7637-2025 FSC-klagomål mail.docx", "A 7637-2025")</f>
        <v/>
      </c>
      <c r="AC170">
        <f>HYPERLINK("https://klasma.github.io/Logging_0980/tillsyn/A 7637-2025 tillsynsbegäran.docx", "A 7637-2025")</f>
        <v/>
      </c>
      <c r="AD170">
        <f>HYPERLINK("https://klasma.github.io/Logging_0980/tillsynsmail/A 7637-2025 tillsynsbegäran mail.docx", "A 7637-2025")</f>
        <v/>
      </c>
    </row>
    <row r="171" ht="15" customHeight="1">
      <c r="A171" t="inlineStr">
        <is>
          <t>A 7042-2023</t>
        </is>
      </c>
      <c r="B171" t="inlineStr">
        <is>
          <t>avverkningsanmälan</t>
        </is>
      </c>
      <c r="C171" t="inlineStr">
        <is>
          <t>Föryngringsavverkning</t>
        </is>
      </c>
      <c r="D171" s="1" t="n">
        <v>44968</v>
      </c>
      <c r="E171" s="1" t="n">
        <v>46296</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61796-2022</t>
        </is>
      </c>
      <c r="B172" t="inlineStr">
        <is>
          <t>avverkningsanmälan</t>
        </is>
      </c>
      <c r="C172" t="inlineStr">
        <is>
          <t>Föryngringsavverkning</t>
        </is>
      </c>
      <c r="D172" s="1" t="n">
        <v>44917</v>
      </c>
      <c r="E172" s="1" t="n">
        <v>46296</v>
      </c>
      <c r="F172" t="inlineStr">
        <is>
          <t>GOTLANDS LÄN</t>
        </is>
      </c>
      <c r="G172" t="inlineStr">
        <is>
          <t>GOTLAND</t>
        </is>
      </c>
      <c r="I172" t="n">
        <v>1.5</v>
      </c>
      <c r="J172" t="n">
        <v>1</v>
      </c>
      <c r="K172" t="n">
        <v>0</v>
      </c>
      <c r="L172" t="n">
        <v>0</v>
      </c>
      <c r="M172" t="n">
        <v>0</v>
      </c>
      <c r="N172" t="n">
        <v>0</v>
      </c>
      <c r="O172" t="n">
        <v>0</v>
      </c>
      <c r="P172" t="n">
        <v>0</v>
      </c>
      <c r="Q172" t="n">
        <v>0</v>
      </c>
      <c r="R172" t="n">
        <v>0</v>
      </c>
      <c r="S172" t="n">
        <v>1</v>
      </c>
      <c r="T172" t="n">
        <v>1</v>
      </c>
      <c r="U172" t="n">
        <v>1</v>
      </c>
      <c r="V172" s="2" t="inlineStr">
        <is>
          <t>Skogsduva</t>
        </is>
      </c>
      <c r="W172">
        <f>HYPERLINK("https://klasma.github.io/Logging_0980/artfynd/A 61796-2022 artfynd.xlsx", "A 61796-2022")</f>
        <v/>
      </c>
      <c r="X172">
        <f>HYPERLINK("https://klasma.github.io/Logging_0980/kartor/A 61796-2022 karta.png", "A 61796-2022")</f>
        <v/>
      </c>
      <c r="Y172">
        <f>HYPERLINK("https://klasma.github.io/Logging_0980/kartor_geotiff/A 61796-2022 georefererad karta.tif", "A 61796-2022")</f>
        <v/>
      </c>
      <c r="AA172">
        <f>HYPERLINK("https://klasma.github.io/Logging_0980/klagomål/A 61796-2022 FSC-klagomål.docx", "A 61796-2022")</f>
        <v/>
      </c>
      <c r="AB172">
        <f>HYPERLINK("https://klasma.github.io/Logging_0980/klagomålsmail/A 61796-2022 FSC-klagomål mail.docx", "A 61796-2022")</f>
        <v/>
      </c>
      <c r="AC172">
        <f>HYPERLINK("https://klasma.github.io/Logging_0980/tillsyn/A 61796-2022 tillsynsbegäran.docx", "A 61796-2022")</f>
        <v/>
      </c>
      <c r="AD172">
        <f>HYPERLINK("https://klasma.github.io/Logging_0980/tillsynsmail/A 61796-2022 tillsynsbegäran mail.docx", "A 61796-2022")</f>
        <v/>
      </c>
    </row>
    <row r="173" ht="15" customHeight="1">
      <c r="A173" t="inlineStr">
        <is>
          <t>A 46545-2024</t>
        </is>
      </c>
      <c r="B173" t="inlineStr">
        <is>
          <t>avverkningsanmälan</t>
        </is>
      </c>
      <c r="C173" t="inlineStr">
        <is>
          <t>Föryngringsavverkning</t>
        </is>
      </c>
      <c r="D173" s="1" t="n">
        <v>45582</v>
      </c>
      <c r="E173" s="1" t="n">
        <v>46296</v>
      </c>
      <c r="F173" t="inlineStr">
        <is>
          <t>GOTLANDS LÄN</t>
        </is>
      </c>
      <c r="G173" t="inlineStr">
        <is>
          <t>GOTLAND</t>
        </is>
      </c>
      <c r="I173" t="n">
        <v>1.2</v>
      </c>
      <c r="J173" t="n">
        <v>0</v>
      </c>
      <c r="K173" t="n">
        <v>0</v>
      </c>
      <c r="L173" t="n">
        <v>0</v>
      </c>
      <c r="M173" t="n">
        <v>1</v>
      </c>
      <c r="N173" t="n">
        <v>0</v>
      </c>
      <c r="O173" t="n">
        <v>0</v>
      </c>
      <c r="P173" t="n">
        <v>0</v>
      </c>
      <c r="Q173" t="n">
        <v>1</v>
      </c>
      <c r="R173" t="n">
        <v>1</v>
      </c>
      <c r="S173" t="n">
        <v>1</v>
      </c>
      <c r="T173" t="n">
        <v>1</v>
      </c>
      <c r="U173" t="n">
        <v>1</v>
      </c>
      <c r="V173" s="2" t="inlineStr">
        <is>
          <t>Källnate</t>
        </is>
      </c>
      <c r="W173">
        <f>HYPERLINK("https://klasma.github.io/Logging_0980/artfynd/A 46545-2024 artfynd.xlsx", "A 46545-2024")</f>
        <v/>
      </c>
      <c r="X173">
        <f>HYPERLINK("https://klasma.github.io/Logging_0980/kartor/A 46545-2024 karta.png", "A 46545-2024")</f>
        <v/>
      </c>
      <c r="Y173">
        <f>HYPERLINK("https://klasma.github.io/Logging_0980/kartor_geotiff/A 46545-2024 georefererad karta.tif", "A 46545-2024")</f>
        <v/>
      </c>
      <c r="AA173">
        <f>HYPERLINK("https://klasma.github.io/Logging_0980/klagomål/A 46545-2024 FSC-klagomål.docx", "A 46545-2024")</f>
        <v/>
      </c>
      <c r="AB173">
        <f>HYPERLINK("https://klasma.github.io/Logging_0980/klagomålsmail/A 46545-2024 FSC-klagomål mail.docx", "A 46545-2024")</f>
        <v/>
      </c>
      <c r="AC173">
        <f>HYPERLINK("https://klasma.github.io/Logging_0980/tillsyn/A 46545-2024 tillsynsbegäran.docx", "A 46545-2024")</f>
        <v/>
      </c>
      <c r="AD173">
        <f>HYPERLINK("https://klasma.github.io/Logging_0980/tillsynsmail/A 46545-2024 tillsynsbegäran mail.docx", "A 46545-2024")</f>
        <v/>
      </c>
    </row>
    <row r="174" ht="15" customHeight="1">
      <c r="A174" t="inlineStr">
        <is>
          <t>A 5751-2024</t>
        </is>
      </c>
      <c r="B174" t="inlineStr">
        <is>
          <t>avverkningsanmälan</t>
        </is>
      </c>
      <c r="C174" t="inlineStr">
        <is>
          <t>Avverkning för att bevara och utveckla /försöksver</t>
        </is>
      </c>
      <c r="D174" s="1" t="n">
        <v>45335</v>
      </c>
      <c r="E174" s="1" t="n">
        <v>46296</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10218-2025</t>
        </is>
      </c>
      <c r="B175" t="inlineStr">
        <is>
          <t>avverkningsanmälan</t>
        </is>
      </c>
      <c r="C175" t="inlineStr">
        <is>
          <t>Föryngringsavverkning</t>
        </is>
      </c>
      <c r="D175" s="1" t="n">
        <v>45720</v>
      </c>
      <c r="E175" s="1" t="n">
        <v>46296</v>
      </c>
      <c r="F175" t="inlineStr">
        <is>
          <t>GOTLANDS LÄN</t>
        </is>
      </c>
      <c r="G175" t="inlineStr">
        <is>
          <t>GOTLAND</t>
        </is>
      </c>
      <c r="I175" t="n">
        <v>8.1</v>
      </c>
      <c r="J175" t="n">
        <v>0</v>
      </c>
      <c r="K175" t="n">
        <v>1</v>
      </c>
      <c r="L175" t="n">
        <v>0</v>
      </c>
      <c r="M175" t="n">
        <v>0</v>
      </c>
      <c r="N175" t="n">
        <v>0</v>
      </c>
      <c r="O175" t="n">
        <v>0</v>
      </c>
      <c r="P175" t="n">
        <v>0</v>
      </c>
      <c r="Q175" t="n">
        <v>0</v>
      </c>
      <c r="R175" t="n">
        <v>0</v>
      </c>
      <c r="S175" t="n">
        <v>1</v>
      </c>
      <c r="T175" t="n">
        <v>1</v>
      </c>
      <c r="U175" t="n">
        <v>1</v>
      </c>
      <c r="V175" s="2" t="inlineStr">
        <is>
          <t>Kalktallört</t>
        </is>
      </c>
      <c r="W175">
        <f>HYPERLINK("https://klasma.github.io/Logging_0980/artfynd/A 10218-2025 artfynd.xlsx", "A 10218-2025")</f>
        <v/>
      </c>
      <c r="X175">
        <f>HYPERLINK("https://klasma.github.io/Logging_0980/kartor/A 10218-2025 karta.png", "A 10218-2025")</f>
        <v/>
      </c>
      <c r="Y175">
        <f>HYPERLINK("https://klasma.github.io/Logging_0980/kartor_geotiff/A 10218-2025 georefererad karta.tif", "A 10218-2025")</f>
        <v/>
      </c>
      <c r="AA175">
        <f>HYPERLINK("https://klasma.github.io/Logging_0980/klagomål/A 10218-2025 FSC-klagomål.docx", "A 10218-2025")</f>
        <v/>
      </c>
      <c r="AB175">
        <f>HYPERLINK("https://klasma.github.io/Logging_0980/klagomålsmail/A 10218-2025 FSC-klagomål mail.docx", "A 10218-2025")</f>
        <v/>
      </c>
      <c r="AC175">
        <f>HYPERLINK("https://klasma.github.io/Logging_0980/tillsyn/A 10218-2025 tillsynsbegäran.docx", "A 10218-2025")</f>
        <v/>
      </c>
      <c r="AD175">
        <f>HYPERLINK("https://klasma.github.io/Logging_0980/tillsynsmail/A 10218-2025 tillsynsbegäran mail.docx", "A 10218-2025")</f>
        <v/>
      </c>
    </row>
    <row r="176" ht="15" customHeight="1">
      <c r="A176" t="inlineStr">
        <is>
          <t>A 12379-2024</t>
        </is>
      </c>
      <c r="B176" t="inlineStr">
        <is>
          <t>avverkningsanmälan</t>
        </is>
      </c>
      <c r="C176" t="inlineStr">
        <is>
          <t>Föryngringsavverkning</t>
        </is>
      </c>
      <c r="D176" s="1" t="n">
        <v>45379</v>
      </c>
      <c r="E176" s="1" t="n">
        <v>46296</v>
      </c>
      <c r="F176" t="inlineStr">
        <is>
          <t>GOTLANDS LÄN</t>
        </is>
      </c>
      <c r="G176" t="inlineStr">
        <is>
          <t>GOTLAND</t>
        </is>
      </c>
      <c r="I176" t="n">
        <v>4.4</v>
      </c>
      <c r="J176" t="n">
        <v>0</v>
      </c>
      <c r="K176" t="n">
        <v>0</v>
      </c>
      <c r="L176" t="n">
        <v>1</v>
      </c>
      <c r="M176" t="n">
        <v>0</v>
      </c>
      <c r="N176" t="n">
        <v>0</v>
      </c>
      <c r="O176" t="n">
        <v>0</v>
      </c>
      <c r="P176" t="n">
        <v>0</v>
      </c>
      <c r="Q176" t="n">
        <v>1</v>
      </c>
      <c r="R176" t="n">
        <v>0</v>
      </c>
      <c r="S176" t="n">
        <v>1</v>
      </c>
      <c r="T176" t="n">
        <v>1</v>
      </c>
      <c r="U176" t="n">
        <v>0</v>
      </c>
      <c r="V176" s="2" t="inlineStr">
        <is>
          <t>Svinrot</t>
        </is>
      </c>
      <c r="W176">
        <f>HYPERLINK("https://klasma.github.io/Logging_0980/artfynd/A 12379-2024 artfynd.xlsx", "A 12379-2024")</f>
        <v/>
      </c>
      <c r="X176">
        <f>HYPERLINK("https://klasma.github.io/Logging_0980/kartor/A 12379-2024 karta.png", "A 12379-2024")</f>
        <v/>
      </c>
      <c r="Y176">
        <f>HYPERLINK("https://klasma.github.io/Logging_0980/kartor_geotiff/A 12379-2024 georefererad karta.tif", "A 12379-2024")</f>
        <v/>
      </c>
      <c r="AA176">
        <f>HYPERLINK("https://klasma.github.io/Logging_0980/klagomål/A 12379-2024 FSC-klagomål.docx", "A 12379-2024")</f>
        <v/>
      </c>
      <c r="AB176">
        <f>HYPERLINK("https://klasma.github.io/Logging_0980/klagomålsmail/A 12379-2024 FSC-klagomål mail.docx", "A 12379-2024")</f>
        <v/>
      </c>
      <c r="AC176">
        <f>HYPERLINK("https://klasma.github.io/Logging_0980/tillsyn/A 12379-2024 tillsynsbegäran.docx", "A 12379-2024")</f>
        <v/>
      </c>
      <c r="AD176">
        <f>HYPERLINK("https://klasma.github.io/Logging_0980/tillsynsmail/A 12379-2024 tillsynsbegäran mail.docx", "A 12379-2024")</f>
        <v/>
      </c>
    </row>
    <row r="177" ht="15" customHeight="1">
      <c r="A177" t="inlineStr">
        <is>
          <t>A 6739-2025</t>
        </is>
      </c>
      <c r="B177" t="inlineStr">
        <is>
          <t>avverkningsanmälan</t>
        </is>
      </c>
      <c r="C177" t="inlineStr">
        <is>
          <t>Föryngringsavverkning</t>
        </is>
      </c>
      <c r="D177" s="1" t="n">
        <v>45700</v>
      </c>
      <c r="E177" s="1" t="n">
        <v>46296</v>
      </c>
      <c r="F177" t="inlineStr">
        <is>
          <t>GOTLANDS LÄN</t>
        </is>
      </c>
      <c r="G177" t="inlineStr">
        <is>
          <t>GOTLAND</t>
        </is>
      </c>
      <c r="I177" t="n">
        <v>4.5</v>
      </c>
      <c r="J177" t="n">
        <v>1</v>
      </c>
      <c r="K177" t="n">
        <v>0</v>
      </c>
      <c r="L177" t="n">
        <v>0</v>
      </c>
      <c r="M177" t="n">
        <v>0</v>
      </c>
      <c r="N177" t="n">
        <v>0</v>
      </c>
      <c r="O177" t="n">
        <v>0</v>
      </c>
      <c r="P177" t="n">
        <v>0</v>
      </c>
      <c r="Q177" t="n">
        <v>0</v>
      </c>
      <c r="R177" t="n">
        <v>0</v>
      </c>
      <c r="S177" t="n">
        <v>1</v>
      </c>
      <c r="T177" t="n">
        <v>1</v>
      </c>
      <c r="U177" t="n">
        <v>1</v>
      </c>
      <c r="V177" s="2" t="inlineStr">
        <is>
          <t>Röd glada</t>
        </is>
      </c>
      <c r="W177">
        <f>HYPERLINK("https://klasma.github.io/Logging_0980/artfynd/A 6739-2025 artfynd.xlsx", "A 6739-2025")</f>
        <v/>
      </c>
      <c r="X177">
        <f>HYPERLINK("https://klasma.github.io/Logging_0980/kartor/A 6739-2025 karta.png", "A 6739-2025")</f>
        <v/>
      </c>
      <c r="Y177">
        <f>HYPERLINK("https://klasma.github.io/Logging_0980/kartor_geotiff/A 6739-2025 georefererad karta.tif", "A 6739-2025")</f>
        <v/>
      </c>
      <c r="AA177">
        <f>HYPERLINK("https://klasma.github.io/Logging_0980/klagomål/A 6739-2025 FSC-klagomål.docx", "A 6739-2025")</f>
        <v/>
      </c>
      <c r="AB177">
        <f>HYPERLINK("https://klasma.github.io/Logging_0980/klagomålsmail/A 6739-2025 FSC-klagomål mail.docx", "A 6739-2025")</f>
        <v/>
      </c>
      <c r="AC177">
        <f>HYPERLINK("https://klasma.github.io/Logging_0980/tillsyn/A 6739-2025 tillsynsbegäran.docx", "A 6739-2025")</f>
        <v/>
      </c>
      <c r="AD177">
        <f>HYPERLINK("https://klasma.github.io/Logging_0980/tillsynsmail/A 6739-2025 tillsynsbegäran mail.docx", "A 6739-2025")</f>
        <v/>
      </c>
      <c r="AE177">
        <f>HYPERLINK("https://klasma.github.io/Logging_0980/fåglar/A 6739-2025 prioriterade fågelarter.docx", "A 6739-2025")</f>
        <v/>
      </c>
    </row>
    <row r="178" ht="15" customHeight="1">
      <c r="A178" t="inlineStr">
        <is>
          <t>A 15637-2024</t>
        </is>
      </c>
      <c r="B178" t="inlineStr">
        <is>
          <t>avverkningsanmälan</t>
        </is>
      </c>
      <c r="C178" t="inlineStr">
        <is>
          <t>Föryngringsavverkning</t>
        </is>
      </c>
      <c r="D178" s="1" t="n">
        <v>45403</v>
      </c>
      <c r="E178" s="1" t="n">
        <v>46296</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447-2023</t>
        </is>
      </c>
      <c r="B179" t="inlineStr">
        <is>
          <t>avverkningsanmälan</t>
        </is>
      </c>
      <c r="C179" t="inlineStr">
        <is>
          <t>Föryngringsavverkning</t>
        </is>
      </c>
      <c r="D179" s="1" t="n">
        <v>44929</v>
      </c>
      <c r="E179" s="1" t="n">
        <v>46296</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49693-2023</t>
        </is>
      </c>
      <c r="B180" t="inlineStr">
        <is>
          <t>avverkningsanmälan</t>
        </is>
      </c>
      <c r="C180" t="inlineStr">
        <is>
          <t>Föryngringsavverkning</t>
        </is>
      </c>
      <c r="D180" s="1" t="n">
        <v>45212</v>
      </c>
      <c r="E180" s="1" t="n">
        <v>46296</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4568-2025</t>
        </is>
      </c>
      <c r="B181" t="inlineStr">
        <is>
          <t>avverkningsanmälan</t>
        </is>
      </c>
      <c r="C181" t="inlineStr">
        <is>
          <t>Föryngringsavverkning</t>
        </is>
      </c>
      <c r="D181" s="1" t="n">
        <v>45687</v>
      </c>
      <c r="E181" s="1" t="n">
        <v>46296</v>
      </c>
      <c r="F181" t="inlineStr">
        <is>
          <t>GOTLANDS LÄN</t>
        </is>
      </c>
      <c r="G181" t="inlineStr">
        <is>
          <t>GOTLAND</t>
        </is>
      </c>
      <c r="I181" t="n">
        <v>1.9</v>
      </c>
      <c r="J181" t="n">
        <v>0</v>
      </c>
      <c r="K181" t="n">
        <v>0</v>
      </c>
      <c r="L181" t="n">
        <v>1</v>
      </c>
      <c r="M181" t="n">
        <v>0</v>
      </c>
      <c r="N181" t="n">
        <v>0</v>
      </c>
      <c r="O181" t="n">
        <v>0</v>
      </c>
      <c r="P181" t="n">
        <v>0</v>
      </c>
      <c r="Q181" t="n">
        <v>1</v>
      </c>
      <c r="R181" t="n">
        <v>0</v>
      </c>
      <c r="S181" t="n">
        <v>1</v>
      </c>
      <c r="T181" t="n">
        <v>1</v>
      </c>
      <c r="U181" t="n">
        <v>1</v>
      </c>
      <c r="V181" s="2" t="inlineStr">
        <is>
          <t>Backfryle</t>
        </is>
      </c>
      <c r="W181">
        <f>HYPERLINK("https://klasma.github.io/Logging_0980/artfynd/A 4568-2025 artfynd.xlsx", "A 4568-2025")</f>
        <v/>
      </c>
      <c r="X181">
        <f>HYPERLINK("https://klasma.github.io/Logging_0980/kartor/A 4568-2025 karta.png", "A 4568-2025")</f>
        <v/>
      </c>
      <c r="Y181">
        <f>HYPERLINK("https://klasma.github.io/Logging_0980/kartor_geotiff/A 4568-2025 georefererad karta.tif", "A 4568-2025")</f>
        <v/>
      </c>
      <c r="AA181">
        <f>HYPERLINK("https://klasma.github.io/Logging_0980/klagomål/A 4568-2025 FSC-klagomål.docx", "A 4568-2025")</f>
        <v/>
      </c>
      <c r="AB181">
        <f>HYPERLINK("https://klasma.github.io/Logging_0980/klagomålsmail/A 4568-2025 FSC-klagomål mail.docx", "A 4568-2025")</f>
        <v/>
      </c>
      <c r="AC181">
        <f>HYPERLINK("https://klasma.github.io/Logging_0980/tillsyn/A 4568-2025 tillsynsbegäran.docx", "A 4568-2025")</f>
        <v/>
      </c>
      <c r="AD181">
        <f>HYPERLINK("https://klasma.github.io/Logging_0980/tillsynsmail/A 4568-2025 tillsynsbegäran mail.docx", "A 4568-2025")</f>
        <v/>
      </c>
    </row>
    <row r="182" ht="15" customHeight="1">
      <c r="A182" t="inlineStr">
        <is>
          <t>A 1066-2024</t>
        </is>
      </c>
      <c r="B182" t="inlineStr">
        <is>
          <t>avverkningsanmälan</t>
        </is>
      </c>
      <c r="C182" t="inlineStr">
        <is>
          <t>Föryngringsavverkning</t>
        </is>
      </c>
      <c r="D182" s="1" t="n">
        <v>45302</v>
      </c>
      <c r="E182" s="1" t="n">
        <v>46296</v>
      </c>
      <c r="F182" t="inlineStr">
        <is>
          <t>GOTLANDS LÄN</t>
        </is>
      </c>
      <c r="G182" t="inlineStr">
        <is>
          <t>GOTLAND</t>
        </is>
      </c>
      <c r="I182" t="n">
        <v>1.4</v>
      </c>
      <c r="J182" t="n">
        <v>0</v>
      </c>
      <c r="K182" t="n">
        <v>0</v>
      </c>
      <c r="L182" t="n">
        <v>1</v>
      </c>
      <c r="M182" t="n">
        <v>0</v>
      </c>
      <c r="N182" t="n">
        <v>0</v>
      </c>
      <c r="O182" t="n">
        <v>0</v>
      </c>
      <c r="P182" t="n">
        <v>0</v>
      </c>
      <c r="Q182" t="n">
        <v>1</v>
      </c>
      <c r="R182" t="n">
        <v>0</v>
      </c>
      <c r="S182" t="n">
        <v>1</v>
      </c>
      <c r="T182" t="n">
        <v>1</v>
      </c>
      <c r="U182" t="n">
        <v>1</v>
      </c>
      <c r="V182" s="2" t="inlineStr">
        <is>
          <t>Svinrot</t>
        </is>
      </c>
      <c r="W182">
        <f>HYPERLINK("https://klasma.github.io/Logging_0980/artfynd/A 1066-2024 artfynd.xlsx", "A 1066-2024")</f>
        <v/>
      </c>
      <c r="X182">
        <f>HYPERLINK("https://klasma.github.io/Logging_0980/kartor/A 1066-2024 karta.png", "A 1066-2024")</f>
        <v/>
      </c>
      <c r="Y182">
        <f>HYPERLINK("https://klasma.github.io/Logging_0980/kartor_geotiff/A 1066-2024 georefererad karta.tif", "A 1066-2024")</f>
        <v/>
      </c>
      <c r="AA182">
        <f>HYPERLINK("https://klasma.github.io/Logging_0980/klagomål/A 1066-2024 FSC-klagomål.docx", "A 1066-2024")</f>
        <v/>
      </c>
      <c r="AB182">
        <f>HYPERLINK("https://klasma.github.io/Logging_0980/klagomålsmail/A 1066-2024 FSC-klagomål mail.docx", "A 1066-2024")</f>
        <v/>
      </c>
      <c r="AC182">
        <f>HYPERLINK("https://klasma.github.io/Logging_0980/tillsyn/A 1066-2024 tillsynsbegäran.docx", "A 1066-2024")</f>
        <v/>
      </c>
      <c r="AD182">
        <f>HYPERLINK("https://klasma.github.io/Logging_0980/tillsynsmail/A 1066-2024 tillsynsbegäran mail.docx", "A 1066-2024")</f>
        <v/>
      </c>
    </row>
    <row r="183" ht="15" customHeight="1">
      <c r="A183" t="inlineStr">
        <is>
          <t>A 34809-2024</t>
        </is>
      </c>
      <c r="B183" t="inlineStr">
        <is>
          <t>avverkningsanmälan</t>
        </is>
      </c>
      <c r="C183" t="inlineStr">
        <is>
          <t>Föryngringsavverkning</t>
        </is>
      </c>
      <c r="D183" s="1" t="n">
        <v>45526</v>
      </c>
      <c r="E183" s="1" t="n">
        <v>46296</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9862-2024</t>
        </is>
      </c>
      <c r="B184" t="inlineStr">
        <is>
          <t>avverkningsanmälan</t>
        </is>
      </c>
      <c r="C184" t="inlineStr">
        <is>
          <t>Föryngringsavverkning</t>
        </is>
      </c>
      <c r="D184" s="1" t="n">
        <v>45363</v>
      </c>
      <c r="E184" s="1" t="n">
        <v>46296</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46296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30104-2025</t>
        </is>
      </c>
      <c r="B186" t="inlineStr">
        <is>
          <t>avverkningsanmälan</t>
        </is>
      </c>
      <c r="C186" t="inlineStr">
        <is>
          <t>Föryngringsavverkning</t>
        </is>
      </c>
      <c r="D186" s="1" t="n">
        <v>45826</v>
      </c>
      <c r="E186" s="1" t="n">
        <v>46296</v>
      </c>
      <c r="F186" t="inlineStr">
        <is>
          <t>GOTLANDS LÄN</t>
        </is>
      </c>
      <c r="G186" t="inlineStr">
        <is>
          <t>GOTLAND</t>
        </is>
      </c>
      <c r="I186" t="n">
        <v>15.4</v>
      </c>
      <c r="J186" t="n">
        <v>0</v>
      </c>
      <c r="K186" t="n">
        <v>1</v>
      </c>
      <c r="L186" t="n">
        <v>0</v>
      </c>
      <c r="M186" t="n">
        <v>0</v>
      </c>
      <c r="N186" t="n">
        <v>0</v>
      </c>
      <c r="O186" t="n">
        <v>0</v>
      </c>
      <c r="P186" t="n">
        <v>0</v>
      </c>
      <c r="Q186" t="n">
        <v>0</v>
      </c>
      <c r="R186" t="n">
        <v>0</v>
      </c>
      <c r="S186" t="n">
        <v>1</v>
      </c>
      <c r="T186" t="n">
        <v>2</v>
      </c>
      <c r="U186" t="n">
        <v>0</v>
      </c>
      <c r="V186" s="2" t="inlineStr">
        <is>
          <t>Blåmossa</t>
        </is>
      </c>
      <c r="W186">
        <f>HYPERLINK("https://klasma.github.io/Logging_0980/artfynd/A 30104-2025 artfynd.xlsx", "A 30104-2025")</f>
        <v/>
      </c>
      <c r="X186">
        <f>HYPERLINK("https://klasma.github.io/Logging_0980/kartor/A 30104-2025 karta.png", "A 30104-2025")</f>
        <v/>
      </c>
      <c r="Y186">
        <f>HYPERLINK("https://klasma.github.io/Logging_0980/kartor_geotiff/A 30104-2025 georefererad karta.tif", "A 30104-2025")</f>
        <v/>
      </c>
      <c r="AA186">
        <f>HYPERLINK("https://klasma.github.io/Logging_0980/klagomål/A 30104-2025 FSC-klagomål.docx", "A 30104-2025")</f>
        <v/>
      </c>
      <c r="AB186">
        <f>HYPERLINK("https://klasma.github.io/Logging_0980/klagomålsmail/A 30104-2025 FSC-klagomål mail.docx", "A 30104-2025")</f>
        <v/>
      </c>
      <c r="AC186">
        <f>HYPERLINK("https://klasma.github.io/Logging_0980/tillsyn/A 30104-2025 tillsynsbegäran.docx", "A 30104-2025")</f>
        <v/>
      </c>
      <c r="AD186">
        <f>HYPERLINK("https://klasma.github.io/Logging_0980/tillsynsmail/A 30104-2025 tillsynsbegäran mail.docx", "A 30104-2025")</f>
        <v/>
      </c>
    </row>
    <row r="187" ht="15" customHeight="1">
      <c r="A187" t="inlineStr">
        <is>
          <t>A 49304-2024</t>
        </is>
      </c>
      <c r="B187" t="inlineStr">
        <is>
          <t>avverkningsanmälan</t>
        </is>
      </c>
      <c r="C187" t="inlineStr">
        <is>
          <t>Föryngringsavverkning</t>
        </is>
      </c>
      <c r="D187" s="1" t="n">
        <v>45595</v>
      </c>
      <c r="E187" s="1" t="n">
        <v>46296</v>
      </c>
      <c r="F187" t="inlineStr">
        <is>
          <t>GOTLANDS LÄN</t>
        </is>
      </c>
      <c r="G187" t="inlineStr">
        <is>
          <t>GOTLAND</t>
        </is>
      </c>
      <c r="I187" t="n">
        <v>10.8</v>
      </c>
      <c r="J187" t="n">
        <v>0</v>
      </c>
      <c r="K187" t="n">
        <v>0</v>
      </c>
      <c r="L187" t="n">
        <v>1</v>
      </c>
      <c r="M187" t="n">
        <v>0</v>
      </c>
      <c r="N187" t="n">
        <v>0</v>
      </c>
      <c r="O187" t="n">
        <v>0</v>
      </c>
      <c r="P187" t="n">
        <v>0</v>
      </c>
      <c r="Q187" t="n">
        <v>1</v>
      </c>
      <c r="R187" t="n">
        <v>0</v>
      </c>
      <c r="S187" t="n">
        <v>1</v>
      </c>
      <c r="T187" t="n">
        <v>1</v>
      </c>
      <c r="U187" t="n">
        <v>1</v>
      </c>
      <c r="V187" s="2" t="inlineStr">
        <is>
          <t>Åkerranunkel</t>
        </is>
      </c>
      <c r="W187">
        <f>HYPERLINK("https://klasma.github.io/Logging_0980/artfynd/A 49304-2024 artfynd.xlsx", "A 49304-2024")</f>
        <v/>
      </c>
      <c r="X187">
        <f>HYPERLINK("https://klasma.github.io/Logging_0980/kartor/A 49304-2024 karta.png", "A 49304-2024")</f>
        <v/>
      </c>
      <c r="Y187">
        <f>HYPERLINK("https://klasma.github.io/Logging_0980/kartor_geotiff/A 49304-2024 georefererad karta.tif", "A 49304-2024")</f>
        <v/>
      </c>
      <c r="AA187">
        <f>HYPERLINK("https://klasma.github.io/Logging_0980/klagomål/A 49304-2024 FSC-klagomål.docx", "A 49304-2024")</f>
        <v/>
      </c>
      <c r="AB187">
        <f>HYPERLINK("https://klasma.github.io/Logging_0980/klagomålsmail/A 49304-2024 FSC-klagomål mail.docx", "A 49304-2024")</f>
        <v/>
      </c>
      <c r="AC187">
        <f>HYPERLINK("https://klasma.github.io/Logging_0980/tillsyn/A 49304-2024 tillsynsbegäran.docx", "A 49304-2024")</f>
        <v/>
      </c>
      <c r="AD187">
        <f>HYPERLINK("https://klasma.github.io/Logging_0980/tillsynsmail/A 49304-2024 tillsynsbegäran mail.docx", "A 49304-2024")</f>
        <v/>
      </c>
    </row>
    <row r="188" ht="15" customHeight="1">
      <c r="A188" t="inlineStr">
        <is>
          <t>A 29809-2022</t>
        </is>
      </c>
      <c r="B188" t="inlineStr">
        <is>
          <t>avverkningsanmälan</t>
        </is>
      </c>
      <c r="C188" t="inlineStr">
        <is>
          <t>Föryngringsavverkning</t>
        </is>
      </c>
      <c r="D188" s="1" t="n">
        <v>44755</v>
      </c>
      <c r="E188" s="1" t="n">
        <v>46296</v>
      </c>
      <c r="F188" t="inlineStr">
        <is>
          <t>GOTLANDS LÄN</t>
        </is>
      </c>
      <c r="G188" t="inlineStr">
        <is>
          <t>GOTLAND</t>
        </is>
      </c>
      <c r="I188" t="n">
        <v>11.5</v>
      </c>
      <c r="J188" t="n">
        <v>1</v>
      </c>
      <c r="K188" t="n">
        <v>0</v>
      </c>
      <c r="L188" t="n">
        <v>1</v>
      </c>
      <c r="M188" t="n">
        <v>0</v>
      </c>
      <c r="N188" t="n">
        <v>0</v>
      </c>
      <c r="O188" t="n">
        <v>0</v>
      </c>
      <c r="P188" t="n">
        <v>0</v>
      </c>
      <c r="Q188" t="n">
        <v>1</v>
      </c>
      <c r="R188" t="n">
        <v>0</v>
      </c>
      <c r="S188" t="n">
        <v>1</v>
      </c>
      <c r="T188" t="n">
        <v>1</v>
      </c>
      <c r="U188" t="n">
        <v>1</v>
      </c>
      <c r="V188" s="2" t="inlineStr">
        <is>
          <t>Dårgräsfjäril</t>
        </is>
      </c>
      <c r="W188">
        <f>HYPERLINK("https://klasma.github.io/Logging_0980/artfynd/A 29809-2022 artfynd.xlsx", "A 29809-2022")</f>
        <v/>
      </c>
      <c r="X188">
        <f>HYPERLINK("https://klasma.github.io/Logging_0980/kartor/A 29809-2022 karta.png", "A 29809-2022")</f>
        <v/>
      </c>
      <c r="Y188">
        <f>HYPERLINK("https://klasma.github.io/Logging_0980/kartor_geotiff/A 29809-2022 georefererad karta.tif", "A 29809-2022")</f>
        <v/>
      </c>
      <c r="AA188">
        <f>HYPERLINK("https://klasma.github.io/Logging_0980/klagomål/A 29809-2022 FSC-klagomål.docx", "A 29809-2022")</f>
        <v/>
      </c>
      <c r="AB188">
        <f>HYPERLINK("https://klasma.github.io/Logging_0980/klagomålsmail/A 29809-2022 FSC-klagomål mail.docx", "A 29809-2022")</f>
        <v/>
      </c>
      <c r="AC188">
        <f>HYPERLINK("https://klasma.github.io/Logging_0980/tillsyn/A 29809-2022 tillsynsbegäran.docx", "A 29809-2022")</f>
        <v/>
      </c>
      <c r="AD188">
        <f>HYPERLINK("https://klasma.github.io/Logging_0980/tillsynsmail/A 29809-2022 tillsynsbegäran mail.docx", "A 29809-2022")</f>
        <v/>
      </c>
    </row>
    <row r="189" ht="15" customHeight="1">
      <c r="A189" t="inlineStr">
        <is>
          <t>A 57534-2022</t>
        </is>
      </c>
      <c r="B189" t="inlineStr">
        <is>
          <t>avverkningsanmälan</t>
        </is>
      </c>
      <c r="C189" t="inlineStr">
        <is>
          <t>Föryngringsavverkning</t>
        </is>
      </c>
      <c r="D189" s="1" t="n">
        <v>44896</v>
      </c>
      <c r="E189" s="1" t="n">
        <v>46296</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Myskmadra</t>
        </is>
      </c>
      <c r="W189">
        <f>HYPERLINK("https://klasma.github.io/Logging_0980/artfynd/A 57534-2022 artfynd.xlsx", "A 57534-2022")</f>
        <v/>
      </c>
      <c r="X189">
        <f>HYPERLINK("https://klasma.github.io/Logging_0980/kartor/A 57534-2022 karta.png", "A 57534-2022")</f>
        <v/>
      </c>
      <c r="Y189">
        <f>HYPERLINK("https://klasma.github.io/Logging_0980/kartor_geotiff/A 57534-2022 georefererad karta.tif", "A 57534-2022")</f>
        <v/>
      </c>
      <c r="AA189">
        <f>HYPERLINK("https://klasma.github.io/Logging_0980/klagomål/A 57534-2022 FSC-klagomål.docx", "A 57534-2022")</f>
        <v/>
      </c>
      <c r="AB189">
        <f>HYPERLINK("https://klasma.github.io/Logging_0980/klagomålsmail/A 57534-2022 FSC-klagomål mail.docx", "A 57534-2022")</f>
        <v/>
      </c>
      <c r="AC189">
        <f>HYPERLINK("https://klasma.github.io/Logging_0980/tillsyn/A 57534-2022 tillsynsbegäran.docx", "A 57534-2022")</f>
        <v/>
      </c>
      <c r="AD189">
        <f>HYPERLINK("https://klasma.github.io/Logging_0980/tillsynsmail/A 57534-2022 tillsynsbegäran mail.docx", "A 57534-2022")</f>
        <v/>
      </c>
    </row>
    <row r="190" ht="15" customHeight="1">
      <c r="A190" t="inlineStr">
        <is>
          <t>A 22782-2023</t>
        </is>
      </c>
      <c r="B190" t="inlineStr">
        <is>
          <t>avverkningsanmälan</t>
        </is>
      </c>
      <c r="C190" t="inlineStr">
        <is>
          <t>Föryngringsavverkning</t>
        </is>
      </c>
      <c r="D190" s="1" t="n">
        <v>45072</v>
      </c>
      <c r="E190" s="1" t="n">
        <v>46296</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6303-2024</t>
        </is>
      </c>
      <c r="B191" t="inlineStr">
        <is>
          <t>avverkningsanmälan</t>
        </is>
      </c>
      <c r="C191" t="inlineStr">
        <is>
          <t>Föryngringsavverkning</t>
        </is>
      </c>
      <c r="D191" s="1" t="n">
        <v>45338</v>
      </c>
      <c r="E191" s="1" t="n">
        <v>46296</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Strävlosta</t>
        </is>
      </c>
      <c r="W191">
        <f>HYPERLINK("https://klasma.github.io/Logging_0980/artfynd/A 6303-2024 artfynd.xlsx", "A 6303-2024")</f>
        <v/>
      </c>
      <c r="X191">
        <f>HYPERLINK("https://klasma.github.io/Logging_0980/kartor/A 6303-2024 karta.png", "A 6303-2024")</f>
        <v/>
      </c>
      <c r="Y191">
        <f>HYPERLINK("https://klasma.github.io/Logging_0980/kartor_geotiff/A 6303-2024 georefererad karta.tif", "A 6303-2024")</f>
        <v/>
      </c>
      <c r="AA191">
        <f>HYPERLINK("https://klasma.github.io/Logging_0980/klagomål/A 6303-2024 FSC-klagomål.docx", "A 6303-2024")</f>
        <v/>
      </c>
      <c r="AB191">
        <f>HYPERLINK("https://klasma.github.io/Logging_0980/klagomålsmail/A 6303-2024 FSC-klagomål mail.docx", "A 6303-2024")</f>
        <v/>
      </c>
      <c r="AC191">
        <f>HYPERLINK("https://klasma.github.io/Logging_0980/tillsyn/A 6303-2024 tillsynsbegäran.docx", "A 6303-2024")</f>
        <v/>
      </c>
      <c r="AD191">
        <f>HYPERLINK("https://klasma.github.io/Logging_0980/tillsynsmail/A 6303-2024 tillsynsbegäran mail.docx", "A 6303-2024")</f>
        <v/>
      </c>
    </row>
    <row r="192" ht="15" customHeight="1">
      <c r="A192" t="inlineStr">
        <is>
          <t>A 62552-2022</t>
        </is>
      </c>
      <c r="B192" t="inlineStr">
        <is>
          <t>avverkningsanmälan</t>
        </is>
      </c>
      <c r="C192" t="inlineStr">
        <is>
          <t>Föryngringsavverkning</t>
        </is>
      </c>
      <c r="D192" s="1" t="n">
        <v>44924</v>
      </c>
      <c r="E192" s="1" t="n">
        <v>46296</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Äggspindling</t>
        </is>
      </c>
      <c r="W192">
        <f>HYPERLINK("https://klasma.github.io/Logging_0980/artfynd/A 62552-2022 artfynd.xlsx", "A 62552-2022")</f>
        <v/>
      </c>
      <c r="X192">
        <f>HYPERLINK("https://klasma.github.io/Logging_0980/kartor/A 62552-2022 karta.png", "A 62552-2022")</f>
        <v/>
      </c>
      <c r="Y192">
        <f>HYPERLINK("https://klasma.github.io/Logging_0980/kartor_geotiff/A 62552-2022 georefererad karta.tif", "A 62552-2022")</f>
        <v/>
      </c>
      <c r="AA192">
        <f>HYPERLINK("https://klasma.github.io/Logging_0980/klagomål/A 62552-2022 FSC-klagomål.docx", "A 62552-2022")</f>
        <v/>
      </c>
      <c r="AB192">
        <f>HYPERLINK("https://klasma.github.io/Logging_0980/klagomålsmail/A 62552-2022 FSC-klagomål mail.docx", "A 62552-2022")</f>
        <v/>
      </c>
      <c r="AC192">
        <f>HYPERLINK("https://klasma.github.io/Logging_0980/tillsyn/A 62552-2022 tillsynsbegäran.docx", "A 62552-2022")</f>
        <v/>
      </c>
      <c r="AD192">
        <f>HYPERLINK("https://klasma.github.io/Logging_0980/tillsynsmail/A 62552-2022 tillsynsbegäran mail.docx", "A 62552-2022")</f>
        <v/>
      </c>
    </row>
    <row r="193" ht="15" customHeight="1">
      <c r="A193" t="inlineStr">
        <is>
          <t>A 25977-2024</t>
        </is>
      </c>
      <c r="B193" t="inlineStr">
        <is>
          <t>avverkningsanmälan</t>
        </is>
      </c>
      <c r="C193" t="inlineStr">
        <is>
          <t>Föryngringsavverkning</t>
        </is>
      </c>
      <c r="D193" s="1" t="n">
        <v>45467</v>
      </c>
      <c r="E193" s="1" t="n">
        <v>46296</v>
      </c>
      <c r="F193" t="inlineStr">
        <is>
          <t>GOTLANDS LÄN</t>
        </is>
      </c>
      <c r="G193" t="inlineStr">
        <is>
          <t>GOTLAND</t>
        </is>
      </c>
      <c r="I193" t="n">
        <v>3</v>
      </c>
      <c r="J193" t="n">
        <v>1</v>
      </c>
      <c r="K193" t="n">
        <v>0</v>
      </c>
      <c r="L193" t="n">
        <v>0</v>
      </c>
      <c r="M193" t="n">
        <v>0</v>
      </c>
      <c r="N193" t="n">
        <v>0</v>
      </c>
      <c r="O193" t="n">
        <v>0</v>
      </c>
      <c r="P193" t="n">
        <v>0</v>
      </c>
      <c r="Q193" t="n">
        <v>0</v>
      </c>
      <c r="R193" t="n">
        <v>0</v>
      </c>
      <c r="S193" t="n">
        <v>1</v>
      </c>
      <c r="T193" t="n">
        <v>1</v>
      </c>
      <c r="U193" t="n">
        <v>1</v>
      </c>
      <c r="V193" s="2" t="inlineStr">
        <is>
          <t>Nattviol</t>
        </is>
      </c>
      <c r="W193">
        <f>HYPERLINK("https://klasma.github.io/Logging_0980/artfynd/A 25977-2024 artfynd.xlsx", "A 25977-2024")</f>
        <v/>
      </c>
      <c r="X193">
        <f>HYPERLINK("https://klasma.github.io/Logging_0980/kartor/A 25977-2024 karta.png", "A 25977-2024")</f>
        <v/>
      </c>
      <c r="Y193">
        <f>HYPERLINK("https://klasma.github.io/Logging_0980/kartor_geotiff/A 25977-2024 georefererad karta.tif", "A 25977-2024")</f>
        <v/>
      </c>
      <c r="AA193">
        <f>HYPERLINK("https://klasma.github.io/Logging_0980/klagomål/A 25977-2024 FSC-klagomål.docx", "A 25977-2024")</f>
        <v/>
      </c>
      <c r="AB193">
        <f>HYPERLINK("https://klasma.github.io/Logging_0980/klagomålsmail/A 25977-2024 FSC-klagomål mail.docx", "A 25977-2024")</f>
        <v/>
      </c>
      <c r="AC193">
        <f>HYPERLINK("https://klasma.github.io/Logging_0980/tillsyn/A 25977-2024 tillsynsbegäran.docx", "A 25977-2024")</f>
        <v/>
      </c>
      <c r="AD193">
        <f>HYPERLINK("https://klasma.github.io/Logging_0980/tillsynsmail/A 25977-2024 tillsynsbegäran mail.docx", "A 25977-2024")</f>
        <v/>
      </c>
    </row>
    <row r="194" ht="15" customHeight="1">
      <c r="A194" t="inlineStr">
        <is>
          <t>A 30489-2025</t>
        </is>
      </c>
      <c r="B194" t="inlineStr">
        <is>
          <t>avverkningsanmälan</t>
        </is>
      </c>
      <c r="C194" t="inlineStr">
        <is>
          <t>Föryngringsavverkning</t>
        </is>
      </c>
      <c r="D194" s="1" t="n">
        <v>45830</v>
      </c>
      <c r="E194" s="1" t="n">
        <v>46296</v>
      </c>
      <c r="F194" t="inlineStr">
        <is>
          <t>GOTLANDS LÄN</t>
        </is>
      </c>
      <c r="G194" t="inlineStr">
        <is>
          <t>GOTLAND</t>
        </is>
      </c>
      <c r="I194" t="n">
        <v>4.6</v>
      </c>
      <c r="J194" t="n">
        <v>0</v>
      </c>
      <c r="K194" t="n">
        <v>0</v>
      </c>
      <c r="L194" t="n">
        <v>1</v>
      </c>
      <c r="M194" t="n">
        <v>0</v>
      </c>
      <c r="N194" t="n">
        <v>0</v>
      </c>
      <c r="O194" t="n">
        <v>0</v>
      </c>
      <c r="P194" t="n">
        <v>0</v>
      </c>
      <c r="Q194" t="n">
        <v>1</v>
      </c>
      <c r="R194" t="n">
        <v>0</v>
      </c>
      <c r="S194" t="n">
        <v>1</v>
      </c>
      <c r="T194" t="n">
        <v>1</v>
      </c>
      <c r="U194" t="n">
        <v>0</v>
      </c>
      <c r="V194" s="2" t="inlineStr">
        <is>
          <t>Skarp dropptaggsvamp</t>
        </is>
      </c>
      <c r="W194">
        <f>HYPERLINK("https://klasma.github.io/Logging_0980/artfynd/A 30489-2025 artfynd.xlsx", "A 30489-2025")</f>
        <v/>
      </c>
      <c r="X194">
        <f>HYPERLINK("https://klasma.github.io/Logging_0980/kartor/A 30489-2025 karta.png", "A 30489-2025")</f>
        <v/>
      </c>
      <c r="Y194">
        <f>HYPERLINK("https://klasma.github.io/Logging_0980/kartor_geotiff/A 30489-2025 georefererad karta.tif", "A 30489-2025")</f>
        <v/>
      </c>
      <c r="AA194">
        <f>HYPERLINK("https://klasma.github.io/Logging_0980/klagomål/A 30489-2025 FSC-klagomål.docx", "A 30489-2025")</f>
        <v/>
      </c>
      <c r="AB194">
        <f>HYPERLINK("https://klasma.github.io/Logging_0980/klagomålsmail/A 30489-2025 FSC-klagomål mail.docx", "A 30489-2025")</f>
        <v/>
      </c>
      <c r="AC194">
        <f>HYPERLINK("https://klasma.github.io/Logging_0980/tillsyn/A 30489-2025 tillsynsbegäran.docx", "A 30489-2025")</f>
        <v/>
      </c>
      <c r="AD194">
        <f>HYPERLINK("https://klasma.github.io/Logging_0980/tillsynsmail/A 30489-2025 tillsynsbegäran mail.docx", "A 30489-2025")</f>
        <v/>
      </c>
    </row>
    <row r="195" ht="15" customHeight="1">
      <c r="A195" t="inlineStr">
        <is>
          <t>A 4662-2026</t>
        </is>
      </c>
      <c r="B195" t="inlineStr">
        <is>
          <t>avverkningsanmälan</t>
        </is>
      </c>
      <c r="C195" t="inlineStr">
        <is>
          <t>Föryngringsavverkning</t>
        </is>
      </c>
      <c r="D195" s="1" t="n">
        <v>46048</v>
      </c>
      <c r="E195" s="1" t="n">
        <v>46296</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30176-2026</t>
        </is>
      </c>
      <c r="B196" t="inlineStr">
        <is>
          <t>avverkningsanmälan</t>
        </is>
      </c>
      <c r="C196" t="inlineStr">
        <is>
          <t>Avverkning för annat ändamål</t>
        </is>
      </c>
      <c r="D196" s="1" t="n">
        <v>46203</v>
      </c>
      <c r="E196" s="1" t="n">
        <v>46296</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5863-2026</t>
        </is>
      </c>
      <c r="B197" t="inlineStr">
        <is>
          <t>avverkningsanmälan</t>
        </is>
      </c>
      <c r="C197" t="inlineStr">
        <is>
          <t>Föryngringsavverkning</t>
        </is>
      </c>
      <c r="D197" s="1" t="n">
        <v>46052</v>
      </c>
      <c r="E197" s="1" t="n">
        <v>46296</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18036-2026</t>
        </is>
      </c>
      <c r="B198" t="inlineStr">
        <is>
          <t>avverkningsanmälan</t>
        </is>
      </c>
      <c r="C198" t="inlineStr">
        <is>
          <t>Föryngringsavverkning</t>
        </is>
      </c>
      <c r="D198" s="1" t="n">
        <v>46125</v>
      </c>
      <c r="E198" s="1" t="n">
        <v>46296</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46296</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64700-2021</t>
        </is>
      </c>
      <c r="B200" t="inlineStr">
        <is>
          <t>avverkningsanmälan</t>
        </is>
      </c>
      <c r="C200" t="inlineStr">
        <is>
          <t>Avverkning för att bevara och utveckla /försöksver</t>
        </is>
      </c>
      <c r="D200" s="1" t="n">
        <v>44511</v>
      </c>
      <c r="E200" s="1" t="n">
        <v>46296</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27343-2026</t>
        </is>
      </c>
      <c r="B201" t="inlineStr">
        <is>
          <t>avverkningsanmälan</t>
        </is>
      </c>
      <c r="C201" t="inlineStr">
        <is>
          <t>Föryngringsavverkning</t>
        </is>
      </c>
      <c r="D201" s="1" t="n">
        <v>46188</v>
      </c>
      <c r="E201" s="1" t="n">
        <v>46296</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S 2744-2023</t>
        </is>
      </c>
      <c r="B202" t="inlineStr">
        <is>
          <t>samrådsanmälan</t>
        </is>
      </c>
      <c r="C202" t="inlineStr">
        <is>
          <t>Annan skogsbruksåtgärd</t>
        </is>
      </c>
      <c r="D202" s="1" t="n">
        <v>45159</v>
      </c>
      <c r="E202" s="1" t="n">
        <v>46296</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46296</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46296</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46296</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46296</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46296</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46296</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46296</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46296</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22495-2022</t>
        </is>
      </c>
      <c r="B211" t="inlineStr">
        <is>
          <t>avverkningsanmälan</t>
        </is>
      </c>
      <c r="C211" t="inlineStr">
        <is>
          <t>Föryngringsavverkning</t>
        </is>
      </c>
      <c r="D211" s="1" t="n">
        <v>44713</v>
      </c>
      <c r="E211" s="1" t="n">
        <v>46296</v>
      </c>
      <c r="F211" t="inlineStr">
        <is>
          <t>GOTLANDS LÄN</t>
        </is>
      </c>
      <c r="G211" t="inlineStr">
        <is>
          <t>GOTLAND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58224-2021</t>
        </is>
      </c>
      <c r="B212" t="inlineStr">
        <is>
          <t>avverkningsanmälan</t>
        </is>
      </c>
      <c r="C212" t="inlineStr">
        <is>
          <t>Föryngringsavverkning</t>
        </is>
      </c>
      <c r="D212" s="1" t="n">
        <v>44487</v>
      </c>
      <c r="E212" s="1" t="n">
        <v>46296</v>
      </c>
      <c r="F212" t="inlineStr">
        <is>
          <t>GOTLANDS LÄN</t>
        </is>
      </c>
      <c r="G212" t="inlineStr">
        <is>
          <t>GOTLAND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46296</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44942-2022</t>
        </is>
      </c>
      <c r="B214" t="inlineStr">
        <is>
          <t>avverkningsanmälan</t>
        </is>
      </c>
      <c r="C214" t="inlineStr">
        <is>
          <t>Föryngringsavverkning</t>
        </is>
      </c>
      <c r="D214" s="1" t="n">
        <v>44841</v>
      </c>
      <c r="E214" s="1" t="n">
        <v>46296</v>
      </c>
      <c r="F214" t="inlineStr">
        <is>
          <t>GOTLANDS LÄN</t>
        </is>
      </c>
      <c r="G214" t="inlineStr">
        <is>
          <t>GOTLAND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53225-2022</t>
        </is>
      </c>
      <c r="B215" t="inlineStr">
        <is>
          <t>avverkningsanmälan</t>
        </is>
      </c>
      <c r="C215" t="inlineStr">
        <is>
          <t>Föryngringsavverkning</t>
        </is>
      </c>
      <c r="D215" s="1" t="n">
        <v>44876</v>
      </c>
      <c r="E215" s="1" t="n">
        <v>46296</v>
      </c>
      <c r="F215" t="inlineStr">
        <is>
          <t>GOTLANDS LÄN</t>
        </is>
      </c>
      <c r="G215" t="inlineStr">
        <is>
          <t>GOTLAND</t>
        </is>
      </c>
      <c r="H215" t="inlineStr">
        <is>
          <t>Kyrkan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65393-2021</t>
        </is>
      </c>
      <c r="B216" t="inlineStr">
        <is>
          <t>avverkningsanmälan</t>
        </is>
      </c>
      <c r="C216" t="inlineStr">
        <is>
          <t>Föryngringsavverkning</t>
        </is>
      </c>
      <c r="D216" s="1" t="n">
        <v>44515</v>
      </c>
      <c r="E216" s="1" t="n">
        <v>46296</v>
      </c>
      <c r="F216" t="inlineStr">
        <is>
          <t>GOTLANDS LÄN</t>
        </is>
      </c>
      <c r="G216" t="inlineStr">
        <is>
          <t>GOTLAND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46296</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46296</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46296</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57219-2021</t>
        </is>
      </c>
      <c r="B220" t="inlineStr">
        <is>
          <t>avverkningsanmälan</t>
        </is>
      </c>
      <c r="C220" t="inlineStr">
        <is>
          <t>Föryngringsavverkning</t>
        </is>
      </c>
      <c r="D220" s="1" t="n">
        <v>44483</v>
      </c>
      <c r="E220" s="1" t="n">
        <v>46296</v>
      </c>
      <c r="F220" t="inlineStr">
        <is>
          <t>GOTLANDS LÄN</t>
        </is>
      </c>
      <c r="G220" t="inlineStr">
        <is>
          <t>GOTLAND</t>
        </is>
      </c>
      <c r="H220" t="inlineStr">
        <is>
          <t>Kyrkan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17901-2023</t>
        </is>
      </c>
      <c r="B221" t="inlineStr">
        <is>
          <t>avverkningsanmälan</t>
        </is>
      </c>
      <c r="C221" t="inlineStr">
        <is>
          <t>Föryngringsavverkning</t>
        </is>
      </c>
      <c r="D221" s="1" t="n">
        <v>45039</v>
      </c>
      <c r="E221" s="1" t="n">
        <v>46296</v>
      </c>
      <c r="F221" t="inlineStr">
        <is>
          <t>GOTLANDS LÄN</t>
        </is>
      </c>
      <c r="G221" t="inlineStr">
        <is>
          <t>GOTLAND</t>
        </is>
      </c>
      <c r="H221" t="inlineStr">
        <is>
          <t>Kyrkan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456-2023</t>
        </is>
      </c>
      <c r="B222" t="inlineStr">
        <is>
          <t>avverkningsanmälan</t>
        </is>
      </c>
      <c r="C222" t="inlineStr">
        <is>
          <t>Föryngringsavverkning</t>
        </is>
      </c>
      <c r="D222" s="1" t="n">
        <v>44929</v>
      </c>
      <c r="E222" s="1" t="n">
        <v>46296</v>
      </c>
      <c r="F222" t="inlineStr">
        <is>
          <t>GOTLANDS LÄN</t>
        </is>
      </c>
      <c r="G222" t="inlineStr">
        <is>
          <t>GOTLAND</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46296</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46296</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20855-2023</t>
        </is>
      </c>
      <c r="B225" t="inlineStr">
        <is>
          <t>avverkningsanmälan</t>
        </is>
      </c>
      <c r="C225" t="inlineStr">
        <is>
          <t>Föryngringsavverkning</t>
        </is>
      </c>
      <c r="D225" s="1" t="n">
        <v>45058</v>
      </c>
      <c r="E225" s="1" t="n">
        <v>46296</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60709-2023</t>
        </is>
      </c>
      <c r="B226" t="inlineStr">
        <is>
          <t>avverkningsanmälan</t>
        </is>
      </c>
      <c r="C226" t="inlineStr">
        <is>
          <t>Föryngringsavverkning</t>
        </is>
      </c>
      <c r="D226" s="1" t="n">
        <v>45260</v>
      </c>
      <c r="E226" s="1" t="n">
        <v>46296</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42041-2024</t>
        </is>
      </c>
      <c r="B227" t="inlineStr">
        <is>
          <t>avverkningsanmälan</t>
        </is>
      </c>
      <c r="C227" t="inlineStr">
        <is>
          <t>Föryngringsavverkning</t>
        </is>
      </c>
      <c r="D227" s="1" t="n">
        <v>45561</v>
      </c>
      <c r="E227" s="1" t="n">
        <v>46296</v>
      </c>
      <c r="F227" t="inlineStr">
        <is>
          <t>GOTLANDS LÄN</t>
        </is>
      </c>
      <c r="G227" t="inlineStr">
        <is>
          <t>GOTLAND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1000-2024</t>
        </is>
      </c>
      <c r="B228" t="inlineStr">
        <is>
          <t>avverkningsanmälan</t>
        </is>
      </c>
      <c r="C228" t="inlineStr">
        <is>
          <t>Föryngringsavverkning</t>
        </is>
      </c>
      <c r="D228" s="1" t="n">
        <v>45301</v>
      </c>
      <c r="E228" s="1" t="n">
        <v>46296</v>
      </c>
      <c r="F228" t="inlineStr">
        <is>
          <t>GOTLANDS LÄN</t>
        </is>
      </c>
      <c r="G228" t="inlineStr">
        <is>
          <t>GOTLAND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65249-2023</t>
        </is>
      </c>
      <c r="B229" t="inlineStr">
        <is>
          <t>avverkningsanmälan</t>
        </is>
      </c>
      <c r="C229" t="inlineStr">
        <is>
          <t>Föryngringsavverkning</t>
        </is>
      </c>
      <c r="D229" s="1" t="n">
        <v>45290</v>
      </c>
      <c r="E229" s="1" t="n">
        <v>46296</v>
      </c>
      <c r="F229" t="inlineStr">
        <is>
          <t>GOTLANDS LÄN</t>
        </is>
      </c>
      <c r="G229" t="inlineStr">
        <is>
          <t>GOTLAND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25866-2022</t>
        </is>
      </c>
      <c r="B230" t="inlineStr">
        <is>
          <t>avverkningsanmälan</t>
        </is>
      </c>
      <c r="C230" t="inlineStr">
        <is>
          <t>Föryngringsavverkning</t>
        </is>
      </c>
      <c r="D230" s="1" t="n">
        <v>44733</v>
      </c>
      <c r="E230" s="1" t="n">
        <v>46296</v>
      </c>
      <c r="F230" t="inlineStr">
        <is>
          <t>GOTLANDS LÄN</t>
        </is>
      </c>
      <c r="G230" t="inlineStr">
        <is>
          <t>GOTLAND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30956-2024</t>
        </is>
      </c>
      <c r="B231" t="inlineStr">
        <is>
          <t>avverkningsanmälan</t>
        </is>
      </c>
      <c r="C231" t="inlineStr">
        <is>
          <t>Föryngringsavverkning</t>
        </is>
      </c>
      <c r="D231" s="1" t="n">
        <v>45499</v>
      </c>
      <c r="E231" s="1" t="n">
        <v>46296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12596-2023</t>
        </is>
      </c>
      <c r="B232" t="inlineStr">
        <is>
          <t>avverkningsanmälan</t>
        </is>
      </c>
      <c r="C232" t="inlineStr">
        <is>
          <t>Föryngringsavverkning</t>
        </is>
      </c>
      <c r="D232" s="1" t="n">
        <v>45000</v>
      </c>
      <c r="E232" s="1" t="n">
        <v>46296</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8045-2022</t>
        </is>
      </c>
      <c r="B233" t="inlineStr">
        <is>
          <t>avverkningsanmälan</t>
        </is>
      </c>
      <c r="C233" t="inlineStr">
        <is>
          <t>Föryngringsavverkning</t>
        </is>
      </c>
      <c r="D233" s="1" t="n">
        <v>44609</v>
      </c>
      <c r="E233" s="1" t="n">
        <v>46296</v>
      </c>
      <c r="F233" t="inlineStr">
        <is>
          <t>GOTLANDS LÄN</t>
        </is>
      </c>
      <c r="G233" t="inlineStr">
        <is>
          <t>GOTLAND</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9887-2025</t>
        </is>
      </c>
      <c r="B234" t="inlineStr">
        <is>
          <t>avverkningsanmälan</t>
        </is>
      </c>
      <c r="C234" t="inlineStr">
        <is>
          <t>Föryngringsavverkning</t>
        </is>
      </c>
      <c r="D234" s="1" t="n">
        <v>45716</v>
      </c>
      <c r="E234" s="1" t="n">
        <v>46296</v>
      </c>
      <c r="F234" t="inlineStr">
        <is>
          <t>GOTLANDS LÄN</t>
        </is>
      </c>
      <c r="G234" t="inlineStr">
        <is>
          <t>GOTLAND</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59986-2022</t>
        </is>
      </c>
      <c r="B235" t="inlineStr">
        <is>
          <t>avverkningsanmälan</t>
        </is>
      </c>
      <c r="C235" t="inlineStr">
        <is>
          <t>Avverkning för annat ändamål</t>
        </is>
      </c>
      <c r="D235" s="1" t="n">
        <v>44909</v>
      </c>
      <c r="E235" s="1" t="n">
        <v>46296</v>
      </c>
      <c r="F235" t="inlineStr">
        <is>
          <t>GOTLANDS LÄN</t>
        </is>
      </c>
      <c r="G235" t="inlineStr">
        <is>
          <t>GOTLAND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21247-2022</t>
        </is>
      </c>
      <c r="B236" t="inlineStr">
        <is>
          <t>avverkningsanmälan</t>
        </is>
      </c>
      <c r="C236" t="inlineStr">
        <is>
          <t>Föryngringsavverkning</t>
        </is>
      </c>
      <c r="D236" s="1" t="n">
        <v>44705</v>
      </c>
      <c r="E236" s="1" t="n">
        <v>46296</v>
      </c>
      <c r="F236" t="inlineStr">
        <is>
          <t>GOTLANDS LÄN</t>
        </is>
      </c>
      <c r="G236" t="inlineStr">
        <is>
          <t>GOTLAND</t>
        </is>
      </c>
      <c r="I236" t="n">
        <v>16.2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999-2024</t>
        </is>
      </c>
      <c r="B237" t="inlineStr">
        <is>
          <t>avverkningsanmälan</t>
        </is>
      </c>
      <c r="C237" t="inlineStr">
        <is>
          <t>Föryngringsavverkning</t>
        </is>
      </c>
      <c r="D237" s="1" t="n">
        <v>45301</v>
      </c>
      <c r="E237" s="1" t="n">
        <v>46296</v>
      </c>
      <c r="F237" t="inlineStr">
        <is>
          <t>GOTLANDS LÄN</t>
        </is>
      </c>
      <c r="G237" t="inlineStr">
        <is>
          <t>GOTLAND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65901-2021</t>
        </is>
      </c>
      <c r="B238" t="inlineStr">
        <is>
          <t>avverkningsanmälan</t>
        </is>
      </c>
      <c r="C238" t="inlineStr">
        <is>
          <t>Föryngringsavverkning</t>
        </is>
      </c>
      <c r="D238" s="1" t="n">
        <v>44516</v>
      </c>
      <c r="E238" s="1" t="n">
        <v>46296</v>
      </c>
      <c r="F238" t="inlineStr">
        <is>
          <t>GOTLANDS LÄN</t>
        </is>
      </c>
      <c r="G238" t="inlineStr">
        <is>
          <t>GOTLAND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47762-2023</t>
        </is>
      </c>
      <c r="B239" t="inlineStr">
        <is>
          <t>avverkningsanmälan</t>
        </is>
      </c>
      <c r="C239" t="inlineStr">
        <is>
          <t>Föryngringsavverkning</t>
        </is>
      </c>
      <c r="D239" s="1" t="n">
        <v>45203</v>
      </c>
      <c r="E239" s="1" t="n">
        <v>46296</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31802-2024</t>
        </is>
      </c>
      <c r="B240" t="inlineStr">
        <is>
          <t>avverkningsanmälan</t>
        </is>
      </c>
      <c r="C240" t="inlineStr">
        <is>
          <t>Avverkning för annat ändamål</t>
        </is>
      </c>
      <c r="D240" s="1" t="n">
        <v>45509</v>
      </c>
      <c r="E240" s="1" t="n">
        <v>46296</v>
      </c>
      <c r="F240" t="inlineStr">
        <is>
          <t>GOTLANDS LÄN</t>
        </is>
      </c>
      <c r="G240" t="inlineStr">
        <is>
          <t>GOTLAND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17780-2022</t>
        </is>
      </c>
      <c r="B241" t="inlineStr">
        <is>
          <t>avverkningsanmälan</t>
        </is>
      </c>
      <c r="C241" t="inlineStr">
        <is>
          <t>Föryngringsavverkning</t>
        </is>
      </c>
      <c r="D241" s="1" t="n">
        <v>44682</v>
      </c>
      <c r="E241" s="1" t="n">
        <v>46296</v>
      </c>
      <c r="F241" t="inlineStr">
        <is>
          <t>GOTLANDS LÄN</t>
        </is>
      </c>
      <c r="G241" t="inlineStr">
        <is>
          <t>GOTLAND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46296</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58780-2024</t>
        </is>
      </c>
      <c r="B243" t="inlineStr">
        <is>
          <t>avverkningsanmälan</t>
        </is>
      </c>
      <c r="C243" t="inlineStr">
        <is>
          <t>Föryngringsavverkning</t>
        </is>
      </c>
      <c r="D243" s="1" t="n">
        <v>45635</v>
      </c>
      <c r="E243" s="1" t="n">
        <v>46296</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12322-2025</t>
        </is>
      </c>
      <c r="B244" t="inlineStr">
        <is>
          <t>avverkningsanmälan</t>
        </is>
      </c>
      <c r="C244" t="inlineStr">
        <is>
          <t>Föryngringsavverkning</t>
        </is>
      </c>
      <c r="D244" s="1" t="n">
        <v>45730</v>
      </c>
      <c r="E244" s="1" t="n">
        <v>46296</v>
      </c>
      <c r="F244" t="inlineStr">
        <is>
          <t>GOTLANDS LÄN</t>
        </is>
      </c>
      <c r="G244" t="inlineStr">
        <is>
          <t>GOTLAND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20993-2023</t>
        </is>
      </c>
      <c r="B245" t="inlineStr">
        <is>
          <t>avverkningsanmälan</t>
        </is>
      </c>
      <c r="C245" t="inlineStr">
        <is>
          <t>Föryngringsavverkning</t>
        </is>
      </c>
      <c r="D245" s="1" t="n">
        <v>45056</v>
      </c>
      <c r="E245" s="1" t="n">
        <v>46296</v>
      </c>
      <c r="F245" t="inlineStr">
        <is>
          <t>GOTLANDS LÄN</t>
        </is>
      </c>
      <c r="G245" t="inlineStr">
        <is>
          <t>GOTLAND</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53935-2024</t>
        </is>
      </c>
      <c r="B246" t="inlineStr">
        <is>
          <t>avverkningsanmälan</t>
        </is>
      </c>
      <c r="C246" t="inlineStr">
        <is>
          <t>Föryngringsavverkning</t>
        </is>
      </c>
      <c r="D246" s="1" t="n">
        <v>45615</v>
      </c>
      <c r="E246" s="1" t="n">
        <v>46296</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61596-2023</t>
        </is>
      </c>
      <c r="B247" t="inlineStr">
        <is>
          <t>avverkningsanmälan</t>
        </is>
      </c>
      <c r="C247" t="inlineStr">
        <is>
          <t>Föryngringsavverkning</t>
        </is>
      </c>
      <c r="D247" s="1" t="n">
        <v>45265</v>
      </c>
      <c r="E247" s="1" t="n">
        <v>46296</v>
      </c>
      <c r="F247" t="inlineStr">
        <is>
          <t>GOTLANDS LÄN</t>
        </is>
      </c>
      <c r="G247" t="inlineStr">
        <is>
          <t>GOTLAND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873-2024</t>
        </is>
      </c>
      <c r="B248" t="inlineStr">
        <is>
          <t>avverkningsanmälan</t>
        </is>
      </c>
      <c r="C248" t="inlineStr">
        <is>
          <t>Avverkning för annat ändamål</t>
        </is>
      </c>
      <c r="D248" s="1" t="n">
        <v>45301</v>
      </c>
      <c r="E248" s="1" t="n">
        <v>46296</v>
      </c>
      <c r="F248" t="inlineStr">
        <is>
          <t>GOTLANDS LÄN</t>
        </is>
      </c>
      <c r="G248" t="inlineStr">
        <is>
          <t>GOTLAND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24192-2023</t>
        </is>
      </c>
      <c r="B249" t="inlineStr">
        <is>
          <t>avverkningsanmälan</t>
        </is>
      </c>
      <c r="C249" t="inlineStr">
        <is>
          <t>Föryngringsavverkning</t>
        </is>
      </c>
      <c r="D249" s="1" t="n">
        <v>45079</v>
      </c>
      <c r="E249" s="1" t="n">
        <v>46296</v>
      </c>
      <c r="F249" t="inlineStr">
        <is>
          <t>GOTLANDS LÄN</t>
        </is>
      </c>
      <c r="G249" t="inlineStr">
        <is>
          <t>GOTLAND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30282-2022</t>
        </is>
      </c>
      <c r="B250" t="inlineStr">
        <is>
          <t>avverkningsanmälan</t>
        </is>
      </c>
      <c r="C250" t="inlineStr">
        <is>
          <t>Föryngringsavverkning</t>
        </is>
      </c>
      <c r="D250" s="1" t="n">
        <v>44760</v>
      </c>
      <c r="E250" s="1" t="n">
        <v>46296</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44228-2022</t>
        </is>
      </c>
      <c r="B251" t="inlineStr">
        <is>
          <t>avverkningsanmälan</t>
        </is>
      </c>
      <c r="C251" t="inlineStr">
        <is>
          <t>Föryngringsavverkning</t>
        </is>
      </c>
      <c r="D251" s="1" t="n">
        <v>44839</v>
      </c>
      <c r="E251" s="1" t="n">
        <v>46296</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48734-2022</t>
        </is>
      </c>
      <c r="B252" t="inlineStr">
        <is>
          <t>avverkningsanmälan</t>
        </is>
      </c>
      <c r="C252" t="inlineStr">
        <is>
          <t>Föryngringsavverkning</t>
        </is>
      </c>
      <c r="D252" s="1" t="n">
        <v>44855</v>
      </c>
      <c r="E252" s="1" t="n">
        <v>46296</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7835-2024</t>
        </is>
      </c>
      <c r="B253" t="inlineStr">
        <is>
          <t>avverkningsanmälan</t>
        </is>
      </c>
      <c r="C253" t="inlineStr">
        <is>
          <t>Föryngringsavverkning</t>
        </is>
      </c>
      <c r="D253" s="1" t="n">
        <v>45349</v>
      </c>
      <c r="E253" s="1" t="n">
        <v>46296</v>
      </c>
      <c r="F253" t="inlineStr">
        <is>
          <t>GOTLANDS LÄN</t>
        </is>
      </c>
      <c r="G253" t="inlineStr">
        <is>
          <t>GOTLAND</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23516-2023</t>
        </is>
      </c>
      <c r="B254" t="inlineStr">
        <is>
          <t>avverkningsanmälan</t>
        </is>
      </c>
      <c r="C254" t="inlineStr">
        <is>
          <t>Föryngringsavverkning</t>
        </is>
      </c>
      <c r="D254" s="1" t="n">
        <v>45076</v>
      </c>
      <c r="E254" s="1" t="n">
        <v>46296</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43231-2023</t>
        </is>
      </c>
      <c r="B255" t="inlineStr">
        <is>
          <t>avverkningsanmälan</t>
        </is>
      </c>
      <c r="C255" t="inlineStr">
        <is>
          <t>Föryngringsavverkning</t>
        </is>
      </c>
      <c r="D255" s="1" t="n">
        <v>45183</v>
      </c>
      <c r="E255" s="1" t="n">
        <v>46296</v>
      </c>
      <c r="F255" t="inlineStr">
        <is>
          <t>GOTLANDS LÄN</t>
        </is>
      </c>
      <c r="G255" t="inlineStr">
        <is>
          <t>GOTLAND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14427-2024</t>
        </is>
      </c>
      <c r="B256" t="inlineStr">
        <is>
          <t>avverkningsanmälan</t>
        </is>
      </c>
      <c r="C256" t="inlineStr">
        <is>
          <t>Avverkning för att bevara och utveckla /försöksver</t>
        </is>
      </c>
      <c r="D256" s="1" t="n">
        <v>45394</v>
      </c>
      <c r="E256" s="1" t="n">
        <v>46296</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10650-2022</t>
        </is>
      </c>
      <c r="B257" t="inlineStr">
        <is>
          <t>avverkningsanmälan</t>
        </is>
      </c>
      <c r="C257" t="inlineStr">
        <is>
          <t>Föryngringsavverkning</t>
        </is>
      </c>
      <c r="D257" s="1" t="n">
        <v>44624</v>
      </c>
      <c r="E257" s="1" t="n">
        <v>46296</v>
      </c>
      <c r="F257" t="inlineStr">
        <is>
          <t>GOTLANDS LÄN</t>
        </is>
      </c>
      <c r="G257" t="inlineStr">
        <is>
          <t>GOTLAND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64555-2023</t>
        </is>
      </c>
      <c r="B258" t="inlineStr">
        <is>
          <t>avverkningsanmälan</t>
        </is>
      </c>
      <c r="C258" t="inlineStr">
        <is>
          <t>Avverkning för annat ändamål</t>
        </is>
      </c>
      <c r="D258" s="1" t="n">
        <v>45281</v>
      </c>
      <c r="E258" s="1" t="n">
        <v>46296</v>
      </c>
      <c r="F258" t="inlineStr">
        <is>
          <t>GOTLANDS LÄN</t>
        </is>
      </c>
      <c r="G258" t="inlineStr">
        <is>
          <t>GOTLAND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457-2023</t>
        </is>
      </c>
      <c r="B259" t="inlineStr">
        <is>
          <t>avverkningsanmälan</t>
        </is>
      </c>
      <c r="C259" t="inlineStr">
        <is>
          <t>Föryngringsavverkning</t>
        </is>
      </c>
      <c r="D259" s="1" t="n">
        <v>44929</v>
      </c>
      <c r="E259" s="1" t="n">
        <v>46296</v>
      </c>
      <c r="F259" t="inlineStr">
        <is>
          <t>GOTLANDS LÄN</t>
        </is>
      </c>
      <c r="G259" t="inlineStr">
        <is>
          <t>GOTLAND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459-2023</t>
        </is>
      </c>
      <c r="B260" t="inlineStr">
        <is>
          <t>avverkningsanmälan</t>
        </is>
      </c>
      <c r="C260" t="inlineStr">
        <is>
          <t>Föryngringsavverkning</t>
        </is>
      </c>
      <c r="D260" s="1" t="n">
        <v>44929</v>
      </c>
      <c r="E260" s="1" t="n">
        <v>46296</v>
      </c>
      <c r="F260" t="inlineStr">
        <is>
          <t>GOTLANDS LÄN</t>
        </is>
      </c>
      <c r="G260" t="inlineStr">
        <is>
          <t>GOTLAND</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25129-2023</t>
        </is>
      </c>
      <c r="B261" t="inlineStr">
        <is>
          <t>avverkningsanmälan</t>
        </is>
      </c>
      <c r="C261" t="inlineStr">
        <is>
          <t>Föryngringsavverkning</t>
        </is>
      </c>
      <c r="D261" s="1" t="n">
        <v>45086</v>
      </c>
      <c r="E261" s="1" t="n">
        <v>46296</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876-2024</t>
        </is>
      </c>
      <c r="B262" t="inlineStr">
        <is>
          <t>avverkningsanmälan</t>
        </is>
      </c>
      <c r="C262" t="inlineStr">
        <is>
          <t>Avverkning för annat ändamål</t>
        </is>
      </c>
      <c r="D262" s="1" t="n">
        <v>45301</v>
      </c>
      <c r="E262" s="1" t="n">
        <v>46296</v>
      </c>
      <c r="F262" t="inlineStr">
        <is>
          <t>GOTLANDS LÄN</t>
        </is>
      </c>
      <c r="G262" t="inlineStr">
        <is>
          <t>GOTLAND</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49315-2024</t>
        </is>
      </c>
      <c r="B263" t="inlineStr">
        <is>
          <t>avverkningsanmälan</t>
        </is>
      </c>
      <c r="C263" t="inlineStr">
        <is>
          <t>Avverkning för annat ändamål</t>
        </is>
      </c>
      <c r="D263" s="1" t="n">
        <v>45595</v>
      </c>
      <c r="E263" s="1" t="n">
        <v>46296</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5923-2023</t>
        </is>
      </c>
      <c r="B264" t="inlineStr">
        <is>
          <t>avverkningsanmälan</t>
        </is>
      </c>
      <c r="C264" t="inlineStr">
        <is>
          <t>Föryngringsavverkning</t>
        </is>
      </c>
      <c r="D264" s="1" t="n">
        <v>44963</v>
      </c>
      <c r="E264" s="1" t="n">
        <v>46296</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28425-2023</t>
        </is>
      </c>
      <c r="B265" t="inlineStr">
        <is>
          <t>avverkningsanmälan</t>
        </is>
      </c>
      <c r="C265" t="inlineStr">
        <is>
          <t>Föryngringsavverkning</t>
        </is>
      </c>
      <c r="D265" s="1" t="n">
        <v>45102</v>
      </c>
      <c r="E265" s="1" t="n">
        <v>46296</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50482-2024</t>
        </is>
      </c>
      <c r="B266" t="inlineStr">
        <is>
          <t>avverkningsanmälan</t>
        </is>
      </c>
      <c r="C266" t="inlineStr">
        <is>
          <t>Föryngringsavverkning</t>
        </is>
      </c>
      <c r="D266" s="1" t="n">
        <v>45601</v>
      </c>
      <c r="E266" s="1" t="n">
        <v>46296</v>
      </c>
      <c r="F266" t="inlineStr">
        <is>
          <t>GOTLANDS LÄN</t>
        </is>
      </c>
      <c r="G266" t="inlineStr">
        <is>
          <t>GOTLAND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13037-2025</t>
        </is>
      </c>
      <c r="B267" t="inlineStr">
        <is>
          <t>avverkningsanmälan</t>
        </is>
      </c>
      <c r="C267" t="inlineStr">
        <is>
          <t>Avverkning för att bevara och utveckla /försöksver</t>
        </is>
      </c>
      <c r="D267" s="1" t="n">
        <v>45734</v>
      </c>
      <c r="E267" s="1" t="n">
        <v>46296</v>
      </c>
      <c r="F267" t="inlineStr">
        <is>
          <t>GOTLANDS LÄN</t>
        </is>
      </c>
      <c r="G267" t="inlineStr">
        <is>
          <t>GOTLAND</t>
        </is>
      </c>
      <c r="I267" t="n">
        <v>9.5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5943-2024</t>
        </is>
      </c>
      <c r="B268" t="inlineStr">
        <is>
          <t>avverkningsanmälan</t>
        </is>
      </c>
      <c r="C268" t="inlineStr">
        <is>
          <t>Avverkning för annat ändamål</t>
        </is>
      </c>
      <c r="D268" s="1" t="n">
        <v>45336</v>
      </c>
      <c r="E268" s="1" t="n">
        <v>46296</v>
      </c>
      <c r="F268" t="inlineStr">
        <is>
          <t>GOTLANDS LÄN</t>
        </is>
      </c>
      <c r="G268" t="inlineStr">
        <is>
          <t>GOTLAND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38234-2023</t>
        </is>
      </c>
      <c r="B269" t="inlineStr">
        <is>
          <t>avverkningsanmälan</t>
        </is>
      </c>
      <c r="C269" t="inlineStr">
        <is>
          <t>Föryngringsavverkning</t>
        </is>
      </c>
      <c r="D269" s="1" t="n">
        <v>45161</v>
      </c>
      <c r="E269" s="1" t="n">
        <v>46296</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10746-2025</t>
        </is>
      </c>
      <c r="B270" t="inlineStr">
        <is>
          <t>avverkningsanmälan</t>
        </is>
      </c>
      <c r="C270" t="inlineStr">
        <is>
          <t>Föryngringsavverkning</t>
        </is>
      </c>
      <c r="D270" s="1" t="n">
        <v>45722</v>
      </c>
      <c r="E270" s="1" t="n">
        <v>46296</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17724-2024</t>
        </is>
      </c>
      <c r="B271" t="inlineStr">
        <is>
          <t>avverkningsanmälan</t>
        </is>
      </c>
      <c r="C271" t="inlineStr">
        <is>
          <t>Föryngringsavverkning</t>
        </is>
      </c>
      <c r="D271" s="1" t="n">
        <v>45418</v>
      </c>
      <c r="E271" s="1" t="n">
        <v>46296</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27596-2023</t>
        </is>
      </c>
      <c r="B272" t="inlineStr">
        <is>
          <t>avverkningsanmälan</t>
        </is>
      </c>
      <c r="C272" t="inlineStr">
        <is>
          <t>Avverkning för annat ändamål</t>
        </is>
      </c>
      <c r="D272" s="1" t="n">
        <v>45097</v>
      </c>
      <c r="E272" s="1" t="n">
        <v>46296</v>
      </c>
      <c r="F272" t="inlineStr">
        <is>
          <t>GOTLANDS LÄN</t>
        </is>
      </c>
      <c r="G272" t="inlineStr">
        <is>
          <t>GOTLAND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23978-2023</t>
        </is>
      </c>
      <c r="B273" t="inlineStr">
        <is>
          <t>avverkningsanmälan</t>
        </is>
      </c>
      <c r="C273" t="inlineStr">
        <is>
          <t>Föryngringsavverkning</t>
        </is>
      </c>
      <c r="D273" s="1" t="n">
        <v>45078</v>
      </c>
      <c r="E273" s="1" t="n">
        <v>46296</v>
      </c>
      <c r="F273" t="inlineStr">
        <is>
          <t>GOTLANDS LÄN</t>
        </is>
      </c>
      <c r="G273" t="inlineStr">
        <is>
          <t>GOTLAND</t>
        </is>
      </c>
      <c r="H273" t="inlineStr">
        <is>
          <t>Naturvårdsverket</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49884-2023</t>
        </is>
      </c>
      <c r="B274" t="inlineStr">
        <is>
          <t>avverkningsanmälan</t>
        </is>
      </c>
      <c r="C274" t="inlineStr">
        <is>
          <t>Föryngringsavverkning</t>
        </is>
      </c>
      <c r="D274" s="1" t="n">
        <v>45213</v>
      </c>
      <c r="E274" s="1" t="n">
        <v>46296</v>
      </c>
      <c r="F274" t="inlineStr">
        <is>
          <t>GOTLANDS LÄN</t>
        </is>
      </c>
      <c r="G274" t="inlineStr">
        <is>
          <t>GOTLAND</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64969-2023</t>
        </is>
      </c>
      <c r="B275" t="inlineStr">
        <is>
          <t>avverkningsanmälan</t>
        </is>
      </c>
      <c r="C275" t="inlineStr">
        <is>
          <t>Föryngringsavverkning</t>
        </is>
      </c>
      <c r="D275" s="1" t="n">
        <v>45284</v>
      </c>
      <c r="E275" s="1" t="n">
        <v>46296</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12846-2025</t>
        </is>
      </c>
      <c r="B276" t="inlineStr">
        <is>
          <t>avverkningsanmälan</t>
        </is>
      </c>
      <c r="C276" t="inlineStr">
        <is>
          <t>Föryngringsavverkning</t>
        </is>
      </c>
      <c r="D276" s="1" t="n">
        <v>45733</v>
      </c>
      <c r="E276" s="1" t="n">
        <v>46296</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46949-2024</t>
        </is>
      </c>
      <c r="B277" t="inlineStr">
        <is>
          <t>avverkningsanmälan</t>
        </is>
      </c>
      <c r="C277" t="inlineStr">
        <is>
          <t>Föryngringsavverkning</t>
        </is>
      </c>
      <c r="D277" s="1" t="n">
        <v>45585</v>
      </c>
      <c r="E277" s="1" t="n">
        <v>46296</v>
      </c>
      <c r="F277" t="inlineStr">
        <is>
          <t>GOTLANDS LÄN</t>
        </is>
      </c>
      <c r="G277" t="inlineStr">
        <is>
          <t>GOTLAND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39479-2022</t>
        </is>
      </c>
      <c r="B278" t="inlineStr">
        <is>
          <t>avverkningsanmälan</t>
        </is>
      </c>
      <c r="C278" t="inlineStr">
        <is>
          <t>Föryngringsavverkning</t>
        </is>
      </c>
      <c r="D278" s="1" t="n">
        <v>44818</v>
      </c>
      <c r="E278" s="1" t="n">
        <v>46296</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39496-2022</t>
        </is>
      </c>
      <c r="B279" t="inlineStr">
        <is>
          <t>avverkningsanmälan</t>
        </is>
      </c>
      <c r="C279" t="inlineStr">
        <is>
          <t>Föryngringsavverkning</t>
        </is>
      </c>
      <c r="D279" s="1" t="n">
        <v>44818</v>
      </c>
      <c r="E279" s="1" t="n">
        <v>46296</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43229-2023</t>
        </is>
      </c>
      <c r="B280" t="inlineStr">
        <is>
          <t>avverkningsanmälan</t>
        </is>
      </c>
      <c r="C280" t="inlineStr">
        <is>
          <t>Föryngringsavverkning</t>
        </is>
      </c>
      <c r="D280" s="1" t="n">
        <v>45183</v>
      </c>
      <c r="E280" s="1" t="n">
        <v>46296</v>
      </c>
      <c r="F280" t="inlineStr">
        <is>
          <t>GOTLANDS LÄN</t>
        </is>
      </c>
      <c r="G280" t="inlineStr">
        <is>
          <t>GOTLAND</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41038-2023</t>
        </is>
      </c>
      <c r="B281" t="inlineStr">
        <is>
          <t>avverkningsanmälan</t>
        </is>
      </c>
      <c r="C281" t="inlineStr">
        <is>
          <t>Föryngringsavverkning</t>
        </is>
      </c>
      <c r="D281" s="1" t="n">
        <v>45173</v>
      </c>
      <c r="E281" s="1" t="n">
        <v>46296</v>
      </c>
      <c r="F281" t="inlineStr">
        <is>
          <t>GOTLANDS LÄN</t>
        </is>
      </c>
      <c r="G281" t="inlineStr">
        <is>
          <t>GOTLAND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48843-2024</t>
        </is>
      </c>
      <c r="B282" t="inlineStr">
        <is>
          <t>avverkningsanmälan</t>
        </is>
      </c>
      <c r="C282" t="inlineStr">
        <is>
          <t>Föryngringsavverkning</t>
        </is>
      </c>
      <c r="D282" s="1" t="n">
        <v>45593</v>
      </c>
      <c r="E282" s="1" t="n">
        <v>46296</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54073-2022</t>
        </is>
      </c>
      <c r="B283" t="inlineStr">
        <is>
          <t>avverkningsanmälan</t>
        </is>
      </c>
      <c r="C283" t="inlineStr">
        <is>
          <t>Föryngringsavverkning</t>
        </is>
      </c>
      <c r="D283" s="1" t="n">
        <v>44881</v>
      </c>
      <c r="E283" s="1" t="n">
        <v>46296</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44949-2023</t>
        </is>
      </c>
      <c r="B284" t="inlineStr">
        <is>
          <t>avverkningsanmälan</t>
        </is>
      </c>
      <c r="C284" t="inlineStr">
        <is>
          <t>Föryngringsavverkning</t>
        </is>
      </c>
      <c r="D284" s="1" t="n">
        <v>45190</v>
      </c>
      <c r="E284" s="1" t="n">
        <v>46296</v>
      </c>
      <c r="F284" t="inlineStr">
        <is>
          <t>GOTLANDS LÄN</t>
        </is>
      </c>
      <c r="G284" t="inlineStr">
        <is>
          <t>GOTLAND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3964-2024</t>
        </is>
      </c>
      <c r="B285" t="inlineStr">
        <is>
          <t>avverkningsanmälan</t>
        </is>
      </c>
      <c r="C285" t="inlineStr">
        <is>
          <t>Föryngringsavverkning</t>
        </is>
      </c>
      <c r="D285" s="1" t="n">
        <v>45322</v>
      </c>
      <c r="E285" s="1" t="n">
        <v>46296</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10653-2023</t>
        </is>
      </c>
      <c r="B286" t="inlineStr">
        <is>
          <t>avverkningsanmälan</t>
        </is>
      </c>
      <c r="C286" t="inlineStr">
        <is>
          <t>Föryngringsavverkning</t>
        </is>
      </c>
      <c r="D286" s="1" t="n">
        <v>44988</v>
      </c>
      <c r="E286" s="1" t="n">
        <v>46296</v>
      </c>
      <c r="F286" t="inlineStr">
        <is>
          <t>GOTLANDS LÄN</t>
        </is>
      </c>
      <c r="G286" t="inlineStr">
        <is>
          <t>GOTLAND</t>
        </is>
      </c>
      <c r="H286" t="inlineStr">
        <is>
          <t>Kyrkan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17682-2024</t>
        </is>
      </c>
      <c r="B287" t="inlineStr">
        <is>
          <t>avverkningsanmälan</t>
        </is>
      </c>
      <c r="C287" t="inlineStr">
        <is>
          <t>Föryngringsavverkning</t>
        </is>
      </c>
      <c r="D287" s="1" t="n">
        <v>45418</v>
      </c>
      <c r="E287" s="1" t="n">
        <v>46296</v>
      </c>
      <c r="F287" t="inlineStr">
        <is>
          <t>GOTLANDS LÄN</t>
        </is>
      </c>
      <c r="G287" t="inlineStr">
        <is>
          <t>GOTLAND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46296</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61897-2024</t>
        </is>
      </c>
      <c r="B289" t="inlineStr">
        <is>
          <t>avverkningsanmälan</t>
        </is>
      </c>
      <c r="C289" t="inlineStr">
        <is>
          <t>Föryngringsavverkning</t>
        </is>
      </c>
      <c r="D289" s="1" t="n">
        <v>45652</v>
      </c>
      <c r="E289" s="1" t="n">
        <v>46296</v>
      </c>
      <c r="F289" t="inlineStr">
        <is>
          <t>GOTLANDS LÄN</t>
        </is>
      </c>
      <c r="G289" t="inlineStr">
        <is>
          <t>GOTLAND</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12032-2025</t>
        </is>
      </c>
      <c r="B290" t="inlineStr">
        <is>
          <t>avverkningsanmälan</t>
        </is>
      </c>
      <c r="C290" t="inlineStr">
        <is>
          <t>Föryngringsavverkning</t>
        </is>
      </c>
      <c r="D290" s="1" t="n">
        <v>45728</v>
      </c>
      <c r="E290" s="1" t="n">
        <v>46296</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7026-2023</t>
        </is>
      </c>
      <c r="B291" t="inlineStr">
        <is>
          <t>avverkningsanmälan</t>
        </is>
      </c>
      <c r="C291" t="inlineStr">
        <is>
          <t>Föryngringsavverkning</t>
        </is>
      </c>
      <c r="D291" s="1" t="n">
        <v>44968</v>
      </c>
      <c r="E291" s="1" t="n">
        <v>46296</v>
      </c>
      <c r="F291" t="inlineStr">
        <is>
          <t>GOTLANDS LÄN</t>
        </is>
      </c>
      <c r="G291" t="inlineStr">
        <is>
          <t>GOTLAND</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35512-2023</t>
        </is>
      </c>
      <c r="B292" t="inlineStr">
        <is>
          <t>avverkningsanmälan</t>
        </is>
      </c>
      <c r="C292" t="inlineStr">
        <is>
          <t>Föryngringsavverkning</t>
        </is>
      </c>
      <c r="D292" s="1" t="n">
        <v>45147</v>
      </c>
      <c r="E292" s="1" t="n">
        <v>46296</v>
      </c>
      <c r="F292" t="inlineStr">
        <is>
          <t>GOTLANDS LÄN</t>
        </is>
      </c>
      <c r="G292" t="inlineStr">
        <is>
          <t>GOTLAND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57522-2022</t>
        </is>
      </c>
      <c r="B293" t="inlineStr">
        <is>
          <t>avverkningsanmälan</t>
        </is>
      </c>
      <c r="C293" t="inlineStr">
        <is>
          <t>Föryngringsavverkning</t>
        </is>
      </c>
      <c r="D293" s="1" t="n">
        <v>44896</v>
      </c>
      <c r="E293" s="1" t="n">
        <v>46296</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14797-2024</t>
        </is>
      </c>
      <c r="B294" t="inlineStr">
        <is>
          <t>avverkningsanmälan</t>
        </is>
      </c>
      <c r="C294" t="inlineStr">
        <is>
          <t>Föryngringsavverkning</t>
        </is>
      </c>
      <c r="D294" s="1" t="n">
        <v>45397</v>
      </c>
      <c r="E294" s="1" t="n">
        <v>46296</v>
      </c>
      <c r="F294" t="inlineStr">
        <is>
          <t>GOTLANDS LÄN</t>
        </is>
      </c>
      <c r="G294" t="inlineStr">
        <is>
          <t>GOTLAND</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11874-2024</t>
        </is>
      </c>
      <c r="B295" t="inlineStr">
        <is>
          <t>avverkningsanmälan</t>
        </is>
      </c>
      <c r="C295" t="inlineStr">
        <is>
          <t>Föryngringsavverkning</t>
        </is>
      </c>
      <c r="D295" s="1" t="n">
        <v>45376</v>
      </c>
      <c r="E295" s="1" t="n">
        <v>46296</v>
      </c>
      <c r="F295" t="inlineStr">
        <is>
          <t>GOTLANDS LÄN</t>
        </is>
      </c>
      <c r="G295" t="inlineStr">
        <is>
          <t>GOTLAND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1351-2025</t>
        </is>
      </c>
      <c r="B296" t="inlineStr">
        <is>
          <t>avverkningsanmälan</t>
        </is>
      </c>
      <c r="C296" t="inlineStr">
        <is>
          <t>Föryngringsavverkning</t>
        </is>
      </c>
      <c r="D296" s="1" t="n">
        <v>45667</v>
      </c>
      <c r="E296" s="1" t="n">
        <v>46296</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7837-2024</t>
        </is>
      </c>
      <c r="B297" t="inlineStr">
        <is>
          <t>avverkningsanmälan</t>
        </is>
      </c>
      <c r="C297" t="inlineStr">
        <is>
          <t>Föryngringsavverkning</t>
        </is>
      </c>
      <c r="D297" s="1" t="n">
        <v>45349</v>
      </c>
      <c r="E297" s="1" t="n">
        <v>46296</v>
      </c>
      <c r="F297" t="inlineStr">
        <is>
          <t>GOTLANDS LÄN</t>
        </is>
      </c>
      <c r="G297" t="inlineStr">
        <is>
          <t>GOTLAND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49874-2024</t>
        </is>
      </c>
      <c r="B298" t="inlineStr">
        <is>
          <t>avverkningsanmälan</t>
        </is>
      </c>
      <c r="C298" t="inlineStr">
        <is>
          <t>Föryngringsavverkning</t>
        </is>
      </c>
      <c r="D298" s="1" t="n">
        <v>45597</v>
      </c>
      <c r="E298" s="1" t="n">
        <v>46296</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1394-2023</t>
        </is>
      </c>
      <c r="B299" t="inlineStr">
        <is>
          <t>avverkningsanmälan</t>
        </is>
      </c>
      <c r="C299" t="inlineStr">
        <is>
          <t>Föryngringsavverkning</t>
        </is>
      </c>
      <c r="D299" s="1" t="n">
        <v>44936</v>
      </c>
      <c r="E299" s="1" t="n">
        <v>46296</v>
      </c>
      <c r="F299" t="inlineStr">
        <is>
          <t>GOTLANDS LÄN</t>
        </is>
      </c>
      <c r="G299" t="inlineStr">
        <is>
          <t>GOTLAND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46296</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4387-2023</t>
        </is>
      </c>
      <c r="B301" t="inlineStr">
        <is>
          <t>avverkningsanmälan</t>
        </is>
      </c>
      <c r="C301" t="inlineStr">
        <is>
          <t>Föryngringsavverkning</t>
        </is>
      </c>
      <c r="D301" s="1" t="n">
        <v>44955</v>
      </c>
      <c r="E301" s="1" t="n">
        <v>46296</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64831-2023</t>
        </is>
      </c>
      <c r="B302" t="inlineStr">
        <is>
          <t>avverkningsanmälan</t>
        </is>
      </c>
      <c r="C302" t="inlineStr">
        <is>
          <t>Föryngringsavverkning</t>
        </is>
      </c>
      <c r="D302" s="1" t="n">
        <v>45282</v>
      </c>
      <c r="E302" s="1" t="n">
        <v>46296</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21164-2024</t>
        </is>
      </c>
      <c r="B303" t="inlineStr">
        <is>
          <t>avverkningsanmälan</t>
        </is>
      </c>
      <c r="C303" t="inlineStr">
        <is>
          <t>Föryngringsavverkning</t>
        </is>
      </c>
      <c r="D303" s="1" t="n">
        <v>45440</v>
      </c>
      <c r="E303" s="1" t="n">
        <v>46296</v>
      </c>
      <c r="F303" t="inlineStr">
        <is>
          <t>GOTLANDS LÄN</t>
        </is>
      </c>
      <c r="G303" t="inlineStr">
        <is>
          <t>GOTLAND</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17541-2024</t>
        </is>
      </c>
      <c r="B304" t="inlineStr">
        <is>
          <t>avverkningsanmälan</t>
        </is>
      </c>
      <c r="C304" t="inlineStr">
        <is>
          <t>Föryngringsavverkning</t>
        </is>
      </c>
      <c r="D304" s="1" t="n">
        <v>45415</v>
      </c>
      <c r="E304" s="1" t="n">
        <v>46296</v>
      </c>
      <c r="F304" t="inlineStr">
        <is>
          <t>GOTLANDS LÄN</t>
        </is>
      </c>
      <c r="G304" t="inlineStr">
        <is>
          <t>GOTLAND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37728-2024</t>
        </is>
      </c>
      <c r="B305" t="inlineStr">
        <is>
          <t>avverkningsanmälan</t>
        </is>
      </c>
      <c r="C305" t="inlineStr">
        <is>
          <t>Föryngringsavverkning</t>
        </is>
      </c>
      <c r="D305" s="1" t="n">
        <v>45541</v>
      </c>
      <c r="E305" s="1" t="n">
        <v>46296</v>
      </c>
      <c r="F305" t="inlineStr">
        <is>
          <t>GOTLANDS LÄN</t>
        </is>
      </c>
      <c r="G305" t="inlineStr">
        <is>
          <t>GOTLAND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21389-2025</t>
        </is>
      </c>
      <c r="B306" t="inlineStr">
        <is>
          <t>avverkningsanmälan</t>
        </is>
      </c>
      <c r="C306" t="inlineStr">
        <is>
          <t>Föryngringsavverkning</t>
        </is>
      </c>
      <c r="D306" s="1" t="n">
        <v>45782</v>
      </c>
      <c r="E306" s="1" t="n">
        <v>46296</v>
      </c>
      <c r="F306" t="inlineStr">
        <is>
          <t>GOTLANDS LÄN</t>
        </is>
      </c>
      <c r="G306" t="inlineStr">
        <is>
          <t>GOTLAND</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22275-2023</t>
        </is>
      </c>
      <c r="B307" t="inlineStr">
        <is>
          <t>avverkningsanmälan</t>
        </is>
      </c>
      <c r="C307" t="inlineStr">
        <is>
          <t>Föryngringsavverkning</t>
        </is>
      </c>
      <c r="D307" s="1" t="n">
        <v>45070</v>
      </c>
      <c r="E307" s="1" t="n">
        <v>46296</v>
      </c>
      <c r="F307" t="inlineStr">
        <is>
          <t>GOTLANDS LÄN</t>
        </is>
      </c>
      <c r="G307" t="inlineStr">
        <is>
          <t>GOTLAND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7638-2025</t>
        </is>
      </c>
      <c r="B308" t="inlineStr">
        <is>
          <t>avverkningsanmälan</t>
        </is>
      </c>
      <c r="C308" t="inlineStr">
        <is>
          <t>Föryngringsavverkning</t>
        </is>
      </c>
      <c r="D308" s="1" t="n">
        <v>45705</v>
      </c>
      <c r="E308" s="1" t="n">
        <v>46296</v>
      </c>
      <c r="F308" t="inlineStr">
        <is>
          <t>GOTLANDS LÄN</t>
        </is>
      </c>
      <c r="G308" t="inlineStr">
        <is>
          <t>GOTLAND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14635-2023</t>
        </is>
      </c>
      <c r="B309" t="inlineStr">
        <is>
          <t>avverkningsanmälan</t>
        </is>
      </c>
      <c r="C309" t="inlineStr">
        <is>
          <t>Föryngringsavverkning</t>
        </is>
      </c>
      <c r="D309" s="1" t="n">
        <v>45013</v>
      </c>
      <c r="E309" s="1" t="n">
        <v>46296</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63763-2023</t>
        </is>
      </c>
      <c r="B310" t="inlineStr">
        <is>
          <t>avverkningsanmälan</t>
        </is>
      </c>
      <c r="C310" t="inlineStr">
        <is>
          <t>Föryngringsavverkning</t>
        </is>
      </c>
      <c r="D310" s="1" t="n">
        <v>45278</v>
      </c>
      <c r="E310" s="1" t="n">
        <v>46296</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7636-2025</t>
        </is>
      </c>
      <c r="B311" t="inlineStr">
        <is>
          <t>avverkningsanmälan</t>
        </is>
      </c>
      <c r="C311" t="inlineStr">
        <is>
          <t>Föryngringsavverkning</t>
        </is>
      </c>
      <c r="D311" s="1" t="n">
        <v>45705</v>
      </c>
      <c r="E311" s="1" t="n">
        <v>46296</v>
      </c>
      <c r="F311" t="inlineStr">
        <is>
          <t>GOTLANDS LÄN</t>
        </is>
      </c>
      <c r="G311" t="inlineStr">
        <is>
          <t>GOTLAND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7639-2025</t>
        </is>
      </c>
      <c r="B312" t="inlineStr">
        <is>
          <t>avverkningsanmälan</t>
        </is>
      </c>
      <c r="C312" t="inlineStr">
        <is>
          <t>Föryngringsavverkning</t>
        </is>
      </c>
      <c r="D312" s="1" t="n">
        <v>45705</v>
      </c>
      <c r="E312" s="1" t="n">
        <v>46296</v>
      </c>
      <c r="F312" t="inlineStr">
        <is>
          <t>GOTLANDS LÄN</t>
        </is>
      </c>
      <c r="G312" t="inlineStr">
        <is>
          <t>GOTLAND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61682-2024</t>
        </is>
      </c>
      <c r="B313" t="inlineStr">
        <is>
          <t>avverkningsanmälan</t>
        </is>
      </c>
      <c r="C313" t="inlineStr">
        <is>
          <t>Föryngringsavverkning</t>
        </is>
      </c>
      <c r="D313" s="1" t="n">
        <v>45647</v>
      </c>
      <c r="E313" s="1" t="n">
        <v>46296</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4377-2023</t>
        </is>
      </c>
      <c r="B314" t="inlineStr">
        <is>
          <t>avverkningsanmälan</t>
        </is>
      </c>
      <c r="C314" t="inlineStr">
        <is>
          <t>Föryngringsavverkning</t>
        </is>
      </c>
      <c r="D314" s="1" t="n">
        <v>44955</v>
      </c>
      <c r="E314" s="1" t="n">
        <v>46296</v>
      </c>
      <c r="F314" t="inlineStr">
        <is>
          <t>GOTLANDS LÄN</t>
        </is>
      </c>
      <c r="G314" t="inlineStr">
        <is>
          <t>GOTLAND</t>
        </is>
      </c>
      <c r="H314" t="inlineStr">
        <is>
          <t>Kyrkan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15434-2024</t>
        </is>
      </c>
      <c r="B315" t="inlineStr">
        <is>
          <t>avverkningsanmälan</t>
        </is>
      </c>
      <c r="C315" t="inlineStr">
        <is>
          <t>Föryngringsavverkning</t>
        </is>
      </c>
      <c r="D315" s="1" t="n">
        <v>45401</v>
      </c>
      <c r="E315" s="1" t="n">
        <v>46296</v>
      </c>
      <c r="F315" t="inlineStr">
        <is>
          <t>GOTLANDS LÄN</t>
        </is>
      </c>
      <c r="G315" t="inlineStr">
        <is>
          <t>GOTLAND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7034-2023</t>
        </is>
      </c>
      <c r="B316" t="inlineStr">
        <is>
          <t>avverkningsanmälan</t>
        </is>
      </c>
      <c r="C316" t="inlineStr">
        <is>
          <t>Föryngringsavverkning</t>
        </is>
      </c>
      <c r="D316" s="1" t="n">
        <v>44968</v>
      </c>
      <c r="E316" s="1" t="n">
        <v>46296</v>
      </c>
      <c r="F316" t="inlineStr">
        <is>
          <t>GOTLANDS LÄN</t>
        </is>
      </c>
      <c r="G316" t="inlineStr">
        <is>
          <t>GOTLAND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43901-2023</t>
        </is>
      </c>
      <c r="B317" t="inlineStr">
        <is>
          <t>avverkningsanmälan</t>
        </is>
      </c>
      <c r="C317" t="inlineStr">
        <is>
          <t>Föryngringsavverkning</t>
        </is>
      </c>
      <c r="D317" s="1" t="n">
        <v>45187</v>
      </c>
      <c r="E317" s="1" t="n">
        <v>46296</v>
      </c>
      <c r="F317" t="inlineStr">
        <is>
          <t>GOTLANDS LÄN</t>
        </is>
      </c>
      <c r="G317" t="inlineStr">
        <is>
          <t>GOTLAND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17532-2024</t>
        </is>
      </c>
      <c r="B318" t="inlineStr">
        <is>
          <t>avverkningsanmälan</t>
        </is>
      </c>
      <c r="C318" t="inlineStr">
        <is>
          <t>Föryngringsavverkning</t>
        </is>
      </c>
      <c r="D318" s="1" t="n">
        <v>45415</v>
      </c>
      <c r="E318" s="1" t="n">
        <v>46296</v>
      </c>
      <c r="F318" t="inlineStr">
        <is>
          <t>GOTLANDS LÄN</t>
        </is>
      </c>
      <c r="G318" t="inlineStr">
        <is>
          <t>GOTLAND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54074-2022</t>
        </is>
      </c>
      <c r="B319" t="inlineStr">
        <is>
          <t>avverkningsanmälan</t>
        </is>
      </c>
      <c r="C319" t="inlineStr">
        <is>
          <t>Föryngringsavverkning</t>
        </is>
      </c>
      <c r="D319" s="1" t="n">
        <v>44881</v>
      </c>
      <c r="E319" s="1" t="n">
        <v>46296</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21420-2024</t>
        </is>
      </c>
      <c r="B320" t="inlineStr">
        <is>
          <t>avverkningsanmälan</t>
        </is>
      </c>
      <c r="C320" t="inlineStr">
        <is>
          <t>Föryngringsavverkning</t>
        </is>
      </c>
      <c r="D320" s="1" t="n">
        <v>45441</v>
      </c>
      <c r="E320" s="1" t="n">
        <v>46296</v>
      </c>
      <c r="F320" t="inlineStr">
        <is>
          <t>GOTLANDS LÄN</t>
        </is>
      </c>
      <c r="G320" t="inlineStr">
        <is>
          <t>GOTLAND</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10656-2024</t>
        </is>
      </c>
      <c r="B321" t="inlineStr">
        <is>
          <t>avverkningsanmälan</t>
        </is>
      </c>
      <c r="C321" t="inlineStr">
        <is>
          <t>Föryngringsavverkning</t>
        </is>
      </c>
      <c r="D321" s="1" t="n">
        <v>45368</v>
      </c>
      <c r="E321" s="1" t="n">
        <v>46296</v>
      </c>
      <c r="F321" t="inlineStr">
        <is>
          <t>GOTLANDS LÄN</t>
        </is>
      </c>
      <c r="G321" t="inlineStr">
        <is>
          <t>GOTLAND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46296</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57356-2023</t>
        </is>
      </c>
      <c r="B323" t="inlineStr">
        <is>
          <t>avverkningsanmälan</t>
        </is>
      </c>
      <c r="C323" t="inlineStr">
        <is>
          <t>Föryngringsavverkning</t>
        </is>
      </c>
      <c r="D323" s="1" t="n">
        <v>45240</v>
      </c>
      <c r="E323" s="1" t="n">
        <v>46296</v>
      </c>
      <c r="F323" t="inlineStr">
        <is>
          <t>GOTLANDS LÄN</t>
        </is>
      </c>
      <c r="G323" t="inlineStr">
        <is>
          <t>GOTLAND</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28506-2023</t>
        </is>
      </c>
      <c r="B324" t="inlineStr">
        <is>
          <t>avverkningsanmälan</t>
        </is>
      </c>
      <c r="C324" t="inlineStr">
        <is>
          <t>Avverkning för annat ändamål</t>
        </is>
      </c>
      <c r="D324" s="1" t="n">
        <v>45103</v>
      </c>
      <c r="E324" s="1" t="n">
        <v>46296</v>
      </c>
      <c r="F324" t="inlineStr">
        <is>
          <t>GOTLANDS LÄN</t>
        </is>
      </c>
      <c r="G324" t="inlineStr">
        <is>
          <t>GOTLAND</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46396-2023</t>
        </is>
      </c>
      <c r="B325" t="inlineStr">
        <is>
          <t>avverkningsanmälan</t>
        </is>
      </c>
      <c r="C325" t="inlineStr">
        <is>
          <t>Föryngringsavverkning</t>
        </is>
      </c>
      <c r="D325" s="1" t="n">
        <v>45197</v>
      </c>
      <c r="E325" s="1" t="n">
        <v>46296</v>
      </c>
      <c r="F325" t="inlineStr">
        <is>
          <t>GOTLANDS LÄN</t>
        </is>
      </c>
      <c r="G325" t="inlineStr">
        <is>
          <t>GOTLAND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54268-2022</t>
        </is>
      </c>
      <c r="B326" t="inlineStr">
        <is>
          <t>avverkningsanmälan</t>
        </is>
      </c>
      <c r="C326" t="inlineStr">
        <is>
          <t>Föryngringsavverkning</t>
        </is>
      </c>
      <c r="D326" s="1" t="n">
        <v>44882</v>
      </c>
      <c r="E326" s="1" t="n">
        <v>46296</v>
      </c>
      <c r="F326" t="inlineStr">
        <is>
          <t>GOTLANDS LÄN</t>
        </is>
      </c>
      <c r="G326" t="inlineStr">
        <is>
          <t>GOTLAND</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46296</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46296</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46296</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46296</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23698-2025</t>
        </is>
      </c>
      <c r="B331" t="inlineStr">
        <is>
          <t>avverkningsanmälan</t>
        </is>
      </c>
      <c r="C331" t="inlineStr">
        <is>
          <t>Föryngringsavverkning</t>
        </is>
      </c>
      <c r="D331" s="1" t="n">
        <v>45793</v>
      </c>
      <c r="E331" s="1" t="n">
        <v>46296</v>
      </c>
      <c r="F331" t="inlineStr">
        <is>
          <t>GOTLANDS LÄN</t>
        </is>
      </c>
      <c r="G331" t="inlineStr">
        <is>
          <t>GOTLAND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15073-2025</t>
        </is>
      </c>
      <c r="B332" t="inlineStr">
        <is>
          <t>avverkningsanmälan</t>
        </is>
      </c>
      <c r="C332" t="inlineStr">
        <is>
          <t>Avverkning för annat ändamål</t>
        </is>
      </c>
      <c r="D332" s="1" t="n">
        <v>45743</v>
      </c>
      <c r="E332" s="1" t="n">
        <v>46296</v>
      </c>
      <c r="F332" t="inlineStr">
        <is>
          <t>GOTLANDS LÄN</t>
        </is>
      </c>
      <c r="G332" t="inlineStr">
        <is>
          <t>GOTLAND</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46296</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3431-2025</t>
        </is>
      </c>
      <c r="B334" t="inlineStr">
        <is>
          <t>avverkningsanmälan</t>
        </is>
      </c>
      <c r="C334" t="inlineStr">
        <is>
          <t>Föryngringsavverkning</t>
        </is>
      </c>
      <c r="D334" s="1" t="n">
        <v>45680</v>
      </c>
      <c r="E334" s="1" t="n">
        <v>46296</v>
      </c>
      <c r="F334" t="inlineStr">
        <is>
          <t>GOTLANDS LÄN</t>
        </is>
      </c>
      <c r="G334" t="inlineStr">
        <is>
          <t>GOTLAND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51782-2023</t>
        </is>
      </c>
      <c r="B335" t="inlineStr">
        <is>
          <t>avverkningsanmälan</t>
        </is>
      </c>
      <c r="C335" t="inlineStr">
        <is>
          <t>Föryngringsavverkning</t>
        </is>
      </c>
      <c r="D335" s="1" t="n">
        <v>45222</v>
      </c>
      <c r="E335" s="1" t="n">
        <v>46296</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60675-2021</t>
        </is>
      </c>
      <c r="B336" t="inlineStr">
        <is>
          <t>avverkningsanmälan</t>
        </is>
      </c>
      <c r="C336" t="inlineStr">
        <is>
          <t>Föryngringsavverkning</t>
        </is>
      </c>
      <c r="D336" s="1" t="n">
        <v>44496</v>
      </c>
      <c r="E336" s="1" t="n">
        <v>46296</v>
      </c>
      <c r="F336" t="inlineStr">
        <is>
          <t>GOTLANDS LÄN</t>
        </is>
      </c>
      <c r="G336" t="inlineStr">
        <is>
          <t>GOTLAND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34407-2023</t>
        </is>
      </c>
      <c r="B337" t="inlineStr">
        <is>
          <t>avverkningsanmälan</t>
        </is>
      </c>
      <c r="C337" t="inlineStr">
        <is>
          <t>Föryngringsavverkning</t>
        </is>
      </c>
      <c r="D337" s="1" t="n">
        <v>45132</v>
      </c>
      <c r="E337" s="1" t="n">
        <v>46296</v>
      </c>
      <c r="F337" t="inlineStr">
        <is>
          <t>GOTLANDS LÄN</t>
        </is>
      </c>
      <c r="G337" t="inlineStr">
        <is>
          <t>GOTLAND</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30892-2024</t>
        </is>
      </c>
      <c r="B338" t="inlineStr">
        <is>
          <t>avverkningsanmälan</t>
        </is>
      </c>
      <c r="C338" t="inlineStr">
        <is>
          <t>Föryngringsavverkning</t>
        </is>
      </c>
      <c r="D338" s="1" t="n">
        <v>45491</v>
      </c>
      <c r="E338" s="1" t="n">
        <v>46296</v>
      </c>
      <c r="F338" t="inlineStr">
        <is>
          <t>GOTLANDS LÄN</t>
        </is>
      </c>
      <c r="G338" t="inlineStr">
        <is>
          <t>GOTLAND</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5217-2023</t>
        </is>
      </c>
      <c r="B339" t="inlineStr">
        <is>
          <t>avverkningsanmälan</t>
        </is>
      </c>
      <c r="C339" t="inlineStr">
        <is>
          <t>Föryngringsavverkning</t>
        </is>
      </c>
      <c r="D339" s="1" t="n">
        <v>44959</v>
      </c>
      <c r="E339" s="1" t="n">
        <v>46296</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4421-2024</t>
        </is>
      </c>
      <c r="B340" t="inlineStr">
        <is>
          <t>avverkningsanmälan</t>
        </is>
      </c>
      <c r="C340" t="inlineStr">
        <is>
          <t>Föryngringsavverkning</t>
        </is>
      </c>
      <c r="D340" s="1" t="n">
        <v>45327</v>
      </c>
      <c r="E340" s="1" t="n">
        <v>46296</v>
      </c>
      <c r="F340" t="inlineStr">
        <is>
          <t>GOTLANDS LÄN</t>
        </is>
      </c>
      <c r="G340" t="inlineStr">
        <is>
          <t>GOTLAND</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6749-2025</t>
        </is>
      </c>
      <c r="B341" t="inlineStr">
        <is>
          <t>avverkningsanmälan</t>
        </is>
      </c>
      <c r="C341" t="inlineStr">
        <is>
          <t>Föryngringsavverkning</t>
        </is>
      </c>
      <c r="D341" s="1" t="n">
        <v>45700</v>
      </c>
      <c r="E341" s="1" t="n">
        <v>46296</v>
      </c>
      <c r="F341" t="inlineStr">
        <is>
          <t>GOTLANDS LÄN</t>
        </is>
      </c>
      <c r="G341" t="inlineStr">
        <is>
          <t>GOTLAND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58132-2023</t>
        </is>
      </c>
      <c r="B342" t="inlineStr">
        <is>
          <t>avverkningsanmälan</t>
        </is>
      </c>
      <c r="C342" t="inlineStr">
        <is>
          <t>Föryngringsavverkning</t>
        </is>
      </c>
      <c r="D342" s="1" t="n">
        <v>45250</v>
      </c>
      <c r="E342" s="1" t="n">
        <v>46296</v>
      </c>
      <c r="F342" t="inlineStr">
        <is>
          <t>GOTLANDS LÄN</t>
        </is>
      </c>
      <c r="G342" t="inlineStr">
        <is>
          <t>GOTLAND</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20165-2022</t>
        </is>
      </c>
      <c r="B343" t="inlineStr">
        <is>
          <t>avverkningsanmälan</t>
        </is>
      </c>
      <c r="C343" t="inlineStr">
        <is>
          <t>Föryngringsavverkning</t>
        </is>
      </c>
      <c r="D343" s="1" t="n">
        <v>44698</v>
      </c>
      <c r="E343" s="1" t="n">
        <v>46296</v>
      </c>
      <c r="F343" t="inlineStr">
        <is>
          <t>GOTLANDS LÄN</t>
        </is>
      </c>
      <c r="G343" t="inlineStr">
        <is>
          <t>GOTLAND</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22899-2023</t>
        </is>
      </c>
      <c r="B344" t="inlineStr">
        <is>
          <t>avverkningsanmälan</t>
        </is>
      </c>
      <c r="C344" t="inlineStr">
        <is>
          <t>Föryngringsavverkning</t>
        </is>
      </c>
      <c r="D344" s="1" t="n">
        <v>45072</v>
      </c>
      <c r="E344" s="1" t="n">
        <v>46296</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28285-2024</t>
        </is>
      </c>
      <c r="B345" t="inlineStr">
        <is>
          <t>avverkningsanmälan</t>
        </is>
      </c>
      <c r="C345" t="inlineStr">
        <is>
          <t>Avverkning för annat ändamål</t>
        </is>
      </c>
      <c r="D345" s="1" t="n">
        <v>45477</v>
      </c>
      <c r="E345" s="1" t="n">
        <v>46296</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33876-2024</t>
        </is>
      </c>
      <c r="B346" t="inlineStr">
        <is>
          <t>avverkningsanmälan</t>
        </is>
      </c>
      <c r="C346" t="inlineStr">
        <is>
          <t>Föryngringsavverkning</t>
        </is>
      </c>
      <c r="D346" s="1" t="n">
        <v>45521</v>
      </c>
      <c r="E346" s="1" t="n">
        <v>46296</v>
      </c>
      <c r="F346" t="inlineStr">
        <is>
          <t>GOTLANDS LÄN</t>
        </is>
      </c>
      <c r="G346" t="inlineStr">
        <is>
          <t>GOTLAND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51963-2024</t>
        </is>
      </c>
      <c r="B347" t="inlineStr">
        <is>
          <t>avverkningsanmälan</t>
        </is>
      </c>
      <c r="C347" t="inlineStr">
        <is>
          <t>Föryngringsavverkning</t>
        </is>
      </c>
      <c r="D347" s="1" t="n">
        <v>45607</v>
      </c>
      <c r="E347" s="1" t="n">
        <v>46296</v>
      </c>
      <c r="F347" t="inlineStr">
        <is>
          <t>GOTLANDS LÄN</t>
        </is>
      </c>
      <c r="G347" t="inlineStr">
        <is>
          <t>GOTLAND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43223-2023</t>
        </is>
      </c>
      <c r="B348" t="inlineStr">
        <is>
          <t>avverkningsanmälan</t>
        </is>
      </c>
      <c r="C348" t="inlineStr">
        <is>
          <t>Föryngringsavverkning</t>
        </is>
      </c>
      <c r="D348" s="1" t="n">
        <v>45183</v>
      </c>
      <c r="E348" s="1" t="n">
        <v>46296</v>
      </c>
      <c r="F348" t="inlineStr">
        <is>
          <t>GOTLANDS LÄN</t>
        </is>
      </c>
      <c r="G348" t="inlineStr">
        <is>
          <t>GOTLAND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5462-2025</t>
        </is>
      </c>
      <c r="B349" t="inlineStr">
        <is>
          <t>avverkningsanmälan</t>
        </is>
      </c>
      <c r="C349" t="inlineStr">
        <is>
          <t>Föryngringsavverkning</t>
        </is>
      </c>
      <c r="D349" s="1" t="n">
        <v>45693</v>
      </c>
      <c r="E349" s="1" t="n">
        <v>46296</v>
      </c>
      <c r="F349" t="inlineStr">
        <is>
          <t>GOTLANDS LÄN</t>
        </is>
      </c>
      <c r="G349" t="inlineStr">
        <is>
          <t>GOTLAND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61962-2024</t>
        </is>
      </c>
      <c r="B350" t="inlineStr">
        <is>
          <t>avverkningsanmälan</t>
        </is>
      </c>
      <c r="C350" t="inlineStr">
        <is>
          <t>Föryngringsavverkning</t>
        </is>
      </c>
      <c r="D350" s="1" t="n">
        <v>45653</v>
      </c>
      <c r="E350" s="1" t="n">
        <v>46296</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7858-2025</t>
        </is>
      </c>
      <c r="B351" t="inlineStr">
        <is>
          <t>avverkningsanmälan</t>
        </is>
      </c>
      <c r="C351" t="inlineStr">
        <is>
          <t>Föryngringsavverkning</t>
        </is>
      </c>
      <c r="D351" s="1" t="n">
        <v>45706</v>
      </c>
      <c r="E351" s="1" t="n">
        <v>46296</v>
      </c>
      <c r="F351" t="inlineStr">
        <is>
          <t>GOTLANDS LÄN</t>
        </is>
      </c>
      <c r="G351" t="inlineStr">
        <is>
          <t>GOTLAND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59469-2024</t>
        </is>
      </c>
      <c r="B352" t="inlineStr">
        <is>
          <t>avverkningsanmälan</t>
        </is>
      </c>
      <c r="C352" t="inlineStr">
        <is>
          <t>Föryngringsavverkning</t>
        </is>
      </c>
      <c r="D352" s="1" t="n">
        <v>45638</v>
      </c>
      <c r="E352" s="1" t="n">
        <v>46296</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2125-2025</t>
        </is>
      </c>
      <c r="B353" t="inlineStr">
        <is>
          <t>avverkningsanmälan</t>
        </is>
      </c>
      <c r="C353" t="inlineStr">
        <is>
          <t>Föryngringsavverkning</t>
        </is>
      </c>
      <c r="D353" s="1" t="n">
        <v>45672</v>
      </c>
      <c r="E353" s="1" t="n">
        <v>46296</v>
      </c>
      <c r="F353" t="inlineStr">
        <is>
          <t>GOTLANDS LÄN</t>
        </is>
      </c>
      <c r="G353" t="inlineStr">
        <is>
          <t>GOTLAND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1734-2025</t>
        </is>
      </c>
      <c r="B354" t="inlineStr">
        <is>
          <t>avverkningsanmälan</t>
        </is>
      </c>
      <c r="C354" t="inlineStr">
        <is>
          <t>Föryngringsavverkning</t>
        </is>
      </c>
      <c r="D354" s="1" t="n">
        <v>45671</v>
      </c>
      <c r="E354" s="1" t="n">
        <v>46296</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30365-2024</t>
        </is>
      </c>
      <c r="B355" t="inlineStr">
        <is>
          <t>avverkningsanmälan</t>
        </is>
      </c>
      <c r="C355" t="inlineStr">
        <is>
          <t>Föryngringsavverkning</t>
        </is>
      </c>
      <c r="D355" s="1" t="n">
        <v>45491</v>
      </c>
      <c r="E355" s="1" t="n">
        <v>46296</v>
      </c>
      <c r="F355" t="inlineStr">
        <is>
          <t>GOTLANDS LÄN</t>
        </is>
      </c>
      <c r="G355" t="inlineStr">
        <is>
          <t>GOTLAND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2674-2023</t>
        </is>
      </c>
      <c r="B356" t="inlineStr">
        <is>
          <t>avverkningsanmälan</t>
        </is>
      </c>
      <c r="C356" t="inlineStr">
        <is>
          <t>Avverkning för annat ändamål</t>
        </is>
      </c>
      <c r="D356" s="1" t="n">
        <v>44944</v>
      </c>
      <c r="E356" s="1" t="n">
        <v>46296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6696-2023</t>
        </is>
      </c>
      <c r="B357" t="inlineStr">
        <is>
          <t>avverkningsanmälan</t>
        </is>
      </c>
      <c r="C357" t="inlineStr">
        <is>
          <t>Föryngringsavverkning</t>
        </is>
      </c>
      <c r="D357" s="1" t="n">
        <v>44966</v>
      </c>
      <c r="E357" s="1" t="n">
        <v>46296</v>
      </c>
      <c r="F357" t="inlineStr">
        <is>
          <t>GOTLANDS LÄN</t>
        </is>
      </c>
      <c r="G357" t="inlineStr">
        <is>
          <t>GOTLAND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12155-2023</t>
        </is>
      </c>
      <c r="B358" t="inlineStr">
        <is>
          <t>avverkningsanmälan</t>
        </is>
      </c>
      <c r="C358" t="inlineStr">
        <is>
          <t>Föryngringsavverkning</t>
        </is>
      </c>
      <c r="D358" s="1" t="n">
        <v>44998</v>
      </c>
      <c r="E358" s="1" t="n">
        <v>46296</v>
      </c>
      <c r="F358" t="inlineStr">
        <is>
          <t>GOTLANDS LÄN</t>
        </is>
      </c>
      <c r="G358" t="inlineStr">
        <is>
          <t>GOTLAND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46296</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4990-2025</t>
        </is>
      </c>
      <c r="B360" t="inlineStr">
        <is>
          <t>avverkningsanmälan</t>
        </is>
      </c>
      <c r="C360" t="inlineStr">
        <is>
          <t>Föryngringsavverkning</t>
        </is>
      </c>
      <c r="D360" s="1" t="n">
        <v>45691</v>
      </c>
      <c r="E360" s="1" t="n">
        <v>46296</v>
      </c>
      <c r="F360" t="inlineStr">
        <is>
          <t>GOTLANDS LÄN</t>
        </is>
      </c>
      <c r="G360" t="inlineStr">
        <is>
          <t>GOTLAND</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10655-2023</t>
        </is>
      </c>
      <c r="B361" t="inlineStr">
        <is>
          <t>avverkningsanmälan</t>
        </is>
      </c>
      <c r="C361" t="inlineStr">
        <is>
          <t>Föryngringsavverkning</t>
        </is>
      </c>
      <c r="D361" s="1" t="n">
        <v>44988</v>
      </c>
      <c r="E361" s="1" t="n">
        <v>46296</v>
      </c>
      <c r="F361" t="inlineStr">
        <is>
          <t>GOTLANDS LÄN</t>
        </is>
      </c>
      <c r="G361" t="inlineStr">
        <is>
          <t>GOTLAND</t>
        </is>
      </c>
      <c r="H361" t="inlineStr">
        <is>
          <t>Kyrkan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46527-2023</t>
        </is>
      </c>
      <c r="B362" t="inlineStr">
        <is>
          <t>avverkningsanmälan</t>
        </is>
      </c>
      <c r="C362" t="inlineStr">
        <is>
          <t>Avverkning för annat ändamål</t>
        </is>
      </c>
      <c r="D362" s="1" t="n">
        <v>45197</v>
      </c>
      <c r="E362" s="1" t="n">
        <v>46296</v>
      </c>
      <c r="F362" t="inlineStr">
        <is>
          <t>GOTLANDS LÄN</t>
        </is>
      </c>
      <c r="G362" t="inlineStr">
        <is>
          <t>GOTLAND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2774-2024</t>
        </is>
      </c>
      <c r="B363" t="inlineStr">
        <is>
          <t>avverkningsanmälan</t>
        </is>
      </c>
      <c r="C363" t="inlineStr">
        <is>
          <t>Föryngringsavverkning</t>
        </is>
      </c>
      <c r="D363" s="1" t="n">
        <v>45314</v>
      </c>
      <c r="E363" s="1" t="n">
        <v>46296</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8484-2025</t>
        </is>
      </c>
      <c r="B364" t="inlineStr">
        <is>
          <t>avverkningsanmälan</t>
        </is>
      </c>
      <c r="C364" t="inlineStr">
        <is>
          <t>Avverkning för annat ändamål</t>
        </is>
      </c>
      <c r="D364" s="1" t="n">
        <v>45709</v>
      </c>
      <c r="E364" s="1" t="n">
        <v>46296</v>
      </c>
      <c r="F364" t="inlineStr">
        <is>
          <t>GOTLANDS LÄN</t>
        </is>
      </c>
      <c r="G364" t="inlineStr">
        <is>
          <t>GOTLAND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9947-2024</t>
        </is>
      </c>
      <c r="B365" t="inlineStr">
        <is>
          <t>avverkningsanmälan</t>
        </is>
      </c>
      <c r="C365" t="inlineStr">
        <is>
          <t>Föryngringsavverkning</t>
        </is>
      </c>
      <c r="D365" s="1" t="n">
        <v>45363</v>
      </c>
      <c r="E365" s="1" t="n">
        <v>46296</v>
      </c>
      <c r="F365" t="inlineStr">
        <is>
          <t>GOTLANDS LÄN</t>
        </is>
      </c>
      <c r="G365" t="inlineStr">
        <is>
          <t>GOTLAND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42007-2023</t>
        </is>
      </c>
      <c r="B366" t="inlineStr">
        <is>
          <t>avverkningsanmälan</t>
        </is>
      </c>
      <c r="C366" t="inlineStr">
        <is>
          <t>Avverkning för annat ändamål</t>
        </is>
      </c>
      <c r="D366" s="1" t="n">
        <v>45177</v>
      </c>
      <c r="E366" s="1" t="n">
        <v>46296</v>
      </c>
      <c r="F366" t="inlineStr">
        <is>
          <t>GOTLANDS LÄN</t>
        </is>
      </c>
      <c r="G366" t="inlineStr">
        <is>
          <t>GOTLAND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7850-2025</t>
        </is>
      </c>
      <c r="B367" t="inlineStr">
        <is>
          <t>avverkningsanmälan</t>
        </is>
      </c>
      <c r="C367" t="inlineStr">
        <is>
          <t>Föryngringsavverkning</t>
        </is>
      </c>
      <c r="D367" s="1" t="n">
        <v>45706</v>
      </c>
      <c r="E367" s="1" t="n">
        <v>46296</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15083-2025</t>
        </is>
      </c>
      <c r="B368" t="inlineStr">
        <is>
          <t>avverkningsanmälan</t>
        </is>
      </c>
      <c r="C368" t="inlineStr">
        <is>
          <t>Avverkning för annat ändamål</t>
        </is>
      </c>
      <c r="D368" s="1" t="n">
        <v>45743</v>
      </c>
      <c r="E368" s="1" t="n">
        <v>46296</v>
      </c>
      <c r="F368" t="inlineStr">
        <is>
          <t>GOTLANDS LÄN</t>
        </is>
      </c>
      <c r="G368" t="inlineStr">
        <is>
          <t>GOTLAND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50744-2024</t>
        </is>
      </c>
      <c r="B369" t="inlineStr">
        <is>
          <t>avverkningsanmälan</t>
        </is>
      </c>
      <c r="C369" t="inlineStr">
        <is>
          <t>Föryngringsavverkning</t>
        </is>
      </c>
      <c r="D369" s="1" t="n">
        <v>45602</v>
      </c>
      <c r="E369" s="1" t="n">
        <v>46296</v>
      </c>
      <c r="F369" t="inlineStr">
        <is>
          <t>GOTLANDS LÄN</t>
        </is>
      </c>
      <c r="G369" t="inlineStr">
        <is>
          <t>GOTLAND</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8444-2025</t>
        </is>
      </c>
      <c r="B370" t="inlineStr">
        <is>
          <t>avverkningsanmälan</t>
        </is>
      </c>
      <c r="C370" t="inlineStr">
        <is>
          <t>Föryngringsavverkning</t>
        </is>
      </c>
      <c r="D370" s="1" t="n">
        <v>45709</v>
      </c>
      <c r="E370" s="1" t="n">
        <v>46296</v>
      </c>
      <c r="F370" t="inlineStr">
        <is>
          <t>GOTLANDS LÄN</t>
        </is>
      </c>
      <c r="G370" t="inlineStr">
        <is>
          <t>GOTLAND</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45244-2024</t>
        </is>
      </c>
      <c r="B371" t="inlineStr">
        <is>
          <t>avverkningsanmälan</t>
        </is>
      </c>
      <c r="C371" t="inlineStr">
        <is>
          <t>Avverkning för annat ändamål</t>
        </is>
      </c>
      <c r="D371" s="1" t="n">
        <v>45576</v>
      </c>
      <c r="E371" s="1" t="n">
        <v>46296</v>
      </c>
      <c r="F371" t="inlineStr">
        <is>
          <t>GOTLANDS LÄN</t>
        </is>
      </c>
      <c r="G371" t="inlineStr">
        <is>
          <t>GOTLAND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38787-2023</t>
        </is>
      </c>
      <c r="B372" t="inlineStr">
        <is>
          <t>avverkningsanmälan</t>
        </is>
      </c>
      <c r="C372" t="inlineStr">
        <is>
          <t>Föryngringsavverkning</t>
        </is>
      </c>
      <c r="D372" s="1" t="n">
        <v>45163</v>
      </c>
      <c r="E372" s="1" t="n">
        <v>46296</v>
      </c>
      <c r="F372" t="inlineStr">
        <is>
          <t>GOTLANDS LÄN</t>
        </is>
      </c>
      <c r="G372" t="inlineStr">
        <is>
          <t>GOTLAND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49697-2023</t>
        </is>
      </c>
      <c r="B373" t="inlineStr">
        <is>
          <t>avverkningsanmälan</t>
        </is>
      </c>
      <c r="C373" t="inlineStr">
        <is>
          <t>Föryngringsavverkning</t>
        </is>
      </c>
      <c r="D373" s="1" t="n">
        <v>45212</v>
      </c>
      <c r="E373" s="1" t="n">
        <v>46296</v>
      </c>
      <c r="F373" t="inlineStr">
        <is>
          <t>GOTLANDS LÄN</t>
        </is>
      </c>
      <c r="G373" t="inlineStr">
        <is>
          <t>GOTLAND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29196-2025</t>
        </is>
      </c>
      <c r="B374" t="inlineStr">
        <is>
          <t>avverkningsanmälan</t>
        </is>
      </c>
      <c r="C374" t="inlineStr">
        <is>
          <t>Föryngringsavverkning</t>
        </is>
      </c>
      <c r="D374" s="1" t="n">
        <v>45822</v>
      </c>
      <c r="E374" s="1" t="n">
        <v>46296</v>
      </c>
      <c r="F374" t="inlineStr">
        <is>
          <t>GOTLANDS LÄN</t>
        </is>
      </c>
      <c r="G374" t="inlineStr">
        <is>
          <t>GOTLAND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46296</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22897-2023</t>
        </is>
      </c>
      <c r="B376" t="inlineStr">
        <is>
          <t>avverkningsanmälan</t>
        </is>
      </c>
      <c r="C376" t="inlineStr">
        <is>
          <t>Föryngringsavverkning</t>
        </is>
      </c>
      <c r="D376" s="1" t="n">
        <v>45072</v>
      </c>
      <c r="E376" s="1" t="n">
        <v>46296</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48503-2023</t>
        </is>
      </c>
      <c r="B377" t="inlineStr">
        <is>
          <t>avverkningsanmälan</t>
        </is>
      </c>
      <c r="C377" t="inlineStr">
        <is>
          <t>Föryngringsavverkning</t>
        </is>
      </c>
      <c r="D377" s="1" t="n">
        <v>45207</v>
      </c>
      <c r="E377" s="1" t="n">
        <v>46296</v>
      </c>
      <c r="F377" t="inlineStr">
        <is>
          <t>GOTLANDS LÄN</t>
        </is>
      </c>
      <c r="G377" t="inlineStr">
        <is>
          <t>GOTLAND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1681-2023</t>
        </is>
      </c>
      <c r="B378" t="inlineStr">
        <is>
          <t>avverkningsanmälan</t>
        </is>
      </c>
      <c r="C378" t="inlineStr">
        <is>
          <t>Föryngringsavverkning</t>
        </is>
      </c>
      <c r="D378" s="1" t="n">
        <v>44938</v>
      </c>
      <c r="E378" s="1" t="n">
        <v>46296</v>
      </c>
      <c r="F378" t="inlineStr">
        <is>
          <t>GOTLANDS LÄN</t>
        </is>
      </c>
      <c r="G378" t="inlineStr">
        <is>
          <t>GOTLAND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42338-2023</t>
        </is>
      </c>
      <c r="B379" t="inlineStr">
        <is>
          <t>avverkningsanmälan</t>
        </is>
      </c>
      <c r="C379" t="inlineStr">
        <is>
          <t>Föryngringsavverkning</t>
        </is>
      </c>
      <c r="D379" s="1" t="n">
        <v>45180</v>
      </c>
      <c r="E379" s="1" t="n">
        <v>46296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24825-2024</t>
        </is>
      </c>
      <c r="B380" t="inlineStr">
        <is>
          <t>avverkningsanmälan</t>
        </is>
      </c>
      <c r="C380" t="inlineStr">
        <is>
          <t>Avverkning för annat ändamål</t>
        </is>
      </c>
      <c r="D380" s="1" t="n">
        <v>45461</v>
      </c>
      <c r="E380" s="1" t="n">
        <v>46296</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18918-2025</t>
        </is>
      </c>
      <c r="B381" t="inlineStr">
        <is>
          <t>avverkningsanmälan</t>
        </is>
      </c>
      <c r="C381" t="inlineStr">
        <is>
          <t>Avverkning för annat ändamål</t>
        </is>
      </c>
      <c r="D381" s="1" t="n">
        <v>45764</v>
      </c>
      <c r="E381" s="1" t="n">
        <v>46296</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11013-2024</t>
        </is>
      </c>
      <c r="B382" t="inlineStr">
        <is>
          <t>avverkningsanmälan</t>
        </is>
      </c>
      <c r="C382" t="inlineStr">
        <is>
          <t>Föryngringsavverkning</t>
        </is>
      </c>
      <c r="D382" s="1" t="n">
        <v>45370</v>
      </c>
      <c r="E382" s="1" t="n">
        <v>46296</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37202-2024</t>
        </is>
      </c>
      <c r="B383" t="inlineStr">
        <is>
          <t>avverkningsanmälan</t>
        </is>
      </c>
      <c r="C383" t="inlineStr">
        <is>
          <t>Föryngringsavverkning</t>
        </is>
      </c>
      <c r="D383" s="1" t="n">
        <v>45539</v>
      </c>
      <c r="E383" s="1" t="n">
        <v>46296</v>
      </c>
      <c r="F383" t="inlineStr">
        <is>
          <t>GOTLANDS LÄN</t>
        </is>
      </c>
      <c r="G383" t="inlineStr">
        <is>
          <t>GOTLAND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58160-2024</t>
        </is>
      </c>
      <c r="B384" t="inlineStr">
        <is>
          <t>avverkningsanmälan</t>
        </is>
      </c>
      <c r="C384" t="inlineStr">
        <is>
          <t>Föryngringsavverkning</t>
        </is>
      </c>
      <c r="D384" s="1" t="n">
        <v>45632</v>
      </c>
      <c r="E384" s="1" t="n">
        <v>46296</v>
      </c>
      <c r="F384" t="inlineStr">
        <is>
          <t>GOTLANDS LÄN</t>
        </is>
      </c>
      <c r="G384" t="inlineStr">
        <is>
          <t>GOTLAND</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45084-2024</t>
        </is>
      </c>
      <c r="B385" t="inlineStr">
        <is>
          <t>avverkningsanmälan</t>
        </is>
      </c>
      <c r="C385" t="inlineStr">
        <is>
          <t>Föryngringsavverkning</t>
        </is>
      </c>
      <c r="D385" s="1" t="n">
        <v>45575</v>
      </c>
      <c r="E385" s="1" t="n">
        <v>46296</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22031-2024</t>
        </is>
      </c>
      <c r="B386" t="inlineStr">
        <is>
          <t>avverkningsanmälan</t>
        </is>
      </c>
      <c r="C386" t="inlineStr">
        <is>
          <t>Föryngringsavverkning</t>
        </is>
      </c>
      <c r="D386" s="1" t="n">
        <v>45443</v>
      </c>
      <c r="E386" s="1" t="n">
        <v>46296</v>
      </c>
      <c r="F386" t="inlineStr">
        <is>
          <t>GOTLANDS LÄN</t>
        </is>
      </c>
      <c r="G386" t="inlineStr">
        <is>
          <t>GOTLAND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17688-2024</t>
        </is>
      </c>
      <c r="B387" t="inlineStr">
        <is>
          <t>avverkningsanmälan</t>
        </is>
      </c>
      <c r="C387" t="inlineStr">
        <is>
          <t>Föryngringsavverkning</t>
        </is>
      </c>
      <c r="D387" s="1" t="n">
        <v>45418</v>
      </c>
      <c r="E387" s="1" t="n">
        <v>46296</v>
      </c>
      <c r="F387" t="inlineStr">
        <is>
          <t>GOTLANDS LÄN</t>
        </is>
      </c>
      <c r="G387" t="inlineStr">
        <is>
          <t>GOTLAND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20356-2022</t>
        </is>
      </c>
      <c r="B388" t="inlineStr">
        <is>
          <t>avverkningsanmälan</t>
        </is>
      </c>
      <c r="C388" t="inlineStr">
        <is>
          <t>Avverkning för annat ändamål</t>
        </is>
      </c>
      <c r="D388" s="1" t="n">
        <v>44699</v>
      </c>
      <c r="E388" s="1" t="n">
        <v>46296</v>
      </c>
      <c r="F388" t="inlineStr">
        <is>
          <t>GOTLANDS LÄN</t>
        </is>
      </c>
      <c r="G388" t="inlineStr">
        <is>
          <t>GOTLAND</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30815-2023</t>
        </is>
      </c>
      <c r="B389" t="inlineStr">
        <is>
          <t>avverkningsanmälan</t>
        </is>
      </c>
      <c r="C389" t="inlineStr">
        <is>
          <t>Avverkning för annat ändamål</t>
        </is>
      </c>
      <c r="D389" s="1" t="n">
        <v>45112</v>
      </c>
      <c r="E389" s="1" t="n">
        <v>46296</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46400-2023</t>
        </is>
      </c>
      <c r="B390" t="inlineStr">
        <is>
          <t>avverkningsanmälan</t>
        </is>
      </c>
      <c r="C390" t="inlineStr">
        <is>
          <t>Föryngringsavverkning</t>
        </is>
      </c>
      <c r="D390" s="1" t="n">
        <v>45197</v>
      </c>
      <c r="E390" s="1" t="n">
        <v>46296</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10492-2023</t>
        </is>
      </c>
      <c r="B391" t="inlineStr">
        <is>
          <t>avverkningsanmälan</t>
        </is>
      </c>
      <c r="C391" t="inlineStr">
        <is>
          <t>Föryngringsavverkning</t>
        </is>
      </c>
      <c r="D391" s="1" t="n">
        <v>44987</v>
      </c>
      <c r="E391" s="1" t="n">
        <v>46296</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5386-2023</t>
        </is>
      </c>
      <c r="B392" t="inlineStr">
        <is>
          <t>avverkningsanmälan</t>
        </is>
      </c>
      <c r="C392" t="inlineStr">
        <is>
          <t>Föryngringsavverkning</t>
        </is>
      </c>
      <c r="D392" s="1" t="n">
        <v>44959</v>
      </c>
      <c r="E392" s="1" t="n">
        <v>46296</v>
      </c>
      <c r="F392" t="inlineStr">
        <is>
          <t>GOTLANDS LÄN</t>
        </is>
      </c>
      <c r="G392" t="inlineStr">
        <is>
          <t>GOTLAND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16109-2025</t>
        </is>
      </c>
      <c r="B393" t="inlineStr">
        <is>
          <t>avverkningsanmälan</t>
        </is>
      </c>
      <c r="C393" t="inlineStr">
        <is>
          <t>Avverkning för annat ändamål</t>
        </is>
      </c>
      <c r="D393" s="1" t="n">
        <v>45750</v>
      </c>
      <c r="E393" s="1" t="n">
        <v>46296</v>
      </c>
      <c r="F393" t="inlineStr">
        <is>
          <t>GOTLANDS LÄN</t>
        </is>
      </c>
      <c r="G393" t="inlineStr">
        <is>
          <t>GOTLAND</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44919-2022</t>
        </is>
      </c>
      <c r="B394" t="inlineStr">
        <is>
          <t>avverkningsanmälan</t>
        </is>
      </c>
      <c r="C394" t="inlineStr">
        <is>
          <t>Föryngringsavverkning</t>
        </is>
      </c>
      <c r="D394" s="1" t="n">
        <v>44841</v>
      </c>
      <c r="E394" s="1" t="n">
        <v>46296</v>
      </c>
      <c r="F394" t="inlineStr">
        <is>
          <t>GOTLANDS LÄN</t>
        </is>
      </c>
      <c r="G394" t="inlineStr">
        <is>
          <t>GOTLAND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16501-2023</t>
        </is>
      </c>
      <c r="B395" t="inlineStr">
        <is>
          <t>avverkningsanmälan</t>
        </is>
      </c>
      <c r="C395" t="inlineStr">
        <is>
          <t>Avverkning för att bevara och utveckla /försöksver</t>
        </is>
      </c>
      <c r="D395" s="1" t="n">
        <v>45029</v>
      </c>
      <c r="E395" s="1" t="n">
        <v>46296</v>
      </c>
      <c r="F395" t="inlineStr">
        <is>
          <t>GOTLANDS LÄN</t>
        </is>
      </c>
      <c r="G395" t="inlineStr">
        <is>
          <t>GOTLAND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27095-2022</t>
        </is>
      </c>
      <c r="B396" t="inlineStr">
        <is>
          <t>avverkningsanmälan</t>
        </is>
      </c>
      <c r="C396" t="inlineStr">
        <is>
          <t>Avverkning för annat ändamål</t>
        </is>
      </c>
      <c r="D396" s="1" t="n">
        <v>44741</v>
      </c>
      <c r="E396" s="1" t="n">
        <v>46296</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1291-2023</t>
        </is>
      </c>
      <c r="B397" t="inlineStr">
        <is>
          <t>avverkningsanmälan</t>
        </is>
      </c>
      <c r="C397" t="inlineStr">
        <is>
          <t>Föryngringsavverkning</t>
        </is>
      </c>
      <c r="D397" s="1" t="n">
        <v>44936</v>
      </c>
      <c r="E397" s="1" t="n">
        <v>46296</v>
      </c>
      <c r="F397" t="inlineStr">
        <is>
          <t>GOTLANDS LÄN</t>
        </is>
      </c>
      <c r="G397" t="inlineStr">
        <is>
          <t>GOTLAND</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5884-2025</t>
        </is>
      </c>
      <c r="B398" t="inlineStr">
        <is>
          <t>avverkningsanmälan</t>
        </is>
      </c>
      <c r="C398" t="inlineStr">
        <is>
          <t>Föryngringsavverkning</t>
        </is>
      </c>
      <c r="D398" s="1" t="n">
        <v>45695</v>
      </c>
      <c r="E398" s="1" t="n">
        <v>46296</v>
      </c>
      <c r="F398" t="inlineStr">
        <is>
          <t>GOTLANDS LÄN</t>
        </is>
      </c>
      <c r="G398" t="inlineStr">
        <is>
          <t>GOTLAND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5897-2025</t>
        </is>
      </c>
      <c r="B399" t="inlineStr">
        <is>
          <t>avverkningsanmälan</t>
        </is>
      </c>
      <c r="C399" t="inlineStr">
        <is>
          <t>Föryngringsavverkning</t>
        </is>
      </c>
      <c r="D399" s="1" t="n">
        <v>45695</v>
      </c>
      <c r="E399" s="1" t="n">
        <v>46296</v>
      </c>
      <c r="F399" t="inlineStr">
        <is>
          <t>GOTLANDS LÄN</t>
        </is>
      </c>
      <c r="G399" t="inlineStr">
        <is>
          <t>GOTLAND</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60086-2022</t>
        </is>
      </c>
      <c r="B400" t="inlineStr">
        <is>
          <t>avverkningsanmälan</t>
        </is>
      </c>
      <c r="C400" t="inlineStr">
        <is>
          <t>Föryngringsavverkning</t>
        </is>
      </c>
      <c r="D400" s="1" t="n">
        <v>44909</v>
      </c>
      <c r="E400" s="1" t="n">
        <v>46296</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22704-2023</t>
        </is>
      </c>
      <c r="B401" t="inlineStr">
        <is>
          <t>avverkningsanmälan</t>
        </is>
      </c>
      <c r="C401" t="inlineStr">
        <is>
          <t>Föryngringsavverkning</t>
        </is>
      </c>
      <c r="D401" s="1" t="n">
        <v>45071</v>
      </c>
      <c r="E401" s="1" t="n">
        <v>46296</v>
      </c>
      <c r="F401" t="inlineStr">
        <is>
          <t>GOTLANDS LÄN</t>
        </is>
      </c>
      <c r="G401" t="inlineStr">
        <is>
          <t>GOTLAND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5891-2025</t>
        </is>
      </c>
      <c r="B402" t="inlineStr">
        <is>
          <t>avverkningsanmälan</t>
        </is>
      </c>
      <c r="C402" t="inlineStr">
        <is>
          <t>Föryngringsavverkning</t>
        </is>
      </c>
      <c r="D402" s="1" t="n">
        <v>45695</v>
      </c>
      <c r="E402" s="1" t="n">
        <v>46296</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27694-2024</t>
        </is>
      </c>
      <c r="B403" t="inlineStr">
        <is>
          <t>avverkningsanmälan</t>
        </is>
      </c>
      <c r="C403" t="inlineStr">
        <is>
          <t>Föryngringsavverkning</t>
        </is>
      </c>
      <c r="D403" s="1" t="n">
        <v>45475</v>
      </c>
      <c r="E403" s="1" t="n">
        <v>46296</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39764-2022</t>
        </is>
      </c>
      <c r="B404" t="inlineStr">
        <is>
          <t>avverkningsanmälan</t>
        </is>
      </c>
      <c r="C404" t="inlineStr">
        <is>
          <t>Föryngringsavverkning</t>
        </is>
      </c>
      <c r="D404" s="1" t="n">
        <v>44819</v>
      </c>
      <c r="E404" s="1" t="n">
        <v>46296</v>
      </c>
      <c r="F404" t="inlineStr">
        <is>
          <t>GOTLANDS LÄN</t>
        </is>
      </c>
      <c r="G404" t="inlineStr">
        <is>
          <t>GOTLAND</t>
        </is>
      </c>
      <c r="H404" t="inlineStr">
        <is>
          <t>Kyrkan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35123-2025</t>
        </is>
      </c>
      <c r="B405" t="inlineStr">
        <is>
          <t>avverkningsanmälan</t>
        </is>
      </c>
      <c r="C405" t="inlineStr">
        <is>
          <t>Föryngringsavverkning</t>
        </is>
      </c>
      <c r="D405" s="1" t="n">
        <v>45852</v>
      </c>
      <c r="E405" s="1" t="n">
        <v>46296</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46296</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12599-2025</t>
        </is>
      </c>
      <c r="B407" t="inlineStr">
        <is>
          <t>avverkningsanmälan</t>
        </is>
      </c>
      <c r="C407" t="inlineStr">
        <is>
          <t>Föryngringsavverkning</t>
        </is>
      </c>
      <c r="D407" s="1" t="n">
        <v>45733</v>
      </c>
      <c r="E407" s="1" t="n">
        <v>46296</v>
      </c>
      <c r="F407" t="inlineStr">
        <is>
          <t>GOTLANDS LÄN</t>
        </is>
      </c>
      <c r="G407" t="inlineStr">
        <is>
          <t>GOTLAND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6099-2024</t>
        </is>
      </c>
      <c r="B408" t="inlineStr">
        <is>
          <t>avverkningsanmälan</t>
        </is>
      </c>
      <c r="C408" t="inlineStr">
        <is>
          <t>Föryngringsavverkning</t>
        </is>
      </c>
      <c r="D408" s="1" t="n">
        <v>45337</v>
      </c>
      <c r="E408" s="1" t="n">
        <v>46296</v>
      </c>
      <c r="F408" t="inlineStr">
        <is>
          <t>GOTLANDS LÄN</t>
        </is>
      </c>
      <c r="G408" t="inlineStr">
        <is>
          <t>GOTLAND</t>
        </is>
      </c>
      <c r="I408" t="n">
        <v>12.6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8260-2023</t>
        </is>
      </c>
      <c r="B409" t="inlineStr">
        <is>
          <t>avverkningsanmälan</t>
        </is>
      </c>
      <c r="C409" t="inlineStr">
        <is>
          <t>Föryngringsavverkning</t>
        </is>
      </c>
      <c r="D409" s="1" t="n">
        <v>44974</v>
      </c>
      <c r="E409" s="1" t="n">
        <v>46296</v>
      </c>
      <c r="F409" t="inlineStr">
        <is>
          <t>GOTLANDS LÄN</t>
        </is>
      </c>
      <c r="G409" t="inlineStr">
        <is>
          <t>GOTLAND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32669-2024</t>
        </is>
      </c>
      <c r="B410" t="inlineStr">
        <is>
          <t>avverkningsanmälan</t>
        </is>
      </c>
      <c r="C410" t="inlineStr">
        <is>
          <t>Föryngringsavverkning</t>
        </is>
      </c>
      <c r="D410" s="1" t="n">
        <v>45514</v>
      </c>
      <c r="E410" s="1" t="n">
        <v>46296</v>
      </c>
      <c r="F410" t="inlineStr">
        <is>
          <t>GOTLANDS LÄN</t>
        </is>
      </c>
      <c r="G410" t="inlineStr">
        <is>
          <t>GOTLAND</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16361-2024</t>
        </is>
      </c>
      <c r="B411" t="inlineStr">
        <is>
          <t>avverkningsanmälan</t>
        </is>
      </c>
      <c r="C411" t="inlineStr">
        <is>
          <t>Föryngringsavverkning</t>
        </is>
      </c>
      <c r="D411" s="1" t="n">
        <v>45407</v>
      </c>
      <c r="E411" s="1" t="n">
        <v>46296</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22287-2022</t>
        </is>
      </c>
      <c r="B412" t="inlineStr">
        <is>
          <t>avverkningsanmälan</t>
        </is>
      </c>
      <c r="C412" t="inlineStr">
        <is>
          <t>Avverkning för annat ändamål</t>
        </is>
      </c>
      <c r="D412" s="1" t="n">
        <v>44712</v>
      </c>
      <c r="E412" s="1" t="n">
        <v>46296</v>
      </c>
      <c r="F412" t="inlineStr">
        <is>
          <t>GOTLANDS LÄN</t>
        </is>
      </c>
      <c r="G412" t="inlineStr">
        <is>
          <t>GOTLAND</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30488-2025</t>
        </is>
      </c>
      <c r="B413" t="inlineStr">
        <is>
          <t>avverkningsanmälan</t>
        </is>
      </c>
      <c r="C413" t="inlineStr">
        <is>
          <t>Föryngringsavverkning</t>
        </is>
      </c>
      <c r="D413" s="1" t="n">
        <v>45830</v>
      </c>
      <c r="E413" s="1" t="n">
        <v>46296</v>
      </c>
      <c r="F413" t="inlineStr">
        <is>
          <t>GOTLANDS LÄN</t>
        </is>
      </c>
      <c r="G413" t="inlineStr">
        <is>
          <t>GOTLAND</t>
        </is>
      </c>
      <c r="H413" t="inlineStr">
        <is>
          <t>Kyrkan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15216-2025</t>
        </is>
      </c>
      <c r="B414" t="inlineStr">
        <is>
          <t>avverkningsanmälan</t>
        </is>
      </c>
      <c r="C414" t="inlineStr">
        <is>
          <t>Föryngringsavverkning</t>
        </is>
      </c>
      <c r="D414" s="1" t="n">
        <v>45744</v>
      </c>
      <c r="E414" s="1" t="n">
        <v>46296</v>
      </c>
      <c r="F414" t="inlineStr">
        <is>
          <t>GOTLANDS LÄN</t>
        </is>
      </c>
      <c r="G414" t="inlineStr">
        <is>
          <t>GOTLAND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15001-2025</t>
        </is>
      </c>
      <c r="B415" t="inlineStr">
        <is>
          <t>avverkningsanmälan</t>
        </is>
      </c>
      <c r="C415" t="inlineStr">
        <is>
          <t>Föryngringsavverkning</t>
        </is>
      </c>
      <c r="D415" s="1" t="n">
        <v>45743</v>
      </c>
      <c r="E415" s="1" t="n">
        <v>46296</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43790-2024</t>
        </is>
      </c>
      <c r="B416" t="inlineStr">
        <is>
          <t>avverkningsanmälan</t>
        </is>
      </c>
      <c r="C416" t="inlineStr">
        <is>
          <t>Föryngringsavverkning</t>
        </is>
      </c>
      <c r="D416" s="1" t="n">
        <v>45571</v>
      </c>
      <c r="E416" s="1" t="n">
        <v>46296</v>
      </c>
      <c r="F416" t="inlineStr">
        <is>
          <t>GOTLANDS LÄN</t>
        </is>
      </c>
      <c r="G416" t="inlineStr">
        <is>
          <t>GOTLAND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17847-2025</t>
        </is>
      </c>
      <c r="B417" t="inlineStr">
        <is>
          <t>avverkningsanmälan</t>
        </is>
      </c>
      <c r="C417" t="inlineStr">
        <is>
          <t>Föryngringsavverkning</t>
        </is>
      </c>
      <c r="D417" s="1" t="n">
        <v>45758</v>
      </c>
      <c r="E417" s="1" t="n">
        <v>46296</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43081-2022</t>
        </is>
      </c>
      <c r="B418" t="inlineStr">
        <is>
          <t>avverkningsanmälan</t>
        </is>
      </c>
      <c r="C418" t="inlineStr">
        <is>
          <t>Föryngringsavverkning</t>
        </is>
      </c>
      <c r="D418" s="1" t="n">
        <v>44833</v>
      </c>
      <c r="E418" s="1" t="n">
        <v>46296</v>
      </c>
      <c r="F418" t="inlineStr">
        <is>
          <t>GOTLANDS LÄN</t>
        </is>
      </c>
      <c r="G418" t="inlineStr">
        <is>
          <t>GOTLAND</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18742-2025</t>
        </is>
      </c>
      <c r="B419" t="inlineStr">
        <is>
          <t>avverkningsanmälan</t>
        </is>
      </c>
      <c r="C419" t="inlineStr">
        <is>
          <t>Avverkning för annat ändamål</t>
        </is>
      </c>
      <c r="D419" s="1" t="n">
        <v>45763</v>
      </c>
      <c r="E419" s="1" t="n">
        <v>46296</v>
      </c>
      <c r="F419" t="inlineStr">
        <is>
          <t>GOTLANDS LÄN</t>
        </is>
      </c>
      <c r="G419" t="inlineStr">
        <is>
          <t>GOTLAND</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35129-2025</t>
        </is>
      </c>
      <c r="B420" t="inlineStr">
        <is>
          <t>avverkningsanmälan</t>
        </is>
      </c>
      <c r="C420" t="inlineStr">
        <is>
          <t>Föryngringsavverkning</t>
        </is>
      </c>
      <c r="D420" s="1" t="n">
        <v>45852</v>
      </c>
      <c r="E420" s="1" t="n">
        <v>46296</v>
      </c>
      <c r="F420" t="inlineStr">
        <is>
          <t>GOTLANDS LÄN</t>
        </is>
      </c>
      <c r="G420" t="inlineStr">
        <is>
          <t>GOTLAND</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20356-2022</t>
        </is>
      </c>
      <c r="B421" t="inlineStr">
        <is>
          <t>avverkningsanmälan</t>
        </is>
      </c>
      <c r="C421" t="inlineStr">
        <is>
          <t>Avverkning för annat ändamål</t>
        </is>
      </c>
      <c r="D421" s="1" t="n">
        <v>44699</v>
      </c>
      <c r="E421" s="1" t="n">
        <v>46296</v>
      </c>
      <c r="F421" t="inlineStr">
        <is>
          <t>GOTLANDS LÄN</t>
        </is>
      </c>
      <c r="G421" t="inlineStr">
        <is>
          <t>GOTLAND</t>
        </is>
      </c>
      <c r="H421" t="inlineStr">
        <is>
          <t>Övriga Aktiebolag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35142-2025</t>
        </is>
      </c>
      <c r="B422" t="inlineStr">
        <is>
          <t>avverkningsanmälan</t>
        </is>
      </c>
      <c r="C422" t="inlineStr">
        <is>
          <t>Föryngringsavverkning</t>
        </is>
      </c>
      <c r="D422" s="1" t="n">
        <v>45852</v>
      </c>
      <c r="E422" s="1" t="n">
        <v>46296</v>
      </c>
      <c r="F422" t="inlineStr">
        <is>
          <t>GOTLANDS LÄN</t>
        </is>
      </c>
      <c r="G422" t="inlineStr">
        <is>
          <t>GOTLAND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35550-2025</t>
        </is>
      </c>
      <c r="B423" t="inlineStr">
        <is>
          <t>avverkningsanmälan</t>
        </is>
      </c>
      <c r="C423" t="inlineStr">
        <is>
          <t>Föryngringsavverkning</t>
        </is>
      </c>
      <c r="D423" s="1" t="n">
        <v>45856</v>
      </c>
      <c r="E423" s="1" t="n">
        <v>46296</v>
      </c>
      <c r="F423" t="inlineStr">
        <is>
          <t>GOTLANDS LÄN</t>
        </is>
      </c>
      <c r="G423" t="inlineStr">
        <is>
          <t>GOTLAND</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47578-2025</t>
        </is>
      </c>
      <c r="B424" t="inlineStr">
        <is>
          <t>avverkningsanmälan</t>
        </is>
      </c>
      <c r="C424" t="inlineStr">
        <is>
          <t>Avverkning för annat ändamål</t>
        </is>
      </c>
      <c r="D424" s="1" t="n">
        <v>45931</v>
      </c>
      <c r="E424" s="1" t="n">
        <v>46296</v>
      </c>
      <c r="F424" t="inlineStr">
        <is>
          <t>GOTLANDS LÄN</t>
        </is>
      </c>
      <c r="G424" t="inlineStr">
        <is>
          <t>GOTLAND</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35141-2025</t>
        </is>
      </c>
      <c r="B425" t="inlineStr">
        <is>
          <t>avverkningsanmälan</t>
        </is>
      </c>
      <c r="C425" t="inlineStr">
        <is>
          <t>Föryngringsavverkning</t>
        </is>
      </c>
      <c r="D425" s="1" t="n">
        <v>45852</v>
      </c>
      <c r="E425" s="1" t="n">
        <v>46296</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49690-2025</t>
        </is>
      </c>
      <c r="B426" t="inlineStr">
        <is>
          <t>avverkningsanmälan</t>
        </is>
      </c>
      <c r="C426" t="inlineStr">
        <is>
          <t>Föryngringsavverkning</t>
        </is>
      </c>
      <c r="D426" s="1" t="n">
        <v>45939</v>
      </c>
      <c r="E426" s="1" t="n">
        <v>46296</v>
      </c>
      <c r="F426" t="inlineStr">
        <is>
          <t>GOTLANDS LÄN</t>
        </is>
      </c>
      <c r="G426" t="inlineStr">
        <is>
          <t>GOTLAND</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49730-2025</t>
        </is>
      </c>
      <c r="B427" t="inlineStr">
        <is>
          <t>avverkningsanmälan</t>
        </is>
      </c>
      <c r="C427" t="inlineStr">
        <is>
          <t>Föryngringsavverkning</t>
        </is>
      </c>
      <c r="D427" s="1" t="n">
        <v>45939</v>
      </c>
      <c r="E427" s="1" t="n">
        <v>46296</v>
      </c>
      <c r="F427" t="inlineStr">
        <is>
          <t>GOTLANDS LÄN</t>
        </is>
      </c>
      <c r="G427" t="inlineStr">
        <is>
          <t>GOTLAND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21142-2025</t>
        </is>
      </c>
      <c r="B428" t="inlineStr">
        <is>
          <t>avverkningsanmälan</t>
        </is>
      </c>
      <c r="C428" t="inlineStr">
        <is>
          <t>Föryngringsavverkning</t>
        </is>
      </c>
      <c r="D428" s="1" t="n">
        <v>45779</v>
      </c>
      <c r="E428" s="1" t="n">
        <v>46296</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6108-2025</t>
        </is>
      </c>
      <c r="B429" t="inlineStr">
        <is>
          <t>avverkningsanmälan</t>
        </is>
      </c>
      <c r="C429" t="inlineStr">
        <is>
          <t>Föryngringsavverkning</t>
        </is>
      </c>
      <c r="D429" s="1" t="n">
        <v>45698</v>
      </c>
      <c r="E429" s="1" t="n">
        <v>46296</v>
      </c>
      <c r="F429" t="inlineStr">
        <is>
          <t>GOTLANDS LÄN</t>
        </is>
      </c>
      <c r="G429" t="inlineStr">
        <is>
          <t>GOTLAND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18938-2025</t>
        </is>
      </c>
      <c r="B430" t="inlineStr">
        <is>
          <t>avverkningsanmälan</t>
        </is>
      </c>
      <c r="C430" t="inlineStr">
        <is>
          <t>Föryngringsavverkning</t>
        </is>
      </c>
      <c r="D430" s="1" t="n">
        <v>45764</v>
      </c>
      <c r="E430" s="1" t="n">
        <v>46296</v>
      </c>
      <c r="F430" t="inlineStr">
        <is>
          <t>GOTLANDS LÄN</t>
        </is>
      </c>
      <c r="G430" t="inlineStr">
        <is>
          <t>GOTLAND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20307-2025</t>
        </is>
      </c>
      <c r="B431" t="inlineStr">
        <is>
          <t>avverkningsanmälan</t>
        </is>
      </c>
      <c r="C431" t="inlineStr">
        <is>
          <t>Föryngringsavverkning</t>
        </is>
      </c>
      <c r="D431" s="1" t="n">
        <v>45774</v>
      </c>
      <c r="E431" s="1" t="n">
        <v>46296</v>
      </c>
      <c r="F431" t="inlineStr">
        <is>
          <t>GOTLANDS LÄN</t>
        </is>
      </c>
      <c r="G431" t="inlineStr">
        <is>
          <t>GOTLAND</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39816-2025</t>
        </is>
      </c>
      <c r="B432" t="inlineStr">
        <is>
          <t>avverkningsanmälan</t>
        </is>
      </c>
      <c r="C432" t="inlineStr">
        <is>
          <t>Föryngringsavverkning</t>
        </is>
      </c>
      <c r="D432" s="1" t="n">
        <v>45891</v>
      </c>
      <c r="E432" s="1" t="n">
        <v>46296</v>
      </c>
      <c r="F432" t="inlineStr">
        <is>
          <t>GOTLANDS LÄN</t>
        </is>
      </c>
      <c r="G432" t="inlineStr">
        <is>
          <t>GOTLAND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40373-2025</t>
        </is>
      </c>
      <c r="B433" t="inlineStr">
        <is>
          <t>avverkningsanmälan</t>
        </is>
      </c>
      <c r="C433" t="inlineStr">
        <is>
          <t>Föryngringsavverkning</t>
        </is>
      </c>
      <c r="D433" s="1" t="n">
        <v>45895</v>
      </c>
      <c r="E433" s="1" t="n">
        <v>46296</v>
      </c>
      <c r="F433" t="inlineStr">
        <is>
          <t>GOTLANDS LÄN</t>
        </is>
      </c>
      <c r="G433" t="inlineStr">
        <is>
          <t>GOTLAND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43951-2025</t>
        </is>
      </c>
      <c r="B434" t="inlineStr">
        <is>
          <t>avverkningsanmälan</t>
        </is>
      </c>
      <c r="C434" t="inlineStr">
        <is>
          <t>Föryngringsavverkning</t>
        </is>
      </c>
      <c r="D434" s="1" t="n">
        <v>45915</v>
      </c>
      <c r="E434" s="1" t="n">
        <v>46296</v>
      </c>
      <c r="F434" t="inlineStr">
        <is>
          <t>GOTLANDS LÄN</t>
        </is>
      </c>
      <c r="G434" t="inlineStr">
        <is>
          <t>GOTLAND</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26391-2025</t>
        </is>
      </c>
      <c r="B435" t="inlineStr">
        <is>
          <t>avverkningsanmälan</t>
        </is>
      </c>
      <c r="C435" t="inlineStr">
        <is>
          <t>Avverkning för annat ändamål</t>
        </is>
      </c>
      <c r="D435" s="1" t="n">
        <v>45806</v>
      </c>
      <c r="E435" s="1" t="n">
        <v>46296</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46836-2025</t>
        </is>
      </c>
      <c r="B436" t="inlineStr">
        <is>
          <t>avverkningsanmälan</t>
        </is>
      </c>
      <c r="C436" t="inlineStr">
        <is>
          <t>Föryngringsavverkning</t>
        </is>
      </c>
      <c r="D436" s="1" t="n">
        <v>45928</v>
      </c>
      <c r="E436" s="1" t="n">
        <v>46296</v>
      </c>
      <c r="F436" t="inlineStr">
        <is>
          <t>GOTLANDS LÄN</t>
        </is>
      </c>
      <c r="G436" t="inlineStr">
        <is>
          <t>GOTLAND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47637-2025</t>
        </is>
      </c>
      <c r="B437" t="inlineStr">
        <is>
          <t>avverkningsanmälan</t>
        </is>
      </c>
      <c r="C437" t="inlineStr">
        <is>
          <t>Föryngringsavverkning</t>
        </is>
      </c>
      <c r="D437" s="1" t="n">
        <v>45931</v>
      </c>
      <c r="E437" s="1" t="n">
        <v>46296</v>
      </c>
      <c r="F437" t="inlineStr">
        <is>
          <t>GOTLANDS LÄN</t>
        </is>
      </c>
      <c r="G437" t="inlineStr">
        <is>
          <t>GOTLAND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56799-2025</t>
        </is>
      </c>
      <c r="B438" t="inlineStr">
        <is>
          <t>avverkningsanmälan</t>
        </is>
      </c>
      <c r="C438" t="inlineStr">
        <is>
          <t>Föryngringsavverkning</t>
        </is>
      </c>
      <c r="D438" s="1" t="n">
        <v>45978</v>
      </c>
      <c r="E438" s="1" t="n">
        <v>46296</v>
      </c>
      <c r="F438" t="inlineStr">
        <is>
          <t>GOTLANDS LÄN</t>
        </is>
      </c>
      <c r="G438" t="inlineStr">
        <is>
          <t>GOTLAND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36319-2025</t>
        </is>
      </c>
      <c r="B439" t="inlineStr">
        <is>
          <t>avverkningsanmälan</t>
        </is>
      </c>
      <c r="C439" t="inlineStr">
        <is>
          <t>Föryngringsavverkning</t>
        </is>
      </c>
      <c r="D439" s="1" t="n">
        <v>45868</v>
      </c>
      <c r="E439" s="1" t="n">
        <v>46296</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63002-2025</t>
        </is>
      </c>
      <c r="B440" t="inlineStr">
        <is>
          <t>avverkningsanmälan</t>
        </is>
      </c>
      <c r="C440" t="inlineStr">
        <is>
          <t>Föryngringsavverkning</t>
        </is>
      </c>
      <c r="D440" s="1" t="n">
        <v>46009</v>
      </c>
      <c r="E440" s="1" t="n">
        <v>46296</v>
      </c>
      <c r="F440" t="inlineStr">
        <is>
          <t>GOTLANDS LÄN</t>
        </is>
      </c>
      <c r="G440" t="inlineStr">
        <is>
          <t>GOTLAND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61078-2025</t>
        </is>
      </c>
      <c r="B441" t="inlineStr">
        <is>
          <t>avverkningsanmälan</t>
        </is>
      </c>
      <c r="C441" t="inlineStr">
        <is>
          <t>Föryngringsavverkning</t>
        </is>
      </c>
      <c r="D441" s="1" t="n">
        <v>46000</v>
      </c>
      <c r="E441" s="1" t="n">
        <v>46296</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36-2026</t>
        </is>
      </c>
      <c r="B442" t="inlineStr">
        <is>
          <t>avverkningsanmälan</t>
        </is>
      </c>
      <c r="C442" t="inlineStr">
        <is>
          <t>Föryngringsavverkning</t>
        </is>
      </c>
      <c r="D442" s="1" t="n">
        <v>46024</v>
      </c>
      <c r="E442" s="1" t="n">
        <v>46296</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2415-2026</t>
        </is>
      </c>
      <c r="B443" t="inlineStr">
        <is>
          <t>avverkningsanmälan</t>
        </is>
      </c>
      <c r="C443" t="inlineStr">
        <is>
          <t>Föryngringsavverkning</t>
        </is>
      </c>
      <c r="D443" s="1" t="n">
        <v>46036</v>
      </c>
      <c r="E443" s="1" t="n">
        <v>46296</v>
      </c>
      <c r="F443" t="inlineStr">
        <is>
          <t>GOTLANDS LÄN</t>
        </is>
      </c>
      <c r="G443" t="inlineStr">
        <is>
          <t>GOTLAND</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4646-2026</t>
        </is>
      </c>
      <c r="B444" t="inlineStr">
        <is>
          <t>avverkningsanmälan</t>
        </is>
      </c>
      <c r="C444" t="inlineStr">
        <is>
          <t>Föryngringsavverkning</t>
        </is>
      </c>
      <c r="D444" s="1" t="n">
        <v>46048</v>
      </c>
      <c r="E444" s="1" t="n">
        <v>46296</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4634-2026</t>
        </is>
      </c>
      <c r="B445" t="inlineStr">
        <is>
          <t>avverkningsanmälan</t>
        </is>
      </c>
      <c r="C445" t="inlineStr">
        <is>
          <t>Föryngringsavverkning</t>
        </is>
      </c>
      <c r="D445" s="1" t="n">
        <v>46048</v>
      </c>
      <c r="E445" s="1" t="n">
        <v>46296</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4670-2026</t>
        </is>
      </c>
      <c r="B446" t="inlineStr">
        <is>
          <t>avverkningsanmälan</t>
        </is>
      </c>
      <c r="C446" t="inlineStr">
        <is>
          <t>Föryngringsavverkning</t>
        </is>
      </c>
      <c r="D446" s="1" t="n">
        <v>46048</v>
      </c>
      <c r="E446" s="1" t="n">
        <v>46296</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7627-2026</t>
        </is>
      </c>
      <c r="B447" t="inlineStr">
        <is>
          <t>avverkningsanmälan</t>
        </is>
      </c>
      <c r="C447" t="inlineStr">
        <is>
          <t>Föryngringsavverkning</t>
        </is>
      </c>
      <c r="D447" s="1" t="n">
        <v>46062</v>
      </c>
      <c r="E447" s="1" t="n">
        <v>46296</v>
      </c>
      <c r="F447" t="inlineStr">
        <is>
          <t>GOTLANDS LÄN</t>
        </is>
      </c>
      <c r="G447" t="inlineStr">
        <is>
          <t>GOTLAND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2135-2026</t>
        </is>
      </c>
      <c r="B448" t="inlineStr">
        <is>
          <t>avverkningsanmälan</t>
        </is>
      </c>
      <c r="C448" t="inlineStr">
        <is>
          <t>Avverkning för annat ändamål</t>
        </is>
      </c>
      <c r="D448" s="1" t="n">
        <v>46036</v>
      </c>
      <c r="E448" s="1" t="n">
        <v>46296</v>
      </c>
      <c r="F448" t="inlineStr">
        <is>
          <t>GOTLANDS LÄN</t>
        </is>
      </c>
      <c r="G448" t="inlineStr">
        <is>
          <t>GOTLAND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9521-2026</t>
        </is>
      </c>
      <c r="B449" t="inlineStr">
        <is>
          <t>avverkningsanmälan</t>
        </is>
      </c>
      <c r="C449" t="inlineStr">
        <is>
          <t>Föryngringsavverkning</t>
        </is>
      </c>
      <c r="D449" s="1" t="n">
        <v>46071</v>
      </c>
      <c r="E449" s="1" t="n">
        <v>46296</v>
      </c>
      <c r="F449" t="inlineStr">
        <is>
          <t>GOTLANDS LÄN</t>
        </is>
      </c>
      <c r="G449" t="inlineStr">
        <is>
          <t>GOTLAND</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9524-2026</t>
        </is>
      </c>
      <c r="B450" t="inlineStr">
        <is>
          <t>avverkningsanmälan</t>
        </is>
      </c>
      <c r="C450" t="inlineStr">
        <is>
          <t>Föryngringsavverkning</t>
        </is>
      </c>
      <c r="D450" s="1" t="n">
        <v>46071</v>
      </c>
      <c r="E450" s="1" t="n">
        <v>46296</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9519-2026</t>
        </is>
      </c>
      <c r="B451" t="inlineStr">
        <is>
          <t>avverkningsanmälan</t>
        </is>
      </c>
      <c r="C451" t="inlineStr">
        <is>
          <t>Föryngringsavverkning</t>
        </is>
      </c>
      <c r="D451" s="1" t="n">
        <v>46071</v>
      </c>
      <c r="E451" s="1" t="n">
        <v>46296</v>
      </c>
      <c r="F451" t="inlineStr">
        <is>
          <t>GOTLANDS LÄN</t>
        </is>
      </c>
      <c r="G451" t="inlineStr">
        <is>
          <t>GOTLAND</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11424-2026</t>
        </is>
      </c>
      <c r="B452" t="inlineStr">
        <is>
          <t>avverkningsanmälan</t>
        </is>
      </c>
      <c r="C452" t="inlineStr">
        <is>
          <t>Föryngringsavverkning</t>
        </is>
      </c>
      <c r="D452" s="1" t="n">
        <v>46083</v>
      </c>
      <c r="E452" s="1" t="n">
        <v>46296</v>
      </c>
      <c r="F452" t="inlineStr">
        <is>
          <t>GOTLANDS LÄN</t>
        </is>
      </c>
      <c r="G452" t="inlineStr">
        <is>
          <t>GOTLAND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3067-2026</t>
        </is>
      </c>
      <c r="B453" t="inlineStr">
        <is>
          <t>avverkningsanmälan</t>
        </is>
      </c>
      <c r="C453" t="inlineStr">
        <is>
          <t>Föryngringsavverkning</t>
        </is>
      </c>
      <c r="D453" s="1" t="n">
        <v>46040</v>
      </c>
      <c r="E453" s="1" t="n">
        <v>46296</v>
      </c>
      <c r="F453" t="inlineStr">
        <is>
          <t>GOTLANDS LÄN</t>
        </is>
      </c>
      <c r="G453" t="inlineStr">
        <is>
          <t>GOTLAND</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42201-2023</t>
        </is>
      </c>
      <c r="B454" t="inlineStr">
        <is>
          <t>avverkningsanmälan</t>
        </is>
      </c>
      <c r="C454" t="inlineStr">
        <is>
          <t>Föryngringsavverkning</t>
        </is>
      </c>
      <c r="D454" s="1" t="n">
        <v>45179</v>
      </c>
      <c r="E454" s="1" t="n">
        <v>46296</v>
      </c>
      <c r="F454" t="inlineStr">
        <is>
          <t>GOTLANDS LÄN</t>
        </is>
      </c>
      <c r="G454" t="inlineStr">
        <is>
          <t>GOTLAND</t>
        </is>
      </c>
      <c r="I454" t="n">
        <v>11.9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63000-2025</t>
        </is>
      </c>
      <c r="B455" t="inlineStr">
        <is>
          <t>avverkningsanmälan</t>
        </is>
      </c>
      <c r="C455" t="inlineStr">
        <is>
          <t>Föryngringsavverkning</t>
        </is>
      </c>
      <c r="D455" s="1" t="n">
        <v>46009</v>
      </c>
      <c r="E455" s="1" t="n">
        <v>46296</v>
      </c>
      <c r="F455" t="inlineStr">
        <is>
          <t>GOTLANDS LÄN</t>
        </is>
      </c>
      <c r="G455" t="inlineStr">
        <is>
          <t>GOTLAND</t>
        </is>
      </c>
      <c r="H455" t="inlineStr">
        <is>
          <t>Övriga Aktiebolag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62751-2025</t>
        </is>
      </c>
      <c r="B456" t="inlineStr">
        <is>
          <t>avverkningsanmälan</t>
        </is>
      </c>
      <c r="C456" t="inlineStr">
        <is>
          <t>Föryngringsavverkning</t>
        </is>
      </c>
      <c r="D456" s="1" t="n">
        <v>46008</v>
      </c>
      <c r="E456" s="1" t="n">
        <v>46296</v>
      </c>
      <c r="F456" t="inlineStr">
        <is>
          <t>GOTLANDS LÄN</t>
        </is>
      </c>
      <c r="G456" t="inlineStr">
        <is>
          <t>GOTLAND</t>
        </is>
      </c>
      <c r="H456" t="inlineStr">
        <is>
          <t>Övriga Aktiebolag</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18804-2026</t>
        </is>
      </c>
      <c r="B457" t="inlineStr">
        <is>
          <t>avverkningsanmälan</t>
        </is>
      </c>
      <c r="C457" t="inlineStr">
        <is>
          <t>Föryngringsavverkning</t>
        </is>
      </c>
      <c r="D457" s="1" t="n">
        <v>46128</v>
      </c>
      <c r="E457" s="1" t="n">
        <v>46296</v>
      </c>
      <c r="F457" t="inlineStr">
        <is>
          <t>GOTLANDS LÄN</t>
        </is>
      </c>
      <c r="G457" t="inlineStr">
        <is>
          <t>GOTLAND</t>
        </is>
      </c>
      <c r="H457" t="inlineStr">
        <is>
          <t>Kyrkan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62754-2025</t>
        </is>
      </c>
      <c r="B458" t="inlineStr">
        <is>
          <t>avverkningsanmälan</t>
        </is>
      </c>
      <c r="C458" t="inlineStr">
        <is>
          <t>Föryngringsavverkning</t>
        </is>
      </c>
      <c r="D458" s="1" t="n">
        <v>46008</v>
      </c>
      <c r="E458" s="1" t="n">
        <v>46296</v>
      </c>
      <c r="F458" t="inlineStr">
        <is>
          <t>GOTLANDS LÄN</t>
        </is>
      </c>
      <c r="G458" t="inlineStr">
        <is>
          <t>GOTLAND</t>
        </is>
      </c>
      <c r="H458" t="inlineStr">
        <is>
          <t>Övriga Aktiebolag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26467-2025</t>
        </is>
      </c>
      <c r="B459" t="inlineStr">
        <is>
          <t>avverkningsanmälan</t>
        </is>
      </c>
      <c r="C459" t="inlineStr">
        <is>
          <t>Föryngringsavverkning</t>
        </is>
      </c>
      <c r="D459" s="1" t="n">
        <v>45807</v>
      </c>
      <c r="E459" s="1" t="n">
        <v>46296</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25796-2025</t>
        </is>
      </c>
      <c r="B460" t="inlineStr">
        <is>
          <t>avverkningsanmälan</t>
        </is>
      </c>
      <c r="C460" t="inlineStr">
        <is>
          <t>Föryngringsavverkning</t>
        </is>
      </c>
      <c r="D460" s="1" t="n">
        <v>45804</v>
      </c>
      <c r="E460" s="1" t="n">
        <v>46296</v>
      </c>
      <c r="F460" t="inlineStr">
        <is>
          <t>GOTLANDS LÄN</t>
        </is>
      </c>
      <c r="G460" t="inlineStr">
        <is>
          <t>GOTLAND</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1854-2026</t>
        </is>
      </c>
      <c r="B461" t="inlineStr">
        <is>
          <t>avverkningsanmälan</t>
        </is>
      </c>
      <c r="C461" t="inlineStr">
        <is>
          <t>Föryngringsavverkning</t>
        </is>
      </c>
      <c r="D461" s="1" t="n">
        <v>46035</v>
      </c>
      <c r="E461" s="1" t="n">
        <v>46296</v>
      </c>
      <c r="F461" t="inlineStr">
        <is>
          <t>GOTLANDS LÄN</t>
        </is>
      </c>
      <c r="G461" t="inlineStr">
        <is>
          <t>GOTLAND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2180-2025</t>
        </is>
      </c>
      <c r="B462" t="inlineStr">
        <is>
          <t>avverkningsanmälan</t>
        </is>
      </c>
      <c r="C462" t="inlineStr">
        <is>
          <t>Föryngringsavverkning</t>
        </is>
      </c>
      <c r="D462" s="1" t="n">
        <v>45673</v>
      </c>
      <c r="E462" s="1" t="n">
        <v>46296</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13910-2025</t>
        </is>
      </c>
      <c r="B463" t="inlineStr">
        <is>
          <t>avverkningsanmälan</t>
        </is>
      </c>
      <c r="C463" t="inlineStr">
        <is>
          <t>Föryngringsavverkning</t>
        </is>
      </c>
      <c r="D463" s="1" t="n">
        <v>45737</v>
      </c>
      <c r="E463" s="1" t="n">
        <v>46296</v>
      </c>
      <c r="F463" t="inlineStr">
        <is>
          <t>GOTLANDS LÄN</t>
        </is>
      </c>
      <c r="G463" t="inlineStr">
        <is>
          <t>GOTLAND</t>
        </is>
      </c>
      <c r="H463" t="inlineStr">
        <is>
          <t>Kommuner</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45112-2024</t>
        </is>
      </c>
      <c r="B464" t="inlineStr">
        <is>
          <t>avverkningsanmälan</t>
        </is>
      </c>
      <c r="C464" t="inlineStr">
        <is>
          <t>Föryngringsavverkning</t>
        </is>
      </c>
      <c r="D464" s="1" t="n">
        <v>45575</v>
      </c>
      <c r="E464" s="1" t="n">
        <v>46296</v>
      </c>
      <c r="F464" t="inlineStr">
        <is>
          <t>GOTLANDS LÄN</t>
        </is>
      </c>
      <c r="G464" t="inlineStr">
        <is>
          <t>GOTLAND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20225-2025</t>
        </is>
      </c>
      <c r="B465" t="inlineStr">
        <is>
          <t>avverkningsanmälan</t>
        </is>
      </c>
      <c r="C465" t="inlineStr">
        <is>
          <t>Föryngringsavverkning</t>
        </is>
      </c>
      <c r="D465" s="1" t="n">
        <v>45772</v>
      </c>
      <c r="E465" s="1" t="n">
        <v>46296</v>
      </c>
      <c r="F465" t="inlineStr">
        <is>
          <t>GOTLANDS LÄN</t>
        </is>
      </c>
      <c r="G465" t="inlineStr">
        <is>
          <t>GOTLAND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6959-2026</t>
        </is>
      </c>
      <c r="B466" t="inlineStr">
        <is>
          <t>avverkningsanmälan</t>
        </is>
      </c>
      <c r="C466" t="inlineStr">
        <is>
          <t>Föryngringsavverkning</t>
        </is>
      </c>
      <c r="D466" s="1" t="n">
        <v>46057</v>
      </c>
      <c r="E466" s="1" t="n">
        <v>46296</v>
      </c>
      <c r="F466" t="inlineStr">
        <is>
          <t>GOTLANDS LÄN</t>
        </is>
      </c>
      <c r="G466" t="inlineStr">
        <is>
          <t>GOTLAND</t>
        </is>
      </c>
      <c r="H466" t="inlineStr">
        <is>
          <t>Kyrkan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29207-2025</t>
        </is>
      </c>
      <c r="B467" t="inlineStr">
        <is>
          <t>avverkningsanmälan</t>
        </is>
      </c>
      <c r="C467" t="inlineStr">
        <is>
          <t>Föryngringsavverkning</t>
        </is>
      </c>
      <c r="D467" s="1" t="n">
        <v>45823</v>
      </c>
      <c r="E467" s="1" t="n">
        <v>46296</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32379-2025</t>
        </is>
      </c>
      <c r="B468" t="inlineStr">
        <is>
          <t>avverkningsanmälan</t>
        </is>
      </c>
      <c r="C468" t="inlineStr">
        <is>
          <t>Föryngringsavverkning</t>
        </is>
      </c>
      <c r="D468" s="1" t="n">
        <v>45837</v>
      </c>
      <c r="E468" s="1" t="n">
        <v>46296</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38165-2023</t>
        </is>
      </c>
      <c r="B469" t="inlineStr">
        <is>
          <t>avverkningsanmälan</t>
        </is>
      </c>
      <c r="C469" t="inlineStr">
        <is>
          <t>Föryngringsavverkning</t>
        </is>
      </c>
      <c r="D469" s="1" t="n">
        <v>45161</v>
      </c>
      <c r="E469" s="1" t="n">
        <v>46296</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22348-2026</t>
        </is>
      </c>
      <c r="B470" t="inlineStr">
        <is>
          <t>avverkningsanmälan</t>
        </is>
      </c>
      <c r="C470" t="inlineStr">
        <is>
          <t>Föryngringsavverkning</t>
        </is>
      </c>
      <c r="D470" s="1" t="n">
        <v>46154</v>
      </c>
      <c r="E470" s="1" t="n">
        <v>46296</v>
      </c>
      <c r="F470" t="inlineStr">
        <is>
          <t>GOTLANDS LÄN</t>
        </is>
      </c>
      <c r="G470" t="inlineStr">
        <is>
          <t>GOTLAND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22351-2026</t>
        </is>
      </c>
      <c r="B471" t="inlineStr">
        <is>
          <t>avverkningsanmälan</t>
        </is>
      </c>
      <c r="C471" t="inlineStr">
        <is>
          <t>Föryngringsavverkning</t>
        </is>
      </c>
      <c r="D471" s="1" t="n">
        <v>46154</v>
      </c>
      <c r="E471" s="1" t="n">
        <v>46296</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22281-2026</t>
        </is>
      </c>
      <c r="B472" t="inlineStr">
        <is>
          <t>avverkningsanmälan</t>
        </is>
      </c>
      <c r="C472" t="inlineStr">
        <is>
          <t>Avverkning för annat ändamål</t>
        </is>
      </c>
      <c r="D472" s="1" t="n">
        <v>46154</v>
      </c>
      <c r="E472" s="1" t="n">
        <v>46296</v>
      </c>
      <c r="F472" t="inlineStr">
        <is>
          <t>GOTLANDS LÄN</t>
        </is>
      </c>
      <c r="G472" t="inlineStr">
        <is>
          <t>GOTLAND</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35096-2025</t>
        </is>
      </c>
      <c r="B473" t="inlineStr">
        <is>
          <t>avverkningsanmälan</t>
        </is>
      </c>
      <c r="C473" t="inlineStr">
        <is>
          <t>Föryngringsavverkning</t>
        </is>
      </c>
      <c r="D473" s="1" t="n">
        <v>45852</v>
      </c>
      <c r="E473" s="1" t="n">
        <v>46296</v>
      </c>
      <c r="F473" t="inlineStr">
        <is>
          <t>GOTLANDS LÄN</t>
        </is>
      </c>
      <c r="G473" t="inlineStr">
        <is>
          <t>GOTLAND</t>
        </is>
      </c>
      <c r="H473" t="inlineStr">
        <is>
          <t>Kyrkan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24448-2026</t>
        </is>
      </c>
      <c r="B474" t="inlineStr">
        <is>
          <t>avverkningsanmälan</t>
        </is>
      </c>
      <c r="C474" t="inlineStr">
        <is>
          <t>Föryngringsavverkning</t>
        </is>
      </c>
      <c r="D474" s="1" t="n">
        <v>46170</v>
      </c>
      <c r="E474" s="1" t="n">
        <v>46296</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27354-2026</t>
        </is>
      </c>
      <c r="B475" t="inlineStr">
        <is>
          <t>avverkningsanmälan</t>
        </is>
      </c>
      <c r="C475" t="inlineStr">
        <is>
          <t>Föryngringsavverkning</t>
        </is>
      </c>
      <c r="D475" s="1" t="n">
        <v>46184</v>
      </c>
      <c r="E475" s="1" t="n">
        <v>46296</v>
      </c>
      <c r="F475" t="inlineStr">
        <is>
          <t>GOTLANDS LÄN</t>
        </is>
      </c>
      <c r="G475" t="inlineStr">
        <is>
          <t>GOTLAND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28012-2026</t>
        </is>
      </c>
      <c r="B476" t="inlineStr">
        <is>
          <t>avverkningsanmälan</t>
        </is>
      </c>
      <c r="C476" t="inlineStr">
        <is>
          <t>Föryngringsavverkning</t>
        </is>
      </c>
      <c r="D476" s="1" t="n">
        <v>46195</v>
      </c>
      <c r="E476" s="1" t="n">
        <v>46296</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28839-2026</t>
        </is>
      </c>
      <c r="B477" t="inlineStr">
        <is>
          <t>avverkningsanmälan</t>
        </is>
      </c>
      <c r="C477" t="inlineStr">
        <is>
          <t>Föryngringsavverkning</t>
        </is>
      </c>
      <c r="D477" s="1" t="n">
        <v>46198</v>
      </c>
      <c r="E477" s="1" t="n">
        <v>46296</v>
      </c>
      <c r="F477" t="inlineStr">
        <is>
          <t>GOTLANDS LÄN</t>
        </is>
      </c>
      <c r="G477" t="inlineStr">
        <is>
          <t>GOTLAND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28843-2026</t>
        </is>
      </c>
      <c r="B478" t="inlineStr">
        <is>
          <t>avverkningsanmälan</t>
        </is>
      </c>
      <c r="C478" t="inlineStr">
        <is>
          <t>Föryngringsavverkning</t>
        </is>
      </c>
      <c r="D478" s="1" t="n">
        <v>46198</v>
      </c>
      <c r="E478" s="1" t="n">
        <v>46296</v>
      </c>
      <c r="F478" t="inlineStr">
        <is>
          <t>GOTLANDS LÄN</t>
        </is>
      </c>
      <c r="G478" t="inlineStr">
        <is>
          <t>GOTLAND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29370-2026</t>
        </is>
      </c>
      <c r="B479" t="inlineStr">
        <is>
          <t>avverkningsanmälan</t>
        </is>
      </c>
      <c r="C479" t="inlineStr">
        <is>
          <t>Föryngringsavverkning</t>
        </is>
      </c>
      <c r="D479" s="1" t="n">
        <v>46203</v>
      </c>
      <c r="E479" s="1" t="n">
        <v>46296</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30926-2026</t>
        </is>
      </c>
      <c r="B480" t="inlineStr">
        <is>
          <t>avverkningsanmälan</t>
        </is>
      </c>
      <c r="C480" t="inlineStr">
        <is>
          <t>Föryngringsavverkning</t>
        </is>
      </c>
      <c r="D480" s="1" t="n">
        <v>46213</v>
      </c>
      <c r="E480" s="1" t="n">
        <v>46296</v>
      </c>
      <c r="F480" t="inlineStr">
        <is>
          <t>GOTLANDS LÄN</t>
        </is>
      </c>
      <c r="G480" t="inlineStr">
        <is>
          <t>GOTLAND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30925-2026</t>
        </is>
      </c>
      <c r="B481" t="inlineStr">
        <is>
          <t>avverkningsanmälan</t>
        </is>
      </c>
      <c r="C481" t="inlineStr">
        <is>
          <t>Föryngringsavverkning</t>
        </is>
      </c>
      <c r="D481" s="1" t="n">
        <v>46213</v>
      </c>
      <c r="E481" s="1" t="n">
        <v>46296</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31287-2026</t>
        </is>
      </c>
      <c r="B482" t="inlineStr">
        <is>
          <t>avverkningsanmälan</t>
        </is>
      </c>
      <c r="C482" t="inlineStr">
        <is>
          <t>Föryngringsavverkning</t>
        </is>
      </c>
      <c r="D482" s="1" t="n">
        <v>46218</v>
      </c>
      <c r="E482" s="1" t="n">
        <v>46296</v>
      </c>
      <c r="F482" t="inlineStr">
        <is>
          <t>GOTLANDS LÄN</t>
        </is>
      </c>
      <c r="G482" t="inlineStr">
        <is>
          <t>GOTLAND</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35127-2026</t>
        </is>
      </c>
      <c r="B483" t="inlineStr">
        <is>
          <t>avverkningsanmälan</t>
        </is>
      </c>
      <c r="C483" t="inlineStr">
        <is>
          <t>Föryngringsavverkning</t>
        </is>
      </c>
      <c r="D483" s="1" t="n">
        <v>46260</v>
      </c>
      <c r="E483" s="1" t="n">
        <v>46296</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31693-2026</t>
        </is>
      </c>
      <c r="B484" t="inlineStr">
        <is>
          <t>avverkningsanmälan</t>
        </is>
      </c>
      <c r="C484" t="inlineStr">
        <is>
          <t>Föryngringsavverkning</t>
        </is>
      </c>
      <c r="D484" s="1" t="n">
        <v>46226</v>
      </c>
      <c r="E484" s="1" t="n">
        <v>46296</v>
      </c>
      <c r="F484" t="inlineStr">
        <is>
          <t>GOTLANDS LÄN</t>
        </is>
      </c>
      <c r="G484" t="inlineStr">
        <is>
          <t>GOTLAND</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46296</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46296</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46296</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32239-2026</t>
        </is>
      </c>
      <c r="B488" t="inlineStr">
        <is>
          <t>avverkningsanmälan</t>
        </is>
      </c>
      <c r="C488" t="inlineStr">
        <is>
          <t>Föryngringsavverkning</t>
        </is>
      </c>
      <c r="D488" s="1" t="n">
        <v>46237</v>
      </c>
      <c r="E488" s="1" t="n">
        <v>46296</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32626-2026</t>
        </is>
      </c>
      <c r="B489" t="inlineStr">
        <is>
          <t>avverkningsanmälan</t>
        </is>
      </c>
      <c r="C489" t="inlineStr">
        <is>
          <t>Föryngringsavverkning</t>
        </is>
      </c>
      <c r="D489" s="1" t="n">
        <v>46240</v>
      </c>
      <c r="E489" s="1" t="n">
        <v>46296</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32553-2026</t>
        </is>
      </c>
      <c r="B490" t="inlineStr">
        <is>
          <t>avverkningsanmälan</t>
        </is>
      </c>
      <c r="C490" t="inlineStr">
        <is>
          <t>Föryngringsavverkning</t>
        </is>
      </c>
      <c r="D490" s="1" t="n">
        <v>46239</v>
      </c>
      <c r="E490" s="1" t="n">
        <v>46296</v>
      </c>
      <c r="F490" t="inlineStr">
        <is>
          <t>GOTLANDS LÄN</t>
        </is>
      </c>
      <c r="G490" t="inlineStr">
        <is>
          <t>GOTLAND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38311-2026</t>
        </is>
      </c>
      <c r="B491" t="inlineStr">
        <is>
          <t>avverkningsanmälan</t>
        </is>
      </c>
      <c r="C491" t="inlineStr">
        <is>
          <t>Föryngringsavverkning</t>
        </is>
      </c>
      <c r="D491" s="1" t="n">
        <v>46282</v>
      </c>
      <c r="E491" s="1" t="n">
        <v>46296</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32698-2026</t>
        </is>
      </c>
      <c r="B492" t="inlineStr">
        <is>
          <t>avverkningsanmälan</t>
        </is>
      </c>
      <c r="C492" t="inlineStr">
        <is>
          <t>Föryngringsavverkning</t>
        </is>
      </c>
      <c r="D492" s="1" t="n">
        <v>46240</v>
      </c>
      <c r="E492" s="1" t="n">
        <v>46296</v>
      </c>
      <c r="F492" t="inlineStr">
        <is>
          <t>GOTLANDS LÄN</t>
        </is>
      </c>
      <c r="G492" t="inlineStr">
        <is>
          <t>GOTLAND</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38928-2026</t>
        </is>
      </c>
      <c r="B493" t="inlineStr">
        <is>
          <t>avverkningsanmälan</t>
        </is>
      </c>
      <c r="C493" t="inlineStr">
        <is>
          <t>Föryngringsavverkning</t>
        </is>
      </c>
      <c r="D493" s="1" t="n">
        <v>46286</v>
      </c>
      <c r="E493" s="1" t="n">
        <v>46296</v>
      </c>
      <c r="F493" t="inlineStr">
        <is>
          <t>GOTLANDS LÄN</t>
        </is>
      </c>
      <c r="G493" t="inlineStr">
        <is>
          <t>GOTLAND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38932-2026</t>
        </is>
      </c>
      <c r="B494" t="inlineStr">
        <is>
          <t>avverkningsanmälan</t>
        </is>
      </c>
      <c r="C494" t="inlineStr">
        <is>
          <t>Föryngringsavverkning</t>
        </is>
      </c>
      <c r="D494" s="1" t="n">
        <v>46286</v>
      </c>
      <c r="E494" s="1" t="n">
        <v>46296</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23188-2025</t>
        </is>
      </c>
      <c r="B495" t="inlineStr">
        <is>
          <t>avverkningsanmälan</t>
        </is>
      </c>
      <c r="C495" t="inlineStr">
        <is>
          <t>Avverkning för annat ändamål</t>
        </is>
      </c>
      <c r="D495" s="1" t="n">
        <v>45791</v>
      </c>
      <c r="E495" s="1" t="n">
        <v>46296</v>
      </c>
      <c r="F495" t="inlineStr">
        <is>
          <t>GOTLANDS LÄN</t>
        </is>
      </c>
      <c r="G495" t="inlineStr">
        <is>
          <t>GOTLAND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37990-2026</t>
        </is>
      </c>
      <c r="B496" t="inlineStr">
        <is>
          <t>avverkningsanmälan</t>
        </is>
      </c>
      <c r="C496" t="inlineStr">
        <is>
          <t>Avverkning för annat ändamål</t>
        </is>
      </c>
      <c r="D496" s="1" t="n">
        <v>46280</v>
      </c>
      <c r="E496" s="1" t="n">
        <v>46296</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46296</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22275-2026</t>
        </is>
      </c>
      <c r="B498" t="inlineStr">
        <is>
          <t>avverkningsanmälan</t>
        </is>
      </c>
      <c r="C498" t="inlineStr">
        <is>
          <t>Föryngringsavverkning</t>
        </is>
      </c>
      <c r="D498" s="1" t="n">
        <v>46154</v>
      </c>
      <c r="E498" s="1" t="n">
        <v>46296</v>
      </c>
      <c r="F498" t="inlineStr">
        <is>
          <t>GOTLANDS LÄN</t>
        </is>
      </c>
      <c r="G498" t="inlineStr">
        <is>
          <t>GOTLAND</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27341-2026</t>
        </is>
      </c>
      <c r="B499" t="inlineStr">
        <is>
          <t>avverkningsanmälan</t>
        </is>
      </c>
      <c r="C499" t="inlineStr">
        <is>
          <t>Föryngringsavverkning</t>
        </is>
      </c>
      <c r="D499" s="1" t="n">
        <v>46188</v>
      </c>
      <c r="E499" s="1" t="n">
        <v>46296</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39400-2026</t>
        </is>
      </c>
      <c r="B500" t="inlineStr">
        <is>
          <t>avverkningsanmälan</t>
        </is>
      </c>
      <c r="C500" t="inlineStr">
        <is>
          <t>Föryngringsavverkning</t>
        </is>
      </c>
      <c r="D500" s="1" t="n">
        <v>46288</v>
      </c>
      <c r="E500" s="1" t="n">
        <v>46296</v>
      </c>
      <c r="F500" t="inlineStr">
        <is>
          <t>GOTLANDS LÄN</t>
        </is>
      </c>
      <c r="G500" t="inlineStr">
        <is>
          <t>GOTLAND</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22887-2026</t>
        </is>
      </c>
      <c r="B501" t="inlineStr">
        <is>
          <t>avverkningsanmälan</t>
        </is>
      </c>
      <c r="C501" t="inlineStr">
        <is>
          <t>Avverkning för att bevara och utveckla /försöksver</t>
        </is>
      </c>
      <c r="D501" s="1" t="n">
        <v>46160</v>
      </c>
      <c r="E501" s="1" t="n">
        <v>46296</v>
      </c>
      <c r="F501" t="inlineStr">
        <is>
          <t>GOTLANDS LÄN</t>
        </is>
      </c>
      <c r="G501" t="inlineStr">
        <is>
          <t>GOTLAND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23504-2026</t>
        </is>
      </c>
      <c r="B502" t="inlineStr">
        <is>
          <t>avverkningsanmälan</t>
        </is>
      </c>
      <c r="C502" t="inlineStr">
        <is>
          <t>Föryngringsavverkning</t>
        </is>
      </c>
      <c r="D502" s="1" t="n">
        <v>46163</v>
      </c>
      <c r="E502" s="1" t="n">
        <v>46296</v>
      </c>
      <c r="F502" t="inlineStr">
        <is>
          <t>GOTLANDS LÄN</t>
        </is>
      </c>
      <c r="G502" t="inlineStr">
        <is>
          <t>GOTLAND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39967-2026</t>
        </is>
      </c>
      <c r="B503" t="inlineStr">
        <is>
          <t>avverkningsanmälan</t>
        </is>
      </c>
      <c r="C503" t="inlineStr">
        <is>
          <t>Föryngringsavverkning</t>
        </is>
      </c>
      <c r="D503" s="1" t="n">
        <v>46292</v>
      </c>
      <c r="E503" s="1" t="n">
        <v>46296</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10284-2026</t>
        </is>
      </c>
      <c r="B504" t="inlineStr">
        <is>
          <t>avverkningsanmälan</t>
        </is>
      </c>
      <c r="C504" t="inlineStr">
        <is>
          <t>Avverkning för annat ändamål</t>
        </is>
      </c>
      <c r="D504" s="1" t="n">
        <v>46076</v>
      </c>
      <c r="E504" s="1" t="n">
        <v>46296</v>
      </c>
      <c r="F504" t="inlineStr">
        <is>
          <t>GOTLANDS LÄN</t>
        </is>
      </c>
      <c r="G504" t="inlineStr">
        <is>
          <t>GOTLAND</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9540-2026</t>
        </is>
      </c>
      <c r="B505" t="inlineStr">
        <is>
          <t>avverkningsanmälan</t>
        </is>
      </c>
      <c r="C505" t="inlineStr">
        <is>
          <t>Föryngringsavverkning</t>
        </is>
      </c>
      <c r="D505" s="1" t="n">
        <v>46071</v>
      </c>
      <c r="E505" s="1" t="n">
        <v>46296</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40372-2025</t>
        </is>
      </c>
      <c r="B506" t="inlineStr">
        <is>
          <t>avverkningsanmälan</t>
        </is>
      </c>
      <c r="C506" t="inlineStr">
        <is>
          <t>Föryngringsavverkning</t>
        </is>
      </c>
      <c r="D506" s="1" t="n">
        <v>45895</v>
      </c>
      <c r="E506" s="1" t="n">
        <v>46296</v>
      </c>
      <c r="F506" t="inlineStr">
        <is>
          <t>GOTLANDS LÄN</t>
        </is>
      </c>
      <c r="G506" t="inlineStr">
        <is>
          <t>GOTLAND</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40001-2026</t>
        </is>
      </c>
      <c r="B507" t="inlineStr">
        <is>
          <t>avverkningsanmälan</t>
        </is>
      </c>
      <c r="C507" t="inlineStr">
        <is>
          <t>Föryngringsavverkning</t>
        </is>
      </c>
      <c r="D507" s="1" t="n">
        <v>46293</v>
      </c>
      <c r="E507" s="1" t="n">
        <v>46296</v>
      </c>
      <c r="F507" t="inlineStr">
        <is>
          <t>GOTLANDS LÄN</t>
        </is>
      </c>
      <c r="G507" t="inlineStr">
        <is>
          <t>GOTLAND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9518-2026</t>
        </is>
      </c>
      <c r="B508" t="inlineStr">
        <is>
          <t>avverkningsanmälan</t>
        </is>
      </c>
      <c r="C508" t="inlineStr">
        <is>
          <t>Föryngringsavverkning</t>
        </is>
      </c>
      <c r="D508" s="1" t="n">
        <v>46071</v>
      </c>
      <c r="E508" s="1" t="n">
        <v>46296</v>
      </c>
      <c r="F508" t="inlineStr">
        <is>
          <t>GOTLANDS LÄN</t>
        </is>
      </c>
      <c r="G508" t="inlineStr">
        <is>
          <t>GOTLAND</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9543-2026</t>
        </is>
      </c>
      <c r="B509" t="inlineStr">
        <is>
          <t>avverkningsanmälan</t>
        </is>
      </c>
      <c r="C509" t="inlineStr">
        <is>
          <t>Föryngringsavverkning</t>
        </is>
      </c>
      <c r="D509" s="1" t="n">
        <v>46071</v>
      </c>
      <c r="E509" s="1" t="n">
        <v>46296</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62836-2025</t>
        </is>
      </c>
      <c r="B510" t="inlineStr">
        <is>
          <t>avverkningsanmälan</t>
        </is>
      </c>
      <c r="C510" t="inlineStr">
        <is>
          <t>Föryngringsavverkning</t>
        </is>
      </c>
      <c r="D510" s="1" t="n">
        <v>46008</v>
      </c>
      <c r="E510" s="1" t="n">
        <v>46296</v>
      </c>
      <c r="F510" t="inlineStr">
        <is>
          <t>GOTLANDS LÄN</t>
        </is>
      </c>
      <c r="G510" t="inlineStr">
        <is>
          <t>GOTLAND</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46296</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46296</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46296</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46296</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46296</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46296</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46296</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46296</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46296</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46296</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46296</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46296</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2026-10-01T02:02:37Z</dcterms:created>
  <dcterms:modified xmlns:dcterms="http://purl.org/dc/terms/" xmlns:xsi="http://www.w3.org/2001/XMLSchema-instance" xsi:type="dcterms:W3CDTF">2026-10-01T02:02:38Z</dcterms:modified>
</cp:coreProperties>
</file>