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46046</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46046</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46046</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46046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46046</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46046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46046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46046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46046</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46046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46046</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46046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46046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46046</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46046</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46046</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46046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46046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46046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46046</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46046</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46046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46046</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46046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46046</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46046</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46046</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46046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46046</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46046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46046</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46046</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46046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46046</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46046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46046</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46046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46046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46046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46046</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46046</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46046</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46046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46046</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46046</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46046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32326-2024</t>
        </is>
      </c>
      <c r="B83" s="1" t="n">
        <v>45512</v>
      </c>
      <c r="C83" s="1" t="n">
        <v>46046</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2213-2023</t>
        </is>
      </c>
      <c r="B84" s="1" t="n">
        <v>44942</v>
      </c>
      <c r="C84" s="1" t="n">
        <v>46046</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54055-2022</t>
        </is>
      </c>
      <c r="B85" s="1" t="n">
        <v>44881</v>
      </c>
      <c r="C85" s="1" t="n">
        <v>46046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46046</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46046</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46046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46046</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46046</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46046</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1971-2023</t>
        </is>
      </c>
      <c r="B92" s="1" t="n">
        <v>44939</v>
      </c>
      <c r="C92" s="1" t="n">
        <v>46046</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46046</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20833-2024</t>
        </is>
      </c>
      <c r="B94" s="1" t="n">
        <v>45439</v>
      </c>
      <c r="C94" s="1" t="n">
        <v>46046</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46046</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46046</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46046</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46046</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44933-2022</t>
        </is>
      </c>
      <c r="B99" s="1" t="n">
        <v>44841</v>
      </c>
      <c r="C99" s="1" t="n">
        <v>46046</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46046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46046</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46046</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46046</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46046</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46046</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46046</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46046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17975-2024</t>
        </is>
      </c>
      <c r="B109" s="1" t="n">
        <v>45419.85546296297</v>
      </c>
      <c r="C109" s="1" t="n">
        <v>46046</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46046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53552-2021</t>
        </is>
      </c>
      <c r="B111" s="1" t="n">
        <v>44468</v>
      </c>
      <c r="C111" s="1" t="n">
        <v>46046</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5235-2025</t>
        </is>
      </c>
      <c r="B112" s="1" t="n">
        <v>45692.26797453704</v>
      </c>
      <c r="C112" s="1" t="n">
        <v>46046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12315-2024</t>
        </is>
      </c>
      <c r="B113" s="1" t="n">
        <v>45378.6434837963</v>
      </c>
      <c r="C113" s="1" t="n">
        <v>46046</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17982-2023</t>
        </is>
      </c>
      <c r="B114" s="1" t="n">
        <v>45040</v>
      </c>
      <c r="C114" s="1" t="n">
        <v>46046</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48126-2022</t>
        </is>
      </c>
      <c r="B115" s="1" t="n">
        <v>44857</v>
      </c>
      <c r="C115" s="1" t="n">
        <v>46046</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46046</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46046</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46046</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46046</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46046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46046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46046</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46046</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46046</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46046</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46046</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46046</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46046</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21879-2025</t>
        </is>
      </c>
      <c r="B130" s="1" t="n">
        <v>45784.40533564815</v>
      </c>
      <c r="C130" s="1" t="n">
        <v>46046</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20838-2024</t>
        </is>
      </c>
      <c r="B131" s="1" t="n">
        <v>45439</v>
      </c>
      <c r="C131" s="1" t="n">
        <v>46046</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7070-2022</t>
        </is>
      </c>
      <c r="B132" s="1" t="n">
        <v>44603</v>
      </c>
      <c r="C132" s="1" t="n">
        <v>46046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46046</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26077-2024</t>
        </is>
      </c>
      <c r="B134" s="1" t="n">
        <v>45467</v>
      </c>
      <c r="C134" s="1" t="n">
        <v>46046</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46046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46046</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63162-2025</t>
        </is>
      </c>
      <c r="B137" s="1" t="n">
        <v>46010.37629629629</v>
      </c>
      <c r="C137" s="1" t="n">
        <v>46046</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46046</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46046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46046</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46046</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46046</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46046</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63576-2021</t>
        </is>
      </c>
      <c r="B144" s="1" t="n">
        <v>44508</v>
      </c>
      <c r="C144" s="1" t="n">
        <v>46046</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12324-2025</t>
        </is>
      </c>
      <c r="B145" s="1" t="n">
        <v>45730</v>
      </c>
      <c r="C145" s="1" t="n">
        <v>46046</v>
      </c>
      <c r="D145" t="inlineStr">
        <is>
          <t>GOTLANDS LÄN</t>
        </is>
      </c>
      <c r="E145" t="inlineStr">
        <is>
          <t>GOTLAND</t>
        </is>
      </c>
      <c r="G145" t="n">
        <v>5</v>
      </c>
      <c r="H145" t="n">
        <v>0</v>
      </c>
      <c r="I145" t="n">
        <v>0</v>
      </c>
      <c r="J145" t="n">
        <v>0</v>
      </c>
      <c r="K145" t="n">
        <v>1</v>
      </c>
      <c r="L145" t="n">
        <v>0</v>
      </c>
      <c r="M145" t="n">
        <v>0</v>
      </c>
      <c r="N145" t="n">
        <v>0</v>
      </c>
      <c r="O145" t="n">
        <v>1</v>
      </c>
      <c r="P145" t="n">
        <v>1</v>
      </c>
      <c r="Q145" t="n">
        <v>1</v>
      </c>
      <c r="R145" s="2" t="inlineStr">
        <is>
          <t>Sommarklynne</t>
        </is>
      </c>
      <c r="S145">
        <f>HYPERLINK("https://klasma.github.io/Logging_0980/artfynd/A 12324-2025 artfynd.xlsx", "A 12324-2025")</f>
        <v/>
      </c>
      <c r="T145">
        <f>HYPERLINK("https://klasma.github.io/Logging_0980/kartor/A 12324-2025 karta.png", "A 12324-2025")</f>
        <v/>
      </c>
      <c r="V145">
        <f>HYPERLINK("https://klasma.github.io/Logging_0980/klagomål/A 12324-2025 FSC-klagomål.docx", "A 12324-2025")</f>
        <v/>
      </c>
      <c r="W145">
        <f>HYPERLINK("https://klasma.github.io/Logging_0980/klagomålsmail/A 12324-2025 FSC-klagomål mail.docx", "A 12324-2025")</f>
        <v/>
      </c>
      <c r="X145">
        <f>HYPERLINK("https://klasma.github.io/Logging_0980/tillsyn/A 12324-2025 tillsynsbegäran.docx", "A 12324-2025")</f>
        <v/>
      </c>
      <c r="Y145">
        <f>HYPERLINK("https://klasma.github.io/Logging_0980/tillsynsmail/A 12324-2025 tillsynsbegäran mail.docx", "A 12324-2025")</f>
        <v/>
      </c>
    </row>
    <row r="146" ht="15" customHeight="1">
      <c r="A146" t="inlineStr">
        <is>
          <t>A 21466-2025</t>
        </is>
      </c>
      <c r="B146" s="1" t="n">
        <v>45782</v>
      </c>
      <c r="C146" s="1" t="n">
        <v>46046</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10440-2024</t>
        </is>
      </c>
      <c r="B147" s="1" t="n">
        <v>45366.32818287037</v>
      </c>
      <c r="C147" s="1" t="n">
        <v>46046</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44308-2021</t>
        </is>
      </c>
      <c r="B148" s="1" t="n">
        <v>44434</v>
      </c>
      <c r="C148" s="1" t="n">
        <v>46046</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2476-2025</t>
        </is>
      </c>
      <c r="B149" s="1" t="n">
        <v>45673</v>
      </c>
      <c r="C149" s="1" t="n">
        <v>46046</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46527-2023</t>
        </is>
      </c>
      <c r="B150" s="1" t="n">
        <v>45197</v>
      </c>
      <c r="C150" s="1" t="n">
        <v>46046</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7637-2025</t>
        </is>
      </c>
      <c r="B151" s="1" t="n">
        <v>45705.77181712963</v>
      </c>
      <c r="C151" s="1" t="n">
        <v>46046</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44304-2021</t>
        </is>
      </c>
      <c r="B152" s="1" t="n">
        <v>44434</v>
      </c>
      <c r="C152" s="1" t="n">
        <v>46046</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46046</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26461-2025</t>
        </is>
      </c>
      <c r="B154" s="1" t="n">
        <v>45807.43337962963</v>
      </c>
      <c r="C154" s="1" t="n">
        <v>46046</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46046</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34809-2024</t>
        </is>
      </c>
      <c r="B156" s="1" t="n">
        <v>45526</v>
      </c>
      <c r="C156" s="1" t="n">
        <v>46046</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6303-2024</t>
        </is>
      </c>
      <c r="B157" s="1" t="n">
        <v>45338.35376157407</v>
      </c>
      <c r="C157" s="1" t="n">
        <v>46046</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46046</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46046</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46046</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49304-2024</t>
        </is>
      </c>
      <c r="B161" s="1" t="n">
        <v>45595.54996527778</v>
      </c>
      <c r="C161" s="1" t="n">
        <v>46046</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46046</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44088-2022</t>
        </is>
      </c>
      <c r="B163" s="1" t="n">
        <v>44839</v>
      </c>
      <c r="C163" s="1" t="n">
        <v>46046</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65927-2021</t>
        </is>
      </c>
      <c r="B164" s="1" t="n">
        <v>44516</v>
      </c>
      <c r="C164" s="1" t="n">
        <v>46046</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9862-2024</t>
        </is>
      </c>
      <c r="B165" s="1" t="n">
        <v>45363</v>
      </c>
      <c r="C165" s="1" t="n">
        <v>46046</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46046</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947-2023</t>
        </is>
      </c>
      <c r="B167" s="1" t="n">
        <v>44934</v>
      </c>
      <c r="C167" s="1" t="n">
        <v>46046</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61796-2022</t>
        </is>
      </c>
      <c r="B168" s="1" t="n">
        <v>44917</v>
      </c>
      <c r="C168" s="1" t="n">
        <v>46046</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61561-2023</t>
        </is>
      </c>
      <c r="B169" s="1" t="n">
        <v>45265</v>
      </c>
      <c r="C169" s="1" t="n">
        <v>46046</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1477-2024</t>
        </is>
      </c>
      <c r="B170" s="1" t="n">
        <v>45305.37987268518</v>
      </c>
      <c r="C170" s="1" t="n">
        <v>46046</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13939-2021</t>
        </is>
      </c>
      <c r="B171" s="1" t="n">
        <v>44277</v>
      </c>
      <c r="C171" s="1" t="n">
        <v>46046</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10218-2025</t>
        </is>
      </c>
      <c r="B172" s="1" t="n">
        <v>45720</v>
      </c>
      <c r="C172" s="1" t="n">
        <v>46046</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12924-2025</t>
        </is>
      </c>
      <c r="B173" s="1" t="n">
        <v>45734</v>
      </c>
      <c r="C173" s="1" t="n">
        <v>46046</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12379-2024</t>
        </is>
      </c>
      <c r="B174" s="1" t="n">
        <v>45379.28155092592</v>
      </c>
      <c r="C174" s="1" t="n">
        <v>46046</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46046</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46046</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46046</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46046</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39812-2025</t>
        </is>
      </c>
      <c r="B179" s="1" t="n">
        <v>45891</v>
      </c>
      <c r="C179" s="1" t="n">
        <v>46046</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49847-2023</t>
        </is>
      </c>
      <c r="B180" s="1" t="n">
        <v>45212</v>
      </c>
      <c r="C180" s="1" t="n">
        <v>46046</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35467-2021</t>
        </is>
      </c>
      <c r="B181" s="1" t="n">
        <v>44385</v>
      </c>
      <c r="C181" s="1" t="n">
        <v>46046</v>
      </c>
      <c r="D181" t="inlineStr">
        <is>
          <t>GOTLANDS LÄN</t>
        </is>
      </c>
      <c r="E181" t="inlineStr">
        <is>
          <t>GOTLAND</t>
        </is>
      </c>
      <c r="G181" t="n">
        <v>12.7</v>
      </c>
      <c r="H181" t="n">
        <v>0</v>
      </c>
      <c r="I181" t="n">
        <v>0</v>
      </c>
      <c r="J181" t="n">
        <v>1</v>
      </c>
      <c r="K181" t="n">
        <v>0</v>
      </c>
      <c r="L181" t="n">
        <v>0</v>
      </c>
      <c r="M181" t="n">
        <v>0</v>
      </c>
      <c r="N181" t="n">
        <v>0</v>
      </c>
      <c r="O181" t="n">
        <v>1</v>
      </c>
      <c r="P181" t="n">
        <v>0</v>
      </c>
      <c r="Q181" t="n">
        <v>1</v>
      </c>
      <c r="R181" s="2" t="inlineStr">
        <is>
          <t>Loppstarr</t>
        </is>
      </c>
      <c r="S181">
        <f>HYPERLINK("https://klasma.github.io/Logging_0980/artfynd/A 35467-2021 artfynd.xlsx", "A 35467-2021")</f>
        <v/>
      </c>
      <c r="T181">
        <f>HYPERLINK("https://klasma.github.io/Logging_0980/kartor/A 35467-2021 karta.png", "A 35467-2021")</f>
        <v/>
      </c>
      <c r="V181">
        <f>HYPERLINK("https://klasma.github.io/Logging_0980/klagomål/A 35467-2021 FSC-klagomål.docx", "A 35467-2021")</f>
        <v/>
      </c>
      <c r="W181">
        <f>HYPERLINK("https://klasma.github.io/Logging_0980/klagomålsmail/A 35467-2021 FSC-klagomål mail.docx", "A 35467-2021")</f>
        <v/>
      </c>
      <c r="X181">
        <f>HYPERLINK("https://klasma.github.io/Logging_0980/tillsyn/A 35467-2021 tillsynsbegäran.docx", "A 35467-2021")</f>
        <v/>
      </c>
      <c r="Y181">
        <f>HYPERLINK("https://klasma.github.io/Logging_0980/tillsynsmail/A 35467-2021 tillsynsbegäran mail.docx", "A 35467-2021")</f>
        <v/>
      </c>
    </row>
    <row r="182" ht="15" customHeight="1">
      <c r="A182" t="inlineStr">
        <is>
          <t>A 44619-2025</t>
        </is>
      </c>
      <c r="B182" s="1" t="n">
        <v>45917</v>
      </c>
      <c r="C182" s="1" t="n">
        <v>46046</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10995-2023</t>
        </is>
      </c>
      <c r="B183" s="1" t="n">
        <v>44986</v>
      </c>
      <c r="C183" s="1" t="n">
        <v>46046</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46046</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46046</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46046</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46046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46046</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46046</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46046</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46046</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46046</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46046</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46046</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46046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46046</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46046</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46046</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46046</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46046</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46046</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46046</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46046</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46046</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46046</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46046</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46046</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46046</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46046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46046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46046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46046</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46046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46046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46046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46046</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46046</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46046</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46046</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46046</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46046</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46046</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46046</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46046</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46046</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46046</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46046</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46189-2022</t>
        </is>
      </c>
      <c r="B234" s="1" t="n">
        <v>44847</v>
      </c>
      <c r="C234" s="1" t="n">
        <v>46046</v>
      </c>
      <c r="D234" t="inlineStr">
        <is>
          <t>GOTLANDS LÄN</t>
        </is>
      </c>
      <c r="E234" t="inlineStr">
        <is>
          <t>GOTLAND</t>
        </is>
      </c>
      <c r="G234" t="n">
        <v>0.4</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46046</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57522-2022</t>
        </is>
      </c>
      <c r="B236" s="1" t="n">
        <v>44896</v>
      </c>
      <c r="C236" s="1" t="n">
        <v>46046</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14797-2024</t>
        </is>
      </c>
      <c r="B237" s="1" t="n">
        <v>45397.87030092593</v>
      </c>
      <c r="C237" s="1" t="n">
        <v>46046</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46046</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46046</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46046</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46046</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65393-2021</t>
        </is>
      </c>
      <c r="B242" s="1" t="n">
        <v>44515</v>
      </c>
      <c r="C242" s="1" t="n">
        <v>46046</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46046</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46046</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7837-2024</t>
        </is>
      </c>
      <c r="B245" s="1" t="n">
        <v>45349.83787037037</v>
      </c>
      <c r="C245" s="1" t="n">
        <v>46046</v>
      </c>
      <c r="D245" t="inlineStr">
        <is>
          <t>GOTLANDS LÄN</t>
        </is>
      </c>
      <c r="E245" t="inlineStr">
        <is>
          <t>GOTLAND</t>
        </is>
      </c>
      <c r="G245" t="n">
        <v>5</v>
      </c>
      <c r="H245" t="n">
        <v>0</v>
      </c>
      <c r="I245" t="n">
        <v>0</v>
      </c>
      <c r="J245" t="n">
        <v>0</v>
      </c>
      <c r="K245" t="n">
        <v>0</v>
      </c>
      <c r="L245" t="n">
        <v>0</v>
      </c>
      <c r="M245" t="n">
        <v>0</v>
      </c>
      <c r="N245" t="n">
        <v>0</v>
      </c>
      <c r="O245" t="n">
        <v>0</v>
      </c>
      <c r="P245" t="n">
        <v>0</v>
      </c>
      <c r="Q245" t="n">
        <v>0</v>
      </c>
      <c r="R245" s="2" t="inlineStr"/>
    </row>
    <row r="246" ht="15" customHeight="1">
      <c r="A246" t="inlineStr">
        <is>
          <t>A 456-2023</t>
        </is>
      </c>
      <c r="B246" s="1" t="n">
        <v>44929.87122685185</v>
      </c>
      <c r="C246" s="1" t="n">
        <v>46046</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46046</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1394-2023</t>
        </is>
      </c>
      <c r="B248" s="1" t="n">
        <v>44936.72997685185</v>
      </c>
      <c r="C248" s="1" t="n">
        <v>46046</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46046</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46046</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4387-2023</t>
        </is>
      </c>
      <c r="B251" s="1" t="n">
        <v>44955.73359953704</v>
      </c>
      <c r="C251" s="1" t="n">
        <v>46046</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46046</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37728-2024</t>
        </is>
      </c>
      <c r="B253" s="1" t="n">
        <v>45541</v>
      </c>
      <c r="C253" s="1" t="n">
        <v>46046</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46046</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46046</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46046</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2241-2025</t>
        </is>
      </c>
      <c r="B257" s="1" t="n">
        <v>45673.48710648148</v>
      </c>
      <c r="C257" s="1" t="n">
        <v>46046</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13910-2025</t>
        </is>
      </c>
      <c r="B258" s="1" t="n">
        <v>45737</v>
      </c>
      <c r="C258" s="1" t="n">
        <v>46046</v>
      </c>
      <c r="D258" t="inlineStr">
        <is>
          <t>GOTLANDS LÄN</t>
        </is>
      </c>
      <c r="E258" t="inlineStr">
        <is>
          <t>GOTLAND</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46046</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46046</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21389-2025</t>
        </is>
      </c>
      <c r="B261" s="1" t="n">
        <v>45782</v>
      </c>
      <c r="C261" s="1" t="n">
        <v>46046</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46046</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46046</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22275-2023</t>
        </is>
      </c>
      <c r="B264" s="1" t="n">
        <v>45070.39875</v>
      </c>
      <c r="C264" s="1" t="n">
        <v>46046</v>
      </c>
      <c r="D264" t="inlineStr">
        <is>
          <t>GOTLANDS LÄN</t>
        </is>
      </c>
      <c r="E264" t="inlineStr">
        <is>
          <t>GOTLAND</t>
        </is>
      </c>
      <c r="G264" t="n">
        <v>7.2</v>
      </c>
      <c r="H264" t="n">
        <v>0</v>
      </c>
      <c r="I264" t="n">
        <v>0</v>
      </c>
      <c r="J264" t="n">
        <v>0</v>
      </c>
      <c r="K264" t="n">
        <v>0</v>
      </c>
      <c r="L264" t="n">
        <v>0</v>
      </c>
      <c r="M264" t="n">
        <v>0</v>
      </c>
      <c r="N264" t="n">
        <v>0</v>
      </c>
      <c r="O264" t="n">
        <v>0</v>
      </c>
      <c r="P264" t="n">
        <v>0</v>
      </c>
      <c r="Q264" t="n">
        <v>0</v>
      </c>
      <c r="R264" s="2" t="inlineStr"/>
    </row>
    <row r="265" ht="15" customHeight="1">
      <c r="A265" t="inlineStr">
        <is>
          <t>A 48843-2024</t>
        </is>
      </c>
      <c r="B265" s="1" t="n">
        <v>45593</v>
      </c>
      <c r="C265" s="1" t="n">
        <v>46046</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14635-2023</t>
        </is>
      </c>
      <c r="B266" s="1" t="n">
        <v>45013.69365740741</v>
      </c>
      <c r="C266" s="1" t="n">
        <v>46046</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63763-2023</t>
        </is>
      </c>
      <c r="B267" s="1" t="n">
        <v>45278.33944444444</v>
      </c>
      <c r="C267" s="1" t="n">
        <v>46046</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46046</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7635-2025</t>
        </is>
      </c>
      <c r="B269" s="1" t="n">
        <v>45705</v>
      </c>
      <c r="C269" s="1" t="n">
        <v>46046</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7636-2025</t>
        </is>
      </c>
      <c r="B270" s="1" t="n">
        <v>45705.7687962963</v>
      </c>
      <c r="C270" s="1" t="n">
        <v>46046</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7639-2025</t>
        </is>
      </c>
      <c r="B271" s="1" t="n">
        <v>45705.77465277778</v>
      </c>
      <c r="C271" s="1" t="n">
        <v>46046</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61682-2024</t>
        </is>
      </c>
      <c r="B272" s="1" t="n">
        <v>45647.48824074074</v>
      </c>
      <c r="C272" s="1" t="n">
        <v>46046</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15434-2024</t>
        </is>
      </c>
      <c r="B273" s="1" t="n">
        <v>45401.38836805556</v>
      </c>
      <c r="C273" s="1" t="n">
        <v>46046</v>
      </c>
      <c r="D273" t="inlineStr">
        <is>
          <t>GOTLANDS LÄN</t>
        </is>
      </c>
      <c r="E273" t="inlineStr">
        <is>
          <t>GOTLAND</t>
        </is>
      </c>
      <c r="G273" t="n">
        <v>2.5</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46046</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46046</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21651-2025</t>
        </is>
      </c>
      <c r="B276" s="1" t="n">
        <v>45783</v>
      </c>
      <c r="C276" s="1" t="n">
        <v>46046</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7026-2023</t>
        </is>
      </c>
      <c r="B277" s="1" t="n">
        <v>44968.30340277778</v>
      </c>
      <c r="C277" s="1" t="n">
        <v>46046</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46046</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46046</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46046</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1351-2025</t>
        </is>
      </c>
      <c r="B281" s="1" t="n">
        <v>45667.62246527777</v>
      </c>
      <c r="C281" s="1" t="n">
        <v>46046</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46046</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49874-2024</t>
        </is>
      </c>
      <c r="B283" s="1" t="n">
        <v>45597.49274305555</v>
      </c>
      <c r="C283" s="1" t="n">
        <v>46046</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54074-2022</t>
        </is>
      </c>
      <c r="B284" s="1" t="n">
        <v>44881</v>
      </c>
      <c r="C284" s="1" t="n">
        <v>46046</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61694-2023</t>
        </is>
      </c>
      <c r="B285" s="1" t="n">
        <v>45264</v>
      </c>
      <c r="C285" s="1" t="n">
        <v>46046</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64208-2021</t>
        </is>
      </c>
      <c r="B286" s="1" t="n">
        <v>44510</v>
      </c>
      <c r="C286" s="1" t="n">
        <v>46046</v>
      </c>
      <c r="D286" t="inlineStr">
        <is>
          <t>GOTLANDS LÄN</t>
        </is>
      </c>
      <c r="E286" t="inlineStr">
        <is>
          <t>GOTLAND</t>
        </is>
      </c>
      <c r="G286" t="n">
        <v>4.7</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46046</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46046</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57356-2023</t>
        </is>
      </c>
      <c r="B289" s="1" t="n">
        <v>45240</v>
      </c>
      <c r="C289" s="1" t="n">
        <v>46046</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51782-2023</t>
        </is>
      </c>
      <c r="B290" s="1" t="n">
        <v>45222.80952546297</v>
      </c>
      <c r="C290" s="1" t="n">
        <v>46046</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28506-2023</t>
        </is>
      </c>
      <c r="B291" s="1" t="n">
        <v>45103</v>
      </c>
      <c r="C291" s="1" t="n">
        <v>46046</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54268-2022</t>
        </is>
      </c>
      <c r="B292" s="1" t="n">
        <v>44882</v>
      </c>
      <c r="C292" s="1" t="n">
        <v>46046</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46046</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60675-2021</t>
        </is>
      </c>
      <c r="B294" s="1" t="n">
        <v>44496.64855324074</v>
      </c>
      <c r="C294" s="1" t="n">
        <v>46046</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1446-2025</t>
        </is>
      </c>
      <c r="B295" s="1" t="n">
        <v>45669.86035879629</v>
      </c>
      <c r="C295" s="1" t="n">
        <v>46046</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1462-2025</t>
        </is>
      </c>
      <c r="B296" s="1" t="n">
        <v>45670.36319444444</v>
      </c>
      <c r="C296" s="1" t="n">
        <v>46046</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23188-2025</t>
        </is>
      </c>
      <c r="B297" s="1" t="n">
        <v>45791</v>
      </c>
      <c r="C297" s="1" t="n">
        <v>46046</v>
      </c>
      <c r="D297" t="inlineStr">
        <is>
          <t>GOTLANDS LÄN</t>
        </is>
      </c>
      <c r="E297" t="inlineStr">
        <is>
          <t>GOTLAND</t>
        </is>
      </c>
      <c r="G297" t="n">
        <v>6.2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44897.4777662037</v>
      </c>
      <c r="C298" s="1" t="n">
        <v>46046</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5217-2023</t>
        </is>
      </c>
      <c r="B299" s="1" t="n">
        <v>44959.39582175926</v>
      </c>
      <c r="C299" s="1" t="n">
        <v>46046</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811-2023</t>
        </is>
      </c>
      <c r="B300" s="1" t="n">
        <v>44931</v>
      </c>
      <c r="C300" s="1" t="n">
        <v>46046</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46046</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4421-2024</t>
        </is>
      </c>
      <c r="B302" s="1" t="n">
        <v>45327.45173611111</v>
      </c>
      <c r="C302" s="1" t="n">
        <v>46046</v>
      </c>
      <c r="D302" t="inlineStr">
        <is>
          <t>GOTLANDS LÄN</t>
        </is>
      </c>
      <c r="E302" t="inlineStr">
        <is>
          <t>GOTLAND</t>
        </is>
      </c>
      <c r="G302" t="n">
        <v>5.1</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46046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46046</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23856-2025</t>
        </is>
      </c>
      <c r="B305" s="1" t="n">
        <v>45793</v>
      </c>
      <c r="C305" s="1" t="n">
        <v>46046</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23473-2025</t>
        </is>
      </c>
      <c r="B306" s="1" t="n">
        <v>45792</v>
      </c>
      <c r="C306" s="1" t="n">
        <v>46046</v>
      </c>
      <c r="D306" t="inlineStr">
        <is>
          <t>GOTLANDS LÄN</t>
        </is>
      </c>
      <c r="E306" t="inlineStr">
        <is>
          <t>GOTLAND</t>
        </is>
      </c>
      <c r="G306" t="n">
        <v>3.6</v>
      </c>
      <c r="H306" t="n">
        <v>0</v>
      </c>
      <c r="I306" t="n">
        <v>0</v>
      </c>
      <c r="J306" t="n">
        <v>0</v>
      </c>
      <c r="K306" t="n">
        <v>0</v>
      </c>
      <c r="L306" t="n">
        <v>0</v>
      </c>
      <c r="M306" t="n">
        <v>0</v>
      </c>
      <c r="N306" t="n">
        <v>0</v>
      </c>
      <c r="O306" t="n">
        <v>0</v>
      </c>
      <c r="P306" t="n">
        <v>0</v>
      </c>
      <c r="Q306" t="n">
        <v>0</v>
      </c>
      <c r="R306" s="2" t="inlineStr"/>
    </row>
    <row r="307" ht="15" customHeight="1">
      <c r="A307" t="inlineStr">
        <is>
          <t>A 20165-2022</t>
        </is>
      </c>
      <c r="B307" s="1" t="n">
        <v>44698.49854166667</v>
      </c>
      <c r="C307" s="1" t="n">
        <v>46046</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3431-2025</t>
        </is>
      </c>
      <c r="B308" s="1" t="n">
        <v>45680.42935185185</v>
      </c>
      <c r="C308" s="1" t="n">
        <v>46046</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46046</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30892-2024</t>
        </is>
      </c>
      <c r="B310" s="1" t="n">
        <v>45491</v>
      </c>
      <c r="C310" s="1" t="n">
        <v>46046</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46046</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32958-2021</t>
        </is>
      </c>
      <c r="B312" s="1" t="n">
        <v>44376</v>
      </c>
      <c r="C312" s="1" t="n">
        <v>46046</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31264-2021</t>
        </is>
      </c>
      <c r="B313" s="1" t="n">
        <v>44368</v>
      </c>
      <c r="C313" s="1" t="n">
        <v>46046</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46046</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11874-2024</t>
        </is>
      </c>
      <c r="B315" s="1" t="n">
        <v>45376.46956018519</v>
      </c>
      <c r="C315" s="1" t="n">
        <v>46046</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46046</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43223-2023</t>
        </is>
      </c>
      <c r="B317" s="1" t="n">
        <v>45183.45642361111</v>
      </c>
      <c r="C317" s="1" t="n">
        <v>46046</v>
      </c>
      <c r="D317" t="inlineStr">
        <is>
          <t>GOTLANDS LÄN</t>
        </is>
      </c>
      <c r="E317" t="inlineStr">
        <is>
          <t>GOTLAND</t>
        </is>
      </c>
      <c r="G317" t="n">
        <v>1.8</v>
      </c>
      <c r="H317" t="n">
        <v>0</v>
      </c>
      <c r="I317" t="n">
        <v>0</v>
      </c>
      <c r="J317" t="n">
        <v>0</v>
      </c>
      <c r="K317" t="n">
        <v>0</v>
      </c>
      <c r="L317" t="n">
        <v>0</v>
      </c>
      <c r="M317" t="n">
        <v>0</v>
      </c>
      <c r="N317" t="n">
        <v>0</v>
      </c>
      <c r="O317" t="n">
        <v>0</v>
      </c>
      <c r="P317" t="n">
        <v>0</v>
      </c>
      <c r="Q317" t="n">
        <v>0</v>
      </c>
      <c r="R317" s="2" t="inlineStr"/>
    </row>
    <row r="318" ht="15" customHeight="1">
      <c r="A318" t="inlineStr">
        <is>
          <t>A 7858-2025</t>
        </is>
      </c>
      <c r="B318" s="1" t="n">
        <v>45706.68633101852</v>
      </c>
      <c r="C318" s="1" t="n">
        <v>46046</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46545-2024</t>
        </is>
      </c>
      <c r="B319" s="1" t="n">
        <v>45582.65831018519</v>
      </c>
      <c r="C319" s="1" t="n">
        <v>46046</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61962-2024</t>
        </is>
      </c>
      <c r="B320" s="1" t="n">
        <v>45653.54340277778</v>
      </c>
      <c r="C320" s="1" t="n">
        <v>46046</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999-2023</t>
        </is>
      </c>
      <c r="B321" s="1" t="n">
        <v>44935</v>
      </c>
      <c r="C321" s="1" t="n">
        <v>46046</v>
      </c>
      <c r="D321" t="inlineStr">
        <is>
          <t>GOTLANDS LÄN</t>
        </is>
      </c>
      <c r="E321" t="inlineStr">
        <is>
          <t>GOTLAND</t>
        </is>
      </c>
      <c r="G321" t="n">
        <v>4.7</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46046</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2125-2025</t>
        </is>
      </c>
      <c r="B323" s="1" t="n">
        <v>45672.64940972222</v>
      </c>
      <c r="C323" s="1" t="n">
        <v>46046</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46046</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20225-2025</t>
        </is>
      </c>
      <c r="B325" s="1" t="n">
        <v>45772.65802083333</v>
      </c>
      <c r="C325" s="1" t="n">
        <v>46046</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46046</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6749-2025</t>
        </is>
      </c>
      <c r="B327" s="1" t="n">
        <v>45700</v>
      </c>
      <c r="C327" s="1" t="n">
        <v>46046</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1677-2023</t>
        </is>
      </c>
      <c r="B328" s="1" t="n">
        <v>44938</v>
      </c>
      <c r="C328" s="1" t="n">
        <v>46046</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64831-2023</t>
        </is>
      </c>
      <c r="B329" s="1" t="n">
        <v>45282.44924768519</v>
      </c>
      <c r="C329" s="1" t="n">
        <v>46046</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46046</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46046</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5751-2024</t>
        </is>
      </c>
      <c r="B332" s="1" t="n">
        <v>45335.32702546296</v>
      </c>
      <c r="C332" s="1" t="n">
        <v>46046</v>
      </c>
      <c r="D332" t="inlineStr">
        <is>
          <t>GOTLANDS LÄN</t>
        </is>
      </c>
      <c r="E332" t="inlineStr">
        <is>
          <t>GOTLAND</t>
        </is>
      </c>
      <c r="G332" t="n">
        <v>4.2</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46046</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28480-2023</t>
        </is>
      </c>
      <c r="B334" s="1" t="n">
        <v>45103</v>
      </c>
      <c r="C334" s="1" t="n">
        <v>46046</v>
      </c>
      <c r="D334" t="inlineStr">
        <is>
          <t>GOTLANDS LÄN</t>
        </is>
      </c>
      <c r="E334" t="inlineStr">
        <is>
          <t>GOTLAND</t>
        </is>
      </c>
      <c r="G334" t="n">
        <v>5.7</v>
      </c>
      <c r="H334" t="n">
        <v>0</v>
      </c>
      <c r="I334" t="n">
        <v>0</v>
      </c>
      <c r="J334" t="n">
        <v>0</v>
      </c>
      <c r="K334" t="n">
        <v>0</v>
      </c>
      <c r="L334" t="n">
        <v>0</v>
      </c>
      <c r="M334" t="n">
        <v>0</v>
      </c>
      <c r="N334" t="n">
        <v>0</v>
      </c>
      <c r="O334" t="n">
        <v>0</v>
      </c>
      <c r="P334" t="n">
        <v>0</v>
      </c>
      <c r="Q334" t="n">
        <v>0</v>
      </c>
      <c r="R334" s="2" t="inlineStr"/>
    </row>
    <row r="335" ht="15" customHeight="1">
      <c r="A335" t="inlineStr">
        <is>
          <t>A 28485-2023</t>
        </is>
      </c>
      <c r="B335" s="1" t="n">
        <v>45103.43731481482</v>
      </c>
      <c r="C335" s="1" t="n">
        <v>46046</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4990-2025</t>
        </is>
      </c>
      <c r="B336" s="1" t="n">
        <v>45691</v>
      </c>
      <c r="C336" s="1" t="n">
        <v>46046</v>
      </c>
      <c r="D336" t="inlineStr">
        <is>
          <t>GOTLANDS LÄN</t>
        </is>
      </c>
      <c r="E336" t="inlineStr">
        <is>
          <t>GOTLAND</t>
        </is>
      </c>
      <c r="G336" t="n">
        <v>7.7</v>
      </c>
      <c r="H336" t="n">
        <v>0</v>
      </c>
      <c r="I336" t="n">
        <v>0</v>
      </c>
      <c r="J336" t="n">
        <v>0</v>
      </c>
      <c r="K336" t="n">
        <v>0</v>
      </c>
      <c r="L336" t="n">
        <v>0</v>
      </c>
      <c r="M336" t="n">
        <v>0</v>
      </c>
      <c r="N336" t="n">
        <v>0</v>
      </c>
      <c r="O336" t="n">
        <v>0</v>
      </c>
      <c r="P336" t="n">
        <v>0</v>
      </c>
      <c r="Q336" t="n">
        <v>0</v>
      </c>
      <c r="R336" s="2" t="inlineStr"/>
    </row>
    <row r="337" ht="15" customHeight="1">
      <c r="A337" t="inlineStr">
        <is>
          <t>A 12155-2023</t>
        </is>
      </c>
      <c r="B337" s="1" t="n">
        <v>44998.49106481481</v>
      </c>
      <c r="C337" s="1" t="n">
        <v>46046</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8036-2022</t>
        </is>
      </c>
      <c r="B338" s="1" t="n">
        <v>44609.44362268518</v>
      </c>
      <c r="C338" s="1" t="n">
        <v>46046</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46046</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62915-2021</t>
        </is>
      </c>
      <c r="B340" s="1" t="n">
        <v>44504</v>
      </c>
      <c r="C340" s="1" t="n">
        <v>46046</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2774-2024</t>
        </is>
      </c>
      <c r="B341" s="1" t="n">
        <v>45314.62375</v>
      </c>
      <c r="C341" s="1" t="n">
        <v>46046</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46046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7638-2025</t>
        </is>
      </c>
      <c r="B343" s="1" t="n">
        <v>45705.77306712963</v>
      </c>
      <c r="C343" s="1" t="n">
        <v>46046</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9947-2024</t>
        </is>
      </c>
      <c r="B344" s="1" t="n">
        <v>45363</v>
      </c>
      <c r="C344" s="1" t="n">
        <v>46046</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42007-2023</t>
        </is>
      </c>
      <c r="B345" s="1" t="n">
        <v>45177</v>
      </c>
      <c r="C345" s="1" t="n">
        <v>46046</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4377-2023</t>
        </is>
      </c>
      <c r="B346" s="1" t="n">
        <v>44955.5502662037</v>
      </c>
      <c r="C346" s="1" t="n">
        <v>46046</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46046</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46046</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25796-2025</t>
        </is>
      </c>
      <c r="B349" s="1" t="n">
        <v>45804.39543981481</v>
      </c>
      <c r="C349" s="1" t="n">
        <v>46046</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34312-2024</t>
        </is>
      </c>
      <c r="B350" s="1" t="n">
        <v>45524.69703703704</v>
      </c>
      <c r="C350" s="1" t="n">
        <v>46046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15083-2025</t>
        </is>
      </c>
      <c r="B351" s="1" t="n">
        <v>45743</v>
      </c>
      <c r="C351" s="1" t="n">
        <v>46046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48503-2023</t>
        </is>
      </c>
      <c r="B352" s="1" t="n">
        <v>45207</v>
      </c>
      <c r="C352" s="1" t="n">
        <v>46046</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26465-2025</t>
        </is>
      </c>
      <c r="B353" s="1" t="n">
        <v>45807.44377314814</v>
      </c>
      <c r="C353" s="1" t="n">
        <v>46046</v>
      </c>
      <c r="D353" t="inlineStr">
        <is>
          <t>GOTLANDS LÄN</t>
        </is>
      </c>
      <c r="E353" t="inlineStr">
        <is>
          <t>GOTLAND</t>
        </is>
      </c>
      <c r="G353" t="n">
        <v>4.5</v>
      </c>
      <c r="H353" t="n">
        <v>0</v>
      </c>
      <c r="I353" t="n">
        <v>0</v>
      </c>
      <c r="J353" t="n">
        <v>0</v>
      </c>
      <c r="K353" t="n">
        <v>0</v>
      </c>
      <c r="L353" t="n">
        <v>0</v>
      </c>
      <c r="M353" t="n">
        <v>0</v>
      </c>
      <c r="N353" t="n">
        <v>0</v>
      </c>
      <c r="O353" t="n">
        <v>0</v>
      </c>
      <c r="P353" t="n">
        <v>0</v>
      </c>
      <c r="Q353" t="n">
        <v>0</v>
      </c>
      <c r="R353" s="2" t="inlineStr"/>
    </row>
    <row r="354" ht="15" customHeight="1">
      <c r="A354" t="inlineStr">
        <is>
          <t>A 24825-2024</t>
        </is>
      </c>
      <c r="B354" s="1" t="n">
        <v>45461</v>
      </c>
      <c r="C354" s="1" t="n">
        <v>46046</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46046</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46046</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46046</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17532-2024</t>
        </is>
      </c>
      <c r="B358" s="1" t="n">
        <v>45415</v>
      </c>
      <c r="C358" s="1" t="n">
        <v>46046</v>
      </c>
      <c r="D358" t="inlineStr">
        <is>
          <t>GOTLANDS LÄN</t>
        </is>
      </c>
      <c r="E358" t="inlineStr">
        <is>
          <t>GOTLAND</t>
        </is>
      </c>
      <c r="G358" t="n">
        <v>4.3</v>
      </c>
      <c r="H358" t="n">
        <v>0</v>
      </c>
      <c r="I358" t="n">
        <v>0</v>
      </c>
      <c r="J358" t="n">
        <v>0</v>
      </c>
      <c r="K358" t="n">
        <v>0</v>
      </c>
      <c r="L358" t="n">
        <v>0</v>
      </c>
      <c r="M358" t="n">
        <v>0</v>
      </c>
      <c r="N358" t="n">
        <v>0</v>
      </c>
      <c r="O358" t="n">
        <v>0</v>
      </c>
      <c r="P358" t="n">
        <v>0</v>
      </c>
      <c r="Q358" t="n">
        <v>0</v>
      </c>
      <c r="R358" s="2" t="inlineStr"/>
    </row>
    <row r="359" ht="15" customHeight="1">
      <c r="A359" t="inlineStr">
        <is>
          <t>A 45692-2023</t>
        </is>
      </c>
      <c r="B359" s="1" t="n">
        <v>45195</v>
      </c>
      <c r="C359" s="1" t="n">
        <v>46046</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46046</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46046</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26660-2025</t>
        </is>
      </c>
      <c r="B362" s="1" t="n">
        <v>45810.39737268518</v>
      </c>
      <c r="C362" s="1" t="n">
        <v>46046</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46046</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27694-2024</t>
        </is>
      </c>
      <c r="B364" s="1" t="n">
        <v>45475</v>
      </c>
      <c r="C364" s="1" t="n">
        <v>46046</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37202-2024</t>
        </is>
      </c>
      <c r="B365" s="1" t="n">
        <v>45539.67310185185</v>
      </c>
      <c r="C365" s="1" t="n">
        <v>46046</v>
      </c>
      <c r="D365" t="inlineStr">
        <is>
          <t>GOTLANDS LÄN</t>
        </is>
      </c>
      <c r="E365" t="inlineStr">
        <is>
          <t>GOTLAND</t>
        </is>
      </c>
      <c r="G365" t="n">
        <v>0.3</v>
      </c>
      <c r="H365" t="n">
        <v>0</v>
      </c>
      <c r="I365" t="n">
        <v>0</v>
      </c>
      <c r="J365" t="n">
        <v>0</v>
      </c>
      <c r="K365" t="n">
        <v>0</v>
      </c>
      <c r="L365" t="n">
        <v>0</v>
      </c>
      <c r="M365" t="n">
        <v>0</v>
      </c>
      <c r="N365" t="n">
        <v>0</v>
      </c>
      <c r="O365" t="n">
        <v>0</v>
      </c>
      <c r="P365" t="n">
        <v>0</v>
      </c>
      <c r="Q365" t="n">
        <v>0</v>
      </c>
      <c r="R365" s="2" t="inlineStr"/>
    </row>
    <row r="366" ht="15" customHeight="1">
      <c r="A366" t="inlineStr">
        <is>
          <t>A 39764-2022</t>
        </is>
      </c>
      <c r="B366" s="1" t="n">
        <v>44819</v>
      </c>
      <c r="C366" s="1" t="n">
        <v>46046</v>
      </c>
      <c r="D366" t="inlineStr">
        <is>
          <t>GOTLANDS LÄN</t>
        </is>
      </c>
      <c r="E366" t="inlineStr">
        <is>
          <t>GOTLAND</t>
        </is>
      </c>
      <c r="F366" t="inlineStr">
        <is>
          <t>Kyrkan</t>
        </is>
      </c>
      <c r="G366" t="n">
        <v>3.7</v>
      </c>
      <c r="H366" t="n">
        <v>0</v>
      </c>
      <c r="I366" t="n">
        <v>0</v>
      </c>
      <c r="J366" t="n">
        <v>0</v>
      </c>
      <c r="K366" t="n">
        <v>0</v>
      </c>
      <c r="L366" t="n">
        <v>0</v>
      </c>
      <c r="M366" t="n">
        <v>0</v>
      </c>
      <c r="N366" t="n">
        <v>0</v>
      </c>
      <c r="O366" t="n">
        <v>0</v>
      </c>
      <c r="P366" t="n">
        <v>0</v>
      </c>
      <c r="Q366" t="n">
        <v>0</v>
      </c>
      <c r="R366" s="2" t="inlineStr"/>
    </row>
    <row r="367" ht="15" customHeight="1">
      <c r="A367" t="inlineStr">
        <is>
          <t>A 6099-2024</t>
        </is>
      </c>
      <c r="B367" s="1" t="n">
        <v>45337</v>
      </c>
      <c r="C367" s="1" t="n">
        <v>46046</v>
      </c>
      <c r="D367" t="inlineStr">
        <is>
          <t>GOTLANDS LÄN</t>
        </is>
      </c>
      <c r="E367" t="inlineStr">
        <is>
          <t>GOTLAND</t>
        </is>
      </c>
      <c r="G367" t="n">
        <v>12.6</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46046</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8260-2023</t>
        </is>
      </c>
      <c r="B369" s="1" t="n">
        <v>44974.61608796296</v>
      </c>
      <c r="C369" s="1" t="n">
        <v>46046</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37222-2021</t>
        </is>
      </c>
      <c r="B370" s="1" t="n">
        <v>44396</v>
      </c>
      <c r="C370" s="1" t="n">
        <v>46046</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27371-2025</t>
        </is>
      </c>
      <c r="B371" s="1" t="n">
        <v>45812</v>
      </c>
      <c r="C371" s="1" t="n">
        <v>46046</v>
      </c>
      <c r="D371" t="inlineStr">
        <is>
          <t>GOTLANDS LÄN</t>
        </is>
      </c>
      <c r="E371" t="inlineStr">
        <is>
          <t>GOTLAND</t>
        </is>
      </c>
      <c r="G371" t="n">
        <v>8</v>
      </c>
      <c r="H371" t="n">
        <v>0</v>
      </c>
      <c r="I371" t="n">
        <v>0</v>
      </c>
      <c r="J371" t="n">
        <v>0</v>
      </c>
      <c r="K371" t="n">
        <v>0</v>
      </c>
      <c r="L371" t="n">
        <v>0</v>
      </c>
      <c r="M371" t="n">
        <v>0</v>
      </c>
      <c r="N371" t="n">
        <v>0</v>
      </c>
      <c r="O371" t="n">
        <v>0</v>
      </c>
      <c r="P371" t="n">
        <v>0</v>
      </c>
      <c r="Q371" t="n">
        <v>0</v>
      </c>
      <c r="R371" s="2" t="inlineStr"/>
    </row>
    <row r="372" ht="15" customHeight="1">
      <c r="A372" t="inlineStr">
        <is>
          <t>A 30815-2023</t>
        </is>
      </c>
      <c r="B372" s="1" t="n">
        <v>45112</v>
      </c>
      <c r="C372" s="1" t="n">
        <v>46046</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46046</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46400-2023</t>
        </is>
      </c>
      <c r="B374" s="1" t="n">
        <v>45197.49290509259</v>
      </c>
      <c r="C374" s="1" t="n">
        <v>46046</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10492-2023</t>
        </is>
      </c>
      <c r="B375" s="1" t="n">
        <v>44987</v>
      </c>
      <c r="C375" s="1" t="n">
        <v>46046</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57534-2022</t>
        </is>
      </c>
      <c r="B376" s="1" t="n">
        <v>44896</v>
      </c>
      <c r="C376" s="1" t="n">
        <v>46046</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7850-2025</t>
        </is>
      </c>
      <c r="B377" s="1" t="n">
        <v>45706</v>
      </c>
      <c r="C377" s="1" t="n">
        <v>46046</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44919-2022</t>
        </is>
      </c>
      <c r="B378" s="1" t="n">
        <v>44841</v>
      </c>
      <c r="C378" s="1" t="n">
        <v>46046</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6739-2025</t>
        </is>
      </c>
      <c r="B379" s="1" t="n">
        <v>45700</v>
      </c>
      <c r="C379" s="1" t="n">
        <v>46046</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46046</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46046</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458-2023</t>
        </is>
      </c>
      <c r="B382" s="1" t="n">
        <v>44929</v>
      </c>
      <c r="C382" s="1" t="n">
        <v>46046</v>
      </c>
      <c r="D382" t="inlineStr">
        <is>
          <t>GOTLANDS LÄN</t>
        </is>
      </c>
      <c r="E382" t="inlineStr">
        <is>
          <t>GOTLAND</t>
        </is>
      </c>
      <c r="G382" t="n">
        <v>3.6</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46046</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8444-2025</t>
        </is>
      </c>
      <c r="B384" s="1" t="n">
        <v>45709</v>
      </c>
      <c r="C384" s="1" t="n">
        <v>46046</v>
      </c>
      <c r="D384" t="inlineStr">
        <is>
          <t>GOTLANDS LÄN</t>
        </is>
      </c>
      <c r="E384" t="inlineStr">
        <is>
          <t>GOTLAND</t>
        </is>
      </c>
      <c r="G384" t="n">
        <v>5.2</v>
      </c>
      <c r="H384" t="n">
        <v>0</v>
      </c>
      <c r="I384" t="n">
        <v>0</v>
      </c>
      <c r="J384" t="n">
        <v>0</v>
      </c>
      <c r="K384" t="n">
        <v>0</v>
      </c>
      <c r="L384" t="n">
        <v>0</v>
      </c>
      <c r="M384" t="n">
        <v>0</v>
      </c>
      <c r="N384" t="n">
        <v>0</v>
      </c>
      <c r="O384" t="n">
        <v>0</v>
      </c>
      <c r="P384" t="n">
        <v>0</v>
      </c>
      <c r="Q384" t="n">
        <v>0</v>
      </c>
      <c r="R384" s="2" t="inlineStr"/>
    </row>
    <row r="385" ht="15" customHeight="1">
      <c r="A385" t="inlineStr">
        <is>
          <t>A 19905-2025</t>
        </is>
      </c>
      <c r="B385" s="1" t="n">
        <v>45771</v>
      </c>
      <c r="C385" s="1" t="n">
        <v>46046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64660-2023</t>
        </is>
      </c>
      <c r="B386" s="1" t="n">
        <v>45281.60122685185</v>
      </c>
      <c r="C386" s="1" t="n">
        <v>46046</v>
      </c>
      <c r="D386" t="inlineStr">
        <is>
          <t>GOTLANDS LÄN</t>
        </is>
      </c>
      <c r="E386" t="inlineStr">
        <is>
          <t>GOTLAND</t>
        </is>
      </c>
      <c r="G386" t="n">
        <v>6.3</v>
      </c>
      <c r="H386" t="n">
        <v>0</v>
      </c>
      <c r="I386" t="n">
        <v>0</v>
      </c>
      <c r="J386" t="n">
        <v>0</v>
      </c>
      <c r="K386" t="n">
        <v>0</v>
      </c>
      <c r="L386" t="n">
        <v>0</v>
      </c>
      <c r="M386" t="n">
        <v>0</v>
      </c>
      <c r="N386" t="n">
        <v>0</v>
      </c>
      <c r="O386" t="n">
        <v>0</v>
      </c>
      <c r="P386" t="n">
        <v>0</v>
      </c>
      <c r="Q386" t="n">
        <v>0</v>
      </c>
      <c r="R386" s="2" t="inlineStr"/>
    </row>
    <row r="387" ht="15" customHeight="1">
      <c r="A387" t="inlineStr">
        <is>
          <t>A 32330-2024</t>
        </is>
      </c>
      <c r="B387" s="1" t="n">
        <v>45512</v>
      </c>
      <c r="C387" s="1" t="n">
        <v>46046</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46396-2023</t>
        </is>
      </c>
      <c r="B388" s="1" t="n">
        <v>45197</v>
      </c>
      <c r="C388" s="1" t="n">
        <v>46046</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5891-2025</t>
        </is>
      </c>
      <c r="B389" s="1" t="n">
        <v>45695.38327546296</v>
      </c>
      <c r="C389" s="1" t="n">
        <v>46046</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46046</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46046</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29207-2025</t>
        </is>
      </c>
      <c r="B392" s="1" t="n">
        <v>45823</v>
      </c>
      <c r="C392" s="1" t="n">
        <v>46046</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29196-2025</t>
        </is>
      </c>
      <c r="B393" s="1" t="n">
        <v>45822</v>
      </c>
      <c r="C393" s="1" t="n">
        <v>46046</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2719-2023</t>
        </is>
      </c>
      <c r="B394" s="1" t="n">
        <v>44944.55361111111</v>
      </c>
      <c r="C394" s="1" t="n">
        <v>46046</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17144-2025</t>
        </is>
      </c>
      <c r="B395" s="1" t="n">
        <v>45755.9499537037</v>
      </c>
      <c r="C395" s="1" t="n">
        <v>46046</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20855-2023</t>
        </is>
      </c>
      <c r="B396" s="1" t="n">
        <v>45058.82172453704</v>
      </c>
      <c r="C396" s="1" t="n">
        <v>46046</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49314-2024</t>
        </is>
      </c>
      <c r="B397" s="1" t="n">
        <v>45595.55893518519</v>
      </c>
      <c r="C397" s="1" t="n">
        <v>46046</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9875-2025</t>
        </is>
      </c>
      <c r="B398" s="1" t="n">
        <v>45716</v>
      </c>
      <c r="C398" s="1" t="n">
        <v>46046</v>
      </c>
      <c r="D398" t="inlineStr">
        <is>
          <t>GOTLANDS LÄN</t>
        </is>
      </c>
      <c r="E398" t="inlineStr">
        <is>
          <t>GOTLAND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29809-2022</t>
        </is>
      </c>
      <c r="B399" s="1" t="n">
        <v>44755.8713425926</v>
      </c>
      <c r="C399" s="1" t="n">
        <v>46046</v>
      </c>
      <c r="D399" t="inlineStr">
        <is>
          <t>GOTLANDS LÄN</t>
        </is>
      </c>
      <c r="E399" t="inlineStr">
        <is>
          <t>GOTLAND</t>
        </is>
      </c>
      <c r="G399" t="n">
        <v>11.5</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46046</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46046</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46046</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30061-2025</t>
        </is>
      </c>
      <c r="B403" s="1" t="n">
        <v>45826.61488425926</v>
      </c>
      <c r="C403" s="1" t="n">
        <v>46046</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65249-2023</t>
        </is>
      </c>
      <c r="B404" s="1" t="n">
        <v>45290</v>
      </c>
      <c r="C404" s="1" t="n">
        <v>46046</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16361-2024</t>
        </is>
      </c>
      <c r="B405" s="1" t="n">
        <v>45407</v>
      </c>
      <c r="C405" s="1" t="n">
        <v>46046</v>
      </c>
      <c r="D405" t="inlineStr">
        <is>
          <t>GOTLANDS LÄN</t>
        </is>
      </c>
      <c r="E405" t="inlineStr">
        <is>
          <t>GOTLAND</t>
        </is>
      </c>
      <c r="G405" t="n">
        <v>6</v>
      </c>
      <c r="H405" t="n">
        <v>0</v>
      </c>
      <c r="I405" t="n">
        <v>0</v>
      </c>
      <c r="J405" t="n">
        <v>0</v>
      </c>
      <c r="K405" t="n">
        <v>0</v>
      </c>
      <c r="L405" t="n">
        <v>0</v>
      </c>
      <c r="M405" t="n">
        <v>0</v>
      </c>
      <c r="N405" t="n">
        <v>0</v>
      </c>
      <c r="O405" t="n">
        <v>0</v>
      </c>
      <c r="P405" t="n">
        <v>0</v>
      </c>
      <c r="Q405" t="n">
        <v>0</v>
      </c>
      <c r="R405" s="2" t="inlineStr"/>
    </row>
    <row r="406" ht="15" customHeight="1">
      <c r="A406" t="inlineStr">
        <is>
          <t>A 30956-2024</t>
        </is>
      </c>
      <c r="B406" s="1" t="n">
        <v>45499.42527777778</v>
      </c>
      <c r="C406" s="1" t="n">
        <v>46046</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46046</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46046</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46046</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1175-2025</t>
        </is>
      </c>
      <c r="B410" s="1" t="n">
        <v>45667.34449074074</v>
      </c>
      <c r="C410" s="1" t="n">
        <v>46046</v>
      </c>
      <c r="D410" t="inlineStr">
        <is>
          <t>GOTLANDS LÄN</t>
        </is>
      </c>
      <c r="E410" t="inlineStr">
        <is>
          <t>GOTLAND</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58160-2024</t>
        </is>
      </c>
      <c r="B411" s="1" t="n">
        <v>45632.44927083333</v>
      </c>
      <c r="C411" s="1" t="n">
        <v>46046</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42201-2023</t>
        </is>
      </c>
      <c r="B412" s="1" t="n">
        <v>45179</v>
      </c>
      <c r="C412" s="1" t="n">
        <v>46046</v>
      </c>
      <c r="D412" t="inlineStr">
        <is>
          <t>GOTLANDS LÄN</t>
        </is>
      </c>
      <c r="E412" t="inlineStr">
        <is>
          <t>GOTLAND</t>
        </is>
      </c>
      <c r="G412" t="n">
        <v>11.9</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46046</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999-2024</t>
        </is>
      </c>
      <c r="B414" s="1" t="n">
        <v>45301</v>
      </c>
      <c r="C414" s="1" t="n">
        <v>46046</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65901-2021</t>
        </is>
      </c>
      <c r="B415" s="1" t="n">
        <v>44516</v>
      </c>
      <c r="C415" s="1" t="n">
        <v>46046</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47762-2023</t>
        </is>
      </c>
      <c r="B416" s="1" t="n">
        <v>45203.86256944444</v>
      </c>
      <c r="C416" s="1" t="n">
        <v>46046</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42041-2024</t>
        </is>
      </c>
      <c r="B417" s="1" t="n">
        <v>45561</v>
      </c>
      <c r="C417" s="1" t="n">
        <v>46046</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46046</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27602-2023</t>
        </is>
      </c>
      <c r="B419" s="1" t="n">
        <v>45097</v>
      </c>
      <c r="C419" s="1" t="n">
        <v>46046</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46046</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46046</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16109-2025</t>
        </is>
      </c>
      <c r="B422" s="1" t="n">
        <v>45750</v>
      </c>
      <c r="C422" s="1" t="n">
        <v>46046</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32467-2025</t>
        </is>
      </c>
      <c r="B423" s="1" t="n">
        <v>45838.42111111111</v>
      </c>
      <c r="C423" s="1" t="n">
        <v>46046</v>
      </c>
      <c r="D423" t="inlineStr">
        <is>
          <t>GOTLANDS LÄN</t>
        </is>
      </c>
      <c r="E423" t="inlineStr">
        <is>
          <t>GOTLAND</t>
        </is>
      </c>
      <c r="G423" t="n">
        <v>4.3</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46046</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15436-2025</t>
        </is>
      </c>
      <c r="B425" s="1" t="n">
        <v>45747.47462962963</v>
      </c>
      <c r="C425" s="1" t="n">
        <v>46046</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30282-2022</t>
        </is>
      </c>
      <c r="B426" s="1" t="n">
        <v>44760</v>
      </c>
      <c r="C426" s="1" t="n">
        <v>46046</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7835-2024</t>
        </is>
      </c>
      <c r="B427" s="1" t="n">
        <v>45349.83138888889</v>
      </c>
      <c r="C427" s="1" t="n">
        <v>46046</v>
      </c>
      <c r="D427" t="inlineStr">
        <is>
          <t>GOTLANDS LÄN</t>
        </is>
      </c>
      <c r="E427" t="inlineStr">
        <is>
          <t>GOTLAND</t>
        </is>
      </c>
      <c r="G427" t="n">
        <v>3.8</v>
      </c>
      <c r="H427" t="n">
        <v>0</v>
      </c>
      <c r="I427" t="n">
        <v>0</v>
      </c>
      <c r="J427" t="n">
        <v>0</v>
      </c>
      <c r="K427" t="n">
        <v>0</v>
      </c>
      <c r="L427" t="n">
        <v>0</v>
      </c>
      <c r="M427" t="n">
        <v>0</v>
      </c>
      <c r="N427" t="n">
        <v>0</v>
      </c>
      <c r="O427" t="n">
        <v>0</v>
      </c>
      <c r="P427" t="n">
        <v>0</v>
      </c>
      <c r="Q427" t="n">
        <v>0</v>
      </c>
      <c r="R427" s="2" t="inlineStr"/>
    </row>
    <row r="428" ht="15" customHeight="1">
      <c r="A428" t="inlineStr">
        <is>
          <t>A 32379-2025</t>
        </is>
      </c>
      <c r="B428" s="1" t="n">
        <v>45837</v>
      </c>
      <c r="C428" s="1" t="n">
        <v>46046</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46046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21247-2022</t>
        </is>
      </c>
      <c r="B430" s="1" t="n">
        <v>44705.38832175926</v>
      </c>
      <c r="C430" s="1" t="n">
        <v>46046</v>
      </c>
      <c r="D430" t="inlineStr">
        <is>
          <t>GOTLANDS LÄN</t>
        </is>
      </c>
      <c r="E430" t="inlineStr">
        <is>
          <t>GOTLAND</t>
        </is>
      </c>
      <c r="G430" t="n">
        <v>16.2</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46046</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46046</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33007-2025</t>
        </is>
      </c>
      <c r="B433" s="1" t="n">
        <v>45840</v>
      </c>
      <c r="C433" s="1" t="n">
        <v>46046</v>
      </c>
      <c r="D433" t="inlineStr">
        <is>
          <t>GOTLANDS LÄN</t>
        </is>
      </c>
      <c r="E433" t="inlineStr">
        <is>
          <t>GOTLAND</t>
        </is>
      </c>
      <c r="G433" t="n">
        <v>4.9</v>
      </c>
      <c r="H433" t="n">
        <v>0</v>
      </c>
      <c r="I433" t="n">
        <v>0</v>
      </c>
      <c r="J433" t="n">
        <v>0</v>
      </c>
      <c r="K433" t="n">
        <v>0</v>
      </c>
      <c r="L433" t="n">
        <v>0</v>
      </c>
      <c r="M433" t="n">
        <v>0</v>
      </c>
      <c r="N433" t="n">
        <v>0</v>
      </c>
      <c r="O433" t="n">
        <v>0</v>
      </c>
      <c r="P433" t="n">
        <v>0</v>
      </c>
      <c r="Q433" t="n">
        <v>0</v>
      </c>
      <c r="R433" s="2" t="inlineStr"/>
    </row>
    <row r="434" ht="15" customHeight="1">
      <c r="A434" t="inlineStr">
        <is>
          <t>A 58132-2023</t>
        </is>
      </c>
      <c r="B434" s="1" t="n">
        <v>45250</v>
      </c>
      <c r="C434" s="1" t="n">
        <v>46046</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46046</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22899-2023</t>
        </is>
      </c>
      <c r="B436" s="1" t="n">
        <v>45072</v>
      </c>
      <c r="C436" s="1" t="n">
        <v>46046</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63516-2023</t>
        </is>
      </c>
      <c r="B437" s="1" t="n">
        <v>45274</v>
      </c>
      <c r="C437" s="1" t="n">
        <v>46046</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28425-2023</t>
        </is>
      </c>
      <c r="B438" s="1" t="n">
        <v>45102</v>
      </c>
      <c r="C438" s="1" t="n">
        <v>46046</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28285-2024</t>
        </is>
      </c>
      <c r="B439" s="1" t="n">
        <v>45477</v>
      </c>
      <c r="C439" s="1" t="n">
        <v>46046</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46046</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13037-2025</t>
        </is>
      </c>
      <c r="B441" s="1" t="n">
        <v>45734</v>
      </c>
      <c r="C441" s="1" t="n">
        <v>46046</v>
      </c>
      <c r="D441" t="inlineStr">
        <is>
          <t>GOTLANDS LÄN</t>
        </is>
      </c>
      <c r="E441" t="inlineStr">
        <is>
          <t>GOTLAND</t>
        </is>
      </c>
      <c r="G441" t="n">
        <v>9.5</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46046</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46046</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23516-2023</t>
        </is>
      </c>
      <c r="B444" s="1" t="n">
        <v>45076.93391203704</v>
      </c>
      <c r="C444" s="1" t="n">
        <v>46046</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43231-2023</t>
        </is>
      </c>
      <c r="B445" s="1" t="n">
        <v>45183.47025462963</v>
      </c>
      <c r="C445" s="1" t="n">
        <v>46046</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46046</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46046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46046</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46046</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457-2023</t>
        </is>
      </c>
      <c r="B450" s="1" t="n">
        <v>44929.87238425926</v>
      </c>
      <c r="C450" s="1" t="n">
        <v>46046</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459-2023</t>
        </is>
      </c>
      <c r="B451" s="1" t="n">
        <v>44929.87423611111</v>
      </c>
      <c r="C451" s="1" t="n">
        <v>46046</v>
      </c>
      <c r="D451" t="inlineStr">
        <is>
          <t>GOTLANDS LÄN</t>
        </is>
      </c>
      <c r="E451" t="inlineStr">
        <is>
          <t>GOTLAND</t>
        </is>
      </c>
      <c r="G451" t="n">
        <v>4.2</v>
      </c>
      <c r="H451" t="n">
        <v>0</v>
      </c>
      <c r="I451" t="n">
        <v>0</v>
      </c>
      <c r="J451" t="n">
        <v>0</v>
      </c>
      <c r="K451" t="n">
        <v>0</v>
      </c>
      <c r="L451" t="n">
        <v>0</v>
      </c>
      <c r="M451" t="n">
        <v>0</v>
      </c>
      <c r="N451" t="n">
        <v>0</v>
      </c>
      <c r="O451" t="n">
        <v>0</v>
      </c>
      <c r="P451" t="n">
        <v>0</v>
      </c>
      <c r="Q451" t="n">
        <v>0</v>
      </c>
      <c r="R451" s="2" t="inlineStr"/>
    </row>
    <row r="452" ht="15" customHeight="1">
      <c r="A452" t="inlineStr">
        <is>
          <t>A 35096-2025</t>
        </is>
      </c>
      <c r="B452" s="1" t="n">
        <v>45852.54356481481</v>
      </c>
      <c r="C452" s="1" t="n">
        <v>46046</v>
      </c>
      <c r="D452" t="inlineStr">
        <is>
          <t>GOTLANDS LÄN</t>
        </is>
      </c>
      <c r="E452" t="inlineStr">
        <is>
          <t>GOTLAND</t>
        </is>
      </c>
      <c r="F452" t="inlineStr">
        <is>
          <t>Kyrkan</t>
        </is>
      </c>
      <c r="G452" t="n">
        <v>1</v>
      </c>
      <c r="H452" t="n">
        <v>0</v>
      </c>
      <c r="I452" t="n">
        <v>0</v>
      </c>
      <c r="J452" t="n">
        <v>0</v>
      </c>
      <c r="K452" t="n">
        <v>0</v>
      </c>
      <c r="L452" t="n">
        <v>0</v>
      </c>
      <c r="M452" t="n">
        <v>0</v>
      </c>
      <c r="N452" t="n">
        <v>0</v>
      </c>
      <c r="O452" t="n">
        <v>0</v>
      </c>
      <c r="P452" t="n">
        <v>0</v>
      </c>
      <c r="Q452" t="n">
        <v>0</v>
      </c>
      <c r="R452" s="2" t="inlineStr"/>
    </row>
    <row r="453" ht="15" customHeight="1">
      <c r="A453" t="inlineStr">
        <is>
          <t>A 35123-2025</t>
        </is>
      </c>
      <c r="B453" s="1" t="n">
        <v>45852.614375</v>
      </c>
      <c r="C453" s="1" t="n">
        <v>46046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10746-2025</t>
        </is>
      </c>
      <c r="B454" s="1" t="n">
        <v>45722.42766203704</v>
      </c>
      <c r="C454" s="1" t="n">
        <v>46046</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35290-2025</t>
        </is>
      </c>
      <c r="B455" s="1" t="n">
        <v>45854.38502314815</v>
      </c>
      <c r="C455" s="1" t="n">
        <v>46046</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46046</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46046</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46046</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46046</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14536-2021</t>
        </is>
      </c>
      <c r="B460" s="1" t="n">
        <v>44279.66168981481</v>
      </c>
      <c r="C460" s="1" t="n">
        <v>46046</v>
      </c>
      <c r="D460" t="inlineStr">
        <is>
          <t>GOTLANDS LÄN</t>
        </is>
      </c>
      <c r="E460" t="inlineStr">
        <is>
          <t>GOTLAND</t>
        </is>
      </c>
      <c r="G460" t="n">
        <v>8.5</v>
      </c>
      <c r="H460" t="n">
        <v>0</v>
      </c>
      <c r="I460" t="n">
        <v>0</v>
      </c>
      <c r="J460" t="n">
        <v>0</v>
      </c>
      <c r="K460" t="n">
        <v>0</v>
      </c>
      <c r="L460" t="n">
        <v>0</v>
      </c>
      <c r="M460" t="n">
        <v>0</v>
      </c>
      <c r="N460" t="n">
        <v>0</v>
      </c>
      <c r="O460" t="n">
        <v>0</v>
      </c>
      <c r="P460" t="n">
        <v>0</v>
      </c>
      <c r="Q460" t="n">
        <v>0</v>
      </c>
      <c r="R460" s="2" t="inlineStr"/>
    </row>
    <row r="461" ht="15" customHeight="1">
      <c r="A461" t="inlineStr">
        <is>
          <t>A 5923-2023</t>
        </is>
      </c>
      <c r="B461" s="1" t="n">
        <v>44963.69503472222</v>
      </c>
      <c r="C461" s="1" t="n">
        <v>46046</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35537-2025</t>
        </is>
      </c>
      <c r="B462" s="1" t="n">
        <v>45856</v>
      </c>
      <c r="C462" s="1" t="n">
        <v>46046</v>
      </c>
      <c r="D462" t="inlineStr">
        <is>
          <t>GOTLANDS LÄN</t>
        </is>
      </c>
      <c r="E462" t="inlineStr">
        <is>
          <t>GOTLAND</t>
        </is>
      </c>
      <c r="G462" t="n">
        <v>16.8</v>
      </c>
      <c r="H462" t="n">
        <v>0</v>
      </c>
      <c r="I462" t="n">
        <v>0</v>
      </c>
      <c r="J462" t="n">
        <v>0</v>
      </c>
      <c r="K462" t="n">
        <v>0</v>
      </c>
      <c r="L462" t="n">
        <v>0</v>
      </c>
      <c r="M462" t="n">
        <v>0</v>
      </c>
      <c r="N462" t="n">
        <v>0</v>
      </c>
      <c r="O462" t="n">
        <v>0</v>
      </c>
      <c r="P462" t="n">
        <v>0</v>
      </c>
      <c r="Q462" t="n">
        <v>0</v>
      </c>
      <c r="R462" s="2" t="inlineStr"/>
    </row>
    <row r="463" ht="15" customHeight="1">
      <c r="A463" t="inlineStr">
        <is>
          <t>A 50482-2024</t>
        </is>
      </c>
      <c r="B463" s="1" t="n">
        <v>45601.48114583334</v>
      </c>
      <c r="C463" s="1" t="n">
        <v>46046</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5943-2024</t>
        </is>
      </c>
      <c r="B464" s="1" t="n">
        <v>45336</v>
      </c>
      <c r="C464" s="1" t="n">
        <v>46046</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38234-2023</t>
        </is>
      </c>
      <c r="B465" s="1" t="n">
        <v>45161.56663194444</v>
      </c>
      <c r="C465" s="1" t="n">
        <v>46046</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1273-2023</t>
        </is>
      </c>
      <c r="B466" s="1" t="n">
        <v>44936</v>
      </c>
      <c r="C466" s="1" t="n">
        <v>46046</v>
      </c>
      <c r="D466" t="inlineStr">
        <is>
          <t>GOTLANDS LÄN</t>
        </is>
      </c>
      <c r="E466" t="inlineStr">
        <is>
          <t>GOTLAND</t>
        </is>
      </c>
      <c r="G466" t="n">
        <v>4.5</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46046</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46046</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43229-2023</t>
        </is>
      </c>
      <c r="B469" s="1" t="n">
        <v>45183.46704861111</v>
      </c>
      <c r="C469" s="1" t="n">
        <v>46046</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30488-2025</t>
        </is>
      </c>
      <c r="B470" s="1" t="n">
        <v>45830</v>
      </c>
      <c r="C470" s="1" t="n">
        <v>46046</v>
      </c>
      <c r="D470" t="inlineStr">
        <is>
          <t>GOTLANDS LÄN</t>
        </is>
      </c>
      <c r="E470" t="inlineStr">
        <is>
          <t>GOTLAND</t>
        </is>
      </c>
      <c r="F470" t="inlineStr">
        <is>
          <t>Kyrkan</t>
        </is>
      </c>
      <c r="G470" t="n">
        <v>3.9</v>
      </c>
      <c r="H470" t="n">
        <v>0</v>
      </c>
      <c r="I470" t="n">
        <v>0</v>
      </c>
      <c r="J470" t="n">
        <v>0</v>
      </c>
      <c r="K470" t="n">
        <v>0</v>
      </c>
      <c r="L470" t="n">
        <v>0</v>
      </c>
      <c r="M470" t="n">
        <v>0</v>
      </c>
      <c r="N470" t="n">
        <v>0</v>
      </c>
      <c r="O470" t="n">
        <v>0</v>
      </c>
      <c r="P470" t="n">
        <v>0</v>
      </c>
      <c r="Q470" t="n">
        <v>0</v>
      </c>
      <c r="R470" s="2" t="inlineStr"/>
    </row>
    <row r="471" ht="15" customHeight="1">
      <c r="A471" t="inlineStr">
        <is>
          <t>A 15216-2025</t>
        </is>
      </c>
      <c r="B471" s="1" t="n">
        <v>45744</v>
      </c>
      <c r="C471" s="1" t="n">
        <v>46046</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15001-2025</t>
        </is>
      </c>
      <c r="B472" s="1" t="n">
        <v>45743</v>
      </c>
      <c r="C472" s="1" t="n">
        <v>46046</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43790-2024</t>
        </is>
      </c>
      <c r="B473" s="1" t="n">
        <v>45571</v>
      </c>
      <c r="C473" s="1" t="n">
        <v>46046</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41038-2023</t>
        </is>
      </c>
      <c r="B474" s="1" t="n">
        <v>45173.60959490741</v>
      </c>
      <c r="C474" s="1" t="n">
        <v>46046</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17847-2025</t>
        </is>
      </c>
      <c r="B475" s="1" t="n">
        <v>45758</v>
      </c>
      <c r="C475" s="1" t="n">
        <v>46046</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18742-2025</t>
        </is>
      </c>
      <c r="B476" s="1" t="n">
        <v>45763</v>
      </c>
      <c r="C476" s="1" t="n">
        <v>46046</v>
      </c>
      <c r="D476" t="inlineStr">
        <is>
          <t>GOTLANDS LÄN</t>
        </is>
      </c>
      <c r="E476" t="inlineStr">
        <is>
          <t>GOTLAND</t>
        </is>
      </c>
      <c r="G476" t="n">
        <v>3.4</v>
      </c>
      <c r="H476" t="n">
        <v>0</v>
      </c>
      <c r="I476" t="n">
        <v>0</v>
      </c>
      <c r="J476" t="n">
        <v>0</v>
      </c>
      <c r="K476" t="n">
        <v>0</v>
      </c>
      <c r="L476" t="n">
        <v>0</v>
      </c>
      <c r="M476" t="n">
        <v>0</v>
      </c>
      <c r="N476" t="n">
        <v>0</v>
      </c>
      <c r="O476" t="n">
        <v>0</v>
      </c>
      <c r="P476" t="n">
        <v>0</v>
      </c>
      <c r="Q476" t="n">
        <v>0</v>
      </c>
      <c r="R476" s="2" t="inlineStr"/>
    </row>
    <row r="477" ht="15" customHeight="1">
      <c r="A477" t="inlineStr">
        <is>
          <t>A 35129-2025</t>
        </is>
      </c>
      <c r="B477" s="1" t="n">
        <v>45852.63224537037</v>
      </c>
      <c r="C477" s="1" t="n">
        <v>46046</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2674-2023</t>
        </is>
      </c>
      <c r="B478" s="1" t="n">
        <v>44944</v>
      </c>
      <c r="C478" s="1" t="n">
        <v>46046</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46046</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61100-2022</t>
        </is>
      </c>
      <c r="B480" s="1" t="n">
        <v>44915</v>
      </c>
      <c r="C480" s="1" t="n">
        <v>46046</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23978-2023</t>
        </is>
      </c>
      <c r="B481" s="1" t="n">
        <v>45078</v>
      </c>
      <c r="C481" s="1" t="n">
        <v>46046</v>
      </c>
      <c r="D481" t="inlineStr">
        <is>
          <t>GOTLANDS LÄN</t>
        </is>
      </c>
      <c r="E481" t="inlineStr">
        <is>
          <t>GOTLAND</t>
        </is>
      </c>
      <c r="F481" t="inlineStr">
        <is>
          <t>Naturvårdsverket</t>
        </is>
      </c>
      <c r="G481" t="n">
        <v>1.7</v>
      </c>
      <c r="H481" t="n">
        <v>0</v>
      </c>
      <c r="I481" t="n">
        <v>0</v>
      </c>
      <c r="J481" t="n">
        <v>0</v>
      </c>
      <c r="K481" t="n">
        <v>0</v>
      </c>
      <c r="L481" t="n">
        <v>0</v>
      </c>
      <c r="M481" t="n">
        <v>0</v>
      </c>
      <c r="N481" t="n">
        <v>0</v>
      </c>
      <c r="O481" t="n">
        <v>0</v>
      </c>
      <c r="P481" t="n">
        <v>0</v>
      </c>
      <c r="Q481" t="n">
        <v>0</v>
      </c>
      <c r="R481" s="2" t="inlineStr"/>
    </row>
    <row r="482" ht="15" customHeight="1">
      <c r="A482" t="inlineStr">
        <is>
          <t>A 49884-2023</t>
        </is>
      </c>
      <c r="B482" s="1" t="n">
        <v>45213</v>
      </c>
      <c r="C482" s="1" t="n">
        <v>46046</v>
      </c>
      <c r="D482" t="inlineStr">
        <is>
          <t>GOTLANDS LÄN</t>
        </is>
      </c>
      <c r="E482" t="inlineStr">
        <is>
          <t>GOTLAND</t>
        </is>
      </c>
      <c r="G482" t="n">
        <v>8.9</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46046</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43200-2023</t>
        </is>
      </c>
      <c r="B484" s="1" t="n">
        <v>45183</v>
      </c>
      <c r="C484" s="1" t="n">
        <v>46046</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3935-2025</t>
        </is>
      </c>
      <c r="B485" s="1" t="n">
        <v>45684.46070601852</v>
      </c>
      <c r="C485" s="1" t="n">
        <v>46046</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581-2023</t>
        </is>
      </c>
      <c r="B486" s="1" t="n">
        <v>44930</v>
      </c>
      <c r="C486" s="1" t="n">
        <v>46046</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24966-2023</t>
        </is>
      </c>
      <c r="B487" s="1" t="n">
        <v>45085</v>
      </c>
      <c r="C487" s="1" t="n">
        <v>46046</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57652-2023</t>
        </is>
      </c>
      <c r="B488" s="1" t="n">
        <v>45246</v>
      </c>
      <c r="C488" s="1" t="n">
        <v>46046</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21792-2024</t>
        </is>
      </c>
      <c r="B489" s="1" t="n">
        <v>45442.64326388889</v>
      </c>
      <c r="C489" s="1" t="n">
        <v>46046</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46046</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12599-2025</t>
        </is>
      </c>
      <c r="B491" s="1" t="n">
        <v>45733.29546296296</v>
      </c>
      <c r="C491" s="1" t="n">
        <v>46046</v>
      </c>
      <c r="D491" t="inlineStr">
        <is>
          <t>GOTLANDS LÄN</t>
        </is>
      </c>
      <c r="E491" t="inlineStr">
        <is>
          <t>GOTLAND</t>
        </is>
      </c>
      <c r="G491" t="n">
        <v>4.7</v>
      </c>
      <c r="H491" t="n">
        <v>0</v>
      </c>
      <c r="I491" t="n">
        <v>0</v>
      </c>
      <c r="J491" t="n">
        <v>0</v>
      </c>
      <c r="K491" t="n">
        <v>0</v>
      </c>
      <c r="L491" t="n">
        <v>0</v>
      </c>
      <c r="M491" t="n">
        <v>0</v>
      </c>
      <c r="N491" t="n">
        <v>0</v>
      </c>
      <c r="O491" t="n">
        <v>0</v>
      </c>
      <c r="P491" t="n">
        <v>0</v>
      </c>
      <c r="Q491" t="n">
        <v>0</v>
      </c>
      <c r="R491" s="2" t="inlineStr"/>
    </row>
    <row r="492" ht="15" customHeight="1">
      <c r="A492" t="inlineStr">
        <is>
          <t>A 30489-2025</t>
        </is>
      </c>
      <c r="B492" s="1" t="n">
        <v>45830</v>
      </c>
      <c r="C492" s="1" t="n">
        <v>46046</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21142-2025</t>
        </is>
      </c>
      <c r="B493" s="1" t="n">
        <v>45779</v>
      </c>
      <c r="C493" s="1" t="n">
        <v>46046</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6108-2025</t>
        </is>
      </c>
      <c r="B494" s="1" t="n">
        <v>45698.29880787037</v>
      </c>
      <c r="C494" s="1" t="n">
        <v>46046</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17343-2025</t>
        </is>
      </c>
      <c r="B495" s="1" t="n">
        <v>45756.6687037037</v>
      </c>
      <c r="C495" s="1" t="n">
        <v>46046</v>
      </c>
      <c r="D495" t="inlineStr">
        <is>
          <t>GOTLANDS LÄN</t>
        </is>
      </c>
      <c r="E495" t="inlineStr">
        <is>
          <t>GOTLAND</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18938-2025</t>
        </is>
      </c>
      <c r="B496" s="1" t="n">
        <v>45764.49172453704</v>
      </c>
      <c r="C496" s="1" t="n">
        <v>46046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20307-2025</t>
        </is>
      </c>
      <c r="B497" s="1" t="n">
        <v>45774.95546296296</v>
      </c>
      <c r="C497" s="1" t="n">
        <v>46046</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46046</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46046</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46046</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35142-2025</t>
        </is>
      </c>
      <c r="B501" s="1" t="n">
        <v>45852.65532407408</v>
      </c>
      <c r="C501" s="1" t="n">
        <v>46046</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46046</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30135-2025</t>
        </is>
      </c>
      <c r="B503" s="1" t="n">
        <v>45826</v>
      </c>
      <c r="C503" s="1" t="n">
        <v>46046</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46046</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46046</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50744-2024</t>
        </is>
      </c>
      <c r="B506" s="1" t="n">
        <v>45602.4187037037</v>
      </c>
      <c r="C506" s="1" t="n">
        <v>46046</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45244-2024</t>
        </is>
      </c>
      <c r="B507" s="1" t="n">
        <v>45576</v>
      </c>
      <c r="C507" s="1" t="n">
        <v>46046</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38787-2023</t>
        </is>
      </c>
      <c r="B508" s="1" t="n">
        <v>45163</v>
      </c>
      <c r="C508" s="1" t="n">
        <v>46046</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2714-2023</t>
        </is>
      </c>
      <c r="B509" s="1" t="n">
        <v>44944.54896990741</v>
      </c>
      <c r="C509" s="1" t="n">
        <v>46046</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46046</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4568-2025</t>
        </is>
      </c>
      <c r="B511" s="1" t="n">
        <v>45687</v>
      </c>
      <c r="C511" s="1" t="n">
        <v>46046</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44938.39715277778</v>
      </c>
      <c r="C512" s="1" t="n">
        <v>46046</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39849-2025</t>
        </is>
      </c>
      <c r="B513" s="1" t="n">
        <v>45891.58502314815</v>
      </c>
      <c r="C513" s="1" t="n">
        <v>46046</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46046</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18918-2025</t>
        </is>
      </c>
      <c r="B515" s="1" t="n">
        <v>45764</v>
      </c>
      <c r="C515" s="1" t="n">
        <v>46046</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11013-2024</t>
        </is>
      </c>
      <c r="B516" s="1" t="n">
        <v>45370</v>
      </c>
      <c r="C516" s="1" t="n">
        <v>46046</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39814-2025</t>
        </is>
      </c>
      <c r="B517" s="1" t="n">
        <v>45891.52694444444</v>
      </c>
      <c r="C517" s="1" t="n">
        <v>46046</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46046</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39752-2025</t>
        </is>
      </c>
      <c r="B519" s="1" t="n">
        <v>45891</v>
      </c>
      <c r="C519" s="1" t="n">
        <v>46046</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46046</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40372-2025</t>
        </is>
      </c>
      <c r="B521" s="1" t="n">
        <v>45895.5162037037</v>
      </c>
      <c r="C521" s="1" t="n">
        <v>46046</v>
      </c>
      <c r="D521" t="inlineStr">
        <is>
          <t>GOTLANDS LÄN</t>
        </is>
      </c>
      <c r="E521" t="inlineStr">
        <is>
          <t>GOTLAND</t>
        </is>
      </c>
      <c r="G521" t="n">
        <v>3.3</v>
      </c>
      <c r="H521" t="n">
        <v>0</v>
      </c>
      <c r="I521" t="n">
        <v>0</v>
      </c>
      <c r="J521" t="n">
        <v>0</v>
      </c>
      <c r="K521" t="n">
        <v>0</v>
      </c>
      <c r="L521" t="n">
        <v>0</v>
      </c>
      <c r="M521" t="n">
        <v>0</v>
      </c>
      <c r="N521" t="n">
        <v>0</v>
      </c>
      <c r="O521" t="n">
        <v>0</v>
      </c>
      <c r="P521" t="n">
        <v>0</v>
      </c>
      <c r="Q521" t="n">
        <v>0</v>
      </c>
      <c r="R521" s="2" t="inlineStr"/>
    </row>
    <row r="522" ht="15" customHeight="1">
      <c r="A522" t="inlineStr">
        <is>
          <t>A 45084-2024</t>
        </is>
      </c>
      <c r="B522" s="1" t="n">
        <v>45575</v>
      </c>
      <c r="C522" s="1" t="n">
        <v>46046</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46046</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20356-2022</t>
        </is>
      </c>
      <c r="B524" s="1" t="n">
        <v>44699</v>
      </c>
      <c r="C524" s="1" t="n">
        <v>46046</v>
      </c>
      <c r="D524" t="inlineStr">
        <is>
          <t>GOTLANDS LÄN</t>
        </is>
      </c>
      <c r="E524" t="inlineStr">
        <is>
          <t>GOTLAND</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4868-2024</t>
        </is>
      </c>
      <c r="B525" s="1" t="n">
        <v>45329</v>
      </c>
      <c r="C525" s="1" t="n">
        <v>46046</v>
      </c>
      <c r="D525" t="inlineStr">
        <is>
          <t>GOTLANDS LÄN</t>
        </is>
      </c>
      <c r="E525" t="inlineStr">
        <is>
          <t>GOTLAND</t>
        </is>
      </c>
      <c r="G525" t="n">
        <v>7.1</v>
      </c>
      <c r="H525" t="n">
        <v>0</v>
      </c>
      <c r="I525" t="n">
        <v>0</v>
      </c>
      <c r="J525" t="n">
        <v>0</v>
      </c>
      <c r="K525" t="n">
        <v>0</v>
      </c>
      <c r="L525" t="n">
        <v>0</v>
      </c>
      <c r="M525" t="n">
        <v>0</v>
      </c>
      <c r="N525" t="n">
        <v>0</v>
      </c>
      <c r="O525" t="n">
        <v>0</v>
      </c>
      <c r="P525" t="n">
        <v>0</v>
      </c>
      <c r="Q525" t="n">
        <v>0</v>
      </c>
      <c r="R525" s="2" t="inlineStr"/>
    </row>
    <row r="526" ht="15" customHeight="1">
      <c r="A526" t="inlineStr">
        <is>
          <t>A 9613-2025</t>
        </is>
      </c>
      <c r="B526" s="1" t="n">
        <v>45715</v>
      </c>
      <c r="C526" s="1" t="n">
        <v>46046</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46046</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46046</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40103-2025</t>
        </is>
      </c>
      <c r="B529" s="1" t="n">
        <v>45894.4880324074</v>
      </c>
      <c r="C529" s="1" t="n">
        <v>46046</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46046</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40499-2025</t>
        </is>
      </c>
      <c r="B531" s="1" t="n">
        <v>45896.32517361111</v>
      </c>
      <c r="C531" s="1" t="n">
        <v>46046</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5884-2025</t>
        </is>
      </c>
      <c r="B532" s="1" t="n">
        <v>45695.37482638889</v>
      </c>
      <c r="C532" s="1" t="n">
        <v>46046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5897-2025</t>
        </is>
      </c>
      <c r="B533" s="1" t="n">
        <v>45695.39273148148</v>
      </c>
      <c r="C533" s="1" t="n">
        <v>46046</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46046</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46046</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46046</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46046</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39278-2025</t>
        </is>
      </c>
      <c r="B538" s="1" t="n">
        <v>45889</v>
      </c>
      <c r="C538" s="1" t="n">
        <v>46046</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41435-2025</t>
        </is>
      </c>
      <c r="B539" s="1" t="n">
        <v>45901.39974537037</v>
      </c>
      <c r="C539" s="1" t="n">
        <v>46046</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25866-2022</t>
        </is>
      </c>
      <c r="B540" s="1" t="n">
        <v>44733</v>
      </c>
      <c r="C540" s="1" t="n">
        <v>46046</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9887-2025</t>
        </is>
      </c>
      <c r="B541" s="1" t="n">
        <v>45716</v>
      </c>
      <c r="C541" s="1" t="n">
        <v>46046</v>
      </c>
      <c r="D541" t="inlineStr">
        <is>
          <t>GOTLANDS LÄN</t>
        </is>
      </c>
      <c r="E541" t="inlineStr">
        <is>
          <t>GOTLAND</t>
        </is>
      </c>
      <c r="G541" t="n">
        <v>7.5</v>
      </c>
      <c r="H541" t="n">
        <v>0</v>
      </c>
      <c r="I541" t="n">
        <v>0</v>
      </c>
      <c r="J541" t="n">
        <v>0</v>
      </c>
      <c r="K541" t="n">
        <v>0</v>
      </c>
      <c r="L541" t="n">
        <v>0</v>
      </c>
      <c r="M541" t="n">
        <v>0</v>
      </c>
      <c r="N541" t="n">
        <v>0</v>
      </c>
      <c r="O541" t="n">
        <v>0</v>
      </c>
      <c r="P541" t="n">
        <v>0</v>
      </c>
      <c r="Q541" t="n">
        <v>0</v>
      </c>
      <c r="R541" s="2" t="inlineStr"/>
    </row>
    <row r="542" ht="15" customHeight="1">
      <c r="A542" t="inlineStr">
        <is>
          <t>A 12209-2024</t>
        </is>
      </c>
      <c r="B542" s="1" t="n">
        <v>45378</v>
      </c>
      <c r="C542" s="1" t="n">
        <v>46046</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12210-2024</t>
        </is>
      </c>
      <c r="B543" s="1" t="n">
        <v>45378</v>
      </c>
      <c r="C543" s="1" t="n">
        <v>46046</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46046</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46046</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46046</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31802-2024</t>
        </is>
      </c>
      <c r="B547" s="1" t="n">
        <v>45509</v>
      </c>
      <c r="C547" s="1" t="n">
        <v>46046</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20993-2023</t>
        </is>
      </c>
      <c r="B548" s="1" t="n">
        <v>45056</v>
      </c>
      <c r="C548" s="1" t="n">
        <v>46046</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46046</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46046</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10158-2025</t>
        </is>
      </c>
      <c r="B551" s="1" t="n">
        <v>45719</v>
      </c>
      <c r="C551" s="1" t="n">
        <v>46046</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4420-2025</t>
        </is>
      </c>
      <c r="B552" s="1" t="n">
        <v>45686.47157407407</v>
      </c>
      <c r="C552" s="1" t="n">
        <v>46046</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14427-2024</t>
        </is>
      </c>
      <c r="B553" s="1" t="n">
        <v>45394</v>
      </c>
      <c r="C553" s="1" t="n">
        <v>46046</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43911-2025</t>
        </is>
      </c>
      <c r="B554" s="1" t="n">
        <v>45914.3881712963</v>
      </c>
      <c r="C554" s="1" t="n">
        <v>46046</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43951-2025</t>
        </is>
      </c>
      <c r="B555" s="1" t="n">
        <v>45915.38119212963</v>
      </c>
      <c r="C555" s="1" t="n">
        <v>46046</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44410-2025</t>
        </is>
      </c>
      <c r="B556" s="1" t="n">
        <v>45916.53699074074</v>
      </c>
      <c r="C556" s="1" t="n">
        <v>46046</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46046</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49315-2024</t>
        </is>
      </c>
      <c r="B558" s="1" t="n">
        <v>45595</v>
      </c>
      <c r="C558" s="1" t="n">
        <v>46046</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44405-2025</t>
        </is>
      </c>
      <c r="B559" s="1" t="n">
        <v>45916.52405092592</v>
      </c>
      <c r="C559" s="1" t="n">
        <v>46046</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46046</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56115-2023</t>
        </is>
      </c>
      <c r="B561" s="1" t="n">
        <v>45236</v>
      </c>
      <c r="C561" s="1" t="n">
        <v>46046</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64969-2023</t>
        </is>
      </c>
      <c r="B562" s="1" t="n">
        <v>45284.54009259259</v>
      </c>
      <c r="C562" s="1" t="n">
        <v>46046</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46046</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18223-2025</t>
        </is>
      </c>
      <c r="B564" s="1" t="n">
        <v>45761</v>
      </c>
      <c r="C564" s="1" t="n">
        <v>46046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46046</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46046</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24001-2021</t>
        </is>
      </c>
      <c r="B567" s="1" t="n">
        <v>44335</v>
      </c>
      <c r="C567" s="1" t="n">
        <v>46046</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39479-2022</t>
        </is>
      </c>
      <c r="B568" s="1" t="n">
        <v>44818</v>
      </c>
      <c r="C568" s="1" t="n">
        <v>46046</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46046</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46836-2025</t>
        </is>
      </c>
      <c r="B570" s="1" t="n">
        <v>45928.31511574074</v>
      </c>
      <c r="C570" s="1" t="n">
        <v>46046</v>
      </c>
      <c r="D570" t="inlineStr">
        <is>
          <t>GOTLANDS LÄN</t>
        </is>
      </c>
      <c r="E570" t="inlineStr">
        <is>
          <t>GOTLAND</t>
        </is>
      </c>
      <c r="G570" t="n">
        <v>2.8</v>
      </c>
      <c r="H570" t="n">
        <v>0</v>
      </c>
      <c r="I570" t="n">
        <v>0</v>
      </c>
      <c r="J570" t="n">
        <v>0</v>
      </c>
      <c r="K570" t="n">
        <v>0</v>
      </c>
      <c r="L570" t="n">
        <v>0</v>
      </c>
      <c r="M570" t="n">
        <v>0</v>
      </c>
      <c r="N570" t="n">
        <v>0</v>
      </c>
      <c r="O570" t="n">
        <v>0</v>
      </c>
      <c r="P570" t="n">
        <v>0</v>
      </c>
      <c r="Q570" t="n">
        <v>0</v>
      </c>
      <c r="R570" s="2" t="inlineStr"/>
    </row>
    <row r="571" ht="15" customHeight="1">
      <c r="A571" t="inlineStr">
        <is>
          <t>A 46389-2021</t>
        </is>
      </c>
      <c r="B571" s="1" t="n">
        <v>44443</v>
      </c>
      <c r="C571" s="1" t="n">
        <v>46046</v>
      </c>
      <c r="D571" t="inlineStr">
        <is>
          <t>GOTLANDS LÄN</t>
        </is>
      </c>
      <c r="E571" t="inlineStr">
        <is>
          <t>GOTLAND</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47637-2025</t>
        </is>
      </c>
      <c r="B572" s="1" t="n">
        <v>45931.49753472222</v>
      </c>
      <c r="C572" s="1" t="n">
        <v>46046</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44949-2023</t>
        </is>
      </c>
      <c r="B573" s="1" t="n">
        <v>45190.69520833333</v>
      </c>
      <c r="C573" s="1" t="n">
        <v>46046</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17682-2024</t>
        </is>
      </c>
      <c r="B574" s="1" t="n">
        <v>45418.42966435185</v>
      </c>
      <c r="C574" s="1" t="n">
        <v>46046</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32378-2025</t>
        </is>
      </c>
      <c r="B575" s="1" t="n">
        <v>45837</v>
      </c>
      <c r="C575" s="1" t="n">
        <v>46046</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46046</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12032-2025</t>
        </is>
      </c>
      <c r="B577" s="1" t="n">
        <v>45728.64472222222</v>
      </c>
      <c r="C577" s="1" t="n">
        <v>46046</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15595-2024</t>
        </is>
      </c>
      <c r="B578" s="1" t="n">
        <v>45401.81480324074</v>
      </c>
      <c r="C578" s="1" t="n">
        <v>46046</v>
      </c>
      <c r="D578" t="inlineStr">
        <is>
          <t>GOTLANDS LÄN</t>
        </is>
      </c>
      <c r="E578" t="inlineStr">
        <is>
          <t>GOTLAND</t>
        </is>
      </c>
      <c r="G578" t="n">
        <v>6.4</v>
      </c>
      <c r="H578" t="n">
        <v>0</v>
      </c>
      <c r="I578" t="n">
        <v>0</v>
      </c>
      <c r="J578" t="n">
        <v>0</v>
      </c>
      <c r="K578" t="n">
        <v>0</v>
      </c>
      <c r="L578" t="n">
        <v>0</v>
      </c>
      <c r="M578" t="n">
        <v>0</v>
      </c>
      <c r="N578" t="n">
        <v>0</v>
      </c>
      <c r="O578" t="n">
        <v>0</v>
      </c>
      <c r="P578" t="n">
        <v>0</v>
      </c>
      <c r="Q578" t="n">
        <v>0</v>
      </c>
      <c r="R578" s="2" t="inlineStr"/>
    </row>
    <row r="579" ht="15" customHeight="1">
      <c r="A579" t="inlineStr">
        <is>
          <t>A 35550-2025</t>
        </is>
      </c>
      <c r="B579" s="1" t="n">
        <v>45856.49324074074</v>
      </c>
      <c r="C579" s="1" t="n">
        <v>46046</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46046</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46046</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46046</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46046</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46046</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46046</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46046</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46046</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46046</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46046</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46046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46046</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46046</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46046</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46046</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46046</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62066-2025</t>
        </is>
      </c>
      <c r="B596" s="1" t="n">
        <v>46006.34738425926</v>
      </c>
      <c r="C596" s="1" t="n">
        <v>46046</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46046</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56688-2025</t>
        </is>
      </c>
      <c r="B598" s="1" t="n">
        <v>45975.84331018518</v>
      </c>
      <c r="C598" s="1" t="n">
        <v>46046</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56799-2025</t>
        </is>
      </c>
      <c r="B599" s="1" t="n">
        <v>45978.43392361111</v>
      </c>
      <c r="C599" s="1" t="n">
        <v>46046</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46046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46046</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1355-2026</t>
        </is>
      </c>
      <c r="B602" s="1" t="n">
        <v>46031.59909722222</v>
      </c>
      <c r="C602" s="1" t="n">
        <v>46046</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46046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63152-2025</t>
        </is>
      </c>
      <c r="B604" s="1" t="n">
        <v>46010</v>
      </c>
      <c r="C604" s="1" t="n">
        <v>46046</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62674-2025</t>
        </is>
      </c>
      <c r="B605" s="1" t="n">
        <v>46008</v>
      </c>
      <c r="C605" s="1" t="n">
        <v>46046</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38649-2025</t>
        </is>
      </c>
      <c r="B606" s="1" t="n">
        <v>45884</v>
      </c>
      <c r="C606" s="1" t="n">
        <v>46046</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62836-2025</t>
        </is>
      </c>
      <c r="B607" s="1" t="n">
        <v>46008</v>
      </c>
      <c r="C607" s="1" t="n">
        <v>46046</v>
      </c>
      <c r="D607" t="inlineStr">
        <is>
          <t>GOTLANDS LÄN</t>
        </is>
      </c>
      <c r="E607" t="inlineStr">
        <is>
          <t>GOTLAND</t>
        </is>
      </c>
      <c r="G607" t="n">
        <v>6.5</v>
      </c>
      <c r="H607" t="n">
        <v>0</v>
      </c>
      <c r="I607" t="n">
        <v>0</v>
      </c>
      <c r="J607" t="n">
        <v>0</v>
      </c>
      <c r="K607" t="n">
        <v>0</v>
      </c>
      <c r="L607" t="n">
        <v>0</v>
      </c>
      <c r="M607" t="n">
        <v>0</v>
      </c>
      <c r="N607" t="n">
        <v>0</v>
      </c>
      <c r="O607" t="n">
        <v>0</v>
      </c>
      <c r="P607" t="n">
        <v>0</v>
      </c>
      <c r="Q607" t="n">
        <v>0</v>
      </c>
      <c r="R607" s="2" t="inlineStr"/>
    </row>
    <row r="608" ht="15" customHeight="1">
      <c r="A608" t="inlineStr">
        <is>
          <t>A 1839-2026</t>
        </is>
      </c>
      <c r="B608" s="1" t="n">
        <v>46035.3942824074</v>
      </c>
      <c r="C608" s="1" t="n">
        <v>46046</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1898-2026</t>
        </is>
      </c>
      <c r="B609" s="1" t="n">
        <v>46035.52024305556</v>
      </c>
      <c r="C609" s="1" t="n">
        <v>46046</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1854-2026</t>
        </is>
      </c>
      <c r="B610" s="1" t="n">
        <v>46035.4171875</v>
      </c>
      <c r="C610" s="1" t="n">
        <v>46046</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row r="611" ht="15" customHeight="1">
      <c r="A611" t="inlineStr">
        <is>
          <t>A 2415-2026</t>
        </is>
      </c>
      <c r="B611" s="1" t="n">
        <v>46036.76203703704</v>
      </c>
      <c r="C611" s="1" t="n">
        <v>46046</v>
      </c>
      <c r="D611" t="inlineStr">
        <is>
          <t>GOTLANDS LÄN</t>
        </is>
      </c>
      <c r="E611" t="inlineStr">
        <is>
          <t>GOTLAND</t>
        </is>
      </c>
      <c r="G611" t="n">
        <v>6.9</v>
      </c>
      <c r="H611" t="n">
        <v>0</v>
      </c>
      <c r="I611" t="n">
        <v>0</v>
      </c>
      <c r="J611" t="n">
        <v>0</v>
      </c>
      <c r="K611" t="n">
        <v>0</v>
      </c>
      <c r="L611" t="n">
        <v>0</v>
      </c>
      <c r="M611" t="n">
        <v>0</v>
      </c>
      <c r="N611" t="n">
        <v>0</v>
      </c>
      <c r="O611" t="n">
        <v>0</v>
      </c>
      <c r="P611" t="n">
        <v>0</v>
      </c>
      <c r="Q611" t="n">
        <v>0</v>
      </c>
      <c r="R611" s="2" t="inlineStr"/>
    </row>
    <row r="612" ht="15" customHeight="1">
      <c r="A612" t="inlineStr">
        <is>
          <t>A 62754-2025</t>
        </is>
      </c>
      <c r="B612" s="1" t="n">
        <v>46008</v>
      </c>
      <c r="C612" s="1" t="n">
        <v>46046</v>
      </c>
      <c r="D612" t="inlineStr">
        <is>
          <t>GOTLANDS LÄN</t>
        </is>
      </c>
      <c r="E612" t="inlineStr">
        <is>
          <t>GOTLAND</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2134-2026</t>
        </is>
      </c>
      <c r="B613" s="1" t="n">
        <v>46036</v>
      </c>
      <c r="C613" s="1" t="n">
        <v>46046</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2135-2026</t>
        </is>
      </c>
      <c r="B614" s="1" t="n">
        <v>46036</v>
      </c>
      <c r="C614" s="1" t="n">
        <v>46046</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63000-2025</t>
        </is>
      </c>
      <c r="B615" s="1" t="n">
        <v>46009</v>
      </c>
      <c r="C615" s="1" t="n">
        <v>46046</v>
      </c>
      <c r="D615" t="inlineStr">
        <is>
          <t>GOTLANDS LÄN</t>
        </is>
      </c>
      <c r="E615" t="inlineStr">
        <is>
          <t>GOTLAND</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46046</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60384-2025</t>
        </is>
      </c>
      <c r="B617" s="1" t="n">
        <v>45995</v>
      </c>
      <c r="C617" s="1" t="n">
        <v>46046</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62103-2025</t>
        </is>
      </c>
      <c r="B618" s="1" t="n">
        <v>46006</v>
      </c>
      <c r="C618" s="1" t="n">
        <v>46046</v>
      </c>
      <c r="D618" t="inlineStr">
        <is>
          <t>GOTLANDS LÄN</t>
        </is>
      </c>
      <c r="E618" t="inlineStr">
        <is>
          <t>GOTLAND</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3067-2026</t>
        </is>
      </c>
      <c r="B619" s="1" t="n">
        <v>46040.59025462963</v>
      </c>
      <c r="C619" s="1" t="n">
        <v>46046</v>
      </c>
      <c r="D619" t="inlineStr">
        <is>
          <t>GOTLANDS LÄN</t>
        </is>
      </c>
      <c r="E619" t="inlineStr">
        <is>
          <t>GOTLAND</t>
        </is>
      </c>
      <c r="G619" t="n">
        <v>7.8</v>
      </c>
      <c r="H619" t="n">
        <v>0</v>
      </c>
      <c r="I619" t="n">
        <v>0</v>
      </c>
      <c r="J619" t="n">
        <v>0</v>
      </c>
      <c r="K619" t="n">
        <v>0</v>
      </c>
      <c r="L619" t="n">
        <v>0</v>
      </c>
      <c r="M619" t="n">
        <v>0</v>
      </c>
      <c r="N619" t="n">
        <v>0</v>
      </c>
      <c r="O619" t="n">
        <v>0</v>
      </c>
      <c r="P619" t="n">
        <v>0</v>
      </c>
      <c r="Q619" t="n">
        <v>0</v>
      </c>
      <c r="R619" s="2" t="inlineStr"/>
    </row>
    <row r="620" ht="15" customHeight="1">
      <c r="A620" t="inlineStr">
        <is>
          <t>A 62751-2025</t>
        </is>
      </c>
      <c r="B620" s="1" t="n">
        <v>46008</v>
      </c>
      <c r="C620" s="1" t="n">
        <v>46046</v>
      </c>
      <c r="D620" t="inlineStr">
        <is>
          <t>GOTLANDS LÄN</t>
        </is>
      </c>
      <c r="E620" t="inlineStr">
        <is>
          <t>GOTLAND</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46046</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61078-2025</t>
        </is>
      </c>
      <c r="B622" s="1" t="n">
        <v>46000</v>
      </c>
      <c r="C622" s="1" t="n">
        <v>46046</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61080-2025</t>
        </is>
      </c>
      <c r="B623" s="1" t="n">
        <v>46000</v>
      </c>
      <c r="C623" s="1" t="n">
        <v>46046</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c r="A624" t="inlineStr">
        <is>
          <t>A 47147-2025</t>
        </is>
      </c>
      <c r="B624" s="1" t="n">
        <v>45929</v>
      </c>
      <c r="C624" s="1" t="n">
        <v>46046</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2026-01-24T11:06:30Z</dcterms:created>
  <dcterms:modified xmlns:dcterms="http://purl.org/dc/terms/" xmlns:xsi="http://www.w3.org/2001/XMLSchema-instance" xsi:type="dcterms:W3CDTF">2026-01-24T11:06:30Z</dcterms:modified>
</cp:coreProperties>
</file>