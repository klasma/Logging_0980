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45844</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45844</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45844</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45844</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45844</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45844</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45844</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45844</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45844</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45844</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45844</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45844</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45844</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45844</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45844</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45844</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45844</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45844</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45844</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45844</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45844</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45844</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45844</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45844</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45844</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45844</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45844</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45844</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45844</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45844</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45844</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45844</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45844</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45844</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45844</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45844</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45844</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45844</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45844</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45844</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45844</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45844</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45844</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45844</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45844</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45844</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45844</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45844</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45844</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45844</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45844</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45844</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45844</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45844</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45844</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45844</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45844</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45844</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45844</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45844</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45844</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45844</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45844</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45844</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45844</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45844</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45844</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45844</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45844</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45844</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45844</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45844</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45844</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45844</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45844</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45844</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45844</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45844</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45844</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45844</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45844</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45844</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45844</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45844</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45844</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45844</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45844</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45844</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45844</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45844</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24309-2025</t>
        </is>
      </c>
      <c r="B96" s="1" t="n">
        <v>45797</v>
      </c>
      <c r="C96" s="1" t="n">
        <v>45844</v>
      </c>
      <c r="D96" t="inlineStr">
        <is>
          <t>GOTLANDS LÄN</t>
        </is>
      </c>
      <c r="E96" t="inlineStr">
        <is>
          <t>GOTLAND</t>
        </is>
      </c>
      <c r="F96" t="inlineStr">
        <is>
          <t>Kyrkan</t>
        </is>
      </c>
      <c r="G96" t="n">
        <v>7.8</v>
      </c>
      <c r="H96" t="n">
        <v>5</v>
      </c>
      <c r="I96" t="n">
        <v>1</v>
      </c>
      <c r="J96" t="n">
        <v>3</v>
      </c>
      <c r="K96" t="n">
        <v>1</v>
      </c>
      <c r="L96" t="n">
        <v>0</v>
      </c>
      <c r="M96" t="n">
        <v>0</v>
      </c>
      <c r="N96" t="n">
        <v>0</v>
      </c>
      <c r="O96" t="n">
        <v>4</v>
      </c>
      <c r="P96" t="n">
        <v>1</v>
      </c>
      <c r="Q96" t="n">
        <v>6</v>
      </c>
      <c r="R96" s="2" t="inlineStr">
        <is>
          <t>Garderönn
Dårgräsfjäril
Spillkråka
Svinrot
Skogsknipprot
Blåsippa</t>
        </is>
      </c>
      <c r="S96">
        <f>HYPERLINK("https://klasma.github.io/Logging_090980/artfynd/A 24309-2025 artfynd.xlsx", "A 24309-2025")</f>
        <v/>
      </c>
      <c r="T96">
        <f>HYPERLINK("https://klasma.github.io/Logging_090980/kartor/A 24309-2025 karta.png", "A 24309-2025")</f>
        <v/>
      </c>
      <c r="V96">
        <f>HYPERLINK("https://klasma.github.io/Logging_090980/klagomål/A 24309-2025 FSC-klagomål.docx", "A 24309-2025")</f>
        <v/>
      </c>
      <c r="W96">
        <f>HYPERLINK("https://klasma.github.io/Logging_090980/klagomålsmail/A 24309-2025 FSC-klagomål mail.docx", "A 24309-2025")</f>
        <v/>
      </c>
      <c r="X96">
        <f>HYPERLINK("https://klasma.github.io/Logging_090980/tillsyn/A 24309-2025 tillsynsbegäran.docx", "A 24309-2025")</f>
        <v/>
      </c>
      <c r="Y96">
        <f>HYPERLINK("https://klasma.github.io/Logging_090980/tillsynsmail/A 24309-2025 tillsynsbegäran mail.docx", "A 24309-2025")</f>
        <v/>
      </c>
      <c r="Z96">
        <f>HYPERLINK("https://klasma.github.io/Logging_090980/fåglar/A 24309-2025 prioriterade fågelarter.docx", "A 24309-2025")</f>
        <v/>
      </c>
    </row>
    <row r="97" ht="15" customHeight="1">
      <c r="A97" t="inlineStr">
        <is>
          <t>A 38183-2019</t>
        </is>
      </c>
      <c r="B97" s="1" t="n">
        <v>43684</v>
      </c>
      <c r="C97" s="1" t="n">
        <v>45844</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45844</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45844</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45844</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45844</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45844</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45844</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45844</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45844</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45844</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45844</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45844</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45844</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45844</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45844</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45844</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33728-2025</t>
        </is>
      </c>
      <c r="B113" s="1" t="n">
        <v>45842</v>
      </c>
      <c r="C113" s="1" t="n">
        <v>45844</v>
      </c>
      <c r="D113" t="inlineStr">
        <is>
          <t>GOTLANDS LÄN</t>
        </is>
      </c>
      <c r="E113" t="inlineStr">
        <is>
          <t>GOTLAND</t>
        </is>
      </c>
      <c r="G113" t="n">
        <v>9.5</v>
      </c>
      <c r="H113" t="n">
        <v>0</v>
      </c>
      <c r="I113" t="n">
        <v>2</v>
      </c>
      <c r="J113" t="n">
        <v>0</v>
      </c>
      <c r="K113" t="n">
        <v>2</v>
      </c>
      <c r="L113" t="n">
        <v>1</v>
      </c>
      <c r="M113" t="n">
        <v>0</v>
      </c>
      <c r="N113" t="n">
        <v>0</v>
      </c>
      <c r="O113" t="n">
        <v>3</v>
      </c>
      <c r="P113" t="n">
        <v>3</v>
      </c>
      <c r="Q113" t="n">
        <v>5</v>
      </c>
      <c r="R113" s="2" t="inlineStr">
        <is>
          <t>Sienamusseron
Läderdoftande fingersvamp
Mörkfjällig olivspindling
Olivspindling
Svavelriska</t>
        </is>
      </c>
      <c r="S113">
        <f>HYPERLINK("https://klasma.github.io/Logging_090980/artfynd/A 33728-2025 artfynd.xlsx", "A 33728-2025")</f>
        <v/>
      </c>
      <c r="T113">
        <f>HYPERLINK("https://klasma.github.io/Logging_090980/kartor/A 33728-2025 karta.png", "A 33728-2025")</f>
        <v/>
      </c>
      <c r="V113">
        <f>HYPERLINK("https://klasma.github.io/Logging_090980/klagomål/A 33728-2025 FSC-klagomål.docx", "A 33728-2025")</f>
        <v/>
      </c>
      <c r="W113">
        <f>HYPERLINK("https://klasma.github.io/Logging_090980/klagomålsmail/A 33728-2025 FSC-klagomål mail.docx", "A 33728-2025")</f>
        <v/>
      </c>
      <c r="X113">
        <f>HYPERLINK("https://klasma.github.io/Logging_090980/tillsyn/A 33728-2025 tillsynsbegäran.docx", "A 33728-2025")</f>
        <v/>
      </c>
      <c r="Y113">
        <f>HYPERLINK("https://klasma.github.io/Logging_090980/tillsynsmail/A 33728-2025 tillsynsbegäran mail.docx", "A 33728-2025")</f>
        <v/>
      </c>
    </row>
    <row r="114" ht="15" customHeight="1">
      <c r="A114" t="inlineStr">
        <is>
          <t>A 21537-2019</t>
        </is>
      </c>
      <c r="B114" s="1" t="n">
        <v>43580</v>
      </c>
      <c r="C114" s="1" t="n">
        <v>45844</v>
      </c>
      <c r="D114" t="inlineStr">
        <is>
          <t>GOTLANDS LÄN</t>
        </is>
      </c>
      <c r="E114" t="inlineStr">
        <is>
          <t>GOTLAND</t>
        </is>
      </c>
      <c r="G114" t="n">
        <v>5.3</v>
      </c>
      <c r="H114" t="n">
        <v>1</v>
      </c>
      <c r="I114" t="n">
        <v>4</v>
      </c>
      <c r="J114" t="n">
        <v>0</v>
      </c>
      <c r="K114" t="n">
        <v>0</v>
      </c>
      <c r="L114" t="n">
        <v>0</v>
      </c>
      <c r="M114" t="n">
        <v>0</v>
      </c>
      <c r="N114" t="n">
        <v>0</v>
      </c>
      <c r="O114" t="n">
        <v>0</v>
      </c>
      <c r="P114" t="n">
        <v>0</v>
      </c>
      <c r="Q114" t="n">
        <v>4</v>
      </c>
      <c r="R114" s="2" t="inlineStr">
        <is>
          <t>Blåmossa
Granbarkgnagare
Kattfotslav
Tvåblad</t>
        </is>
      </c>
      <c r="S114">
        <f>HYPERLINK("https://klasma.github.io/Logging_0980/artfynd/A 21537-2019 artfynd.xlsx", "A 21537-2019")</f>
        <v/>
      </c>
      <c r="T114">
        <f>HYPERLINK("https://klasma.github.io/Logging_0980/kartor/A 21537-2019 karta.png", "A 21537-2019")</f>
        <v/>
      </c>
      <c r="V114">
        <f>HYPERLINK("https://klasma.github.io/Logging_0980/klagomål/A 21537-2019 FSC-klagomål.docx", "A 21537-2019")</f>
        <v/>
      </c>
      <c r="W114">
        <f>HYPERLINK("https://klasma.github.io/Logging_0980/klagomålsmail/A 21537-2019 FSC-klagomål mail.docx", "A 21537-2019")</f>
        <v/>
      </c>
      <c r="X114">
        <f>HYPERLINK("https://klasma.github.io/Logging_0980/tillsyn/A 21537-2019 tillsynsbegäran.docx", "A 21537-2019")</f>
        <v/>
      </c>
      <c r="Y114">
        <f>HYPERLINK("https://klasma.github.io/Logging_0980/tillsynsmail/A 21537-2019 tillsynsbegäran mail.docx", "A 21537-2019")</f>
        <v/>
      </c>
    </row>
    <row r="115" ht="15" customHeight="1">
      <c r="A115" t="inlineStr">
        <is>
          <t>A 39839-2019</t>
        </is>
      </c>
      <c r="B115" s="1" t="n">
        <v>43689</v>
      </c>
      <c r="C115" s="1" t="n">
        <v>45844</v>
      </c>
      <c r="D115" t="inlineStr">
        <is>
          <t>GOTLANDS LÄN</t>
        </is>
      </c>
      <c r="E115" t="inlineStr">
        <is>
          <t>GOTLAND</t>
        </is>
      </c>
      <c r="G115" t="n">
        <v>18.9</v>
      </c>
      <c r="H115" t="n">
        <v>1</v>
      </c>
      <c r="I115" t="n">
        <v>1</v>
      </c>
      <c r="J115" t="n">
        <v>3</v>
      </c>
      <c r="K115" t="n">
        <v>0</v>
      </c>
      <c r="L115" t="n">
        <v>0</v>
      </c>
      <c r="M115" t="n">
        <v>0</v>
      </c>
      <c r="N115" t="n">
        <v>0</v>
      </c>
      <c r="O115" t="n">
        <v>3</v>
      </c>
      <c r="P115" t="n">
        <v>0</v>
      </c>
      <c r="Q115" t="n">
        <v>4</v>
      </c>
      <c r="R115" s="2" t="inlineStr">
        <is>
          <t>Apollofjäril
Hårig blombock
Sexfläckig bastardsvärmare
Åttafläckig praktbagge</t>
        </is>
      </c>
      <c r="S115">
        <f>HYPERLINK("https://klasma.github.io/Logging_0980/artfynd/A 39839-2019 artfynd.xlsx", "A 39839-2019")</f>
        <v/>
      </c>
      <c r="T115">
        <f>HYPERLINK("https://klasma.github.io/Logging_0980/kartor/A 39839-2019 karta.png", "A 39839-2019")</f>
        <v/>
      </c>
      <c r="V115">
        <f>HYPERLINK("https://klasma.github.io/Logging_0980/klagomål/A 39839-2019 FSC-klagomål.docx", "A 39839-2019")</f>
        <v/>
      </c>
      <c r="W115">
        <f>HYPERLINK("https://klasma.github.io/Logging_0980/klagomålsmail/A 39839-2019 FSC-klagomål mail.docx", "A 39839-2019")</f>
        <v/>
      </c>
      <c r="X115">
        <f>HYPERLINK("https://klasma.github.io/Logging_0980/tillsyn/A 39839-2019 tillsynsbegäran.docx", "A 39839-2019")</f>
        <v/>
      </c>
      <c r="Y115">
        <f>HYPERLINK("https://klasma.github.io/Logging_0980/tillsynsmail/A 39839-2019 tillsynsbegäran mail.docx", "A 39839-2019")</f>
        <v/>
      </c>
    </row>
    <row r="116" ht="15" customHeight="1">
      <c r="A116" t="inlineStr">
        <is>
          <t>A 64378-2020</t>
        </is>
      </c>
      <c r="B116" s="1" t="n">
        <v>44168</v>
      </c>
      <c r="C116" s="1" t="n">
        <v>45844</v>
      </c>
      <c r="D116" t="inlineStr">
        <is>
          <t>GOTLANDS LÄN</t>
        </is>
      </c>
      <c r="E116" t="inlineStr">
        <is>
          <t>GOTLAND</t>
        </is>
      </c>
      <c r="G116" t="n">
        <v>2.1</v>
      </c>
      <c r="H116" t="n">
        <v>0</v>
      </c>
      <c r="I116" t="n">
        <v>1</v>
      </c>
      <c r="J116" t="n">
        <v>0</v>
      </c>
      <c r="K116" t="n">
        <v>2</v>
      </c>
      <c r="L116" t="n">
        <v>1</v>
      </c>
      <c r="M116" t="n">
        <v>0</v>
      </c>
      <c r="N116" t="n">
        <v>0</v>
      </c>
      <c r="O116" t="n">
        <v>3</v>
      </c>
      <c r="P116" t="n">
        <v>3</v>
      </c>
      <c r="Q116" t="n">
        <v>4</v>
      </c>
      <c r="R116" s="2" t="inlineStr">
        <is>
          <t>Sienamusseron
Bitter taggsvamp
Duvspindling
Fjällig taggsvamp s.str.</t>
        </is>
      </c>
      <c r="S116">
        <f>HYPERLINK("https://klasma.github.io/Logging_0980/artfynd/A 64378-2020 artfynd.xlsx", "A 64378-2020")</f>
        <v/>
      </c>
      <c r="T116">
        <f>HYPERLINK("https://klasma.github.io/Logging_0980/kartor/A 64378-2020 karta.png", "A 64378-2020")</f>
        <v/>
      </c>
      <c r="V116">
        <f>HYPERLINK("https://klasma.github.io/Logging_0980/klagomål/A 64378-2020 FSC-klagomål.docx", "A 64378-2020")</f>
        <v/>
      </c>
      <c r="W116">
        <f>HYPERLINK("https://klasma.github.io/Logging_0980/klagomålsmail/A 64378-2020 FSC-klagomål mail.docx", "A 64378-2020")</f>
        <v/>
      </c>
      <c r="X116">
        <f>HYPERLINK("https://klasma.github.io/Logging_0980/tillsyn/A 64378-2020 tillsynsbegäran.docx", "A 64378-2020")</f>
        <v/>
      </c>
      <c r="Y116">
        <f>HYPERLINK("https://klasma.github.io/Logging_0980/tillsynsmail/A 64378-2020 tillsynsbegäran mail.docx", "A 64378-2020")</f>
        <v/>
      </c>
    </row>
    <row r="117" ht="15" customHeight="1">
      <c r="A117" t="inlineStr">
        <is>
          <t>A 2223-2021</t>
        </is>
      </c>
      <c r="B117" s="1" t="n">
        <v>44211</v>
      </c>
      <c r="C117" s="1" t="n">
        <v>45844</v>
      </c>
      <c r="D117" t="inlineStr">
        <is>
          <t>GOTLANDS LÄN</t>
        </is>
      </c>
      <c r="E117" t="inlineStr">
        <is>
          <t>GOTLAND</t>
        </is>
      </c>
      <c r="G117" t="n">
        <v>2.2</v>
      </c>
      <c r="H117" t="n">
        <v>2</v>
      </c>
      <c r="I117" t="n">
        <v>4</v>
      </c>
      <c r="J117" t="n">
        <v>0</v>
      </c>
      <c r="K117" t="n">
        <v>0</v>
      </c>
      <c r="L117" t="n">
        <v>0</v>
      </c>
      <c r="M117" t="n">
        <v>0</v>
      </c>
      <c r="N117" t="n">
        <v>0</v>
      </c>
      <c r="O117" t="n">
        <v>0</v>
      </c>
      <c r="P117" t="n">
        <v>0</v>
      </c>
      <c r="Q117" t="n">
        <v>4</v>
      </c>
      <c r="R117" s="2" t="inlineStr">
        <is>
          <t>Blåmossa
Granbarkgnagare
Nästrot
Tvåblad</t>
        </is>
      </c>
      <c r="S117">
        <f>HYPERLINK("https://klasma.github.io/Logging_0980/artfynd/A 2223-2021 artfynd.xlsx", "A 2223-2021")</f>
        <v/>
      </c>
      <c r="T117">
        <f>HYPERLINK("https://klasma.github.io/Logging_0980/kartor/A 2223-2021 karta.png", "A 2223-2021")</f>
        <v/>
      </c>
      <c r="V117">
        <f>HYPERLINK("https://klasma.github.io/Logging_0980/klagomål/A 2223-2021 FSC-klagomål.docx", "A 2223-2021")</f>
        <v/>
      </c>
      <c r="W117">
        <f>HYPERLINK("https://klasma.github.io/Logging_0980/klagomålsmail/A 2223-2021 FSC-klagomål mail.docx", "A 2223-2021")</f>
        <v/>
      </c>
      <c r="X117">
        <f>HYPERLINK("https://klasma.github.io/Logging_0980/tillsyn/A 2223-2021 tillsynsbegäran.docx", "A 2223-2021")</f>
        <v/>
      </c>
      <c r="Y117">
        <f>HYPERLINK("https://klasma.github.io/Logging_0980/tillsynsmail/A 2223-2021 tillsynsbegäran mail.docx", "A 2223-2021")</f>
        <v/>
      </c>
    </row>
    <row r="118" ht="15" customHeight="1">
      <c r="A118" t="inlineStr">
        <is>
          <t>A 29331-2021</t>
        </is>
      </c>
      <c r="B118" s="1" t="n">
        <v>44361</v>
      </c>
      <c r="C118" s="1" t="n">
        <v>45844</v>
      </c>
      <c r="D118" t="inlineStr">
        <is>
          <t>GOTLANDS LÄN</t>
        </is>
      </c>
      <c r="E118" t="inlineStr">
        <is>
          <t>GOTLAND</t>
        </is>
      </c>
      <c r="G118" t="n">
        <v>3.7</v>
      </c>
      <c r="H118" t="n">
        <v>1</v>
      </c>
      <c r="I118" t="n">
        <v>4</v>
      </c>
      <c r="J118" t="n">
        <v>0</v>
      </c>
      <c r="K118" t="n">
        <v>0</v>
      </c>
      <c r="L118" t="n">
        <v>0</v>
      </c>
      <c r="M118" t="n">
        <v>0</v>
      </c>
      <c r="N118" t="n">
        <v>0</v>
      </c>
      <c r="O118" t="n">
        <v>0</v>
      </c>
      <c r="P118" t="n">
        <v>0</v>
      </c>
      <c r="Q118" t="n">
        <v>4</v>
      </c>
      <c r="R118" s="2" t="inlineStr">
        <is>
          <t>Blåmossa
Granbarkgnagare
Kattfotslav
Tvåblad</t>
        </is>
      </c>
      <c r="S118">
        <f>HYPERLINK("https://klasma.github.io/Logging_0980/artfynd/A 29331-2021 artfynd.xlsx", "A 29331-2021")</f>
        <v/>
      </c>
      <c r="T118">
        <f>HYPERLINK("https://klasma.github.io/Logging_0980/kartor/A 29331-2021 karta.png", "A 29331-2021")</f>
        <v/>
      </c>
      <c r="V118">
        <f>HYPERLINK("https://klasma.github.io/Logging_0980/klagomål/A 29331-2021 FSC-klagomål.docx", "A 29331-2021")</f>
        <v/>
      </c>
      <c r="W118">
        <f>HYPERLINK("https://klasma.github.io/Logging_0980/klagomålsmail/A 29331-2021 FSC-klagomål mail.docx", "A 29331-2021")</f>
        <v/>
      </c>
      <c r="X118">
        <f>HYPERLINK("https://klasma.github.io/Logging_0980/tillsyn/A 29331-2021 tillsynsbegäran.docx", "A 29331-2021")</f>
        <v/>
      </c>
      <c r="Y118">
        <f>HYPERLINK("https://klasma.github.io/Logging_0980/tillsynsmail/A 29331-2021 tillsynsbegäran mail.docx", "A 29331-2021")</f>
        <v/>
      </c>
    </row>
    <row r="119" ht="15" customHeight="1">
      <c r="A119" t="inlineStr">
        <is>
          <t>A 58821-2021</t>
        </is>
      </c>
      <c r="B119" s="1" t="n">
        <v>44489</v>
      </c>
      <c r="C119" s="1" t="n">
        <v>45844</v>
      </c>
      <c r="D119" t="inlineStr">
        <is>
          <t>GOTLANDS LÄN</t>
        </is>
      </c>
      <c r="E119" t="inlineStr">
        <is>
          <t>GOTLAND</t>
        </is>
      </c>
      <c r="G119" t="n">
        <v>2.5</v>
      </c>
      <c r="H119" t="n">
        <v>3</v>
      </c>
      <c r="I119" t="n">
        <v>1</v>
      </c>
      <c r="J119" t="n">
        <v>3</v>
      </c>
      <c r="K119" t="n">
        <v>0</v>
      </c>
      <c r="L119" t="n">
        <v>0</v>
      </c>
      <c r="M119" t="n">
        <v>0</v>
      </c>
      <c r="N119" t="n">
        <v>0</v>
      </c>
      <c r="O119" t="n">
        <v>3</v>
      </c>
      <c r="P119" t="n">
        <v>0</v>
      </c>
      <c r="Q119" t="n">
        <v>4</v>
      </c>
      <c r="R119" s="2" t="inlineStr">
        <is>
          <t>Apollofjäril
Fläckig glansspinnare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44933-2022</t>
        </is>
      </c>
      <c r="B120" s="1" t="n">
        <v>44841</v>
      </c>
      <c r="C120" s="1" t="n">
        <v>45844</v>
      </c>
      <c r="D120" t="inlineStr">
        <is>
          <t>GOTLANDS LÄN</t>
        </is>
      </c>
      <c r="E120" t="inlineStr">
        <is>
          <t>GOTLAND</t>
        </is>
      </c>
      <c r="G120" t="n">
        <v>4.5</v>
      </c>
      <c r="H120" t="n">
        <v>1</v>
      </c>
      <c r="I120" t="n">
        <v>2</v>
      </c>
      <c r="J120" t="n">
        <v>2</v>
      </c>
      <c r="K120" t="n">
        <v>0</v>
      </c>
      <c r="L120" t="n">
        <v>0</v>
      </c>
      <c r="M120" t="n">
        <v>0</v>
      </c>
      <c r="N120" t="n">
        <v>0</v>
      </c>
      <c r="O120" t="n">
        <v>2</v>
      </c>
      <c r="P120" t="n">
        <v>0</v>
      </c>
      <c r="Q120" t="n">
        <v>4</v>
      </c>
      <c r="R120" s="2" t="inlineStr">
        <is>
          <t>Ekvaxskivling
Odörspindling
Skarp dropptaggsvamp
Skogsknipprot</t>
        </is>
      </c>
      <c r="S120">
        <f>HYPERLINK("https://klasma.github.io/Logging_0980/artfynd/A 44933-2022 artfynd.xlsx", "A 44933-2022")</f>
        <v/>
      </c>
      <c r="T120">
        <f>HYPERLINK("https://klasma.github.io/Logging_0980/kartor/A 44933-2022 karta.png", "A 44933-2022")</f>
        <v/>
      </c>
      <c r="V120">
        <f>HYPERLINK("https://klasma.github.io/Logging_0980/klagomål/A 44933-2022 FSC-klagomål.docx", "A 44933-2022")</f>
        <v/>
      </c>
      <c r="W120">
        <f>HYPERLINK("https://klasma.github.io/Logging_0980/klagomålsmail/A 44933-2022 FSC-klagomål mail.docx", "A 44933-2022")</f>
        <v/>
      </c>
      <c r="X120">
        <f>HYPERLINK("https://klasma.github.io/Logging_0980/tillsyn/A 44933-2022 tillsynsbegäran.docx", "A 44933-2022")</f>
        <v/>
      </c>
      <c r="Y120">
        <f>HYPERLINK("https://klasma.github.io/Logging_0980/tillsynsmail/A 44933-2022 tillsynsbegäran mail.docx", "A 44933-2022")</f>
        <v/>
      </c>
    </row>
    <row r="121" ht="15" customHeight="1">
      <c r="A121" t="inlineStr">
        <is>
          <t>A 47526-2022</t>
        </is>
      </c>
      <c r="B121" s="1" t="n">
        <v>44853</v>
      </c>
      <c r="C121" s="1" t="n">
        <v>45844</v>
      </c>
      <c r="D121" t="inlineStr">
        <is>
          <t>GOTLANDS LÄN</t>
        </is>
      </c>
      <c r="E121" t="inlineStr">
        <is>
          <t>GOTLAND</t>
        </is>
      </c>
      <c r="G121" t="n">
        <v>9.800000000000001</v>
      </c>
      <c r="H121" t="n">
        <v>3</v>
      </c>
      <c r="I121" t="n">
        <v>0</v>
      </c>
      <c r="J121" t="n">
        <v>2</v>
      </c>
      <c r="K121" t="n">
        <v>0</v>
      </c>
      <c r="L121" t="n">
        <v>0</v>
      </c>
      <c r="M121" t="n">
        <v>0</v>
      </c>
      <c r="N121" t="n">
        <v>0</v>
      </c>
      <c r="O121" t="n">
        <v>2</v>
      </c>
      <c r="P121" t="n">
        <v>0</v>
      </c>
      <c r="Q121" t="n">
        <v>4</v>
      </c>
      <c r="R121" s="2" t="inlineStr">
        <is>
          <t>Dårgräsfjäril
Svinrot
Sankt pers nycklar
Blåsippa</t>
        </is>
      </c>
      <c r="S121">
        <f>HYPERLINK("https://klasma.github.io/Logging_0980/artfynd/A 47526-2022 artfynd.xlsx", "A 47526-2022")</f>
        <v/>
      </c>
      <c r="T121">
        <f>HYPERLINK("https://klasma.github.io/Logging_0980/kartor/A 47526-2022 karta.png", "A 47526-2022")</f>
        <v/>
      </c>
      <c r="V121">
        <f>HYPERLINK("https://klasma.github.io/Logging_0980/klagomål/A 47526-2022 FSC-klagomål.docx", "A 47526-2022")</f>
        <v/>
      </c>
      <c r="W121">
        <f>HYPERLINK("https://klasma.github.io/Logging_0980/klagomålsmail/A 47526-2022 FSC-klagomål mail.docx", "A 47526-2022")</f>
        <v/>
      </c>
      <c r="X121">
        <f>HYPERLINK("https://klasma.github.io/Logging_0980/tillsyn/A 47526-2022 tillsynsbegäran.docx", "A 47526-2022")</f>
        <v/>
      </c>
      <c r="Y121">
        <f>HYPERLINK("https://klasma.github.io/Logging_0980/tillsynsmail/A 47526-2022 tillsynsbegäran mail.docx", "A 47526-2022")</f>
        <v/>
      </c>
    </row>
    <row r="122" ht="15" customHeight="1">
      <c r="A122" t="inlineStr">
        <is>
          <t>A 186-2023</t>
        </is>
      </c>
      <c r="B122" s="1" t="n">
        <v>44928</v>
      </c>
      <c r="C122" s="1" t="n">
        <v>45844</v>
      </c>
      <c r="D122" t="inlineStr">
        <is>
          <t>GOTLANDS LÄN</t>
        </is>
      </c>
      <c r="E122" t="inlineStr">
        <is>
          <t>GOTLAND</t>
        </is>
      </c>
      <c r="G122" t="n">
        <v>2.2</v>
      </c>
      <c r="H122" t="n">
        <v>2</v>
      </c>
      <c r="I122" t="n">
        <v>2</v>
      </c>
      <c r="J122" t="n">
        <v>0</v>
      </c>
      <c r="K122" t="n">
        <v>2</v>
      </c>
      <c r="L122" t="n">
        <v>0</v>
      </c>
      <c r="M122" t="n">
        <v>0</v>
      </c>
      <c r="N122" t="n">
        <v>0</v>
      </c>
      <c r="O122" t="n">
        <v>2</v>
      </c>
      <c r="P122" t="n">
        <v>2</v>
      </c>
      <c r="Q122" t="n">
        <v>4</v>
      </c>
      <c r="R122" s="2" t="inlineStr">
        <is>
          <t>Svartgrön spindling
Vit taggsvamp
Nästrot
Skogsknipprot</t>
        </is>
      </c>
      <c r="S122">
        <f>HYPERLINK("https://klasma.github.io/Logging_0980/artfynd/A 186-2023 artfynd.xlsx", "A 186-2023")</f>
        <v/>
      </c>
      <c r="T122">
        <f>HYPERLINK("https://klasma.github.io/Logging_0980/kartor/A 186-2023 karta.png", "A 186-2023")</f>
        <v/>
      </c>
      <c r="V122">
        <f>HYPERLINK("https://klasma.github.io/Logging_0980/klagomål/A 186-2023 FSC-klagomål.docx", "A 186-2023")</f>
        <v/>
      </c>
      <c r="W122">
        <f>HYPERLINK("https://klasma.github.io/Logging_0980/klagomålsmail/A 186-2023 FSC-klagomål mail.docx", "A 186-2023")</f>
        <v/>
      </c>
      <c r="X122">
        <f>HYPERLINK("https://klasma.github.io/Logging_0980/tillsyn/A 186-2023 tillsynsbegäran.docx", "A 186-2023")</f>
        <v/>
      </c>
      <c r="Y122">
        <f>HYPERLINK("https://klasma.github.io/Logging_0980/tillsynsmail/A 186-2023 tillsynsbegäran mail.docx", "A 186-2023")</f>
        <v/>
      </c>
    </row>
    <row r="123" ht="15" customHeight="1">
      <c r="A123" t="inlineStr">
        <is>
          <t>A 584-2023</t>
        </is>
      </c>
      <c r="B123" s="1" t="n">
        <v>44930</v>
      </c>
      <c r="C123" s="1" t="n">
        <v>45844</v>
      </c>
      <c r="D123" t="inlineStr">
        <is>
          <t>GOTLANDS LÄN</t>
        </is>
      </c>
      <c r="E123" t="inlineStr">
        <is>
          <t>GOTLAND</t>
        </is>
      </c>
      <c r="G123" t="n">
        <v>27.2</v>
      </c>
      <c r="H123" t="n">
        <v>0</v>
      </c>
      <c r="I123" t="n">
        <v>2</v>
      </c>
      <c r="J123" t="n">
        <v>1</v>
      </c>
      <c r="K123" t="n">
        <v>1</v>
      </c>
      <c r="L123" t="n">
        <v>0</v>
      </c>
      <c r="M123" t="n">
        <v>0</v>
      </c>
      <c r="N123" t="n">
        <v>0</v>
      </c>
      <c r="O123" t="n">
        <v>2</v>
      </c>
      <c r="P123" t="n">
        <v>1</v>
      </c>
      <c r="Q123" t="n">
        <v>4</v>
      </c>
      <c r="R123" s="2" t="inlineStr">
        <is>
          <t>Granrotsspindling
Denisespindling
Rödgul trumpetsvamp
Vågbandad barkbock</t>
        </is>
      </c>
      <c r="S123">
        <f>HYPERLINK("https://klasma.github.io/Logging_0980/artfynd/A 584-2023 artfynd.xlsx", "A 584-2023")</f>
        <v/>
      </c>
      <c r="T123">
        <f>HYPERLINK("https://klasma.github.io/Logging_0980/kartor/A 584-2023 karta.png", "A 584-2023")</f>
        <v/>
      </c>
      <c r="V123">
        <f>HYPERLINK("https://klasma.github.io/Logging_0980/klagomål/A 584-2023 FSC-klagomål.docx", "A 584-2023")</f>
        <v/>
      </c>
      <c r="W123">
        <f>HYPERLINK("https://klasma.github.io/Logging_0980/klagomålsmail/A 584-2023 FSC-klagomål mail.docx", "A 584-2023")</f>
        <v/>
      </c>
      <c r="X123">
        <f>HYPERLINK("https://klasma.github.io/Logging_0980/tillsyn/A 584-2023 tillsynsbegäran.docx", "A 584-2023")</f>
        <v/>
      </c>
      <c r="Y123">
        <f>HYPERLINK("https://klasma.github.io/Logging_0980/tillsynsmail/A 584-2023 tillsynsbegäran mail.docx", "A 584-2023")</f>
        <v/>
      </c>
    </row>
    <row r="124" ht="15" customHeight="1">
      <c r="A124" t="inlineStr">
        <is>
          <t>A 1971-2023</t>
        </is>
      </c>
      <c r="B124" s="1" t="n">
        <v>44939</v>
      </c>
      <c r="C124" s="1" t="n">
        <v>45844</v>
      </c>
      <c r="D124" t="inlineStr">
        <is>
          <t>GOTLANDS LÄN</t>
        </is>
      </c>
      <c r="E124" t="inlineStr">
        <is>
          <t>GOTLAND</t>
        </is>
      </c>
      <c r="G124" t="n">
        <v>5.5</v>
      </c>
      <c r="H124" t="n">
        <v>0</v>
      </c>
      <c r="I124" t="n">
        <v>2</v>
      </c>
      <c r="J124" t="n">
        <v>1</v>
      </c>
      <c r="K124" t="n">
        <v>1</v>
      </c>
      <c r="L124" t="n">
        <v>0</v>
      </c>
      <c r="M124" t="n">
        <v>0</v>
      </c>
      <c r="N124" t="n">
        <v>0</v>
      </c>
      <c r="O124" t="n">
        <v>2</v>
      </c>
      <c r="P124" t="n">
        <v>1</v>
      </c>
      <c r="Q124" t="n">
        <v>4</v>
      </c>
      <c r="R124" s="2" t="inlineStr">
        <is>
          <t>Gulsträngad fagerspindling
Svinrot
Fjällig taggsvamp s.str.
Olivspindling</t>
        </is>
      </c>
      <c r="S124">
        <f>HYPERLINK("https://klasma.github.io/Logging_0980/artfynd/A 1971-2023 artfynd.xlsx", "A 1971-2023")</f>
        <v/>
      </c>
      <c r="T124">
        <f>HYPERLINK("https://klasma.github.io/Logging_0980/kartor/A 1971-2023 karta.png", "A 1971-2023")</f>
        <v/>
      </c>
      <c r="V124">
        <f>HYPERLINK("https://klasma.github.io/Logging_0980/klagomål/A 1971-2023 FSC-klagomål.docx", "A 1971-2023")</f>
        <v/>
      </c>
      <c r="W124">
        <f>HYPERLINK("https://klasma.github.io/Logging_0980/klagomålsmail/A 1971-2023 FSC-klagomål mail.docx", "A 1971-2023")</f>
        <v/>
      </c>
      <c r="X124">
        <f>HYPERLINK("https://klasma.github.io/Logging_0980/tillsyn/A 1971-2023 tillsynsbegäran.docx", "A 1971-2023")</f>
        <v/>
      </c>
      <c r="Y124">
        <f>HYPERLINK("https://klasma.github.io/Logging_0980/tillsynsmail/A 1971-2023 tillsynsbegäran mail.docx", "A 1971-2023")</f>
        <v/>
      </c>
    </row>
    <row r="125" ht="15" customHeight="1">
      <c r="A125" t="inlineStr">
        <is>
          <t>A 6159-2023</t>
        </is>
      </c>
      <c r="B125" s="1" t="n">
        <v>44964</v>
      </c>
      <c r="C125" s="1" t="n">
        <v>45844</v>
      </c>
      <c r="D125" t="inlineStr">
        <is>
          <t>GOTLANDS LÄN</t>
        </is>
      </c>
      <c r="E125" t="inlineStr">
        <is>
          <t>GOTLAND</t>
        </is>
      </c>
      <c r="G125" t="n">
        <v>2</v>
      </c>
      <c r="H125" t="n">
        <v>0</v>
      </c>
      <c r="I125" t="n">
        <v>2</v>
      </c>
      <c r="J125" t="n">
        <v>2</v>
      </c>
      <c r="K125" t="n">
        <v>0</v>
      </c>
      <c r="L125" t="n">
        <v>0</v>
      </c>
      <c r="M125" t="n">
        <v>0</v>
      </c>
      <c r="N125" t="n">
        <v>0</v>
      </c>
      <c r="O125" t="n">
        <v>2</v>
      </c>
      <c r="P125" t="n">
        <v>0</v>
      </c>
      <c r="Q125" t="n">
        <v>4</v>
      </c>
      <c r="R125" s="2" t="inlineStr">
        <is>
          <t>Dofttaggsvamp
Odörspindling
Anisspindling
Olivspindling</t>
        </is>
      </c>
      <c r="S125">
        <f>HYPERLINK("https://klasma.github.io/Logging_0980/artfynd/A 6159-2023 artfynd.xlsx", "A 6159-2023")</f>
        <v/>
      </c>
      <c r="T125">
        <f>HYPERLINK("https://klasma.github.io/Logging_0980/kartor/A 6159-2023 karta.png", "A 6159-2023")</f>
        <v/>
      </c>
      <c r="V125">
        <f>HYPERLINK("https://klasma.github.io/Logging_0980/klagomål/A 6159-2023 FSC-klagomål.docx", "A 6159-2023")</f>
        <v/>
      </c>
      <c r="W125">
        <f>HYPERLINK("https://klasma.github.io/Logging_0980/klagomålsmail/A 6159-2023 FSC-klagomål mail.docx", "A 6159-2023")</f>
        <v/>
      </c>
      <c r="X125">
        <f>HYPERLINK("https://klasma.github.io/Logging_0980/tillsyn/A 6159-2023 tillsynsbegäran.docx", "A 6159-2023")</f>
        <v/>
      </c>
      <c r="Y125">
        <f>HYPERLINK("https://klasma.github.io/Logging_0980/tillsynsmail/A 6159-2023 tillsynsbegäran mail.docx", "A 6159-2023")</f>
        <v/>
      </c>
    </row>
    <row r="126" ht="15" customHeight="1">
      <c r="A126" t="inlineStr">
        <is>
          <t>A 8265-2023</t>
        </is>
      </c>
      <c r="B126" s="1" t="n">
        <v>44974</v>
      </c>
      <c r="C126" s="1" t="n">
        <v>45844</v>
      </c>
      <c r="D126" t="inlineStr">
        <is>
          <t>GOTLANDS LÄN</t>
        </is>
      </c>
      <c r="E126" t="inlineStr">
        <is>
          <t>GOTLAND</t>
        </is>
      </c>
      <c r="G126" t="n">
        <v>3.3</v>
      </c>
      <c r="H126" t="n">
        <v>4</v>
      </c>
      <c r="I126" t="n">
        <v>3</v>
      </c>
      <c r="J126" t="n">
        <v>0</v>
      </c>
      <c r="K126" t="n">
        <v>0</v>
      </c>
      <c r="L126" t="n">
        <v>0</v>
      </c>
      <c r="M126" t="n">
        <v>0</v>
      </c>
      <c r="N126" t="n">
        <v>0</v>
      </c>
      <c r="O126" t="n">
        <v>0</v>
      </c>
      <c r="P126" t="n">
        <v>0</v>
      </c>
      <c r="Q126" t="n">
        <v>4</v>
      </c>
      <c r="R126" s="2" t="inlineStr">
        <is>
          <t>Flugblomster
Purpurknipprot
Tvåblad
Salepsrot</t>
        </is>
      </c>
      <c r="S126">
        <f>HYPERLINK("https://klasma.github.io/Logging_0980/artfynd/A 8265-2023 artfynd.xlsx", "A 8265-2023")</f>
        <v/>
      </c>
      <c r="T126">
        <f>HYPERLINK("https://klasma.github.io/Logging_0980/kartor/A 8265-2023 karta.png", "A 8265-2023")</f>
        <v/>
      </c>
      <c r="V126">
        <f>HYPERLINK("https://klasma.github.io/Logging_0980/klagomål/A 8265-2023 FSC-klagomål.docx", "A 8265-2023")</f>
        <v/>
      </c>
      <c r="W126">
        <f>HYPERLINK("https://klasma.github.io/Logging_0980/klagomålsmail/A 8265-2023 FSC-klagomål mail.docx", "A 8265-2023")</f>
        <v/>
      </c>
      <c r="X126">
        <f>HYPERLINK("https://klasma.github.io/Logging_0980/tillsyn/A 8265-2023 tillsynsbegäran.docx", "A 8265-2023")</f>
        <v/>
      </c>
      <c r="Y126">
        <f>HYPERLINK("https://klasma.github.io/Logging_0980/tillsynsmail/A 8265-2023 tillsynsbegäran mail.docx", "A 8265-2023")</f>
        <v/>
      </c>
    </row>
    <row r="127" ht="15" customHeight="1">
      <c r="A127" t="inlineStr">
        <is>
          <t>A 43197-2023</t>
        </is>
      </c>
      <c r="B127" s="1" t="n">
        <v>45183</v>
      </c>
      <c r="C127" s="1" t="n">
        <v>45844</v>
      </c>
      <c r="D127" t="inlineStr">
        <is>
          <t>GOTLANDS LÄN</t>
        </is>
      </c>
      <c r="E127" t="inlineStr">
        <is>
          <t>GOTLAND</t>
        </is>
      </c>
      <c r="G127" t="n">
        <v>3.7</v>
      </c>
      <c r="H127" t="n">
        <v>2</v>
      </c>
      <c r="I127" t="n">
        <v>1</v>
      </c>
      <c r="J127" t="n">
        <v>1</v>
      </c>
      <c r="K127" t="n">
        <v>1</v>
      </c>
      <c r="L127" t="n">
        <v>0</v>
      </c>
      <c r="M127" t="n">
        <v>0</v>
      </c>
      <c r="N127" t="n">
        <v>0</v>
      </c>
      <c r="O127" t="n">
        <v>2</v>
      </c>
      <c r="P127" t="n">
        <v>1</v>
      </c>
      <c r="Q127" t="n">
        <v>4</v>
      </c>
      <c r="R127" s="2" t="inlineStr">
        <is>
          <t>Allékantlav
Svinrot
Skogsknipprot
Revlummer</t>
        </is>
      </c>
      <c r="S127">
        <f>HYPERLINK("https://klasma.github.io/Logging_0980/artfynd/A 43197-2023 artfynd.xlsx", "A 43197-2023")</f>
        <v/>
      </c>
      <c r="T127">
        <f>HYPERLINK("https://klasma.github.io/Logging_0980/kartor/A 43197-2023 karta.png", "A 43197-2023")</f>
        <v/>
      </c>
      <c r="V127">
        <f>HYPERLINK("https://klasma.github.io/Logging_0980/klagomål/A 43197-2023 FSC-klagomål.docx", "A 43197-2023")</f>
        <v/>
      </c>
      <c r="W127">
        <f>HYPERLINK("https://klasma.github.io/Logging_0980/klagomålsmail/A 43197-2023 FSC-klagomål mail.docx", "A 43197-2023")</f>
        <v/>
      </c>
      <c r="X127">
        <f>HYPERLINK("https://klasma.github.io/Logging_0980/tillsyn/A 43197-2023 tillsynsbegäran.docx", "A 43197-2023")</f>
        <v/>
      </c>
      <c r="Y127">
        <f>HYPERLINK("https://klasma.github.io/Logging_0980/tillsynsmail/A 43197-2023 tillsynsbegäran mail.docx", "A 43197-2023")</f>
        <v/>
      </c>
    </row>
    <row r="128" ht="15" customHeight="1">
      <c r="A128" t="inlineStr">
        <is>
          <t>A 46969-2023</t>
        </is>
      </c>
      <c r="B128" s="1" t="n">
        <v>45195</v>
      </c>
      <c r="C128" s="1" t="n">
        <v>45844</v>
      </c>
      <c r="D128" t="inlineStr">
        <is>
          <t>GOTLANDS LÄN</t>
        </is>
      </c>
      <c r="E128" t="inlineStr">
        <is>
          <t>GOTLAND</t>
        </is>
      </c>
      <c r="G128" t="n">
        <v>7.3</v>
      </c>
      <c r="H128" t="n">
        <v>1</v>
      </c>
      <c r="I128" t="n">
        <v>1</v>
      </c>
      <c r="J128" t="n">
        <v>2</v>
      </c>
      <c r="K128" t="n">
        <v>0</v>
      </c>
      <c r="L128" t="n">
        <v>0</v>
      </c>
      <c r="M128" t="n">
        <v>0</v>
      </c>
      <c r="N128" t="n">
        <v>0</v>
      </c>
      <c r="O128" t="n">
        <v>2</v>
      </c>
      <c r="P128" t="n">
        <v>0</v>
      </c>
      <c r="Q128" t="n">
        <v>4</v>
      </c>
      <c r="R128" s="2" t="inlineStr">
        <is>
          <t>Backtimjan
Solvända
Svavelriska
Nattviol</t>
        </is>
      </c>
      <c r="S128">
        <f>HYPERLINK("https://klasma.github.io/Logging_0980/artfynd/A 46969-2023 artfynd.xlsx", "A 46969-2023")</f>
        <v/>
      </c>
      <c r="T128">
        <f>HYPERLINK("https://klasma.github.io/Logging_0980/kartor/A 46969-2023 karta.png", "A 46969-2023")</f>
        <v/>
      </c>
      <c r="V128">
        <f>HYPERLINK("https://klasma.github.io/Logging_0980/klagomål/A 46969-2023 FSC-klagomål.docx", "A 46969-2023")</f>
        <v/>
      </c>
      <c r="W128">
        <f>HYPERLINK("https://klasma.github.io/Logging_0980/klagomålsmail/A 46969-2023 FSC-klagomål mail.docx", "A 46969-2023")</f>
        <v/>
      </c>
      <c r="X128">
        <f>HYPERLINK("https://klasma.github.io/Logging_0980/tillsyn/A 46969-2023 tillsynsbegäran.docx", "A 46969-2023")</f>
        <v/>
      </c>
      <c r="Y128">
        <f>HYPERLINK("https://klasma.github.io/Logging_0980/tillsynsmail/A 46969-2023 tillsynsbegäran mail.docx", "A 46969-2023")</f>
        <v/>
      </c>
    </row>
    <row r="129" ht="15" customHeight="1">
      <c r="A129" t="inlineStr">
        <is>
          <t>A 45682-2023</t>
        </is>
      </c>
      <c r="B129" s="1" t="n">
        <v>45195</v>
      </c>
      <c r="C129" s="1" t="n">
        <v>45844</v>
      </c>
      <c r="D129" t="inlineStr">
        <is>
          <t>GOTLANDS LÄN</t>
        </is>
      </c>
      <c r="E129" t="inlineStr">
        <is>
          <t>GOTLAND</t>
        </is>
      </c>
      <c r="G129" t="n">
        <v>13.9</v>
      </c>
      <c r="H129" t="n">
        <v>2</v>
      </c>
      <c r="I129" t="n">
        <v>2</v>
      </c>
      <c r="J129" t="n">
        <v>1</v>
      </c>
      <c r="K129" t="n">
        <v>0</v>
      </c>
      <c r="L129" t="n">
        <v>0</v>
      </c>
      <c r="M129" t="n">
        <v>0</v>
      </c>
      <c r="N129" t="n">
        <v>0</v>
      </c>
      <c r="O129" t="n">
        <v>1</v>
      </c>
      <c r="P129" t="n">
        <v>0</v>
      </c>
      <c r="Q129" t="n">
        <v>4</v>
      </c>
      <c r="R129" s="2" t="inlineStr">
        <is>
          <t>Loppstarr
Flugblomster
Kalktallört
Dactylorhiza incarnata subsp. incarnata</t>
        </is>
      </c>
      <c r="S129">
        <f>HYPERLINK("https://klasma.github.io/Logging_0980/artfynd/A 45682-2023 artfynd.xlsx", "A 45682-2023")</f>
        <v/>
      </c>
      <c r="T129">
        <f>HYPERLINK("https://klasma.github.io/Logging_0980/kartor/A 45682-2023 karta.png", "A 45682-2023")</f>
        <v/>
      </c>
      <c r="V129">
        <f>HYPERLINK("https://klasma.github.io/Logging_0980/klagomål/A 45682-2023 FSC-klagomål.docx", "A 45682-2023")</f>
        <v/>
      </c>
      <c r="W129">
        <f>HYPERLINK("https://klasma.github.io/Logging_0980/klagomålsmail/A 45682-2023 FSC-klagomål mail.docx", "A 45682-2023")</f>
        <v/>
      </c>
      <c r="X129">
        <f>HYPERLINK("https://klasma.github.io/Logging_0980/tillsyn/A 45682-2023 tillsynsbegäran.docx", "A 45682-2023")</f>
        <v/>
      </c>
      <c r="Y129">
        <f>HYPERLINK("https://klasma.github.io/Logging_0980/tillsynsmail/A 45682-2023 tillsynsbegäran mail.docx", "A 45682-2023")</f>
        <v/>
      </c>
    </row>
    <row r="130" ht="15" customHeight="1">
      <c r="A130" t="inlineStr">
        <is>
          <t>A 54523-2023</t>
        </is>
      </c>
      <c r="B130" s="1" t="n">
        <v>45233</v>
      </c>
      <c r="C130" s="1" t="n">
        <v>45844</v>
      </c>
      <c r="D130" t="inlineStr">
        <is>
          <t>GOTLANDS LÄN</t>
        </is>
      </c>
      <c r="E130" t="inlineStr">
        <is>
          <t>GOTLAND</t>
        </is>
      </c>
      <c r="G130" t="n">
        <v>3.7</v>
      </c>
      <c r="H130" t="n">
        <v>2</v>
      </c>
      <c r="I130" t="n">
        <v>0</v>
      </c>
      <c r="J130" t="n">
        <v>1</v>
      </c>
      <c r="K130" t="n">
        <v>1</v>
      </c>
      <c r="L130" t="n">
        <v>0</v>
      </c>
      <c r="M130" t="n">
        <v>0</v>
      </c>
      <c r="N130" t="n">
        <v>0</v>
      </c>
      <c r="O130" t="n">
        <v>2</v>
      </c>
      <c r="P130" t="n">
        <v>1</v>
      </c>
      <c r="Q130" t="n">
        <v>4</v>
      </c>
      <c r="R130" s="2" t="inlineStr">
        <is>
          <t>Sommarklynne
Åkerkulla
Brudsporre
Kärrknipprot</t>
        </is>
      </c>
      <c r="S130">
        <f>HYPERLINK("https://klasma.github.io/Logging_0980/artfynd/A 54523-2023 artfynd.xlsx", "A 54523-2023")</f>
        <v/>
      </c>
      <c r="T130">
        <f>HYPERLINK("https://klasma.github.io/Logging_0980/kartor/A 54523-2023 karta.png", "A 54523-2023")</f>
        <v/>
      </c>
      <c r="V130">
        <f>HYPERLINK("https://klasma.github.io/Logging_0980/klagomål/A 54523-2023 FSC-klagomål.docx", "A 54523-2023")</f>
        <v/>
      </c>
      <c r="W130">
        <f>HYPERLINK("https://klasma.github.io/Logging_0980/klagomålsmail/A 54523-2023 FSC-klagomål mail.docx", "A 54523-2023")</f>
        <v/>
      </c>
      <c r="X130">
        <f>HYPERLINK("https://klasma.github.io/Logging_0980/tillsyn/A 54523-2023 tillsynsbegäran.docx", "A 54523-2023")</f>
        <v/>
      </c>
      <c r="Y130">
        <f>HYPERLINK("https://klasma.github.io/Logging_0980/tillsynsmail/A 54523-2023 tillsynsbegäran mail.docx", "A 54523-2023")</f>
        <v/>
      </c>
    </row>
    <row r="131" ht="15" customHeight="1">
      <c r="A131" t="inlineStr">
        <is>
          <t>A 5904-2024</t>
        </is>
      </c>
      <c r="B131" s="1" t="n">
        <v>45335</v>
      </c>
      <c r="C131" s="1" t="n">
        <v>45844</v>
      </c>
      <c r="D131" t="inlineStr">
        <is>
          <t>GOTLANDS LÄN</t>
        </is>
      </c>
      <c r="E131" t="inlineStr">
        <is>
          <t>GOTLAND</t>
        </is>
      </c>
      <c r="G131" t="n">
        <v>6.4</v>
      </c>
      <c r="H131" t="n">
        <v>1</v>
      </c>
      <c r="I131" t="n">
        <v>2</v>
      </c>
      <c r="J131" t="n">
        <v>1</v>
      </c>
      <c r="K131" t="n">
        <v>0</v>
      </c>
      <c r="L131" t="n">
        <v>0</v>
      </c>
      <c r="M131" t="n">
        <v>0</v>
      </c>
      <c r="N131" t="n">
        <v>0</v>
      </c>
      <c r="O131" t="n">
        <v>1</v>
      </c>
      <c r="P131" t="n">
        <v>0</v>
      </c>
      <c r="Q131" t="n">
        <v>4</v>
      </c>
      <c r="R131" s="2" t="inlineStr">
        <is>
          <t>Backstarr
Blåmossa
Kattfotslav
Sankt pers nycklar</t>
        </is>
      </c>
      <c r="S131">
        <f>HYPERLINK("https://klasma.github.io/Logging_0980/artfynd/A 5904-2024 artfynd.xlsx", "A 5904-2024")</f>
        <v/>
      </c>
      <c r="T131">
        <f>HYPERLINK("https://klasma.github.io/Logging_0980/kartor/A 5904-2024 karta.png", "A 5904-2024")</f>
        <v/>
      </c>
      <c r="V131">
        <f>HYPERLINK("https://klasma.github.io/Logging_0980/klagomål/A 5904-2024 FSC-klagomål.docx", "A 5904-2024")</f>
        <v/>
      </c>
      <c r="W131">
        <f>HYPERLINK("https://klasma.github.io/Logging_0980/klagomålsmail/A 5904-2024 FSC-klagomål mail.docx", "A 5904-2024")</f>
        <v/>
      </c>
      <c r="X131">
        <f>HYPERLINK("https://klasma.github.io/Logging_0980/tillsyn/A 5904-2024 tillsynsbegäran.docx", "A 5904-2024")</f>
        <v/>
      </c>
      <c r="Y131">
        <f>HYPERLINK("https://klasma.github.io/Logging_0980/tillsynsmail/A 5904-2024 tillsynsbegäran mail.docx", "A 5904-2024")</f>
        <v/>
      </c>
    </row>
    <row r="132" ht="15" customHeight="1">
      <c r="A132" t="inlineStr">
        <is>
          <t>A 25768-2024</t>
        </is>
      </c>
      <c r="B132" s="1" t="n">
        <v>45466</v>
      </c>
      <c r="C132" s="1" t="n">
        <v>45844</v>
      </c>
      <c r="D132" t="inlineStr">
        <is>
          <t>GOTLANDS LÄN</t>
        </is>
      </c>
      <c r="E132" t="inlineStr">
        <is>
          <t>GOTLAND</t>
        </is>
      </c>
      <c r="G132" t="n">
        <v>4.6</v>
      </c>
      <c r="H132" t="n">
        <v>4</v>
      </c>
      <c r="I132" t="n">
        <v>2</v>
      </c>
      <c r="J132" t="n">
        <v>0</v>
      </c>
      <c r="K132" t="n">
        <v>0</v>
      </c>
      <c r="L132" t="n">
        <v>0</v>
      </c>
      <c r="M132" t="n">
        <v>0</v>
      </c>
      <c r="N132" t="n">
        <v>0</v>
      </c>
      <c r="O132" t="n">
        <v>0</v>
      </c>
      <c r="P132" t="n">
        <v>0</v>
      </c>
      <c r="Q132" t="n">
        <v>4</v>
      </c>
      <c r="R132" s="2" t="inlineStr">
        <is>
          <t>Nästrot
Tvåblad
Fläcknycklar
Nattviol</t>
        </is>
      </c>
      <c r="S132">
        <f>HYPERLINK("https://klasma.github.io/Logging_0980/artfynd/A 25768-2024 artfynd.xlsx", "A 25768-2024")</f>
        <v/>
      </c>
      <c r="T132">
        <f>HYPERLINK("https://klasma.github.io/Logging_0980/kartor/A 25768-2024 karta.png", "A 25768-2024")</f>
        <v/>
      </c>
      <c r="V132">
        <f>HYPERLINK("https://klasma.github.io/Logging_0980/klagomål/A 25768-2024 FSC-klagomål.docx", "A 25768-2024")</f>
        <v/>
      </c>
      <c r="W132">
        <f>HYPERLINK("https://klasma.github.io/Logging_0980/klagomålsmail/A 25768-2024 FSC-klagomål mail.docx", "A 25768-2024")</f>
        <v/>
      </c>
      <c r="X132">
        <f>HYPERLINK("https://klasma.github.io/Logging_0980/tillsyn/A 25768-2024 tillsynsbegäran.docx", "A 25768-2024")</f>
        <v/>
      </c>
      <c r="Y132">
        <f>HYPERLINK("https://klasma.github.io/Logging_0980/tillsynsmail/A 25768-2024 tillsynsbegäran mail.docx", "A 25768-2024")</f>
        <v/>
      </c>
    </row>
    <row r="133" ht="15" customHeight="1">
      <c r="A133" t="inlineStr">
        <is>
          <t>A 34171-2024</t>
        </is>
      </c>
      <c r="B133" s="1" t="n">
        <v>45524</v>
      </c>
      <c r="C133" s="1" t="n">
        <v>45844</v>
      </c>
      <c r="D133" t="inlineStr">
        <is>
          <t>GOTLANDS LÄN</t>
        </is>
      </c>
      <c r="E133" t="inlineStr">
        <is>
          <t>GOTLAND</t>
        </is>
      </c>
      <c r="G133" t="n">
        <v>6.6</v>
      </c>
      <c r="H133" t="n">
        <v>0</v>
      </c>
      <c r="I133" t="n">
        <v>1</v>
      </c>
      <c r="J133" t="n">
        <v>1</v>
      </c>
      <c r="K133" t="n">
        <v>1</v>
      </c>
      <c r="L133" t="n">
        <v>1</v>
      </c>
      <c r="M133" t="n">
        <v>0</v>
      </c>
      <c r="N133" t="n">
        <v>0</v>
      </c>
      <c r="O133" t="n">
        <v>3</v>
      </c>
      <c r="P133" t="n">
        <v>2</v>
      </c>
      <c r="Q133" t="n">
        <v>4</v>
      </c>
      <c r="R133" s="2" t="inlineStr">
        <is>
          <t>Ädellav
Mörk kraterlav
Orangepudrad klotterlav
Strävlosta</t>
        </is>
      </c>
      <c r="S133">
        <f>HYPERLINK("https://klasma.github.io/Logging_0980/artfynd/A 34171-2024 artfynd.xlsx", "A 34171-2024")</f>
        <v/>
      </c>
      <c r="T133">
        <f>HYPERLINK("https://klasma.github.io/Logging_0980/kartor/A 34171-2024 karta.png", "A 34171-2024")</f>
        <v/>
      </c>
      <c r="V133">
        <f>HYPERLINK("https://klasma.github.io/Logging_0980/klagomål/A 34171-2024 FSC-klagomål.docx", "A 34171-2024")</f>
        <v/>
      </c>
      <c r="W133">
        <f>HYPERLINK("https://klasma.github.io/Logging_0980/klagomålsmail/A 34171-2024 FSC-klagomål mail.docx", "A 34171-2024")</f>
        <v/>
      </c>
      <c r="X133">
        <f>HYPERLINK("https://klasma.github.io/Logging_0980/tillsyn/A 34171-2024 tillsynsbegäran.docx", "A 34171-2024")</f>
        <v/>
      </c>
      <c r="Y133">
        <f>HYPERLINK("https://klasma.github.io/Logging_0980/tillsynsmail/A 34171-2024 tillsynsbegäran mail.docx", "A 34171-2024")</f>
        <v/>
      </c>
    </row>
    <row r="134" ht="15" customHeight="1">
      <c r="A134" t="inlineStr">
        <is>
          <t>A 48025-2024</t>
        </is>
      </c>
      <c r="B134" s="1" t="n">
        <v>45589</v>
      </c>
      <c r="C134" s="1" t="n">
        <v>45844</v>
      </c>
      <c r="D134" t="inlineStr">
        <is>
          <t>GOTLANDS LÄN</t>
        </is>
      </c>
      <c r="E134" t="inlineStr">
        <is>
          <t>GOTLAND</t>
        </is>
      </c>
      <c r="G134" t="n">
        <v>7.8</v>
      </c>
      <c r="H134" t="n">
        <v>0</v>
      </c>
      <c r="I134" t="n">
        <v>1</v>
      </c>
      <c r="J134" t="n">
        <v>0</v>
      </c>
      <c r="K134" t="n">
        <v>2</v>
      </c>
      <c r="L134" t="n">
        <v>1</v>
      </c>
      <c r="M134" t="n">
        <v>0</v>
      </c>
      <c r="N134" t="n">
        <v>0</v>
      </c>
      <c r="O134" t="n">
        <v>3</v>
      </c>
      <c r="P134" t="n">
        <v>3</v>
      </c>
      <c r="Q134" t="n">
        <v>4</v>
      </c>
      <c r="R134" s="2" t="inlineStr">
        <is>
          <t>Ädellav
Mörk kraterlav
Violettfläckig spindling
Kattfotslav</t>
        </is>
      </c>
      <c r="S134">
        <f>HYPERLINK("https://klasma.github.io/Logging_0980/artfynd/A 48025-2024 artfynd.xlsx", "A 48025-2024")</f>
        <v/>
      </c>
      <c r="T134">
        <f>HYPERLINK("https://klasma.github.io/Logging_0980/kartor/A 48025-2024 karta.png", "A 48025-2024")</f>
        <v/>
      </c>
      <c r="V134">
        <f>HYPERLINK("https://klasma.github.io/Logging_0980/klagomål/A 48025-2024 FSC-klagomål.docx", "A 48025-2024")</f>
        <v/>
      </c>
      <c r="W134">
        <f>HYPERLINK("https://klasma.github.io/Logging_0980/klagomålsmail/A 48025-2024 FSC-klagomål mail.docx", "A 48025-2024")</f>
        <v/>
      </c>
      <c r="X134">
        <f>HYPERLINK("https://klasma.github.io/Logging_0980/tillsyn/A 48025-2024 tillsynsbegäran.docx", "A 48025-2024")</f>
        <v/>
      </c>
      <c r="Y134">
        <f>HYPERLINK("https://klasma.github.io/Logging_0980/tillsynsmail/A 48025-2024 tillsynsbegäran mail.docx", "A 48025-2024")</f>
        <v/>
      </c>
    </row>
    <row r="135" ht="15" customHeight="1">
      <c r="A135" t="inlineStr">
        <is>
          <t>A 56717-2024</t>
        </is>
      </c>
      <c r="B135" s="1" t="n">
        <v>45628</v>
      </c>
      <c r="C135" s="1" t="n">
        <v>45844</v>
      </c>
      <c r="D135" t="inlineStr">
        <is>
          <t>GOTLANDS LÄN</t>
        </is>
      </c>
      <c r="E135" t="inlineStr">
        <is>
          <t>GOTLAND</t>
        </is>
      </c>
      <c r="G135" t="n">
        <v>9.699999999999999</v>
      </c>
      <c r="H135" t="n">
        <v>0</v>
      </c>
      <c r="I135" t="n">
        <v>2</v>
      </c>
      <c r="J135" t="n">
        <v>2</v>
      </c>
      <c r="K135" t="n">
        <v>0</v>
      </c>
      <c r="L135" t="n">
        <v>0</v>
      </c>
      <c r="M135" t="n">
        <v>0</v>
      </c>
      <c r="N135" t="n">
        <v>0</v>
      </c>
      <c r="O135" t="n">
        <v>2</v>
      </c>
      <c r="P135" t="n">
        <v>0</v>
      </c>
      <c r="Q135" t="n">
        <v>4</v>
      </c>
      <c r="R135" s="2" t="inlineStr">
        <is>
          <t>Ekvaxskivling
Odörspindling
Fjällig taggsvamp s.str.
Kattfotslav</t>
        </is>
      </c>
      <c r="S135">
        <f>HYPERLINK("https://klasma.github.io/Logging_0980/artfynd/A 56717-2024 artfynd.xlsx", "A 56717-2024")</f>
        <v/>
      </c>
      <c r="T135">
        <f>HYPERLINK("https://klasma.github.io/Logging_0980/kartor/A 56717-2024 karta.png", "A 56717-2024")</f>
        <v/>
      </c>
      <c r="V135">
        <f>HYPERLINK("https://klasma.github.io/Logging_0980/klagomål/A 56717-2024 FSC-klagomål.docx", "A 56717-2024")</f>
        <v/>
      </c>
      <c r="W135">
        <f>HYPERLINK("https://klasma.github.io/Logging_0980/klagomålsmail/A 56717-2024 FSC-klagomål mail.docx", "A 56717-2024")</f>
        <v/>
      </c>
      <c r="X135">
        <f>HYPERLINK("https://klasma.github.io/Logging_0980/tillsyn/A 56717-2024 tillsynsbegäran.docx", "A 56717-2024")</f>
        <v/>
      </c>
      <c r="Y135">
        <f>HYPERLINK("https://klasma.github.io/Logging_0980/tillsynsmail/A 56717-2024 tillsynsbegäran mail.docx", "A 56717-2024")</f>
        <v/>
      </c>
    </row>
    <row r="136" ht="15" customHeight="1">
      <c r="A136" t="inlineStr">
        <is>
          <t>A 58191-2024</t>
        </is>
      </c>
      <c r="B136" s="1" t="n">
        <v>45632</v>
      </c>
      <c r="C136" s="1" t="n">
        <v>45844</v>
      </c>
      <c r="D136" t="inlineStr">
        <is>
          <t>GOTLANDS LÄN</t>
        </is>
      </c>
      <c r="E136" t="inlineStr">
        <is>
          <t>GOTLAND</t>
        </is>
      </c>
      <c r="G136" t="n">
        <v>14.2</v>
      </c>
      <c r="H136" t="n">
        <v>3</v>
      </c>
      <c r="I136" t="n">
        <v>0</v>
      </c>
      <c r="J136" t="n">
        <v>4</v>
      </c>
      <c r="K136" t="n">
        <v>0</v>
      </c>
      <c r="L136" t="n">
        <v>0</v>
      </c>
      <c r="M136" t="n">
        <v>0</v>
      </c>
      <c r="N136" t="n">
        <v>0</v>
      </c>
      <c r="O136" t="n">
        <v>4</v>
      </c>
      <c r="P136" t="n">
        <v>0</v>
      </c>
      <c r="Q136" t="n">
        <v>4</v>
      </c>
      <c r="R136" s="2" t="inlineStr">
        <is>
          <t>Björktrast
Crepis tectorum subsp. tectorum
Duvhök
Spillkråka</t>
        </is>
      </c>
      <c r="S136">
        <f>HYPERLINK("https://klasma.github.io/Logging_0980/artfynd/A 58191-2024 artfynd.xlsx", "A 58191-2024")</f>
        <v/>
      </c>
      <c r="T136">
        <f>HYPERLINK("https://klasma.github.io/Logging_0980/kartor/A 58191-2024 karta.png", "A 58191-2024")</f>
        <v/>
      </c>
      <c r="V136">
        <f>HYPERLINK("https://klasma.github.io/Logging_0980/klagomål/A 58191-2024 FSC-klagomål.docx", "A 58191-2024")</f>
        <v/>
      </c>
      <c r="W136">
        <f>HYPERLINK("https://klasma.github.io/Logging_0980/klagomålsmail/A 58191-2024 FSC-klagomål mail.docx", "A 58191-2024")</f>
        <v/>
      </c>
      <c r="X136">
        <f>HYPERLINK("https://klasma.github.io/Logging_0980/tillsyn/A 58191-2024 tillsynsbegäran.docx", "A 58191-2024")</f>
        <v/>
      </c>
      <c r="Y136">
        <f>HYPERLINK("https://klasma.github.io/Logging_0980/tillsynsmail/A 58191-2024 tillsynsbegäran mail.docx", "A 58191-2024")</f>
        <v/>
      </c>
      <c r="Z136">
        <f>HYPERLINK("https://klasma.github.io/Logging_0980/fåglar/A 58191-2024 prioriterade fågelarter.docx", "A 58191-2024")</f>
        <v/>
      </c>
    </row>
    <row r="137" ht="15" customHeight="1">
      <c r="A137" t="inlineStr">
        <is>
          <t>A 2485-2025</t>
        </is>
      </c>
      <c r="B137" s="1" t="n">
        <v>45673</v>
      </c>
      <c r="C137" s="1" t="n">
        <v>45844</v>
      </c>
      <c r="D137" t="inlineStr">
        <is>
          <t>GOTLANDS LÄN</t>
        </is>
      </c>
      <c r="E137" t="inlineStr">
        <is>
          <t>GOTLAND</t>
        </is>
      </c>
      <c r="G137" t="n">
        <v>5</v>
      </c>
      <c r="H137" t="n">
        <v>2</v>
      </c>
      <c r="I137" t="n">
        <v>2</v>
      </c>
      <c r="J137" t="n">
        <v>0</v>
      </c>
      <c r="K137" t="n">
        <v>2</v>
      </c>
      <c r="L137" t="n">
        <v>0</v>
      </c>
      <c r="M137" t="n">
        <v>0</v>
      </c>
      <c r="N137" t="n">
        <v>0</v>
      </c>
      <c r="O137" t="n">
        <v>2</v>
      </c>
      <c r="P137" t="n">
        <v>2</v>
      </c>
      <c r="Q137" t="n">
        <v>4</v>
      </c>
      <c r="R137" s="2" t="inlineStr">
        <is>
          <t>Gotlandsmåra
Skogskorn
Nästrot
Skogsknipprot</t>
        </is>
      </c>
      <c r="S137">
        <f>HYPERLINK("https://klasma.github.io/Logging_0980/artfynd/A 2485-2025 artfynd.xlsx", "A 2485-2025")</f>
        <v/>
      </c>
      <c r="T137">
        <f>HYPERLINK("https://klasma.github.io/Logging_0980/kartor/A 2485-2025 karta.png", "A 2485-2025")</f>
        <v/>
      </c>
      <c r="V137">
        <f>HYPERLINK("https://klasma.github.io/Logging_0980/klagomål/A 2485-2025 FSC-klagomål.docx", "A 2485-2025")</f>
        <v/>
      </c>
      <c r="W137">
        <f>HYPERLINK("https://klasma.github.io/Logging_0980/klagomålsmail/A 2485-2025 FSC-klagomål mail.docx", "A 2485-2025")</f>
        <v/>
      </c>
      <c r="X137">
        <f>HYPERLINK("https://klasma.github.io/Logging_0980/tillsyn/A 2485-2025 tillsynsbegäran.docx", "A 2485-2025")</f>
        <v/>
      </c>
      <c r="Y137">
        <f>HYPERLINK("https://klasma.github.io/Logging_0980/tillsynsmail/A 2485-2025 tillsynsbegäran mail.docx", "A 2485-2025")</f>
        <v/>
      </c>
    </row>
    <row r="138" ht="15" customHeight="1">
      <c r="A138" t="inlineStr">
        <is>
          <t>A 60700-2019</t>
        </is>
      </c>
      <c r="B138" s="1" t="n">
        <v>43781</v>
      </c>
      <c r="C138" s="1" t="n">
        <v>45844</v>
      </c>
      <c r="D138" t="inlineStr">
        <is>
          <t>GOTLANDS LÄN</t>
        </is>
      </c>
      <c r="E138" t="inlineStr">
        <is>
          <t>GOTLAND</t>
        </is>
      </c>
      <c r="G138" t="n">
        <v>4.3</v>
      </c>
      <c r="H138" t="n">
        <v>0</v>
      </c>
      <c r="I138" t="n">
        <v>2</v>
      </c>
      <c r="J138" t="n">
        <v>1</v>
      </c>
      <c r="K138" t="n">
        <v>0</v>
      </c>
      <c r="L138" t="n">
        <v>0</v>
      </c>
      <c r="M138" t="n">
        <v>0</v>
      </c>
      <c r="N138" t="n">
        <v>0</v>
      </c>
      <c r="O138" t="n">
        <v>1</v>
      </c>
      <c r="P138" t="n">
        <v>0</v>
      </c>
      <c r="Q138" t="n">
        <v>3</v>
      </c>
      <c r="R138" s="2" t="inlineStr">
        <is>
          <t>Tallticka
Blåmossa
Kattfotslav</t>
        </is>
      </c>
      <c r="S138">
        <f>HYPERLINK("https://klasma.github.io/Logging_0980/artfynd/A 60700-2019 artfynd.xlsx", "A 60700-2019")</f>
        <v/>
      </c>
      <c r="T138">
        <f>HYPERLINK("https://klasma.github.io/Logging_0980/kartor/A 60700-2019 karta.png", "A 60700-2019")</f>
        <v/>
      </c>
      <c r="V138">
        <f>HYPERLINK("https://klasma.github.io/Logging_0980/klagomål/A 60700-2019 FSC-klagomål.docx", "A 60700-2019")</f>
        <v/>
      </c>
      <c r="W138">
        <f>HYPERLINK("https://klasma.github.io/Logging_0980/klagomålsmail/A 60700-2019 FSC-klagomål mail.docx", "A 60700-2019")</f>
        <v/>
      </c>
      <c r="X138">
        <f>HYPERLINK("https://klasma.github.io/Logging_0980/tillsyn/A 60700-2019 tillsynsbegäran.docx", "A 60700-2019")</f>
        <v/>
      </c>
      <c r="Y138">
        <f>HYPERLINK("https://klasma.github.io/Logging_0980/tillsynsmail/A 60700-2019 tillsynsbegäran mail.docx", "A 60700-2019")</f>
        <v/>
      </c>
    </row>
    <row r="139" ht="15" customHeight="1">
      <c r="A139" t="inlineStr">
        <is>
          <t>A 66053-2019</t>
        </is>
      </c>
      <c r="B139" s="1" t="n">
        <v>43806</v>
      </c>
      <c r="C139" s="1" t="n">
        <v>45844</v>
      </c>
      <c r="D139" t="inlineStr">
        <is>
          <t>GOTLANDS LÄN</t>
        </is>
      </c>
      <c r="E139" t="inlineStr">
        <is>
          <t>GOTLAND</t>
        </is>
      </c>
      <c r="G139" t="n">
        <v>58.6</v>
      </c>
      <c r="H139" t="n">
        <v>2</v>
      </c>
      <c r="I139" t="n">
        <v>0</v>
      </c>
      <c r="J139" t="n">
        <v>1</v>
      </c>
      <c r="K139" t="n">
        <v>2</v>
      </c>
      <c r="L139" t="n">
        <v>0</v>
      </c>
      <c r="M139" t="n">
        <v>0</v>
      </c>
      <c r="N139" t="n">
        <v>0</v>
      </c>
      <c r="O139" t="n">
        <v>3</v>
      </c>
      <c r="P139" t="n">
        <v>2</v>
      </c>
      <c r="Q139" t="n">
        <v>3</v>
      </c>
      <c r="R139" s="2" t="inlineStr">
        <is>
          <t>Falsk guldskivlav
Garderönn
Apollofjäril</t>
        </is>
      </c>
      <c r="S139">
        <f>HYPERLINK("https://klasma.github.io/Logging_0980/artfynd/A 66053-2019 artfynd.xlsx", "A 66053-2019")</f>
        <v/>
      </c>
      <c r="T139">
        <f>HYPERLINK("https://klasma.github.io/Logging_0980/kartor/A 66053-2019 karta.png", "A 66053-2019")</f>
        <v/>
      </c>
      <c r="V139">
        <f>HYPERLINK("https://klasma.github.io/Logging_0980/klagomål/A 66053-2019 FSC-klagomål.docx", "A 66053-2019")</f>
        <v/>
      </c>
      <c r="W139">
        <f>HYPERLINK("https://klasma.github.io/Logging_0980/klagomålsmail/A 66053-2019 FSC-klagomål mail.docx", "A 66053-2019")</f>
        <v/>
      </c>
      <c r="X139">
        <f>HYPERLINK("https://klasma.github.io/Logging_0980/tillsyn/A 66053-2019 tillsynsbegäran.docx", "A 66053-2019")</f>
        <v/>
      </c>
      <c r="Y139">
        <f>HYPERLINK("https://klasma.github.io/Logging_0980/tillsynsmail/A 66053-2019 tillsynsbegäran mail.docx", "A 66053-2019")</f>
        <v/>
      </c>
    </row>
    <row r="140" ht="15" customHeight="1">
      <c r="A140" t="inlineStr">
        <is>
          <t>A 2536-2020</t>
        </is>
      </c>
      <c r="B140" s="1" t="n">
        <v>43847</v>
      </c>
      <c r="C140" s="1" t="n">
        <v>45844</v>
      </c>
      <c r="D140" t="inlineStr">
        <is>
          <t>GOTLANDS LÄN</t>
        </is>
      </c>
      <c r="E140" t="inlineStr">
        <is>
          <t>GOTLAND</t>
        </is>
      </c>
      <c r="G140" t="n">
        <v>4.2</v>
      </c>
      <c r="H140" t="n">
        <v>1</v>
      </c>
      <c r="I140" t="n">
        <v>0</v>
      </c>
      <c r="J140" t="n">
        <v>2</v>
      </c>
      <c r="K140" t="n">
        <v>0</v>
      </c>
      <c r="L140" t="n">
        <v>0</v>
      </c>
      <c r="M140" t="n">
        <v>0</v>
      </c>
      <c r="N140" t="n">
        <v>0</v>
      </c>
      <c r="O140" t="n">
        <v>2</v>
      </c>
      <c r="P140" t="n">
        <v>0</v>
      </c>
      <c r="Q140" t="n">
        <v>3</v>
      </c>
      <c r="R140" s="2" t="inlineStr">
        <is>
          <t>Backklöver
Svinrot
Blåsippa</t>
        </is>
      </c>
      <c r="S140">
        <f>HYPERLINK("https://klasma.github.io/Logging_0980/artfynd/A 2536-2020 artfynd.xlsx", "A 2536-2020")</f>
        <v/>
      </c>
      <c r="T140">
        <f>HYPERLINK("https://klasma.github.io/Logging_0980/kartor/A 2536-2020 karta.png", "A 2536-2020")</f>
        <v/>
      </c>
      <c r="V140">
        <f>HYPERLINK("https://klasma.github.io/Logging_0980/klagomål/A 2536-2020 FSC-klagomål.docx", "A 2536-2020")</f>
        <v/>
      </c>
      <c r="W140">
        <f>HYPERLINK("https://klasma.github.io/Logging_0980/klagomålsmail/A 2536-2020 FSC-klagomål mail.docx", "A 2536-2020")</f>
        <v/>
      </c>
      <c r="X140">
        <f>HYPERLINK("https://klasma.github.io/Logging_0980/tillsyn/A 2536-2020 tillsynsbegäran.docx", "A 2536-2020")</f>
        <v/>
      </c>
      <c r="Y140">
        <f>HYPERLINK("https://klasma.github.io/Logging_0980/tillsynsmail/A 2536-2020 tillsynsbegäran mail.docx", "A 2536-2020")</f>
        <v/>
      </c>
    </row>
    <row r="141" ht="15" customHeight="1">
      <c r="A141" t="inlineStr">
        <is>
          <t>A 3218-2020</t>
        </is>
      </c>
      <c r="B141" s="1" t="n">
        <v>43851</v>
      </c>
      <c r="C141" s="1" t="n">
        <v>45844</v>
      </c>
      <c r="D141" t="inlineStr">
        <is>
          <t>GOTLANDS LÄN</t>
        </is>
      </c>
      <c r="E141" t="inlineStr">
        <is>
          <t>GOTLAND</t>
        </is>
      </c>
      <c r="G141" t="n">
        <v>7.8</v>
      </c>
      <c r="H141" t="n">
        <v>3</v>
      </c>
      <c r="I141" t="n">
        <v>0</v>
      </c>
      <c r="J141" t="n">
        <v>0</v>
      </c>
      <c r="K141" t="n">
        <v>0</v>
      </c>
      <c r="L141" t="n">
        <v>0</v>
      </c>
      <c r="M141" t="n">
        <v>0</v>
      </c>
      <c r="N141" t="n">
        <v>0</v>
      </c>
      <c r="O141" t="n">
        <v>0</v>
      </c>
      <c r="P141" t="n">
        <v>0</v>
      </c>
      <c r="Q141" t="n">
        <v>3</v>
      </c>
      <c r="R141" s="2" t="inlineStr">
        <is>
          <t>Åkergroda
Mindre vattensalamander
Vanlig padda</t>
        </is>
      </c>
      <c r="S141">
        <f>HYPERLINK("https://klasma.github.io/Logging_0980/artfynd/A 3218-2020 artfynd.xlsx", "A 3218-2020")</f>
        <v/>
      </c>
      <c r="T141">
        <f>HYPERLINK("https://klasma.github.io/Logging_0980/kartor/A 3218-2020 karta.png", "A 3218-2020")</f>
        <v/>
      </c>
      <c r="V141">
        <f>HYPERLINK("https://klasma.github.io/Logging_0980/klagomål/A 3218-2020 FSC-klagomål.docx", "A 3218-2020")</f>
        <v/>
      </c>
      <c r="W141">
        <f>HYPERLINK("https://klasma.github.io/Logging_0980/klagomålsmail/A 3218-2020 FSC-klagomål mail.docx", "A 3218-2020")</f>
        <v/>
      </c>
      <c r="X141">
        <f>HYPERLINK("https://klasma.github.io/Logging_0980/tillsyn/A 3218-2020 tillsynsbegäran.docx", "A 3218-2020")</f>
        <v/>
      </c>
      <c r="Y141">
        <f>HYPERLINK("https://klasma.github.io/Logging_0980/tillsynsmail/A 3218-2020 tillsynsbegäran mail.docx", "A 3218-2020")</f>
        <v/>
      </c>
    </row>
    <row r="142" ht="15" customHeight="1">
      <c r="A142" t="inlineStr">
        <is>
          <t>A 7156-2020</t>
        </is>
      </c>
      <c r="B142" s="1" t="n">
        <v>43870</v>
      </c>
      <c r="C142" s="1" t="n">
        <v>45844</v>
      </c>
      <c r="D142" t="inlineStr">
        <is>
          <t>GOTLANDS LÄN</t>
        </is>
      </c>
      <c r="E142" t="inlineStr">
        <is>
          <t>GOTLAND</t>
        </is>
      </c>
      <c r="G142" t="n">
        <v>1.5</v>
      </c>
      <c r="H142" t="n">
        <v>1</v>
      </c>
      <c r="I142" t="n">
        <v>0</v>
      </c>
      <c r="J142" t="n">
        <v>2</v>
      </c>
      <c r="K142" t="n">
        <v>0</v>
      </c>
      <c r="L142" t="n">
        <v>0</v>
      </c>
      <c r="M142" t="n">
        <v>0</v>
      </c>
      <c r="N142" t="n">
        <v>0</v>
      </c>
      <c r="O142" t="n">
        <v>2</v>
      </c>
      <c r="P142" t="n">
        <v>0</v>
      </c>
      <c r="Q142" t="n">
        <v>3</v>
      </c>
      <c r="R142" s="2" t="inlineStr">
        <is>
          <t>Bolmört
Solvända
Sankt pers nycklar</t>
        </is>
      </c>
      <c r="S142">
        <f>HYPERLINK("https://klasma.github.io/Logging_0980/artfynd/A 7156-2020 artfynd.xlsx", "A 7156-2020")</f>
        <v/>
      </c>
      <c r="T142">
        <f>HYPERLINK("https://klasma.github.io/Logging_0980/kartor/A 7156-2020 karta.png", "A 7156-2020")</f>
        <v/>
      </c>
      <c r="V142">
        <f>HYPERLINK("https://klasma.github.io/Logging_0980/klagomål/A 7156-2020 FSC-klagomål.docx", "A 7156-2020")</f>
        <v/>
      </c>
      <c r="W142">
        <f>HYPERLINK("https://klasma.github.io/Logging_0980/klagomålsmail/A 7156-2020 FSC-klagomål mail.docx", "A 7156-2020")</f>
        <v/>
      </c>
      <c r="X142">
        <f>HYPERLINK("https://klasma.github.io/Logging_0980/tillsyn/A 7156-2020 tillsynsbegäran.docx", "A 7156-2020")</f>
        <v/>
      </c>
      <c r="Y142">
        <f>HYPERLINK("https://klasma.github.io/Logging_0980/tillsynsmail/A 7156-2020 tillsynsbegäran mail.docx", "A 7156-2020")</f>
        <v/>
      </c>
    </row>
    <row r="143" ht="15" customHeight="1">
      <c r="A143" t="inlineStr">
        <is>
          <t>A 10707-2020</t>
        </is>
      </c>
      <c r="B143" s="1" t="n">
        <v>43888</v>
      </c>
      <c r="C143" s="1" t="n">
        <v>45844</v>
      </c>
      <c r="D143" t="inlineStr">
        <is>
          <t>GOTLANDS LÄN</t>
        </is>
      </c>
      <c r="E143" t="inlineStr">
        <is>
          <t>GOTLAND</t>
        </is>
      </c>
      <c r="F143" t="inlineStr">
        <is>
          <t>Övriga statliga verk och myndigheter</t>
        </is>
      </c>
      <c r="G143" t="n">
        <v>27.7</v>
      </c>
      <c r="H143" t="n">
        <v>0</v>
      </c>
      <c r="I143" t="n">
        <v>0</v>
      </c>
      <c r="J143" t="n">
        <v>3</v>
      </c>
      <c r="K143" t="n">
        <v>0</v>
      </c>
      <c r="L143" t="n">
        <v>0</v>
      </c>
      <c r="M143" t="n">
        <v>0</v>
      </c>
      <c r="N143" t="n">
        <v>0</v>
      </c>
      <c r="O143" t="n">
        <v>3</v>
      </c>
      <c r="P143" t="n">
        <v>0</v>
      </c>
      <c r="Q143" t="n">
        <v>3</v>
      </c>
      <c r="R143" s="2" t="inlineStr">
        <is>
          <t>Grådådra
Mindre blåvinge
Ängsnätfjäril</t>
        </is>
      </c>
      <c r="S143">
        <f>HYPERLINK("https://klasma.github.io/Logging_0980/artfynd/A 10707-2020 artfynd.xlsx", "A 10707-2020")</f>
        <v/>
      </c>
      <c r="T143">
        <f>HYPERLINK("https://klasma.github.io/Logging_0980/kartor/A 10707-2020 karta.png", "A 10707-2020")</f>
        <v/>
      </c>
      <c r="V143">
        <f>HYPERLINK("https://klasma.github.io/Logging_0980/klagomål/A 10707-2020 FSC-klagomål.docx", "A 10707-2020")</f>
        <v/>
      </c>
      <c r="W143">
        <f>HYPERLINK("https://klasma.github.io/Logging_0980/klagomålsmail/A 10707-2020 FSC-klagomål mail.docx", "A 10707-2020")</f>
        <v/>
      </c>
      <c r="X143">
        <f>HYPERLINK("https://klasma.github.io/Logging_0980/tillsyn/A 10707-2020 tillsynsbegäran.docx", "A 10707-2020")</f>
        <v/>
      </c>
      <c r="Y143">
        <f>HYPERLINK("https://klasma.github.io/Logging_0980/tillsynsmail/A 10707-2020 tillsynsbegäran mail.docx", "A 10707-2020")</f>
        <v/>
      </c>
    </row>
    <row r="144" ht="15" customHeight="1">
      <c r="A144" t="inlineStr">
        <is>
          <t>A 55029-2020</t>
        </is>
      </c>
      <c r="B144" s="1" t="n">
        <v>44130</v>
      </c>
      <c r="C144" s="1" t="n">
        <v>45844</v>
      </c>
      <c r="D144" t="inlineStr">
        <is>
          <t>GOTLANDS LÄN</t>
        </is>
      </c>
      <c r="E144" t="inlineStr">
        <is>
          <t>GOTLAND</t>
        </is>
      </c>
      <c r="G144" t="n">
        <v>6.9</v>
      </c>
      <c r="H144" t="n">
        <v>1</v>
      </c>
      <c r="I144" t="n">
        <v>2</v>
      </c>
      <c r="J144" t="n">
        <v>1</v>
      </c>
      <c r="K144" t="n">
        <v>0</v>
      </c>
      <c r="L144" t="n">
        <v>0</v>
      </c>
      <c r="M144" t="n">
        <v>0</v>
      </c>
      <c r="N144" t="n">
        <v>0</v>
      </c>
      <c r="O144" t="n">
        <v>1</v>
      </c>
      <c r="P144" t="n">
        <v>0</v>
      </c>
      <c r="Q144" t="n">
        <v>3</v>
      </c>
      <c r="R144" s="2" t="inlineStr">
        <is>
          <t>Dårgräsfjäril
Anisspindling
Granbarkgnagare</t>
        </is>
      </c>
      <c r="S144">
        <f>HYPERLINK("https://klasma.github.io/Logging_0980/artfynd/A 55029-2020 artfynd.xlsx", "A 55029-2020")</f>
        <v/>
      </c>
      <c r="T144">
        <f>HYPERLINK("https://klasma.github.io/Logging_0980/kartor/A 55029-2020 karta.png", "A 55029-2020")</f>
        <v/>
      </c>
      <c r="V144">
        <f>HYPERLINK("https://klasma.github.io/Logging_0980/klagomål/A 55029-2020 FSC-klagomål.docx", "A 55029-2020")</f>
        <v/>
      </c>
      <c r="W144">
        <f>HYPERLINK("https://klasma.github.io/Logging_0980/klagomålsmail/A 55029-2020 FSC-klagomål mail.docx", "A 55029-2020")</f>
        <v/>
      </c>
      <c r="X144">
        <f>HYPERLINK("https://klasma.github.io/Logging_0980/tillsyn/A 55029-2020 tillsynsbegäran.docx", "A 55029-2020")</f>
        <v/>
      </c>
      <c r="Y144">
        <f>HYPERLINK("https://klasma.github.io/Logging_0980/tillsynsmail/A 55029-2020 tillsynsbegäran mail.docx", "A 55029-2020")</f>
        <v/>
      </c>
    </row>
    <row r="145" ht="15" customHeight="1">
      <c r="A145" t="inlineStr">
        <is>
          <t>A 62326-2020</t>
        </is>
      </c>
      <c r="B145" s="1" t="n">
        <v>44160</v>
      </c>
      <c r="C145" s="1" t="n">
        <v>45844</v>
      </c>
      <c r="D145" t="inlineStr">
        <is>
          <t>GOTLANDS LÄN</t>
        </is>
      </c>
      <c r="E145" t="inlineStr">
        <is>
          <t>GOTLAND</t>
        </is>
      </c>
      <c r="G145" t="n">
        <v>7.4</v>
      </c>
      <c r="H145" t="n">
        <v>1</v>
      </c>
      <c r="I145" t="n">
        <v>3</v>
      </c>
      <c r="J145" t="n">
        <v>0</v>
      </c>
      <c r="K145" t="n">
        <v>0</v>
      </c>
      <c r="L145" t="n">
        <v>0</v>
      </c>
      <c r="M145" t="n">
        <v>0</v>
      </c>
      <c r="N145" t="n">
        <v>0</v>
      </c>
      <c r="O145" t="n">
        <v>0</v>
      </c>
      <c r="P145" t="n">
        <v>0</v>
      </c>
      <c r="Q145" t="n">
        <v>3</v>
      </c>
      <c r="R145" s="2" t="inlineStr">
        <is>
          <t>Anisspindling
Blåmossa
Skogsknipprot</t>
        </is>
      </c>
      <c r="S145">
        <f>HYPERLINK("https://klasma.github.io/Logging_0980/artfynd/A 62326-2020 artfynd.xlsx", "A 62326-2020")</f>
        <v/>
      </c>
      <c r="T145">
        <f>HYPERLINK("https://klasma.github.io/Logging_0980/kartor/A 62326-2020 karta.png", "A 62326-2020")</f>
        <v/>
      </c>
      <c r="V145">
        <f>HYPERLINK("https://klasma.github.io/Logging_0980/klagomål/A 62326-2020 FSC-klagomål.docx", "A 62326-2020")</f>
        <v/>
      </c>
      <c r="W145">
        <f>HYPERLINK("https://klasma.github.io/Logging_0980/klagomålsmail/A 62326-2020 FSC-klagomål mail.docx", "A 62326-2020")</f>
        <v/>
      </c>
      <c r="X145">
        <f>HYPERLINK("https://klasma.github.io/Logging_0980/tillsyn/A 62326-2020 tillsynsbegäran.docx", "A 62326-2020")</f>
        <v/>
      </c>
      <c r="Y145">
        <f>HYPERLINK("https://klasma.github.io/Logging_0980/tillsynsmail/A 62326-2020 tillsynsbegäran mail.docx", "A 62326-2020")</f>
        <v/>
      </c>
    </row>
    <row r="146" ht="15" customHeight="1">
      <c r="A146" t="inlineStr">
        <is>
          <t>A 2332-2021</t>
        </is>
      </c>
      <c r="B146" s="1" t="n">
        <v>44214</v>
      </c>
      <c r="C146" s="1" t="n">
        <v>45844</v>
      </c>
      <c r="D146" t="inlineStr">
        <is>
          <t>GOTLANDS LÄN</t>
        </is>
      </c>
      <c r="E146" t="inlineStr">
        <is>
          <t>GOTLAND</t>
        </is>
      </c>
      <c r="G146" t="n">
        <v>2.3</v>
      </c>
      <c r="H146" t="n">
        <v>2</v>
      </c>
      <c r="I146" t="n">
        <v>0</v>
      </c>
      <c r="J146" t="n">
        <v>1</v>
      </c>
      <c r="K146" t="n">
        <v>0</v>
      </c>
      <c r="L146" t="n">
        <v>0</v>
      </c>
      <c r="M146" t="n">
        <v>0</v>
      </c>
      <c r="N146" t="n">
        <v>0</v>
      </c>
      <c r="O146" t="n">
        <v>1</v>
      </c>
      <c r="P146" t="n">
        <v>0</v>
      </c>
      <c r="Q146" t="n">
        <v>3</v>
      </c>
      <c r="R146" s="2" t="inlineStr">
        <is>
          <t>Korpnopping
Sankt pers nycklar
Blåsippa</t>
        </is>
      </c>
      <c r="S146">
        <f>HYPERLINK("https://klasma.github.io/Logging_0980/artfynd/A 2332-2021 artfynd.xlsx", "A 2332-2021")</f>
        <v/>
      </c>
      <c r="T146">
        <f>HYPERLINK("https://klasma.github.io/Logging_0980/kartor/A 2332-2021 karta.png", "A 2332-2021")</f>
        <v/>
      </c>
      <c r="V146">
        <f>HYPERLINK("https://klasma.github.io/Logging_0980/klagomål/A 2332-2021 FSC-klagomål.docx", "A 2332-2021")</f>
        <v/>
      </c>
      <c r="W146">
        <f>HYPERLINK("https://klasma.github.io/Logging_0980/klagomålsmail/A 2332-2021 FSC-klagomål mail.docx", "A 2332-2021")</f>
        <v/>
      </c>
      <c r="X146">
        <f>HYPERLINK("https://klasma.github.io/Logging_0980/tillsyn/A 2332-2021 tillsynsbegäran.docx", "A 2332-2021")</f>
        <v/>
      </c>
      <c r="Y146">
        <f>HYPERLINK("https://klasma.github.io/Logging_0980/tillsynsmail/A 2332-2021 tillsynsbegäran mail.docx", "A 2332-2021")</f>
        <v/>
      </c>
    </row>
    <row r="147" ht="15" customHeight="1">
      <c r="A147" t="inlineStr">
        <is>
          <t>A 12519-2021</t>
        </is>
      </c>
      <c r="B147" s="1" t="n">
        <v>44269</v>
      </c>
      <c r="C147" s="1" t="n">
        <v>45844</v>
      </c>
      <c r="D147" t="inlineStr">
        <is>
          <t>GOTLANDS LÄN</t>
        </is>
      </c>
      <c r="E147" t="inlineStr">
        <is>
          <t>GOTLAND</t>
        </is>
      </c>
      <c r="F147" t="inlineStr">
        <is>
          <t>Kyrkan</t>
        </is>
      </c>
      <c r="G147" t="n">
        <v>3.4</v>
      </c>
      <c r="H147" t="n">
        <v>0</v>
      </c>
      <c r="I147" t="n">
        <v>2</v>
      </c>
      <c r="J147" t="n">
        <v>1</v>
      </c>
      <c r="K147" t="n">
        <v>0</v>
      </c>
      <c r="L147" t="n">
        <v>0</v>
      </c>
      <c r="M147" t="n">
        <v>0</v>
      </c>
      <c r="N147" t="n">
        <v>0</v>
      </c>
      <c r="O147" t="n">
        <v>1</v>
      </c>
      <c r="P147" t="n">
        <v>0</v>
      </c>
      <c r="Q147" t="n">
        <v>3</v>
      </c>
      <c r="R147" s="2" t="inlineStr">
        <is>
          <t>Loppstarr
Rödgul trumpetsvamp
Vågbandad barkbock</t>
        </is>
      </c>
      <c r="S147">
        <f>HYPERLINK("https://klasma.github.io/Logging_0980/artfynd/A 12519-2021 artfynd.xlsx", "A 12519-2021")</f>
        <v/>
      </c>
      <c r="T147">
        <f>HYPERLINK("https://klasma.github.io/Logging_0980/kartor/A 12519-2021 karta.png", "A 12519-2021")</f>
        <v/>
      </c>
      <c r="V147">
        <f>HYPERLINK("https://klasma.github.io/Logging_0980/klagomål/A 12519-2021 FSC-klagomål.docx", "A 12519-2021")</f>
        <v/>
      </c>
      <c r="W147">
        <f>HYPERLINK("https://klasma.github.io/Logging_0980/klagomålsmail/A 12519-2021 FSC-klagomål mail.docx", "A 12519-2021")</f>
        <v/>
      </c>
      <c r="X147">
        <f>HYPERLINK("https://klasma.github.io/Logging_0980/tillsyn/A 12519-2021 tillsynsbegäran.docx", "A 12519-2021")</f>
        <v/>
      </c>
      <c r="Y147">
        <f>HYPERLINK("https://klasma.github.io/Logging_0980/tillsynsmail/A 12519-2021 tillsynsbegäran mail.docx", "A 12519-2021")</f>
        <v/>
      </c>
    </row>
    <row r="148" ht="15" customHeight="1">
      <c r="A148" t="inlineStr">
        <is>
          <t>A 32666-2021</t>
        </is>
      </c>
      <c r="B148" s="1" t="n">
        <v>44375</v>
      </c>
      <c r="C148" s="1" t="n">
        <v>45844</v>
      </c>
      <c r="D148" t="inlineStr">
        <is>
          <t>GOTLANDS LÄN</t>
        </is>
      </c>
      <c r="E148" t="inlineStr">
        <is>
          <t>GOTLAND</t>
        </is>
      </c>
      <c r="G148" t="n">
        <v>0.9</v>
      </c>
      <c r="H148" t="n">
        <v>1</v>
      </c>
      <c r="I148" t="n">
        <v>2</v>
      </c>
      <c r="J148" t="n">
        <v>0</v>
      </c>
      <c r="K148" t="n">
        <v>1</v>
      </c>
      <c r="L148" t="n">
        <v>0</v>
      </c>
      <c r="M148" t="n">
        <v>0</v>
      </c>
      <c r="N148" t="n">
        <v>0</v>
      </c>
      <c r="O148" t="n">
        <v>1</v>
      </c>
      <c r="P148" t="n">
        <v>1</v>
      </c>
      <c r="Q148" t="n">
        <v>3</v>
      </c>
      <c r="R148" s="2" t="inlineStr">
        <is>
          <t>Skogskorn
Myskmadra
Vit skogslilja</t>
        </is>
      </c>
      <c r="S148">
        <f>HYPERLINK("https://klasma.github.io/Logging_0980/artfynd/A 32666-2021 artfynd.xlsx", "A 32666-2021")</f>
        <v/>
      </c>
      <c r="T148">
        <f>HYPERLINK("https://klasma.github.io/Logging_0980/kartor/A 32666-2021 karta.png", "A 32666-2021")</f>
        <v/>
      </c>
      <c r="V148">
        <f>HYPERLINK("https://klasma.github.io/Logging_0980/klagomål/A 32666-2021 FSC-klagomål.docx", "A 32666-2021")</f>
        <v/>
      </c>
      <c r="W148">
        <f>HYPERLINK("https://klasma.github.io/Logging_0980/klagomålsmail/A 32666-2021 FSC-klagomål mail.docx", "A 32666-2021")</f>
        <v/>
      </c>
      <c r="X148">
        <f>HYPERLINK("https://klasma.github.io/Logging_0980/tillsyn/A 32666-2021 tillsynsbegäran.docx", "A 32666-2021")</f>
        <v/>
      </c>
      <c r="Y148">
        <f>HYPERLINK("https://klasma.github.io/Logging_0980/tillsynsmail/A 32666-2021 tillsynsbegäran mail.docx", "A 32666-2021")</f>
        <v/>
      </c>
    </row>
    <row r="149" ht="15" customHeight="1">
      <c r="A149" t="inlineStr">
        <is>
          <t>A 32718-2021</t>
        </is>
      </c>
      <c r="B149" s="1" t="n">
        <v>44375</v>
      </c>
      <c r="C149" s="1" t="n">
        <v>45844</v>
      </c>
      <c r="D149" t="inlineStr">
        <is>
          <t>GOTLANDS LÄN</t>
        </is>
      </c>
      <c r="E149" t="inlineStr">
        <is>
          <t>GOTLAND</t>
        </is>
      </c>
      <c r="G149" t="n">
        <v>2.1</v>
      </c>
      <c r="H149" t="n">
        <v>0</v>
      </c>
      <c r="I149" t="n">
        <v>1</v>
      </c>
      <c r="J149" t="n">
        <v>1</v>
      </c>
      <c r="K149" t="n">
        <v>1</v>
      </c>
      <c r="L149" t="n">
        <v>0</v>
      </c>
      <c r="M149" t="n">
        <v>0</v>
      </c>
      <c r="N149" t="n">
        <v>0</v>
      </c>
      <c r="O149" t="n">
        <v>2</v>
      </c>
      <c r="P149" t="n">
        <v>1</v>
      </c>
      <c r="Q149" t="n">
        <v>3</v>
      </c>
      <c r="R149" s="2" t="inlineStr">
        <is>
          <t>Skogskorn
Skugglosta
Strävlosta</t>
        </is>
      </c>
      <c r="S149">
        <f>HYPERLINK("https://klasma.github.io/Logging_0980/artfynd/A 32718-2021 artfynd.xlsx", "A 32718-2021")</f>
        <v/>
      </c>
      <c r="T149">
        <f>HYPERLINK("https://klasma.github.io/Logging_0980/kartor/A 32718-2021 karta.png", "A 32718-2021")</f>
        <v/>
      </c>
      <c r="V149">
        <f>HYPERLINK("https://klasma.github.io/Logging_0980/klagomål/A 32718-2021 FSC-klagomål.docx", "A 32718-2021")</f>
        <v/>
      </c>
      <c r="W149">
        <f>HYPERLINK("https://klasma.github.io/Logging_0980/klagomålsmail/A 32718-2021 FSC-klagomål mail.docx", "A 32718-2021")</f>
        <v/>
      </c>
      <c r="X149">
        <f>HYPERLINK("https://klasma.github.io/Logging_0980/tillsyn/A 32718-2021 tillsynsbegäran.docx", "A 32718-2021")</f>
        <v/>
      </c>
      <c r="Y149">
        <f>HYPERLINK("https://klasma.github.io/Logging_0980/tillsynsmail/A 32718-2021 tillsynsbegäran mail.docx", "A 32718-2021")</f>
        <v/>
      </c>
    </row>
    <row r="150" ht="15" customHeight="1">
      <c r="A150" t="inlineStr">
        <is>
          <t>A 44323-2021</t>
        </is>
      </c>
      <c r="B150" s="1" t="n">
        <v>44434</v>
      </c>
      <c r="C150" s="1" t="n">
        <v>45844</v>
      </c>
      <c r="D150" t="inlineStr">
        <is>
          <t>GOTLANDS LÄN</t>
        </is>
      </c>
      <c r="E150" t="inlineStr">
        <is>
          <t>GOTLAND</t>
        </is>
      </c>
      <c r="G150" t="n">
        <v>7.5</v>
      </c>
      <c r="H150" t="n">
        <v>1</v>
      </c>
      <c r="I150" t="n">
        <v>3</v>
      </c>
      <c r="J150" t="n">
        <v>0</v>
      </c>
      <c r="K150" t="n">
        <v>0</v>
      </c>
      <c r="L150" t="n">
        <v>0</v>
      </c>
      <c r="M150" t="n">
        <v>0</v>
      </c>
      <c r="N150" t="n">
        <v>0</v>
      </c>
      <c r="O150" t="n">
        <v>0</v>
      </c>
      <c r="P150" t="n">
        <v>0</v>
      </c>
      <c r="Q150" t="n">
        <v>3</v>
      </c>
      <c r="R150" s="2" t="inlineStr">
        <is>
          <t>Anisspindling
Barrfagerspindling
Skogsknipprot</t>
        </is>
      </c>
      <c r="S150">
        <f>HYPERLINK("https://klasma.github.io/Logging_0980/artfynd/A 44323-2021 artfynd.xlsx", "A 44323-2021")</f>
        <v/>
      </c>
      <c r="T150">
        <f>HYPERLINK("https://klasma.github.io/Logging_0980/kartor/A 44323-2021 karta.png", "A 44323-2021")</f>
        <v/>
      </c>
      <c r="V150">
        <f>HYPERLINK("https://klasma.github.io/Logging_0980/klagomål/A 44323-2021 FSC-klagomål.docx", "A 44323-2021")</f>
        <v/>
      </c>
      <c r="W150">
        <f>HYPERLINK("https://klasma.github.io/Logging_0980/klagomålsmail/A 44323-2021 FSC-klagomål mail.docx", "A 44323-2021")</f>
        <v/>
      </c>
      <c r="X150">
        <f>HYPERLINK("https://klasma.github.io/Logging_0980/tillsyn/A 44323-2021 tillsynsbegäran.docx", "A 44323-2021")</f>
        <v/>
      </c>
      <c r="Y150">
        <f>HYPERLINK("https://klasma.github.io/Logging_0980/tillsynsmail/A 44323-2021 tillsynsbegäran mail.docx", "A 44323-2021")</f>
        <v/>
      </c>
    </row>
    <row r="151" ht="15" customHeight="1">
      <c r="A151" t="inlineStr">
        <is>
          <t>A 53552-2021</t>
        </is>
      </c>
      <c r="B151" s="1" t="n">
        <v>44468</v>
      </c>
      <c r="C151" s="1" t="n">
        <v>45844</v>
      </c>
      <c r="D151" t="inlineStr">
        <is>
          <t>GOTLANDS LÄN</t>
        </is>
      </c>
      <c r="E151" t="inlineStr">
        <is>
          <t>GOTLAND</t>
        </is>
      </c>
      <c r="G151" t="n">
        <v>6.2</v>
      </c>
      <c r="H151" t="n">
        <v>2</v>
      </c>
      <c r="I151" t="n">
        <v>0</v>
      </c>
      <c r="J151" t="n">
        <v>1</v>
      </c>
      <c r="K151" t="n">
        <v>0</v>
      </c>
      <c r="L151" t="n">
        <v>0</v>
      </c>
      <c r="M151" t="n">
        <v>0</v>
      </c>
      <c r="N151" t="n">
        <v>0</v>
      </c>
      <c r="O151" t="n">
        <v>1</v>
      </c>
      <c r="P151" t="n">
        <v>0</v>
      </c>
      <c r="Q151" t="n">
        <v>3</v>
      </c>
      <c r="R151" s="2" t="inlineStr">
        <is>
          <t>Bredbrämad bastardsvärmare
Grönvit nattviol
Gullviva</t>
        </is>
      </c>
      <c r="S151">
        <f>HYPERLINK("https://klasma.github.io/Logging_0980/artfynd/A 53552-2021 artfynd.xlsx", "A 53552-2021")</f>
        <v/>
      </c>
      <c r="T151">
        <f>HYPERLINK("https://klasma.github.io/Logging_0980/kartor/A 53552-2021 karta.png", "A 53552-2021")</f>
        <v/>
      </c>
      <c r="V151">
        <f>HYPERLINK("https://klasma.github.io/Logging_0980/klagomål/A 53552-2021 FSC-klagomål.docx", "A 53552-2021")</f>
        <v/>
      </c>
      <c r="W151">
        <f>HYPERLINK("https://klasma.github.io/Logging_0980/klagomålsmail/A 53552-2021 FSC-klagomål mail.docx", "A 53552-2021")</f>
        <v/>
      </c>
      <c r="X151">
        <f>HYPERLINK("https://klasma.github.io/Logging_0980/tillsyn/A 53552-2021 tillsynsbegäran.docx", "A 53552-2021")</f>
        <v/>
      </c>
      <c r="Y151">
        <f>HYPERLINK("https://klasma.github.io/Logging_0980/tillsynsmail/A 53552-2021 tillsynsbegäran mail.docx", "A 53552-2021")</f>
        <v/>
      </c>
    </row>
    <row r="152" ht="15" customHeight="1">
      <c r="A152" t="inlineStr">
        <is>
          <t>A 13499-2022</t>
        </is>
      </c>
      <c r="B152" s="1" t="n">
        <v>44647</v>
      </c>
      <c r="C152" s="1" t="n">
        <v>45844</v>
      </c>
      <c r="D152" t="inlineStr">
        <is>
          <t>GOTLANDS LÄN</t>
        </is>
      </c>
      <c r="E152" t="inlineStr">
        <is>
          <t>GOTLAND</t>
        </is>
      </c>
      <c r="G152" t="n">
        <v>6.8</v>
      </c>
      <c r="H152" t="n">
        <v>3</v>
      </c>
      <c r="I152" t="n">
        <v>0</v>
      </c>
      <c r="J152" t="n">
        <v>1</v>
      </c>
      <c r="K152" t="n">
        <v>0</v>
      </c>
      <c r="L152" t="n">
        <v>0</v>
      </c>
      <c r="M152" t="n">
        <v>0</v>
      </c>
      <c r="N152" t="n">
        <v>0</v>
      </c>
      <c r="O152" t="n">
        <v>1</v>
      </c>
      <c r="P152" t="n">
        <v>0</v>
      </c>
      <c r="Q152" t="n">
        <v>3</v>
      </c>
      <c r="R152" s="2" t="inlineStr">
        <is>
          <t>Spillkråka
Sankt pers nycklar
Blåsippa</t>
        </is>
      </c>
      <c r="S152">
        <f>HYPERLINK("https://klasma.github.io/Logging_0980/artfynd/A 13499-2022 artfynd.xlsx", "A 13499-2022")</f>
        <v/>
      </c>
      <c r="T152">
        <f>HYPERLINK("https://klasma.github.io/Logging_0980/kartor/A 13499-2022 karta.png", "A 13499-2022")</f>
        <v/>
      </c>
      <c r="V152">
        <f>HYPERLINK("https://klasma.github.io/Logging_0980/klagomål/A 13499-2022 FSC-klagomål.docx", "A 13499-2022")</f>
        <v/>
      </c>
      <c r="W152">
        <f>HYPERLINK("https://klasma.github.io/Logging_0980/klagomålsmail/A 13499-2022 FSC-klagomål mail.docx", "A 13499-2022")</f>
        <v/>
      </c>
      <c r="X152">
        <f>HYPERLINK("https://klasma.github.io/Logging_0980/tillsyn/A 13499-2022 tillsynsbegäran.docx", "A 13499-2022")</f>
        <v/>
      </c>
      <c r="Y152">
        <f>HYPERLINK("https://klasma.github.io/Logging_0980/tillsynsmail/A 13499-2022 tillsynsbegäran mail.docx", "A 13499-2022")</f>
        <v/>
      </c>
      <c r="Z152">
        <f>HYPERLINK("https://klasma.github.io/Logging_0980/fåglar/A 13499-2022 prioriterade fågelarter.docx", "A 13499-2022")</f>
        <v/>
      </c>
    </row>
    <row r="153" ht="15" customHeight="1">
      <c r="A153" t="inlineStr">
        <is>
          <t>A 43013-2022</t>
        </is>
      </c>
      <c r="B153" s="1" t="n">
        <v>44833</v>
      </c>
      <c r="C153" s="1" t="n">
        <v>45844</v>
      </c>
      <c r="D153" t="inlineStr">
        <is>
          <t>GOTLANDS LÄN</t>
        </is>
      </c>
      <c r="E153" t="inlineStr">
        <is>
          <t>GOTLAND</t>
        </is>
      </c>
      <c r="G153" t="n">
        <v>9.300000000000001</v>
      </c>
      <c r="H153" t="n">
        <v>0</v>
      </c>
      <c r="I153" t="n">
        <v>2</v>
      </c>
      <c r="J153" t="n">
        <v>0</v>
      </c>
      <c r="K153" t="n">
        <v>1</v>
      </c>
      <c r="L153" t="n">
        <v>0</v>
      </c>
      <c r="M153" t="n">
        <v>0</v>
      </c>
      <c r="N153" t="n">
        <v>0</v>
      </c>
      <c r="O153" t="n">
        <v>1</v>
      </c>
      <c r="P153" t="n">
        <v>1</v>
      </c>
      <c r="Q153" t="n">
        <v>3</v>
      </c>
      <c r="R153" s="2" t="inlineStr">
        <is>
          <t>Violettfläckig spindling
Anisspindling
Blå slemspindling</t>
        </is>
      </c>
      <c r="S153">
        <f>HYPERLINK("https://klasma.github.io/Logging_0980/artfynd/A 43013-2022 artfynd.xlsx", "A 43013-2022")</f>
        <v/>
      </c>
      <c r="T153">
        <f>HYPERLINK("https://klasma.github.io/Logging_0980/kartor/A 43013-2022 karta.png", "A 43013-2022")</f>
        <v/>
      </c>
      <c r="V153">
        <f>HYPERLINK("https://klasma.github.io/Logging_0980/klagomål/A 43013-2022 FSC-klagomål.docx", "A 43013-2022")</f>
        <v/>
      </c>
      <c r="W153">
        <f>HYPERLINK("https://klasma.github.io/Logging_0980/klagomålsmail/A 43013-2022 FSC-klagomål mail.docx", "A 43013-2022")</f>
        <v/>
      </c>
      <c r="X153">
        <f>HYPERLINK("https://klasma.github.io/Logging_0980/tillsyn/A 43013-2022 tillsynsbegäran.docx", "A 43013-2022")</f>
        <v/>
      </c>
      <c r="Y153">
        <f>HYPERLINK("https://klasma.github.io/Logging_0980/tillsynsmail/A 43013-2022 tillsynsbegäran mail.docx", "A 43013-2022")</f>
        <v/>
      </c>
    </row>
    <row r="154" ht="15" customHeight="1">
      <c r="A154" t="inlineStr">
        <is>
          <t>A 44913-2022</t>
        </is>
      </c>
      <c r="B154" s="1" t="n">
        <v>44841</v>
      </c>
      <c r="C154" s="1" t="n">
        <v>45844</v>
      </c>
      <c r="D154" t="inlineStr">
        <is>
          <t>GOTLANDS LÄN</t>
        </is>
      </c>
      <c r="E154" t="inlineStr">
        <is>
          <t>GOTLAND</t>
        </is>
      </c>
      <c r="G154" t="n">
        <v>8.800000000000001</v>
      </c>
      <c r="H154" t="n">
        <v>1</v>
      </c>
      <c r="I154" t="n">
        <v>1</v>
      </c>
      <c r="J154" t="n">
        <v>1</v>
      </c>
      <c r="K154" t="n">
        <v>0</v>
      </c>
      <c r="L154" t="n">
        <v>0</v>
      </c>
      <c r="M154" t="n">
        <v>0</v>
      </c>
      <c r="N154" t="n">
        <v>0</v>
      </c>
      <c r="O154" t="n">
        <v>1</v>
      </c>
      <c r="P154" t="n">
        <v>0</v>
      </c>
      <c r="Q154" t="n">
        <v>3</v>
      </c>
      <c r="R154" s="2" t="inlineStr">
        <is>
          <t>Odörspindling
Granbarkgnagare
Kärrknipprot</t>
        </is>
      </c>
      <c r="S154">
        <f>HYPERLINK("https://klasma.github.io/Logging_0980/artfynd/A 44913-2022 artfynd.xlsx", "A 44913-2022")</f>
        <v/>
      </c>
      <c r="T154">
        <f>HYPERLINK("https://klasma.github.io/Logging_0980/kartor/A 44913-2022 karta.png", "A 44913-2022")</f>
        <v/>
      </c>
      <c r="V154">
        <f>HYPERLINK("https://klasma.github.io/Logging_0980/klagomål/A 44913-2022 FSC-klagomål.docx", "A 44913-2022")</f>
        <v/>
      </c>
      <c r="W154">
        <f>HYPERLINK("https://klasma.github.io/Logging_0980/klagomålsmail/A 44913-2022 FSC-klagomål mail.docx", "A 44913-2022")</f>
        <v/>
      </c>
      <c r="X154">
        <f>HYPERLINK("https://klasma.github.io/Logging_0980/tillsyn/A 44913-2022 tillsynsbegäran.docx", "A 44913-2022")</f>
        <v/>
      </c>
      <c r="Y154">
        <f>HYPERLINK("https://klasma.github.io/Logging_0980/tillsynsmail/A 44913-2022 tillsynsbegäran mail.docx", "A 44913-2022")</f>
        <v/>
      </c>
    </row>
    <row r="155" ht="15" customHeight="1">
      <c r="A155" t="inlineStr">
        <is>
          <t>A 17982-2023</t>
        </is>
      </c>
      <c r="B155" s="1" t="n">
        <v>45040</v>
      </c>
      <c r="C155" s="1" t="n">
        <v>45844</v>
      </c>
      <c r="D155" t="inlineStr">
        <is>
          <t>GOTLANDS LÄN</t>
        </is>
      </c>
      <c r="E155" t="inlineStr">
        <is>
          <t>GOTLAND</t>
        </is>
      </c>
      <c r="G155" t="n">
        <v>2.2</v>
      </c>
      <c r="H155" t="n">
        <v>0</v>
      </c>
      <c r="I155" t="n">
        <v>0</v>
      </c>
      <c r="J155" t="n">
        <v>2</v>
      </c>
      <c r="K155" t="n">
        <v>0</v>
      </c>
      <c r="L155" t="n">
        <v>0</v>
      </c>
      <c r="M155" t="n">
        <v>1</v>
      </c>
      <c r="N155" t="n">
        <v>0</v>
      </c>
      <c r="O155" t="n">
        <v>3</v>
      </c>
      <c r="P155" t="n">
        <v>1</v>
      </c>
      <c r="Q155" t="n">
        <v>3</v>
      </c>
      <c r="R155" s="2" t="inlineStr">
        <is>
          <t>Lundalm
Krusfrö
Ängsskära</t>
        </is>
      </c>
      <c r="S155">
        <f>HYPERLINK("https://klasma.github.io/Logging_0980/artfynd/A 17982-2023 artfynd.xlsx", "A 17982-2023")</f>
        <v/>
      </c>
      <c r="T155">
        <f>HYPERLINK("https://klasma.github.io/Logging_0980/kartor/A 17982-2023 karta.png", "A 17982-2023")</f>
        <v/>
      </c>
      <c r="V155">
        <f>HYPERLINK("https://klasma.github.io/Logging_0980/klagomål/A 17982-2023 FSC-klagomål.docx", "A 17982-2023")</f>
        <v/>
      </c>
      <c r="W155">
        <f>HYPERLINK("https://klasma.github.io/Logging_0980/klagomålsmail/A 17982-2023 FSC-klagomål mail.docx", "A 17982-2023")</f>
        <v/>
      </c>
      <c r="X155">
        <f>HYPERLINK("https://klasma.github.io/Logging_0980/tillsyn/A 17982-2023 tillsynsbegäran.docx", "A 17982-2023")</f>
        <v/>
      </c>
      <c r="Y155">
        <f>HYPERLINK("https://klasma.github.io/Logging_0980/tillsynsmail/A 17982-2023 tillsynsbegäran mail.docx", "A 17982-2023")</f>
        <v/>
      </c>
    </row>
    <row r="156" ht="15" customHeight="1">
      <c r="A156" t="inlineStr">
        <is>
          <t>A 27041-2023</t>
        </is>
      </c>
      <c r="B156" s="1" t="n">
        <v>45095</v>
      </c>
      <c r="C156" s="1" t="n">
        <v>45844</v>
      </c>
      <c r="D156" t="inlineStr">
        <is>
          <t>GOTLANDS LÄN</t>
        </is>
      </c>
      <c r="E156" t="inlineStr">
        <is>
          <t>GOTLAND</t>
        </is>
      </c>
      <c r="G156" t="n">
        <v>5.3</v>
      </c>
      <c r="H156" t="n">
        <v>0</v>
      </c>
      <c r="I156" t="n">
        <v>2</v>
      </c>
      <c r="J156" t="n">
        <v>1</v>
      </c>
      <c r="K156" t="n">
        <v>0</v>
      </c>
      <c r="L156" t="n">
        <v>0</v>
      </c>
      <c r="M156" t="n">
        <v>0</v>
      </c>
      <c r="N156" t="n">
        <v>0</v>
      </c>
      <c r="O156" t="n">
        <v>1</v>
      </c>
      <c r="P156" t="n">
        <v>0</v>
      </c>
      <c r="Q156" t="n">
        <v>3</v>
      </c>
      <c r="R156" s="2" t="inlineStr">
        <is>
          <t>Odörspindling
Anisspindling
Besk kastanjemusseron</t>
        </is>
      </c>
      <c r="S156">
        <f>HYPERLINK("https://klasma.github.io/Logging_0980/artfynd/A 27041-2023 artfynd.xlsx", "A 27041-2023")</f>
        <v/>
      </c>
      <c r="T156">
        <f>HYPERLINK("https://klasma.github.io/Logging_0980/kartor/A 27041-2023 karta.png", "A 27041-2023")</f>
        <v/>
      </c>
      <c r="V156">
        <f>HYPERLINK("https://klasma.github.io/Logging_0980/klagomål/A 27041-2023 FSC-klagomål.docx", "A 27041-2023")</f>
        <v/>
      </c>
      <c r="W156">
        <f>HYPERLINK("https://klasma.github.io/Logging_0980/klagomålsmail/A 27041-2023 FSC-klagomål mail.docx", "A 27041-2023")</f>
        <v/>
      </c>
      <c r="X156">
        <f>HYPERLINK("https://klasma.github.io/Logging_0980/tillsyn/A 27041-2023 tillsynsbegäran.docx", "A 27041-2023")</f>
        <v/>
      </c>
      <c r="Y156">
        <f>HYPERLINK("https://klasma.github.io/Logging_0980/tillsynsmail/A 27041-2023 tillsynsbegäran mail.docx", "A 27041-2023")</f>
        <v/>
      </c>
    </row>
    <row r="157" ht="15" customHeight="1">
      <c r="A157" t="inlineStr">
        <is>
          <t>A 12315-2024</t>
        </is>
      </c>
      <c r="B157" s="1" t="n">
        <v>45378</v>
      </c>
      <c r="C157" s="1" t="n">
        <v>45844</v>
      </c>
      <c r="D157" t="inlineStr">
        <is>
          <t>GOTLANDS LÄN</t>
        </is>
      </c>
      <c r="E157" t="inlineStr">
        <is>
          <t>GOTLAND</t>
        </is>
      </c>
      <c r="G157" t="n">
        <v>6</v>
      </c>
      <c r="H157" t="n">
        <v>3</v>
      </c>
      <c r="I157" t="n">
        <v>1</v>
      </c>
      <c r="J157" t="n">
        <v>1</v>
      </c>
      <c r="K157" t="n">
        <v>0</v>
      </c>
      <c r="L157" t="n">
        <v>0</v>
      </c>
      <c r="M157" t="n">
        <v>0</v>
      </c>
      <c r="N157" t="n">
        <v>0</v>
      </c>
      <c r="O157" t="n">
        <v>1</v>
      </c>
      <c r="P157" t="n">
        <v>0</v>
      </c>
      <c r="Q157" t="n">
        <v>3</v>
      </c>
      <c r="R157" s="2" t="inlineStr">
        <is>
          <t>Buskskvätta
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c r="Z157">
        <f>HYPERLINK("https://klasma.github.io/Logging_0980/fåglar/A 12315-2024 prioriterade fågelarter.docx", "A 12315-2024")</f>
        <v/>
      </c>
    </row>
    <row r="158" ht="15" customHeight="1">
      <c r="A158" t="inlineStr">
        <is>
          <t>A 16542-2024</t>
        </is>
      </c>
      <c r="B158" s="1" t="n">
        <v>45408</v>
      </c>
      <c r="C158" s="1" t="n">
        <v>45844</v>
      </c>
      <c r="D158" t="inlineStr">
        <is>
          <t>GOTLANDS LÄN</t>
        </is>
      </c>
      <c r="E158" t="inlineStr">
        <is>
          <t>GOTLAND</t>
        </is>
      </c>
      <c r="G158" t="n">
        <v>1.6</v>
      </c>
      <c r="H158" t="n">
        <v>2</v>
      </c>
      <c r="I158" t="n">
        <v>2</v>
      </c>
      <c r="J158" t="n">
        <v>1</v>
      </c>
      <c r="K158" t="n">
        <v>0</v>
      </c>
      <c r="L158" t="n">
        <v>0</v>
      </c>
      <c r="M158" t="n">
        <v>0</v>
      </c>
      <c r="N158" t="n">
        <v>0</v>
      </c>
      <c r="O158" t="n">
        <v>1</v>
      </c>
      <c r="P158" t="n">
        <v>0</v>
      </c>
      <c r="Q158" t="n">
        <v>3</v>
      </c>
      <c r="R158" s="2" t="inlineStr">
        <is>
          <t>Tallticka
Nästrot
Tvåblad</t>
        </is>
      </c>
      <c r="S158">
        <f>HYPERLINK("https://klasma.github.io/Logging_0980/artfynd/A 16542-2024 artfynd.xlsx", "A 16542-2024")</f>
        <v/>
      </c>
      <c r="T158">
        <f>HYPERLINK("https://klasma.github.io/Logging_0980/kartor/A 16542-2024 karta.png", "A 16542-2024")</f>
        <v/>
      </c>
      <c r="V158">
        <f>HYPERLINK("https://klasma.github.io/Logging_0980/klagomål/A 16542-2024 FSC-klagomål.docx", "A 16542-2024")</f>
        <v/>
      </c>
      <c r="W158">
        <f>HYPERLINK("https://klasma.github.io/Logging_0980/klagomålsmail/A 16542-2024 FSC-klagomål mail.docx", "A 16542-2024")</f>
        <v/>
      </c>
      <c r="X158">
        <f>HYPERLINK("https://klasma.github.io/Logging_0980/tillsyn/A 16542-2024 tillsynsbegäran.docx", "A 16542-2024")</f>
        <v/>
      </c>
      <c r="Y158">
        <f>HYPERLINK("https://klasma.github.io/Logging_0980/tillsynsmail/A 16542-2024 tillsynsbegäran mail.docx", "A 16542-2024")</f>
        <v/>
      </c>
    </row>
    <row r="159" ht="15" customHeight="1">
      <c r="A159" t="inlineStr">
        <is>
          <t>A 17975-2024</t>
        </is>
      </c>
      <c r="B159" s="1" t="n">
        <v>45419</v>
      </c>
      <c r="C159" s="1" t="n">
        <v>45844</v>
      </c>
      <c r="D159" t="inlineStr">
        <is>
          <t>GOTLANDS LÄN</t>
        </is>
      </c>
      <c r="E159" t="inlineStr">
        <is>
          <t>GOTLAND</t>
        </is>
      </c>
      <c r="G159" t="n">
        <v>7.9</v>
      </c>
      <c r="H159" t="n">
        <v>0</v>
      </c>
      <c r="I159" t="n">
        <v>1</v>
      </c>
      <c r="J159" t="n">
        <v>1</v>
      </c>
      <c r="K159" t="n">
        <v>0</v>
      </c>
      <c r="L159" t="n">
        <v>1</v>
      </c>
      <c r="M159" t="n">
        <v>0</v>
      </c>
      <c r="N159" t="n">
        <v>0</v>
      </c>
      <c r="O159" t="n">
        <v>2</v>
      </c>
      <c r="P159" t="n">
        <v>1</v>
      </c>
      <c r="Q159" t="n">
        <v>3</v>
      </c>
      <c r="R159" s="2" t="inlineStr">
        <is>
          <t>Ask
Skugglosta
Strävlosta</t>
        </is>
      </c>
      <c r="S159">
        <f>HYPERLINK("https://klasma.github.io/Logging_0980/artfynd/A 17975-2024 artfynd.xlsx", "A 17975-2024")</f>
        <v/>
      </c>
      <c r="T159">
        <f>HYPERLINK("https://klasma.github.io/Logging_0980/kartor/A 17975-2024 karta.png", "A 17975-2024")</f>
        <v/>
      </c>
      <c r="V159">
        <f>HYPERLINK("https://klasma.github.io/Logging_0980/klagomål/A 17975-2024 FSC-klagomål.docx", "A 17975-2024")</f>
        <v/>
      </c>
      <c r="W159">
        <f>HYPERLINK("https://klasma.github.io/Logging_0980/klagomålsmail/A 17975-2024 FSC-klagomål mail.docx", "A 17975-2024")</f>
        <v/>
      </c>
      <c r="X159">
        <f>HYPERLINK("https://klasma.github.io/Logging_0980/tillsyn/A 17975-2024 tillsynsbegäran.docx", "A 17975-2024")</f>
        <v/>
      </c>
      <c r="Y159">
        <f>HYPERLINK("https://klasma.github.io/Logging_0980/tillsynsmail/A 17975-2024 tillsynsbegäran mail.docx", "A 17975-2024")</f>
        <v/>
      </c>
    </row>
    <row r="160" ht="15" customHeight="1">
      <c r="A160" t="inlineStr">
        <is>
          <t>A 24345-2024</t>
        </is>
      </c>
      <c r="B160" s="1" t="n">
        <v>45457</v>
      </c>
      <c r="C160" s="1" t="n">
        <v>45844</v>
      </c>
      <c r="D160" t="inlineStr">
        <is>
          <t>GOTLANDS LÄN</t>
        </is>
      </c>
      <c r="E160" t="inlineStr">
        <is>
          <t>GOTLAND</t>
        </is>
      </c>
      <c r="G160" t="n">
        <v>5.2</v>
      </c>
      <c r="H160" t="n">
        <v>1</v>
      </c>
      <c r="I160" t="n">
        <v>1</v>
      </c>
      <c r="J160" t="n">
        <v>2</v>
      </c>
      <c r="K160" t="n">
        <v>0</v>
      </c>
      <c r="L160" t="n">
        <v>0</v>
      </c>
      <c r="M160" t="n">
        <v>0</v>
      </c>
      <c r="N160" t="n">
        <v>0</v>
      </c>
      <c r="O160" t="n">
        <v>2</v>
      </c>
      <c r="P160" t="n">
        <v>0</v>
      </c>
      <c r="Q160" t="n">
        <v>3</v>
      </c>
      <c r="R160" s="2" t="inlineStr">
        <is>
          <t>Backtimjan
Dårgräsfjäril
Rödgul trumpetsvamp</t>
        </is>
      </c>
      <c r="S160">
        <f>HYPERLINK("https://klasma.github.io/Logging_0980/artfynd/A 24345-2024 artfynd.xlsx", "A 24345-2024")</f>
        <v/>
      </c>
      <c r="T160">
        <f>HYPERLINK("https://klasma.github.io/Logging_0980/kartor/A 24345-2024 karta.png", "A 24345-2024")</f>
        <v/>
      </c>
      <c r="V160">
        <f>HYPERLINK("https://klasma.github.io/Logging_0980/klagomål/A 24345-2024 FSC-klagomål.docx", "A 24345-2024")</f>
        <v/>
      </c>
      <c r="W160">
        <f>HYPERLINK("https://klasma.github.io/Logging_0980/klagomålsmail/A 24345-2024 FSC-klagomål mail.docx", "A 24345-2024")</f>
        <v/>
      </c>
      <c r="X160">
        <f>HYPERLINK("https://klasma.github.io/Logging_0980/tillsyn/A 24345-2024 tillsynsbegäran.docx", "A 24345-2024")</f>
        <v/>
      </c>
      <c r="Y160">
        <f>HYPERLINK("https://klasma.github.io/Logging_0980/tillsynsmail/A 24345-2024 tillsynsbegäran mail.docx", "A 24345-2024")</f>
        <v/>
      </c>
    </row>
    <row r="161" ht="15" customHeight="1">
      <c r="A161" t="inlineStr">
        <is>
          <t>A 25981-2024</t>
        </is>
      </c>
      <c r="B161" s="1" t="n">
        <v>45467</v>
      </c>
      <c r="C161" s="1" t="n">
        <v>45844</v>
      </c>
      <c r="D161" t="inlineStr">
        <is>
          <t>GOTLANDS LÄN</t>
        </is>
      </c>
      <c r="E161" t="inlineStr">
        <is>
          <t>GOTLAND</t>
        </is>
      </c>
      <c r="G161" t="n">
        <v>5.9</v>
      </c>
      <c r="H161" t="n">
        <v>3</v>
      </c>
      <c r="I161" t="n">
        <v>2</v>
      </c>
      <c r="J161" t="n">
        <v>0</v>
      </c>
      <c r="K161" t="n">
        <v>0</v>
      </c>
      <c r="L161" t="n">
        <v>0</v>
      </c>
      <c r="M161" t="n">
        <v>0</v>
      </c>
      <c r="N161" t="n">
        <v>0</v>
      </c>
      <c r="O161" t="n">
        <v>0</v>
      </c>
      <c r="P161" t="n">
        <v>0</v>
      </c>
      <c r="Q161" t="n">
        <v>3</v>
      </c>
      <c r="R161" s="2" t="inlineStr">
        <is>
          <t>Purpurknipprot
Skogsknipprot
Fläcknycklar</t>
        </is>
      </c>
      <c r="S161">
        <f>HYPERLINK("https://klasma.github.io/Logging_0980/artfynd/A 25981-2024 artfynd.xlsx", "A 25981-2024")</f>
        <v/>
      </c>
      <c r="T161">
        <f>HYPERLINK("https://klasma.github.io/Logging_0980/kartor/A 25981-2024 karta.png", "A 25981-2024")</f>
        <v/>
      </c>
      <c r="V161">
        <f>HYPERLINK("https://klasma.github.io/Logging_0980/klagomål/A 25981-2024 FSC-klagomål.docx", "A 25981-2024")</f>
        <v/>
      </c>
      <c r="W161">
        <f>HYPERLINK("https://klasma.github.io/Logging_0980/klagomålsmail/A 25981-2024 FSC-klagomål mail.docx", "A 25981-2024")</f>
        <v/>
      </c>
      <c r="X161">
        <f>HYPERLINK("https://klasma.github.io/Logging_0980/tillsyn/A 25981-2024 tillsynsbegäran.docx", "A 25981-2024")</f>
        <v/>
      </c>
      <c r="Y161">
        <f>HYPERLINK("https://klasma.github.io/Logging_0980/tillsynsmail/A 25981-2024 tillsynsbegäran mail.docx", "A 25981-2024")</f>
        <v/>
      </c>
    </row>
    <row r="162" ht="15" customHeight="1">
      <c r="A162" t="inlineStr">
        <is>
          <t>A 54940-2024</t>
        </is>
      </c>
      <c r="B162" s="1" t="n">
        <v>45618</v>
      </c>
      <c r="C162" s="1" t="n">
        <v>45844</v>
      </c>
      <c r="D162" t="inlineStr">
        <is>
          <t>GOTLANDS LÄN</t>
        </is>
      </c>
      <c r="E162" t="inlineStr">
        <is>
          <t>GOTLAND</t>
        </is>
      </c>
      <c r="G162" t="n">
        <v>1.2</v>
      </c>
      <c r="H162" t="n">
        <v>2</v>
      </c>
      <c r="I162" t="n">
        <v>0</v>
      </c>
      <c r="J162" t="n">
        <v>1</v>
      </c>
      <c r="K162" t="n">
        <v>0</v>
      </c>
      <c r="L162" t="n">
        <v>0</v>
      </c>
      <c r="M162" t="n">
        <v>0</v>
      </c>
      <c r="N162" t="n">
        <v>0</v>
      </c>
      <c r="O162" t="n">
        <v>1</v>
      </c>
      <c r="P162" t="n">
        <v>0</v>
      </c>
      <c r="Q162" t="n">
        <v>3</v>
      </c>
      <c r="R162" s="2" t="inlineStr">
        <is>
          <t>Ängsstarr
Brudsporre
Dactylorhiza incarnata subsp. incarnata</t>
        </is>
      </c>
      <c r="S162">
        <f>HYPERLINK("https://klasma.github.io/Logging_0980/artfynd/A 54940-2024 artfynd.xlsx", "A 54940-2024")</f>
        <v/>
      </c>
      <c r="T162">
        <f>HYPERLINK("https://klasma.github.io/Logging_0980/kartor/A 54940-2024 karta.png", "A 54940-2024")</f>
        <v/>
      </c>
      <c r="V162">
        <f>HYPERLINK("https://klasma.github.io/Logging_0980/klagomål/A 54940-2024 FSC-klagomål.docx", "A 54940-2024")</f>
        <v/>
      </c>
      <c r="W162">
        <f>HYPERLINK("https://klasma.github.io/Logging_0980/klagomålsmail/A 54940-2024 FSC-klagomål mail.docx", "A 54940-2024")</f>
        <v/>
      </c>
      <c r="X162">
        <f>HYPERLINK("https://klasma.github.io/Logging_0980/tillsyn/A 54940-2024 tillsynsbegäran.docx", "A 54940-2024")</f>
        <v/>
      </c>
      <c r="Y162">
        <f>HYPERLINK("https://klasma.github.io/Logging_0980/tillsynsmail/A 54940-2024 tillsynsbegäran mail.docx", "A 54940-2024")</f>
        <v/>
      </c>
    </row>
    <row r="163" ht="15" customHeight="1">
      <c r="A163" t="inlineStr">
        <is>
          <t>A 2318-2025</t>
        </is>
      </c>
      <c r="B163" s="1" t="n">
        <v>45673</v>
      </c>
      <c r="C163" s="1" t="n">
        <v>45844</v>
      </c>
      <c r="D163" t="inlineStr">
        <is>
          <t>GOTLANDS LÄN</t>
        </is>
      </c>
      <c r="E163" t="inlineStr">
        <is>
          <t>GOTLAND</t>
        </is>
      </c>
      <c r="G163" t="n">
        <v>26.3</v>
      </c>
      <c r="H163" t="n">
        <v>0</v>
      </c>
      <c r="I163" t="n">
        <v>1</v>
      </c>
      <c r="J163" t="n">
        <v>1</v>
      </c>
      <c r="K163" t="n">
        <v>1</v>
      </c>
      <c r="L163" t="n">
        <v>0</v>
      </c>
      <c r="M163" t="n">
        <v>0</v>
      </c>
      <c r="N163" t="n">
        <v>0</v>
      </c>
      <c r="O163" t="n">
        <v>2</v>
      </c>
      <c r="P163" t="n">
        <v>1</v>
      </c>
      <c r="Q163" t="n">
        <v>3</v>
      </c>
      <c r="R163" s="2" t="inlineStr">
        <is>
          <t>Strandviol
Lunglav
Strävlosta</t>
        </is>
      </c>
      <c r="S163">
        <f>HYPERLINK("https://klasma.github.io/Logging_0980/artfynd/A 2318-2025 artfynd.xlsx", "A 2318-2025")</f>
        <v/>
      </c>
      <c r="T163">
        <f>HYPERLINK("https://klasma.github.io/Logging_0980/kartor/A 2318-2025 karta.png", "A 2318-2025")</f>
        <v/>
      </c>
      <c r="V163">
        <f>HYPERLINK("https://klasma.github.io/Logging_0980/klagomål/A 2318-2025 FSC-klagomål.docx", "A 2318-2025")</f>
        <v/>
      </c>
      <c r="W163">
        <f>HYPERLINK("https://klasma.github.io/Logging_0980/klagomålsmail/A 2318-2025 FSC-klagomål mail.docx", "A 2318-2025")</f>
        <v/>
      </c>
      <c r="X163">
        <f>HYPERLINK("https://klasma.github.io/Logging_0980/tillsyn/A 2318-2025 tillsynsbegäran.docx", "A 2318-2025")</f>
        <v/>
      </c>
      <c r="Y163">
        <f>HYPERLINK("https://klasma.github.io/Logging_0980/tillsynsmail/A 2318-2025 tillsynsbegäran mail.docx", "A 2318-2025")</f>
        <v/>
      </c>
    </row>
    <row r="164" ht="15" customHeight="1">
      <c r="A164" t="inlineStr">
        <is>
          <t>A 30490-2025</t>
        </is>
      </c>
      <c r="B164" s="1" t="n">
        <v>45830</v>
      </c>
      <c r="C164" s="1" t="n">
        <v>45844</v>
      </c>
      <c r="D164" t="inlineStr">
        <is>
          <t>GOTLANDS LÄN</t>
        </is>
      </c>
      <c r="E164" t="inlineStr">
        <is>
          <t>GOTLAND</t>
        </is>
      </c>
      <c r="G164" t="n">
        <v>7.9</v>
      </c>
      <c r="H164" t="n">
        <v>1</v>
      </c>
      <c r="I164" t="n">
        <v>0</v>
      </c>
      <c r="J164" t="n">
        <v>2</v>
      </c>
      <c r="K164" t="n">
        <v>0</v>
      </c>
      <c r="L164" t="n">
        <v>0</v>
      </c>
      <c r="M164" t="n">
        <v>0</v>
      </c>
      <c r="N164" t="n">
        <v>0</v>
      </c>
      <c r="O164" t="n">
        <v>2</v>
      </c>
      <c r="P164" t="n">
        <v>0</v>
      </c>
      <c r="Q164" t="n">
        <v>3</v>
      </c>
      <c r="R164" s="2" t="inlineStr">
        <is>
          <t>Klasefibbla
Majviva
Nattviol</t>
        </is>
      </c>
      <c r="S164">
        <f>HYPERLINK("https://klasma.github.io/Logging_090980/artfynd/A 30490-2025 artfynd.xlsx", "A 30490-2025")</f>
        <v/>
      </c>
      <c r="T164">
        <f>HYPERLINK("https://klasma.github.io/Logging_090980/kartor/A 30490-2025 karta.png", "A 30490-2025")</f>
        <v/>
      </c>
      <c r="V164">
        <f>HYPERLINK("https://klasma.github.io/Logging_090980/klagomål/A 30490-2025 FSC-klagomål.docx", "A 30490-2025")</f>
        <v/>
      </c>
      <c r="W164">
        <f>HYPERLINK("https://klasma.github.io/Logging_090980/klagomålsmail/A 30490-2025 FSC-klagomål mail.docx", "A 30490-2025")</f>
        <v/>
      </c>
      <c r="X164">
        <f>HYPERLINK("https://klasma.github.io/Logging_090980/tillsyn/A 30490-2025 tillsynsbegäran.docx", "A 30490-2025")</f>
        <v/>
      </c>
      <c r="Y164">
        <f>HYPERLINK("https://klasma.github.io/Logging_090980/tillsynsmail/A 30490-2025 tillsynsbegäran mail.docx", "A 30490-2025")</f>
        <v/>
      </c>
    </row>
    <row r="165" ht="15" customHeight="1">
      <c r="A165" t="inlineStr">
        <is>
          <t>A 30542-2025</t>
        </is>
      </c>
      <c r="B165" s="1" t="n">
        <v>45831</v>
      </c>
      <c r="C165" s="1" t="n">
        <v>45844</v>
      </c>
      <c r="D165" t="inlineStr">
        <is>
          <t>GOTLANDS LÄN</t>
        </is>
      </c>
      <c r="E165" t="inlineStr">
        <is>
          <t>GOTLAND</t>
        </is>
      </c>
      <c r="G165" t="n">
        <v>8.300000000000001</v>
      </c>
      <c r="H165" t="n">
        <v>3</v>
      </c>
      <c r="I165" t="n">
        <v>2</v>
      </c>
      <c r="J165" t="n">
        <v>0</v>
      </c>
      <c r="K165" t="n">
        <v>0</v>
      </c>
      <c r="L165" t="n">
        <v>0</v>
      </c>
      <c r="M165" t="n">
        <v>0</v>
      </c>
      <c r="N165" t="n">
        <v>0</v>
      </c>
      <c r="O165" t="n">
        <v>0</v>
      </c>
      <c r="P165" t="n">
        <v>0</v>
      </c>
      <c r="Q165" t="n">
        <v>3</v>
      </c>
      <c r="R165" s="2" t="inlineStr">
        <is>
          <t>Skogsknipprot
Tvåblad
Brudsporre</t>
        </is>
      </c>
      <c r="S165">
        <f>HYPERLINK("https://klasma.github.io/Logging_090980/artfynd/A 30542-2025 artfynd.xlsx", "A 30542-2025")</f>
        <v/>
      </c>
      <c r="T165">
        <f>HYPERLINK("https://klasma.github.io/Logging_090980/kartor/A 30542-2025 karta.png", "A 30542-2025")</f>
        <v/>
      </c>
      <c r="V165">
        <f>HYPERLINK("https://klasma.github.io/Logging_090980/klagomål/A 30542-2025 FSC-klagomål.docx", "A 30542-2025")</f>
        <v/>
      </c>
      <c r="W165">
        <f>HYPERLINK("https://klasma.github.io/Logging_090980/klagomålsmail/A 30542-2025 FSC-klagomål mail.docx", "A 30542-2025")</f>
        <v/>
      </c>
      <c r="X165">
        <f>HYPERLINK("https://klasma.github.io/Logging_090980/tillsyn/A 30542-2025 tillsynsbegäran.docx", "A 30542-2025")</f>
        <v/>
      </c>
      <c r="Y165">
        <f>HYPERLINK("https://klasma.github.io/Logging_090980/tillsynsmail/A 30542-2025 tillsynsbegäran mail.docx", "A 30542-2025")</f>
        <v/>
      </c>
    </row>
    <row r="166" ht="15" customHeight="1">
      <c r="A166" t="inlineStr">
        <is>
          <t>A 21897-2019</t>
        </is>
      </c>
      <c r="B166" s="1" t="n">
        <v>43584</v>
      </c>
      <c r="C166" s="1" t="n">
        <v>45844</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45844</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45844</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45844</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45844</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45844</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45844</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45844</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45844</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45844</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45844</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45844</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45844</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45844</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45844</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45844</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45844</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45844</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45844</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45844</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45844</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45844</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45844</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45844</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45844</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45844</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45844</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45844</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45844</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45844</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45844</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45844</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45844</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45844</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45844</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45844</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45844</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45844</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45844</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45844</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45844</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45844</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45844</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45844</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45844</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45844</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45844</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45844</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45844</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45844</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45844</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45844</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45844</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45844</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45844</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45844</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45844</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45844</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45844</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45844</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45844</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45844</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45844</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45844</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45844</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45844</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45844</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45844</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45844</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45844</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45844</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45844</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45844</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45844</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45844</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45844</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45844</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45844</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45844</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45844</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45844</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45844</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45844</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45844</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45844</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45844</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45844</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45844</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45844</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45844</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45844</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45844</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45844</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45844</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45844</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45844</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45844</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45844</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45844</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45844</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45844</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45844</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45844</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45844</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45844</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45844</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45844</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45844</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45844</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45844</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45844</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45844</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45844</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45844</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45844</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45844</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45844</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45844</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45844</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45844</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45844</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45844</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45844</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45844</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45844</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45844</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45844</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45844</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45844</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45844</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45844</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45844</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45844</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45844</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45844</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45844</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45844</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45844</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45844</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45844</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45844</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45844</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45844</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45844</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45844</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45844</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45844</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45844</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45844</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45844</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45844</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45844</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45844</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45844</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45844</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45844</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45844</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45844</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45844</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45844</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45844</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45844</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45844</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45844</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45844</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45844</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45844</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45844</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45844</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45844</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45844</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45844</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45844</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45844</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45844</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45844</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45844</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45844</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45844</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45844</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45844</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45844</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45844</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45844</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45844</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45844</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45844</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45844</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45844</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45844</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45844</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45844</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45844</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45844</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45844</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45844</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45844</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45844</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45844</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45844</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45844</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45844</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45844</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45844</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45844</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45844</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45844</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45844</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45844</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45844</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45844</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45844</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45844</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45844</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45844</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45844</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45844</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45844</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45844</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45844</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45844</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45844</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45844</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45844</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45844</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45844</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45844</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45844</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45844</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45844</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45844</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45844</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45844</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45844</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45844</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45844</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45844</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45844</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45844</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45844</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45844</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45844</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45844</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45844</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45844</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45844</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45844</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45844</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45844</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45844</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45844</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45844</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45844</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45844</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45844</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45844</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45844</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45844</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45844</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45844</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45844</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45844</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45844</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45844</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45844</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45844</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45844</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45844</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45844</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45844</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45844</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45844</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45844</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45844</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45844</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45844</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45844</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45844</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45844</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45844</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45844</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45844</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45844</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45844</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45844</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45844</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45844</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45844</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45844</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45844</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45844</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45844</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45844</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45844</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45844</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45844</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45844</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45844</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45844</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45844</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45844</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45844</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45844</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45844</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45844</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45844</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45844</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45844</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45844</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45844</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45844</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45844</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45844</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45844</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45844</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45844</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45844</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45844</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45844</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45844</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45844</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45844</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45844</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45844</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45844</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45844</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45844</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45844</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45844</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45844</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45844</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45844</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45844</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45844</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45844</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45844</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45844</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45844</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45844</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45844</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45844</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45844</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45844</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45844</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45844</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45844</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45844</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45844</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45844</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45844</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45844</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45844</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45844</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45844</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45844</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45844</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45844</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45844</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45844</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45844</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45844</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45844</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45844</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45844</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45844</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45844</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45844</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45844</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45844</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45844</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45844</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45844</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45844</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45844</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45844</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45844</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45844</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45844</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45844</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45844</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45844</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45844</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45844</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45844</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45844</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45844</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45844</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45844</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45844</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45844</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45844</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45844</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45844</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45844</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45844</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45844</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45844</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45844</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45844</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45844</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45844</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45844</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45844</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45844</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45844</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45844</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45844</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45844</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45844</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45844</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45844</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45844</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45844</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45844</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45844</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45844</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45844</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45844</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45844</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45844</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45844</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45844</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45844</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45844</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45844</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45844</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45844</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45844</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45844</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45844</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45844</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45844</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45844</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45844</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45844</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45844</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45844</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45844</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45844</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45844</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45844</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45844</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45844</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45844</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45844</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45844</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45844</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45844</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45844</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45844</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45844</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45844</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45844</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45844</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45844</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45844</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45844</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45844</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45844</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45844</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45844</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45844</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45844</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45844</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45844</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45844</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45844</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45844</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45844</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45844</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45844</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45844</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45844</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45844</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45844</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45844</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45844</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45844</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45844</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45844</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45844</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45844</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45844</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45844</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45844</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45844</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45844</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45844</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45844</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45844</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45844</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45844</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45844</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45844</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45844</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45844</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45844</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45844</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45844</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45844</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45844</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45844</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45844</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45844</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45844</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45844</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45844</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45844</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45844</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45844</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45844</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45844</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45844</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45844</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45844</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45844</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45844</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45844</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45844</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45844</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45844</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45844</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45844</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45844</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45844</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45844</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45844</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45844</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45844</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45844</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45844</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45844</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45844</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45844</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45844</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45844</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45844</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45844</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45844</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45844</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45844</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45844</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45844</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45844</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45844</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45844</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45844</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45844</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45844</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45844</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45844</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45844</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45844</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45844</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45844</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45844</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45844</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45844</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45844</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45844</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45844</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45844</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45844</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45844</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45844</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45844</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45844</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45844</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45844</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45844</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45844</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45844</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45844</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45844</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45844</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45844</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45844</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45844</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45844</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45844</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45844</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45844</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45844</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45844</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45844</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45844</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45844</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45844</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45844</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45844</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45844</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45844</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45844</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45844</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45844</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45844</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45844</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45844</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45844</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45844</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45844</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45844</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45844</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45844</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45844</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45844</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45844</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45844</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45844</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45844</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45844</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45844</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45844</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45844</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45844</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45844</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45844</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45844</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45844</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45844</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45844</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45844</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45844</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45844</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45844</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45844</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45844</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45844</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45844</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45844</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45844</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45844</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45844</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45844</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45844</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45844</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45844</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45844</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45844</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45844</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45844</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45844</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45844</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45844</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45844</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45844</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45844</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45844</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45844</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45844</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45844</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45844</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45844</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45844</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45844</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45844</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45844</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45844</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45844</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45844</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45844</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45844</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45844</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45844</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45844</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45844</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45844</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45844</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45844</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45844</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45844</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45844</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45844</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45844</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45844</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45844</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45844</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45844</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45844</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45844</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45844</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45844</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45844</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45844</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45844</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45844</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45844</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45844</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45844</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45844</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45844</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45844</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45844</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45844</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45844</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45844</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45844</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45844</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45844</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45844</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45844</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45844</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45844</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45844</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45844</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45844</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45844</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45844</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45844</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45844</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45844</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45844</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45844</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45844</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45844</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45844</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45844</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45844</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45844</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45844</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45844</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45844</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45844</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45844</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45844</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45844</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45844</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45844</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45844</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45844</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45844</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45844</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45844</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45844</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45844</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45844</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45844</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45844</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45844</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45844</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45844</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45844</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45844</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45844</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45844</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45844</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45844</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45844</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45844</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45844</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45844</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45844</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45844</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45844</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45844</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45844</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45844</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45844</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45844</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45844</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45844</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45844</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45844</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45844</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45844</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45844</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45844</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45844</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45844</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45844</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45844</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45844</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45844</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45844</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45844</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45844</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45844</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45844</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45844</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45844</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45844</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45844</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45844</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45844</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45844</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45844</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45844</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45844</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45844</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45844</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45844</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45844</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45844</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45844</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45844</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45844</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45844</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45844</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45844</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45844</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45844</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45844</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45844</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45844</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45844</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45844</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45844</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45844</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45844</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45844</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45844</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45844</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45844</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45844</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45844</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45844</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45844</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45844</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45844</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45844</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45844</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45844</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45844</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45844</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45844</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45844</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45844</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45844</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45844</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45844</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45844</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45844</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45844</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45844</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45844</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45844</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45844</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45844</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45844</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45844</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45844</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45844</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45844</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45844</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45844</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45844</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45844</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45844</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45844</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45844</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45844</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45844</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45844</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45844</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45844</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45844</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45844</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45844</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45844</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45844</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45844</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45844</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45844</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45844</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45844</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45844</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45844</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45844</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45844</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45844</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45844</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45844</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45844</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45844</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45844</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45844</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45844</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45844</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45844</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45844</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45844</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45844</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45844</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45844</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45844</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45844</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45844</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45844</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45844</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45844</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45844</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45844</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45844</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45844</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45844</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45844</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45844</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45844</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45844</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45844</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45844</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45844</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45844</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45844</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45844</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45844</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45844</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45844</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45844</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45844</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45844</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45844</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45844</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45844</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45844</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45844</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45844</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45844</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45844</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45844</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45844</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45844</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45844</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45844</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45844</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45844</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45844</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45844</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45844</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45844</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45844</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45844</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45844</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45844</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45844</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45844</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45844</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45844</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45844</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45844</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45844</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45844</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45844</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45844</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45844</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45844</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45844</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45844</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45844</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45844</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45844</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45844</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45844</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45844</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45844</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45844</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45844</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45844</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45844</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45844</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45844</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45844</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45844</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45844</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45844</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45844</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45844</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45844</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45844</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45844</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45844</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45844</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45844</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45844</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45844</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45844</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45844</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45844</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45844</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45844</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45844</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45844</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45844</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45844</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45844</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45844</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45844</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30061-2025</t>
        </is>
      </c>
      <c r="B1153" s="1" t="n">
        <v>45826</v>
      </c>
      <c r="C1153" s="1" t="n">
        <v>45844</v>
      </c>
      <c r="D1153" t="inlineStr">
        <is>
          <t>GOTLANDS LÄN</t>
        </is>
      </c>
      <c r="E1153" t="inlineStr">
        <is>
          <t>GOTLAND</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45844</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30135-2025</t>
        </is>
      </c>
      <c r="B1155" s="1" t="n">
        <v>45826</v>
      </c>
      <c r="C1155" s="1" t="n">
        <v>45844</v>
      </c>
      <c r="D1155" t="inlineStr">
        <is>
          <t>GOTLANDS LÄN</t>
        </is>
      </c>
      <c r="E1155" t="inlineStr">
        <is>
          <t>GOTLAND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45844</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45844</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45844</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45844</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32378-2025</t>
        </is>
      </c>
      <c r="B1160" s="1" t="n">
        <v>45837</v>
      </c>
      <c r="C1160" s="1" t="n">
        <v>45844</v>
      </c>
      <c r="D1160" t="inlineStr">
        <is>
          <t>GOTLANDS LÄN</t>
        </is>
      </c>
      <c r="E1160" t="inlineStr">
        <is>
          <t>GOTLAND</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32379-2025</t>
        </is>
      </c>
      <c r="B1161" s="1" t="n">
        <v>45837</v>
      </c>
      <c r="C1161" s="1" t="n">
        <v>45844</v>
      </c>
      <c r="D1161" t="inlineStr">
        <is>
          <t>GOTLANDS LÄN</t>
        </is>
      </c>
      <c r="E1161" t="inlineStr">
        <is>
          <t>GOTLAND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32467-2025</t>
        </is>
      </c>
      <c r="B1162" s="1" t="n">
        <v>45838</v>
      </c>
      <c r="C1162" s="1" t="n">
        <v>45844</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32686-2025</t>
        </is>
      </c>
      <c r="B1163" s="1" t="n">
        <v>45838</v>
      </c>
      <c r="C1163" s="1" t="n">
        <v>45844</v>
      </c>
      <c r="D1163" t="inlineStr">
        <is>
          <t>GOTLANDS LÄN</t>
        </is>
      </c>
      <c r="E1163" t="inlineStr">
        <is>
          <t>GOTLAND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33011-2025</t>
        </is>
      </c>
      <c r="B1164" s="1" t="n">
        <v>45840</v>
      </c>
      <c r="C1164" s="1" t="n">
        <v>45844</v>
      </c>
      <c r="D1164" t="inlineStr">
        <is>
          <t>GOTLANDS LÄN</t>
        </is>
      </c>
      <c r="E1164" t="inlineStr">
        <is>
          <t>GOTLAND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33078-2025</t>
        </is>
      </c>
      <c r="B1165" s="1" t="n">
        <v>45840</v>
      </c>
      <c r="C1165" s="1" t="n">
        <v>45844</v>
      </c>
      <c r="D1165" t="inlineStr">
        <is>
          <t>GOTLANDS LÄN</t>
        </is>
      </c>
      <c r="E1165" t="inlineStr">
        <is>
          <t>GOTLAND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33007-2025</t>
        </is>
      </c>
      <c r="B1166" s="1" t="n">
        <v>45840</v>
      </c>
      <c r="C1166" s="1" t="n">
        <v>45844</v>
      </c>
      <c r="D1166" t="inlineStr">
        <is>
          <t>GOTLANDS LÄN</t>
        </is>
      </c>
      <c r="E1166" t="inlineStr">
        <is>
          <t>GOTLAND</t>
        </is>
      </c>
      <c r="G1166" t="n">
        <v>4.9</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45844</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2025-07-06T19:30:52Z</dcterms:created>
  <dcterms:modified xmlns:dcterms="http://purl.org/dc/terms/" xmlns:xsi="http://www.w3.org/2001/XMLSchema-instance" xsi:type="dcterms:W3CDTF">2025-07-06T19:30:54Z</dcterms:modified>
</cp:coreProperties>
</file>