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46038</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46038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46038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46038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46038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46038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46038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46038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46038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445-2023</t>
        </is>
      </c>
      <c r="B37" s="1" t="n">
        <v>44929</v>
      </c>
      <c r="C37" s="1" t="n">
        <v>46038</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44204-2022</t>
        </is>
      </c>
      <c r="B38" s="1" t="n">
        <v>44839</v>
      </c>
      <c r="C38" s="1" t="n">
        <v>46038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28287-2024</t>
        </is>
      </c>
      <c r="B39" s="1" t="n">
        <v>45477</v>
      </c>
      <c r="C39" s="1" t="n">
        <v>46038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46038</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46038</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46038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46038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46038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46038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46038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46038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46038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46038</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46038</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46038</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56687-2025</t>
        </is>
      </c>
      <c r="B65" s="1" t="n">
        <v>45975.84065972222</v>
      </c>
      <c r="C65" s="1" t="n">
        <v>46038</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46038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46038</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46038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46038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46038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46038</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46038</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46038</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16823-2024</t>
        </is>
      </c>
      <c r="B78" s="1" t="n">
        <v>45411</v>
      </c>
      <c r="C78" s="1" t="n">
        <v>46038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46038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46038</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46038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46038</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42936-2024</t>
        </is>
      </c>
      <c r="B83" s="1" t="n">
        <v>45567</v>
      </c>
      <c r="C83" s="1" t="n">
        <v>46038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46038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52245-2025</t>
        </is>
      </c>
      <c r="B85" s="1" t="n">
        <v>45953.47115740741</v>
      </c>
      <c r="C85" s="1" t="n">
        <v>46038</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16375-2025</t>
        </is>
      </c>
      <c r="B86" s="1" t="n">
        <v>45751.41064814815</v>
      </c>
      <c r="C86" s="1" t="n">
        <v>46038</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46038</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46038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46038</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46038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2485-2025</t>
        </is>
      </c>
      <c r="B91" s="1" t="n">
        <v>45673</v>
      </c>
      <c r="C91" s="1" t="n">
        <v>46038</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43197-2023</t>
        </is>
      </c>
      <c r="B92" s="1" t="n">
        <v>45183</v>
      </c>
      <c r="C92" s="1" t="n">
        <v>46038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5904-2024</t>
        </is>
      </c>
      <c r="B93" s="1" t="n">
        <v>45335</v>
      </c>
      <c r="C93" s="1" t="n">
        <v>46038</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46038</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1971-2023</t>
        </is>
      </c>
      <c r="B95" s="1" t="n">
        <v>44939</v>
      </c>
      <c r="C95" s="1" t="n">
        <v>46038</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56717-2024</t>
        </is>
      </c>
      <c r="B96" s="1" t="n">
        <v>45628.3166550926</v>
      </c>
      <c r="C96" s="1" t="n">
        <v>46038</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186-2023</t>
        </is>
      </c>
      <c r="B97" s="1" t="n">
        <v>44928</v>
      </c>
      <c r="C97" s="1" t="n">
        <v>46038</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8265-2023</t>
        </is>
      </c>
      <c r="B98" s="1" t="n">
        <v>44974</v>
      </c>
      <c r="C98" s="1" t="n">
        <v>46038</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52250-2025</t>
        </is>
      </c>
      <c r="B99" s="1" t="n">
        <v>45953.48998842593</v>
      </c>
      <c r="C99" s="1" t="n">
        <v>46038</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57463-2025</t>
        </is>
      </c>
      <c r="B100" s="1" t="n">
        <v>45980.54174768519</v>
      </c>
      <c r="C100" s="1" t="n">
        <v>46038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46038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44933-2022</t>
        </is>
      </c>
      <c r="B102" s="1" t="n">
        <v>44841</v>
      </c>
      <c r="C102" s="1" t="n">
        <v>46038</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20833-2024</t>
        </is>
      </c>
      <c r="B103" s="1" t="n">
        <v>45439</v>
      </c>
      <c r="C103" s="1" t="n">
        <v>46038</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46038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46038</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46038</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46038</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46038</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46038</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13499-2022</t>
        </is>
      </c>
      <c r="B112" s="1" t="n">
        <v>44647.79203703703</v>
      </c>
      <c r="C112" s="1" t="n">
        <v>46038</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45692.26797453704</v>
      </c>
      <c r="C113" s="1" t="n">
        <v>46038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17975-2024</t>
        </is>
      </c>
      <c r="B114" s="1" t="n">
        <v>45419.85546296297</v>
      </c>
      <c r="C114" s="1" t="n">
        <v>46038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17982-2023</t>
        </is>
      </c>
      <c r="B115" s="1" t="n">
        <v>45040</v>
      </c>
      <c r="C115" s="1" t="n">
        <v>46038</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55334-2024</t>
        </is>
      </c>
      <c r="B116" s="1" t="n">
        <v>45621</v>
      </c>
      <c r="C116" s="1" t="n">
        <v>46038</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46038</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53552-2021</t>
        </is>
      </c>
      <c r="B118" s="1" t="n">
        <v>44468</v>
      </c>
      <c r="C118" s="1" t="n">
        <v>46038</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46038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46038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46038</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20831-2024</t>
        </is>
      </c>
      <c r="B122" s="1" t="n">
        <v>45439</v>
      </c>
      <c r="C122" s="1" t="n">
        <v>46038</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46038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46038</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46038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46038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46038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46038</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46038</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46038</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26077-2024</t>
        </is>
      </c>
      <c r="B135" s="1" t="n">
        <v>45467</v>
      </c>
      <c r="C135" s="1" t="n">
        <v>46038</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63162-2025</t>
        </is>
      </c>
      <c r="B136" s="1" t="n">
        <v>46010.37629629629</v>
      </c>
      <c r="C136" s="1" t="n">
        <v>46038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43219-2023</t>
        </is>
      </c>
      <c r="B137" s="1" t="n">
        <v>45183</v>
      </c>
      <c r="C137" s="1" t="n">
        <v>46038</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62760-2025</t>
        </is>
      </c>
      <c r="B138" s="1" t="n">
        <v>46008</v>
      </c>
      <c r="C138" s="1" t="n">
        <v>46038</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46038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46038</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46038</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24245-2022</t>
        </is>
      </c>
      <c r="B144" s="1" t="n">
        <v>44725</v>
      </c>
      <c r="C144" s="1" t="n">
        <v>46038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46038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6303-2024</t>
        </is>
      </c>
      <c r="B146" s="1" t="n">
        <v>45338.35376157407</v>
      </c>
      <c r="C146" s="1" t="n">
        <v>46038</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44308-2021</t>
        </is>
      </c>
      <c r="B147" s="1" t="n">
        <v>44434</v>
      </c>
      <c r="C147" s="1" t="n">
        <v>46038</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62552-2022</t>
        </is>
      </c>
      <c r="B148" s="1" t="n">
        <v>44924</v>
      </c>
      <c r="C148" s="1" t="n">
        <v>46038</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46038</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65927-2021</t>
        </is>
      </c>
      <c r="B150" s="1" t="n">
        <v>44516</v>
      </c>
      <c r="C150" s="1" t="n">
        <v>46038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27589-2023</t>
        </is>
      </c>
      <c r="B151" s="1" t="n">
        <v>45097</v>
      </c>
      <c r="C151" s="1" t="n">
        <v>46038</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947-2023</t>
        </is>
      </c>
      <c r="B152" s="1" t="n">
        <v>44934</v>
      </c>
      <c r="C152" s="1" t="n">
        <v>46038</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2476-2025</t>
        </is>
      </c>
      <c r="B153" s="1" t="n">
        <v>45673</v>
      </c>
      <c r="C153" s="1" t="n">
        <v>46038</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61561-2023</t>
        </is>
      </c>
      <c r="B154" s="1" t="n">
        <v>45265</v>
      </c>
      <c r="C154" s="1" t="n">
        <v>46038</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12324-2025</t>
        </is>
      </c>
      <c r="B155" s="1" t="n">
        <v>45730</v>
      </c>
      <c r="C155" s="1" t="n">
        <v>46038</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13939-2021</t>
        </is>
      </c>
      <c r="B156" s="1" t="n">
        <v>44277</v>
      </c>
      <c r="C156" s="1" t="n">
        <v>46038</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44304-2021</t>
        </is>
      </c>
      <c r="B157" s="1" t="n">
        <v>44434</v>
      </c>
      <c r="C157" s="1" t="n">
        <v>46038</v>
      </c>
      <c r="D157" t="inlineStr">
        <is>
          <t>GOTLANDS LÄN</t>
        </is>
      </c>
      <c r="E157" t="inlineStr">
        <is>
          <t>GOTLAND</t>
        </is>
      </c>
      <c r="G157" t="n">
        <v>5.8</v>
      </c>
      <c r="H157" t="n">
        <v>0</v>
      </c>
      <c r="I157" t="n">
        <v>0</v>
      </c>
      <c r="J157" t="n">
        <v>1</v>
      </c>
      <c r="K157" t="n">
        <v>0</v>
      </c>
      <c r="L157" t="n">
        <v>0</v>
      </c>
      <c r="M157" t="n">
        <v>0</v>
      </c>
      <c r="N157" t="n">
        <v>0</v>
      </c>
      <c r="O157" t="n">
        <v>1</v>
      </c>
      <c r="P157" t="n">
        <v>0</v>
      </c>
      <c r="Q157" t="n">
        <v>1</v>
      </c>
      <c r="R157" s="2" t="inlineStr">
        <is>
          <t>Svinrot</t>
        </is>
      </c>
      <c r="S157">
        <f>HYPERLINK("https://klasma.github.io/Logging_0980/artfynd/A 44304-2021 artfynd.xlsx", "A 44304-2021")</f>
        <v/>
      </c>
      <c r="T157">
        <f>HYPERLINK("https://klasma.github.io/Logging_0980/kartor/A 44304-2021 karta.png", "A 44304-2021")</f>
        <v/>
      </c>
      <c r="V157">
        <f>HYPERLINK("https://klasma.github.io/Logging_0980/klagomål/A 44304-2021 FSC-klagomål.docx", "A 44304-2021")</f>
        <v/>
      </c>
      <c r="W157">
        <f>HYPERLINK("https://klasma.github.io/Logging_0980/klagomålsmail/A 44304-2021 FSC-klagomål mail.docx", "A 44304-2021")</f>
        <v/>
      </c>
      <c r="X157">
        <f>HYPERLINK("https://klasma.github.io/Logging_0980/tillsyn/A 44304-2021 tillsynsbegäran.docx", "A 44304-2021")</f>
        <v/>
      </c>
      <c r="Y157">
        <f>HYPERLINK("https://klasma.github.io/Logging_0980/tillsynsmail/A 44304-2021 tillsynsbegäran mail.docx", "A 44304-2021")</f>
        <v/>
      </c>
    </row>
    <row r="158" ht="15" customHeight="1">
      <c r="A158" t="inlineStr">
        <is>
          <t>A 447-2023</t>
        </is>
      </c>
      <c r="B158" s="1" t="n">
        <v>44929</v>
      </c>
      <c r="C158" s="1" t="n">
        <v>46038</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46527-2023</t>
        </is>
      </c>
      <c r="B159" s="1" t="n">
        <v>45197</v>
      </c>
      <c r="C159" s="1" t="n">
        <v>46038</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39812-2025</t>
        </is>
      </c>
      <c r="B160" s="1" t="n">
        <v>45891</v>
      </c>
      <c r="C160" s="1" t="n">
        <v>46038</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34809-2024</t>
        </is>
      </c>
      <c r="B161" s="1" t="n">
        <v>45526</v>
      </c>
      <c r="C161" s="1" t="n">
        <v>46038</v>
      </c>
      <c r="D161" t="inlineStr">
        <is>
          <t>GOTLANDS LÄN</t>
        </is>
      </c>
      <c r="E161" t="inlineStr">
        <is>
          <t>GOTLAND</t>
        </is>
      </c>
      <c r="G161" t="n">
        <v>9.9</v>
      </c>
      <c r="H161" t="n">
        <v>1</v>
      </c>
      <c r="I161" t="n">
        <v>0</v>
      </c>
      <c r="J161" t="n">
        <v>1</v>
      </c>
      <c r="K161" t="n">
        <v>0</v>
      </c>
      <c r="L161" t="n">
        <v>0</v>
      </c>
      <c r="M161" t="n">
        <v>0</v>
      </c>
      <c r="N161" t="n">
        <v>0</v>
      </c>
      <c r="O161" t="n">
        <v>1</v>
      </c>
      <c r="P161" t="n">
        <v>0</v>
      </c>
      <c r="Q161" t="n">
        <v>1</v>
      </c>
      <c r="R161" s="2" t="inlineStr">
        <is>
          <t>Brun ögontröst</t>
        </is>
      </c>
      <c r="S161">
        <f>HYPERLINK("https://klasma.github.io/Logging_0980/artfynd/A 34809-2024 artfynd.xlsx", "A 34809-2024")</f>
        <v/>
      </c>
      <c r="T161">
        <f>HYPERLINK("https://klasma.github.io/Logging_0980/kartor/A 34809-2024 karta.png", "A 34809-2024")</f>
        <v/>
      </c>
      <c r="V161">
        <f>HYPERLINK("https://klasma.github.io/Logging_0980/klagomål/A 34809-2024 FSC-klagomål.docx", "A 34809-2024")</f>
        <v/>
      </c>
      <c r="W161">
        <f>HYPERLINK("https://klasma.github.io/Logging_0980/klagomålsmail/A 34809-2024 FSC-klagomål mail.docx", "A 34809-2024")</f>
        <v/>
      </c>
      <c r="X161">
        <f>HYPERLINK("https://klasma.github.io/Logging_0980/tillsyn/A 34809-2024 tillsynsbegäran.docx", "A 34809-2024")</f>
        <v/>
      </c>
      <c r="Y161">
        <f>HYPERLINK("https://klasma.github.io/Logging_0980/tillsynsmail/A 34809-2024 tillsynsbegäran mail.docx", "A 34809-2024")</f>
        <v/>
      </c>
    </row>
    <row r="162" ht="15" customHeight="1">
      <c r="A162" t="inlineStr">
        <is>
          <t>A 49304-2024</t>
        </is>
      </c>
      <c r="B162" s="1" t="n">
        <v>45595.54996527778</v>
      </c>
      <c r="C162" s="1" t="n">
        <v>46038</v>
      </c>
      <c r="D162" t="inlineStr">
        <is>
          <t>GOTLANDS LÄN</t>
        </is>
      </c>
      <c r="E162" t="inlineStr">
        <is>
          <t>GOTLAND</t>
        </is>
      </c>
      <c r="G162" t="n">
        <v>10.8</v>
      </c>
      <c r="H162" t="n">
        <v>0</v>
      </c>
      <c r="I162" t="n">
        <v>0</v>
      </c>
      <c r="J162" t="n">
        <v>1</v>
      </c>
      <c r="K162" t="n">
        <v>0</v>
      </c>
      <c r="L162" t="n">
        <v>0</v>
      </c>
      <c r="M162" t="n">
        <v>0</v>
      </c>
      <c r="N162" t="n">
        <v>0</v>
      </c>
      <c r="O162" t="n">
        <v>1</v>
      </c>
      <c r="P162" t="n">
        <v>0</v>
      </c>
      <c r="Q162" t="n">
        <v>1</v>
      </c>
      <c r="R162" s="2" t="inlineStr">
        <is>
          <t>Åkerranunkel</t>
        </is>
      </c>
      <c r="S162">
        <f>HYPERLINK("https://klasma.github.io/Logging_0980/artfynd/A 49304-2024 artfynd.xlsx", "A 49304-2024")</f>
        <v/>
      </c>
      <c r="T162">
        <f>HYPERLINK("https://klasma.github.io/Logging_0980/kartor/A 49304-2024 karta.png", "A 49304-2024")</f>
        <v/>
      </c>
      <c r="V162">
        <f>HYPERLINK("https://klasma.github.io/Logging_0980/klagomål/A 49304-2024 FSC-klagomål.docx", "A 49304-2024")</f>
        <v/>
      </c>
      <c r="W162">
        <f>HYPERLINK("https://klasma.github.io/Logging_0980/klagomålsmail/A 49304-2024 FSC-klagomål mail.docx", "A 49304-2024")</f>
        <v/>
      </c>
      <c r="X162">
        <f>HYPERLINK("https://klasma.github.io/Logging_0980/tillsyn/A 49304-2024 tillsynsbegäran.docx", "A 49304-2024")</f>
        <v/>
      </c>
      <c r="Y162">
        <f>HYPERLINK("https://klasma.github.io/Logging_0980/tillsynsmail/A 49304-2024 tillsynsbegäran mail.docx", "A 49304-2024")</f>
        <v/>
      </c>
    </row>
    <row r="163" ht="15" customHeight="1">
      <c r="A163" t="inlineStr">
        <is>
          <t>A 17723-2021</t>
        </is>
      </c>
      <c r="B163" s="1" t="n">
        <v>44300</v>
      </c>
      <c r="C163" s="1" t="n">
        <v>46038</v>
      </c>
      <c r="D163" t="inlineStr">
        <is>
          <t>GOTLANDS LÄN</t>
        </is>
      </c>
      <c r="E163" t="inlineStr">
        <is>
          <t>GOTLAND</t>
        </is>
      </c>
      <c r="G163" t="n">
        <v>1.5</v>
      </c>
      <c r="H163" t="n">
        <v>1</v>
      </c>
      <c r="I163" t="n">
        <v>1</v>
      </c>
      <c r="J163" t="n">
        <v>0</v>
      </c>
      <c r="K163" t="n">
        <v>0</v>
      </c>
      <c r="L163" t="n">
        <v>0</v>
      </c>
      <c r="M163" t="n">
        <v>0</v>
      </c>
      <c r="N163" t="n">
        <v>0</v>
      </c>
      <c r="O163" t="n">
        <v>0</v>
      </c>
      <c r="P163" t="n">
        <v>0</v>
      </c>
      <c r="Q163" t="n">
        <v>1</v>
      </c>
      <c r="R163" s="2" t="inlineStr">
        <is>
          <t>Vit skogslilja</t>
        </is>
      </c>
      <c r="S163">
        <f>HYPERLINK("https://klasma.github.io/Logging_0980/artfynd/A 17723-2021 artfynd.xlsx", "A 17723-2021")</f>
        <v/>
      </c>
      <c r="T163">
        <f>HYPERLINK("https://klasma.github.io/Logging_0980/kartor/A 17723-2021 karta.png", "A 17723-2021")</f>
        <v/>
      </c>
      <c r="V163">
        <f>HYPERLINK("https://klasma.github.io/Logging_0980/klagomål/A 17723-2021 FSC-klagomål.docx", "A 17723-2021")</f>
        <v/>
      </c>
      <c r="W163">
        <f>HYPERLINK("https://klasma.github.io/Logging_0980/klagomålsmail/A 17723-2021 FSC-klagomål mail.docx", "A 17723-2021")</f>
        <v/>
      </c>
      <c r="X163">
        <f>HYPERLINK("https://klasma.github.io/Logging_0980/tillsyn/A 17723-2021 tillsynsbegäran.docx", "A 17723-2021")</f>
        <v/>
      </c>
      <c r="Y163">
        <f>HYPERLINK("https://klasma.github.io/Logging_0980/tillsynsmail/A 17723-2021 tillsynsbegäran mail.docx", "A 17723-2021")</f>
        <v/>
      </c>
    </row>
    <row r="164" ht="15" customHeight="1">
      <c r="A164" t="inlineStr">
        <is>
          <t>A 22782-2023</t>
        </is>
      </c>
      <c r="B164" s="1" t="n">
        <v>45072</v>
      </c>
      <c r="C164" s="1" t="n">
        <v>46038</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35467-2021</t>
        </is>
      </c>
      <c r="B165" s="1" t="n">
        <v>44385</v>
      </c>
      <c r="C165" s="1" t="n">
        <v>46038</v>
      </c>
      <c r="D165" t="inlineStr">
        <is>
          <t>GOTLANDS LÄN</t>
        </is>
      </c>
      <c r="E165" t="inlineStr">
        <is>
          <t>GOTLAND</t>
        </is>
      </c>
      <c r="G165" t="n">
        <v>12.7</v>
      </c>
      <c r="H165" t="n">
        <v>0</v>
      </c>
      <c r="I165" t="n">
        <v>0</v>
      </c>
      <c r="J165" t="n">
        <v>1</v>
      </c>
      <c r="K165" t="n">
        <v>0</v>
      </c>
      <c r="L165" t="n">
        <v>0</v>
      </c>
      <c r="M165" t="n">
        <v>0</v>
      </c>
      <c r="N165" t="n">
        <v>0</v>
      </c>
      <c r="O165" t="n">
        <v>1</v>
      </c>
      <c r="P165" t="n">
        <v>0</v>
      </c>
      <c r="Q165" t="n">
        <v>1</v>
      </c>
      <c r="R165" s="2" t="inlineStr">
        <is>
          <t>Loppstarr</t>
        </is>
      </c>
      <c r="S165">
        <f>HYPERLINK("https://klasma.github.io/Logging_0980/artfynd/A 35467-2021 artfynd.xlsx", "A 35467-2021")</f>
        <v/>
      </c>
      <c r="T165">
        <f>HYPERLINK("https://klasma.github.io/Logging_0980/kartor/A 35467-2021 karta.png", "A 35467-2021")</f>
        <v/>
      </c>
      <c r="V165">
        <f>HYPERLINK("https://klasma.github.io/Logging_0980/klagomål/A 35467-2021 FSC-klagomål.docx", "A 35467-2021")</f>
        <v/>
      </c>
      <c r="W165">
        <f>HYPERLINK("https://klasma.github.io/Logging_0980/klagomålsmail/A 35467-2021 FSC-klagomål mail.docx", "A 35467-2021")</f>
        <v/>
      </c>
      <c r="X165">
        <f>HYPERLINK("https://klasma.github.io/Logging_0980/tillsyn/A 35467-2021 tillsynsbegäran.docx", "A 35467-2021")</f>
        <v/>
      </c>
      <c r="Y165">
        <f>HYPERLINK("https://klasma.github.io/Logging_0980/tillsynsmail/A 35467-2021 tillsynsbegäran mail.docx", "A 35467-2021")</f>
        <v/>
      </c>
    </row>
    <row r="166" ht="15" customHeight="1">
      <c r="A166" t="inlineStr">
        <is>
          <t>A 44619-2025</t>
        </is>
      </c>
      <c r="B166" s="1" t="n">
        <v>45917</v>
      </c>
      <c r="C166" s="1" t="n">
        <v>46038</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Ögonpyrola</t>
        </is>
      </c>
      <c r="S166">
        <f>HYPERLINK("https://klasma.github.io/Logging_0980/artfynd/A 44619-2025 artfynd.xlsx", "A 44619-2025")</f>
        <v/>
      </c>
      <c r="T166">
        <f>HYPERLINK("https://klasma.github.io/Logging_0980/kartor/A 44619-2025 karta.png", "A 44619-2025")</f>
        <v/>
      </c>
      <c r="V166">
        <f>HYPERLINK("https://klasma.github.io/Logging_0980/klagomål/A 44619-2025 FSC-klagomål.docx", "A 44619-2025")</f>
        <v/>
      </c>
      <c r="W166">
        <f>HYPERLINK("https://klasma.github.io/Logging_0980/klagomålsmail/A 44619-2025 FSC-klagomål mail.docx", "A 44619-2025")</f>
        <v/>
      </c>
      <c r="X166">
        <f>HYPERLINK("https://klasma.github.io/Logging_0980/tillsyn/A 44619-2025 tillsynsbegäran.docx", "A 44619-2025")</f>
        <v/>
      </c>
      <c r="Y166">
        <f>HYPERLINK("https://klasma.github.io/Logging_0980/tillsynsmail/A 44619-2025 tillsynsbegäran mail.docx", "A 44619-2025")</f>
        <v/>
      </c>
    </row>
    <row r="167" ht="15" customHeight="1">
      <c r="A167" t="inlineStr">
        <is>
          <t>A 44088-2022</t>
        </is>
      </c>
      <c r="B167" s="1" t="n">
        <v>44839</v>
      </c>
      <c r="C167" s="1" t="n">
        <v>46038</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20429-2025</t>
        </is>
      </c>
      <c r="B168" s="1" t="n">
        <v>45775.47728009259</v>
      </c>
      <c r="C168" s="1" t="n">
        <v>46038</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49726-2025</t>
        </is>
      </c>
      <c r="B169" s="1" t="n">
        <v>45939.84466435185</v>
      </c>
      <c r="C169" s="1" t="n">
        <v>46038</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1477-2024</t>
        </is>
      </c>
      <c r="B170" s="1" t="n">
        <v>45305.37987268518</v>
      </c>
      <c r="C170" s="1" t="n">
        <v>46038</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7637-2025</t>
        </is>
      </c>
      <c r="B171" s="1" t="n">
        <v>45705.77181712963</v>
      </c>
      <c r="C171" s="1" t="n">
        <v>46038</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61796-2022</t>
        </is>
      </c>
      <c r="B172" s="1" t="n">
        <v>44917</v>
      </c>
      <c r="C172" s="1" t="n">
        <v>46038</v>
      </c>
      <c r="D172" t="inlineStr">
        <is>
          <t>GOTLANDS LÄN</t>
        </is>
      </c>
      <c r="E172" t="inlineStr">
        <is>
          <t>GOTLAND</t>
        </is>
      </c>
      <c r="G172" t="n">
        <v>1.5</v>
      </c>
      <c r="H172" t="n">
        <v>1</v>
      </c>
      <c r="I172" t="n">
        <v>0</v>
      </c>
      <c r="J172" t="n">
        <v>0</v>
      </c>
      <c r="K172" t="n">
        <v>0</v>
      </c>
      <c r="L172" t="n">
        <v>0</v>
      </c>
      <c r="M172" t="n">
        <v>0</v>
      </c>
      <c r="N172" t="n">
        <v>0</v>
      </c>
      <c r="O172" t="n">
        <v>0</v>
      </c>
      <c r="P172" t="n">
        <v>0</v>
      </c>
      <c r="Q172" t="n">
        <v>1</v>
      </c>
      <c r="R172" s="2" t="inlineStr">
        <is>
          <t>Skogsduva</t>
        </is>
      </c>
      <c r="S172">
        <f>HYPERLINK("https://klasma.github.io/Logging_0980/artfynd/A 61796-2022 artfynd.xlsx", "A 61796-2022")</f>
        <v/>
      </c>
      <c r="T172">
        <f>HYPERLINK("https://klasma.github.io/Logging_0980/kartor/A 61796-2022 karta.png", "A 61796-2022")</f>
        <v/>
      </c>
      <c r="V172">
        <f>HYPERLINK("https://klasma.github.io/Logging_0980/klagomål/A 61796-2022 FSC-klagomål.docx", "A 61796-2022")</f>
        <v/>
      </c>
      <c r="W172">
        <f>HYPERLINK("https://klasma.github.io/Logging_0980/klagomålsmail/A 61796-2022 FSC-klagomål mail.docx", "A 61796-2022")</f>
        <v/>
      </c>
      <c r="X172">
        <f>HYPERLINK("https://klasma.github.io/Logging_0980/tillsyn/A 61796-2022 tillsynsbegäran.docx", "A 61796-2022")</f>
        <v/>
      </c>
      <c r="Y172">
        <f>HYPERLINK("https://klasma.github.io/Logging_0980/tillsynsmail/A 61796-2022 tillsynsbegäran mail.docx", "A 61796-2022")</f>
        <v/>
      </c>
      <c r="Z172">
        <f>HYPERLINK("https://klasma.github.io/Logging_0980/fåglar/A 61796-2022 prioriterade fågelarter.docx", "A 61796-2022")</f>
        <v/>
      </c>
    </row>
    <row r="173" ht="15" customHeight="1">
      <c r="A173" t="inlineStr">
        <is>
          <t>A 10218-2025</t>
        </is>
      </c>
      <c r="B173" s="1" t="n">
        <v>45720</v>
      </c>
      <c r="C173" s="1" t="n">
        <v>46038</v>
      </c>
      <c r="D173" t="inlineStr">
        <is>
          <t>GOTLANDS LÄN</t>
        </is>
      </c>
      <c r="E173" t="inlineStr">
        <is>
          <t>GOTLAND</t>
        </is>
      </c>
      <c r="G173" t="n">
        <v>8.1</v>
      </c>
      <c r="H173" t="n">
        <v>0</v>
      </c>
      <c r="I173" t="n">
        <v>1</v>
      </c>
      <c r="J173" t="n">
        <v>0</v>
      </c>
      <c r="K173" t="n">
        <v>0</v>
      </c>
      <c r="L173" t="n">
        <v>0</v>
      </c>
      <c r="M173" t="n">
        <v>0</v>
      </c>
      <c r="N173" t="n">
        <v>0</v>
      </c>
      <c r="O173" t="n">
        <v>0</v>
      </c>
      <c r="P173" t="n">
        <v>0</v>
      </c>
      <c r="Q173" t="n">
        <v>1</v>
      </c>
      <c r="R173" s="2" t="inlineStr">
        <is>
          <t>Kalktallört</t>
        </is>
      </c>
      <c r="S173">
        <f>HYPERLINK("https://klasma.github.io/Logging_0980/artfynd/A 10218-2025 artfynd.xlsx", "A 10218-2025")</f>
        <v/>
      </c>
      <c r="T173">
        <f>HYPERLINK("https://klasma.github.io/Logging_0980/kartor/A 10218-2025 karta.png", "A 10218-2025")</f>
        <v/>
      </c>
      <c r="V173">
        <f>HYPERLINK("https://klasma.github.io/Logging_0980/klagomål/A 10218-2025 FSC-klagomål.docx", "A 10218-2025")</f>
        <v/>
      </c>
      <c r="W173">
        <f>HYPERLINK("https://klasma.github.io/Logging_0980/klagomålsmail/A 10218-2025 FSC-klagomål mail.docx", "A 10218-2025")</f>
        <v/>
      </c>
      <c r="X173">
        <f>HYPERLINK("https://klasma.github.io/Logging_0980/tillsyn/A 10218-2025 tillsynsbegäran.docx", "A 10218-2025")</f>
        <v/>
      </c>
      <c r="Y173">
        <f>HYPERLINK("https://klasma.github.io/Logging_0980/tillsynsmail/A 10218-2025 tillsynsbegäran mail.docx", "A 10218-2025")</f>
        <v/>
      </c>
    </row>
    <row r="174" ht="15" customHeight="1">
      <c r="A174" t="inlineStr">
        <is>
          <t>A 12379-2024</t>
        </is>
      </c>
      <c r="B174" s="1" t="n">
        <v>45379.28155092592</v>
      </c>
      <c r="C174" s="1" t="n">
        <v>46038</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46038</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46038</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46038</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46038</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63149-2025</t>
        </is>
      </c>
      <c r="B179" s="1" t="n">
        <v>46010</v>
      </c>
      <c r="C179" s="1" t="n">
        <v>46038</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Anisspindling</t>
        </is>
      </c>
      <c r="S179">
        <f>HYPERLINK("https://klasma.github.io/Logging_0980/artfynd/A 63149-2025 artfynd.xlsx", "A 63149-2025")</f>
        <v/>
      </c>
      <c r="T179">
        <f>HYPERLINK("https://klasma.github.io/Logging_0980/kartor/A 63149-2025 karta.png", "A 63149-2025")</f>
        <v/>
      </c>
      <c r="V179">
        <f>HYPERLINK("https://klasma.github.io/Logging_0980/klagomål/A 63149-2025 FSC-klagomål.docx", "A 63149-2025")</f>
        <v/>
      </c>
      <c r="W179">
        <f>HYPERLINK("https://klasma.github.io/Logging_0980/klagomålsmail/A 63149-2025 FSC-klagomål mail.docx", "A 63149-2025")</f>
        <v/>
      </c>
      <c r="X179">
        <f>HYPERLINK("https://klasma.github.io/Logging_0980/tillsyn/A 63149-2025 tillsynsbegäran.docx", "A 63149-2025")</f>
        <v/>
      </c>
      <c r="Y179">
        <f>HYPERLINK("https://klasma.github.io/Logging_0980/tillsynsmail/A 63149-2025 tillsynsbegäran mail.docx", "A 63149-2025")</f>
        <v/>
      </c>
    </row>
    <row r="180" ht="15" customHeight="1">
      <c r="A180" t="inlineStr">
        <is>
          <t>A 49847-2023</t>
        </is>
      </c>
      <c r="B180" s="1" t="n">
        <v>45212</v>
      </c>
      <c r="C180" s="1" t="n">
        <v>46038</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46038</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46038</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46038</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46038</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46038</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9862-2024</t>
        </is>
      </c>
      <c r="B186" s="1" t="n">
        <v>45363</v>
      </c>
      <c r="C186" s="1" t="n">
        <v>46038</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34141-2024</t>
        </is>
      </c>
      <c r="B187" s="1" t="n">
        <v>45524.36229166666</v>
      </c>
      <c r="C187" s="1" t="n">
        <v>46038</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12924-2025</t>
        </is>
      </c>
      <c r="B188" s="1" t="n">
        <v>45734</v>
      </c>
      <c r="C188" s="1" t="n">
        <v>46038</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46038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46038</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46038</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46038</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46038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46038</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46038</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46038</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46038</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46038</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46038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46038</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46038</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46038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46038</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46038</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46038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46038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46038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46038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46038</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46038</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46038</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46038</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46038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46038</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46038</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46038</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46038</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46038</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46038</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46038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46038</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46038</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46038</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46038</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46038</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46038</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46038</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46038</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46038</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46038</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46038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46038</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46038</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456-2023</t>
        </is>
      </c>
      <c r="B244" s="1" t="n">
        <v>44929.87122685185</v>
      </c>
      <c r="C244" s="1" t="n">
        <v>46038</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46038</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27694-2024</t>
        </is>
      </c>
      <c r="B246" s="1" t="n">
        <v>45475</v>
      </c>
      <c r="C246" s="1" t="n">
        <v>46038</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46038</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39764-2022</t>
        </is>
      </c>
      <c r="B248" s="1" t="n">
        <v>44819</v>
      </c>
      <c r="C248" s="1" t="n">
        <v>46038</v>
      </c>
      <c r="D248" t="inlineStr">
        <is>
          <t>GOTLANDS LÄN</t>
        </is>
      </c>
      <c r="E248" t="inlineStr">
        <is>
          <t>GOTLAND</t>
        </is>
      </c>
      <c r="F248" t="inlineStr">
        <is>
          <t>Kyrkan</t>
        </is>
      </c>
      <c r="G248" t="n">
        <v>3.7</v>
      </c>
      <c r="H248" t="n">
        <v>0</v>
      </c>
      <c r="I248" t="n">
        <v>0</v>
      </c>
      <c r="J248" t="n">
        <v>0</v>
      </c>
      <c r="K248" t="n">
        <v>0</v>
      </c>
      <c r="L248" t="n">
        <v>0</v>
      </c>
      <c r="M248" t="n">
        <v>0</v>
      </c>
      <c r="N248" t="n">
        <v>0</v>
      </c>
      <c r="O248" t="n">
        <v>0</v>
      </c>
      <c r="P248" t="n">
        <v>0</v>
      </c>
      <c r="Q248" t="n">
        <v>0</v>
      </c>
      <c r="R248" s="2" t="inlineStr"/>
    </row>
    <row r="249" ht="15" customHeight="1">
      <c r="A249" t="inlineStr">
        <is>
          <t>A 6099-2024</t>
        </is>
      </c>
      <c r="B249" s="1" t="n">
        <v>45337</v>
      </c>
      <c r="C249" s="1" t="n">
        <v>46038</v>
      </c>
      <c r="D249" t="inlineStr">
        <is>
          <t>GOTLANDS LÄN</t>
        </is>
      </c>
      <c r="E249" t="inlineStr">
        <is>
          <t>GOTLAND</t>
        </is>
      </c>
      <c r="G249" t="n">
        <v>12.6</v>
      </c>
      <c r="H249" t="n">
        <v>0</v>
      </c>
      <c r="I249" t="n">
        <v>0</v>
      </c>
      <c r="J249" t="n">
        <v>0</v>
      </c>
      <c r="K249" t="n">
        <v>0</v>
      </c>
      <c r="L249" t="n">
        <v>0</v>
      </c>
      <c r="M249" t="n">
        <v>0</v>
      </c>
      <c r="N249" t="n">
        <v>0</v>
      </c>
      <c r="O249" t="n">
        <v>0</v>
      </c>
      <c r="P249" t="n">
        <v>0</v>
      </c>
      <c r="Q249" t="n">
        <v>0</v>
      </c>
      <c r="R249" s="2" t="inlineStr"/>
    </row>
    <row r="250" ht="15" customHeight="1">
      <c r="A250" t="inlineStr">
        <is>
          <t>A 8260-2023</t>
        </is>
      </c>
      <c r="B250" s="1" t="n">
        <v>44974.61608796296</v>
      </c>
      <c r="C250" s="1" t="n">
        <v>46038</v>
      </c>
      <c r="D250" t="inlineStr">
        <is>
          <t>GOTLANDS LÄN</t>
        </is>
      </c>
      <c r="E250" t="inlineStr">
        <is>
          <t>GOTLAND</t>
        </is>
      </c>
      <c r="G250" t="n">
        <v>2.9</v>
      </c>
      <c r="H250" t="n">
        <v>0</v>
      </c>
      <c r="I250" t="n">
        <v>0</v>
      </c>
      <c r="J250" t="n">
        <v>0</v>
      </c>
      <c r="K250" t="n">
        <v>0</v>
      </c>
      <c r="L250" t="n">
        <v>0</v>
      </c>
      <c r="M250" t="n">
        <v>0</v>
      </c>
      <c r="N250" t="n">
        <v>0</v>
      </c>
      <c r="O250" t="n">
        <v>0</v>
      </c>
      <c r="P250" t="n">
        <v>0</v>
      </c>
      <c r="Q250" t="n">
        <v>0</v>
      </c>
      <c r="R250" s="2" t="inlineStr"/>
    </row>
    <row r="251" ht="15" customHeight="1">
      <c r="A251" t="inlineStr">
        <is>
          <t>A 22287-2022</t>
        </is>
      </c>
      <c r="B251" s="1" t="n">
        <v>44712</v>
      </c>
      <c r="C251" s="1" t="n">
        <v>46038</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57534-2022</t>
        </is>
      </c>
      <c r="B252" s="1" t="n">
        <v>44896</v>
      </c>
      <c r="C252" s="1" t="n">
        <v>46038</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46038</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46038</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56009-2024</t>
        </is>
      </c>
      <c r="B255" s="1" t="n">
        <v>45623.80864583333</v>
      </c>
      <c r="C255" s="1" t="n">
        <v>46038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20165-2022</t>
        </is>
      </c>
      <c r="B256" s="1" t="n">
        <v>44698.49854166667</v>
      </c>
      <c r="C256" s="1" t="n">
        <v>46038</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54073-2022</t>
        </is>
      </c>
      <c r="B257" s="1" t="n">
        <v>44881.50380787037</v>
      </c>
      <c r="C257" s="1" t="n">
        <v>46038</v>
      </c>
      <c r="D257" t="inlineStr">
        <is>
          <t>GOTLANDS LÄN</t>
        </is>
      </c>
      <c r="E257" t="inlineStr">
        <is>
          <t>GOTLAND</t>
        </is>
      </c>
      <c r="G257" t="n">
        <v>3.8</v>
      </c>
      <c r="H257" t="n">
        <v>0</v>
      </c>
      <c r="I257" t="n">
        <v>0</v>
      </c>
      <c r="J257" t="n">
        <v>0</v>
      </c>
      <c r="K257" t="n">
        <v>0</v>
      </c>
      <c r="L257" t="n">
        <v>0</v>
      </c>
      <c r="M257" t="n">
        <v>0</v>
      </c>
      <c r="N257" t="n">
        <v>0</v>
      </c>
      <c r="O257" t="n">
        <v>0</v>
      </c>
      <c r="P257" t="n">
        <v>0</v>
      </c>
      <c r="Q257" t="n">
        <v>0</v>
      </c>
      <c r="R257" s="2" t="inlineStr"/>
    </row>
    <row r="258" ht="15" customHeight="1">
      <c r="A258" t="inlineStr">
        <is>
          <t>A 40294-2022</t>
        </is>
      </c>
      <c r="B258" s="1" t="n">
        <v>44821</v>
      </c>
      <c r="C258" s="1" t="n">
        <v>46038</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27602-2023</t>
        </is>
      </c>
      <c r="B259" s="1" t="n">
        <v>45097</v>
      </c>
      <c r="C259" s="1" t="n">
        <v>46038</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58780-2024</t>
        </is>
      </c>
      <c r="B260" s="1" t="n">
        <v>45635.84113425926</v>
      </c>
      <c r="C260" s="1" t="n">
        <v>46038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12322-2025</t>
        </is>
      </c>
      <c r="B261" s="1" t="n">
        <v>45730</v>
      </c>
      <c r="C261" s="1" t="n">
        <v>46038</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46038</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64660-2023</t>
        </is>
      </c>
      <c r="B263" s="1" t="n">
        <v>45281.60122685185</v>
      </c>
      <c r="C263" s="1" t="n">
        <v>46038</v>
      </c>
      <c r="D263" t="inlineStr">
        <is>
          <t>GOTLANDS LÄN</t>
        </is>
      </c>
      <c r="E263" t="inlineStr">
        <is>
          <t>GOTLAND</t>
        </is>
      </c>
      <c r="G263" t="n">
        <v>6.3</v>
      </c>
      <c r="H263" t="n">
        <v>0</v>
      </c>
      <c r="I263" t="n">
        <v>0</v>
      </c>
      <c r="J263" t="n">
        <v>0</v>
      </c>
      <c r="K263" t="n">
        <v>0</v>
      </c>
      <c r="L263" t="n">
        <v>0</v>
      </c>
      <c r="M263" t="n">
        <v>0</v>
      </c>
      <c r="N263" t="n">
        <v>0</v>
      </c>
      <c r="O263" t="n">
        <v>0</v>
      </c>
      <c r="P263" t="n">
        <v>0</v>
      </c>
      <c r="Q263" t="n">
        <v>0</v>
      </c>
      <c r="R263" s="2" t="inlineStr"/>
    </row>
    <row r="264" ht="15" customHeight="1">
      <c r="A264" t="inlineStr">
        <is>
          <t>A 45106-2024</t>
        </is>
      </c>
      <c r="B264" s="1" t="n">
        <v>45575</v>
      </c>
      <c r="C264" s="1" t="n">
        <v>46038</v>
      </c>
      <c r="D264" t="inlineStr">
        <is>
          <t>GOTLANDS LÄN</t>
        </is>
      </c>
      <c r="E264" t="inlineStr">
        <is>
          <t>GOTLAND</t>
        </is>
      </c>
      <c r="G264" t="n">
        <v>10</v>
      </c>
      <c r="H264" t="n">
        <v>0</v>
      </c>
      <c r="I264" t="n">
        <v>0</v>
      </c>
      <c r="J264" t="n">
        <v>0</v>
      </c>
      <c r="K264" t="n">
        <v>0</v>
      </c>
      <c r="L264" t="n">
        <v>0</v>
      </c>
      <c r="M264" t="n">
        <v>0</v>
      </c>
      <c r="N264" t="n">
        <v>0</v>
      </c>
      <c r="O264" t="n">
        <v>0</v>
      </c>
      <c r="P264" t="n">
        <v>0</v>
      </c>
      <c r="Q264" t="n">
        <v>0</v>
      </c>
      <c r="R264" s="2" t="inlineStr"/>
    </row>
    <row r="265" ht="15" customHeight="1">
      <c r="A265" t="inlineStr">
        <is>
          <t>A 45112-2024</t>
        </is>
      </c>
      <c r="B265" s="1" t="n">
        <v>45575</v>
      </c>
      <c r="C265" s="1" t="n">
        <v>46038</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24192-2023</t>
        </is>
      </c>
      <c r="B266" s="1" t="n">
        <v>45079</v>
      </c>
      <c r="C266" s="1" t="n">
        <v>46038</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30282-2022</t>
        </is>
      </c>
      <c r="B267" s="1" t="n">
        <v>44760</v>
      </c>
      <c r="C267" s="1" t="n">
        <v>46038</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7026-2023</t>
        </is>
      </c>
      <c r="B268" s="1" t="n">
        <v>44968.30340277778</v>
      </c>
      <c r="C268" s="1" t="n">
        <v>46038</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7835-2024</t>
        </is>
      </c>
      <c r="B269" s="1" t="n">
        <v>45349.83138888889</v>
      </c>
      <c r="C269" s="1" t="n">
        <v>46038</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10650-2022</t>
        </is>
      </c>
      <c r="B270" s="1" t="n">
        <v>44624.57945601852</v>
      </c>
      <c r="C270" s="1" t="n">
        <v>46038</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52892-2021</t>
        </is>
      </c>
      <c r="B271" s="1" t="n">
        <v>44467.49048611111</v>
      </c>
      <c r="C271" s="1" t="n">
        <v>46038</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1351-2025</t>
        </is>
      </c>
      <c r="B272" s="1" t="n">
        <v>45667.62246527777</v>
      </c>
      <c r="C272" s="1" t="n">
        <v>46038</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26810-2021</t>
        </is>
      </c>
      <c r="B273" s="1" t="n">
        <v>44349.55087962963</v>
      </c>
      <c r="C273" s="1" t="n">
        <v>46038</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45597.49274305555</v>
      </c>
      <c r="C274" s="1" t="n">
        <v>46038</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20855-2023</t>
        </is>
      </c>
      <c r="B275" s="1" t="n">
        <v>45058.82172453704</v>
      </c>
      <c r="C275" s="1" t="n">
        <v>46038</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46038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28425-2023</t>
        </is>
      </c>
      <c r="B277" s="1" t="n">
        <v>45102</v>
      </c>
      <c r="C277" s="1" t="n">
        <v>46038</v>
      </c>
      <c r="D277" t="inlineStr">
        <is>
          <t>GOTLANDS LÄN</t>
        </is>
      </c>
      <c r="E277" t="inlineStr">
        <is>
          <t>GOTLAND</t>
        </is>
      </c>
      <c r="G277" t="n">
        <v>0.5</v>
      </c>
      <c r="H277" t="n">
        <v>0</v>
      </c>
      <c r="I277" t="n">
        <v>0</v>
      </c>
      <c r="J277" t="n">
        <v>0</v>
      </c>
      <c r="K277" t="n">
        <v>0</v>
      </c>
      <c r="L277" t="n">
        <v>0</v>
      </c>
      <c r="M277" t="n">
        <v>0</v>
      </c>
      <c r="N277" t="n">
        <v>0</v>
      </c>
      <c r="O277" t="n">
        <v>0</v>
      </c>
      <c r="P277" t="n">
        <v>0</v>
      </c>
      <c r="Q277" t="n">
        <v>0</v>
      </c>
      <c r="R277" s="2" t="inlineStr"/>
    </row>
    <row r="278" ht="15" customHeight="1">
      <c r="A278" t="inlineStr">
        <is>
          <t>A 13037-2025</t>
        </is>
      </c>
      <c r="B278" s="1" t="n">
        <v>45734</v>
      </c>
      <c r="C278" s="1" t="n">
        <v>46038</v>
      </c>
      <c r="D278" t="inlineStr">
        <is>
          <t>GOTLANDS LÄN</t>
        </is>
      </c>
      <c r="E278" t="inlineStr">
        <is>
          <t>GOTLAND</t>
        </is>
      </c>
      <c r="G278" t="n">
        <v>9.5</v>
      </c>
      <c r="H278" t="n">
        <v>0</v>
      </c>
      <c r="I278" t="n">
        <v>0</v>
      </c>
      <c r="J278" t="n">
        <v>0</v>
      </c>
      <c r="K278" t="n">
        <v>0</v>
      </c>
      <c r="L278" t="n">
        <v>0</v>
      </c>
      <c r="M278" t="n">
        <v>0</v>
      </c>
      <c r="N278" t="n">
        <v>0</v>
      </c>
      <c r="O278" t="n">
        <v>0</v>
      </c>
      <c r="P278" t="n">
        <v>0</v>
      </c>
      <c r="Q278" t="n">
        <v>0</v>
      </c>
      <c r="R278" s="2" t="inlineStr"/>
    </row>
    <row r="279" ht="15" customHeight="1">
      <c r="A279" t="inlineStr">
        <is>
          <t>A 60709-2023</t>
        </is>
      </c>
      <c r="B279" s="1" t="n">
        <v>45260</v>
      </c>
      <c r="C279" s="1" t="n">
        <v>46038</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51782-2023</t>
        </is>
      </c>
      <c r="B280" s="1" t="n">
        <v>45222.80952546297</v>
      </c>
      <c r="C280" s="1" t="n">
        <v>46038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1000-2024</t>
        </is>
      </c>
      <c r="B281" s="1" t="n">
        <v>45301.63371527778</v>
      </c>
      <c r="C281" s="1" t="n">
        <v>46038</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1010-2024</t>
        </is>
      </c>
      <c r="B282" s="1" t="n">
        <v>45301</v>
      </c>
      <c r="C282" s="1" t="n">
        <v>46038</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65249-2023</t>
        </is>
      </c>
      <c r="B283" s="1" t="n">
        <v>45290</v>
      </c>
      <c r="C283" s="1" t="n">
        <v>46038</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60675-2021</t>
        </is>
      </c>
      <c r="B284" s="1" t="n">
        <v>44496.64855324074</v>
      </c>
      <c r="C284" s="1" t="n">
        <v>46038</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5217-2023</t>
        </is>
      </c>
      <c r="B285" s="1" t="n">
        <v>44959.39582175926</v>
      </c>
      <c r="C285" s="1" t="n">
        <v>46038</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46038</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14638-2025</t>
        </is>
      </c>
      <c r="B287" s="1" t="n">
        <v>45742</v>
      </c>
      <c r="C287" s="1" t="n">
        <v>46038</v>
      </c>
      <c r="D287" t="inlineStr">
        <is>
          <t>GOTLANDS LÄN</t>
        </is>
      </c>
      <c r="E287" t="inlineStr">
        <is>
          <t>GOTLAND</t>
        </is>
      </c>
      <c r="G287" t="n">
        <v>13.4</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46038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4421-2024</t>
        </is>
      </c>
      <c r="B289" s="1" t="n">
        <v>45327.45173611111</v>
      </c>
      <c r="C289" s="1" t="n">
        <v>46038</v>
      </c>
      <c r="D289" t="inlineStr">
        <is>
          <t>GOTLANDS LÄN</t>
        </is>
      </c>
      <c r="E289" t="inlineStr">
        <is>
          <t>GOTLAND</t>
        </is>
      </c>
      <c r="G289" t="n">
        <v>5.1</v>
      </c>
      <c r="H289" t="n">
        <v>0</v>
      </c>
      <c r="I289" t="n">
        <v>0</v>
      </c>
      <c r="J289" t="n">
        <v>0</v>
      </c>
      <c r="K289" t="n">
        <v>0</v>
      </c>
      <c r="L289" t="n">
        <v>0</v>
      </c>
      <c r="M289" t="n">
        <v>0</v>
      </c>
      <c r="N289" t="n">
        <v>0</v>
      </c>
      <c r="O289" t="n">
        <v>0</v>
      </c>
      <c r="P289" t="n">
        <v>0</v>
      </c>
      <c r="Q289" t="n">
        <v>0</v>
      </c>
      <c r="R289" s="2" t="inlineStr"/>
    </row>
    <row r="290" ht="15" customHeight="1">
      <c r="A290" t="inlineStr">
        <is>
          <t>A 8045-2022</t>
        </is>
      </c>
      <c r="B290" s="1" t="n">
        <v>44609</v>
      </c>
      <c r="C290" s="1" t="n">
        <v>46038</v>
      </c>
      <c r="D290" t="inlineStr">
        <is>
          <t>GOTLANDS LÄN</t>
        </is>
      </c>
      <c r="E290" t="inlineStr">
        <is>
          <t>GOTLAND</t>
        </is>
      </c>
      <c r="G290" t="n">
        <v>7</v>
      </c>
      <c r="H290" t="n">
        <v>0</v>
      </c>
      <c r="I290" t="n">
        <v>0</v>
      </c>
      <c r="J290" t="n">
        <v>0</v>
      </c>
      <c r="K290" t="n">
        <v>0</v>
      </c>
      <c r="L290" t="n">
        <v>0</v>
      </c>
      <c r="M290" t="n">
        <v>0</v>
      </c>
      <c r="N290" t="n">
        <v>0</v>
      </c>
      <c r="O290" t="n">
        <v>0</v>
      </c>
      <c r="P290" t="n">
        <v>0</v>
      </c>
      <c r="Q290" t="n">
        <v>0</v>
      </c>
      <c r="R290" s="2" t="inlineStr"/>
    </row>
    <row r="291" ht="15" customHeight="1">
      <c r="A291" t="inlineStr">
        <is>
          <t>A 33876-2024</t>
        </is>
      </c>
      <c r="B291" s="1" t="n">
        <v>45521.87988425926</v>
      </c>
      <c r="C291" s="1" t="n">
        <v>46038</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10746-2025</t>
        </is>
      </c>
      <c r="B292" s="1" t="n">
        <v>45722.42766203704</v>
      </c>
      <c r="C292" s="1" t="n">
        <v>46038</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46189-2022</t>
        </is>
      </c>
      <c r="B293" s="1" t="n">
        <v>44847</v>
      </c>
      <c r="C293" s="1" t="n">
        <v>46038</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57522-2022</t>
        </is>
      </c>
      <c r="B294" s="1" t="n">
        <v>44896</v>
      </c>
      <c r="C294" s="1" t="n">
        <v>46038</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14797-2024</t>
        </is>
      </c>
      <c r="B295" s="1" t="n">
        <v>45397.87030092593</v>
      </c>
      <c r="C295" s="1" t="n">
        <v>46038</v>
      </c>
      <c r="D295" t="inlineStr">
        <is>
          <t>GOTLANDS LÄN</t>
        </is>
      </c>
      <c r="E295" t="inlineStr">
        <is>
          <t>GOTLAND</t>
        </is>
      </c>
      <c r="G295" t="n">
        <v>8.1</v>
      </c>
      <c r="H295" t="n">
        <v>0</v>
      </c>
      <c r="I295" t="n">
        <v>0</v>
      </c>
      <c r="J295" t="n">
        <v>0</v>
      </c>
      <c r="K295" t="n">
        <v>0</v>
      </c>
      <c r="L295" t="n">
        <v>0</v>
      </c>
      <c r="M295" t="n">
        <v>0</v>
      </c>
      <c r="N295" t="n">
        <v>0</v>
      </c>
      <c r="O295" t="n">
        <v>0</v>
      </c>
      <c r="P295" t="n">
        <v>0</v>
      </c>
      <c r="Q295" t="n">
        <v>0</v>
      </c>
      <c r="R295" s="2" t="inlineStr"/>
    </row>
    <row r="296" ht="15" customHeight="1">
      <c r="A296" t="inlineStr">
        <is>
          <t>A 7837-2024</t>
        </is>
      </c>
      <c r="B296" s="1" t="n">
        <v>45349.83787037037</v>
      </c>
      <c r="C296" s="1" t="n">
        <v>46038</v>
      </c>
      <c r="D296" t="inlineStr">
        <is>
          <t>GOTLANDS LÄN</t>
        </is>
      </c>
      <c r="E296" t="inlineStr">
        <is>
          <t>GOTLAND</t>
        </is>
      </c>
      <c r="G296" t="n">
        <v>5</v>
      </c>
      <c r="H296" t="n">
        <v>0</v>
      </c>
      <c r="I296" t="n">
        <v>0</v>
      </c>
      <c r="J296" t="n">
        <v>0</v>
      </c>
      <c r="K296" t="n">
        <v>0</v>
      </c>
      <c r="L296" t="n">
        <v>0</v>
      </c>
      <c r="M296" t="n">
        <v>0</v>
      </c>
      <c r="N296" t="n">
        <v>0</v>
      </c>
      <c r="O296" t="n">
        <v>0</v>
      </c>
      <c r="P296" t="n">
        <v>0</v>
      </c>
      <c r="Q296" t="n">
        <v>0</v>
      </c>
      <c r="R296" s="2" t="inlineStr"/>
    </row>
    <row r="297" ht="15" customHeight="1">
      <c r="A297" t="inlineStr">
        <is>
          <t>A 999-2024</t>
        </is>
      </c>
      <c r="B297" s="1" t="n">
        <v>45301</v>
      </c>
      <c r="C297" s="1" t="n">
        <v>46038</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65901-2021</t>
        </is>
      </c>
      <c r="B298" s="1" t="n">
        <v>44516</v>
      </c>
      <c r="C298" s="1" t="n">
        <v>46038</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47762-2023</t>
        </is>
      </c>
      <c r="B299" s="1" t="n">
        <v>45203.86256944444</v>
      </c>
      <c r="C299" s="1" t="n">
        <v>46038</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44936.72997685185</v>
      </c>
      <c r="C300" s="1" t="n">
        <v>46038</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999-2023</t>
        </is>
      </c>
      <c r="B301" s="1" t="n">
        <v>44935</v>
      </c>
      <c r="C301" s="1" t="n">
        <v>46038</v>
      </c>
      <c r="D301" t="inlineStr">
        <is>
          <t>GOTLANDS LÄN</t>
        </is>
      </c>
      <c r="E301" t="inlineStr">
        <is>
          <t>GOTLAND</t>
        </is>
      </c>
      <c r="G301" t="n">
        <v>4.7</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46038</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4387-2023</t>
        </is>
      </c>
      <c r="B303" s="1" t="n">
        <v>44955.73359953704</v>
      </c>
      <c r="C303" s="1" t="n">
        <v>46038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1364-2025</t>
        </is>
      </c>
      <c r="B304" s="1" t="n">
        <v>45667.63929398148</v>
      </c>
      <c r="C304" s="1" t="n">
        <v>46038</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2125-2025</t>
        </is>
      </c>
      <c r="B305" s="1" t="n">
        <v>45672.64940972222</v>
      </c>
      <c r="C305" s="1" t="n">
        <v>46038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43229-2023</t>
        </is>
      </c>
      <c r="B306" s="1" t="n">
        <v>45183.46704861111</v>
      </c>
      <c r="C306" s="1" t="n">
        <v>46038</v>
      </c>
      <c r="D306" t="inlineStr">
        <is>
          <t>GOTLANDS LÄN</t>
        </is>
      </c>
      <c r="E306" t="inlineStr">
        <is>
          <t>GOTLAND</t>
        </is>
      </c>
      <c r="G306" t="n">
        <v>7.1</v>
      </c>
      <c r="H306" t="n">
        <v>0</v>
      </c>
      <c r="I306" t="n">
        <v>0</v>
      </c>
      <c r="J306" t="n">
        <v>0</v>
      </c>
      <c r="K306" t="n">
        <v>0</v>
      </c>
      <c r="L306" t="n">
        <v>0</v>
      </c>
      <c r="M306" t="n">
        <v>0</v>
      </c>
      <c r="N306" t="n">
        <v>0</v>
      </c>
      <c r="O306" t="n">
        <v>0</v>
      </c>
      <c r="P306" t="n">
        <v>0</v>
      </c>
      <c r="Q306" t="n">
        <v>0</v>
      </c>
      <c r="R306" s="2" t="inlineStr"/>
    </row>
    <row r="307" ht="15" customHeight="1">
      <c r="A307" t="inlineStr">
        <is>
          <t>A 49411-2023</t>
        </is>
      </c>
      <c r="B307" s="1" t="n">
        <v>45205</v>
      </c>
      <c r="C307" s="1" t="n">
        <v>46038</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37728-2024</t>
        </is>
      </c>
      <c r="B308" s="1" t="n">
        <v>45541</v>
      </c>
      <c r="C308" s="1" t="n">
        <v>46038</v>
      </c>
      <c r="D308" t="inlineStr">
        <is>
          <t>GOTLANDS LÄN</t>
        </is>
      </c>
      <c r="E308" t="inlineStr">
        <is>
          <t>GOTLAND</t>
        </is>
      </c>
      <c r="G308" t="n">
        <v>0.4</v>
      </c>
      <c r="H308" t="n">
        <v>0</v>
      </c>
      <c r="I308" t="n">
        <v>0</v>
      </c>
      <c r="J308" t="n">
        <v>0</v>
      </c>
      <c r="K308" t="n">
        <v>0</v>
      </c>
      <c r="L308" t="n">
        <v>0</v>
      </c>
      <c r="M308" t="n">
        <v>0</v>
      </c>
      <c r="N308" t="n">
        <v>0</v>
      </c>
      <c r="O308" t="n">
        <v>0</v>
      </c>
      <c r="P308" t="n">
        <v>0</v>
      </c>
      <c r="Q308" t="n">
        <v>0</v>
      </c>
      <c r="R308" s="2" t="inlineStr"/>
    </row>
    <row r="309" ht="15" customHeight="1">
      <c r="A309" t="inlineStr">
        <is>
          <t>A 41038-2023</t>
        </is>
      </c>
      <c r="B309" s="1" t="n">
        <v>45173.60959490741</v>
      </c>
      <c r="C309" s="1" t="n">
        <v>46038</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2241-2025</t>
        </is>
      </c>
      <c r="B310" s="1" t="n">
        <v>45673.48710648148</v>
      </c>
      <c r="C310" s="1" t="n">
        <v>46038</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43223-2023</t>
        </is>
      </c>
      <c r="B311" s="1" t="n">
        <v>45183.45642361111</v>
      </c>
      <c r="C311" s="1" t="n">
        <v>46038</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14141-2024</t>
        </is>
      </c>
      <c r="B312" s="1" t="n">
        <v>45392.85193287037</v>
      </c>
      <c r="C312" s="1" t="n">
        <v>46038</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12155-2023</t>
        </is>
      </c>
      <c r="B313" s="1" t="n">
        <v>44998.49106481481</v>
      </c>
      <c r="C313" s="1" t="n">
        <v>46038</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61962-2024</t>
        </is>
      </c>
      <c r="B314" s="1" t="n">
        <v>45653.54340277778</v>
      </c>
      <c r="C314" s="1" t="n">
        <v>46038</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22275-2023</t>
        </is>
      </c>
      <c r="B315" s="1" t="n">
        <v>45070.39875</v>
      </c>
      <c r="C315" s="1" t="n">
        <v>46038</v>
      </c>
      <c r="D315" t="inlineStr">
        <is>
          <t>GOTLANDS LÄN</t>
        </is>
      </c>
      <c r="E315" t="inlineStr">
        <is>
          <t>GOTLAND</t>
        </is>
      </c>
      <c r="G315" t="n">
        <v>7.2</v>
      </c>
      <c r="H315" t="n">
        <v>0</v>
      </c>
      <c r="I315" t="n">
        <v>0</v>
      </c>
      <c r="J315" t="n">
        <v>0</v>
      </c>
      <c r="K315" t="n">
        <v>0</v>
      </c>
      <c r="L315" t="n">
        <v>0</v>
      </c>
      <c r="M315" t="n">
        <v>0</v>
      </c>
      <c r="N315" t="n">
        <v>0</v>
      </c>
      <c r="O315" t="n">
        <v>0</v>
      </c>
      <c r="P315" t="n">
        <v>0</v>
      </c>
      <c r="Q315" t="n">
        <v>0</v>
      </c>
      <c r="R315" s="2" t="inlineStr"/>
    </row>
    <row r="316" ht="15" customHeight="1">
      <c r="A316" t="inlineStr">
        <is>
          <t>A 14635-2023</t>
        </is>
      </c>
      <c r="B316" s="1" t="n">
        <v>45013.69365740741</v>
      </c>
      <c r="C316" s="1" t="n">
        <v>46038</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63763-2023</t>
        </is>
      </c>
      <c r="B317" s="1" t="n">
        <v>45278.33944444444</v>
      </c>
      <c r="C317" s="1" t="n">
        <v>46038</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2774-2024</t>
        </is>
      </c>
      <c r="B318" s="1" t="n">
        <v>45314.62375</v>
      </c>
      <c r="C318" s="1" t="n">
        <v>46038</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24966-2023</t>
        </is>
      </c>
      <c r="B319" s="1" t="n">
        <v>45085</v>
      </c>
      <c r="C319" s="1" t="n">
        <v>46038</v>
      </c>
      <c r="D319" t="inlineStr">
        <is>
          <t>GOTLANDS LÄN</t>
        </is>
      </c>
      <c r="E319" t="inlineStr">
        <is>
          <t>GOTLAND</t>
        </is>
      </c>
      <c r="G319" t="n">
        <v>7</v>
      </c>
      <c r="H319" t="n">
        <v>0</v>
      </c>
      <c r="I319" t="n">
        <v>0</v>
      </c>
      <c r="J319" t="n">
        <v>0</v>
      </c>
      <c r="K319" t="n">
        <v>0</v>
      </c>
      <c r="L319" t="n">
        <v>0</v>
      </c>
      <c r="M319" t="n">
        <v>0</v>
      </c>
      <c r="N319" t="n">
        <v>0</v>
      </c>
      <c r="O319" t="n">
        <v>0</v>
      </c>
      <c r="P319" t="n">
        <v>0</v>
      </c>
      <c r="Q319" t="n">
        <v>0</v>
      </c>
      <c r="R319" s="2" t="inlineStr"/>
    </row>
    <row r="320" ht="15" customHeight="1">
      <c r="A320" t="inlineStr">
        <is>
          <t>A 27930-2021</t>
        </is>
      </c>
      <c r="B320" s="1" t="n">
        <v>44354</v>
      </c>
      <c r="C320" s="1" t="n">
        <v>46038</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46038</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46038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46038</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59469-2024</t>
        </is>
      </c>
      <c r="B324" s="1" t="n">
        <v>45638</v>
      </c>
      <c r="C324" s="1" t="n">
        <v>46038</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57652-2023</t>
        </is>
      </c>
      <c r="B325" s="1" t="n">
        <v>45246</v>
      </c>
      <c r="C325" s="1" t="n">
        <v>46038</v>
      </c>
      <c r="D325" t="inlineStr">
        <is>
          <t>GOTLANDS LÄN</t>
        </is>
      </c>
      <c r="E325" t="inlineStr">
        <is>
          <t>GOTLAND</t>
        </is>
      </c>
      <c r="G325" t="n">
        <v>7.2</v>
      </c>
      <c r="H325" t="n">
        <v>0</v>
      </c>
      <c r="I325" t="n">
        <v>0</v>
      </c>
      <c r="J325" t="n">
        <v>0</v>
      </c>
      <c r="K325" t="n">
        <v>0</v>
      </c>
      <c r="L325" t="n">
        <v>0</v>
      </c>
      <c r="M325" t="n">
        <v>0</v>
      </c>
      <c r="N325" t="n">
        <v>0</v>
      </c>
      <c r="O325" t="n">
        <v>0</v>
      </c>
      <c r="P325" t="n">
        <v>0</v>
      </c>
      <c r="Q325" t="n">
        <v>0</v>
      </c>
      <c r="R325" s="2" t="inlineStr"/>
    </row>
    <row r="326" ht="15" customHeight="1">
      <c r="A326" t="inlineStr">
        <is>
          <t>A 61682-2024</t>
        </is>
      </c>
      <c r="B326" s="1" t="n">
        <v>45647.48824074074</v>
      </c>
      <c r="C326" s="1" t="n">
        <v>46038</v>
      </c>
      <c r="D326" t="inlineStr">
        <is>
          <t>GOTLANDS LÄN</t>
        </is>
      </c>
      <c r="E326" t="inlineStr">
        <is>
          <t>GOTLAND</t>
        </is>
      </c>
      <c r="G326" t="n">
        <v>1.9</v>
      </c>
      <c r="H326" t="n">
        <v>0</v>
      </c>
      <c r="I326" t="n">
        <v>0</v>
      </c>
      <c r="J326" t="n">
        <v>0</v>
      </c>
      <c r="K326" t="n">
        <v>0</v>
      </c>
      <c r="L326" t="n">
        <v>0</v>
      </c>
      <c r="M326" t="n">
        <v>0</v>
      </c>
      <c r="N326" t="n">
        <v>0</v>
      </c>
      <c r="O326" t="n">
        <v>0</v>
      </c>
      <c r="P326" t="n">
        <v>0</v>
      </c>
      <c r="Q326" t="n">
        <v>0</v>
      </c>
      <c r="R326" s="2" t="inlineStr"/>
    </row>
    <row r="327" ht="15" customHeight="1">
      <c r="A327" t="inlineStr">
        <is>
          <t>A 15434-2024</t>
        </is>
      </c>
      <c r="B327" s="1" t="n">
        <v>45401.38836805556</v>
      </c>
      <c r="C327" s="1" t="n">
        <v>46038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9947-2024</t>
        </is>
      </c>
      <c r="B328" s="1" t="n">
        <v>45363</v>
      </c>
      <c r="C328" s="1" t="n">
        <v>46038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18993-2025</t>
        </is>
      </c>
      <c r="B329" s="1" t="n">
        <v>45764</v>
      </c>
      <c r="C329" s="1" t="n">
        <v>46038</v>
      </c>
      <c r="D329" t="inlineStr">
        <is>
          <t>GOTLANDS LÄN</t>
        </is>
      </c>
      <c r="E329" t="inlineStr">
        <is>
          <t>GOTLAND</t>
        </is>
      </c>
      <c r="G329" t="n">
        <v>3</v>
      </c>
      <c r="H329" t="n">
        <v>0</v>
      </c>
      <c r="I329" t="n">
        <v>0</v>
      </c>
      <c r="J329" t="n">
        <v>0</v>
      </c>
      <c r="K329" t="n">
        <v>0</v>
      </c>
      <c r="L329" t="n">
        <v>0</v>
      </c>
      <c r="M329" t="n">
        <v>0</v>
      </c>
      <c r="N329" t="n">
        <v>0</v>
      </c>
      <c r="O329" t="n">
        <v>0</v>
      </c>
      <c r="P329" t="n">
        <v>0</v>
      </c>
      <c r="Q329" t="n">
        <v>0</v>
      </c>
      <c r="R329" s="2" t="inlineStr"/>
    </row>
    <row r="330" ht="15" customHeight="1">
      <c r="A330" t="inlineStr">
        <is>
          <t>A 30135-2025</t>
        </is>
      </c>
      <c r="B330" s="1" t="n">
        <v>45826</v>
      </c>
      <c r="C330" s="1" t="n">
        <v>46038</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42007-2023</t>
        </is>
      </c>
      <c r="B331" s="1" t="n">
        <v>45177</v>
      </c>
      <c r="C331" s="1" t="n">
        <v>46038</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7034-2023</t>
        </is>
      </c>
      <c r="B332" s="1" t="n">
        <v>44968.32108796296</v>
      </c>
      <c r="C332" s="1" t="n">
        <v>46038</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7042-2023</t>
        </is>
      </c>
      <c r="B333" s="1" t="n">
        <v>44968</v>
      </c>
      <c r="C333" s="1" t="n">
        <v>46038</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2180-2025</t>
        </is>
      </c>
      <c r="B334" s="1" t="n">
        <v>45673</v>
      </c>
      <c r="C334" s="1" t="n">
        <v>46038</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12599-2025</t>
        </is>
      </c>
      <c r="B335" s="1" t="n">
        <v>45733.29546296296</v>
      </c>
      <c r="C335" s="1" t="n">
        <v>46038</v>
      </c>
      <c r="D335" t="inlineStr">
        <is>
          <t>GOTLANDS LÄN</t>
        </is>
      </c>
      <c r="E335" t="inlineStr">
        <is>
          <t>GOTLAND</t>
        </is>
      </c>
      <c r="G335" t="n">
        <v>4.7</v>
      </c>
      <c r="H335" t="n">
        <v>0</v>
      </c>
      <c r="I335" t="n">
        <v>0</v>
      </c>
      <c r="J335" t="n">
        <v>0</v>
      </c>
      <c r="K335" t="n">
        <v>0</v>
      </c>
      <c r="L335" t="n">
        <v>0</v>
      </c>
      <c r="M335" t="n">
        <v>0</v>
      </c>
      <c r="N335" t="n">
        <v>0</v>
      </c>
      <c r="O335" t="n">
        <v>0</v>
      </c>
      <c r="P335" t="n">
        <v>0</v>
      </c>
      <c r="Q335" t="n">
        <v>0</v>
      </c>
      <c r="R335" s="2" t="inlineStr"/>
    </row>
    <row r="336" ht="15" customHeight="1">
      <c r="A336" t="inlineStr">
        <is>
          <t>A 54074-2022</t>
        </is>
      </c>
      <c r="B336" s="1" t="n">
        <v>44881</v>
      </c>
      <c r="C336" s="1" t="n">
        <v>46038</v>
      </c>
      <c r="D336" t="inlineStr">
        <is>
          <t>GOTLANDS LÄN</t>
        </is>
      </c>
      <c r="E336" t="inlineStr">
        <is>
          <t>GOTLAND</t>
        </is>
      </c>
      <c r="G336" t="n">
        <v>0.9</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46038</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61694-2023</t>
        </is>
      </c>
      <c r="B338" s="1" t="n">
        <v>45264</v>
      </c>
      <c r="C338" s="1" t="n">
        <v>46038</v>
      </c>
      <c r="D338" t="inlineStr">
        <is>
          <t>GOTLANDS LÄN</t>
        </is>
      </c>
      <c r="E338" t="inlineStr">
        <is>
          <t>GOTLAND</t>
        </is>
      </c>
      <c r="G338" t="n">
        <v>4.6</v>
      </c>
      <c r="H338" t="n">
        <v>0</v>
      </c>
      <c r="I338" t="n">
        <v>0</v>
      </c>
      <c r="J338" t="n">
        <v>0</v>
      </c>
      <c r="K338" t="n">
        <v>0</v>
      </c>
      <c r="L338" t="n">
        <v>0</v>
      </c>
      <c r="M338" t="n">
        <v>0</v>
      </c>
      <c r="N338" t="n">
        <v>0</v>
      </c>
      <c r="O338" t="n">
        <v>0</v>
      </c>
      <c r="P338" t="n">
        <v>0</v>
      </c>
      <c r="Q338" t="n">
        <v>0</v>
      </c>
      <c r="R338" s="2" t="inlineStr"/>
    </row>
    <row r="339" ht="15" customHeight="1">
      <c r="A339" t="inlineStr">
        <is>
          <t>A 6696-2023</t>
        </is>
      </c>
      <c r="B339" s="1" t="n">
        <v>44966.66425925926</v>
      </c>
      <c r="C339" s="1" t="n">
        <v>46038</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46038</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46038</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64208-2021</t>
        </is>
      </c>
      <c r="B342" s="1" t="n">
        <v>44510</v>
      </c>
      <c r="C342" s="1" t="n">
        <v>46038</v>
      </c>
      <c r="D342" t="inlineStr">
        <is>
          <t>GOTLANDS LÄN</t>
        </is>
      </c>
      <c r="E342" t="inlineStr">
        <is>
          <t>GOTLAND</t>
        </is>
      </c>
      <c r="G342" t="n">
        <v>4.7</v>
      </c>
      <c r="H342" t="n">
        <v>0</v>
      </c>
      <c r="I342" t="n">
        <v>0</v>
      </c>
      <c r="J342" t="n">
        <v>0</v>
      </c>
      <c r="K342" t="n">
        <v>0</v>
      </c>
      <c r="L342" t="n">
        <v>0</v>
      </c>
      <c r="M342" t="n">
        <v>0</v>
      </c>
      <c r="N342" t="n">
        <v>0</v>
      </c>
      <c r="O342" t="n">
        <v>0</v>
      </c>
      <c r="P342" t="n">
        <v>0</v>
      </c>
      <c r="Q342" t="n">
        <v>0</v>
      </c>
      <c r="R342" s="2" t="inlineStr"/>
    </row>
    <row r="343" ht="15" customHeight="1">
      <c r="A343" t="inlineStr">
        <is>
          <t>A 4990-2025</t>
        </is>
      </c>
      <c r="B343" s="1" t="n">
        <v>45691</v>
      </c>
      <c r="C343" s="1" t="n">
        <v>46038</v>
      </c>
      <c r="D343" t="inlineStr">
        <is>
          <t>GOTLANDS LÄN</t>
        </is>
      </c>
      <c r="E343" t="inlineStr">
        <is>
          <t>GOTLAND</t>
        </is>
      </c>
      <c r="G343" t="n">
        <v>7.7</v>
      </c>
      <c r="H343" t="n">
        <v>0</v>
      </c>
      <c r="I343" t="n">
        <v>0</v>
      </c>
      <c r="J343" t="n">
        <v>0</v>
      </c>
      <c r="K343" t="n">
        <v>0</v>
      </c>
      <c r="L343" t="n">
        <v>0</v>
      </c>
      <c r="M343" t="n">
        <v>0</v>
      </c>
      <c r="N343" t="n">
        <v>0</v>
      </c>
      <c r="O343" t="n">
        <v>0</v>
      </c>
      <c r="P343" t="n">
        <v>0</v>
      </c>
      <c r="Q343" t="n">
        <v>0</v>
      </c>
      <c r="R343" s="2" t="inlineStr"/>
    </row>
    <row r="344" ht="15" customHeight="1">
      <c r="A344" t="inlineStr">
        <is>
          <t>A 15083-2025</t>
        </is>
      </c>
      <c r="B344" s="1" t="n">
        <v>45743</v>
      </c>
      <c r="C344" s="1" t="n">
        <v>46038</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54268-2022</t>
        </is>
      </c>
      <c r="B345" s="1" t="n">
        <v>44882</v>
      </c>
      <c r="C345" s="1" t="n">
        <v>46038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1446-2025</t>
        </is>
      </c>
      <c r="B346" s="1" t="n">
        <v>45669.86035879629</v>
      </c>
      <c r="C346" s="1" t="n">
        <v>46038</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1462-2025</t>
        </is>
      </c>
      <c r="B347" s="1" t="n">
        <v>45670.36319444444</v>
      </c>
      <c r="C347" s="1" t="n">
        <v>46038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57685-2022</t>
        </is>
      </c>
      <c r="B348" s="1" t="n">
        <v>44897.4777662037</v>
      </c>
      <c r="C348" s="1" t="n">
        <v>46038</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811-2023</t>
        </is>
      </c>
      <c r="B349" s="1" t="n">
        <v>44931</v>
      </c>
      <c r="C349" s="1" t="n">
        <v>46038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46038</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5905-2024</t>
        </is>
      </c>
      <c r="B351" s="1" t="n">
        <v>45335.88993055555</v>
      </c>
      <c r="C351" s="1" t="n">
        <v>46038</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3431-2025</t>
        </is>
      </c>
      <c r="B352" s="1" t="n">
        <v>45680.42935185185</v>
      </c>
      <c r="C352" s="1" t="n">
        <v>46038</v>
      </c>
      <c r="D352" t="inlineStr">
        <is>
          <t>GOTLANDS LÄN</t>
        </is>
      </c>
      <c r="E352" t="inlineStr">
        <is>
          <t>GOTLAND</t>
        </is>
      </c>
      <c r="G352" t="n">
        <v>4.8</v>
      </c>
      <c r="H352" t="n">
        <v>0</v>
      </c>
      <c r="I352" t="n">
        <v>0</v>
      </c>
      <c r="J352" t="n">
        <v>0</v>
      </c>
      <c r="K352" t="n">
        <v>0</v>
      </c>
      <c r="L352" t="n">
        <v>0</v>
      </c>
      <c r="M352" t="n">
        <v>0</v>
      </c>
      <c r="N352" t="n">
        <v>0</v>
      </c>
      <c r="O352" t="n">
        <v>0</v>
      </c>
      <c r="P352" t="n">
        <v>0</v>
      </c>
      <c r="Q352" t="n">
        <v>0</v>
      </c>
      <c r="R352" s="2" t="inlineStr"/>
    </row>
    <row r="353" ht="15" customHeight="1">
      <c r="A353" t="inlineStr">
        <is>
          <t>A 34407-2023</t>
        </is>
      </c>
      <c r="B353" s="1" t="n">
        <v>45132</v>
      </c>
      <c r="C353" s="1" t="n">
        <v>46038</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30892-2024</t>
        </is>
      </c>
      <c r="B354" s="1" t="n">
        <v>45491</v>
      </c>
      <c r="C354" s="1" t="n">
        <v>46038</v>
      </c>
      <c r="D354" t="inlineStr">
        <is>
          <t>GOTLANDS LÄN</t>
        </is>
      </c>
      <c r="E354" t="inlineStr">
        <is>
          <t>GOTLAND</t>
        </is>
      </c>
      <c r="G354" t="n">
        <v>6.1</v>
      </c>
      <c r="H354" t="n">
        <v>0</v>
      </c>
      <c r="I354" t="n">
        <v>0</v>
      </c>
      <c r="J354" t="n">
        <v>0</v>
      </c>
      <c r="K354" t="n">
        <v>0</v>
      </c>
      <c r="L354" t="n">
        <v>0</v>
      </c>
      <c r="M354" t="n">
        <v>0</v>
      </c>
      <c r="N354" t="n">
        <v>0</v>
      </c>
      <c r="O354" t="n">
        <v>0</v>
      </c>
      <c r="P354" t="n">
        <v>0</v>
      </c>
      <c r="Q354" t="n">
        <v>0</v>
      </c>
      <c r="R354" s="2" t="inlineStr"/>
    </row>
    <row r="355" ht="15" customHeight="1">
      <c r="A355" t="inlineStr">
        <is>
          <t>A 32958-2021</t>
        </is>
      </c>
      <c r="B355" s="1" t="n">
        <v>44376</v>
      </c>
      <c r="C355" s="1" t="n">
        <v>46038</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38165-2023</t>
        </is>
      </c>
      <c r="B356" s="1" t="n">
        <v>45161</v>
      </c>
      <c r="C356" s="1" t="n">
        <v>46038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2292-2021</t>
        </is>
      </c>
      <c r="B357" s="1" t="n">
        <v>44212</v>
      </c>
      <c r="C357" s="1" t="n">
        <v>46038</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46038</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1066-2024</t>
        </is>
      </c>
      <c r="B359" s="1" t="n">
        <v>45302.285</v>
      </c>
      <c r="C359" s="1" t="n">
        <v>46038</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35141-2025</t>
        </is>
      </c>
      <c r="B360" s="1" t="n">
        <v>45852.65206018519</v>
      </c>
      <c r="C360" s="1" t="n">
        <v>46038</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7858-2025</t>
        </is>
      </c>
      <c r="B361" s="1" t="n">
        <v>45706.68633101852</v>
      </c>
      <c r="C361" s="1" t="n">
        <v>46038</v>
      </c>
      <c r="D361" t="inlineStr">
        <is>
          <t>GOTLANDS LÄN</t>
        </is>
      </c>
      <c r="E361" t="inlineStr">
        <is>
          <t>GOTLAND</t>
        </is>
      </c>
      <c r="G361" t="n">
        <v>3</v>
      </c>
      <c r="H361" t="n">
        <v>0</v>
      </c>
      <c r="I361" t="n">
        <v>0</v>
      </c>
      <c r="J361" t="n">
        <v>0</v>
      </c>
      <c r="K361" t="n">
        <v>0</v>
      </c>
      <c r="L361" t="n">
        <v>0</v>
      </c>
      <c r="M361" t="n">
        <v>0</v>
      </c>
      <c r="N361" t="n">
        <v>0</v>
      </c>
      <c r="O361" t="n">
        <v>0</v>
      </c>
      <c r="P361" t="n">
        <v>0</v>
      </c>
      <c r="Q361" t="n">
        <v>0</v>
      </c>
      <c r="R361" s="2" t="inlineStr"/>
    </row>
    <row r="362" ht="15" customHeight="1">
      <c r="A362" t="inlineStr">
        <is>
          <t>A 46545-2024</t>
        </is>
      </c>
      <c r="B362" s="1" t="n">
        <v>45582.65831018519</v>
      </c>
      <c r="C362" s="1" t="n">
        <v>46038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37202-2024</t>
        </is>
      </c>
      <c r="B363" s="1" t="n">
        <v>45539.67310185185</v>
      </c>
      <c r="C363" s="1" t="n">
        <v>46038</v>
      </c>
      <c r="D363" t="inlineStr">
        <is>
          <t>GOTLANDS LÄN</t>
        </is>
      </c>
      <c r="E363" t="inlineStr">
        <is>
          <t>GOTLAND</t>
        </is>
      </c>
      <c r="G363" t="n">
        <v>0.3</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46038</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46400-2023</t>
        </is>
      </c>
      <c r="B365" s="1" t="n">
        <v>45197.49290509259</v>
      </c>
      <c r="C365" s="1" t="n">
        <v>46038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39849-2025</t>
        </is>
      </c>
      <c r="B366" s="1" t="n">
        <v>45891.58502314815</v>
      </c>
      <c r="C366" s="1" t="n">
        <v>46038</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10492-2023</t>
        </is>
      </c>
      <c r="B367" s="1" t="n">
        <v>44987</v>
      </c>
      <c r="C367" s="1" t="n">
        <v>46038</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39814-2025</t>
        </is>
      </c>
      <c r="B368" s="1" t="n">
        <v>45891.52694444444</v>
      </c>
      <c r="C368" s="1" t="n">
        <v>46038</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39819-2025</t>
        </is>
      </c>
      <c r="B369" s="1" t="n">
        <v>45891.53418981482</v>
      </c>
      <c r="C369" s="1" t="n">
        <v>46038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39752-2025</t>
        </is>
      </c>
      <c r="B370" s="1" t="n">
        <v>45891</v>
      </c>
      <c r="C370" s="1" t="n">
        <v>46038</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39816-2025</t>
        </is>
      </c>
      <c r="B371" s="1" t="n">
        <v>45891</v>
      </c>
      <c r="C371" s="1" t="n">
        <v>46038</v>
      </c>
      <c r="D371" t="inlineStr">
        <is>
          <t>GOTLANDS LÄN</t>
        </is>
      </c>
      <c r="E371" t="inlineStr">
        <is>
          <t>GOTLAND</t>
        </is>
      </c>
      <c r="G371" t="n">
        <v>0.9</v>
      </c>
      <c r="H371" t="n">
        <v>0</v>
      </c>
      <c r="I371" t="n">
        <v>0</v>
      </c>
      <c r="J371" t="n">
        <v>0</v>
      </c>
      <c r="K371" t="n">
        <v>0</v>
      </c>
      <c r="L371" t="n">
        <v>0</v>
      </c>
      <c r="M371" t="n">
        <v>0</v>
      </c>
      <c r="N371" t="n">
        <v>0</v>
      </c>
      <c r="O371" t="n">
        <v>0</v>
      </c>
      <c r="P371" t="n">
        <v>0</v>
      </c>
      <c r="Q371" t="n">
        <v>0</v>
      </c>
      <c r="R371" s="2" t="inlineStr"/>
    </row>
    <row r="372" ht="15" customHeight="1">
      <c r="A372" t="inlineStr">
        <is>
          <t>A 40372-2025</t>
        </is>
      </c>
      <c r="B372" s="1" t="n">
        <v>45895.5162037037</v>
      </c>
      <c r="C372" s="1" t="n">
        <v>46038</v>
      </c>
      <c r="D372" t="inlineStr">
        <is>
          <t>GOTLANDS LÄN</t>
        </is>
      </c>
      <c r="E372" t="inlineStr">
        <is>
          <t>GOTLAND</t>
        </is>
      </c>
      <c r="G372" t="n">
        <v>3.3</v>
      </c>
      <c r="H372" t="n">
        <v>0</v>
      </c>
      <c r="I372" t="n">
        <v>0</v>
      </c>
      <c r="J372" t="n">
        <v>0</v>
      </c>
      <c r="K372" t="n">
        <v>0</v>
      </c>
      <c r="L372" t="n">
        <v>0</v>
      </c>
      <c r="M372" t="n">
        <v>0</v>
      </c>
      <c r="N372" t="n">
        <v>0</v>
      </c>
      <c r="O372" t="n">
        <v>0</v>
      </c>
      <c r="P372" t="n">
        <v>0</v>
      </c>
      <c r="Q372" t="n">
        <v>0</v>
      </c>
      <c r="R372" s="2" t="inlineStr"/>
    </row>
    <row r="373" ht="15" customHeight="1">
      <c r="A373" t="inlineStr">
        <is>
          <t>A 40373-2025</t>
        </is>
      </c>
      <c r="B373" s="1" t="n">
        <v>45895.51821759259</v>
      </c>
      <c r="C373" s="1" t="n">
        <v>46038</v>
      </c>
      <c r="D373" t="inlineStr">
        <is>
          <t>GOTLANDS LÄN</t>
        </is>
      </c>
      <c r="E373" t="inlineStr">
        <is>
          <t>GOTLAND</t>
        </is>
      </c>
      <c r="G373" t="n">
        <v>0.6</v>
      </c>
      <c r="H373" t="n">
        <v>0</v>
      </c>
      <c r="I373" t="n">
        <v>0</v>
      </c>
      <c r="J373" t="n">
        <v>0</v>
      </c>
      <c r="K373" t="n">
        <v>0</v>
      </c>
      <c r="L373" t="n">
        <v>0</v>
      </c>
      <c r="M373" t="n">
        <v>0</v>
      </c>
      <c r="N373" t="n">
        <v>0</v>
      </c>
      <c r="O373" t="n">
        <v>0</v>
      </c>
      <c r="P373" t="n">
        <v>0</v>
      </c>
      <c r="Q373" t="n">
        <v>0</v>
      </c>
      <c r="R373" s="2" t="inlineStr"/>
    </row>
    <row r="374" ht="15" customHeight="1">
      <c r="A374" t="inlineStr">
        <is>
          <t>A 49693-2023</t>
        </is>
      </c>
      <c r="B374" s="1" t="n">
        <v>45212.38138888889</v>
      </c>
      <c r="C374" s="1" t="n">
        <v>46038</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49697-2023</t>
        </is>
      </c>
      <c r="B375" s="1" t="n">
        <v>45212.38909722222</v>
      </c>
      <c r="C375" s="1" t="n">
        <v>46038</v>
      </c>
      <c r="D375" t="inlineStr">
        <is>
          <t>GOTLANDS LÄN</t>
        </is>
      </c>
      <c r="E375" t="inlineStr">
        <is>
          <t>GOTLAND</t>
        </is>
      </c>
      <c r="G375" t="n">
        <v>4.4</v>
      </c>
      <c r="H375" t="n">
        <v>0</v>
      </c>
      <c r="I375" t="n">
        <v>0</v>
      </c>
      <c r="J375" t="n">
        <v>0</v>
      </c>
      <c r="K375" t="n">
        <v>0</v>
      </c>
      <c r="L375" t="n">
        <v>0</v>
      </c>
      <c r="M375" t="n">
        <v>0</v>
      </c>
      <c r="N375" t="n">
        <v>0</v>
      </c>
      <c r="O375" t="n">
        <v>0</v>
      </c>
      <c r="P375" t="n">
        <v>0</v>
      </c>
      <c r="Q375" t="n">
        <v>0</v>
      </c>
      <c r="R375" s="2" t="inlineStr"/>
    </row>
    <row r="376" ht="15" customHeight="1">
      <c r="A376" t="inlineStr">
        <is>
          <t>A 44919-2022</t>
        </is>
      </c>
      <c r="B376" s="1" t="n">
        <v>44841</v>
      </c>
      <c r="C376" s="1" t="n">
        <v>46038</v>
      </c>
      <c r="D376" t="inlineStr">
        <is>
          <t>GOTLANDS LÄN</t>
        </is>
      </c>
      <c r="E376" t="inlineStr">
        <is>
          <t>GOTLAND</t>
        </is>
      </c>
      <c r="G376" t="n">
        <v>2.2</v>
      </c>
      <c r="H376" t="n">
        <v>0</v>
      </c>
      <c r="I376" t="n">
        <v>0</v>
      </c>
      <c r="J376" t="n">
        <v>0</v>
      </c>
      <c r="K376" t="n">
        <v>0</v>
      </c>
      <c r="L376" t="n">
        <v>0</v>
      </c>
      <c r="M376" t="n">
        <v>0</v>
      </c>
      <c r="N376" t="n">
        <v>0</v>
      </c>
      <c r="O376" t="n">
        <v>0</v>
      </c>
      <c r="P376" t="n">
        <v>0</v>
      </c>
      <c r="Q376" t="n">
        <v>0</v>
      </c>
      <c r="R376" s="2" t="inlineStr"/>
    </row>
    <row r="377" ht="15" customHeight="1">
      <c r="A377" t="inlineStr">
        <is>
          <t>A 34312-2024</t>
        </is>
      </c>
      <c r="B377" s="1" t="n">
        <v>45524.69703703704</v>
      </c>
      <c r="C377" s="1" t="n">
        <v>46038</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40103-2025</t>
        </is>
      </c>
      <c r="B378" s="1" t="n">
        <v>45894.4880324074</v>
      </c>
      <c r="C378" s="1" t="n">
        <v>46038</v>
      </c>
      <c r="D378" t="inlineStr">
        <is>
          <t>GOTLANDS LÄN</t>
        </is>
      </c>
      <c r="E378" t="inlineStr">
        <is>
          <t>GOTLAND</t>
        </is>
      </c>
      <c r="G378" t="n">
        <v>0.9</v>
      </c>
      <c r="H378" t="n">
        <v>0</v>
      </c>
      <c r="I378" t="n">
        <v>0</v>
      </c>
      <c r="J378" t="n">
        <v>0</v>
      </c>
      <c r="K378" t="n">
        <v>0</v>
      </c>
      <c r="L378" t="n">
        <v>0</v>
      </c>
      <c r="M378" t="n">
        <v>0</v>
      </c>
      <c r="N378" t="n">
        <v>0</v>
      </c>
      <c r="O378" t="n">
        <v>0</v>
      </c>
      <c r="P378" t="n">
        <v>0</v>
      </c>
      <c r="Q378" t="n">
        <v>0</v>
      </c>
      <c r="R378" s="2" t="inlineStr"/>
    </row>
    <row r="379" ht="15" customHeight="1">
      <c r="A379" t="inlineStr">
        <is>
          <t>A 16501-2023</t>
        </is>
      </c>
      <c r="B379" s="1" t="n">
        <v>45029</v>
      </c>
      <c r="C379" s="1" t="n">
        <v>46038</v>
      </c>
      <c r="D379" t="inlineStr">
        <is>
          <t>GOTLANDS LÄN</t>
        </is>
      </c>
      <c r="E379" t="inlineStr">
        <is>
          <t>GOTLAND</t>
        </is>
      </c>
      <c r="G379" t="n">
        <v>3.1</v>
      </c>
      <c r="H379" t="n">
        <v>0</v>
      </c>
      <c r="I379" t="n">
        <v>0</v>
      </c>
      <c r="J379" t="n">
        <v>0</v>
      </c>
      <c r="K379" t="n">
        <v>0</v>
      </c>
      <c r="L379" t="n">
        <v>0</v>
      </c>
      <c r="M379" t="n">
        <v>0</v>
      </c>
      <c r="N379" t="n">
        <v>0</v>
      </c>
      <c r="O379" t="n">
        <v>0</v>
      </c>
      <c r="P379" t="n">
        <v>0</v>
      </c>
      <c r="Q379" t="n">
        <v>0</v>
      </c>
      <c r="R379" s="2" t="inlineStr"/>
    </row>
    <row r="380" ht="15" customHeight="1">
      <c r="A380" t="inlineStr">
        <is>
          <t>A 27095-2022</t>
        </is>
      </c>
      <c r="B380" s="1" t="n">
        <v>44741</v>
      </c>
      <c r="C380" s="1" t="n">
        <v>46038</v>
      </c>
      <c r="D380" t="inlineStr">
        <is>
          <t>GOTLANDS LÄN</t>
        </is>
      </c>
      <c r="E380" t="inlineStr">
        <is>
          <t>GOTLAND</t>
        </is>
      </c>
      <c r="F380" t="inlineStr">
        <is>
          <t>Övriga Aktiebolag</t>
        </is>
      </c>
      <c r="G380" t="n">
        <v>2.9</v>
      </c>
      <c r="H380" t="n">
        <v>0</v>
      </c>
      <c r="I380" t="n">
        <v>0</v>
      </c>
      <c r="J380" t="n">
        <v>0</v>
      </c>
      <c r="K380" t="n">
        <v>0</v>
      </c>
      <c r="L380" t="n">
        <v>0</v>
      </c>
      <c r="M380" t="n">
        <v>0</v>
      </c>
      <c r="N380" t="n">
        <v>0</v>
      </c>
      <c r="O380" t="n">
        <v>0</v>
      </c>
      <c r="P380" t="n">
        <v>0</v>
      </c>
      <c r="Q380" t="n">
        <v>0</v>
      </c>
      <c r="R380" s="2" t="inlineStr"/>
    </row>
    <row r="381" ht="15" customHeight="1">
      <c r="A381" t="inlineStr">
        <is>
          <t>A 458-2023</t>
        </is>
      </c>
      <c r="B381" s="1" t="n">
        <v>44929</v>
      </c>
      <c r="C381" s="1" t="n">
        <v>46038</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44936.47561342592</v>
      </c>
      <c r="C382" s="1" t="n">
        <v>46038</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40499-2025</t>
        </is>
      </c>
      <c r="B383" s="1" t="n">
        <v>45896.32517361111</v>
      </c>
      <c r="C383" s="1" t="n">
        <v>46038</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32330-2024</t>
        </is>
      </c>
      <c r="B384" s="1" t="n">
        <v>45512</v>
      </c>
      <c r="C384" s="1" t="n">
        <v>46038</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41551-2025</t>
        </is>
      </c>
      <c r="B385" s="1" t="n">
        <v>45901.58854166666</v>
      </c>
      <c r="C385" s="1" t="n">
        <v>46038</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48503-2023</t>
        </is>
      </c>
      <c r="B386" s="1" t="n">
        <v>45207</v>
      </c>
      <c r="C386" s="1" t="n">
        <v>46038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5891-2025</t>
        </is>
      </c>
      <c r="B387" s="1" t="n">
        <v>45695.38327546296</v>
      </c>
      <c r="C387" s="1" t="n">
        <v>46038</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39278-2025</t>
        </is>
      </c>
      <c r="B388" s="1" t="n">
        <v>45889</v>
      </c>
      <c r="C388" s="1" t="n">
        <v>46038</v>
      </c>
      <c r="D388" t="inlineStr">
        <is>
          <t>GOTLANDS LÄN</t>
        </is>
      </c>
      <c r="E388" t="inlineStr">
        <is>
          <t>GOTLAND</t>
        </is>
      </c>
      <c r="G388" t="n">
        <v>3.7</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46038</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41435-2025</t>
        </is>
      </c>
      <c r="B390" s="1" t="n">
        <v>45901.39974537037</v>
      </c>
      <c r="C390" s="1" t="n">
        <v>46038</v>
      </c>
      <c r="D390" t="inlineStr">
        <is>
          <t>GOTLANDS LÄN</t>
        </is>
      </c>
      <c r="E390" t="inlineStr">
        <is>
          <t>GOTLAND</t>
        </is>
      </c>
      <c r="G390" t="n">
        <v>4.9</v>
      </c>
      <c r="H390" t="n">
        <v>0</v>
      </c>
      <c r="I390" t="n">
        <v>0</v>
      </c>
      <c r="J390" t="n">
        <v>0</v>
      </c>
      <c r="K390" t="n">
        <v>0</v>
      </c>
      <c r="L390" t="n">
        <v>0</v>
      </c>
      <c r="M390" t="n">
        <v>0</v>
      </c>
      <c r="N390" t="n">
        <v>0</v>
      </c>
      <c r="O390" t="n">
        <v>0</v>
      </c>
      <c r="P390" t="n">
        <v>0</v>
      </c>
      <c r="Q390" t="n">
        <v>0</v>
      </c>
      <c r="R390" s="2" t="inlineStr"/>
    </row>
    <row r="391" ht="15" customHeight="1">
      <c r="A391" t="inlineStr">
        <is>
          <t>A 2719-2023</t>
        </is>
      </c>
      <c r="B391" s="1" t="n">
        <v>44944.55361111111</v>
      </c>
      <c r="C391" s="1" t="n">
        <v>46038</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17144-2025</t>
        </is>
      </c>
      <c r="B392" s="1" t="n">
        <v>45755.9499537037</v>
      </c>
      <c r="C392" s="1" t="n">
        <v>46038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49314-2024</t>
        </is>
      </c>
      <c r="B393" s="1" t="n">
        <v>45595.55893518519</v>
      </c>
      <c r="C393" s="1" t="n">
        <v>46038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24825-2024</t>
        </is>
      </c>
      <c r="B394" s="1" t="n">
        <v>45461</v>
      </c>
      <c r="C394" s="1" t="n">
        <v>46038</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9875-2025</t>
        </is>
      </c>
      <c r="B395" s="1" t="n">
        <v>45716</v>
      </c>
      <c r="C395" s="1" t="n">
        <v>46038</v>
      </c>
      <c r="D395" t="inlineStr">
        <is>
          <t>GOTLANDS LÄN</t>
        </is>
      </c>
      <c r="E395" t="inlineStr">
        <is>
          <t>GOTLAND</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29809-2022</t>
        </is>
      </c>
      <c r="B396" s="1" t="n">
        <v>44755.8713425926</v>
      </c>
      <c r="C396" s="1" t="n">
        <v>46038</v>
      </c>
      <c r="D396" t="inlineStr">
        <is>
          <t>GOTLANDS LÄN</t>
        </is>
      </c>
      <c r="E396" t="inlineStr">
        <is>
          <t>GOTLAND</t>
        </is>
      </c>
      <c r="G396" t="n">
        <v>11.5</v>
      </c>
      <c r="H396" t="n">
        <v>0</v>
      </c>
      <c r="I396" t="n">
        <v>0</v>
      </c>
      <c r="J396" t="n">
        <v>0</v>
      </c>
      <c r="K396" t="n">
        <v>0</v>
      </c>
      <c r="L396" t="n">
        <v>0</v>
      </c>
      <c r="M396" t="n">
        <v>0</v>
      </c>
      <c r="N396" t="n">
        <v>0</v>
      </c>
      <c r="O396" t="n">
        <v>0</v>
      </c>
      <c r="P396" t="n">
        <v>0</v>
      </c>
      <c r="Q396" t="n">
        <v>0</v>
      </c>
      <c r="R396" s="2" t="inlineStr"/>
    </row>
    <row r="397" ht="15" customHeight="1">
      <c r="A397" t="inlineStr">
        <is>
          <t>A 42608-2025</t>
        </is>
      </c>
      <c r="B397" s="1" t="n">
        <v>45905</v>
      </c>
      <c r="C397" s="1" t="n">
        <v>46038</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46038</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17688-2024</t>
        </is>
      </c>
      <c r="B399" s="1" t="n">
        <v>45418.43575231481</v>
      </c>
      <c r="C399" s="1" t="n">
        <v>46038</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46038</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16373-2025</t>
        </is>
      </c>
      <c r="B401" s="1" t="n">
        <v>45751</v>
      </c>
      <c r="C401" s="1" t="n">
        <v>46038</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43081-2022</t>
        </is>
      </c>
      <c r="B402" s="1" t="n">
        <v>44833</v>
      </c>
      <c r="C402" s="1" t="n">
        <v>46038</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1175-2025</t>
        </is>
      </c>
      <c r="B403" s="1" t="n">
        <v>45667.34449074074</v>
      </c>
      <c r="C403" s="1" t="n">
        <v>46038</v>
      </c>
      <c r="D403" t="inlineStr">
        <is>
          <t>GOTLANDS LÄN</t>
        </is>
      </c>
      <c r="E403" t="inlineStr">
        <is>
          <t>GOTLAND</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10158-2025</t>
        </is>
      </c>
      <c r="B404" s="1" t="n">
        <v>45719</v>
      </c>
      <c r="C404" s="1" t="n">
        <v>46038</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42201-2023</t>
        </is>
      </c>
      <c r="B405" s="1" t="n">
        <v>45179</v>
      </c>
      <c r="C405" s="1" t="n">
        <v>46038</v>
      </c>
      <c r="D405" t="inlineStr">
        <is>
          <t>GOTLANDS LÄN</t>
        </is>
      </c>
      <c r="E405" t="inlineStr">
        <is>
          <t>GOTLAND</t>
        </is>
      </c>
      <c r="G405" t="n">
        <v>11.9</v>
      </c>
      <c r="H405" t="n">
        <v>0</v>
      </c>
      <c r="I405" t="n">
        <v>0</v>
      </c>
      <c r="J405" t="n">
        <v>0</v>
      </c>
      <c r="K405" t="n">
        <v>0</v>
      </c>
      <c r="L405" t="n">
        <v>0</v>
      </c>
      <c r="M405" t="n">
        <v>0</v>
      </c>
      <c r="N405" t="n">
        <v>0</v>
      </c>
      <c r="O405" t="n">
        <v>0</v>
      </c>
      <c r="P405" t="n">
        <v>0</v>
      </c>
      <c r="Q405" t="n">
        <v>0</v>
      </c>
      <c r="R405" s="2" t="inlineStr"/>
    </row>
    <row r="406" ht="15" customHeight="1">
      <c r="A406" t="inlineStr">
        <is>
          <t>A 3150-2025</t>
        </is>
      </c>
      <c r="B406" s="1" t="n">
        <v>45679.28974537037</v>
      </c>
      <c r="C406" s="1" t="n">
        <v>46038</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43911-2025</t>
        </is>
      </c>
      <c r="B407" s="1" t="n">
        <v>45914.3881712963</v>
      </c>
      <c r="C407" s="1" t="n">
        <v>46038</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42041-2024</t>
        </is>
      </c>
      <c r="B408" s="1" t="n">
        <v>45561</v>
      </c>
      <c r="C408" s="1" t="n">
        <v>46038</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43951-2025</t>
        </is>
      </c>
      <c r="B409" s="1" t="n">
        <v>45915.38119212963</v>
      </c>
      <c r="C409" s="1" t="n">
        <v>46038</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44410-2025</t>
        </is>
      </c>
      <c r="B410" s="1" t="n">
        <v>45916.53699074074</v>
      </c>
      <c r="C410" s="1" t="n">
        <v>46038</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44405-2025</t>
        </is>
      </c>
      <c r="B411" s="1" t="n">
        <v>45916.52405092592</v>
      </c>
      <c r="C411" s="1" t="n">
        <v>46038</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15436-2025</t>
        </is>
      </c>
      <c r="B412" s="1" t="n">
        <v>45747.47462962963</v>
      </c>
      <c r="C412" s="1" t="n">
        <v>46038</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21247-2022</t>
        </is>
      </c>
      <c r="B413" s="1" t="n">
        <v>44705.38832175926</v>
      </c>
      <c r="C413" s="1" t="n">
        <v>46038</v>
      </c>
      <c r="D413" t="inlineStr">
        <is>
          <t>GOTLANDS LÄN</t>
        </is>
      </c>
      <c r="E413" t="inlineStr">
        <is>
          <t>GOTLAND</t>
        </is>
      </c>
      <c r="G413" t="n">
        <v>16.2</v>
      </c>
      <c r="H413" t="n">
        <v>0</v>
      </c>
      <c r="I413" t="n">
        <v>0</v>
      </c>
      <c r="J413" t="n">
        <v>0</v>
      </c>
      <c r="K413" t="n">
        <v>0</v>
      </c>
      <c r="L413" t="n">
        <v>0</v>
      </c>
      <c r="M413" t="n">
        <v>0</v>
      </c>
      <c r="N413" t="n">
        <v>0</v>
      </c>
      <c r="O413" t="n">
        <v>0</v>
      </c>
      <c r="P413" t="n">
        <v>0</v>
      </c>
      <c r="Q413" t="n">
        <v>0</v>
      </c>
      <c r="R413" s="2" t="inlineStr"/>
    </row>
    <row r="414" ht="15" customHeight="1">
      <c r="A414" t="inlineStr">
        <is>
          <t>A 17780-2022</t>
        </is>
      </c>
      <c r="B414" s="1" t="n">
        <v>44682.82622685185</v>
      </c>
      <c r="C414" s="1" t="n">
        <v>46038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63516-2023</t>
        </is>
      </c>
      <c r="B415" s="1" t="n">
        <v>45274</v>
      </c>
      <c r="C415" s="1" t="n">
        <v>46038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53935-2024</t>
        </is>
      </c>
      <c r="B416" s="1" t="n">
        <v>45615</v>
      </c>
      <c r="C416" s="1" t="n">
        <v>46038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46038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69112-2021</t>
        </is>
      </c>
      <c r="B418" s="1" t="n">
        <v>44530</v>
      </c>
      <c r="C418" s="1" t="n">
        <v>46038</v>
      </c>
      <c r="D418" t="inlineStr">
        <is>
          <t>GOTLANDS LÄN</t>
        </is>
      </c>
      <c r="E418" t="inlineStr">
        <is>
          <t>GOTLAND</t>
        </is>
      </c>
      <c r="G418" t="n">
        <v>4.2</v>
      </c>
      <c r="H418" t="n">
        <v>0</v>
      </c>
      <c r="I418" t="n">
        <v>0</v>
      </c>
      <c r="J418" t="n">
        <v>0</v>
      </c>
      <c r="K418" t="n">
        <v>0</v>
      </c>
      <c r="L418" t="n">
        <v>0</v>
      </c>
      <c r="M418" t="n">
        <v>0</v>
      </c>
      <c r="N418" t="n">
        <v>0</v>
      </c>
      <c r="O418" t="n">
        <v>0</v>
      </c>
      <c r="P418" t="n">
        <v>0</v>
      </c>
      <c r="Q418" t="n">
        <v>0</v>
      </c>
      <c r="R418" s="2" t="inlineStr"/>
    </row>
    <row r="419" ht="15" customHeight="1">
      <c r="A419" t="inlineStr">
        <is>
          <t>A 48734-2022</t>
        </is>
      </c>
      <c r="B419" s="1" t="n">
        <v>44855</v>
      </c>
      <c r="C419" s="1" t="n">
        <v>46038</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23516-2023</t>
        </is>
      </c>
      <c r="B420" s="1" t="n">
        <v>45076.93391203704</v>
      </c>
      <c r="C420" s="1" t="n">
        <v>46038</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43231-2023</t>
        </is>
      </c>
      <c r="B421" s="1" t="n">
        <v>45183.47025462963</v>
      </c>
      <c r="C421" s="1" t="n">
        <v>46038</v>
      </c>
      <c r="D421" t="inlineStr">
        <is>
          <t>GOTLANDS LÄN</t>
        </is>
      </c>
      <c r="E421" t="inlineStr">
        <is>
          <t>GOTLAND</t>
        </is>
      </c>
      <c r="G421" t="n">
        <v>3.6</v>
      </c>
      <c r="H421" t="n">
        <v>0</v>
      </c>
      <c r="I421" t="n">
        <v>0</v>
      </c>
      <c r="J421" t="n">
        <v>0</v>
      </c>
      <c r="K421" t="n">
        <v>0</v>
      </c>
      <c r="L421" t="n">
        <v>0</v>
      </c>
      <c r="M421" t="n">
        <v>0</v>
      </c>
      <c r="N421" t="n">
        <v>0</v>
      </c>
      <c r="O421" t="n">
        <v>0</v>
      </c>
      <c r="P421" t="n">
        <v>0</v>
      </c>
      <c r="Q421" t="n">
        <v>0</v>
      </c>
      <c r="R421" s="2" t="inlineStr"/>
    </row>
    <row r="422" ht="15" customHeight="1">
      <c r="A422" t="inlineStr">
        <is>
          <t>A 46836-2025</t>
        </is>
      </c>
      <c r="B422" s="1" t="n">
        <v>45928.31511574074</v>
      </c>
      <c r="C422" s="1" t="n">
        <v>46038</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58230-2024</t>
        </is>
      </c>
      <c r="B423" s="1" t="n">
        <v>45632.51625</v>
      </c>
      <c r="C423" s="1" t="n">
        <v>46038</v>
      </c>
      <c r="D423" t="inlineStr">
        <is>
          <t>GOTLANDS LÄN</t>
        </is>
      </c>
      <c r="E423" t="inlineStr">
        <is>
          <t>GOTLAND</t>
        </is>
      </c>
      <c r="G423" t="n">
        <v>7.3</v>
      </c>
      <c r="H423" t="n">
        <v>0</v>
      </c>
      <c r="I423" t="n">
        <v>0</v>
      </c>
      <c r="J423" t="n">
        <v>0</v>
      </c>
      <c r="K423" t="n">
        <v>0</v>
      </c>
      <c r="L423" t="n">
        <v>0</v>
      </c>
      <c r="M423" t="n">
        <v>0</v>
      </c>
      <c r="N423" t="n">
        <v>0</v>
      </c>
      <c r="O423" t="n">
        <v>0</v>
      </c>
      <c r="P423" t="n">
        <v>0</v>
      </c>
      <c r="Q423" t="n">
        <v>0</v>
      </c>
      <c r="R423" s="2" t="inlineStr"/>
    </row>
    <row r="424" ht="15" customHeight="1">
      <c r="A424" t="inlineStr">
        <is>
          <t>A 64555-2023</t>
        </is>
      </c>
      <c r="B424" s="1" t="n">
        <v>45281</v>
      </c>
      <c r="C424" s="1" t="n">
        <v>46038</v>
      </c>
      <c r="D424" t="inlineStr">
        <is>
          <t>GOTLANDS LÄN</t>
        </is>
      </c>
      <c r="E424" t="inlineStr">
        <is>
          <t>GOTLAND</t>
        </is>
      </c>
      <c r="G424" t="n">
        <v>3.5</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46038</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457-2023</t>
        </is>
      </c>
      <c r="B426" s="1" t="n">
        <v>44929.87238425926</v>
      </c>
      <c r="C426" s="1" t="n">
        <v>46038</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459-2023</t>
        </is>
      </c>
      <c r="B427" s="1" t="n">
        <v>44929.87423611111</v>
      </c>
      <c r="C427" s="1" t="n">
        <v>46038</v>
      </c>
      <c r="D427" t="inlineStr">
        <is>
          <t>GOTLANDS LÄN</t>
        </is>
      </c>
      <c r="E427" t="inlineStr">
        <is>
          <t>GOTLAND</t>
        </is>
      </c>
      <c r="G427" t="n">
        <v>4.2</v>
      </c>
      <c r="H427" t="n">
        <v>0</v>
      </c>
      <c r="I427" t="n">
        <v>0</v>
      </c>
      <c r="J427" t="n">
        <v>0</v>
      </c>
      <c r="K427" t="n">
        <v>0</v>
      </c>
      <c r="L427" t="n">
        <v>0</v>
      </c>
      <c r="M427" t="n">
        <v>0</v>
      </c>
      <c r="N427" t="n">
        <v>0</v>
      </c>
      <c r="O427" t="n">
        <v>0</v>
      </c>
      <c r="P427" t="n">
        <v>0</v>
      </c>
      <c r="Q427" t="n">
        <v>0</v>
      </c>
      <c r="R427" s="2" t="inlineStr"/>
    </row>
    <row r="428" ht="15" customHeight="1">
      <c r="A428" t="inlineStr">
        <is>
          <t>A 876-2024</t>
        </is>
      </c>
      <c r="B428" s="1" t="n">
        <v>45301</v>
      </c>
      <c r="C428" s="1" t="n">
        <v>46038</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26891-2024</t>
        </is>
      </c>
      <c r="B429" s="1" t="n">
        <v>45470.65540509259</v>
      </c>
      <c r="C429" s="1" t="n">
        <v>46038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32378-2025</t>
        </is>
      </c>
      <c r="B430" s="1" t="n">
        <v>45837</v>
      </c>
      <c r="C430" s="1" t="n">
        <v>46038</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44279.66168981481</v>
      </c>
      <c r="C431" s="1" t="n">
        <v>46038</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5923-2023</t>
        </is>
      </c>
      <c r="B432" s="1" t="n">
        <v>44963.69503472222</v>
      </c>
      <c r="C432" s="1" t="n">
        <v>46038</v>
      </c>
      <c r="D432" t="inlineStr">
        <is>
          <t>GOTLANDS LÄN</t>
        </is>
      </c>
      <c r="E432" t="inlineStr">
        <is>
          <t>GOTLAND</t>
        </is>
      </c>
      <c r="G432" t="n">
        <v>2.6</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46038</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5943-2024</t>
        </is>
      </c>
      <c r="B434" s="1" t="n">
        <v>45336</v>
      </c>
      <c r="C434" s="1" t="n">
        <v>46038</v>
      </c>
      <c r="D434" t="inlineStr">
        <is>
          <t>GOTLANDS LÄN</t>
        </is>
      </c>
      <c r="E434" t="inlineStr">
        <is>
          <t>GOTLAND</t>
        </is>
      </c>
      <c r="G434" t="n">
        <v>4.3</v>
      </c>
      <c r="H434" t="n">
        <v>0</v>
      </c>
      <c r="I434" t="n">
        <v>0</v>
      </c>
      <c r="J434" t="n">
        <v>0</v>
      </c>
      <c r="K434" t="n">
        <v>0</v>
      </c>
      <c r="L434" t="n">
        <v>0</v>
      </c>
      <c r="M434" t="n">
        <v>0</v>
      </c>
      <c r="N434" t="n">
        <v>0</v>
      </c>
      <c r="O434" t="n">
        <v>0</v>
      </c>
      <c r="P434" t="n">
        <v>0</v>
      </c>
      <c r="Q434" t="n">
        <v>0</v>
      </c>
      <c r="R434" s="2" t="inlineStr"/>
    </row>
    <row r="435" ht="15" customHeight="1">
      <c r="A435" t="inlineStr">
        <is>
          <t>A 35550-2025</t>
        </is>
      </c>
      <c r="B435" s="1" t="n">
        <v>45856.49324074074</v>
      </c>
      <c r="C435" s="1" t="n">
        <v>46038</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38234-2023</t>
        </is>
      </c>
      <c r="B436" s="1" t="n">
        <v>45161.56663194444</v>
      </c>
      <c r="C436" s="1" t="n">
        <v>46038</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1273-2023</t>
        </is>
      </c>
      <c r="B437" s="1" t="n">
        <v>44936</v>
      </c>
      <c r="C437" s="1" t="n">
        <v>46038</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47578-2025</t>
        </is>
      </c>
      <c r="B438" s="1" t="n">
        <v>45931</v>
      </c>
      <c r="C438" s="1" t="n">
        <v>46038</v>
      </c>
      <c r="D438" t="inlineStr">
        <is>
          <t>GOTLANDS LÄN</t>
        </is>
      </c>
      <c r="E438" t="inlineStr">
        <is>
          <t>GOTLAND</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46038</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49690-2025</t>
        </is>
      </c>
      <c r="B440" s="1" t="n">
        <v>45939.66730324074</v>
      </c>
      <c r="C440" s="1" t="n">
        <v>46038</v>
      </c>
      <c r="D440" t="inlineStr">
        <is>
          <t>GOTLANDS LÄN</t>
        </is>
      </c>
      <c r="E440" t="inlineStr">
        <is>
          <t>GOTLAND</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17724-2024</t>
        </is>
      </c>
      <c r="B441" s="1" t="n">
        <v>45418.55096064815</v>
      </c>
      <c r="C441" s="1" t="n">
        <v>46038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23978-2023</t>
        </is>
      </c>
      <c r="B442" s="1" t="n">
        <v>45078</v>
      </c>
      <c r="C442" s="1" t="n">
        <v>46038</v>
      </c>
      <c r="D442" t="inlineStr">
        <is>
          <t>GOTLANDS LÄN</t>
        </is>
      </c>
      <c r="E442" t="inlineStr">
        <is>
          <t>GOTLAND</t>
        </is>
      </c>
      <c r="F442" t="inlineStr">
        <is>
          <t>Naturvårdsverket</t>
        </is>
      </c>
      <c r="G442" t="n">
        <v>1.7</v>
      </c>
      <c r="H442" t="n">
        <v>0</v>
      </c>
      <c r="I442" t="n">
        <v>0</v>
      </c>
      <c r="J442" t="n">
        <v>0</v>
      </c>
      <c r="K442" t="n">
        <v>0</v>
      </c>
      <c r="L442" t="n">
        <v>0</v>
      </c>
      <c r="M442" t="n">
        <v>0</v>
      </c>
      <c r="N442" t="n">
        <v>0</v>
      </c>
      <c r="O442" t="n">
        <v>0</v>
      </c>
      <c r="P442" t="n">
        <v>0</v>
      </c>
      <c r="Q442" t="n">
        <v>0</v>
      </c>
      <c r="R442" s="2" t="inlineStr"/>
    </row>
    <row r="443" ht="15" customHeight="1">
      <c r="A443" t="inlineStr">
        <is>
          <t>A 49884-2023</t>
        </is>
      </c>
      <c r="B443" s="1" t="n">
        <v>45213</v>
      </c>
      <c r="C443" s="1" t="n">
        <v>46038</v>
      </c>
      <c r="D443" t="inlineStr">
        <is>
          <t>GOTLANDS LÄN</t>
        </is>
      </c>
      <c r="E443" t="inlineStr">
        <is>
          <t>GOTLAND</t>
        </is>
      </c>
      <c r="G443" t="n">
        <v>8.9</v>
      </c>
      <c r="H443" t="n">
        <v>0</v>
      </c>
      <c r="I443" t="n">
        <v>0</v>
      </c>
      <c r="J443" t="n">
        <v>0</v>
      </c>
      <c r="K443" t="n">
        <v>0</v>
      </c>
      <c r="L443" t="n">
        <v>0</v>
      </c>
      <c r="M443" t="n">
        <v>0</v>
      </c>
      <c r="N443" t="n">
        <v>0</v>
      </c>
      <c r="O443" t="n">
        <v>0</v>
      </c>
      <c r="P443" t="n">
        <v>0</v>
      </c>
      <c r="Q443" t="n">
        <v>0</v>
      </c>
      <c r="R443" s="2" t="inlineStr"/>
    </row>
    <row r="444" ht="15" customHeight="1">
      <c r="A444" t="inlineStr">
        <is>
          <t>A 12846-2025</t>
        </is>
      </c>
      <c r="B444" s="1" t="n">
        <v>45733.65049768519</v>
      </c>
      <c r="C444" s="1" t="n">
        <v>46038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49724-2025</t>
        </is>
      </c>
      <c r="B445" s="1" t="n">
        <v>45939.83730324074</v>
      </c>
      <c r="C445" s="1" t="n">
        <v>46038</v>
      </c>
      <c r="D445" t="inlineStr">
        <is>
          <t>GOTLANDS LÄN</t>
        </is>
      </c>
      <c r="E445" t="inlineStr">
        <is>
          <t>GOTLAND</t>
        </is>
      </c>
      <c r="F445" t="inlineStr">
        <is>
          <t>Kyrkan</t>
        </is>
      </c>
      <c r="G445" t="n">
        <v>3.1</v>
      </c>
      <c r="H445" t="n">
        <v>0</v>
      </c>
      <c r="I445" t="n">
        <v>0</v>
      </c>
      <c r="J445" t="n">
        <v>0</v>
      </c>
      <c r="K445" t="n">
        <v>0</v>
      </c>
      <c r="L445" t="n">
        <v>0</v>
      </c>
      <c r="M445" t="n">
        <v>0</v>
      </c>
      <c r="N445" t="n">
        <v>0</v>
      </c>
      <c r="O445" t="n">
        <v>0</v>
      </c>
      <c r="P445" t="n">
        <v>0</v>
      </c>
      <c r="Q445" t="n">
        <v>0</v>
      </c>
      <c r="R445" s="2" t="inlineStr"/>
    </row>
    <row r="446" ht="15" customHeight="1">
      <c r="A446" t="inlineStr">
        <is>
          <t>A 49730-2025</t>
        </is>
      </c>
      <c r="B446" s="1" t="n">
        <v>45939.87613425926</v>
      </c>
      <c r="C446" s="1" t="n">
        <v>46038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43200-2023</t>
        </is>
      </c>
      <c r="B447" s="1" t="n">
        <v>45183</v>
      </c>
      <c r="C447" s="1" t="n">
        <v>46038</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50421-2025</t>
        </is>
      </c>
      <c r="B448" s="1" t="n">
        <v>45944.66049768519</v>
      </c>
      <c r="C448" s="1" t="n">
        <v>46038</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3935-2025</t>
        </is>
      </c>
      <c r="B449" s="1" t="n">
        <v>45684.46070601852</v>
      </c>
      <c r="C449" s="1" t="n">
        <v>46038</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50431-2025</t>
        </is>
      </c>
      <c r="B450" s="1" t="n">
        <v>45944.68453703704</v>
      </c>
      <c r="C450" s="1" t="n">
        <v>46038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21792-2024</t>
        </is>
      </c>
      <c r="B451" s="1" t="n">
        <v>45442.64326388889</v>
      </c>
      <c r="C451" s="1" t="n">
        <v>46038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50928-2025</t>
        </is>
      </c>
      <c r="B452" s="1" t="n">
        <v>45946.67896990741</v>
      </c>
      <c r="C452" s="1" t="n">
        <v>46038</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51262-2025</t>
        </is>
      </c>
      <c r="B453" s="1" t="n">
        <v>45949.49872685185</v>
      </c>
      <c r="C453" s="1" t="n">
        <v>46038</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46038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10653-2023</t>
        </is>
      </c>
      <c r="B455" s="1" t="n">
        <v>44988.48859953704</v>
      </c>
      <c r="C455" s="1" t="n">
        <v>46038</v>
      </c>
      <c r="D455" t="inlineStr">
        <is>
          <t>GOTLANDS LÄN</t>
        </is>
      </c>
      <c r="E455" t="inlineStr">
        <is>
          <t>GOTLAND</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35512-2023</t>
        </is>
      </c>
      <c r="B456" s="1" t="n">
        <v>45147.25623842593</v>
      </c>
      <c r="C456" s="1" t="n">
        <v>46038</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11874-2024</t>
        </is>
      </c>
      <c r="B457" s="1" t="n">
        <v>45376.46956018519</v>
      </c>
      <c r="C457" s="1" t="n">
        <v>46038</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52249-2025</t>
        </is>
      </c>
      <c r="B458" s="1" t="n">
        <v>45953.48637731482</v>
      </c>
      <c r="C458" s="1" t="n">
        <v>46038</v>
      </c>
      <c r="D458" t="inlineStr">
        <is>
          <t>GOTLANDS LÄN</t>
        </is>
      </c>
      <c r="E458" t="inlineStr">
        <is>
          <t>GOTLAND</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20225-2025</t>
        </is>
      </c>
      <c r="B459" s="1" t="n">
        <v>45772.65802083333</v>
      </c>
      <c r="C459" s="1" t="n">
        <v>46038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46038</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52637-2025</t>
        </is>
      </c>
      <c r="B461" s="1" t="n">
        <v>45954.75099537037</v>
      </c>
      <c r="C461" s="1" t="n">
        <v>46038</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45282.44924768519</v>
      </c>
      <c r="C462" s="1" t="n">
        <v>46038</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46038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46375-2024</t>
        </is>
      </c>
      <c r="B464" s="1" t="n">
        <v>45582</v>
      </c>
      <c r="C464" s="1" t="n">
        <v>46038</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46038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7638-2025</t>
        </is>
      </c>
      <c r="B466" s="1" t="n">
        <v>45705.77306712963</v>
      </c>
      <c r="C466" s="1" t="n">
        <v>46038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4377-2023</t>
        </is>
      </c>
      <c r="B467" s="1" t="n">
        <v>44955.5502662037</v>
      </c>
      <c r="C467" s="1" t="n">
        <v>46038</v>
      </c>
      <c r="D467" t="inlineStr">
        <is>
          <t>GOTLANDS LÄN</t>
        </is>
      </c>
      <c r="E467" t="inlineStr">
        <is>
          <t>GOTLAND</t>
        </is>
      </c>
      <c r="F467" t="inlineStr">
        <is>
          <t>Kyrkan</t>
        </is>
      </c>
      <c r="G467" t="n">
        <v>0.6</v>
      </c>
      <c r="H467" t="n">
        <v>0</v>
      </c>
      <c r="I467" t="n">
        <v>0</v>
      </c>
      <c r="J467" t="n">
        <v>0</v>
      </c>
      <c r="K467" t="n">
        <v>0</v>
      </c>
      <c r="L467" t="n">
        <v>0</v>
      </c>
      <c r="M467" t="n">
        <v>0</v>
      </c>
      <c r="N467" t="n">
        <v>0</v>
      </c>
      <c r="O467" t="n">
        <v>0</v>
      </c>
      <c r="P467" t="n">
        <v>0</v>
      </c>
      <c r="Q467" t="n">
        <v>0</v>
      </c>
      <c r="R467" s="2" t="inlineStr"/>
    </row>
    <row r="468" ht="15" customHeight="1">
      <c r="A468" t="inlineStr">
        <is>
          <t>A 53577-2025</t>
        </is>
      </c>
      <c r="B468" s="1" t="n">
        <v>45960.42224537037</v>
      </c>
      <c r="C468" s="1" t="n">
        <v>46038</v>
      </c>
      <c r="D468" t="inlineStr">
        <is>
          <t>GOTLANDS LÄN</t>
        </is>
      </c>
      <c r="E468" t="inlineStr">
        <is>
          <t>GOTLAND</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53569-2025</t>
        </is>
      </c>
      <c r="B469" s="1" t="n">
        <v>45960.41155092593</v>
      </c>
      <c r="C469" s="1" t="n">
        <v>46038</v>
      </c>
      <c r="D469" t="inlineStr">
        <is>
          <t>GOTLANDS LÄN</t>
        </is>
      </c>
      <c r="E469" t="inlineStr">
        <is>
          <t>GOTLAND</t>
        </is>
      </c>
      <c r="F469" t="inlineStr">
        <is>
          <t>Övriga Aktiebolag</t>
        </is>
      </c>
      <c r="G469" t="n">
        <v>11.3</v>
      </c>
      <c r="H469" t="n">
        <v>0</v>
      </c>
      <c r="I469" t="n">
        <v>0</v>
      </c>
      <c r="J469" t="n">
        <v>0</v>
      </c>
      <c r="K469" t="n">
        <v>0</v>
      </c>
      <c r="L469" t="n">
        <v>0</v>
      </c>
      <c r="M469" t="n">
        <v>0</v>
      </c>
      <c r="N469" t="n">
        <v>0</v>
      </c>
      <c r="O469" t="n">
        <v>0</v>
      </c>
      <c r="P469" t="n">
        <v>0</v>
      </c>
      <c r="Q469" t="n">
        <v>0</v>
      </c>
      <c r="R469" s="2" t="inlineStr"/>
    </row>
    <row r="470" ht="15" customHeight="1">
      <c r="A470" t="inlineStr">
        <is>
          <t>A 53587-2025</t>
        </is>
      </c>
      <c r="B470" s="1" t="n">
        <v>45960.43681712963</v>
      </c>
      <c r="C470" s="1" t="n">
        <v>46038</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43901-2023</t>
        </is>
      </c>
      <c r="B471" s="1" t="n">
        <v>45187</v>
      </c>
      <c r="C471" s="1" t="n">
        <v>46038</v>
      </c>
      <c r="D471" t="inlineStr">
        <is>
          <t>GOTLANDS LÄN</t>
        </is>
      </c>
      <c r="E471" t="inlineStr">
        <is>
          <t>GOTLAND</t>
        </is>
      </c>
      <c r="G471" t="n">
        <v>5.4</v>
      </c>
      <c r="H471" t="n">
        <v>0</v>
      </c>
      <c r="I471" t="n">
        <v>0</v>
      </c>
      <c r="J471" t="n">
        <v>0</v>
      </c>
      <c r="K471" t="n">
        <v>0</v>
      </c>
      <c r="L471" t="n">
        <v>0</v>
      </c>
      <c r="M471" t="n">
        <v>0</v>
      </c>
      <c r="N471" t="n">
        <v>0</v>
      </c>
      <c r="O471" t="n">
        <v>0</v>
      </c>
      <c r="P471" t="n">
        <v>0</v>
      </c>
      <c r="Q471" t="n">
        <v>0</v>
      </c>
      <c r="R471" s="2" t="inlineStr"/>
    </row>
    <row r="472" ht="15" customHeight="1">
      <c r="A472" t="inlineStr">
        <is>
          <t>A 17532-2024</t>
        </is>
      </c>
      <c r="B472" s="1" t="n">
        <v>45415</v>
      </c>
      <c r="C472" s="1" t="n">
        <v>46038</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45692-2023</t>
        </is>
      </c>
      <c r="B473" s="1" t="n">
        <v>45195</v>
      </c>
      <c r="C473" s="1" t="n">
        <v>46038</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46038</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54584-2025</t>
        </is>
      </c>
      <c r="B475" s="1" t="n">
        <v>45965.71788194445</v>
      </c>
      <c r="C475" s="1" t="n">
        <v>46038</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46396-2023</t>
        </is>
      </c>
      <c r="B476" s="1" t="n">
        <v>45197</v>
      </c>
      <c r="C476" s="1" t="n">
        <v>46038</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46038</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53561-2025</t>
        </is>
      </c>
      <c r="B478" s="1" t="n">
        <v>45960.4059375</v>
      </c>
      <c r="C478" s="1" t="n">
        <v>46038</v>
      </c>
      <c r="D478" t="inlineStr">
        <is>
          <t>GOTLANDS LÄN</t>
        </is>
      </c>
      <c r="E478" t="inlineStr">
        <is>
          <t>GOTLAND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62066-2025</t>
        </is>
      </c>
      <c r="B479" s="1" t="n">
        <v>46006.34738425926</v>
      </c>
      <c r="C479" s="1" t="n">
        <v>46038</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46038</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58132-2023</t>
        </is>
      </c>
      <c r="B481" s="1" t="n">
        <v>45250</v>
      </c>
      <c r="C481" s="1" t="n">
        <v>46038</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22899-2023</t>
        </is>
      </c>
      <c r="B482" s="1" t="n">
        <v>45072</v>
      </c>
      <c r="C482" s="1" t="n">
        <v>46038</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28285-2024</t>
        </is>
      </c>
      <c r="B483" s="1" t="n">
        <v>45477</v>
      </c>
      <c r="C483" s="1" t="n">
        <v>46038</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63002-2025</t>
        </is>
      </c>
      <c r="B484" s="1" t="n">
        <v>46009.56564814815</v>
      </c>
      <c r="C484" s="1" t="n">
        <v>46038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46038</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1734-2025</t>
        </is>
      </c>
      <c r="B486" s="1" t="n">
        <v>45671.3840625</v>
      </c>
      <c r="C486" s="1" t="n">
        <v>46038</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30365-2024</t>
        </is>
      </c>
      <c r="B487" s="1" t="n">
        <v>45491.3716087963</v>
      </c>
      <c r="C487" s="1" t="n">
        <v>46038</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2674-2023</t>
        </is>
      </c>
      <c r="B488" s="1" t="n">
        <v>44944</v>
      </c>
      <c r="C488" s="1" t="n">
        <v>46038</v>
      </c>
      <c r="D488" t="inlineStr">
        <is>
          <t>GOTLANDS LÄN</t>
        </is>
      </c>
      <c r="E488" t="inlineStr">
        <is>
          <t>GOTLAND</t>
        </is>
      </c>
      <c r="G488" t="n">
        <v>2.5</v>
      </c>
      <c r="H488" t="n">
        <v>0</v>
      </c>
      <c r="I488" t="n">
        <v>0</v>
      </c>
      <c r="J488" t="n">
        <v>0</v>
      </c>
      <c r="K488" t="n">
        <v>0</v>
      </c>
      <c r="L488" t="n">
        <v>0</v>
      </c>
      <c r="M488" t="n">
        <v>0</v>
      </c>
      <c r="N488" t="n">
        <v>0</v>
      </c>
      <c r="O488" t="n">
        <v>0</v>
      </c>
      <c r="P488" t="n">
        <v>0</v>
      </c>
      <c r="Q488" t="n">
        <v>0</v>
      </c>
      <c r="R488" s="2" t="inlineStr"/>
    </row>
    <row r="489" ht="15" customHeight="1">
      <c r="A489" t="inlineStr">
        <is>
          <t>A 61080-2025</t>
        </is>
      </c>
      <c r="B489" s="1" t="n">
        <v>46000</v>
      </c>
      <c r="C489" s="1" t="n">
        <v>46038</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61100-2022</t>
        </is>
      </c>
      <c r="B490" s="1" t="n">
        <v>44915</v>
      </c>
      <c r="C490" s="1" t="n">
        <v>46038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61078-2025</t>
        </is>
      </c>
      <c r="B491" s="1" t="n">
        <v>46000</v>
      </c>
      <c r="C491" s="1" t="n">
        <v>46038</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581-2023</t>
        </is>
      </c>
      <c r="B492" s="1" t="n">
        <v>44930</v>
      </c>
      <c r="C492" s="1" t="n">
        <v>46038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10655-2023</t>
        </is>
      </c>
      <c r="B493" s="1" t="n">
        <v>44988.49543981482</v>
      </c>
      <c r="C493" s="1" t="n">
        <v>46038</v>
      </c>
      <c r="D493" t="inlineStr">
        <is>
          <t>GOTLANDS LÄN</t>
        </is>
      </c>
      <c r="E493" t="inlineStr">
        <is>
          <t>GOTLAND</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44649-2021</t>
        </is>
      </c>
      <c r="B494" s="1" t="n">
        <v>44437</v>
      </c>
      <c r="C494" s="1" t="n">
        <v>46038</v>
      </c>
      <c r="D494" t="inlineStr">
        <is>
          <t>GOTLANDS LÄN</t>
        </is>
      </c>
      <c r="E494" t="inlineStr">
        <is>
          <t>GOTLAND</t>
        </is>
      </c>
      <c r="G494" t="n">
        <v>8.1</v>
      </c>
      <c r="H494" t="n">
        <v>0</v>
      </c>
      <c r="I494" t="n">
        <v>0</v>
      </c>
      <c r="J494" t="n">
        <v>0</v>
      </c>
      <c r="K494" t="n">
        <v>0</v>
      </c>
      <c r="L494" t="n">
        <v>0</v>
      </c>
      <c r="M494" t="n">
        <v>0</v>
      </c>
      <c r="N494" t="n">
        <v>0</v>
      </c>
      <c r="O494" t="n">
        <v>0</v>
      </c>
      <c r="P494" t="n">
        <v>0</v>
      </c>
      <c r="Q494" t="n">
        <v>0</v>
      </c>
      <c r="R494" s="2" t="inlineStr"/>
    </row>
    <row r="495" ht="15" customHeight="1">
      <c r="A495" t="inlineStr">
        <is>
          <t>A 8484-2025</t>
        </is>
      </c>
      <c r="B495" s="1" t="n">
        <v>45709</v>
      </c>
      <c r="C495" s="1" t="n">
        <v>46038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56688-2025</t>
        </is>
      </c>
      <c r="B496" s="1" t="n">
        <v>45975.84331018518</v>
      </c>
      <c r="C496" s="1" t="n">
        <v>46038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56799-2025</t>
        </is>
      </c>
      <c r="B497" s="1" t="n">
        <v>45978.43392361111</v>
      </c>
      <c r="C497" s="1" t="n">
        <v>46038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49962-2023</t>
        </is>
      </c>
      <c r="B498" s="1" t="n">
        <v>45215.38775462963</v>
      </c>
      <c r="C498" s="1" t="n">
        <v>46038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50744-2024</t>
        </is>
      </c>
      <c r="B499" s="1" t="n">
        <v>45602.4187037037</v>
      </c>
      <c r="C499" s="1" t="n">
        <v>46038</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46038</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38787-2023</t>
        </is>
      </c>
      <c r="B501" s="1" t="n">
        <v>45163</v>
      </c>
      <c r="C501" s="1" t="n">
        <v>46038</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46038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22897-2023</t>
        </is>
      </c>
      <c r="B503" s="1" t="n">
        <v>45072.55239583334</v>
      </c>
      <c r="C503" s="1" t="n">
        <v>46038</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4568-2025</t>
        </is>
      </c>
      <c r="B504" s="1" t="n">
        <v>45687</v>
      </c>
      <c r="C504" s="1" t="n">
        <v>46038</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1681-2023</t>
        </is>
      </c>
      <c r="B505" s="1" t="n">
        <v>44938.39715277778</v>
      </c>
      <c r="C505" s="1" t="n">
        <v>46038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36-2026</t>
        </is>
      </c>
      <c r="B506" s="1" t="n">
        <v>46024.38886574074</v>
      </c>
      <c r="C506" s="1" t="n">
        <v>46038</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42338-2023</t>
        </is>
      </c>
      <c r="B507" s="1" t="n">
        <v>45180</v>
      </c>
      <c r="C507" s="1" t="n">
        <v>46038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18918-2025</t>
        </is>
      </c>
      <c r="B508" s="1" t="n">
        <v>45764</v>
      </c>
      <c r="C508" s="1" t="n">
        <v>46038</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11013-2024</t>
        </is>
      </c>
      <c r="B509" s="1" t="n">
        <v>45370</v>
      </c>
      <c r="C509" s="1" t="n">
        <v>46038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45084-2024</t>
        </is>
      </c>
      <c r="B510" s="1" t="n">
        <v>45575</v>
      </c>
      <c r="C510" s="1" t="n">
        <v>46038</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46038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4868-2024</t>
        </is>
      </c>
      <c r="B512" s="1" t="n">
        <v>45329</v>
      </c>
      <c r="C512" s="1" t="n">
        <v>46038</v>
      </c>
      <c r="D512" t="inlineStr">
        <is>
          <t>GOTLANDS LÄN</t>
        </is>
      </c>
      <c r="E512" t="inlineStr">
        <is>
          <t>GOTLAND</t>
        </is>
      </c>
      <c r="G512" t="n">
        <v>7.1</v>
      </c>
      <c r="H512" t="n">
        <v>0</v>
      </c>
      <c r="I512" t="n">
        <v>0</v>
      </c>
      <c r="J512" t="n">
        <v>0</v>
      </c>
      <c r="K512" t="n">
        <v>0</v>
      </c>
      <c r="L512" t="n">
        <v>0</v>
      </c>
      <c r="M512" t="n">
        <v>0</v>
      </c>
      <c r="N512" t="n">
        <v>0</v>
      </c>
      <c r="O512" t="n">
        <v>0</v>
      </c>
      <c r="P512" t="n">
        <v>0</v>
      </c>
      <c r="Q512" t="n">
        <v>0</v>
      </c>
      <c r="R512" s="2" t="inlineStr"/>
    </row>
    <row r="513" ht="15" customHeight="1">
      <c r="A513" t="inlineStr">
        <is>
          <t>A 9613-2025</t>
        </is>
      </c>
      <c r="B513" s="1" t="n">
        <v>45715</v>
      </c>
      <c r="C513" s="1" t="n">
        <v>46038</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5386-2023</t>
        </is>
      </c>
      <c r="B514" s="1" t="n">
        <v>44959</v>
      </c>
      <c r="C514" s="1" t="n">
        <v>46038</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58211-2024</t>
        </is>
      </c>
      <c r="B515" s="1" t="n">
        <v>45632.49292824074</v>
      </c>
      <c r="C515" s="1" t="n">
        <v>46038</v>
      </c>
      <c r="D515" t="inlineStr">
        <is>
          <t>GOTLANDS LÄN</t>
        </is>
      </c>
      <c r="E515" t="inlineStr">
        <is>
          <t>GOTLAND</t>
        </is>
      </c>
      <c r="G515" t="n">
        <v>5.4</v>
      </c>
      <c r="H515" t="n">
        <v>0</v>
      </c>
      <c r="I515" t="n">
        <v>0</v>
      </c>
      <c r="J515" t="n">
        <v>0</v>
      </c>
      <c r="K515" t="n">
        <v>0</v>
      </c>
      <c r="L515" t="n">
        <v>0</v>
      </c>
      <c r="M515" t="n">
        <v>0</v>
      </c>
      <c r="N515" t="n">
        <v>0</v>
      </c>
      <c r="O515" t="n">
        <v>0</v>
      </c>
      <c r="P515" t="n">
        <v>0</v>
      </c>
      <c r="Q515" t="n">
        <v>0</v>
      </c>
      <c r="R515" s="2" t="inlineStr"/>
    </row>
    <row r="516" ht="15" customHeight="1">
      <c r="A516" t="inlineStr">
        <is>
          <t>A 59197-2025</t>
        </is>
      </c>
      <c r="B516" s="1" t="n">
        <v>45988.59846064815</v>
      </c>
      <c r="C516" s="1" t="n">
        <v>46038</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46038</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1355-2026</t>
        </is>
      </c>
      <c r="B518" s="1" t="n">
        <v>46031.59909722222</v>
      </c>
      <c r="C518" s="1" t="n">
        <v>46038</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5884-2025</t>
        </is>
      </c>
      <c r="B519" s="1" t="n">
        <v>45695.37482638889</v>
      </c>
      <c r="C519" s="1" t="n">
        <v>46038</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5897-2025</t>
        </is>
      </c>
      <c r="B520" s="1" t="n">
        <v>45695.39273148148</v>
      </c>
      <c r="C520" s="1" t="n">
        <v>46038</v>
      </c>
      <c r="D520" t="inlineStr">
        <is>
          <t>GOTLANDS LÄN</t>
        </is>
      </c>
      <c r="E520" t="inlineStr">
        <is>
          <t>GOTLAND</t>
        </is>
      </c>
      <c r="G520" t="n">
        <v>3.7</v>
      </c>
      <c r="H520" t="n">
        <v>0</v>
      </c>
      <c r="I520" t="n">
        <v>0</v>
      </c>
      <c r="J520" t="n">
        <v>0</v>
      </c>
      <c r="K520" t="n">
        <v>0</v>
      </c>
      <c r="L520" t="n">
        <v>0</v>
      </c>
      <c r="M520" t="n">
        <v>0</v>
      </c>
      <c r="N520" t="n">
        <v>0</v>
      </c>
      <c r="O520" t="n">
        <v>0</v>
      </c>
      <c r="P520" t="n">
        <v>0</v>
      </c>
      <c r="Q520" t="n">
        <v>0</v>
      </c>
      <c r="R520" s="2" t="inlineStr"/>
    </row>
    <row r="521" ht="15" customHeight="1">
      <c r="A521" t="inlineStr">
        <is>
          <t>A 5909-2025</t>
        </is>
      </c>
      <c r="B521" s="1" t="n">
        <v>45695.40634259259</v>
      </c>
      <c r="C521" s="1" t="n">
        <v>46038</v>
      </c>
      <c r="D521" t="inlineStr">
        <is>
          <t>GOTLANDS LÄN</t>
        </is>
      </c>
      <c r="E521" t="inlineStr">
        <is>
          <t>GOTLAND</t>
        </is>
      </c>
      <c r="G521" t="n">
        <v>2.9</v>
      </c>
      <c r="H521" t="n">
        <v>0</v>
      </c>
      <c r="I521" t="n">
        <v>0</v>
      </c>
      <c r="J521" t="n">
        <v>0</v>
      </c>
      <c r="K521" t="n">
        <v>0</v>
      </c>
      <c r="L521" t="n">
        <v>0</v>
      </c>
      <c r="M521" t="n">
        <v>0</v>
      </c>
      <c r="N521" t="n">
        <v>0</v>
      </c>
      <c r="O521" t="n">
        <v>0</v>
      </c>
      <c r="P521" t="n">
        <v>0</v>
      </c>
      <c r="Q521" t="n">
        <v>0</v>
      </c>
      <c r="R521" s="2" t="inlineStr"/>
    </row>
    <row r="522" ht="15" customHeight="1">
      <c r="A522" t="inlineStr">
        <is>
          <t>A 60086-2022</t>
        </is>
      </c>
      <c r="B522" s="1" t="n">
        <v>44909</v>
      </c>
      <c r="C522" s="1" t="n">
        <v>46038</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22704-2023</t>
        </is>
      </c>
      <c r="B523" s="1" t="n">
        <v>45071</v>
      </c>
      <c r="C523" s="1" t="n">
        <v>46038</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36319-2025</t>
        </is>
      </c>
      <c r="B524" s="1" t="n">
        <v>45868</v>
      </c>
      <c r="C524" s="1" t="n">
        <v>46038</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46038</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47147-2025</t>
        </is>
      </c>
      <c r="B526" s="1" t="n">
        <v>45929</v>
      </c>
      <c r="C526" s="1" t="n">
        <v>46038</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62674-2025</t>
        </is>
      </c>
      <c r="B527" s="1" t="n">
        <v>46008</v>
      </c>
      <c r="C527" s="1" t="n">
        <v>46038</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25866-2022</t>
        </is>
      </c>
      <c r="B528" s="1" t="n">
        <v>44733</v>
      </c>
      <c r="C528" s="1" t="n">
        <v>46038</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46038</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62836-2025</t>
        </is>
      </c>
      <c r="B530" s="1" t="n">
        <v>46008</v>
      </c>
      <c r="C530" s="1" t="n">
        <v>46038</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1839-2026</t>
        </is>
      </c>
      <c r="B531" s="1" t="n">
        <v>46035.3942824074</v>
      </c>
      <c r="C531" s="1" t="n">
        <v>46038</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1898-2026</t>
        </is>
      </c>
      <c r="B532" s="1" t="n">
        <v>46035.52024305556</v>
      </c>
      <c r="C532" s="1" t="n">
        <v>46038</v>
      </c>
      <c r="D532" t="inlineStr">
        <is>
          <t>GOTLANDS LÄN</t>
        </is>
      </c>
      <c r="E532" t="inlineStr">
        <is>
          <t>GOTLAND</t>
        </is>
      </c>
      <c r="G532" t="n">
        <v>3.7</v>
      </c>
      <c r="H532" t="n">
        <v>0</v>
      </c>
      <c r="I532" t="n">
        <v>0</v>
      </c>
      <c r="J532" t="n">
        <v>0</v>
      </c>
      <c r="K532" t="n">
        <v>0</v>
      </c>
      <c r="L532" t="n">
        <v>0</v>
      </c>
      <c r="M532" t="n">
        <v>0</v>
      </c>
      <c r="N532" t="n">
        <v>0</v>
      </c>
      <c r="O532" t="n">
        <v>0</v>
      </c>
      <c r="P532" t="n">
        <v>0</v>
      </c>
      <c r="Q532" t="n">
        <v>0</v>
      </c>
      <c r="R532" s="2" t="inlineStr"/>
    </row>
    <row r="533" ht="15" customHeight="1">
      <c r="A533" t="inlineStr">
        <is>
          <t>A 1854-2026</t>
        </is>
      </c>
      <c r="B533" s="1" t="n">
        <v>46035.4171875</v>
      </c>
      <c r="C533" s="1" t="n">
        <v>46038</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2415-2026</t>
        </is>
      </c>
      <c r="B534" s="1" t="n">
        <v>46036.76203703704</v>
      </c>
      <c r="C534" s="1" t="n">
        <v>46038</v>
      </c>
      <c r="D534" t="inlineStr">
        <is>
          <t>GOTLANDS LÄN</t>
        </is>
      </c>
      <c r="E534" t="inlineStr">
        <is>
          <t>GOTLAND</t>
        </is>
      </c>
      <c r="G534" t="n">
        <v>6.9</v>
      </c>
      <c r="H534" t="n">
        <v>0</v>
      </c>
      <c r="I534" t="n">
        <v>0</v>
      </c>
      <c r="J534" t="n">
        <v>0</v>
      </c>
      <c r="K534" t="n">
        <v>0</v>
      </c>
      <c r="L534" t="n">
        <v>0</v>
      </c>
      <c r="M534" t="n">
        <v>0</v>
      </c>
      <c r="N534" t="n">
        <v>0</v>
      </c>
      <c r="O534" t="n">
        <v>0</v>
      </c>
      <c r="P534" t="n">
        <v>0</v>
      </c>
      <c r="Q534" t="n">
        <v>0</v>
      </c>
      <c r="R534" s="2" t="inlineStr"/>
    </row>
    <row r="535" ht="15" customHeight="1">
      <c r="A535" t="inlineStr">
        <is>
          <t>A 62754-2025</t>
        </is>
      </c>
      <c r="B535" s="1" t="n">
        <v>46008</v>
      </c>
      <c r="C535" s="1" t="n">
        <v>46038</v>
      </c>
      <c r="D535" t="inlineStr">
        <is>
          <t>GOTLANDS LÄN</t>
        </is>
      </c>
      <c r="E535" t="inlineStr">
        <is>
          <t>GOTLAND</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9887-2025</t>
        </is>
      </c>
      <c r="B536" s="1" t="n">
        <v>45716</v>
      </c>
      <c r="C536" s="1" t="n">
        <v>46038</v>
      </c>
      <c r="D536" t="inlineStr">
        <is>
          <t>GOTLANDS LÄN</t>
        </is>
      </c>
      <c r="E536" t="inlineStr">
        <is>
          <t>GOTLAND</t>
        </is>
      </c>
      <c r="G536" t="n">
        <v>7.5</v>
      </c>
      <c r="H536" t="n">
        <v>0</v>
      </c>
      <c r="I536" t="n">
        <v>0</v>
      </c>
      <c r="J536" t="n">
        <v>0</v>
      </c>
      <c r="K536" t="n">
        <v>0</v>
      </c>
      <c r="L536" t="n">
        <v>0</v>
      </c>
      <c r="M536" t="n">
        <v>0</v>
      </c>
      <c r="N536" t="n">
        <v>0</v>
      </c>
      <c r="O536" t="n">
        <v>0</v>
      </c>
      <c r="P536" t="n">
        <v>0</v>
      </c>
      <c r="Q536" t="n">
        <v>0</v>
      </c>
      <c r="R536" s="2" t="inlineStr"/>
    </row>
    <row r="537" ht="15" customHeight="1">
      <c r="A537" t="inlineStr">
        <is>
          <t>A 2134-2026</t>
        </is>
      </c>
      <c r="B537" s="1" t="n">
        <v>46036</v>
      </c>
      <c r="C537" s="1" t="n">
        <v>46038</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12209-2024</t>
        </is>
      </c>
      <c r="B538" s="1" t="n">
        <v>45378</v>
      </c>
      <c r="C538" s="1" t="n">
        <v>46038</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12210-2024</t>
        </is>
      </c>
      <c r="B539" s="1" t="n">
        <v>45378</v>
      </c>
      <c r="C539" s="1" t="n">
        <v>46038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46038</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2135-2026</t>
        </is>
      </c>
      <c r="B541" s="1" t="n">
        <v>46036</v>
      </c>
      <c r="C541" s="1" t="n">
        <v>46038</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46038</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63000-2025</t>
        </is>
      </c>
      <c r="B543" s="1" t="n">
        <v>46009</v>
      </c>
      <c r="C543" s="1" t="n">
        <v>46038</v>
      </c>
      <c r="D543" t="inlineStr">
        <is>
          <t>GOTLANDS LÄN</t>
        </is>
      </c>
      <c r="E543" t="inlineStr">
        <is>
          <t>GOTLAND</t>
        </is>
      </c>
      <c r="F543" t="inlineStr">
        <is>
          <t>Övriga Aktiebolag</t>
        </is>
      </c>
      <c r="G543" t="n">
        <v>1.7</v>
      </c>
      <c r="H543" t="n">
        <v>0</v>
      </c>
      <c r="I543" t="n">
        <v>0</v>
      </c>
      <c r="J543" t="n">
        <v>0</v>
      </c>
      <c r="K543" t="n">
        <v>0</v>
      </c>
      <c r="L543" t="n">
        <v>0</v>
      </c>
      <c r="M543" t="n">
        <v>0</v>
      </c>
      <c r="N543" t="n">
        <v>0</v>
      </c>
      <c r="O543" t="n">
        <v>0</v>
      </c>
      <c r="P543" t="n">
        <v>0</v>
      </c>
      <c r="Q543" t="n">
        <v>0</v>
      </c>
      <c r="R543" s="2" t="inlineStr"/>
    </row>
    <row r="544" ht="15" customHeight="1">
      <c r="A544" t="inlineStr">
        <is>
          <t>A 63105-2025</t>
        </is>
      </c>
      <c r="B544" s="1" t="n">
        <v>46009</v>
      </c>
      <c r="C544" s="1" t="n">
        <v>46038</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60384-2025</t>
        </is>
      </c>
      <c r="B545" s="1" t="n">
        <v>45995</v>
      </c>
      <c r="C545" s="1" t="n">
        <v>46038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31802-2024</t>
        </is>
      </c>
      <c r="B546" s="1" t="n">
        <v>45509</v>
      </c>
      <c r="C546" s="1" t="n">
        <v>46038</v>
      </c>
      <c r="D546" t="inlineStr">
        <is>
          <t>GOTLANDS LÄN</t>
        </is>
      </c>
      <c r="E546" t="inlineStr">
        <is>
          <t>GOTLAND</t>
        </is>
      </c>
      <c r="G546" t="n">
        <v>2.8</v>
      </c>
      <c r="H546" t="n">
        <v>0</v>
      </c>
      <c r="I546" t="n">
        <v>0</v>
      </c>
      <c r="J546" t="n">
        <v>0</v>
      </c>
      <c r="K546" t="n">
        <v>0</v>
      </c>
      <c r="L546" t="n">
        <v>0</v>
      </c>
      <c r="M546" t="n">
        <v>0</v>
      </c>
      <c r="N546" t="n">
        <v>0</v>
      </c>
      <c r="O546" t="n">
        <v>0</v>
      </c>
      <c r="P546" t="n">
        <v>0</v>
      </c>
      <c r="Q546" t="n">
        <v>0</v>
      </c>
      <c r="R546" s="2" t="inlineStr"/>
    </row>
    <row r="547" ht="15" customHeight="1">
      <c r="A547" t="inlineStr">
        <is>
          <t>A 20993-2023</t>
        </is>
      </c>
      <c r="B547" s="1" t="n">
        <v>45056</v>
      </c>
      <c r="C547" s="1" t="n">
        <v>46038</v>
      </c>
      <c r="D547" t="inlineStr">
        <is>
          <t>GOTLANDS LÄN</t>
        </is>
      </c>
      <c r="E547" t="inlineStr">
        <is>
          <t>GOTLAND</t>
        </is>
      </c>
      <c r="G547" t="n">
        <v>7.1</v>
      </c>
      <c r="H547" t="n">
        <v>0</v>
      </c>
      <c r="I547" t="n">
        <v>0</v>
      </c>
      <c r="J547" t="n">
        <v>0</v>
      </c>
      <c r="K547" t="n">
        <v>0</v>
      </c>
      <c r="L547" t="n">
        <v>0</v>
      </c>
      <c r="M547" t="n">
        <v>0</v>
      </c>
      <c r="N547" t="n">
        <v>0</v>
      </c>
      <c r="O547" t="n">
        <v>0</v>
      </c>
      <c r="P547" t="n">
        <v>0</v>
      </c>
      <c r="Q547" t="n">
        <v>0</v>
      </c>
      <c r="R547" s="2" t="inlineStr"/>
    </row>
    <row r="548" ht="15" customHeight="1">
      <c r="A548" t="inlineStr">
        <is>
          <t>A 62103-2025</t>
        </is>
      </c>
      <c r="B548" s="1" t="n">
        <v>46006</v>
      </c>
      <c r="C548" s="1" t="n">
        <v>46038</v>
      </c>
      <c r="D548" t="inlineStr">
        <is>
          <t>GOTLANDS LÄN</t>
        </is>
      </c>
      <c r="E548" t="inlineStr">
        <is>
          <t>GOTLAND</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46038</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46038</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4420-2025</t>
        </is>
      </c>
      <c r="B551" s="1" t="n">
        <v>45686.47157407407</v>
      </c>
      <c r="C551" s="1" t="n">
        <v>46038</v>
      </c>
      <c r="D551" t="inlineStr">
        <is>
          <t>GOTLANDS LÄN</t>
        </is>
      </c>
      <c r="E551" t="inlineStr">
        <is>
          <t>GOTLAND</t>
        </is>
      </c>
      <c r="G551" t="n">
        <v>1.6</v>
      </c>
      <c r="H551" t="n">
        <v>0</v>
      </c>
      <c r="I551" t="n">
        <v>0</v>
      </c>
      <c r="J551" t="n">
        <v>0</v>
      </c>
      <c r="K551" t="n">
        <v>0</v>
      </c>
      <c r="L551" t="n">
        <v>0</v>
      </c>
      <c r="M551" t="n">
        <v>0</v>
      </c>
      <c r="N551" t="n">
        <v>0</v>
      </c>
      <c r="O551" t="n">
        <v>0</v>
      </c>
      <c r="P551" t="n">
        <v>0</v>
      </c>
      <c r="Q551" t="n">
        <v>0</v>
      </c>
      <c r="R551" s="2" t="inlineStr"/>
    </row>
    <row r="552" ht="15" customHeight="1">
      <c r="A552" t="inlineStr">
        <is>
          <t>A 14427-2024</t>
        </is>
      </c>
      <c r="B552" s="1" t="n">
        <v>45394</v>
      </c>
      <c r="C552" s="1" t="n">
        <v>46038</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49257-2024</t>
        </is>
      </c>
      <c r="B553" s="1" t="n">
        <v>45595.47627314815</v>
      </c>
      <c r="C553" s="1" t="n">
        <v>46038</v>
      </c>
      <c r="D553" t="inlineStr">
        <is>
          <t>GOTLANDS LÄN</t>
        </is>
      </c>
      <c r="E553" t="inlineStr">
        <is>
          <t>GOTLAND</t>
        </is>
      </c>
      <c r="G553" t="n">
        <v>6.3</v>
      </c>
      <c r="H553" t="n">
        <v>0</v>
      </c>
      <c r="I553" t="n">
        <v>0</v>
      </c>
      <c r="J553" t="n">
        <v>0</v>
      </c>
      <c r="K553" t="n">
        <v>0</v>
      </c>
      <c r="L553" t="n">
        <v>0</v>
      </c>
      <c r="M553" t="n">
        <v>0</v>
      </c>
      <c r="N553" t="n">
        <v>0</v>
      </c>
      <c r="O553" t="n">
        <v>0</v>
      </c>
      <c r="P553" t="n">
        <v>0</v>
      </c>
      <c r="Q553" t="n">
        <v>0</v>
      </c>
      <c r="R553" s="2" t="inlineStr"/>
    </row>
    <row r="554" ht="15" customHeight="1">
      <c r="A554" t="inlineStr">
        <is>
          <t>A 49315-2024</t>
        </is>
      </c>
      <c r="B554" s="1" t="n">
        <v>45595</v>
      </c>
      <c r="C554" s="1" t="n">
        <v>46038</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27596-2023</t>
        </is>
      </c>
      <c r="B555" s="1" t="n">
        <v>45097</v>
      </c>
      <c r="C555" s="1" t="n">
        <v>46038</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56115-2023</t>
        </is>
      </c>
      <c r="B556" s="1" t="n">
        <v>45236</v>
      </c>
      <c r="C556" s="1" t="n">
        <v>46038</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64969-2023</t>
        </is>
      </c>
      <c r="B557" s="1" t="n">
        <v>45284.54009259259</v>
      </c>
      <c r="C557" s="1" t="n">
        <v>46038</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33853-2024</t>
        </is>
      </c>
      <c r="B558" s="1" t="n">
        <v>45520.64298611111</v>
      </c>
      <c r="C558" s="1" t="n">
        <v>46038</v>
      </c>
      <c r="D558" t="inlineStr">
        <is>
          <t>GOTLANDS LÄN</t>
        </is>
      </c>
      <c r="E558" t="inlineStr">
        <is>
          <t>GOTLAND</t>
        </is>
      </c>
      <c r="G558" t="n">
        <v>3.9</v>
      </c>
      <c r="H558" t="n">
        <v>0</v>
      </c>
      <c r="I558" t="n">
        <v>0</v>
      </c>
      <c r="J558" t="n">
        <v>0</v>
      </c>
      <c r="K558" t="n">
        <v>0</v>
      </c>
      <c r="L558" t="n">
        <v>0</v>
      </c>
      <c r="M558" t="n">
        <v>0</v>
      </c>
      <c r="N558" t="n">
        <v>0</v>
      </c>
      <c r="O558" t="n">
        <v>0</v>
      </c>
      <c r="P558" t="n">
        <v>0</v>
      </c>
      <c r="Q558" t="n">
        <v>0</v>
      </c>
      <c r="R558" s="2" t="inlineStr"/>
    </row>
    <row r="559" ht="15" customHeight="1">
      <c r="A559" t="inlineStr">
        <is>
          <t>A 18223-2025</t>
        </is>
      </c>
      <c r="B559" s="1" t="n">
        <v>45761</v>
      </c>
      <c r="C559" s="1" t="n">
        <v>46038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46949-2024</t>
        </is>
      </c>
      <c r="B560" s="1" t="n">
        <v>45585</v>
      </c>
      <c r="C560" s="1" t="n">
        <v>46038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24001-2021</t>
        </is>
      </c>
      <c r="B561" s="1" t="n">
        <v>44335</v>
      </c>
      <c r="C561" s="1" t="n">
        <v>46038</v>
      </c>
      <c r="D561" t="inlineStr">
        <is>
          <t>GOTLANDS LÄN</t>
        </is>
      </c>
      <c r="E561" t="inlineStr">
        <is>
          <t>GOTLAND</t>
        </is>
      </c>
      <c r="G561" t="n">
        <v>3.4</v>
      </c>
      <c r="H561" t="n">
        <v>0</v>
      </c>
      <c r="I561" t="n">
        <v>0</v>
      </c>
      <c r="J561" t="n">
        <v>0</v>
      </c>
      <c r="K561" t="n">
        <v>0</v>
      </c>
      <c r="L561" t="n">
        <v>0</v>
      </c>
      <c r="M561" t="n">
        <v>0</v>
      </c>
      <c r="N561" t="n">
        <v>0</v>
      </c>
      <c r="O561" t="n">
        <v>0</v>
      </c>
      <c r="P561" t="n">
        <v>0</v>
      </c>
      <c r="Q561" t="n">
        <v>0</v>
      </c>
      <c r="R561" s="2" t="inlineStr"/>
    </row>
    <row r="562" ht="15" customHeight="1">
      <c r="A562" t="inlineStr">
        <is>
          <t>A 39479-2022</t>
        </is>
      </c>
      <c r="B562" s="1" t="n">
        <v>44818</v>
      </c>
      <c r="C562" s="1" t="n">
        <v>46038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39496-2022</t>
        </is>
      </c>
      <c r="B563" s="1" t="n">
        <v>44818</v>
      </c>
      <c r="C563" s="1" t="n">
        <v>46038</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46389-2021</t>
        </is>
      </c>
      <c r="B564" s="1" t="n">
        <v>44443</v>
      </c>
      <c r="C564" s="1" t="n">
        <v>46038</v>
      </c>
      <c r="D564" t="inlineStr">
        <is>
          <t>GOTLANDS LÄN</t>
        </is>
      </c>
      <c r="E564" t="inlineStr">
        <is>
          <t>GOTLAND</t>
        </is>
      </c>
      <c r="F564" t="inlineStr">
        <is>
          <t>Kyrkan</t>
        </is>
      </c>
      <c r="G564" t="n">
        <v>2.1</v>
      </c>
      <c r="H564" t="n">
        <v>0</v>
      </c>
      <c r="I564" t="n">
        <v>0</v>
      </c>
      <c r="J564" t="n">
        <v>0</v>
      </c>
      <c r="K564" t="n">
        <v>0</v>
      </c>
      <c r="L564" t="n">
        <v>0</v>
      </c>
      <c r="M564" t="n">
        <v>0</v>
      </c>
      <c r="N564" t="n">
        <v>0</v>
      </c>
      <c r="O564" t="n">
        <v>0</v>
      </c>
      <c r="P564" t="n">
        <v>0</v>
      </c>
      <c r="Q564" t="n">
        <v>0</v>
      </c>
      <c r="R564" s="2" t="inlineStr"/>
    </row>
    <row r="565" ht="15" customHeight="1">
      <c r="A565" t="inlineStr">
        <is>
          <t>A 44949-2023</t>
        </is>
      </c>
      <c r="B565" s="1" t="n">
        <v>45190.69520833333</v>
      </c>
      <c r="C565" s="1" t="n">
        <v>46038</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17682-2024</t>
        </is>
      </c>
      <c r="B566" s="1" t="n">
        <v>45418.42966435185</v>
      </c>
      <c r="C566" s="1" t="n">
        <v>46038</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61897-2024</t>
        </is>
      </c>
      <c r="B567" s="1" t="n">
        <v>45652.75685185185</v>
      </c>
      <c r="C567" s="1" t="n">
        <v>46038</v>
      </c>
      <c r="D567" t="inlineStr">
        <is>
          <t>GOTLANDS LÄN</t>
        </is>
      </c>
      <c r="E567" t="inlineStr">
        <is>
          <t>GOTLAND</t>
        </is>
      </c>
      <c r="G567" t="n">
        <v>6.4</v>
      </c>
      <c r="H567" t="n">
        <v>0</v>
      </c>
      <c r="I567" t="n">
        <v>0</v>
      </c>
      <c r="J567" t="n">
        <v>0</v>
      </c>
      <c r="K567" t="n">
        <v>0</v>
      </c>
      <c r="L567" t="n">
        <v>0</v>
      </c>
      <c r="M567" t="n">
        <v>0</v>
      </c>
      <c r="N567" t="n">
        <v>0</v>
      </c>
      <c r="O567" t="n">
        <v>0</v>
      </c>
      <c r="P567" t="n">
        <v>0</v>
      </c>
      <c r="Q567" t="n">
        <v>0</v>
      </c>
      <c r="R567" s="2" t="inlineStr"/>
    </row>
    <row r="568" ht="15" customHeight="1">
      <c r="A568" t="inlineStr">
        <is>
          <t>A 12032-2025</t>
        </is>
      </c>
      <c r="B568" s="1" t="n">
        <v>45728.64472222222</v>
      </c>
      <c r="C568" s="1" t="n">
        <v>46038</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15595-2024</t>
        </is>
      </c>
      <c r="B569" s="1" t="n">
        <v>45401.81480324074</v>
      </c>
      <c r="C569" s="1" t="n">
        <v>46038</v>
      </c>
      <c r="D569" t="inlineStr">
        <is>
          <t>GOTLANDS LÄN</t>
        </is>
      </c>
      <c r="E569" t="inlineStr">
        <is>
          <t>GOTLAND</t>
        </is>
      </c>
      <c r="G569" t="n">
        <v>6.4</v>
      </c>
      <c r="H569" t="n">
        <v>0</v>
      </c>
      <c r="I569" t="n">
        <v>0</v>
      </c>
      <c r="J569" t="n">
        <v>0</v>
      </c>
      <c r="K569" t="n">
        <v>0</v>
      </c>
      <c r="L569" t="n">
        <v>0</v>
      </c>
      <c r="M569" t="n">
        <v>0</v>
      </c>
      <c r="N569" t="n">
        <v>0</v>
      </c>
      <c r="O569" t="n">
        <v>0</v>
      </c>
      <c r="P569" t="n">
        <v>0</v>
      </c>
      <c r="Q569" t="n">
        <v>0</v>
      </c>
      <c r="R569" s="2" t="inlineStr"/>
    </row>
    <row r="570" ht="15" customHeight="1">
      <c r="A570" t="inlineStr">
        <is>
          <t>A 21164-2024</t>
        </is>
      </c>
      <c r="B570" s="1" t="n">
        <v>45440</v>
      </c>
      <c r="C570" s="1" t="n">
        <v>46038</v>
      </c>
      <c r="D570" t="inlineStr">
        <is>
          <t>GOTLANDS LÄN</t>
        </is>
      </c>
      <c r="E570" t="inlineStr">
        <is>
          <t>GOTLAND</t>
        </is>
      </c>
      <c r="G570" t="n">
        <v>6.3</v>
      </c>
      <c r="H570" t="n">
        <v>0</v>
      </c>
      <c r="I570" t="n">
        <v>0</v>
      </c>
      <c r="J570" t="n">
        <v>0</v>
      </c>
      <c r="K570" t="n">
        <v>0</v>
      </c>
      <c r="L570" t="n">
        <v>0</v>
      </c>
      <c r="M570" t="n">
        <v>0</v>
      </c>
      <c r="N570" t="n">
        <v>0</v>
      </c>
      <c r="O570" t="n">
        <v>0</v>
      </c>
      <c r="P570" t="n">
        <v>0</v>
      </c>
      <c r="Q570" t="n">
        <v>0</v>
      </c>
      <c r="R570" s="2" t="inlineStr"/>
    </row>
    <row r="571" ht="15" customHeight="1">
      <c r="A571" t="inlineStr">
        <is>
          <t>A 17541-2024</t>
        </is>
      </c>
      <c r="B571" s="1" t="n">
        <v>45415</v>
      </c>
      <c r="C571" s="1" t="n">
        <v>46038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883-2025</t>
        </is>
      </c>
      <c r="B572" s="1" t="n">
        <v>45665</v>
      </c>
      <c r="C572" s="1" t="n">
        <v>46038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13910-2025</t>
        </is>
      </c>
      <c r="B573" s="1" t="n">
        <v>45737</v>
      </c>
      <c r="C573" s="1" t="n">
        <v>46038</v>
      </c>
      <c r="D573" t="inlineStr">
        <is>
          <t>GOTLANDS LÄN</t>
        </is>
      </c>
      <c r="E573" t="inlineStr">
        <is>
          <t>GOTLAND</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20794-2025</t>
        </is>
      </c>
      <c r="B574" s="1" t="n">
        <v>45776</v>
      </c>
      <c r="C574" s="1" t="n">
        <v>46038</v>
      </c>
      <c r="D574" t="inlineStr">
        <is>
          <t>GOTLANDS LÄN</t>
        </is>
      </c>
      <c r="E574" t="inlineStr">
        <is>
          <t>GOTLAND</t>
        </is>
      </c>
      <c r="G574" t="n">
        <v>6</v>
      </c>
      <c r="H574" t="n">
        <v>0</v>
      </c>
      <c r="I574" t="n">
        <v>0</v>
      </c>
      <c r="J574" t="n">
        <v>0</v>
      </c>
      <c r="K574" t="n">
        <v>0</v>
      </c>
      <c r="L574" t="n">
        <v>0</v>
      </c>
      <c r="M574" t="n">
        <v>0</v>
      </c>
      <c r="N574" t="n">
        <v>0</v>
      </c>
      <c r="O574" t="n">
        <v>0</v>
      </c>
      <c r="P574" t="n">
        <v>0</v>
      </c>
      <c r="Q574" t="n">
        <v>0</v>
      </c>
      <c r="R574" s="2" t="inlineStr"/>
    </row>
    <row r="575" ht="15" customHeight="1">
      <c r="A575" t="inlineStr">
        <is>
          <t>A 20805-2025</t>
        </is>
      </c>
      <c r="B575" s="1" t="n">
        <v>45776</v>
      </c>
      <c r="C575" s="1" t="n">
        <v>46038</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21389-2025</t>
        </is>
      </c>
      <c r="B576" s="1" t="n">
        <v>45782</v>
      </c>
      <c r="C576" s="1" t="n">
        <v>46038</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21651-2025</t>
        </is>
      </c>
      <c r="B577" s="1" t="n">
        <v>45783</v>
      </c>
      <c r="C577" s="1" t="n">
        <v>46038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21420-2024</t>
        </is>
      </c>
      <c r="B578" s="1" t="n">
        <v>45441.38293981482</v>
      </c>
      <c r="C578" s="1" t="n">
        <v>46038</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10656-2024</t>
        </is>
      </c>
      <c r="B579" s="1" t="n">
        <v>45368</v>
      </c>
      <c r="C579" s="1" t="n">
        <v>46038</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57356-2023</t>
        </is>
      </c>
      <c r="B580" s="1" t="n">
        <v>45240</v>
      </c>
      <c r="C580" s="1" t="n">
        <v>46038</v>
      </c>
      <c r="D580" t="inlineStr">
        <is>
          <t>GOTLANDS LÄN</t>
        </is>
      </c>
      <c r="E580" t="inlineStr">
        <is>
          <t>GOTLAND</t>
        </is>
      </c>
      <c r="G580" t="n">
        <v>6.4</v>
      </c>
      <c r="H580" t="n">
        <v>0</v>
      </c>
      <c r="I580" t="n">
        <v>0</v>
      </c>
      <c r="J580" t="n">
        <v>0</v>
      </c>
      <c r="K580" t="n">
        <v>0</v>
      </c>
      <c r="L580" t="n">
        <v>0</v>
      </c>
      <c r="M580" t="n">
        <v>0</v>
      </c>
      <c r="N580" t="n">
        <v>0</v>
      </c>
      <c r="O580" t="n">
        <v>0</v>
      </c>
      <c r="P580" t="n">
        <v>0</v>
      </c>
      <c r="Q580" t="n">
        <v>0</v>
      </c>
      <c r="R580" s="2" t="inlineStr"/>
    </row>
    <row r="581" ht="15" customHeight="1">
      <c r="A581" t="inlineStr">
        <is>
          <t>A 28506-2023</t>
        </is>
      </c>
      <c r="B581" s="1" t="n">
        <v>45103</v>
      </c>
      <c r="C581" s="1" t="n">
        <v>46038</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23188-2025</t>
        </is>
      </c>
      <c r="B582" s="1" t="n">
        <v>45791</v>
      </c>
      <c r="C582" s="1" t="n">
        <v>46038</v>
      </c>
      <c r="D582" t="inlineStr">
        <is>
          <t>GOTLANDS LÄN</t>
        </is>
      </c>
      <c r="E582" t="inlineStr">
        <is>
          <t>GOTLAND</t>
        </is>
      </c>
      <c r="G582" t="n">
        <v>6.2</v>
      </c>
      <c r="H582" t="n">
        <v>0</v>
      </c>
      <c r="I582" t="n">
        <v>0</v>
      </c>
      <c r="J582" t="n">
        <v>0</v>
      </c>
      <c r="K582" t="n">
        <v>0</v>
      </c>
      <c r="L582" t="n">
        <v>0</v>
      </c>
      <c r="M582" t="n">
        <v>0</v>
      </c>
      <c r="N582" t="n">
        <v>0</v>
      </c>
      <c r="O582" t="n">
        <v>0</v>
      </c>
      <c r="P582" t="n">
        <v>0</v>
      </c>
      <c r="Q582" t="n">
        <v>0</v>
      </c>
      <c r="R582" s="2" t="inlineStr"/>
    </row>
    <row r="583" ht="15" customHeight="1">
      <c r="A583" t="inlineStr">
        <is>
          <t>A 23856-2025</t>
        </is>
      </c>
      <c r="B583" s="1" t="n">
        <v>45793</v>
      </c>
      <c r="C583" s="1" t="n">
        <v>46038</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23473-2025</t>
        </is>
      </c>
      <c r="B584" s="1" t="n">
        <v>45792</v>
      </c>
      <c r="C584" s="1" t="n">
        <v>46038</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23698-2025</t>
        </is>
      </c>
      <c r="B585" s="1" t="n">
        <v>45793</v>
      </c>
      <c r="C585" s="1" t="n">
        <v>46038</v>
      </c>
      <c r="D585" t="inlineStr">
        <is>
          <t>GOTLANDS LÄN</t>
        </is>
      </c>
      <c r="E585" t="inlineStr">
        <is>
          <t>GOTLAND</t>
        </is>
      </c>
      <c r="G585" t="n">
        <v>0.8</v>
      </c>
      <c r="H585" t="n">
        <v>0</v>
      </c>
      <c r="I585" t="n">
        <v>0</v>
      </c>
      <c r="J585" t="n">
        <v>0</v>
      </c>
      <c r="K585" t="n">
        <v>0</v>
      </c>
      <c r="L585" t="n">
        <v>0</v>
      </c>
      <c r="M585" t="n">
        <v>0</v>
      </c>
      <c r="N585" t="n">
        <v>0</v>
      </c>
      <c r="O585" t="n">
        <v>0</v>
      </c>
      <c r="P585" t="n">
        <v>0</v>
      </c>
      <c r="Q585" t="n">
        <v>0</v>
      </c>
      <c r="R585" s="2" t="inlineStr"/>
    </row>
    <row r="586" ht="15" customHeight="1">
      <c r="A586" t="inlineStr">
        <is>
          <t>A 15073-2025</t>
        </is>
      </c>
      <c r="B586" s="1" t="n">
        <v>45743</v>
      </c>
      <c r="C586" s="1" t="n">
        <v>46038</v>
      </c>
      <c r="D586" t="inlineStr">
        <is>
          <t>GOTLANDS LÄN</t>
        </is>
      </c>
      <c r="E586" t="inlineStr">
        <is>
          <t>GOTLAND</t>
        </is>
      </c>
      <c r="G586" t="n">
        <v>12.1</v>
      </c>
      <c r="H586" t="n">
        <v>0</v>
      </c>
      <c r="I586" t="n">
        <v>0</v>
      </c>
      <c r="J586" t="n">
        <v>0</v>
      </c>
      <c r="K586" t="n">
        <v>0</v>
      </c>
      <c r="L586" t="n">
        <v>0</v>
      </c>
      <c r="M586" t="n">
        <v>0</v>
      </c>
      <c r="N586" t="n">
        <v>0</v>
      </c>
      <c r="O586" t="n">
        <v>0</v>
      </c>
      <c r="P586" t="n">
        <v>0</v>
      </c>
      <c r="Q586" t="n">
        <v>0</v>
      </c>
      <c r="R586" s="2" t="inlineStr"/>
    </row>
    <row r="587" ht="15" customHeight="1">
      <c r="A587" t="inlineStr">
        <is>
          <t>A 6749-2025</t>
        </is>
      </c>
      <c r="B587" s="1" t="n">
        <v>45700</v>
      </c>
      <c r="C587" s="1" t="n">
        <v>46038</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5462-2025</t>
        </is>
      </c>
      <c r="B588" s="1" t="n">
        <v>45693.29331018519</v>
      </c>
      <c r="C588" s="1" t="n">
        <v>46038</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25796-2025</t>
        </is>
      </c>
      <c r="B589" s="1" t="n">
        <v>45804.39543981481</v>
      </c>
      <c r="C589" s="1" t="n">
        <v>46038</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26465-2025</t>
        </is>
      </c>
      <c r="B590" s="1" t="n">
        <v>45807.44377314814</v>
      </c>
      <c r="C590" s="1" t="n">
        <v>46038</v>
      </c>
      <c r="D590" t="inlineStr">
        <is>
          <t>GOTLANDS LÄN</t>
        </is>
      </c>
      <c r="E590" t="inlineStr">
        <is>
          <t>GOTLAND</t>
        </is>
      </c>
      <c r="G590" t="n">
        <v>4.5</v>
      </c>
      <c r="H590" t="n">
        <v>0</v>
      </c>
      <c r="I590" t="n">
        <v>0</v>
      </c>
      <c r="J590" t="n">
        <v>0</v>
      </c>
      <c r="K590" t="n">
        <v>0</v>
      </c>
      <c r="L590" t="n">
        <v>0</v>
      </c>
      <c r="M590" t="n">
        <v>0</v>
      </c>
      <c r="N590" t="n">
        <v>0</v>
      </c>
      <c r="O590" t="n">
        <v>0</v>
      </c>
      <c r="P590" t="n">
        <v>0</v>
      </c>
      <c r="Q590" t="n">
        <v>0</v>
      </c>
      <c r="R590" s="2" t="inlineStr"/>
    </row>
    <row r="591" ht="15" customHeight="1">
      <c r="A591" t="inlineStr">
        <is>
          <t>A 26457-2025</t>
        </is>
      </c>
      <c r="B591" s="1" t="n">
        <v>45807.42773148148</v>
      </c>
      <c r="C591" s="1" t="n">
        <v>46038</v>
      </c>
      <c r="D591" t="inlineStr">
        <is>
          <t>GOTLANDS LÄN</t>
        </is>
      </c>
      <c r="E591" t="inlineStr">
        <is>
          <t>GOTLAND</t>
        </is>
      </c>
      <c r="G591" t="n">
        <v>5.7</v>
      </c>
      <c r="H591" t="n">
        <v>0</v>
      </c>
      <c r="I591" t="n">
        <v>0</v>
      </c>
      <c r="J591" t="n">
        <v>0</v>
      </c>
      <c r="K591" t="n">
        <v>0</v>
      </c>
      <c r="L591" t="n">
        <v>0</v>
      </c>
      <c r="M591" t="n">
        <v>0</v>
      </c>
      <c r="N591" t="n">
        <v>0</v>
      </c>
      <c r="O591" t="n">
        <v>0</v>
      </c>
      <c r="P591" t="n">
        <v>0</v>
      </c>
      <c r="Q591" t="n">
        <v>0</v>
      </c>
      <c r="R591" s="2" t="inlineStr"/>
    </row>
    <row r="592" ht="15" customHeight="1">
      <c r="A592" t="inlineStr">
        <is>
          <t>A 26467-2025</t>
        </is>
      </c>
      <c r="B592" s="1" t="n">
        <v>45807.44640046296</v>
      </c>
      <c r="C592" s="1" t="n">
        <v>46038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26660-2025</t>
        </is>
      </c>
      <c r="B593" s="1" t="n">
        <v>45810.39737268518</v>
      </c>
      <c r="C593" s="1" t="n">
        <v>46038</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27355-2025</t>
        </is>
      </c>
      <c r="B594" s="1" t="n">
        <v>45812</v>
      </c>
      <c r="C594" s="1" t="n">
        <v>46038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27371-2025</t>
        </is>
      </c>
      <c r="B595" s="1" t="n">
        <v>45812</v>
      </c>
      <c r="C595" s="1" t="n">
        <v>46038</v>
      </c>
      <c r="D595" t="inlineStr">
        <is>
          <t>GOTLANDS LÄN</t>
        </is>
      </c>
      <c r="E595" t="inlineStr">
        <is>
          <t>GOTLAND</t>
        </is>
      </c>
      <c r="G595" t="n">
        <v>8</v>
      </c>
      <c r="H595" t="n">
        <v>0</v>
      </c>
      <c r="I595" t="n">
        <v>0</v>
      </c>
      <c r="J595" t="n">
        <v>0</v>
      </c>
      <c r="K595" t="n">
        <v>0</v>
      </c>
      <c r="L595" t="n">
        <v>0</v>
      </c>
      <c r="M595" t="n">
        <v>0</v>
      </c>
      <c r="N595" t="n">
        <v>0</v>
      </c>
      <c r="O595" t="n">
        <v>0</v>
      </c>
      <c r="P595" t="n">
        <v>0</v>
      </c>
      <c r="Q595" t="n">
        <v>0</v>
      </c>
      <c r="R595" s="2" t="inlineStr"/>
    </row>
    <row r="596" ht="15" customHeight="1">
      <c r="A596" t="inlineStr">
        <is>
          <t>A 7850-2025</t>
        </is>
      </c>
      <c r="B596" s="1" t="n">
        <v>45706</v>
      </c>
      <c r="C596" s="1" t="n">
        <v>46038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6739-2025</t>
        </is>
      </c>
      <c r="B597" s="1" t="n">
        <v>45700</v>
      </c>
      <c r="C597" s="1" t="n">
        <v>46038</v>
      </c>
      <c r="D597" t="inlineStr">
        <is>
          <t>GOTLANDS LÄN</t>
        </is>
      </c>
      <c r="E597" t="inlineStr">
        <is>
          <t>GOTLAND</t>
        </is>
      </c>
      <c r="G597" t="n">
        <v>4.5</v>
      </c>
      <c r="H597" t="n">
        <v>0</v>
      </c>
      <c r="I597" t="n">
        <v>0</v>
      </c>
      <c r="J597" t="n">
        <v>0</v>
      </c>
      <c r="K597" t="n">
        <v>0</v>
      </c>
      <c r="L597" t="n">
        <v>0</v>
      </c>
      <c r="M597" t="n">
        <v>0</v>
      </c>
      <c r="N597" t="n">
        <v>0</v>
      </c>
      <c r="O597" t="n">
        <v>0</v>
      </c>
      <c r="P597" t="n">
        <v>0</v>
      </c>
      <c r="Q597" t="n">
        <v>0</v>
      </c>
      <c r="R597" s="2" t="inlineStr"/>
    </row>
    <row r="598" ht="15" customHeight="1">
      <c r="A598" t="inlineStr">
        <is>
          <t>A 8444-2025</t>
        </is>
      </c>
      <c r="B598" s="1" t="n">
        <v>45709</v>
      </c>
      <c r="C598" s="1" t="n">
        <v>46038</v>
      </c>
      <c r="D598" t="inlineStr">
        <is>
          <t>GOTLANDS LÄN</t>
        </is>
      </c>
      <c r="E598" t="inlineStr">
        <is>
          <t>GOTLAND</t>
        </is>
      </c>
      <c r="G598" t="n">
        <v>5.2</v>
      </c>
      <c r="H598" t="n">
        <v>0</v>
      </c>
      <c r="I598" t="n">
        <v>0</v>
      </c>
      <c r="J598" t="n">
        <v>0</v>
      </c>
      <c r="K598" t="n">
        <v>0</v>
      </c>
      <c r="L598" t="n">
        <v>0</v>
      </c>
      <c r="M598" t="n">
        <v>0</v>
      </c>
      <c r="N598" t="n">
        <v>0</v>
      </c>
      <c r="O598" t="n">
        <v>0</v>
      </c>
      <c r="P598" t="n">
        <v>0</v>
      </c>
      <c r="Q598" t="n">
        <v>0</v>
      </c>
      <c r="R598" s="2" t="inlineStr"/>
    </row>
    <row r="599" ht="15" customHeight="1">
      <c r="A599" t="inlineStr">
        <is>
          <t>A 19905-2025</t>
        </is>
      </c>
      <c r="B599" s="1" t="n">
        <v>45771</v>
      </c>
      <c r="C599" s="1" t="n">
        <v>46038</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29207-2025</t>
        </is>
      </c>
      <c r="B600" s="1" t="n">
        <v>45823</v>
      </c>
      <c r="C600" s="1" t="n">
        <v>46038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29196-2025</t>
        </is>
      </c>
      <c r="B601" s="1" t="n">
        <v>45822</v>
      </c>
      <c r="C601" s="1" t="n">
        <v>46038</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30061-2025</t>
        </is>
      </c>
      <c r="B602" s="1" t="n">
        <v>45826.61488425926</v>
      </c>
      <c r="C602" s="1" t="n">
        <v>46038</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58160-2024</t>
        </is>
      </c>
      <c r="B603" s="1" t="n">
        <v>45632.44927083333</v>
      </c>
      <c r="C603" s="1" t="n">
        <v>46038</v>
      </c>
      <c r="D603" t="inlineStr">
        <is>
          <t>GOTLANDS LÄN</t>
        </is>
      </c>
      <c r="E603" t="inlineStr">
        <is>
          <t>GOTLAND</t>
        </is>
      </c>
      <c r="G603" t="n">
        <v>5.6</v>
      </c>
      <c r="H603" t="n">
        <v>0</v>
      </c>
      <c r="I603" t="n">
        <v>0</v>
      </c>
      <c r="J603" t="n">
        <v>0</v>
      </c>
      <c r="K603" t="n">
        <v>0</v>
      </c>
      <c r="L603" t="n">
        <v>0</v>
      </c>
      <c r="M603" t="n">
        <v>0</v>
      </c>
      <c r="N603" t="n">
        <v>0</v>
      </c>
      <c r="O603" t="n">
        <v>0</v>
      </c>
      <c r="P603" t="n">
        <v>0</v>
      </c>
      <c r="Q603" t="n">
        <v>0</v>
      </c>
      <c r="R603" s="2" t="inlineStr"/>
    </row>
    <row r="604" ht="15" customHeight="1">
      <c r="A604" t="inlineStr">
        <is>
          <t>A 16109-2025</t>
        </is>
      </c>
      <c r="B604" s="1" t="n">
        <v>45750</v>
      </c>
      <c r="C604" s="1" t="n">
        <v>46038</v>
      </c>
      <c r="D604" t="inlineStr">
        <is>
          <t>GOTLANDS LÄN</t>
        </is>
      </c>
      <c r="E604" t="inlineStr">
        <is>
          <t>GOTLAND</t>
        </is>
      </c>
      <c r="G604" t="n">
        <v>4.9</v>
      </c>
      <c r="H604" t="n">
        <v>0</v>
      </c>
      <c r="I604" t="n">
        <v>0</v>
      </c>
      <c r="J604" t="n">
        <v>0</v>
      </c>
      <c r="K604" t="n">
        <v>0</v>
      </c>
      <c r="L604" t="n">
        <v>0</v>
      </c>
      <c r="M604" t="n">
        <v>0</v>
      </c>
      <c r="N604" t="n">
        <v>0</v>
      </c>
      <c r="O604" t="n">
        <v>0</v>
      </c>
      <c r="P604" t="n">
        <v>0</v>
      </c>
      <c r="Q604" t="n">
        <v>0</v>
      </c>
      <c r="R604" s="2" t="inlineStr"/>
    </row>
    <row r="605" ht="15" customHeight="1">
      <c r="A605" t="inlineStr">
        <is>
          <t>A 32467-2025</t>
        </is>
      </c>
      <c r="B605" s="1" t="n">
        <v>45838.42111111111</v>
      </c>
      <c r="C605" s="1" t="n">
        <v>46038</v>
      </c>
      <c r="D605" t="inlineStr">
        <is>
          <t>GOTLANDS LÄN</t>
        </is>
      </c>
      <c r="E605" t="inlineStr">
        <is>
          <t>GOTLAND</t>
        </is>
      </c>
      <c r="G605" t="n">
        <v>4.3</v>
      </c>
      <c r="H605" t="n">
        <v>0</v>
      </c>
      <c r="I605" t="n">
        <v>0</v>
      </c>
      <c r="J605" t="n">
        <v>0</v>
      </c>
      <c r="K605" t="n">
        <v>0</v>
      </c>
      <c r="L605" t="n">
        <v>0</v>
      </c>
      <c r="M605" t="n">
        <v>0</v>
      </c>
      <c r="N605" t="n">
        <v>0</v>
      </c>
      <c r="O605" t="n">
        <v>0</v>
      </c>
      <c r="P605" t="n">
        <v>0</v>
      </c>
      <c r="Q605" t="n">
        <v>0</v>
      </c>
      <c r="R605" s="2" t="inlineStr"/>
    </row>
    <row r="606" ht="15" customHeight="1">
      <c r="A606" t="inlineStr">
        <is>
          <t>A 32379-2025</t>
        </is>
      </c>
      <c r="B606" s="1" t="n">
        <v>45837</v>
      </c>
      <c r="C606" s="1" t="n">
        <v>46038</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33007-2025</t>
        </is>
      </c>
      <c r="B607" s="1" t="n">
        <v>45840</v>
      </c>
      <c r="C607" s="1" t="n">
        <v>46038</v>
      </c>
      <c r="D607" t="inlineStr">
        <is>
          <t>GOTLANDS LÄN</t>
        </is>
      </c>
      <c r="E607" t="inlineStr">
        <is>
          <t>GOTLAND</t>
        </is>
      </c>
      <c r="G607" t="n">
        <v>4.9</v>
      </c>
      <c r="H607" t="n">
        <v>0</v>
      </c>
      <c r="I607" t="n">
        <v>0</v>
      </c>
      <c r="J607" t="n">
        <v>0</v>
      </c>
      <c r="K607" t="n">
        <v>0</v>
      </c>
      <c r="L607" t="n">
        <v>0</v>
      </c>
      <c r="M607" t="n">
        <v>0</v>
      </c>
      <c r="N607" t="n">
        <v>0</v>
      </c>
      <c r="O607" t="n">
        <v>0</v>
      </c>
      <c r="P607" t="n">
        <v>0</v>
      </c>
      <c r="Q607" t="n">
        <v>0</v>
      </c>
      <c r="R607" s="2" t="inlineStr"/>
    </row>
    <row r="608" ht="15" customHeight="1">
      <c r="A608" t="inlineStr">
        <is>
          <t>A 15413-2025</t>
        </is>
      </c>
      <c r="B608" s="1" t="n">
        <v>45747.451875</v>
      </c>
      <c r="C608" s="1" t="n">
        <v>46038</v>
      </c>
      <c r="D608" t="inlineStr">
        <is>
          <t>GOTLANDS LÄN</t>
        </is>
      </c>
      <c r="E608" t="inlineStr">
        <is>
          <t>GOTLAND</t>
        </is>
      </c>
      <c r="G608" t="n">
        <v>0.6</v>
      </c>
      <c r="H608" t="n">
        <v>0</v>
      </c>
      <c r="I608" t="n">
        <v>0</v>
      </c>
      <c r="J608" t="n">
        <v>0</v>
      </c>
      <c r="K608" t="n">
        <v>0</v>
      </c>
      <c r="L608" t="n">
        <v>0</v>
      </c>
      <c r="M608" t="n">
        <v>0</v>
      </c>
      <c r="N608" t="n">
        <v>0</v>
      </c>
      <c r="O608" t="n">
        <v>0</v>
      </c>
      <c r="P608" t="n">
        <v>0</v>
      </c>
      <c r="Q608" t="n">
        <v>0</v>
      </c>
      <c r="R608" s="2" t="inlineStr"/>
    </row>
    <row r="609" ht="15" customHeight="1">
      <c r="A609" t="inlineStr">
        <is>
          <t>A 35096-2025</t>
        </is>
      </c>
      <c r="B609" s="1" t="n">
        <v>45852.54356481481</v>
      </c>
      <c r="C609" s="1" t="n">
        <v>46038</v>
      </c>
      <c r="D609" t="inlineStr">
        <is>
          <t>GOTLANDS LÄN</t>
        </is>
      </c>
      <c r="E609" t="inlineStr">
        <is>
          <t>GOTLAND</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35123-2025</t>
        </is>
      </c>
      <c r="B610" s="1" t="n">
        <v>45852.614375</v>
      </c>
      <c r="C610" s="1" t="n">
        <v>46038</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35290-2025</t>
        </is>
      </c>
      <c r="B611" s="1" t="n">
        <v>45854.38502314815</v>
      </c>
      <c r="C611" s="1" t="n">
        <v>46038</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30104-2025</t>
        </is>
      </c>
      <c r="B612" s="1" t="n">
        <v>45826.68806712963</v>
      </c>
      <c r="C612" s="1" t="n">
        <v>46038</v>
      </c>
      <c r="D612" t="inlineStr">
        <is>
          <t>GOTLANDS LÄN</t>
        </is>
      </c>
      <c r="E612" t="inlineStr">
        <is>
          <t>GOTLAND</t>
        </is>
      </c>
      <c r="G612" t="n">
        <v>15.4</v>
      </c>
      <c r="H612" t="n">
        <v>0</v>
      </c>
      <c r="I612" t="n">
        <v>0</v>
      </c>
      <c r="J612" t="n">
        <v>0</v>
      </c>
      <c r="K612" t="n">
        <v>0</v>
      </c>
      <c r="L612" t="n">
        <v>0</v>
      </c>
      <c r="M612" t="n">
        <v>0</v>
      </c>
      <c r="N612" t="n">
        <v>0</v>
      </c>
      <c r="O612" t="n">
        <v>0</v>
      </c>
      <c r="P612" t="n">
        <v>0</v>
      </c>
      <c r="Q612" t="n">
        <v>0</v>
      </c>
      <c r="R612" s="2" t="inlineStr"/>
    </row>
    <row r="613" ht="15" customHeight="1">
      <c r="A613" t="inlineStr">
        <is>
          <t>A 32669-2024</t>
        </is>
      </c>
      <c r="B613" s="1" t="n">
        <v>45514</v>
      </c>
      <c r="C613" s="1" t="n">
        <v>46038</v>
      </c>
      <c r="D613" t="inlineStr">
        <is>
          <t>GOTLANDS LÄN</t>
        </is>
      </c>
      <c r="E613" t="inlineStr">
        <is>
          <t>GOTLAND</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35537-2025</t>
        </is>
      </c>
      <c r="B614" s="1" t="n">
        <v>45856</v>
      </c>
      <c r="C614" s="1" t="n">
        <v>46038</v>
      </c>
      <c r="D614" t="inlineStr">
        <is>
          <t>GOTLANDS LÄN</t>
        </is>
      </c>
      <c r="E614" t="inlineStr">
        <is>
          <t>GOTLAND</t>
        </is>
      </c>
      <c r="G614" t="n">
        <v>16.8</v>
      </c>
      <c r="H614" t="n">
        <v>0</v>
      </c>
      <c r="I614" t="n">
        <v>0</v>
      </c>
      <c r="J614" t="n">
        <v>0</v>
      </c>
      <c r="K614" t="n">
        <v>0</v>
      </c>
      <c r="L614" t="n">
        <v>0</v>
      </c>
      <c r="M614" t="n">
        <v>0</v>
      </c>
      <c r="N614" t="n">
        <v>0</v>
      </c>
      <c r="O614" t="n">
        <v>0</v>
      </c>
      <c r="P614" t="n">
        <v>0</v>
      </c>
      <c r="Q614" t="n">
        <v>0</v>
      </c>
      <c r="R614" s="2" t="inlineStr"/>
    </row>
    <row r="615" ht="15" customHeight="1">
      <c r="A615" t="inlineStr">
        <is>
          <t>A 30488-2025</t>
        </is>
      </c>
      <c r="B615" s="1" t="n">
        <v>45830</v>
      </c>
      <c r="C615" s="1" t="n">
        <v>46038</v>
      </c>
      <c r="D615" t="inlineStr">
        <is>
          <t>GOTLANDS LÄN</t>
        </is>
      </c>
      <c r="E615" t="inlineStr">
        <is>
          <t>GOTLAND</t>
        </is>
      </c>
      <c r="F615" t="inlineStr">
        <is>
          <t>Kyrkan</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15216-2025</t>
        </is>
      </c>
      <c r="B616" s="1" t="n">
        <v>45744</v>
      </c>
      <c r="C616" s="1" t="n">
        <v>46038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15001-2025</t>
        </is>
      </c>
      <c r="B617" s="1" t="n">
        <v>45743</v>
      </c>
      <c r="C617" s="1" t="n">
        <v>46038</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43790-2024</t>
        </is>
      </c>
      <c r="B618" s="1" t="n">
        <v>45571</v>
      </c>
      <c r="C618" s="1" t="n">
        <v>46038</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17847-2025</t>
        </is>
      </c>
      <c r="B619" s="1" t="n">
        <v>45758</v>
      </c>
      <c r="C619" s="1" t="n">
        <v>46038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18742-2025</t>
        </is>
      </c>
      <c r="B620" s="1" t="n">
        <v>45763</v>
      </c>
      <c r="C620" s="1" t="n">
        <v>46038</v>
      </c>
      <c r="D620" t="inlineStr">
        <is>
          <t>GOTLANDS LÄN</t>
        </is>
      </c>
      <c r="E620" t="inlineStr">
        <is>
          <t>GOTLAND</t>
        </is>
      </c>
      <c r="G620" t="n">
        <v>3.4</v>
      </c>
      <c r="H620" t="n">
        <v>0</v>
      </c>
      <c r="I620" t="n">
        <v>0</v>
      </c>
      <c r="J620" t="n">
        <v>0</v>
      </c>
      <c r="K620" t="n">
        <v>0</v>
      </c>
      <c r="L620" t="n">
        <v>0</v>
      </c>
      <c r="M620" t="n">
        <v>0</v>
      </c>
      <c r="N620" t="n">
        <v>0</v>
      </c>
      <c r="O620" t="n">
        <v>0</v>
      </c>
      <c r="P620" t="n">
        <v>0</v>
      </c>
      <c r="Q620" t="n">
        <v>0</v>
      </c>
      <c r="R620" s="2" t="inlineStr"/>
    </row>
    <row r="621" ht="15" customHeight="1">
      <c r="A621" t="inlineStr">
        <is>
          <t>A 35129-2025</t>
        </is>
      </c>
      <c r="B621" s="1" t="n">
        <v>45852.63224537037</v>
      </c>
      <c r="C621" s="1" t="n">
        <v>46038</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30489-2025</t>
        </is>
      </c>
      <c r="B622" s="1" t="n">
        <v>45830</v>
      </c>
      <c r="C622" s="1" t="n">
        <v>46038</v>
      </c>
      <c r="D622" t="inlineStr">
        <is>
          <t>GOTLANDS LÄN</t>
        </is>
      </c>
      <c r="E622" t="inlineStr">
        <is>
          <t>GOTLAND</t>
        </is>
      </c>
      <c r="G622" t="n">
        <v>4.6</v>
      </c>
      <c r="H622" t="n">
        <v>0</v>
      </c>
      <c r="I622" t="n">
        <v>0</v>
      </c>
      <c r="J622" t="n">
        <v>0</v>
      </c>
      <c r="K622" t="n">
        <v>0</v>
      </c>
      <c r="L622" t="n">
        <v>0</v>
      </c>
      <c r="M622" t="n">
        <v>0</v>
      </c>
      <c r="N622" t="n">
        <v>0</v>
      </c>
      <c r="O622" t="n">
        <v>0</v>
      </c>
      <c r="P622" t="n">
        <v>0</v>
      </c>
      <c r="Q622" t="n">
        <v>0</v>
      </c>
      <c r="R622" s="2" t="inlineStr"/>
    </row>
    <row r="623" ht="15" customHeight="1">
      <c r="A623" t="inlineStr">
        <is>
          <t>A 21142-2025</t>
        </is>
      </c>
      <c r="B623" s="1" t="n">
        <v>45779</v>
      </c>
      <c r="C623" s="1" t="n">
        <v>46038</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6108-2025</t>
        </is>
      </c>
      <c r="B624" s="1" t="n">
        <v>45698.29880787037</v>
      </c>
      <c r="C624" s="1" t="n">
        <v>46038</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17343-2025</t>
        </is>
      </c>
      <c r="B625" s="1" t="n">
        <v>45756.6687037037</v>
      </c>
      <c r="C625" s="1" t="n">
        <v>46038</v>
      </c>
      <c r="D625" t="inlineStr">
        <is>
          <t>GOTLANDS LÄN</t>
        </is>
      </c>
      <c r="E625" t="inlineStr">
        <is>
          <t>GOTLAND</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18938-2025</t>
        </is>
      </c>
      <c r="B626" s="1" t="n">
        <v>45764.49172453704</v>
      </c>
      <c r="C626" s="1" t="n">
        <v>46038</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c r="A627" t="inlineStr">
        <is>
          <t>A 20307-2025</t>
        </is>
      </c>
      <c r="B627" s="1" t="n">
        <v>45774.95546296296</v>
      </c>
      <c r="C627" s="1" t="n">
        <v>46038</v>
      </c>
      <c r="D627" t="inlineStr">
        <is>
          <t>GOTLANDS LÄN</t>
        </is>
      </c>
      <c r="E627" t="inlineStr">
        <is>
          <t>GOTLAND</t>
        </is>
      </c>
      <c r="G627" t="n">
        <v>6.8</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2026-01-16T11:01:47Z</dcterms:created>
  <dcterms:modified xmlns:dcterms="http://purl.org/dc/terms/" xmlns:xsi="http://www.w3.org/2001/XMLSchema-instance" xsi:type="dcterms:W3CDTF">2026-01-16T11:01:48Z</dcterms:modified>
</cp:coreProperties>
</file>