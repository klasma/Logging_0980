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45989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45989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45989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45989</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45989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45989</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45989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45989</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45989</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45989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45989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45989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45989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45989</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45989</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45989</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45989</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45989</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45989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45989</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45989</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45989</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45989</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45989</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45989</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45989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45989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45989</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45989</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45989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45989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45989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45989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45989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45989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45989</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45989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45989</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45989</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45989</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45989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45989</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45989</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45989</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27280-2023</t>
        </is>
      </c>
      <c r="B65" s="1" t="n">
        <v>45096</v>
      </c>
      <c r="C65" s="1" t="n">
        <v>45989</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45989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45989</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45989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45989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45989</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53584-2025</t>
        </is>
      </c>
      <c r="B71" s="1" t="n">
        <v>45960.43130787037</v>
      </c>
      <c r="C71" s="1" t="n">
        <v>45989</v>
      </c>
      <c r="D71" t="inlineStr">
        <is>
          <t>GOTLANDS LÄN</t>
        </is>
      </c>
      <c r="E71" t="inlineStr">
        <is>
          <t>GOTLAND</t>
        </is>
      </c>
      <c r="F71" t="inlineStr">
        <is>
          <t>Övriga Aktiebolag</t>
        </is>
      </c>
      <c r="G71" t="n">
        <v>18.1</v>
      </c>
      <c r="H71" t="n">
        <v>3</v>
      </c>
      <c r="I71" t="n">
        <v>0</v>
      </c>
      <c r="J71" t="n">
        <v>4</v>
      </c>
      <c r="K71" t="n">
        <v>0</v>
      </c>
      <c r="L71" t="n">
        <v>0</v>
      </c>
      <c r="M71" t="n">
        <v>0</v>
      </c>
      <c r="N71" t="n">
        <v>0</v>
      </c>
      <c r="O71" t="n">
        <v>4</v>
      </c>
      <c r="P71" t="n">
        <v>0</v>
      </c>
      <c r="Q71" t="n">
        <v>6</v>
      </c>
      <c r="R71" s="2" t="inlineStr">
        <is>
          <t>Apollofjäril
Jordtistel
Klasefibbla
Majviva
Gråkråka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row>
    <row r="72" ht="15" customHeight="1">
      <c r="A72" t="inlineStr">
        <is>
          <t>A 54527-2023</t>
        </is>
      </c>
      <c r="B72" s="1" t="n">
        <v>45233</v>
      </c>
      <c r="C72" s="1" t="n">
        <v>45989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45989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45989</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446-2023</t>
        </is>
      </c>
      <c r="B75" s="1" t="n">
        <v>44929</v>
      </c>
      <c r="C75" s="1" t="n">
        <v>45989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65819-2020</t>
        </is>
      </c>
      <c r="B76" s="1" t="n">
        <v>44174</v>
      </c>
      <c r="C76" s="1" t="n">
        <v>45989</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7038-2023</t>
        </is>
      </c>
      <c r="B77" s="1" t="n">
        <v>44968</v>
      </c>
      <c r="C77" s="1" t="n">
        <v>45989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45989</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45989</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45989</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45989</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45989</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45989</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44944-2022</t>
        </is>
      </c>
      <c r="B84" s="1" t="n">
        <v>44841</v>
      </c>
      <c r="C84" s="1" t="n">
        <v>45989</v>
      </c>
      <c r="D84" t="inlineStr">
        <is>
          <t>GOTLANDS LÄN</t>
        </is>
      </c>
      <c r="E84" t="inlineStr">
        <is>
          <t>GOTLAND</t>
        </is>
      </c>
      <c r="G84" t="n">
        <v>2.8</v>
      </c>
      <c r="H84" t="n">
        <v>0</v>
      </c>
      <c r="I84" t="n">
        <v>3</v>
      </c>
      <c r="J84" t="n">
        <v>2</v>
      </c>
      <c r="K84" t="n">
        <v>0</v>
      </c>
      <c r="L84" t="n">
        <v>0</v>
      </c>
      <c r="M84" t="n">
        <v>0</v>
      </c>
      <c r="N84" t="n">
        <v>0</v>
      </c>
      <c r="O84" t="n">
        <v>2</v>
      </c>
      <c r="P84" t="n">
        <v>0</v>
      </c>
      <c r="Q84" t="n">
        <v>5</v>
      </c>
      <c r="R84" s="2" t="inlineStr">
        <is>
          <t>Denisespindling
Odörspindling
Anisspindling
Fjällig taggsvamp s.str.
Rödgul trumpetsvamp</t>
        </is>
      </c>
      <c r="S84">
        <f>HYPERLINK("https://klasma.github.io/Logging_0980/artfynd/A 44944-2022 artfynd.xlsx", "A 44944-2022")</f>
        <v/>
      </c>
      <c r="T84">
        <f>HYPERLINK("https://klasma.github.io/Logging_0980/kartor/A 44944-2022 karta.png", "A 44944-2022")</f>
        <v/>
      </c>
      <c r="V84">
        <f>HYPERLINK("https://klasma.github.io/Logging_0980/klagomål/A 44944-2022 FSC-klagomål.docx", "A 44944-2022")</f>
        <v/>
      </c>
      <c r="W84">
        <f>HYPERLINK("https://klasma.github.io/Logging_0980/klagomålsmail/A 44944-2022 FSC-klagomål mail.docx", "A 44944-2022")</f>
        <v/>
      </c>
      <c r="X84">
        <f>HYPERLINK("https://klasma.github.io/Logging_0980/tillsyn/A 44944-2022 tillsynsbegäran.docx", "A 44944-2022")</f>
        <v/>
      </c>
      <c r="Y84">
        <f>HYPERLINK("https://klasma.github.io/Logging_0980/tillsynsmail/A 44944-2022 tillsynsbegäran mail.docx", "A 44944-2022")</f>
        <v/>
      </c>
    </row>
    <row r="85" ht="15" customHeight="1">
      <c r="A85" t="inlineStr">
        <is>
          <t>A 39425-2023</t>
        </is>
      </c>
      <c r="B85" s="1" t="n">
        <v>45166</v>
      </c>
      <c r="C85" s="1" t="n">
        <v>45989</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45989</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45989</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45989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45989</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45989</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45989</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45989</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45989</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40099-2025</t>
        </is>
      </c>
      <c r="B94" s="1" t="n">
        <v>45894.48462962963</v>
      </c>
      <c r="C94" s="1" t="n">
        <v>45989</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64378-2020</t>
        </is>
      </c>
      <c r="B95" s="1" t="n">
        <v>44168</v>
      </c>
      <c r="C95" s="1" t="n">
        <v>45989</v>
      </c>
      <c r="D95" t="inlineStr">
        <is>
          <t>GOTLANDS LÄN</t>
        </is>
      </c>
      <c r="E95" t="inlineStr">
        <is>
          <t>GOTLAND</t>
        </is>
      </c>
      <c r="G95" t="n">
        <v>2.1</v>
      </c>
      <c r="H95" t="n">
        <v>0</v>
      </c>
      <c r="I95" t="n">
        <v>1</v>
      </c>
      <c r="J95" t="n">
        <v>0</v>
      </c>
      <c r="K95" t="n">
        <v>2</v>
      </c>
      <c r="L95" t="n">
        <v>1</v>
      </c>
      <c r="M95" t="n">
        <v>0</v>
      </c>
      <c r="N95" t="n">
        <v>0</v>
      </c>
      <c r="O95" t="n">
        <v>3</v>
      </c>
      <c r="P95" t="n">
        <v>3</v>
      </c>
      <c r="Q95" t="n">
        <v>4</v>
      </c>
      <c r="R95" s="2" t="inlineStr">
        <is>
          <t>Sienamusseron
Bitter taggsvamp
Duvspindling
Fjällig taggsvamp s.str.</t>
        </is>
      </c>
      <c r="S95">
        <f>HYPERLINK("https://klasma.github.io/Logging_0980/artfynd/A 64378-2020 artfynd.xlsx", "A 64378-2020")</f>
        <v/>
      </c>
      <c r="T95">
        <f>HYPERLINK("https://klasma.github.io/Logging_0980/kartor/A 64378-2020 karta.png", "A 64378-2020")</f>
        <v/>
      </c>
      <c r="V95">
        <f>HYPERLINK("https://klasma.github.io/Logging_0980/klagomål/A 64378-2020 FSC-klagomål.docx", "A 64378-2020")</f>
        <v/>
      </c>
      <c r="W95">
        <f>HYPERLINK("https://klasma.github.io/Logging_0980/klagomålsmail/A 64378-2020 FSC-klagomål mail.docx", "A 64378-2020")</f>
        <v/>
      </c>
      <c r="X95">
        <f>HYPERLINK("https://klasma.github.io/Logging_0980/tillsyn/A 64378-2020 tillsynsbegäran.docx", "A 64378-2020")</f>
        <v/>
      </c>
      <c r="Y95">
        <f>HYPERLINK("https://klasma.github.io/Logging_0980/tillsynsmail/A 64378-2020 tillsynsbegäran mail.docx", "A 64378-2020")</f>
        <v/>
      </c>
    </row>
    <row r="96" ht="15" customHeight="1">
      <c r="A96" t="inlineStr">
        <is>
          <t>A 52309-2025</t>
        </is>
      </c>
      <c r="B96" s="1" t="n">
        <v>45953.64381944444</v>
      </c>
      <c r="C96" s="1" t="n">
        <v>45989</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52309-2025 artfynd.xlsx", "A 52309-2025")</f>
        <v/>
      </c>
      <c r="T96">
        <f>HYPERLINK("https://klasma.github.io/Logging_0980/kartor/A 52309-2025 karta.png", "A 52309-2025")</f>
        <v/>
      </c>
      <c r="V96">
        <f>HYPERLINK("https://klasma.github.io/Logging_0980/klagomål/A 52309-2025 FSC-klagomål.docx", "A 52309-2025")</f>
        <v/>
      </c>
      <c r="W96">
        <f>HYPERLINK("https://klasma.github.io/Logging_0980/klagomålsmail/A 52309-2025 FSC-klagomål mail.docx", "A 52309-2025")</f>
        <v/>
      </c>
      <c r="X96">
        <f>HYPERLINK("https://klasma.github.io/Logging_0980/tillsyn/A 52309-2025 tillsynsbegäran.docx", "A 52309-2025")</f>
        <v/>
      </c>
      <c r="Y96">
        <f>HYPERLINK("https://klasma.github.io/Logging_0980/tillsynsmail/A 52309-2025 tillsynsbegäran mail.docx", "A 52309-2025")</f>
        <v/>
      </c>
    </row>
    <row r="97" ht="15" customHeight="1">
      <c r="A97" t="inlineStr">
        <is>
          <t>A 52250-2025</t>
        </is>
      </c>
      <c r="B97" s="1" t="n">
        <v>45953.48998842593</v>
      </c>
      <c r="C97" s="1" t="n">
        <v>45989</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20833-2024</t>
        </is>
      </c>
      <c r="B98" s="1" t="n">
        <v>45439</v>
      </c>
      <c r="C98" s="1" t="n">
        <v>45989</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57463-2025</t>
        </is>
      </c>
      <c r="B99" s="1" t="n">
        <v>45980.54174768519</v>
      </c>
      <c r="C99" s="1" t="n">
        <v>45989</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44933-2022</t>
        </is>
      </c>
      <c r="B100" s="1" t="n">
        <v>44841</v>
      </c>
      <c r="C100" s="1" t="n">
        <v>45989</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2485-2025</t>
        </is>
      </c>
      <c r="B101" s="1" t="n">
        <v>45673</v>
      </c>
      <c r="C101" s="1" t="n">
        <v>45989</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45989</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45989</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45989</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65537-2020</t>
        </is>
      </c>
      <c r="B105" s="1" t="n">
        <v>44173</v>
      </c>
      <c r="C105" s="1" t="n">
        <v>45989</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45989</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45989</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45989</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45989</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45989</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45989</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30490-2025</t>
        </is>
      </c>
      <c r="B112" s="1" t="n">
        <v>45830</v>
      </c>
      <c r="C112" s="1" t="n">
        <v>45989</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20831-2024</t>
        </is>
      </c>
      <c r="B113" s="1" t="n">
        <v>45439</v>
      </c>
      <c r="C113" s="1" t="n">
        <v>45989</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43013-2022</t>
        </is>
      </c>
      <c r="B114" s="1" t="n">
        <v>44833</v>
      </c>
      <c r="C114" s="1" t="n">
        <v>45989</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55334-2024</t>
        </is>
      </c>
      <c r="B115" s="1" t="n">
        <v>45621</v>
      </c>
      <c r="C115" s="1" t="n">
        <v>45989</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5235-2025</t>
        </is>
      </c>
      <c r="B116" s="1" t="n">
        <v>45692.26797453704</v>
      </c>
      <c r="C116" s="1" t="n">
        <v>45989</v>
      </c>
      <c r="D116" t="inlineStr">
        <is>
          <t>GOTLANDS LÄN</t>
        </is>
      </c>
      <c r="E116" t="inlineStr">
        <is>
          <t>GOTLAND</t>
        </is>
      </c>
      <c r="G116" t="n">
        <v>7.6</v>
      </c>
      <c r="H116" t="n">
        <v>1</v>
      </c>
      <c r="I116" t="n">
        <v>2</v>
      </c>
      <c r="J116" t="n">
        <v>1</v>
      </c>
      <c r="K116" t="n">
        <v>0</v>
      </c>
      <c r="L116" t="n">
        <v>0</v>
      </c>
      <c r="M116" t="n">
        <v>0</v>
      </c>
      <c r="N116" t="n">
        <v>0</v>
      </c>
      <c r="O116" t="n">
        <v>1</v>
      </c>
      <c r="P116" t="n">
        <v>0</v>
      </c>
      <c r="Q116" t="n">
        <v>3</v>
      </c>
      <c r="R116" s="2" t="inlineStr">
        <is>
          <t>Svinrot
Blåmossa
Tvåblad</t>
        </is>
      </c>
      <c r="S116">
        <f>HYPERLINK("https://klasma.github.io/Logging_0980/artfynd/A 5235-2025 artfynd.xlsx", "A 5235-2025")</f>
        <v/>
      </c>
      <c r="T116">
        <f>HYPERLINK("https://klasma.github.io/Logging_0980/kartor/A 5235-2025 karta.png", "A 5235-2025")</f>
        <v/>
      </c>
      <c r="V116">
        <f>HYPERLINK("https://klasma.github.io/Logging_0980/klagomål/A 5235-2025 FSC-klagomål.docx", "A 5235-2025")</f>
        <v/>
      </c>
      <c r="W116">
        <f>HYPERLINK("https://klasma.github.io/Logging_0980/klagomålsmail/A 5235-2025 FSC-klagomål mail.docx", "A 5235-2025")</f>
        <v/>
      </c>
      <c r="X116">
        <f>HYPERLINK("https://klasma.github.io/Logging_0980/tillsyn/A 5235-2025 tillsynsbegäran.docx", "A 5235-2025")</f>
        <v/>
      </c>
      <c r="Y116">
        <f>HYPERLINK("https://klasma.github.io/Logging_0980/tillsynsmail/A 5235-2025 tillsynsbegäran mail.docx", "A 5235-2025")</f>
        <v/>
      </c>
    </row>
    <row r="117" ht="15" customHeight="1">
      <c r="A117" t="inlineStr">
        <is>
          <t>A 53552-2021</t>
        </is>
      </c>
      <c r="B117" s="1" t="n">
        <v>44468</v>
      </c>
      <c r="C117" s="1" t="n">
        <v>45989</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49709-2025</t>
        </is>
      </c>
      <c r="B118" s="1" t="n">
        <v>45939.68228009259</v>
      </c>
      <c r="C118" s="1" t="n">
        <v>45989</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17982-2023</t>
        </is>
      </c>
      <c r="B119" s="1" t="n">
        <v>45040</v>
      </c>
      <c r="C119" s="1" t="n">
        <v>45989</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17975-2024</t>
        </is>
      </c>
      <c r="B120" s="1" t="n">
        <v>45419.85546296297</v>
      </c>
      <c r="C120" s="1" t="n">
        <v>45989</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13499-2022</t>
        </is>
      </c>
      <c r="B121" s="1" t="n">
        <v>44647.79203703703</v>
      </c>
      <c r="C121" s="1" t="n">
        <v>45989</v>
      </c>
      <c r="D121" t="inlineStr">
        <is>
          <t>GOTLANDS LÄN</t>
        </is>
      </c>
      <c r="E121" t="inlineStr">
        <is>
          <t>GOTLAND</t>
        </is>
      </c>
      <c r="G121" t="n">
        <v>6.8</v>
      </c>
      <c r="H121" t="n">
        <v>3</v>
      </c>
      <c r="I121" t="n">
        <v>0</v>
      </c>
      <c r="J121" t="n">
        <v>1</v>
      </c>
      <c r="K121" t="n">
        <v>0</v>
      </c>
      <c r="L121" t="n">
        <v>0</v>
      </c>
      <c r="M121" t="n">
        <v>0</v>
      </c>
      <c r="N121" t="n">
        <v>0</v>
      </c>
      <c r="O121" t="n">
        <v>1</v>
      </c>
      <c r="P121" t="n">
        <v>0</v>
      </c>
      <c r="Q121" t="n">
        <v>3</v>
      </c>
      <c r="R121" s="2" t="inlineStr">
        <is>
          <t>Spillkråka
Sankt pers nycklar
Blåsippa</t>
        </is>
      </c>
      <c r="S121">
        <f>HYPERLINK("https://klasma.github.io/Logging_0980/artfynd/A 13499-2022 artfynd.xlsx", "A 13499-2022")</f>
        <v/>
      </c>
      <c r="T121">
        <f>HYPERLINK("https://klasma.github.io/Logging_0980/kartor/A 13499-2022 karta.png", "A 13499-2022")</f>
        <v/>
      </c>
      <c r="V121">
        <f>HYPERLINK("https://klasma.github.io/Logging_0980/klagomål/A 13499-2022 FSC-klagomål.docx", "A 13499-2022")</f>
        <v/>
      </c>
      <c r="W121">
        <f>HYPERLINK("https://klasma.github.io/Logging_0980/klagomålsmail/A 13499-2022 FSC-klagomål mail.docx", "A 13499-2022")</f>
        <v/>
      </c>
      <c r="X121">
        <f>HYPERLINK("https://klasma.github.io/Logging_0980/tillsyn/A 13499-2022 tillsynsbegäran.docx", "A 13499-2022")</f>
        <v/>
      </c>
      <c r="Y121">
        <f>HYPERLINK("https://klasma.github.io/Logging_0980/tillsynsmail/A 13499-2022 tillsynsbegäran mail.docx", "A 13499-2022")</f>
        <v/>
      </c>
      <c r="Z121">
        <f>HYPERLINK("https://klasma.github.io/Logging_0980/fåglar/A 13499-2022 prioriterade fågelarter.docx", "A 13499-2022")</f>
        <v/>
      </c>
    </row>
    <row r="122" ht="15" customHeight="1">
      <c r="A122" t="inlineStr">
        <is>
          <t>A 12315-2024</t>
        </is>
      </c>
      <c r="B122" s="1" t="n">
        <v>45378.6434837963</v>
      </c>
      <c r="C122" s="1" t="n">
        <v>45989</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73144-2021</t>
        </is>
      </c>
      <c r="B123" s="1" t="n">
        <v>44550</v>
      </c>
      <c r="C123" s="1" t="n">
        <v>45989</v>
      </c>
      <c r="D123" t="inlineStr">
        <is>
          <t>GOTLANDS LÄN</t>
        </is>
      </c>
      <c r="E123" t="inlineStr">
        <is>
          <t>GOTLAND</t>
        </is>
      </c>
      <c r="G123" t="n">
        <v>1.9</v>
      </c>
      <c r="H123" t="n">
        <v>0</v>
      </c>
      <c r="I123" t="n">
        <v>1</v>
      </c>
      <c r="J123" t="n">
        <v>1</v>
      </c>
      <c r="K123" t="n">
        <v>1</v>
      </c>
      <c r="L123" t="n">
        <v>0</v>
      </c>
      <c r="M123" t="n">
        <v>0</v>
      </c>
      <c r="N123" t="n">
        <v>0</v>
      </c>
      <c r="O123" t="n">
        <v>2</v>
      </c>
      <c r="P123" t="n">
        <v>1</v>
      </c>
      <c r="Q123" t="n">
        <v>3</v>
      </c>
      <c r="R123" s="2" t="inlineStr">
        <is>
          <t>Skogskorn
Igelkott
Kambräken</t>
        </is>
      </c>
      <c r="S123">
        <f>HYPERLINK("https://klasma.github.io/Logging_0980/artfynd/A 73144-2021 artfynd.xlsx", "A 73144-2021")</f>
        <v/>
      </c>
      <c r="T123">
        <f>HYPERLINK("https://klasma.github.io/Logging_0980/kartor/A 73144-2021 karta.png", "A 73144-2021")</f>
        <v/>
      </c>
      <c r="V123">
        <f>HYPERLINK("https://klasma.github.io/Logging_0980/klagomål/A 73144-2021 FSC-klagomål.docx", "A 73144-2021")</f>
        <v/>
      </c>
      <c r="W123">
        <f>HYPERLINK("https://klasma.github.io/Logging_0980/klagomålsmail/A 73144-2021 FSC-klagomål mail.docx", "A 73144-2021")</f>
        <v/>
      </c>
      <c r="X123">
        <f>HYPERLINK("https://klasma.github.io/Logging_0980/tillsyn/A 73144-2021 tillsynsbegäran.docx", "A 73144-2021")</f>
        <v/>
      </c>
      <c r="Y123">
        <f>HYPERLINK("https://klasma.github.io/Logging_0980/tillsynsmail/A 73144-2021 tillsynsbegäran mail.docx", "A 73144-2021")</f>
        <v/>
      </c>
    </row>
    <row r="124" ht="15" customHeight="1">
      <c r="A124" t="inlineStr">
        <is>
          <t>A 29870-2021</t>
        </is>
      </c>
      <c r="B124" s="1" t="n">
        <v>44362</v>
      </c>
      <c r="C124" s="1" t="n">
        <v>45989</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45989</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45989</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45989</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60665-2021</t>
        </is>
      </c>
      <c r="B128" s="1" t="n">
        <v>44496</v>
      </c>
      <c r="C128" s="1" t="n">
        <v>45989</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20218-2022</t>
        </is>
      </c>
      <c r="B129" s="1" t="n">
        <v>44698</v>
      </c>
      <c r="C129" s="1" t="n">
        <v>45989</v>
      </c>
      <c r="D129" t="inlineStr">
        <is>
          <t>GOTLANDS LÄN</t>
        </is>
      </c>
      <c r="E129" t="inlineStr">
        <is>
          <t>GOTLAND</t>
        </is>
      </c>
      <c r="G129" t="n">
        <v>4.3</v>
      </c>
      <c r="H129" t="n">
        <v>0</v>
      </c>
      <c r="I129" t="n">
        <v>1</v>
      </c>
      <c r="J129" t="n">
        <v>1</v>
      </c>
      <c r="K129" t="n">
        <v>0</v>
      </c>
      <c r="L129" t="n">
        <v>0</v>
      </c>
      <c r="M129" t="n">
        <v>0</v>
      </c>
      <c r="N129" t="n">
        <v>0</v>
      </c>
      <c r="O129" t="n">
        <v>1</v>
      </c>
      <c r="P129" t="n">
        <v>0</v>
      </c>
      <c r="Q129" t="n">
        <v>2</v>
      </c>
      <c r="R129" s="2" t="inlineStr">
        <is>
          <t>Flattoppad klubbsvamp
Rödgul trumpetsvamp</t>
        </is>
      </c>
      <c r="S129">
        <f>HYPERLINK("https://klasma.github.io/Logging_0980/artfynd/A 20218-2022 artfynd.xlsx", "A 20218-2022")</f>
        <v/>
      </c>
      <c r="T129">
        <f>HYPERLINK("https://klasma.github.io/Logging_0980/kartor/A 20218-2022 karta.png", "A 20218-2022")</f>
        <v/>
      </c>
      <c r="V129">
        <f>HYPERLINK("https://klasma.github.io/Logging_0980/klagomål/A 20218-2022 FSC-klagomål.docx", "A 20218-2022")</f>
        <v/>
      </c>
      <c r="W129">
        <f>HYPERLINK("https://klasma.github.io/Logging_0980/klagomålsmail/A 20218-2022 FSC-klagomål mail.docx", "A 20218-2022")</f>
        <v/>
      </c>
      <c r="X129">
        <f>HYPERLINK("https://klasma.github.io/Logging_0980/tillsyn/A 20218-2022 tillsynsbegäran.docx", "A 20218-2022")</f>
        <v/>
      </c>
      <c r="Y129">
        <f>HYPERLINK("https://klasma.github.io/Logging_0980/tillsynsmail/A 20218-2022 tillsynsbegäran mail.docx", "A 20218-2022")</f>
        <v/>
      </c>
    </row>
    <row r="130" ht="15" customHeight="1">
      <c r="A130" t="inlineStr">
        <is>
          <t>A 26077-2024</t>
        </is>
      </c>
      <c r="B130" s="1" t="n">
        <v>45467</v>
      </c>
      <c r="C130" s="1" t="n">
        <v>45989</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20838-2024</t>
        </is>
      </c>
      <c r="B131" s="1" t="n">
        <v>45439</v>
      </c>
      <c r="C131" s="1" t="n">
        <v>45989</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64263-2020</t>
        </is>
      </c>
      <c r="B132" s="1" t="n">
        <v>44168</v>
      </c>
      <c r="C132" s="1" t="n">
        <v>45989</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54357-2024</t>
        </is>
      </c>
      <c r="B133" s="1" t="n">
        <v>45617.40662037037</v>
      </c>
      <c r="C133" s="1" t="n">
        <v>45989</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45989</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45989</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45989</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45989</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45989</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45989</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45989</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45989</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45989</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45989</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45989</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10218-2025</t>
        </is>
      </c>
      <c r="B145" s="1" t="n">
        <v>45720</v>
      </c>
      <c r="C145" s="1" t="n">
        <v>45989</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12379-2024</t>
        </is>
      </c>
      <c r="B146" s="1" t="n">
        <v>45379.28155092592</v>
      </c>
      <c r="C146" s="1" t="n">
        <v>45989</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45989</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25977-2024</t>
        </is>
      </c>
      <c r="B148" s="1" t="n">
        <v>45467.69356481481</v>
      </c>
      <c r="C148" s="1" t="n">
        <v>45989</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45989</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26461-2025</t>
        </is>
      </c>
      <c r="B150" s="1" t="n">
        <v>45807.43337962963</v>
      </c>
      <c r="C150" s="1" t="n">
        <v>45989</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39812-2025</t>
        </is>
      </c>
      <c r="B151" s="1" t="n">
        <v>45891</v>
      </c>
      <c r="C151" s="1" t="n">
        <v>45989</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61796-2022</t>
        </is>
      </c>
      <c r="B152" s="1" t="n">
        <v>44917</v>
      </c>
      <c r="C152" s="1" t="n">
        <v>45989</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15637-2024</t>
        </is>
      </c>
      <c r="B153" s="1" t="n">
        <v>45403.6684837963</v>
      </c>
      <c r="C153" s="1" t="n">
        <v>45989</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35467-2021</t>
        </is>
      </c>
      <c r="B154" s="1" t="n">
        <v>44385</v>
      </c>
      <c r="C154" s="1" t="n">
        <v>45989</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34141-2024</t>
        </is>
      </c>
      <c r="B155" s="1" t="n">
        <v>45524.36229166666</v>
      </c>
      <c r="C155" s="1" t="n">
        <v>45989</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45989</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44619-2025</t>
        </is>
      </c>
      <c r="B157" s="1" t="n">
        <v>45917</v>
      </c>
      <c r="C157" s="1" t="n">
        <v>45989</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2476-2025</t>
        </is>
      </c>
      <c r="B158" s="1" t="n">
        <v>45673</v>
      </c>
      <c r="C158" s="1" t="n">
        <v>45989</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45989</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62552-2022</t>
        </is>
      </c>
      <c r="B160" s="1" t="n">
        <v>44924</v>
      </c>
      <c r="C160" s="1" t="n">
        <v>45989</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12924-2025</t>
        </is>
      </c>
      <c r="B161" s="1" t="n">
        <v>45734</v>
      </c>
      <c r="C161" s="1" t="n">
        <v>45989</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44088-2022</t>
        </is>
      </c>
      <c r="B162" s="1" t="n">
        <v>44839</v>
      </c>
      <c r="C162" s="1" t="n">
        <v>45989</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Strävlosta</t>
        </is>
      </c>
      <c r="S162">
        <f>HYPERLINK("https://klasma.github.io/Logging_0980/artfynd/A 44088-2022 artfynd.xlsx", "A 44088-2022")</f>
        <v/>
      </c>
      <c r="T162">
        <f>HYPERLINK("https://klasma.github.io/Logging_0980/kartor/A 44088-2022 karta.png", "A 44088-2022")</f>
        <v/>
      </c>
      <c r="V162">
        <f>HYPERLINK("https://klasma.github.io/Logging_0980/klagomål/A 44088-2022 FSC-klagomål.docx", "A 44088-2022")</f>
        <v/>
      </c>
      <c r="W162">
        <f>HYPERLINK("https://klasma.github.io/Logging_0980/klagomålsmail/A 44088-2022 FSC-klagomål mail.docx", "A 44088-2022")</f>
        <v/>
      </c>
      <c r="X162">
        <f>HYPERLINK("https://klasma.github.io/Logging_0980/tillsyn/A 44088-2022 tillsynsbegäran.docx", "A 44088-2022")</f>
        <v/>
      </c>
      <c r="Y162">
        <f>HYPERLINK("https://klasma.github.io/Logging_0980/tillsynsmail/A 44088-2022 tillsynsbegäran mail.docx", "A 44088-2022")</f>
        <v/>
      </c>
    </row>
    <row r="163" ht="15" customHeight="1">
      <c r="A163" t="inlineStr">
        <is>
          <t>A 13939-2021</t>
        </is>
      </c>
      <c r="B163" s="1" t="n">
        <v>44277</v>
      </c>
      <c r="C163" s="1" t="n">
        <v>45989</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44308-2021</t>
        </is>
      </c>
      <c r="B164" s="1" t="n">
        <v>44434</v>
      </c>
      <c r="C164" s="1" t="n">
        <v>45989</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45989</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49726-2025</t>
        </is>
      </c>
      <c r="B166" s="1" t="n">
        <v>45939.84466435185</v>
      </c>
      <c r="C166" s="1" t="n">
        <v>45989</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20429-2025</t>
        </is>
      </c>
      <c r="B167" s="1" t="n">
        <v>45775.47728009259</v>
      </c>
      <c r="C167" s="1" t="n">
        <v>45989</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947-2023</t>
        </is>
      </c>
      <c r="B168" s="1" t="n">
        <v>44934</v>
      </c>
      <c r="C168" s="1" t="n">
        <v>45989</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45989</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45989</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45989</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45989</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45989</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45989</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45989</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45989</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45989</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45989</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63299-2020</t>
        </is>
      </c>
      <c r="B179" s="1" t="n">
        <v>44165</v>
      </c>
      <c r="C179" s="1" t="n">
        <v>45989</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27168-2022</t>
        </is>
      </c>
      <c r="B180" s="1" t="n">
        <v>44741</v>
      </c>
      <c r="C180" s="1" t="n">
        <v>45989</v>
      </c>
      <c r="D180" t="inlineStr">
        <is>
          <t>GOTLANDS LÄN</t>
        </is>
      </c>
      <c r="E180" t="inlineStr">
        <is>
          <t>GOTLAND</t>
        </is>
      </c>
      <c r="G180" t="n">
        <v>2.2</v>
      </c>
      <c r="H180" t="n">
        <v>1</v>
      </c>
      <c r="I180" t="n">
        <v>1</v>
      </c>
      <c r="J180" t="n">
        <v>0</v>
      </c>
      <c r="K180" t="n">
        <v>0</v>
      </c>
      <c r="L180" t="n">
        <v>0</v>
      </c>
      <c r="M180" t="n">
        <v>0</v>
      </c>
      <c r="N180" t="n">
        <v>0</v>
      </c>
      <c r="O180" t="n">
        <v>0</v>
      </c>
      <c r="P180" t="n">
        <v>0</v>
      </c>
      <c r="Q180" t="n">
        <v>1</v>
      </c>
      <c r="R180" s="2" t="inlineStr">
        <is>
          <t>Purpurknipprot</t>
        </is>
      </c>
      <c r="S180">
        <f>HYPERLINK("https://klasma.github.io/Logging_0980/artfynd/A 27168-2022 artfynd.xlsx", "A 27168-2022")</f>
        <v/>
      </c>
      <c r="T180">
        <f>HYPERLINK("https://klasma.github.io/Logging_0980/kartor/A 27168-2022 karta.png", "A 27168-2022")</f>
        <v/>
      </c>
      <c r="V180">
        <f>HYPERLINK("https://klasma.github.io/Logging_0980/klagomål/A 27168-2022 FSC-klagomål.docx", "A 27168-2022")</f>
        <v/>
      </c>
      <c r="W180">
        <f>HYPERLINK("https://klasma.github.io/Logging_0980/klagomålsmail/A 27168-2022 FSC-klagomål mail.docx", "A 27168-2022")</f>
        <v/>
      </c>
      <c r="X180">
        <f>HYPERLINK("https://klasma.github.io/Logging_0980/tillsyn/A 27168-2022 tillsynsbegäran.docx", "A 27168-2022")</f>
        <v/>
      </c>
      <c r="Y180">
        <f>HYPERLINK("https://klasma.github.io/Logging_0980/tillsynsmail/A 27168-2022 tillsynsbegäran mail.docx", "A 27168-2022")</f>
        <v/>
      </c>
    </row>
    <row r="181" ht="15" customHeight="1">
      <c r="A181" t="inlineStr">
        <is>
          <t>A 22782-2023</t>
        </is>
      </c>
      <c r="B181" s="1" t="n">
        <v>45072</v>
      </c>
      <c r="C181" s="1" t="n">
        <v>45989</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45989</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45989</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45989</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45989</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45989</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45989</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21466-2025</t>
        </is>
      </c>
      <c r="B188" s="1" t="n">
        <v>45782</v>
      </c>
      <c r="C188" s="1" t="n">
        <v>45989</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45989</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19901-2021</t>
        </is>
      </c>
      <c r="B190" s="1" t="n">
        <v>44312</v>
      </c>
      <c r="C190" s="1" t="n">
        <v>45989</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45989</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45989</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45989</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45989</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45989</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45989</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45989</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45989</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45989</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45989</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45989</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45989</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45989</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45989</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45989</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45989</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45989</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45989</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45989</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45989</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45989</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45989</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45989</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45989</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45989</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45989</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45989</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45989</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45989</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45989</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45989</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45989</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45989</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45989</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45989</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45989</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45989</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45989</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45989</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45989</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45989</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45989</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45989</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45989</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45989</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56951-2021</t>
        </is>
      </c>
      <c r="B236" s="1" t="n">
        <v>44482.37388888889</v>
      </c>
      <c r="C236" s="1" t="n">
        <v>45989</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2608-2021</t>
        </is>
      </c>
      <c r="B237" s="1" t="n">
        <v>44214</v>
      </c>
      <c r="C237" s="1" t="n">
        <v>45989</v>
      </c>
      <c r="D237" t="inlineStr">
        <is>
          <t>GOTLANDS LÄN</t>
        </is>
      </c>
      <c r="E237" t="inlineStr">
        <is>
          <t>GOTLAND</t>
        </is>
      </c>
      <c r="G237" t="n">
        <v>3.9</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45989</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45989</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45989</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45989</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30282-2022</t>
        </is>
      </c>
      <c r="B242" s="1" t="n">
        <v>44760</v>
      </c>
      <c r="C242" s="1" t="n">
        <v>45989</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4868-2024</t>
        </is>
      </c>
      <c r="B243" s="1" t="n">
        <v>45329</v>
      </c>
      <c r="C243" s="1" t="n">
        <v>45989</v>
      </c>
      <c r="D243" t="inlineStr">
        <is>
          <t>GOTLANDS LÄN</t>
        </is>
      </c>
      <c r="E243" t="inlineStr">
        <is>
          <t>GOTLAND</t>
        </is>
      </c>
      <c r="G243" t="n">
        <v>7.1</v>
      </c>
      <c r="H243" t="n">
        <v>0</v>
      </c>
      <c r="I243" t="n">
        <v>0</v>
      </c>
      <c r="J243" t="n">
        <v>0</v>
      </c>
      <c r="K243" t="n">
        <v>0</v>
      </c>
      <c r="L243" t="n">
        <v>0</v>
      </c>
      <c r="M243" t="n">
        <v>0</v>
      </c>
      <c r="N243" t="n">
        <v>0</v>
      </c>
      <c r="O243" t="n">
        <v>0</v>
      </c>
      <c r="P243" t="n">
        <v>0</v>
      </c>
      <c r="Q243" t="n">
        <v>0</v>
      </c>
      <c r="R243" s="2" t="inlineStr"/>
    </row>
    <row r="244" ht="15" customHeight="1">
      <c r="A244" t="inlineStr">
        <is>
          <t>A 5751-2024</t>
        </is>
      </c>
      <c r="B244" s="1" t="n">
        <v>45335.32702546296</v>
      </c>
      <c r="C244" s="1" t="n">
        <v>45989</v>
      </c>
      <c r="D244" t="inlineStr">
        <is>
          <t>GOTLANDS LÄN</t>
        </is>
      </c>
      <c r="E244" t="inlineStr">
        <is>
          <t>GOTLAND</t>
        </is>
      </c>
      <c r="G244" t="n">
        <v>4.2</v>
      </c>
      <c r="H244" t="n">
        <v>0</v>
      </c>
      <c r="I244" t="n">
        <v>0</v>
      </c>
      <c r="J244" t="n">
        <v>0</v>
      </c>
      <c r="K244" t="n">
        <v>0</v>
      </c>
      <c r="L244" t="n">
        <v>0</v>
      </c>
      <c r="M244" t="n">
        <v>0</v>
      </c>
      <c r="N244" t="n">
        <v>0</v>
      </c>
      <c r="O244" t="n">
        <v>0</v>
      </c>
      <c r="P244" t="n">
        <v>0</v>
      </c>
      <c r="Q244" t="n">
        <v>0</v>
      </c>
      <c r="R244" s="2" t="inlineStr"/>
    </row>
    <row r="245" ht="15" customHeight="1">
      <c r="A245" t="inlineStr">
        <is>
          <t>A 9613-2025</t>
        </is>
      </c>
      <c r="B245" s="1" t="n">
        <v>45715</v>
      </c>
      <c r="C245" s="1" t="n">
        <v>45989</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32330-2024</t>
        </is>
      </c>
      <c r="B246" s="1" t="n">
        <v>45512</v>
      </c>
      <c r="C246" s="1" t="n">
        <v>45989</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15595-2024</t>
        </is>
      </c>
      <c r="B247" s="1" t="n">
        <v>45401.81480324074</v>
      </c>
      <c r="C247" s="1" t="n">
        <v>45989</v>
      </c>
      <c r="D247" t="inlineStr">
        <is>
          <t>GOTLANDS LÄN</t>
        </is>
      </c>
      <c r="E247" t="inlineStr">
        <is>
          <t>GOTLAND</t>
        </is>
      </c>
      <c r="G247" t="n">
        <v>6.4</v>
      </c>
      <c r="H247" t="n">
        <v>0</v>
      </c>
      <c r="I247" t="n">
        <v>0</v>
      </c>
      <c r="J247" t="n">
        <v>0</v>
      </c>
      <c r="K247" t="n">
        <v>0</v>
      </c>
      <c r="L247" t="n">
        <v>0</v>
      </c>
      <c r="M247" t="n">
        <v>0</v>
      </c>
      <c r="N247" t="n">
        <v>0</v>
      </c>
      <c r="O247" t="n">
        <v>0</v>
      </c>
      <c r="P247" t="n">
        <v>0</v>
      </c>
      <c r="Q247" t="n">
        <v>0</v>
      </c>
      <c r="R247" s="2" t="inlineStr"/>
    </row>
    <row r="248" ht="15" customHeight="1">
      <c r="A248" t="inlineStr">
        <is>
          <t>A 24966-2023</t>
        </is>
      </c>
      <c r="B248" s="1" t="n">
        <v>45085</v>
      </c>
      <c r="C248" s="1" t="n">
        <v>45989</v>
      </c>
      <c r="D248" t="inlineStr">
        <is>
          <t>GOTLANDS LÄN</t>
        </is>
      </c>
      <c r="E248" t="inlineStr">
        <is>
          <t>GOTLAND</t>
        </is>
      </c>
      <c r="G248" t="n">
        <v>7</v>
      </c>
      <c r="H248" t="n">
        <v>0</v>
      </c>
      <c r="I248" t="n">
        <v>0</v>
      </c>
      <c r="J248" t="n">
        <v>0</v>
      </c>
      <c r="K248" t="n">
        <v>0</v>
      </c>
      <c r="L248" t="n">
        <v>0</v>
      </c>
      <c r="M248" t="n">
        <v>0</v>
      </c>
      <c r="N248" t="n">
        <v>0</v>
      </c>
      <c r="O248" t="n">
        <v>0</v>
      </c>
      <c r="P248" t="n">
        <v>0</v>
      </c>
      <c r="Q248" t="n">
        <v>0</v>
      </c>
      <c r="R248" s="2" t="inlineStr"/>
    </row>
    <row r="249" ht="15" customHeight="1">
      <c r="A249" t="inlineStr">
        <is>
          <t>A 46189-2022</t>
        </is>
      </c>
      <c r="B249" s="1" t="n">
        <v>44847</v>
      </c>
      <c r="C249" s="1" t="n">
        <v>45989</v>
      </c>
      <c r="D249" t="inlineStr">
        <is>
          <t>GOTLANDS LÄN</t>
        </is>
      </c>
      <c r="E249" t="inlineStr">
        <is>
          <t>GOTLAND</t>
        </is>
      </c>
      <c r="G249" t="n">
        <v>0.4</v>
      </c>
      <c r="H249" t="n">
        <v>0</v>
      </c>
      <c r="I249" t="n">
        <v>0</v>
      </c>
      <c r="J249" t="n">
        <v>0</v>
      </c>
      <c r="K249" t="n">
        <v>0</v>
      </c>
      <c r="L249" t="n">
        <v>0</v>
      </c>
      <c r="M249" t="n">
        <v>0</v>
      </c>
      <c r="N249" t="n">
        <v>0</v>
      </c>
      <c r="O249" t="n">
        <v>0</v>
      </c>
      <c r="P249" t="n">
        <v>0</v>
      </c>
      <c r="Q249" t="n">
        <v>0</v>
      </c>
      <c r="R249" s="2" t="inlineStr"/>
    </row>
    <row r="250" ht="15" customHeight="1">
      <c r="A250" t="inlineStr">
        <is>
          <t>A 22031-2024</t>
        </is>
      </c>
      <c r="B250" s="1" t="n">
        <v>45443.60075231481</v>
      </c>
      <c r="C250" s="1" t="n">
        <v>45989</v>
      </c>
      <c r="D250" t="inlineStr">
        <is>
          <t>GOTLANDS LÄN</t>
        </is>
      </c>
      <c r="E250" t="inlineStr">
        <is>
          <t>GOTLAND</t>
        </is>
      </c>
      <c r="G250" t="n">
        <v>2.3</v>
      </c>
      <c r="H250" t="n">
        <v>0</v>
      </c>
      <c r="I250" t="n">
        <v>0</v>
      </c>
      <c r="J250" t="n">
        <v>0</v>
      </c>
      <c r="K250" t="n">
        <v>0</v>
      </c>
      <c r="L250" t="n">
        <v>0</v>
      </c>
      <c r="M250" t="n">
        <v>0</v>
      </c>
      <c r="N250" t="n">
        <v>0</v>
      </c>
      <c r="O250" t="n">
        <v>0</v>
      </c>
      <c r="P250" t="n">
        <v>0</v>
      </c>
      <c r="Q250" t="n">
        <v>0</v>
      </c>
      <c r="R250" s="2" t="inlineStr"/>
    </row>
    <row r="251" ht="15" customHeight="1">
      <c r="A251" t="inlineStr">
        <is>
          <t>A 49314-2024</t>
        </is>
      </c>
      <c r="B251" s="1" t="n">
        <v>45595.55893518519</v>
      </c>
      <c r="C251" s="1" t="n">
        <v>45989</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44919-2022</t>
        </is>
      </c>
      <c r="B252" s="1" t="n">
        <v>44841</v>
      </c>
      <c r="C252" s="1" t="n">
        <v>45989</v>
      </c>
      <c r="D252" t="inlineStr">
        <is>
          <t>GOTLANDS LÄN</t>
        </is>
      </c>
      <c r="E252" t="inlineStr">
        <is>
          <t>GOTLAND</t>
        </is>
      </c>
      <c r="G252" t="n">
        <v>2.2</v>
      </c>
      <c r="H252" t="n">
        <v>0</v>
      </c>
      <c r="I252" t="n">
        <v>0</v>
      </c>
      <c r="J252" t="n">
        <v>0</v>
      </c>
      <c r="K252" t="n">
        <v>0</v>
      </c>
      <c r="L252" t="n">
        <v>0</v>
      </c>
      <c r="M252" t="n">
        <v>0</v>
      </c>
      <c r="N252" t="n">
        <v>0</v>
      </c>
      <c r="O252" t="n">
        <v>0</v>
      </c>
      <c r="P252" t="n">
        <v>0</v>
      </c>
      <c r="Q252" t="n">
        <v>0</v>
      </c>
      <c r="R252" s="2" t="inlineStr"/>
    </row>
    <row r="253" ht="15" customHeight="1">
      <c r="A253" t="inlineStr">
        <is>
          <t>A 65901-2021</t>
        </is>
      </c>
      <c r="B253" s="1" t="n">
        <v>44516</v>
      </c>
      <c r="C253" s="1" t="n">
        <v>45989</v>
      </c>
      <c r="D253" t="inlineStr">
        <is>
          <t>GOTLANDS LÄN</t>
        </is>
      </c>
      <c r="E253" t="inlineStr">
        <is>
          <t>GOTLAND</t>
        </is>
      </c>
      <c r="G253" t="n">
        <v>4.9</v>
      </c>
      <c r="H253" t="n">
        <v>0</v>
      </c>
      <c r="I253" t="n">
        <v>0</v>
      </c>
      <c r="J253" t="n">
        <v>0</v>
      </c>
      <c r="K253" t="n">
        <v>0</v>
      </c>
      <c r="L253" t="n">
        <v>0</v>
      </c>
      <c r="M253" t="n">
        <v>0</v>
      </c>
      <c r="N253" t="n">
        <v>0</v>
      </c>
      <c r="O253" t="n">
        <v>0</v>
      </c>
      <c r="P253" t="n">
        <v>0</v>
      </c>
      <c r="Q253" t="n">
        <v>0</v>
      </c>
      <c r="R253" s="2" t="inlineStr"/>
    </row>
    <row r="254" ht="15" customHeight="1">
      <c r="A254" t="inlineStr">
        <is>
          <t>A 48503-2023</t>
        </is>
      </c>
      <c r="B254" s="1" t="n">
        <v>45207</v>
      </c>
      <c r="C254" s="1" t="n">
        <v>45989</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44649-2021</t>
        </is>
      </c>
      <c r="B255" s="1" t="n">
        <v>44437</v>
      </c>
      <c r="C255" s="1" t="n">
        <v>45989</v>
      </c>
      <c r="D255" t="inlineStr">
        <is>
          <t>GOTLANDS LÄN</t>
        </is>
      </c>
      <c r="E255" t="inlineStr">
        <is>
          <t>GOTLAND</t>
        </is>
      </c>
      <c r="G255" t="n">
        <v>8.1</v>
      </c>
      <c r="H255" t="n">
        <v>0</v>
      </c>
      <c r="I255" t="n">
        <v>0</v>
      </c>
      <c r="J255" t="n">
        <v>0</v>
      </c>
      <c r="K255" t="n">
        <v>0</v>
      </c>
      <c r="L255" t="n">
        <v>0</v>
      </c>
      <c r="M255" t="n">
        <v>0</v>
      </c>
      <c r="N255" t="n">
        <v>0</v>
      </c>
      <c r="O255" t="n">
        <v>0</v>
      </c>
      <c r="P255" t="n">
        <v>0</v>
      </c>
      <c r="Q255" t="n">
        <v>0</v>
      </c>
      <c r="R255" s="2" t="inlineStr"/>
    </row>
    <row r="256" ht="15" customHeight="1">
      <c r="A256" t="inlineStr">
        <is>
          <t>A 9947-2024</t>
        </is>
      </c>
      <c r="B256" s="1" t="n">
        <v>45363</v>
      </c>
      <c r="C256" s="1" t="n">
        <v>45989</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44304-2021</t>
        </is>
      </c>
      <c r="B257" s="1" t="n">
        <v>44434</v>
      </c>
      <c r="C257" s="1" t="n">
        <v>45989</v>
      </c>
      <c r="D257" t="inlineStr">
        <is>
          <t>GOTLANDS LÄN</t>
        </is>
      </c>
      <c r="E257" t="inlineStr">
        <is>
          <t>GOTLAND</t>
        </is>
      </c>
      <c r="G257" t="n">
        <v>5.8</v>
      </c>
      <c r="H257" t="n">
        <v>0</v>
      </c>
      <c r="I257" t="n">
        <v>0</v>
      </c>
      <c r="J257" t="n">
        <v>0</v>
      </c>
      <c r="K257" t="n">
        <v>0</v>
      </c>
      <c r="L257" t="n">
        <v>0</v>
      </c>
      <c r="M257" t="n">
        <v>0</v>
      </c>
      <c r="N257" t="n">
        <v>0</v>
      </c>
      <c r="O257" t="n">
        <v>0</v>
      </c>
      <c r="P257" t="n">
        <v>0</v>
      </c>
      <c r="Q257" t="n">
        <v>0</v>
      </c>
      <c r="R257" s="2" t="inlineStr"/>
    </row>
    <row r="258" ht="15" customHeight="1">
      <c r="A258" t="inlineStr">
        <is>
          <t>A 17682-2024</t>
        </is>
      </c>
      <c r="B258" s="1" t="n">
        <v>45418.42966435185</v>
      </c>
      <c r="C258" s="1" t="n">
        <v>45989</v>
      </c>
      <c r="D258" t="inlineStr">
        <is>
          <t>GOTLANDS LÄN</t>
        </is>
      </c>
      <c r="E258" t="inlineStr">
        <is>
          <t>GOTLAND</t>
        </is>
      </c>
      <c r="G258" t="n">
        <v>2.9</v>
      </c>
      <c r="H258" t="n">
        <v>0</v>
      </c>
      <c r="I258" t="n">
        <v>0</v>
      </c>
      <c r="J258" t="n">
        <v>0</v>
      </c>
      <c r="K258" t="n">
        <v>0</v>
      </c>
      <c r="L258" t="n">
        <v>0</v>
      </c>
      <c r="M258" t="n">
        <v>0</v>
      </c>
      <c r="N258" t="n">
        <v>0</v>
      </c>
      <c r="O258" t="n">
        <v>0</v>
      </c>
      <c r="P258" t="n">
        <v>0</v>
      </c>
      <c r="Q258" t="n">
        <v>0</v>
      </c>
      <c r="R258" s="2" t="inlineStr"/>
    </row>
    <row r="259" ht="15" customHeight="1">
      <c r="A259" t="inlineStr">
        <is>
          <t>A 57522-2022</t>
        </is>
      </c>
      <c r="B259" s="1" t="n">
        <v>44896</v>
      </c>
      <c r="C259" s="1" t="n">
        <v>45989</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63516-2023</t>
        </is>
      </c>
      <c r="B260" s="1" t="n">
        <v>45274</v>
      </c>
      <c r="C260" s="1" t="n">
        <v>45989</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24001-2021</t>
        </is>
      </c>
      <c r="B261" s="1" t="n">
        <v>44335</v>
      </c>
      <c r="C261" s="1" t="n">
        <v>45989</v>
      </c>
      <c r="D261" t="inlineStr">
        <is>
          <t>GOTLANDS LÄN</t>
        </is>
      </c>
      <c r="E261" t="inlineStr">
        <is>
          <t>GOTLAND</t>
        </is>
      </c>
      <c r="G261" t="n">
        <v>3.4</v>
      </c>
      <c r="H261" t="n">
        <v>0</v>
      </c>
      <c r="I261" t="n">
        <v>0</v>
      </c>
      <c r="J261" t="n">
        <v>0</v>
      </c>
      <c r="K261" t="n">
        <v>0</v>
      </c>
      <c r="L261" t="n">
        <v>0</v>
      </c>
      <c r="M261" t="n">
        <v>0</v>
      </c>
      <c r="N261" t="n">
        <v>0</v>
      </c>
      <c r="O261" t="n">
        <v>0</v>
      </c>
      <c r="P261" t="n">
        <v>0</v>
      </c>
      <c r="Q261" t="n">
        <v>0</v>
      </c>
      <c r="R261" s="2" t="inlineStr"/>
    </row>
    <row r="262" ht="15" customHeight="1">
      <c r="A262" t="inlineStr">
        <is>
          <t>A 27593-2023</t>
        </is>
      </c>
      <c r="B262" s="1" t="n">
        <v>45097</v>
      </c>
      <c r="C262" s="1" t="n">
        <v>45989</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20356-2022</t>
        </is>
      </c>
      <c r="B263" s="1" t="n">
        <v>44699</v>
      </c>
      <c r="C263" s="1" t="n">
        <v>45989</v>
      </c>
      <c r="D263" t="inlineStr">
        <is>
          <t>GOTLANDS LÄN</t>
        </is>
      </c>
      <c r="E263" t="inlineStr">
        <is>
          <t>GOTLAND</t>
        </is>
      </c>
      <c r="F263" t="inlineStr">
        <is>
          <t>Övriga Aktiebolag</t>
        </is>
      </c>
      <c r="G263" t="n">
        <v>4.4</v>
      </c>
      <c r="H263" t="n">
        <v>0</v>
      </c>
      <c r="I263" t="n">
        <v>0</v>
      </c>
      <c r="J263" t="n">
        <v>0</v>
      </c>
      <c r="K263" t="n">
        <v>0</v>
      </c>
      <c r="L263" t="n">
        <v>0</v>
      </c>
      <c r="M263" t="n">
        <v>0</v>
      </c>
      <c r="N263" t="n">
        <v>0</v>
      </c>
      <c r="O263" t="n">
        <v>0</v>
      </c>
      <c r="P263" t="n">
        <v>0</v>
      </c>
      <c r="Q263" t="n">
        <v>0</v>
      </c>
      <c r="R263" s="2" t="inlineStr"/>
    </row>
    <row r="264" ht="15" customHeight="1">
      <c r="A264" t="inlineStr">
        <is>
          <t>A 30365-2024</t>
        </is>
      </c>
      <c r="B264" s="1" t="n">
        <v>45491.3716087963</v>
      </c>
      <c r="C264" s="1" t="n">
        <v>45989</v>
      </c>
      <c r="D264" t="inlineStr">
        <is>
          <t>GOTLANDS LÄN</t>
        </is>
      </c>
      <c r="E264" t="inlineStr">
        <is>
          <t>GOTLAND</t>
        </is>
      </c>
      <c r="G264" t="n">
        <v>0.5</v>
      </c>
      <c r="H264" t="n">
        <v>0</v>
      </c>
      <c r="I264" t="n">
        <v>0</v>
      </c>
      <c r="J264" t="n">
        <v>0</v>
      </c>
      <c r="K264" t="n">
        <v>0</v>
      </c>
      <c r="L264" t="n">
        <v>0</v>
      </c>
      <c r="M264" t="n">
        <v>0</v>
      </c>
      <c r="N264" t="n">
        <v>0</v>
      </c>
      <c r="O264" t="n">
        <v>0</v>
      </c>
      <c r="P264" t="n">
        <v>0</v>
      </c>
      <c r="Q264" t="n">
        <v>0</v>
      </c>
      <c r="R264" s="2" t="inlineStr"/>
    </row>
    <row r="265" ht="15" customHeight="1">
      <c r="A265" t="inlineStr">
        <is>
          <t>A 1681-2023</t>
        </is>
      </c>
      <c r="B265" s="1" t="n">
        <v>44938.39715277778</v>
      </c>
      <c r="C265" s="1" t="n">
        <v>45989</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45989</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45989</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1273-2023</t>
        </is>
      </c>
      <c r="B268" s="1" t="n">
        <v>44936</v>
      </c>
      <c r="C268" s="1" t="n">
        <v>45989</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58780-2024</t>
        </is>
      </c>
      <c r="B269" s="1" t="n">
        <v>45635.84113425926</v>
      </c>
      <c r="C269" s="1" t="n">
        <v>45989</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45692-2023</t>
        </is>
      </c>
      <c r="B270" s="1" t="n">
        <v>45195</v>
      </c>
      <c r="C270" s="1" t="n">
        <v>45989</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33876-2024</t>
        </is>
      </c>
      <c r="B271" s="1" t="n">
        <v>45521.87988425926</v>
      </c>
      <c r="C271" s="1" t="n">
        <v>45989</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25796-2025</t>
        </is>
      </c>
      <c r="B272" s="1" t="n">
        <v>45804.39543981481</v>
      </c>
      <c r="C272" s="1" t="n">
        <v>45989</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18993-2025</t>
        </is>
      </c>
      <c r="B273" s="1" t="n">
        <v>45764</v>
      </c>
      <c r="C273" s="1" t="n">
        <v>45989</v>
      </c>
      <c r="D273" t="inlineStr">
        <is>
          <t>GOTLANDS LÄN</t>
        </is>
      </c>
      <c r="E273" t="inlineStr">
        <is>
          <t>GOTLAND</t>
        </is>
      </c>
      <c r="G273" t="n">
        <v>3</v>
      </c>
      <c r="H273" t="n">
        <v>0</v>
      </c>
      <c r="I273" t="n">
        <v>0</v>
      </c>
      <c r="J273" t="n">
        <v>0</v>
      </c>
      <c r="K273" t="n">
        <v>0</v>
      </c>
      <c r="L273" t="n">
        <v>0</v>
      </c>
      <c r="M273" t="n">
        <v>0</v>
      </c>
      <c r="N273" t="n">
        <v>0</v>
      </c>
      <c r="O273" t="n">
        <v>0</v>
      </c>
      <c r="P273" t="n">
        <v>0</v>
      </c>
      <c r="Q273" t="n">
        <v>0</v>
      </c>
      <c r="R273" s="2" t="inlineStr"/>
    </row>
    <row r="274" ht="15" customHeight="1">
      <c r="A274" t="inlineStr">
        <is>
          <t>A 28285-2024</t>
        </is>
      </c>
      <c r="B274" s="1" t="n">
        <v>45477</v>
      </c>
      <c r="C274" s="1" t="n">
        <v>45989</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61100-2022</t>
        </is>
      </c>
      <c r="B275" s="1" t="n">
        <v>44915</v>
      </c>
      <c r="C275" s="1" t="n">
        <v>45989</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61682-2024</t>
        </is>
      </c>
      <c r="B276" s="1" t="n">
        <v>45647.48824074074</v>
      </c>
      <c r="C276" s="1" t="n">
        <v>45989</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30135-2025</t>
        </is>
      </c>
      <c r="B277" s="1" t="n">
        <v>45826</v>
      </c>
      <c r="C277" s="1" t="n">
        <v>45989</v>
      </c>
      <c r="D277" t="inlineStr">
        <is>
          <t>GOTLANDS LÄN</t>
        </is>
      </c>
      <c r="E277" t="inlineStr">
        <is>
          <t>GOTLAND</t>
        </is>
      </c>
      <c r="G277" t="n">
        <v>2.7</v>
      </c>
      <c r="H277" t="n">
        <v>0</v>
      </c>
      <c r="I277" t="n">
        <v>0</v>
      </c>
      <c r="J277" t="n">
        <v>0</v>
      </c>
      <c r="K277" t="n">
        <v>0</v>
      </c>
      <c r="L277" t="n">
        <v>0</v>
      </c>
      <c r="M277" t="n">
        <v>0</v>
      </c>
      <c r="N277" t="n">
        <v>0</v>
      </c>
      <c r="O277" t="n">
        <v>0</v>
      </c>
      <c r="P277" t="n">
        <v>0</v>
      </c>
      <c r="Q277" t="n">
        <v>0</v>
      </c>
      <c r="R277" s="2" t="inlineStr"/>
    </row>
    <row r="278" ht="15" customHeight="1">
      <c r="A278" t="inlineStr">
        <is>
          <t>A 12599-2025</t>
        </is>
      </c>
      <c r="B278" s="1" t="n">
        <v>45733.29546296296</v>
      </c>
      <c r="C278" s="1" t="n">
        <v>45989</v>
      </c>
      <c r="D278" t="inlineStr">
        <is>
          <t>GOTLANDS LÄN</t>
        </is>
      </c>
      <c r="E278" t="inlineStr">
        <is>
          <t>GOTLAND</t>
        </is>
      </c>
      <c r="G278" t="n">
        <v>4.7</v>
      </c>
      <c r="H278" t="n">
        <v>0</v>
      </c>
      <c r="I278" t="n">
        <v>0</v>
      </c>
      <c r="J278" t="n">
        <v>0</v>
      </c>
      <c r="K278" t="n">
        <v>0</v>
      </c>
      <c r="L278" t="n">
        <v>0</v>
      </c>
      <c r="M278" t="n">
        <v>0</v>
      </c>
      <c r="N278" t="n">
        <v>0</v>
      </c>
      <c r="O278" t="n">
        <v>0</v>
      </c>
      <c r="P278" t="n">
        <v>0</v>
      </c>
      <c r="Q278" t="n">
        <v>0</v>
      </c>
      <c r="R278" s="2" t="inlineStr"/>
    </row>
    <row r="279" ht="15" customHeight="1">
      <c r="A279" t="inlineStr">
        <is>
          <t>A 35141-2025</t>
        </is>
      </c>
      <c r="B279" s="1" t="n">
        <v>45852.65206018519</v>
      </c>
      <c r="C279" s="1" t="n">
        <v>45989</v>
      </c>
      <c r="D279" t="inlineStr">
        <is>
          <t>GOTLANDS LÄN</t>
        </is>
      </c>
      <c r="E279" t="inlineStr">
        <is>
          <t>GOTLAND</t>
        </is>
      </c>
      <c r="G279" t="n">
        <v>1</v>
      </c>
      <c r="H279" t="n">
        <v>0</v>
      </c>
      <c r="I279" t="n">
        <v>0</v>
      </c>
      <c r="J279" t="n">
        <v>0</v>
      </c>
      <c r="K279" t="n">
        <v>0</v>
      </c>
      <c r="L279" t="n">
        <v>0</v>
      </c>
      <c r="M279" t="n">
        <v>0</v>
      </c>
      <c r="N279" t="n">
        <v>0</v>
      </c>
      <c r="O279" t="n">
        <v>0</v>
      </c>
      <c r="P279" t="n">
        <v>0</v>
      </c>
      <c r="Q279" t="n">
        <v>0</v>
      </c>
      <c r="R279" s="2" t="inlineStr"/>
    </row>
    <row r="280" ht="15" customHeight="1">
      <c r="A280" t="inlineStr">
        <is>
          <t>A 35142-2025</t>
        </is>
      </c>
      <c r="B280" s="1" t="n">
        <v>45852.65532407408</v>
      </c>
      <c r="C280" s="1" t="n">
        <v>45989</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45989</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45989</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26465-2025</t>
        </is>
      </c>
      <c r="B283" s="1" t="n">
        <v>45807.44377314814</v>
      </c>
      <c r="C283" s="1" t="n">
        <v>45989</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39819-2025</t>
        </is>
      </c>
      <c r="B284" s="1" t="n">
        <v>45891.53418981482</v>
      </c>
      <c r="C284" s="1" t="n">
        <v>45989</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26660-2025</t>
        </is>
      </c>
      <c r="B285" s="1" t="n">
        <v>45810.39737268518</v>
      </c>
      <c r="C285" s="1" t="n">
        <v>45989</v>
      </c>
      <c r="D285" t="inlineStr">
        <is>
          <t>GOTLANDS LÄN</t>
        </is>
      </c>
      <c r="E285" t="inlineStr">
        <is>
          <t>GOTLAND</t>
        </is>
      </c>
      <c r="G285" t="n">
        <v>1.8</v>
      </c>
      <c r="H285" t="n">
        <v>0</v>
      </c>
      <c r="I285" t="n">
        <v>0</v>
      </c>
      <c r="J285" t="n">
        <v>0</v>
      </c>
      <c r="K285" t="n">
        <v>0</v>
      </c>
      <c r="L285" t="n">
        <v>0</v>
      </c>
      <c r="M285" t="n">
        <v>0</v>
      </c>
      <c r="N285" t="n">
        <v>0</v>
      </c>
      <c r="O285" t="n">
        <v>0</v>
      </c>
      <c r="P285" t="n">
        <v>0</v>
      </c>
      <c r="Q285" t="n">
        <v>0</v>
      </c>
      <c r="R285" s="2" t="inlineStr"/>
    </row>
    <row r="286" ht="15" customHeight="1">
      <c r="A286" t="inlineStr">
        <is>
          <t>A 58388-2022</t>
        </is>
      </c>
      <c r="B286" s="1" t="n">
        <v>44894</v>
      </c>
      <c r="C286" s="1" t="n">
        <v>45989</v>
      </c>
      <c r="D286" t="inlineStr">
        <is>
          <t>GOTLANDS LÄN</t>
        </is>
      </c>
      <c r="E286" t="inlineStr">
        <is>
          <t>GOTLAND</t>
        </is>
      </c>
      <c r="F286" t="inlineStr">
        <is>
          <t>Övriga statliga verk och myndigheter</t>
        </is>
      </c>
      <c r="G286" t="n">
        <v>3.1</v>
      </c>
      <c r="H286" t="n">
        <v>0</v>
      </c>
      <c r="I286" t="n">
        <v>0</v>
      </c>
      <c r="J286" t="n">
        <v>0</v>
      </c>
      <c r="K286" t="n">
        <v>0</v>
      </c>
      <c r="L286" t="n">
        <v>0</v>
      </c>
      <c r="M286" t="n">
        <v>0</v>
      </c>
      <c r="N286" t="n">
        <v>0</v>
      </c>
      <c r="O286" t="n">
        <v>0</v>
      </c>
      <c r="P286" t="n">
        <v>0</v>
      </c>
      <c r="Q286" t="n">
        <v>0</v>
      </c>
      <c r="R286" s="2" t="inlineStr"/>
    </row>
    <row r="287" ht="15" customHeight="1">
      <c r="A287" t="inlineStr">
        <is>
          <t>A 39814-2025</t>
        </is>
      </c>
      <c r="B287" s="1" t="n">
        <v>45891.52694444444</v>
      </c>
      <c r="C287" s="1" t="n">
        <v>45989</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39849-2025</t>
        </is>
      </c>
      <c r="B288" s="1" t="n">
        <v>45891.58502314815</v>
      </c>
      <c r="C288" s="1" t="n">
        <v>45989</v>
      </c>
      <c r="D288" t="inlineStr">
        <is>
          <t>GOTLANDS LÄN</t>
        </is>
      </c>
      <c r="E288" t="inlineStr">
        <is>
          <t>GOTLAND</t>
        </is>
      </c>
      <c r="G288" t="n">
        <v>6.1</v>
      </c>
      <c r="H288" t="n">
        <v>0</v>
      </c>
      <c r="I288" t="n">
        <v>0</v>
      </c>
      <c r="J288" t="n">
        <v>0</v>
      </c>
      <c r="K288" t="n">
        <v>0</v>
      </c>
      <c r="L288" t="n">
        <v>0</v>
      </c>
      <c r="M288" t="n">
        <v>0</v>
      </c>
      <c r="N288" t="n">
        <v>0</v>
      </c>
      <c r="O288" t="n">
        <v>0</v>
      </c>
      <c r="P288" t="n">
        <v>0</v>
      </c>
      <c r="Q288" t="n">
        <v>0</v>
      </c>
      <c r="R288" s="2" t="inlineStr"/>
    </row>
    <row r="289" ht="15" customHeight="1">
      <c r="A289" t="inlineStr">
        <is>
          <t>A 39752-2025</t>
        </is>
      </c>
      <c r="B289" s="1" t="n">
        <v>45891</v>
      </c>
      <c r="C289" s="1" t="n">
        <v>45989</v>
      </c>
      <c r="D289" t="inlineStr">
        <is>
          <t>GOTLANDS LÄN</t>
        </is>
      </c>
      <c r="E289" t="inlineStr">
        <is>
          <t>GOTLAND</t>
        </is>
      </c>
      <c r="G289" t="n">
        <v>5.3</v>
      </c>
      <c r="H289" t="n">
        <v>0</v>
      </c>
      <c r="I289" t="n">
        <v>0</v>
      </c>
      <c r="J289" t="n">
        <v>0</v>
      </c>
      <c r="K289" t="n">
        <v>0</v>
      </c>
      <c r="L289" t="n">
        <v>0</v>
      </c>
      <c r="M289" t="n">
        <v>0</v>
      </c>
      <c r="N289" t="n">
        <v>0</v>
      </c>
      <c r="O289" t="n">
        <v>0</v>
      </c>
      <c r="P289" t="n">
        <v>0</v>
      </c>
      <c r="Q289" t="n">
        <v>0</v>
      </c>
      <c r="R289" s="2" t="inlineStr"/>
    </row>
    <row r="290" ht="15" customHeight="1">
      <c r="A290" t="inlineStr">
        <is>
          <t>A 21792-2024</t>
        </is>
      </c>
      <c r="B290" s="1" t="n">
        <v>45442.64326388889</v>
      </c>
      <c r="C290" s="1" t="n">
        <v>45989</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38649-2025</t>
        </is>
      </c>
      <c r="B291" s="1" t="n">
        <v>45884</v>
      </c>
      <c r="C291" s="1" t="n">
        <v>45989</v>
      </c>
      <c r="D291" t="inlineStr">
        <is>
          <t>GOTLANDS LÄN</t>
        </is>
      </c>
      <c r="E291" t="inlineStr">
        <is>
          <t>GOTLAND</t>
        </is>
      </c>
      <c r="G291" t="n">
        <v>1.5</v>
      </c>
      <c r="H291" t="n">
        <v>0</v>
      </c>
      <c r="I291" t="n">
        <v>0</v>
      </c>
      <c r="J291" t="n">
        <v>0</v>
      </c>
      <c r="K291" t="n">
        <v>0</v>
      </c>
      <c r="L291" t="n">
        <v>0</v>
      </c>
      <c r="M291" t="n">
        <v>0</v>
      </c>
      <c r="N291" t="n">
        <v>0</v>
      </c>
      <c r="O291" t="n">
        <v>0</v>
      </c>
      <c r="P291" t="n">
        <v>0</v>
      </c>
      <c r="Q291" t="n">
        <v>0</v>
      </c>
      <c r="R291" s="2" t="inlineStr"/>
    </row>
    <row r="292" ht="15" customHeight="1">
      <c r="A292" t="inlineStr">
        <is>
          <t>A 39816-2025</t>
        </is>
      </c>
      <c r="B292" s="1" t="n">
        <v>45891</v>
      </c>
      <c r="C292" s="1" t="n">
        <v>45989</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40103-2025</t>
        </is>
      </c>
      <c r="B293" s="1" t="n">
        <v>45894.4880324074</v>
      </c>
      <c r="C293" s="1" t="n">
        <v>45989</v>
      </c>
      <c r="D293" t="inlineStr">
        <is>
          <t>GOTLANDS LÄN</t>
        </is>
      </c>
      <c r="E293" t="inlineStr">
        <is>
          <t>GOTLAND</t>
        </is>
      </c>
      <c r="G293" t="n">
        <v>0.9</v>
      </c>
      <c r="H293" t="n">
        <v>0</v>
      </c>
      <c r="I293" t="n">
        <v>0</v>
      </c>
      <c r="J293" t="n">
        <v>0</v>
      </c>
      <c r="K293" t="n">
        <v>0</v>
      </c>
      <c r="L293" t="n">
        <v>0</v>
      </c>
      <c r="M293" t="n">
        <v>0</v>
      </c>
      <c r="N293" t="n">
        <v>0</v>
      </c>
      <c r="O293" t="n">
        <v>0</v>
      </c>
      <c r="P293" t="n">
        <v>0</v>
      </c>
      <c r="Q293" t="n">
        <v>0</v>
      </c>
      <c r="R293" s="2" t="inlineStr"/>
    </row>
    <row r="294" ht="15" customHeight="1">
      <c r="A294" t="inlineStr">
        <is>
          <t>A 40373-2025</t>
        </is>
      </c>
      <c r="B294" s="1" t="n">
        <v>45895.51821759259</v>
      </c>
      <c r="C294" s="1" t="n">
        <v>45989</v>
      </c>
      <c r="D294" t="inlineStr">
        <is>
          <t>GOTLANDS LÄN</t>
        </is>
      </c>
      <c r="E294" t="inlineStr">
        <is>
          <t>GOTLAND</t>
        </is>
      </c>
      <c r="G294" t="n">
        <v>0.6</v>
      </c>
      <c r="H294" t="n">
        <v>0</v>
      </c>
      <c r="I294" t="n">
        <v>0</v>
      </c>
      <c r="J294" t="n">
        <v>0</v>
      </c>
      <c r="K294" t="n">
        <v>0</v>
      </c>
      <c r="L294" t="n">
        <v>0</v>
      </c>
      <c r="M294" t="n">
        <v>0</v>
      </c>
      <c r="N294" t="n">
        <v>0</v>
      </c>
      <c r="O294" t="n">
        <v>0</v>
      </c>
      <c r="P294" t="n">
        <v>0</v>
      </c>
      <c r="Q294" t="n">
        <v>0</v>
      </c>
      <c r="R294" s="2" t="inlineStr"/>
    </row>
    <row r="295" ht="15" customHeight="1">
      <c r="A295" t="inlineStr">
        <is>
          <t>A 40499-2025</t>
        </is>
      </c>
      <c r="B295" s="1" t="n">
        <v>45896.32517361111</v>
      </c>
      <c r="C295" s="1" t="n">
        <v>45989</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40372-2025</t>
        </is>
      </c>
      <c r="B296" s="1" t="n">
        <v>45895.5162037037</v>
      </c>
      <c r="C296" s="1" t="n">
        <v>45989</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27371-2025</t>
        </is>
      </c>
      <c r="B297" s="1" t="n">
        <v>45812</v>
      </c>
      <c r="C297" s="1" t="n">
        <v>45989</v>
      </c>
      <c r="D297" t="inlineStr">
        <is>
          <t>GOTLANDS LÄN</t>
        </is>
      </c>
      <c r="E297" t="inlineStr">
        <is>
          <t>GOTLAND</t>
        </is>
      </c>
      <c r="G297" t="n">
        <v>8</v>
      </c>
      <c r="H297" t="n">
        <v>0</v>
      </c>
      <c r="I297" t="n">
        <v>0</v>
      </c>
      <c r="J297" t="n">
        <v>0</v>
      </c>
      <c r="K297" t="n">
        <v>0</v>
      </c>
      <c r="L297" t="n">
        <v>0</v>
      </c>
      <c r="M297" t="n">
        <v>0</v>
      </c>
      <c r="N297" t="n">
        <v>0</v>
      </c>
      <c r="O297" t="n">
        <v>0</v>
      </c>
      <c r="P297" t="n">
        <v>0</v>
      </c>
      <c r="Q297" t="n">
        <v>0</v>
      </c>
      <c r="R297" s="2" t="inlineStr"/>
    </row>
    <row r="298" ht="15" customHeight="1">
      <c r="A298" t="inlineStr">
        <is>
          <t>A 27355-2025</t>
        </is>
      </c>
      <c r="B298" s="1" t="n">
        <v>45812</v>
      </c>
      <c r="C298" s="1" t="n">
        <v>45989</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6739-2025</t>
        </is>
      </c>
      <c r="B299" s="1" t="n">
        <v>45700</v>
      </c>
      <c r="C299" s="1" t="n">
        <v>45989</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7850-2025</t>
        </is>
      </c>
      <c r="B300" s="1" t="n">
        <v>45706</v>
      </c>
      <c r="C300" s="1" t="n">
        <v>45989</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17688-2024</t>
        </is>
      </c>
      <c r="B301" s="1" t="n">
        <v>45418.43575231481</v>
      </c>
      <c r="C301" s="1" t="n">
        <v>45989</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39278-2025</t>
        </is>
      </c>
      <c r="B302" s="1" t="n">
        <v>45889</v>
      </c>
      <c r="C302" s="1" t="n">
        <v>45989</v>
      </c>
      <c r="D302" t="inlineStr">
        <is>
          <t>GOTLANDS LÄN</t>
        </is>
      </c>
      <c r="E302" t="inlineStr">
        <is>
          <t>GOTLAND</t>
        </is>
      </c>
      <c r="G302" t="n">
        <v>3.7</v>
      </c>
      <c r="H302" t="n">
        <v>0</v>
      </c>
      <c r="I302" t="n">
        <v>0</v>
      </c>
      <c r="J302" t="n">
        <v>0</v>
      </c>
      <c r="K302" t="n">
        <v>0</v>
      </c>
      <c r="L302" t="n">
        <v>0</v>
      </c>
      <c r="M302" t="n">
        <v>0</v>
      </c>
      <c r="N302" t="n">
        <v>0</v>
      </c>
      <c r="O302" t="n">
        <v>0</v>
      </c>
      <c r="P302" t="n">
        <v>0</v>
      </c>
      <c r="Q302" t="n">
        <v>0</v>
      </c>
      <c r="R302" s="2" t="inlineStr"/>
    </row>
    <row r="303" ht="15" customHeight="1">
      <c r="A303" t="inlineStr">
        <is>
          <t>A 7837-2024</t>
        </is>
      </c>
      <c r="B303" s="1" t="n">
        <v>45349.83787037037</v>
      </c>
      <c r="C303" s="1" t="n">
        <v>45989</v>
      </c>
      <c r="D303" t="inlineStr">
        <is>
          <t>GOTLANDS LÄN</t>
        </is>
      </c>
      <c r="E303" t="inlineStr">
        <is>
          <t>GOTLAND</t>
        </is>
      </c>
      <c r="G303" t="n">
        <v>5</v>
      </c>
      <c r="H303" t="n">
        <v>0</v>
      </c>
      <c r="I303" t="n">
        <v>0</v>
      </c>
      <c r="J303" t="n">
        <v>0</v>
      </c>
      <c r="K303" t="n">
        <v>0</v>
      </c>
      <c r="L303" t="n">
        <v>0</v>
      </c>
      <c r="M303" t="n">
        <v>0</v>
      </c>
      <c r="N303" t="n">
        <v>0</v>
      </c>
      <c r="O303" t="n">
        <v>0</v>
      </c>
      <c r="P303" t="n">
        <v>0</v>
      </c>
      <c r="Q303" t="n">
        <v>0</v>
      </c>
      <c r="R303" s="2" t="inlineStr"/>
    </row>
    <row r="304" ht="15" customHeight="1">
      <c r="A304" t="inlineStr">
        <is>
          <t>A 8444-2025</t>
        </is>
      </c>
      <c r="B304" s="1" t="n">
        <v>45709</v>
      </c>
      <c r="C304" s="1" t="n">
        <v>45989</v>
      </c>
      <c r="D304" t="inlineStr">
        <is>
          <t>GOTLANDS LÄN</t>
        </is>
      </c>
      <c r="E304" t="inlineStr">
        <is>
          <t>GOTLAND</t>
        </is>
      </c>
      <c r="G304" t="n">
        <v>5.2</v>
      </c>
      <c r="H304" t="n">
        <v>0</v>
      </c>
      <c r="I304" t="n">
        <v>0</v>
      </c>
      <c r="J304" t="n">
        <v>0</v>
      </c>
      <c r="K304" t="n">
        <v>0</v>
      </c>
      <c r="L304" t="n">
        <v>0</v>
      </c>
      <c r="M304" t="n">
        <v>0</v>
      </c>
      <c r="N304" t="n">
        <v>0</v>
      </c>
      <c r="O304" t="n">
        <v>0</v>
      </c>
      <c r="P304" t="n">
        <v>0</v>
      </c>
      <c r="Q304" t="n">
        <v>0</v>
      </c>
      <c r="R304" s="2" t="inlineStr"/>
    </row>
    <row r="305" ht="15" customHeight="1">
      <c r="A305" t="inlineStr">
        <is>
          <t>A 4568-2025</t>
        </is>
      </c>
      <c r="B305" s="1" t="n">
        <v>45687</v>
      </c>
      <c r="C305" s="1" t="n">
        <v>45989</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41435-2025</t>
        </is>
      </c>
      <c r="B306" s="1" t="n">
        <v>45901.39974537037</v>
      </c>
      <c r="C306" s="1" t="n">
        <v>45989</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19905-2025</t>
        </is>
      </c>
      <c r="B307" s="1" t="n">
        <v>45771</v>
      </c>
      <c r="C307" s="1" t="n">
        <v>45989</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35512-2023</t>
        </is>
      </c>
      <c r="B308" s="1" t="n">
        <v>45147.25623842593</v>
      </c>
      <c r="C308" s="1" t="n">
        <v>45989</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45989</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5905-2024</t>
        </is>
      </c>
      <c r="B310" s="1" t="n">
        <v>45335.88993055555</v>
      </c>
      <c r="C310" s="1" t="n">
        <v>45989</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29196-2025</t>
        </is>
      </c>
      <c r="B311" s="1" t="n">
        <v>45822</v>
      </c>
      <c r="C311" s="1" t="n">
        <v>45989</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29207-2025</t>
        </is>
      </c>
      <c r="B312" s="1" t="n">
        <v>45823</v>
      </c>
      <c r="C312" s="1" t="n">
        <v>45989</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1291-2023</t>
        </is>
      </c>
      <c r="B313" s="1" t="n">
        <v>44936.47561342592</v>
      </c>
      <c r="C313" s="1" t="n">
        <v>45989</v>
      </c>
      <c r="D313" t="inlineStr">
        <is>
          <t>GOTLANDS LÄN</t>
        </is>
      </c>
      <c r="E313" t="inlineStr">
        <is>
          <t>GOTLAND</t>
        </is>
      </c>
      <c r="G313" t="n">
        <v>7.4</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45989</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30061-2025</t>
        </is>
      </c>
      <c r="B315" s="1" t="n">
        <v>45826.61488425926</v>
      </c>
      <c r="C315" s="1" t="n">
        <v>45989</v>
      </c>
      <c r="D315" t="inlineStr">
        <is>
          <t>GOTLANDS LÄN</t>
        </is>
      </c>
      <c r="E315" t="inlineStr">
        <is>
          <t>GOTLAND</t>
        </is>
      </c>
      <c r="G315" t="n">
        <v>4.1</v>
      </c>
      <c r="H315" t="n">
        <v>0</v>
      </c>
      <c r="I315" t="n">
        <v>0</v>
      </c>
      <c r="J315" t="n">
        <v>0</v>
      </c>
      <c r="K315" t="n">
        <v>0</v>
      </c>
      <c r="L315" t="n">
        <v>0</v>
      </c>
      <c r="M315" t="n">
        <v>0</v>
      </c>
      <c r="N315" t="n">
        <v>0</v>
      </c>
      <c r="O315" t="n">
        <v>0</v>
      </c>
      <c r="P315" t="n">
        <v>0</v>
      </c>
      <c r="Q315" t="n">
        <v>0</v>
      </c>
      <c r="R315" s="2" t="inlineStr"/>
    </row>
    <row r="316" ht="15" customHeight="1">
      <c r="A316" t="inlineStr">
        <is>
          <t>A 51262-2025</t>
        </is>
      </c>
      <c r="B316" s="1" t="n">
        <v>45949.49872685185</v>
      </c>
      <c r="C316" s="1" t="n">
        <v>45989</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49315-2024</t>
        </is>
      </c>
      <c r="B317" s="1" t="n">
        <v>45595</v>
      </c>
      <c r="C317" s="1" t="n">
        <v>45989</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45106-2024</t>
        </is>
      </c>
      <c r="B318" s="1" t="n">
        <v>45575</v>
      </c>
      <c r="C318" s="1" t="n">
        <v>45989</v>
      </c>
      <c r="D318" t="inlineStr">
        <is>
          <t>GOTLANDS LÄN</t>
        </is>
      </c>
      <c r="E318" t="inlineStr">
        <is>
          <t>GOTLAND</t>
        </is>
      </c>
      <c r="G318" t="n">
        <v>10</v>
      </c>
      <c r="H318" t="n">
        <v>0</v>
      </c>
      <c r="I318" t="n">
        <v>0</v>
      </c>
      <c r="J318" t="n">
        <v>0</v>
      </c>
      <c r="K318" t="n">
        <v>0</v>
      </c>
      <c r="L318" t="n">
        <v>0</v>
      </c>
      <c r="M318" t="n">
        <v>0</v>
      </c>
      <c r="N318" t="n">
        <v>0</v>
      </c>
      <c r="O318" t="n">
        <v>0</v>
      </c>
      <c r="P318" t="n">
        <v>0</v>
      </c>
      <c r="Q318" t="n">
        <v>0</v>
      </c>
      <c r="R318" s="2" t="inlineStr"/>
    </row>
    <row r="319" ht="15" customHeight="1">
      <c r="A319" t="inlineStr">
        <is>
          <t>A 45112-2024</t>
        </is>
      </c>
      <c r="B319" s="1" t="n">
        <v>45575</v>
      </c>
      <c r="C319" s="1" t="n">
        <v>45989</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58160-2024</t>
        </is>
      </c>
      <c r="B320" s="1" t="n">
        <v>45632.44927083333</v>
      </c>
      <c r="C320" s="1" t="n">
        <v>45989</v>
      </c>
      <c r="D320" t="inlineStr">
        <is>
          <t>GOTLANDS LÄN</t>
        </is>
      </c>
      <c r="E320" t="inlineStr">
        <is>
          <t>GOTLAND</t>
        </is>
      </c>
      <c r="G320" t="n">
        <v>5.6</v>
      </c>
      <c r="H320" t="n">
        <v>0</v>
      </c>
      <c r="I320" t="n">
        <v>0</v>
      </c>
      <c r="J320" t="n">
        <v>0</v>
      </c>
      <c r="K320" t="n">
        <v>0</v>
      </c>
      <c r="L320" t="n">
        <v>0</v>
      </c>
      <c r="M320" t="n">
        <v>0</v>
      </c>
      <c r="N320" t="n">
        <v>0</v>
      </c>
      <c r="O320" t="n">
        <v>0</v>
      </c>
      <c r="P320" t="n">
        <v>0</v>
      </c>
      <c r="Q320" t="n">
        <v>0</v>
      </c>
      <c r="R320" s="2" t="inlineStr"/>
    </row>
    <row r="321" ht="15" customHeight="1">
      <c r="A321" t="inlineStr">
        <is>
          <t>A 2676-2023</t>
        </is>
      </c>
      <c r="B321" s="1" t="n">
        <v>44944</v>
      </c>
      <c r="C321" s="1" t="n">
        <v>45989</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3150-2025</t>
        </is>
      </c>
      <c r="B322" s="1" t="n">
        <v>45679.28974537037</v>
      </c>
      <c r="C322" s="1" t="n">
        <v>45989</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42608-2025</t>
        </is>
      </c>
      <c r="B323" s="1" t="n">
        <v>45905</v>
      </c>
      <c r="C323" s="1" t="n">
        <v>45989</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8484-2025</t>
        </is>
      </c>
      <c r="B324" s="1" t="n">
        <v>45709</v>
      </c>
      <c r="C324" s="1" t="n">
        <v>45989</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7635-2025</t>
        </is>
      </c>
      <c r="B325" s="1" t="n">
        <v>45705</v>
      </c>
      <c r="C325" s="1" t="n">
        <v>45989</v>
      </c>
      <c r="D325" t="inlineStr">
        <is>
          <t>GOTLANDS LÄN</t>
        </is>
      </c>
      <c r="E325" t="inlineStr">
        <is>
          <t>GOTLAND</t>
        </is>
      </c>
      <c r="G325" t="n">
        <v>0.9</v>
      </c>
      <c r="H325" t="n">
        <v>0</v>
      </c>
      <c r="I325" t="n">
        <v>0</v>
      </c>
      <c r="J325" t="n">
        <v>0</v>
      </c>
      <c r="K325" t="n">
        <v>0</v>
      </c>
      <c r="L325" t="n">
        <v>0</v>
      </c>
      <c r="M325" t="n">
        <v>0</v>
      </c>
      <c r="N325" t="n">
        <v>0</v>
      </c>
      <c r="O325" t="n">
        <v>0</v>
      </c>
      <c r="P325" t="n">
        <v>0</v>
      </c>
      <c r="Q325" t="n">
        <v>0</v>
      </c>
      <c r="R325" s="2" t="inlineStr"/>
    </row>
    <row r="326" ht="15" customHeight="1">
      <c r="A326" t="inlineStr">
        <is>
          <t>A 7636-2025</t>
        </is>
      </c>
      <c r="B326" s="1" t="n">
        <v>45705.7687962963</v>
      </c>
      <c r="C326" s="1" t="n">
        <v>45989</v>
      </c>
      <c r="D326" t="inlineStr">
        <is>
          <t>GOTLANDS LÄN</t>
        </is>
      </c>
      <c r="E326" t="inlineStr">
        <is>
          <t>GOTLAND</t>
        </is>
      </c>
      <c r="G326" t="n">
        <v>0.6</v>
      </c>
      <c r="H326" t="n">
        <v>0</v>
      </c>
      <c r="I326" t="n">
        <v>0</v>
      </c>
      <c r="J326" t="n">
        <v>0</v>
      </c>
      <c r="K326" t="n">
        <v>0</v>
      </c>
      <c r="L326" t="n">
        <v>0</v>
      </c>
      <c r="M326" t="n">
        <v>0</v>
      </c>
      <c r="N326" t="n">
        <v>0</v>
      </c>
      <c r="O326" t="n">
        <v>0</v>
      </c>
      <c r="P326" t="n">
        <v>0</v>
      </c>
      <c r="Q326" t="n">
        <v>0</v>
      </c>
      <c r="R326" s="2" t="inlineStr"/>
    </row>
    <row r="327" ht="15" customHeight="1">
      <c r="A327" t="inlineStr">
        <is>
          <t>A 7639-2025</t>
        </is>
      </c>
      <c r="B327" s="1" t="n">
        <v>45705.77465277778</v>
      </c>
      <c r="C327" s="1" t="n">
        <v>45989</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20356-2022</t>
        </is>
      </c>
      <c r="B328" s="1" t="n">
        <v>44699</v>
      </c>
      <c r="C328" s="1" t="n">
        <v>45989</v>
      </c>
      <c r="D328" t="inlineStr">
        <is>
          <t>GOTLANDS LÄN</t>
        </is>
      </c>
      <c r="E328" t="inlineStr">
        <is>
          <t>GOTLAND</t>
        </is>
      </c>
      <c r="F328" t="inlineStr">
        <is>
          <t>Övriga Aktiebolag</t>
        </is>
      </c>
      <c r="G328" t="n">
        <v>4.4</v>
      </c>
      <c r="H328" t="n">
        <v>0</v>
      </c>
      <c r="I328" t="n">
        <v>0</v>
      </c>
      <c r="J328" t="n">
        <v>0</v>
      </c>
      <c r="K328" t="n">
        <v>0</v>
      </c>
      <c r="L328" t="n">
        <v>0</v>
      </c>
      <c r="M328" t="n">
        <v>0</v>
      </c>
      <c r="N328" t="n">
        <v>0</v>
      </c>
      <c r="O328" t="n">
        <v>0</v>
      </c>
      <c r="P328" t="n">
        <v>0</v>
      </c>
      <c r="Q328" t="n">
        <v>0</v>
      </c>
      <c r="R328" s="2" t="inlineStr"/>
    </row>
    <row r="329" ht="15" customHeight="1">
      <c r="A329" t="inlineStr">
        <is>
          <t>A 48734-2022</t>
        </is>
      </c>
      <c r="B329" s="1" t="n">
        <v>44855</v>
      </c>
      <c r="C329" s="1" t="n">
        <v>45989</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45989</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29809-2022</t>
        </is>
      </c>
      <c r="B331" s="1" t="n">
        <v>44755.8713425926</v>
      </c>
      <c r="C331" s="1" t="n">
        <v>45989</v>
      </c>
      <c r="D331" t="inlineStr">
        <is>
          <t>GOTLANDS LÄN</t>
        </is>
      </c>
      <c r="E331" t="inlineStr">
        <is>
          <t>GOTLAND</t>
        </is>
      </c>
      <c r="G331" t="n">
        <v>11.5</v>
      </c>
      <c r="H331" t="n">
        <v>0</v>
      </c>
      <c r="I331" t="n">
        <v>0</v>
      </c>
      <c r="J331" t="n">
        <v>0</v>
      </c>
      <c r="K331" t="n">
        <v>0</v>
      </c>
      <c r="L331" t="n">
        <v>0</v>
      </c>
      <c r="M331" t="n">
        <v>0</v>
      </c>
      <c r="N331" t="n">
        <v>0</v>
      </c>
      <c r="O331" t="n">
        <v>0</v>
      </c>
      <c r="P331" t="n">
        <v>0</v>
      </c>
      <c r="Q331" t="n">
        <v>0</v>
      </c>
      <c r="R331" s="2" t="inlineStr"/>
    </row>
    <row r="332" ht="15" customHeight="1">
      <c r="A332" t="inlineStr">
        <is>
          <t>A 16373-2025</t>
        </is>
      </c>
      <c r="B332" s="1" t="n">
        <v>45751</v>
      </c>
      <c r="C332" s="1" t="n">
        <v>45989</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57685-2022</t>
        </is>
      </c>
      <c r="B333" s="1" t="n">
        <v>44897.4777662037</v>
      </c>
      <c r="C333" s="1" t="n">
        <v>45989</v>
      </c>
      <c r="D333" t="inlineStr">
        <is>
          <t>GOTLANDS LÄN</t>
        </is>
      </c>
      <c r="E333" t="inlineStr">
        <is>
          <t>GOTLAND</t>
        </is>
      </c>
      <c r="G333" t="n">
        <v>3.7</v>
      </c>
      <c r="H333" t="n">
        <v>0</v>
      </c>
      <c r="I333" t="n">
        <v>0</v>
      </c>
      <c r="J333" t="n">
        <v>0</v>
      </c>
      <c r="K333" t="n">
        <v>0</v>
      </c>
      <c r="L333" t="n">
        <v>0</v>
      </c>
      <c r="M333" t="n">
        <v>0</v>
      </c>
      <c r="N333" t="n">
        <v>0</v>
      </c>
      <c r="O333" t="n">
        <v>0</v>
      </c>
      <c r="P333" t="n">
        <v>0</v>
      </c>
      <c r="Q333" t="n">
        <v>0</v>
      </c>
      <c r="R333" s="2" t="inlineStr"/>
    </row>
    <row r="334" ht="15" customHeight="1">
      <c r="A334" t="inlineStr">
        <is>
          <t>A 32379-2025</t>
        </is>
      </c>
      <c r="B334" s="1" t="n">
        <v>45837</v>
      </c>
      <c r="C334" s="1" t="n">
        <v>45989</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52637-2025</t>
        </is>
      </c>
      <c r="B335" s="1" t="n">
        <v>45954.75099537037</v>
      </c>
      <c r="C335" s="1" t="n">
        <v>45989</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30815-2023</t>
        </is>
      </c>
      <c r="B336" s="1" t="n">
        <v>45112</v>
      </c>
      <c r="C336" s="1" t="n">
        <v>45989</v>
      </c>
      <c r="D336" t="inlineStr">
        <is>
          <t>GOTLANDS LÄN</t>
        </is>
      </c>
      <c r="E336" t="inlineStr">
        <is>
          <t>GOTLAND</t>
        </is>
      </c>
      <c r="G336" t="n">
        <v>6</v>
      </c>
      <c r="H336" t="n">
        <v>0</v>
      </c>
      <c r="I336" t="n">
        <v>0</v>
      </c>
      <c r="J336" t="n">
        <v>0</v>
      </c>
      <c r="K336" t="n">
        <v>0</v>
      </c>
      <c r="L336" t="n">
        <v>0</v>
      </c>
      <c r="M336" t="n">
        <v>0</v>
      </c>
      <c r="N336" t="n">
        <v>0</v>
      </c>
      <c r="O336" t="n">
        <v>0</v>
      </c>
      <c r="P336" t="n">
        <v>0</v>
      </c>
      <c r="Q336" t="n">
        <v>0</v>
      </c>
      <c r="R336" s="2" t="inlineStr"/>
    </row>
    <row r="337" ht="15" customHeight="1">
      <c r="A337" t="inlineStr">
        <is>
          <t>A 32467-2025</t>
        </is>
      </c>
      <c r="B337" s="1" t="n">
        <v>45838.42111111111</v>
      </c>
      <c r="C337" s="1" t="n">
        <v>45989</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52249-2025</t>
        </is>
      </c>
      <c r="B338" s="1" t="n">
        <v>45953.48637731482</v>
      </c>
      <c r="C338" s="1" t="n">
        <v>45989</v>
      </c>
      <c r="D338" t="inlineStr">
        <is>
          <t>GOTLANDS LÄN</t>
        </is>
      </c>
      <c r="E338" t="inlineStr">
        <is>
          <t>GOTLAND</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16109-2025</t>
        </is>
      </c>
      <c r="B339" s="1" t="n">
        <v>45750</v>
      </c>
      <c r="C339" s="1" t="n">
        <v>45989</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7034-2023</t>
        </is>
      </c>
      <c r="B340" s="1" t="n">
        <v>44968.32108796296</v>
      </c>
      <c r="C340" s="1" t="n">
        <v>45989</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7042-2023</t>
        </is>
      </c>
      <c r="B341" s="1" t="n">
        <v>44968</v>
      </c>
      <c r="C341" s="1" t="n">
        <v>45989</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23516-2023</t>
        </is>
      </c>
      <c r="B342" s="1" t="n">
        <v>45076.93391203704</v>
      </c>
      <c r="C342" s="1" t="n">
        <v>45989</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10158-2025</t>
        </is>
      </c>
      <c r="B343" s="1" t="n">
        <v>45719</v>
      </c>
      <c r="C343" s="1" t="n">
        <v>45989</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45989</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45278.33944444444</v>
      </c>
      <c r="C345" s="1" t="n">
        <v>45989</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33007-2025</t>
        </is>
      </c>
      <c r="B346" s="1" t="n">
        <v>45840</v>
      </c>
      <c r="C346" s="1" t="n">
        <v>45989</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43911-2025</t>
        </is>
      </c>
      <c r="B347" s="1" t="n">
        <v>45914.3881712963</v>
      </c>
      <c r="C347" s="1" t="n">
        <v>45989</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63229-2021</t>
        </is>
      </c>
      <c r="B348" s="1" t="n">
        <v>44508.34518518519</v>
      </c>
      <c r="C348" s="1" t="n">
        <v>45989</v>
      </c>
      <c r="D348" t="inlineStr">
        <is>
          <t>GOTLANDS LÄN</t>
        </is>
      </c>
      <c r="E348" t="inlineStr">
        <is>
          <t>GOTLAND</t>
        </is>
      </c>
      <c r="F348" t="inlineStr">
        <is>
          <t>Kyrkan</t>
        </is>
      </c>
      <c r="G348" t="n">
        <v>3.8</v>
      </c>
      <c r="H348" t="n">
        <v>0</v>
      </c>
      <c r="I348" t="n">
        <v>0</v>
      </c>
      <c r="J348" t="n">
        <v>0</v>
      </c>
      <c r="K348" t="n">
        <v>0</v>
      </c>
      <c r="L348" t="n">
        <v>0</v>
      </c>
      <c r="M348" t="n">
        <v>0</v>
      </c>
      <c r="N348" t="n">
        <v>0</v>
      </c>
      <c r="O348" t="n">
        <v>0</v>
      </c>
      <c r="P348" t="n">
        <v>0</v>
      </c>
      <c r="Q348" t="n">
        <v>0</v>
      </c>
      <c r="R348" s="2" t="inlineStr"/>
    </row>
    <row r="349" ht="15" customHeight="1">
      <c r="A349" t="inlineStr">
        <is>
          <t>A 46375-2024</t>
        </is>
      </c>
      <c r="B349" s="1" t="n">
        <v>45582</v>
      </c>
      <c r="C349" s="1" t="n">
        <v>45989</v>
      </c>
      <c r="D349" t="inlineStr">
        <is>
          <t>GOTLANDS LÄN</t>
        </is>
      </c>
      <c r="E349" t="inlineStr">
        <is>
          <t>GOTLAND</t>
        </is>
      </c>
      <c r="G349" t="n">
        <v>3</v>
      </c>
      <c r="H349" t="n">
        <v>0</v>
      </c>
      <c r="I349" t="n">
        <v>0</v>
      </c>
      <c r="J349" t="n">
        <v>0</v>
      </c>
      <c r="K349" t="n">
        <v>0</v>
      </c>
      <c r="L349" t="n">
        <v>0</v>
      </c>
      <c r="M349" t="n">
        <v>0</v>
      </c>
      <c r="N349" t="n">
        <v>0</v>
      </c>
      <c r="O349" t="n">
        <v>0</v>
      </c>
      <c r="P349" t="n">
        <v>0</v>
      </c>
      <c r="Q349" t="n">
        <v>0</v>
      </c>
      <c r="R349" s="2" t="inlineStr"/>
    </row>
    <row r="350" ht="15" customHeight="1">
      <c r="A350" t="inlineStr">
        <is>
          <t>A 44410-2025</t>
        </is>
      </c>
      <c r="B350" s="1" t="n">
        <v>45916.53699074074</v>
      </c>
      <c r="C350" s="1" t="n">
        <v>45989</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45989</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44405-2025</t>
        </is>
      </c>
      <c r="B352" s="1" t="n">
        <v>45916.52405092592</v>
      </c>
      <c r="C352" s="1" t="n">
        <v>45989</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53561-2025</t>
        </is>
      </c>
      <c r="B353" s="1" t="n">
        <v>45960.4059375</v>
      </c>
      <c r="C353" s="1" t="n">
        <v>45989</v>
      </c>
      <c r="D353" t="inlineStr">
        <is>
          <t>GOTLANDS LÄN</t>
        </is>
      </c>
      <c r="E353" t="inlineStr">
        <is>
          <t>GOTLAND</t>
        </is>
      </c>
      <c r="F353" t="inlineStr">
        <is>
          <t>Övriga Aktiebolag</t>
        </is>
      </c>
      <c r="G353" t="n">
        <v>2.4</v>
      </c>
      <c r="H353" t="n">
        <v>0</v>
      </c>
      <c r="I353" t="n">
        <v>0</v>
      </c>
      <c r="J353" t="n">
        <v>0</v>
      </c>
      <c r="K353" t="n">
        <v>0</v>
      </c>
      <c r="L353" t="n">
        <v>0</v>
      </c>
      <c r="M353" t="n">
        <v>0</v>
      </c>
      <c r="N353" t="n">
        <v>0</v>
      </c>
      <c r="O353" t="n">
        <v>0</v>
      </c>
      <c r="P353" t="n">
        <v>0</v>
      </c>
      <c r="Q353" t="n">
        <v>0</v>
      </c>
      <c r="R353" s="2" t="inlineStr"/>
    </row>
    <row r="354" ht="15" customHeight="1">
      <c r="A354" t="inlineStr">
        <is>
          <t>A 53569-2025</t>
        </is>
      </c>
      <c r="B354" s="1" t="n">
        <v>45960.41155092593</v>
      </c>
      <c r="C354" s="1" t="n">
        <v>45989</v>
      </c>
      <c r="D354" t="inlineStr">
        <is>
          <t>GOTLANDS LÄN</t>
        </is>
      </c>
      <c r="E354" t="inlineStr">
        <is>
          <t>GOTLAND</t>
        </is>
      </c>
      <c r="F354" t="inlineStr">
        <is>
          <t>Övriga Aktiebolag</t>
        </is>
      </c>
      <c r="G354" t="n">
        <v>11.3</v>
      </c>
      <c r="H354" t="n">
        <v>0</v>
      </c>
      <c r="I354" t="n">
        <v>0</v>
      </c>
      <c r="J354" t="n">
        <v>0</v>
      </c>
      <c r="K354" t="n">
        <v>0</v>
      </c>
      <c r="L354" t="n">
        <v>0</v>
      </c>
      <c r="M354" t="n">
        <v>0</v>
      </c>
      <c r="N354" t="n">
        <v>0</v>
      </c>
      <c r="O354" t="n">
        <v>0</v>
      </c>
      <c r="P354" t="n">
        <v>0</v>
      </c>
      <c r="Q354" t="n">
        <v>0</v>
      </c>
      <c r="R354" s="2" t="inlineStr"/>
    </row>
    <row r="355" ht="15" customHeight="1">
      <c r="A355" t="inlineStr">
        <is>
          <t>A 53577-2025</t>
        </is>
      </c>
      <c r="B355" s="1" t="n">
        <v>45960.42224537037</v>
      </c>
      <c r="C355" s="1" t="n">
        <v>45989</v>
      </c>
      <c r="D355" t="inlineStr">
        <is>
          <t>GOTLANDS LÄN</t>
        </is>
      </c>
      <c r="E355" t="inlineStr">
        <is>
          <t>GOTLAND</t>
        </is>
      </c>
      <c r="F355" t="inlineStr">
        <is>
          <t>Övriga Aktiebolag</t>
        </is>
      </c>
      <c r="G355" t="n">
        <v>3.3</v>
      </c>
      <c r="H355" t="n">
        <v>0</v>
      </c>
      <c r="I355" t="n">
        <v>0</v>
      </c>
      <c r="J355" t="n">
        <v>0</v>
      </c>
      <c r="K355" t="n">
        <v>0</v>
      </c>
      <c r="L355" t="n">
        <v>0</v>
      </c>
      <c r="M355" t="n">
        <v>0</v>
      </c>
      <c r="N355" t="n">
        <v>0</v>
      </c>
      <c r="O355" t="n">
        <v>0</v>
      </c>
      <c r="P355" t="n">
        <v>0</v>
      </c>
      <c r="Q355" t="n">
        <v>0</v>
      </c>
      <c r="R355" s="2" t="inlineStr"/>
    </row>
    <row r="356" ht="15" customHeight="1">
      <c r="A356" t="inlineStr">
        <is>
          <t>A 53587-2025</t>
        </is>
      </c>
      <c r="B356" s="1" t="n">
        <v>45960.43681712963</v>
      </c>
      <c r="C356" s="1" t="n">
        <v>45989</v>
      </c>
      <c r="D356" t="inlineStr">
        <is>
          <t>GOTLANDS LÄN</t>
        </is>
      </c>
      <c r="E356" t="inlineStr">
        <is>
          <t>GOTLAND</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15413-2025</t>
        </is>
      </c>
      <c r="B357" s="1" t="n">
        <v>45747.451875</v>
      </c>
      <c r="C357" s="1" t="n">
        <v>45989</v>
      </c>
      <c r="D357" t="inlineStr">
        <is>
          <t>GOTLANDS LÄN</t>
        </is>
      </c>
      <c r="E357" t="inlineStr">
        <is>
          <t>GOTLAND</t>
        </is>
      </c>
      <c r="G357" t="n">
        <v>0.6</v>
      </c>
      <c r="H357" t="n">
        <v>0</v>
      </c>
      <c r="I357" t="n">
        <v>0</v>
      </c>
      <c r="J357" t="n">
        <v>0</v>
      </c>
      <c r="K357" t="n">
        <v>0</v>
      </c>
      <c r="L357" t="n">
        <v>0</v>
      </c>
      <c r="M357" t="n">
        <v>0</v>
      </c>
      <c r="N357" t="n">
        <v>0</v>
      </c>
      <c r="O357" t="n">
        <v>0</v>
      </c>
      <c r="P357" t="n">
        <v>0</v>
      </c>
      <c r="Q357" t="n">
        <v>0</v>
      </c>
      <c r="R357" s="2" t="inlineStr"/>
    </row>
    <row r="358" ht="15" customHeight="1">
      <c r="A358" t="inlineStr">
        <is>
          <t>A 1734-2025</t>
        </is>
      </c>
      <c r="B358" s="1" t="n">
        <v>45671.3840625</v>
      </c>
      <c r="C358" s="1" t="n">
        <v>45989</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35123-2025</t>
        </is>
      </c>
      <c r="B359" s="1" t="n">
        <v>45852.614375</v>
      </c>
      <c r="C359" s="1" t="n">
        <v>45989</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35096-2025</t>
        </is>
      </c>
      <c r="B360" s="1" t="n">
        <v>45852.54356481481</v>
      </c>
      <c r="C360" s="1" t="n">
        <v>45989</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20993-2023</t>
        </is>
      </c>
      <c r="B361" s="1" t="n">
        <v>45056</v>
      </c>
      <c r="C361" s="1" t="n">
        <v>45989</v>
      </c>
      <c r="D361" t="inlineStr">
        <is>
          <t>GOTLANDS LÄN</t>
        </is>
      </c>
      <c r="E361" t="inlineStr">
        <is>
          <t>GOTLAND</t>
        </is>
      </c>
      <c r="G361" t="n">
        <v>7.1</v>
      </c>
      <c r="H361" t="n">
        <v>0</v>
      </c>
      <c r="I361" t="n">
        <v>0</v>
      </c>
      <c r="J361" t="n">
        <v>0</v>
      </c>
      <c r="K361" t="n">
        <v>0</v>
      </c>
      <c r="L361" t="n">
        <v>0</v>
      </c>
      <c r="M361" t="n">
        <v>0</v>
      </c>
      <c r="N361" t="n">
        <v>0</v>
      </c>
      <c r="O361" t="n">
        <v>0</v>
      </c>
      <c r="P361" t="n">
        <v>0</v>
      </c>
      <c r="Q361" t="n">
        <v>0</v>
      </c>
      <c r="R361" s="2" t="inlineStr"/>
    </row>
    <row r="362" ht="15" customHeight="1">
      <c r="A362" t="inlineStr">
        <is>
          <t>A 30104-2025</t>
        </is>
      </c>
      <c r="B362" s="1" t="n">
        <v>45826.68806712963</v>
      </c>
      <c r="C362" s="1" t="n">
        <v>45989</v>
      </c>
      <c r="D362" t="inlineStr">
        <is>
          <t>GOTLANDS LÄN</t>
        </is>
      </c>
      <c r="E362" t="inlineStr">
        <is>
          <t>GOTLAND</t>
        </is>
      </c>
      <c r="G362" t="n">
        <v>15.4</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45989</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32669-2024</t>
        </is>
      </c>
      <c r="B364" s="1" t="n">
        <v>45514</v>
      </c>
      <c r="C364" s="1" t="n">
        <v>45989</v>
      </c>
      <c r="D364" t="inlineStr">
        <is>
          <t>GOTLANDS LÄN</t>
        </is>
      </c>
      <c r="E364" t="inlineStr">
        <is>
          <t>GOTLAND</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35537-2025</t>
        </is>
      </c>
      <c r="B365" s="1" t="n">
        <v>45856</v>
      </c>
      <c r="C365" s="1" t="n">
        <v>45989</v>
      </c>
      <c r="D365" t="inlineStr">
        <is>
          <t>GOTLANDS LÄN</t>
        </is>
      </c>
      <c r="E365" t="inlineStr">
        <is>
          <t>GOTLAND</t>
        </is>
      </c>
      <c r="G365" t="n">
        <v>16.8</v>
      </c>
      <c r="H365" t="n">
        <v>0</v>
      </c>
      <c r="I365" t="n">
        <v>0</v>
      </c>
      <c r="J365" t="n">
        <v>0</v>
      </c>
      <c r="K365" t="n">
        <v>0</v>
      </c>
      <c r="L365" t="n">
        <v>0</v>
      </c>
      <c r="M365" t="n">
        <v>0</v>
      </c>
      <c r="N365" t="n">
        <v>0</v>
      </c>
      <c r="O365" t="n">
        <v>0</v>
      </c>
      <c r="P365" t="n">
        <v>0</v>
      </c>
      <c r="Q365" t="n">
        <v>0</v>
      </c>
      <c r="R365" s="2" t="inlineStr"/>
    </row>
    <row r="366" ht="15" customHeight="1">
      <c r="A366" t="inlineStr">
        <is>
          <t>A 12596-2023</t>
        </is>
      </c>
      <c r="B366" s="1" t="n">
        <v>45000.43310185185</v>
      </c>
      <c r="C366" s="1" t="n">
        <v>45989</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2125-2025</t>
        </is>
      </c>
      <c r="B367" s="1" t="n">
        <v>45672.64940972222</v>
      </c>
      <c r="C367" s="1" t="n">
        <v>45989</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12155-2023</t>
        </is>
      </c>
      <c r="B368" s="1" t="n">
        <v>44998.49106481481</v>
      </c>
      <c r="C368" s="1" t="n">
        <v>45989</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457-2023</t>
        </is>
      </c>
      <c r="B369" s="1" t="n">
        <v>44929.87238425926</v>
      </c>
      <c r="C369" s="1" t="n">
        <v>45989</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459-2023</t>
        </is>
      </c>
      <c r="B370" s="1" t="n">
        <v>44929.87423611111</v>
      </c>
      <c r="C370" s="1" t="n">
        <v>45989</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38234-2023</t>
        </is>
      </c>
      <c r="B371" s="1" t="n">
        <v>45161.56663194444</v>
      </c>
      <c r="C371" s="1" t="n">
        <v>45989</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50744-2024</t>
        </is>
      </c>
      <c r="B372" s="1" t="n">
        <v>45602.4187037037</v>
      </c>
      <c r="C372" s="1" t="n">
        <v>45989</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15216-2025</t>
        </is>
      </c>
      <c r="B373" s="1" t="n">
        <v>45744</v>
      </c>
      <c r="C373" s="1" t="n">
        <v>45989</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53934-2024</t>
        </is>
      </c>
      <c r="B374" s="1" t="n">
        <v>45615</v>
      </c>
      <c r="C374" s="1" t="n">
        <v>45989</v>
      </c>
      <c r="D374" t="inlineStr">
        <is>
          <t>GOTLANDS LÄN</t>
        </is>
      </c>
      <c r="E374" t="inlineStr">
        <is>
          <t>GOTLAND</t>
        </is>
      </c>
      <c r="G374" t="n">
        <v>5</v>
      </c>
      <c r="H374" t="n">
        <v>0</v>
      </c>
      <c r="I374" t="n">
        <v>0</v>
      </c>
      <c r="J374" t="n">
        <v>0</v>
      </c>
      <c r="K374" t="n">
        <v>0</v>
      </c>
      <c r="L374" t="n">
        <v>0</v>
      </c>
      <c r="M374" t="n">
        <v>0</v>
      </c>
      <c r="N374" t="n">
        <v>0</v>
      </c>
      <c r="O374" t="n">
        <v>0</v>
      </c>
      <c r="P374" t="n">
        <v>0</v>
      </c>
      <c r="Q374" t="n">
        <v>0</v>
      </c>
      <c r="R374" s="2" t="inlineStr"/>
    </row>
    <row r="375" ht="15" customHeight="1">
      <c r="A375" t="inlineStr">
        <is>
          <t>A 43790-2024</t>
        </is>
      </c>
      <c r="B375" s="1" t="n">
        <v>45571</v>
      </c>
      <c r="C375" s="1" t="n">
        <v>45989</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15001-2025</t>
        </is>
      </c>
      <c r="B376" s="1" t="n">
        <v>45743</v>
      </c>
      <c r="C376" s="1" t="n">
        <v>45989</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30488-2025</t>
        </is>
      </c>
      <c r="B377" s="1" t="n">
        <v>45830</v>
      </c>
      <c r="C377" s="1" t="n">
        <v>45989</v>
      </c>
      <c r="D377" t="inlineStr">
        <is>
          <t>GOTLANDS LÄN</t>
        </is>
      </c>
      <c r="E377" t="inlineStr">
        <is>
          <t>GOTLAND</t>
        </is>
      </c>
      <c r="F377" t="inlineStr">
        <is>
          <t>Kyrkan</t>
        </is>
      </c>
      <c r="G377" t="n">
        <v>3.9</v>
      </c>
      <c r="H377" t="n">
        <v>0</v>
      </c>
      <c r="I377" t="n">
        <v>0</v>
      </c>
      <c r="J377" t="n">
        <v>0</v>
      </c>
      <c r="K377" t="n">
        <v>0</v>
      </c>
      <c r="L377" t="n">
        <v>0</v>
      </c>
      <c r="M377" t="n">
        <v>0</v>
      </c>
      <c r="N377" t="n">
        <v>0</v>
      </c>
      <c r="O377" t="n">
        <v>0</v>
      </c>
      <c r="P377" t="n">
        <v>0</v>
      </c>
      <c r="Q377" t="n">
        <v>0</v>
      </c>
      <c r="R377" s="2" t="inlineStr"/>
    </row>
    <row r="378" ht="15" customHeight="1">
      <c r="A378" t="inlineStr">
        <is>
          <t>A 17847-2025</t>
        </is>
      </c>
      <c r="B378" s="1" t="n">
        <v>45758</v>
      </c>
      <c r="C378" s="1" t="n">
        <v>45989</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54584-2025</t>
        </is>
      </c>
      <c r="B379" s="1" t="n">
        <v>45965.71788194445</v>
      </c>
      <c r="C379" s="1" t="n">
        <v>45989</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18742-2025</t>
        </is>
      </c>
      <c r="B380" s="1" t="n">
        <v>45763</v>
      </c>
      <c r="C380" s="1" t="n">
        <v>45989</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36319-2025</t>
        </is>
      </c>
      <c r="B381" s="1" t="n">
        <v>45868</v>
      </c>
      <c r="C381" s="1" t="n">
        <v>45989</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35129-2025</t>
        </is>
      </c>
      <c r="B382" s="1" t="n">
        <v>45852.63224537037</v>
      </c>
      <c r="C382" s="1" t="n">
        <v>45989</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1446-2025</t>
        </is>
      </c>
      <c r="B383" s="1" t="n">
        <v>45669.86035879629</v>
      </c>
      <c r="C383" s="1" t="n">
        <v>45989</v>
      </c>
      <c r="D383" t="inlineStr">
        <is>
          <t>GOTLANDS LÄN</t>
        </is>
      </c>
      <c r="E383" t="inlineStr">
        <is>
          <t>GOTLAND</t>
        </is>
      </c>
      <c r="G383" t="n">
        <v>3.1</v>
      </c>
      <c r="H383" t="n">
        <v>0</v>
      </c>
      <c r="I383" t="n">
        <v>0</v>
      </c>
      <c r="J383" t="n">
        <v>0</v>
      </c>
      <c r="K383" t="n">
        <v>0</v>
      </c>
      <c r="L383" t="n">
        <v>0</v>
      </c>
      <c r="M383" t="n">
        <v>0</v>
      </c>
      <c r="N383" t="n">
        <v>0</v>
      </c>
      <c r="O383" t="n">
        <v>0</v>
      </c>
      <c r="P383" t="n">
        <v>0</v>
      </c>
      <c r="Q383" t="n">
        <v>0</v>
      </c>
      <c r="R383" s="2" t="inlineStr"/>
    </row>
    <row r="384" ht="15" customHeight="1">
      <c r="A384" t="inlineStr">
        <is>
          <t>A 31264-2021</t>
        </is>
      </c>
      <c r="B384" s="1" t="n">
        <v>44368</v>
      </c>
      <c r="C384" s="1" t="n">
        <v>45989</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26391-2025</t>
        </is>
      </c>
      <c r="B385" s="1" t="n">
        <v>45806</v>
      </c>
      <c r="C385" s="1" t="n">
        <v>45989</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43901-2023</t>
        </is>
      </c>
      <c r="B386" s="1" t="n">
        <v>45187</v>
      </c>
      <c r="C386" s="1" t="n">
        <v>45989</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10746-2025</t>
        </is>
      </c>
      <c r="B387" s="1" t="n">
        <v>45722.42766203704</v>
      </c>
      <c r="C387" s="1" t="n">
        <v>45989</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16501-2023</t>
        </is>
      </c>
      <c r="B388" s="1" t="n">
        <v>45029</v>
      </c>
      <c r="C388" s="1" t="n">
        <v>45989</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45989</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46836-2025</t>
        </is>
      </c>
      <c r="B390" s="1" t="n">
        <v>45928.31511574074</v>
      </c>
      <c r="C390" s="1" t="n">
        <v>45989</v>
      </c>
      <c r="D390" t="inlineStr">
        <is>
          <t>GOTLANDS LÄN</t>
        </is>
      </c>
      <c r="E390" t="inlineStr">
        <is>
          <t>GOTLAND</t>
        </is>
      </c>
      <c r="G390" t="n">
        <v>2.8</v>
      </c>
      <c r="H390" t="n">
        <v>0</v>
      </c>
      <c r="I390" t="n">
        <v>0</v>
      </c>
      <c r="J390" t="n">
        <v>0</v>
      </c>
      <c r="K390" t="n">
        <v>0</v>
      </c>
      <c r="L390" t="n">
        <v>0</v>
      </c>
      <c r="M390" t="n">
        <v>0</v>
      </c>
      <c r="N390" t="n">
        <v>0</v>
      </c>
      <c r="O390" t="n">
        <v>0</v>
      </c>
      <c r="P390" t="n">
        <v>0</v>
      </c>
      <c r="Q390" t="n">
        <v>0</v>
      </c>
      <c r="R390" s="2" t="inlineStr"/>
    </row>
    <row r="391" ht="15" customHeight="1">
      <c r="A391" t="inlineStr">
        <is>
          <t>A 61962-2024</t>
        </is>
      </c>
      <c r="B391" s="1" t="n">
        <v>45653.54340277778</v>
      </c>
      <c r="C391" s="1" t="n">
        <v>45989</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6108-2025</t>
        </is>
      </c>
      <c r="B392" s="1" t="n">
        <v>45698.29880787037</v>
      </c>
      <c r="C392" s="1" t="n">
        <v>45989</v>
      </c>
      <c r="D392" t="inlineStr">
        <is>
          <t>GOTLANDS LÄN</t>
        </is>
      </c>
      <c r="E392" t="inlineStr">
        <is>
          <t>GOTLAND</t>
        </is>
      </c>
      <c r="G392" t="n">
        <v>2.8</v>
      </c>
      <c r="H392" t="n">
        <v>0</v>
      </c>
      <c r="I392" t="n">
        <v>0</v>
      </c>
      <c r="J392" t="n">
        <v>0</v>
      </c>
      <c r="K392" t="n">
        <v>0</v>
      </c>
      <c r="L392" t="n">
        <v>0</v>
      </c>
      <c r="M392" t="n">
        <v>0</v>
      </c>
      <c r="N392" t="n">
        <v>0</v>
      </c>
      <c r="O392" t="n">
        <v>0</v>
      </c>
      <c r="P392" t="n">
        <v>0</v>
      </c>
      <c r="Q392" t="n">
        <v>0</v>
      </c>
      <c r="R392" s="2" t="inlineStr"/>
    </row>
    <row r="393" ht="15" customHeight="1">
      <c r="A393" t="inlineStr">
        <is>
          <t>A 21142-2025</t>
        </is>
      </c>
      <c r="B393" s="1" t="n">
        <v>45779</v>
      </c>
      <c r="C393" s="1" t="n">
        <v>45989</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10492-2023</t>
        </is>
      </c>
      <c r="B394" s="1" t="n">
        <v>44987</v>
      </c>
      <c r="C394" s="1" t="n">
        <v>45989</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17343-2025</t>
        </is>
      </c>
      <c r="B395" s="1" t="n">
        <v>45756.6687037037</v>
      </c>
      <c r="C395" s="1" t="n">
        <v>45989</v>
      </c>
      <c r="D395" t="inlineStr">
        <is>
          <t>GOTLANDS LÄN</t>
        </is>
      </c>
      <c r="E395" t="inlineStr">
        <is>
          <t>GOTLAND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18938-2025</t>
        </is>
      </c>
      <c r="B396" s="1" t="n">
        <v>45764.49172453704</v>
      </c>
      <c r="C396" s="1" t="n">
        <v>45989</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45989</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5909-2025</t>
        </is>
      </c>
      <c r="B398" s="1" t="n">
        <v>45695.40634259259</v>
      </c>
      <c r="C398" s="1" t="n">
        <v>45989</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10653-2023</t>
        </is>
      </c>
      <c r="B399" s="1" t="n">
        <v>44988.48859953704</v>
      </c>
      <c r="C399" s="1" t="n">
        <v>45989</v>
      </c>
      <c r="D399" t="inlineStr">
        <is>
          <t>GOTLANDS LÄN</t>
        </is>
      </c>
      <c r="E399" t="inlineStr">
        <is>
          <t>GOTLAND</t>
        </is>
      </c>
      <c r="F399" t="inlineStr">
        <is>
          <t>Kyrkan</t>
        </is>
      </c>
      <c r="G399" t="n">
        <v>3</v>
      </c>
      <c r="H399" t="n">
        <v>0</v>
      </c>
      <c r="I399" t="n">
        <v>0</v>
      </c>
      <c r="J399" t="n">
        <v>0</v>
      </c>
      <c r="K399" t="n">
        <v>0</v>
      </c>
      <c r="L399" t="n">
        <v>0</v>
      </c>
      <c r="M399" t="n">
        <v>0</v>
      </c>
      <c r="N399" t="n">
        <v>0</v>
      </c>
      <c r="O399" t="n">
        <v>0</v>
      </c>
      <c r="P399" t="n">
        <v>0</v>
      </c>
      <c r="Q399" t="n">
        <v>0</v>
      </c>
      <c r="R399" s="2" t="inlineStr"/>
    </row>
    <row r="400" ht="15" customHeight="1">
      <c r="A400" t="inlineStr">
        <is>
          <t>A 20307-2025</t>
        </is>
      </c>
      <c r="B400" s="1" t="n">
        <v>45774.95546296296</v>
      </c>
      <c r="C400" s="1" t="n">
        <v>45989</v>
      </c>
      <c r="D400" t="inlineStr">
        <is>
          <t>GOTLANDS LÄN</t>
        </is>
      </c>
      <c r="E400" t="inlineStr">
        <is>
          <t>GOTLAND</t>
        </is>
      </c>
      <c r="G400" t="n">
        <v>6.8</v>
      </c>
      <c r="H400" t="n">
        <v>0</v>
      </c>
      <c r="I400" t="n">
        <v>0</v>
      </c>
      <c r="J400" t="n">
        <v>0</v>
      </c>
      <c r="K400" t="n">
        <v>0</v>
      </c>
      <c r="L400" t="n">
        <v>0</v>
      </c>
      <c r="M400" t="n">
        <v>0</v>
      </c>
      <c r="N400" t="n">
        <v>0</v>
      </c>
      <c r="O400" t="n">
        <v>0</v>
      </c>
      <c r="P400" t="n">
        <v>0</v>
      </c>
      <c r="Q400" t="n">
        <v>0</v>
      </c>
      <c r="R400" s="2" t="inlineStr"/>
    </row>
    <row r="401" ht="15" customHeight="1">
      <c r="A401" t="inlineStr">
        <is>
          <t>A 4990-2025</t>
        </is>
      </c>
      <c r="B401" s="1" t="n">
        <v>45691</v>
      </c>
      <c r="C401" s="1" t="n">
        <v>45989</v>
      </c>
      <c r="D401" t="inlineStr">
        <is>
          <t>GOTLANDS LÄN</t>
        </is>
      </c>
      <c r="E401" t="inlineStr">
        <is>
          <t>GOTLAND</t>
        </is>
      </c>
      <c r="G401" t="n">
        <v>7.7</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45989</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43081-2022</t>
        </is>
      </c>
      <c r="B403" s="1" t="n">
        <v>44833</v>
      </c>
      <c r="C403" s="1" t="n">
        <v>45989</v>
      </c>
      <c r="D403" t="inlineStr">
        <is>
          <t>GOTLANDS LÄN</t>
        </is>
      </c>
      <c r="E403" t="inlineStr">
        <is>
          <t>GOTLAND</t>
        </is>
      </c>
      <c r="G403" t="n">
        <v>6.8</v>
      </c>
      <c r="H403" t="n">
        <v>0</v>
      </c>
      <c r="I403" t="n">
        <v>0</v>
      </c>
      <c r="J403" t="n">
        <v>0</v>
      </c>
      <c r="K403" t="n">
        <v>0</v>
      </c>
      <c r="L403" t="n">
        <v>0</v>
      </c>
      <c r="M403" t="n">
        <v>0</v>
      </c>
      <c r="N403" t="n">
        <v>0</v>
      </c>
      <c r="O403" t="n">
        <v>0</v>
      </c>
      <c r="P403" t="n">
        <v>0</v>
      </c>
      <c r="Q403" t="n">
        <v>0</v>
      </c>
      <c r="R403" s="2" t="inlineStr"/>
    </row>
    <row r="404" ht="15" customHeight="1">
      <c r="A404" t="inlineStr">
        <is>
          <t>A 32958-2021</t>
        </is>
      </c>
      <c r="B404" s="1" t="n">
        <v>44376</v>
      </c>
      <c r="C404" s="1" t="n">
        <v>45989</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5884-2025</t>
        </is>
      </c>
      <c r="B405" s="1" t="n">
        <v>45695.37482638889</v>
      </c>
      <c r="C405" s="1" t="n">
        <v>45989</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5897-2025</t>
        </is>
      </c>
      <c r="B406" s="1" t="n">
        <v>45695.39273148148</v>
      </c>
      <c r="C406" s="1" t="n">
        <v>45989</v>
      </c>
      <c r="D406" t="inlineStr">
        <is>
          <t>GOTLANDS LÄN</t>
        </is>
      </c>
      <c r="E406" t="inlineStr">
        <is>
          <t>GOTLAND</t>
        </is>
      </c>
      <c r="G406" t="n">
        <v>3.7</v>
      </c>
      <c r="H406" t="n">
        <v>0</v>
      </c>
      <c r="I406" t="n">
        <v>0</v>
      </c>
      <c r="J406" t="n">
        <v>0</v>
      </c>
      <c r="K406" t="n">
        <v>0</v>
      </c>
      <c r="L406" t="n">
        <v>0</v>
      </c>
      <c r="M406" t="n">
        <v>0</v>
      </c>
      <c r="N406" t="n">
        <v>0</v>
      </c>
      <c r="O406" t="n">
        <v>0</v>
      </c>
      <c r="P406" t="n">
        <v>0</v>
      </c>
      <c r="Q406" t="n">
        <v>0</v>
      </c>
      <c r="R406" s="2" t="inlineStr"/>
    </row>
    <row r="407" ht="15" customHeight="1">
      <c r="A407" t="inlineStr">
        <is>
          <t>A 47637-2025</t>
        </is>
      </c>
      <c r="B407" s="1" t="n">
        <v>45931.49753472222</v>
      </c>
      <c r="C407" s="1" t="n">
        <v>45989</v>
      </c>
      <c r="D407" t="inlineStr">
        <is>
          <t>GOTLANDS LÄN</t>
        </is>
      </c>
      <c r="E407" t="inlineStr">
        <is>
          <t>GOTLAND</t>
        </is>
      </c>
      <c r="G407" t="n">
        <v>1.3</v>
      </c>
      <c r="H407" t="n">
        <v>0</v>
      </c>
      <c r="I407" t="n">
        <v>0</v>
      </c>
      <c r="J407" t="n">
        <v>0</v>
      </c>
      <c r="K407" t="n">
        <v>0</v>
      </c>
      <c r="L407" t="n">
        <v>0</v>
      </c>
      <c r="M407" t="n">
        <v>0</v>
      </c>
      <c r="N407" t="n">
        <v>0</v>
      </c>
      <c r="O407" t="n">
        <v>0</v>
      </c>
      <c r="P407" t="n">
        <v>0</v>
      </c>
      <c r="Q407" t="n">
        <v>0</v>
      </c>
      <c r="R407" s="2" t="inlineStr"/>
    </row>
    <row r="408" ht="15" customHeight="1">
      <c r="A408" t="inlineStr">
        <is>
          <t>A 49693-2023</t>
        </is>
      </c>
      <c r="B408" s="1" t="n">
        <v>45212.38138888889</v>
      </c>
      <c r="C408" s="1" t="n">
        <v>45989</v>
      </c>
      <c r="D408" t="inlineStr">
        <is>
          <t>GOTLANDS LÄN</t>
        </is>
      </c>
      <c r="E408" t="inlineStr">
        <is>
          <t>GOTLAND</t>
        </is>
      </c>
      <c r="G408" t="n">
        <v>2.4</v>
      </c>
      <c r="H408" t="n">
        <v>0</v>
      </c>
      <c r="I408" t="n">
        <v>0</v>
      </c>
      <c r="J408" t="n">
        <v>0</v>
      </c>
      <c r="K408" t="n">
        <v>0</v>
      </c>
      <c r="L408" t="n">
        <v>0</v>
      </c>
      <c r="M408" t="n">
        <v>0</v>
      </c>
      <c r="N408" t="n">
        <v>0</v>
      </c>
      <c r="O408" t="n">
        <v>0</v>
      </c>
      <c r="P408" t="n">
        <v>0</v>
      </c>
      <c r="Q408" t="n">
        <v>0</v>
      </c>
      <c r="R408" s="2" t="inlineStr"/>
    </row>
    <row r="409" ht="15" customHeight="1">
      <c r="A409" t="inlineStr">
        <is>
          <t>A 49697-2023</t>
        </is>
      </c>
      <c r="B409" s="1" t="n">
        <v>45212.38909722222</v>
      </c>
      <c r="C409" s="1" t="n">
        <v>45989</v>
      </c>
      <c r="D409" t="inlineStr">
        <is>
          <t>GOTLANDS LÄN</t>
        </is>
      </c>
      <c r="E409" t="inlineStr">
        <is>
          <t>GOTLAND</t>
        </is>
      </c>
      <c r="G409" t="n">
        <v>4.4</v>
      </c>
      <c r="H409" t="n">
        <v>0</v>
      </c>
      <c r="I409" t="n">
        <v>0</v>
      </c>
      <c r="J409" t="n">
        <v>0</v>
      </c>
      <c r="K409" t="n">
        <v>0</v>
      </c>
      <c r="L409" t="n">
        <v>0</v>
      </c>
      <c r="M409" t="n">
        <v>0</v>
      </c>
      <c r="N409" t="n">
        <v>0</v>
      </c>
      <c r="O409" t="n">
        <v>0</v>
      </c>
      <c r="P409" t="n">
        <v>0</v>
      </c>
      <c r="Q409" t="n">
        <v>0</v>
      </c>
      <c r="R409" s="2" t="inlineStr"/>
    </row>
    <row r="410" ht="15" customHeight="1">
      <c r="A410" t="inlineStr">
        <is>
          <t>A 17901-2023</t>
        </is>
      </c>
      <c r="B410" s="1" t="n">
        <v>45039</v>
      </c>
      <c r="C410" s="1" t="n">
        <v>45989</v>
      </c>
      <c r="D410" t="inlineStr">
        <is>
          <t>GOTLANDS LÄN</t>
        </is>
      </c>
      <c r="E410" t="inlineStr">
        <is>
          <t>GOTLAND</t>
        </is>
      </c>
      <c r="F410" t="inlineStr">
        <is>
          <t>Kyrkan</t>
        </is>
      </c>
      <c r="G410" t="n">
        <v>0.6</v>
      </c>
      <c r="H410" t="n">
        <v>0</v>
      </c>
      <c r="I410" t="n">
        <v>0</v>
      </c>
      <c r="J410" t="n">
        <v>0</v>
      </c>
      <c r="K410" t="n">
        <v>0</v>
      </c>
      <c r="L410" t="n">
        <v>0</v>
      </c>
      <c r="M410" t="n">
        <v>0</v>
      </c>
      <c r="N410" t="n">
        <v>0</v>
      </c>
      <c r="O410" t="n">
        <v>0</v>
      </c>
      <c r="P410" t="n">
        <v>0</v>
      </c>
      <c r="Q410" t="n">
        <v>0</v>
      </c>
      <c r="R410" s="2" t="inlineStr"/>
    </row>
    <row r="411" ht="15" customHeight="1">
      <c r="A411" t="inlineStr">
        <is>
          <t>A 56799-2025</t>
        </is>
      </c>
      <c r="B411" s="1" t="n">
        <v>45978.43392361111</v>
      </c>
      <c r="C411" s="1" t="n">
        <v>45989</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52892-2021</t>
        </is>
      </c>
      <c r="B412" s="1" t="n">
        <v>44467.49048611111</v>
      </c>
      <c r="C412" s="1" t="n">
        <v>45989</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47147-2025</t>
        </is>
      </c>
      <c r="B413" s="1" t="n">
        <v>45929</v>
      </c>
      <c r="C413" s="1" t="n">
        <v>45989</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32378-2025</t>
        </is>
      </c>
      <c r="B414" s="1" t="n">
        <v>45837</v>
      </c>
      <c r="C414" s="1" t="n">
        <v>45989</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46396-2023</t>
        </is>
      </c>
      <c r="B415" s="1" t="n">
        <v>45197</v>
      </c>
      <c r="C415" s="1" t="n">
        <v>45989</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17724-2024</t>
        </is>
      </c>
      <c r="B416" s="1" t="n">
        <v>45418.55096064815</v>
      </c>
      <c r="C416" s="1" t="n">
        <v>45989</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34312-2024</t>
        </is>
      </c>
      <c r="B417" s="1" t="n">
        <v>45524.69703703704</v>
      </c>
      <c r="C417" s="1" t="n">
        <v>45989</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35550-2025</t>
        </is>
      </c>
      <c r="B418" s="1" t="n">
        <v>45856.49324074074</v>
      </c>
      <c r="C418" s="1" t="n">
        <v>45989</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56688-2025</t>
        </is>
      </c>
      <c r="B419" s="1" t="n">
        <v>45975.84331018518</v>
      </c>
      <c r="C419" s="1" t="n">
        <v>45989</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69112-2021</t>
        </is>
      </c>
      <c r="B420" s="1" t="n">
        <v>44530</v>
      </c>
      <c r="C420" s="1" t="n">
        <v>45989</v>
      </c>
      <c r="D420" t="inlineStr">
        <is>
          <t>GOTLANDS LÄN</t>
        </is>
      </c>
      <c r="E420" t="inlineStr">
        <is>
          <t>GOTLAND</t>
        </is>
      </c>
      <c r="G420" t="n">
        <v>4.2</v>
      </c>
      <c r="H420" t="n">
        <v>0</v>
      </c>
      <c r="I420" t="n">
        <v>0</v>
      </c>
      <c r="J420" t="n">
        <v>0</v>
      </c>
      <c r="K420" t="n">
        <v>0</v>
      </c>
      <c r="L420" t="n">
        <v>0</v>
      </c>
      <c r="M420" t="n">
        <v>0</v>
      </c>
      <c r="N420" t="n">
        <v>0</v>
      </c>
      <c r="O420" t="n">
        <v>0</v>
      </c>
      <c r="P420" t="n">
        <v>0</v>
      </c>
      <c r="Q420" t="n">
        <v>0</v>
      </c>
      <c r="R420" s="2" t="inlineStr"/>
    </row>
    <row r="421" ht="15" customHeight="1">
      <c r="A421" t="inlineStr">
        <is>
          <t>A 47578-2025</t>
        </is>
      </c>
      <c r="B421" s="1" t="n">
        <v>45931</v>
      </c>
      <c r="C421" s="1" t="n">
        <v>45989</v>
      </c>
      <c r="D421" t="inlineStr">
        <is>
          <t>GOTLANDS LÄN</t>
        </is>
      </c>
      <c r="E421" t="inlineStr">
        <is>
          <t>GOTLAND</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7638-2025</t>
        </is>
      </c>
      <c r="B422" s="1" t="n">
        <v>45705.77306712963</v>
      </c>
      <c r="C422" s="1" t="n">
        <v>45989</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50482-2024</t>
        </is>
      </c>
      <c r="B423" s="1" t="n">
        <v>45601.48114583334</v>
      </c>
      <c r="C423" s="1" t="n">
        <v>45989</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1394-2023</t>
        </is>
      </c>
      <c r="B424" s="1" t="n">
        <v>44936.72997685185</v>
      </c>
      <c r="C424" s="1" t="n">
        <v>45989</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58230-2024</t>
        </is>
      </c>
      <c r="B425" s="1" t="n">
        <v>45632.51625</v>
      </c>
      <c r="C425" s="1" t="n">
        <v>45989</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49724-2025</t>
        </is>
      </c>
      <c r="B426" s="1" t="n">
        <v>45939.83730324074</v>
      </c>
      <c r="C426" s="1" t="n">
        <v>45989</v>
      </c>
      <c r="D426" t="inlineStr">
        <is>
          <t>GOTLANDS LÄN</t>
        </is>
      </c>
      <c r="E426" t="inlineStr">
        <is>
          <t>GOTLAND</t>
        </is>
      </c>
      <c r="F426" t="inlineStr">
        <is>
          <t>Kyrkan</t>
        </is>
      </c>
      <c r="G426" t="n">
        <v>3.1</v>
      </c>
      <c r="H426" t="n">
        <v>0</v>
      </c>
      <c r="I426" t="n">
        <v>0</v>
      </c>
      <c r="J426" t="n">
        <v>0</v>
      </c>
      <c r="K426" t="n">
        <v>0</v>
      </c>
      <c r="L426" t="n">
        <v>0</v>
      </c>
      <c r="M426" t="n">
        <v>0</v>
      </c>
      <c r="N426" t="n">
        <v>0</v>
      </c>
      <c r="O426" t="n">
        <v>0</v>
      </c>
      <c r="P426" t="n">
        <v>0</v>
      </c>
      <c r="Q426" t="n">
        <v>0</v>
      </c>
      <c r="R426" s="2" t="inlineStr"/>
    </row>
    <row r="427" ht="15" customHeight="1">
      <c r="A427" t="inlineStr">
        <is>
          <t>A 49730-2025</t>
        </is>
      </c>
      <c r="B427" s="1" t="n">
        <v>45939.87613425926</v>
      </c>
      <c r="C427" s="1" t="n">
        <v>45989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45989</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45989</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45989</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49690-2025</t>
        </is>
      </c>
      <c r="B431" s="1" t="n">
        <v>45939.66730324074</v>
      </c>
      <c r="C431" s="1" t="n">
        <v>45989</v>
      </c>
      <c r="D431" t="inlineStr">
        <is>
          <t>GOTLANDS LÄN</t>
        </is>
      </c>
      <c r="E431" t="inlineStr">
        <is>
          <t>GOTLAND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33011-2025</t>
        </is>
      </c>
      <c r="B432" s="1" t="n">
        <v>45840</v>
      </c>
      <c r="C432" s="1" t="n">
        <v>45989</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5386-2023</t>
        </is>
      </c>
      <c r="B433" s="1" t="n">
        <v>44959</v>
      </c>
      <c r="C433" s="1" t="n">
        <v>45989</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7026-2023</t>
        </is>
      </c>
      <c r="B434" s="1" t="n">
        <v>44968.30340277778</v>
      </c>
      <c r="C434" s="1" t="n">
        <v>45989</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20855-2023</t>
        </is>
      </c>
      <c r="B435" s="1" t="n">
        <v>45058.82172453704</v>
      </c>
      <c r="C435" s="1" t="n">
        <v>45989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50421-2025</t>
        </is>
      </c>
      <c r="B436" s="1" t="n">
        <v>45944.66049768519</v>
      </c>
      <c r="C436" s="1" t="n">
        <v>45989</v>
      </c>
      <c r="D436" t="inlineStr">
        <is>
          <t>GOTLANDS LÄN</t>
        </is>
      </c>
      <c r="E436" t="inlineStr">
        <is>
          <t>GOTLAND</t>
        </is>
      </c>
      <c r="G436" t="n">
        <v>3.9</v>
      </c>
      <c r="H436" t="n">
        <v>0</v>
      </c>
      <c r="I436" t="n">
        <v>0</v>
      </c>
      <c r="J436" t="n">
        <v>0</v>
      </c>
      <c r="K436" t="n">
        <v>0</v>
      </c>
      <c r="L436" t="n">
        <v>0</v>
      </c>
      <c r="M436" t="n">
        <v>0</v>
      </c>
      <c r="N436" t="n">
        <v>0</v>
      </c>
      <c r="O436" t="n">
        <v>0</v>
      </c>
      <c r="P436" t="n">
        <v>0</v>
      </c>
      <c r="Q436" t="n">
        <v>0</v>
      </c>
      <c r="R436" s="2" t="inlineStr"/>
    </row>
    <row r="437" ht="15" customHeight="1">
      <c r="A437" t="inlineStr">
        <is>
          <t>A 1000-2024</t>
        </is>
      </c>
      <c r="B437" s="1" t="n">
        <v>45301.63371527778</v>
      </c>
      <c r="C437" s="1" t="n">
        <v>45989</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1010-2024</t>
        </is>
      </c>
      <c r="B438" s="1" t="n">
        <v>45301</v>
      </c>
      <c r="C438" s="1" t="n">
        <v>45989</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47762-2023</t>
        </is>
      </c>
      <c r="B439" s="1" t="n">
        <v>45203.86256944444</v>
      </c>
      <c r="C439" s="1" t="n">
        <v>45989</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50431-2025</t>
        </is>
      </c>
      <c r="B440" s="1" t="n">
        <v>45944.68453703704</v>
      </c>
      <c r="C440" s="1" t="n">
        <v>45989</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46545-2024</t>
        </is>
      </c>
      <c r="B441" s="1" t="n">
        <v>45582.65831018519</v>
      </c>
      <c r="C441" s="1" t="n">
        <v>45989</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50928-2025</t>
        </is>
      </c>
      <c r="B442" s="1" t="n">
        <v>45946.67896990741</v>
      </c>
      <c r="C442" s="1" t="n">
        <v>45989</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60086-2022</t>
        </is>
      </c>
      <c r="B443" s="1" t="n">
        <v>44909</v>
      </c>
      <c r="C443" s="1" t="n">
        <v>45989</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28480-2023</t>
        </is>
      </c>
      <c r="B444" s="1" t="n">
        <v>45103</v>
      </c>
      <c r="C444" s="1" t="n">
        <v>45989</v>
      </c>
      <c r="D444" t="inlineStr">
        <is>
          <t>GOTLANDS LÄN</t>
        </is>
      </c>
      <c r="E444" t="inlineStr">
        <is>
          <t>GOTLAND</t>
        </is>
      </c>
      <c r="G444" t="n">
        <v>5.7</v>
      </c>
      <c r="H444" t="n">
        <v>0</v>
      </c>
      <c r="I444" t="n">
        <v>0</v>
      </c>
      <c r="J444" t="n">
        <v>0</v>
      </c>
      <c r="K444" t="n">
        <v>0</v>
      </c>
      <c r="L444" t="n">
        <v>0</v>
      </c>
      <c r="M444" t="n">
        <v>0</v>
      </c>
      <c r="N444" t="n">
        <v>0</v>
      </c>
      <c r="O444" t="n">
        <v>0</v>
      </c>
      <c r="P444" t="n">
        <v>0</v>
      </c>
      <c r="Q444" t="n">
        <v>0</v>
      </c>
      <c r="R444" s="2" t="inlineStr"/>
    </row>
    <row r="445" ht="15" customHeight="1">
      <c r="A445" t="inlineStr">
        <is>
          <t>A 28485-2023</t>
        </is>
      </c>
      <c r="B445" s="1" t="n">
        <v>45103.43731481482</v>
      </c>
      <c r="C445" s="1" t="n">
        <v>45989</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62915-2021</t>
        </is>
      </c>
      <c r="B446" s="1" t="n">
        <v>44504</v>
      </c>
      <c r="C446" s="1" t="n">
        <v>45989</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44949-2023</t>
        </is>
      </c>
      <c r="B447" s="1" t="n">
        <v>45190.69520833333</v>
      </c>
      <c r="C447" s="1" t="n">
        <v>45989</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59197-2025</t>
        </is>
      </c>
      <c r="B448" s="1" t="n">
        <v>45988.59846064815</v>
      </c>
      <c r="C448" s="1" t="n">
        <v>45989</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45989</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3964-2024</t>
        </is>
      </c>
      <c r="B450" s="1" t="n">
        <v>45322</v>
      </c>
      <c r="C450" s="1" t="n">
        <v>45989</v>
      </c>
      <c r="D450" t="inlineStr">
        <is>
          <t>GOTLANDS LÄN</t>
        </is>
      </c>
      <c r="E450" t="inlineStr">
        <is>
          <t>GOTLAND</t>
        </is>
      </c>
      <c r="G450" t="n">
        <v>1.4</v>
      </c>
      <c r="H450" t="n">
        <v>0</v>
      </c>
      <c r="I450" t="n">
        <v>0</v>
      </c>
      <c r="J450" t="n">
        <v>0</v>
      </c>
      <c r="K450" t="n">
        <v>0</v>
      </c>
      <c r="L450" t="n">
        <v>0</v>
      </c>
      <c r="M450" t="n">
        <v>0</v>
      </c>
      <c r="N450" t="n">
        <v>0</v>
      </c>
      <c r="O450" t="n">
        <v>0</v>
      </c>
      <c r="P450" t="n">
        <v>0</v>
      </c>
      <c r="Q450" t="n">
        <v>0</v>
      </c>
      <c r="R450" s="2" t="inlineStr"/>
    </row>
    <row r="451" ht="15" customHeight="1">
      <c r="A451" t="inlineStr">
        <is>
          <t>A 45084-2024</t>
        </is>
      </c>
      <c r="B451" s="1" t="n">
        <v>45575</v>
      </c>
      <c r="C451" s="1" t="n">
        <v>45989</v>
      </c>
      <c r="D451" t="inlineStr">
        <is>
          <t>GOTLANDS LÄN</t>
        </is>
      </c>
      <c r="E451" t="inlineStr">
        <is>
          <t>GOTLAND</t>
        </is>
      </c>
      <c r="G451" t="n">
        <v>6.8</v>
      </c>
      <c r="H451" t="n">
        <v>0</v>
      </c>
      <c r="I451" t="n">
        <v>0</v>
      </c>
      <c r="J451" t="n">
        <v>0</v>
      </c>
      <c r="K451" t="n">
        <v>0</v>
      </c>
      <c r="L451" t="n">
        <v>0</v>
      </c>
      <c r="M451" t="n">
        <v>0</v>
      </c>
      <c r="N451" t="n">
        <v>0</v>
      </c>
      <c r="O451" t="n">
        <v>0</v>
      </c>
      <c r="P451" t="n">
        <v>0</v>
      </c>
      <c r="Q451" t="n">
        <v>0</v>
      </c>
      <c r="R451" s="2" t="inlineStr"/>
    </row>
    <row r="452" ht="15" customHeight="1">
      <c r="A452" t="inlineStr">
        <is>
          <t>A 5217-2023</t>
        </is>
      </c>
      <c r="B452" s="1" t="n">
        <v>44959.39582175926</v>
      </c>
      <c r="C452" s="1" t="n">
        <v>45989</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1677-2023</t>
        </is>
      </c>
      <c r="B453" s="1" t="n">
        <v>44938</v>
      </c>
      <c r="C453" s="1" t="n">
        <v>45989</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45244-2024</t>
        </is>
      </c>
      <c r="B454" s="1" t="n">
        <v>45576</v>
      </c>
      <c r="C454" s="1" t="n">
        <v>45989</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8260-2023</t>
        </is>
      </c>
      <c r="B455" s="1" t="n">
        <v>44974.61608796296</v>
      </c>
      <c r="C455" s="1" t="n">
        <v>45989</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64969-2023</t>
        </is>
      </c>
      <c r="B456" s="1" t="n">
        <v>45284.54009259259</v>
      </c>
      <c r="C456" s="1" t="n">
        <v>45989</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48843-2024</t>
        </is>
      </c>
      <c r="B457" s="1" t="n">
        <v>45593</v>
      </c>
      <c r="C457" s="1" t="n">
        <v>45989</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17541-2024</t>
        </is>
      </c>
      <c r="B458" s="1" t="n">
        <v>45415</v>
      </c>
      <c r="C458" s="1" t="n">
        <v>45989</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2241-2025</t>
        </is>
      </c>
      <c r="B459" s="1" t="n">
        <v>45673.48710648148</v>
      </c>
      <c r="C459" s="1" t="n">
        <v>45989</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15434-2024</t>
        </is>
      </c>
      <c r="B460" s="1" t="n">
        <v>45401.38836805556</v>
      </c>
      <c r="C460" s="1" t="n">
        <v>45989</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5943-2024</t>
        </is>
      </c>
      <c r="B461" s="1" t="n">
        <v>45336</v>
      </c>
      <c r="C461" s="1" t="n">
        <v>45989</v>
      </c>
      <c r="D461" t="inlineStr">
        <is>
          <t>GOTLANDS LÄN</t>
        </is>
      </c>
      <c r="E461" t="inlineStr">
        <is>
          <t>GOTLAND</t>
        </is>
      </c>
      <c r="G461" t="n">
        <v>4.3</v>
      </c>
      <c r="H461" t="n">
        <v>0</v>
      </c>
      <c r="I461" t="n">
        <v>0</v>
      </c>
      <c r="J461" t="n">
        <v>0</v>
      </c>
      <c r="K461" t="n">
        <v>0</v>
      </c>
      <c r="L461" t="n">
        <v>0</v>
      </c>
      <c r="M461" t="n">
        <v>0</v>
      </c>
      <c r="N461" t="n">
        <v>0</v>
      </c>
      <c r="O461" t="n">
        <v>0</v>
      </c>
      <c r="P461" t="n">
        <v>0</v>
      </c>
      <c r="Q461" t="n">
        <v>0</v>
      </c>
      <c r="R461" s="2" t="inlineStr"/>
    </row>
    <row r="462" ht="15" customHeight="1">
      <c r="A462" t="inlineStr">
        <is>
          <t>A 54073-2022</t>
        </is>
      </c>
      <c r="B462" s="1" t="n">
        <v>44881.50380787037</v>
      </c>
      <c r="C462" s="1" t="n">
        <v>45989</v>
      </c>
      <c r="D462" t="inlineStr">
        <is>
          <t>GOTLANDS LÄN</t>
        </is>
      </c>
      <c r="E462" t="inlineStr">
        <is>
          <t>GOTLAND</t>
        </is>
      </c>
      <c r="G462" t="n">
        <v>3.8</v>
      </c>
      <c r="H462" t="n">
        <v>0</v>
      </c>
      <c r="I462" t="n">
        <v>0</v>
      </c>
      <c r="J462" t="n">
        <v>0</v>
      </c>
      <c r="K462" t="n">
        <v>0</v>
      </c>
      <c r="L462" t="n">
        <v>0</v>
      </c>
      <c r="M462" t="n">
        <v>0</v>
      </c>
      <c r="N462" t="n">
        <v>0</v>
      </c>
      <c r="O462" t="n">
        <v>0</v>
      </c>
      <c r="P462" t="n">
        <v>0</v>
      </c>
      <c r="Q462" t="n">
        <v>0</v>
      </c>
      <c r="R462" s="2" t="inlineStr"/>
    </row>
    <row r="463" ht="15" customHeight="1">
      <c r="A463" t="inlineStr">
        <is>
          <t>A 16361-2024</t>
        </is>
      </c>
      <c r="B463" s="1" t="n">
        <v>45407</v>
      </c>
      <c r="C463" s="1" t="n">
        <v>45989</v>
      </c>
      <c r="D463" t="inlineStr">
        <is>
          <t>GOTLANDS LÄN</t>
        </is>
      </c>
      <c r="E463" t="inlineStr">
        <is>
          <t>GOTLAND</t>
        </is>
      </c>
      <c r="G463" t="n">
        <v>6</v>
      </c>
      <c r="H463" t="n">
        <v>0</v>
      </c>
      <c r="I463" t="n">
        <v>0</v>
      </c>
      <c r="J463" t="n">
        <v>0</v>
      </c>
      <c r="K463" t="n">
        <v>0</v>
      </c>
      <c r="L463" t="n">
        <v>0</v>
      </c>
      <c r="M463" t="n">
        <v>0</v>
      </c>
      <c r="N463" t="n">
        <v>0</v>
      </c>
      <c r="O463" t="n">
        <v>0</v>
      </c>
      <c r="P463" t="n">
        <v>0</v>
      </c>
      <c r="Q463" t="n">
        <v>0</v>
      </c>
      <c r="R463" s="2" t="inlineStr"/>
    </row>
    <row r="464" ht="15" customHeight="1">
      <c r="A464" t="inlineStr">
        <is>
          <t>A 41038-2023</t>
        </is>
      </c>
      <c r="B464" s="1" t="n">
        <v>45173.60959490741</v>
      </c>
      <c r="C464" s="1" t="n">
        <v>45989</v>
      </c>
      <c r="D464" t="inlineStr">
        <is>
          <t>GOTLANDS LÄN</t>
        </is>
      </c>
      <c r="E464" t="inlineStr">
        <is>
          <t>GOTLAND</t>
        </is>
      </c>
      <c r="G464" t="n">
        <v>2.7</v>
      </c>
      <c r="H464" t="n">
        <v>0</v>
      </c>
      <c r="I464" t="n">
        <v>0</v>
      </c>
      <c r="J464" t="n">
        <v>0</v>
      </c>
      <c r="K464" t="n">
        <v>0</v>
      </c>
      <c r="L464" t="n">
        <v>0</v>
      </c>
      <c r="M464" t="n">
        <v>0</v>
      </c>
      <c r="N464" t="n">
        <v>0</v>
      </c>
      <c r="O464" t="n">
        <v>0</v>
      </c>
      <c r="P464" t="n">
        <v>0</v>
      </c>
      <c r="Q464" t="n">
        <v>0</v>
      </c>
      <c r="R464" s="2" t="inlineStr"/>
    </row>
    <row r="465" ht="15" customHeight="1">
      <c r="A465" t="inlineStr">
        <is>
          <t>A 14427-2024</t>
        </is>
      </c>
      <c r="B465" s="1" t="n">
        <v>45394</v>
      </c>
      <c r="C465" s="1" t="n">
        <v>45989</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31802-2024</t>
        </is>
      </c>
      <c r="B466" s="1" t="n">
        <v>45509</v>
      </c>
      <c r="C466" s="1" t="n">
        <v>45989</v>
      </c>
      <c r="D466" t="inlineStr">
        <is>
          <t>GOTLANDS LÄN</t>
        </is>
      </c>
      <c r="E466" t="inlineStr">
        <is>
          <t>GOTLAND</t>
        </is>
      </c>
      <c r="G466" t="n">
        <v>2.8</v>
      </c>
      <c r="H466" t="n">
        <v>0</v>
      </c>
      <c r="I466" t="n">
        <v>0</v>
      </c>
      <c r="J466" t="n">
        <v>0</v>
      </c>
      <c r="K466" t="n">
        <v>0</v>
      </c>
      <c r="L466" t="n">
        <v>0</v>
      </c>
      <c r="M466" t="n">
        <v>0</v>
      </c>
      <c r="N466" t="n">
        <v>0</v>
      </c>
      <c r="O466" t="n">
        <v>0</v>
      </c>
      <c r="P466" t="n">
        <v>0</v>
      </c>
      <c r="Q466" t="n">
        <v>0</v>
      </c>
      <c r="R466" s="2" t="inlineStr"/>
    </row>
    <row r="467" ht="15" customHeight="1">
      <c r="A467" t="inlineStr">
        <is>
          <t>A 8036-2022</t>
        </is>
      </c>
      <c r="B467" s="1" t="n">
        <v>44609.44362268518</v>
      </c>
      <c r="C467" s="1" t="n">
        <v>45989</v>
      </c>
      <c r="D467" t="inlineStr">
        <is>
          <t>GOTLANDS LÄN</t>
        </is>
      </c>
      <c r="E467" t="inlineStr">
        <is>
          <t>GOTLAND</t>
        </is>
      </c>
      <c r="G467" t="n">
        <v>6.1</v>
      </c>
      <c r="H467" t="n">
        <v>0</v>
      </c>
      <c r="I467" t="n">
        <v>0</v>
      </c>
      <c r="J467" t="n">
        <v>0</v>
      </c>
      <c r="K467" t="n">
        <v>0</v>
      </c>
      <c r="L467" t="n">
        <v>0</v>
      </c>
      <c r="M467" t="n">
        <v>0</v>
      </c>
      <c r="N467" t="n">
        <v>0</v>
      </c>
      <c r="O467" t="n">
        <v>0</v>
      </c>
      <c r="P467" t="n">
        <v>0</v>
      </c>
      <c r="Q467" t="n">
        <v>0</v>
      </c>
      <c r="R467" s="2" t="inlineStr"/>
    </row>
    <row r="468" ht="15" customHeight="1">
      <c r="A468" t="inlineStr">
        <is>
          <t>A 12846-2025</t>
        </is>
      </c>
      <c r="B468" s="1" t="n">
        <v>45733.65049768519</v>
      </c>
      <c r="C468" s="1" t="n">
        <v>45989</v>
      </c>
      <c r="D468" t="inlineStr">
        <is>
          <t>GOTLANDS LÄN</t>
        </is>
      </c>
      <c r="E468" t="inlineStr">
        <is>
          <t>GOTLAND</t>
        </is>
      </c>
      <c r="G468" t="n">
        <v>1.7</v>
      </c>
      <c r="H468" t="n">
        <v>0</v>
      </c>
      <c r="I468" t="n">
        <v>0</v>
      </c>
      <c r="J468" t="n">
        <v>0</v>
      </c>
      <c r="K468" t="n">
        <v>0</v>
      </c>
      <c r="L468" t="n">
        <v>0</v>
      </c>
      <c r="M468" t="n">
        <v>0</v>
      </c>
      <c r="N468" t="n">
        <v>0</v>
      </c>
      <c r="O468" t="n">
        <v>0</v>
      </c>
      <c r="P468" t="n">
        <v>0</v>
      </c>
      <c r="Q468" t="n">
        <v>0</v>
      </c>
      <c r="R468" s="2" t="inlineStr"/>
    </row>
    <row r="469" ht="15" customHeight="1">
      <c r="A469" t="inlineStr">
        <is>
          <t>A 46949-2024</t>
        </is>
      </c>
      <c r="B469" s="1" t="n">
        <v>45585</v>
      </c>
      <c r="C469" s="1" t="n">
        <v>45989</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10650-2022</t>
        </is>
      </c>
      <c r="B470" s="1" t="n">
        <v>44624.57945601852</v>
      </c>
      <c r="C470" s="1" t="n">
        <v>45989</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11634-2024</t>
        </is>
      </c>
      <c r="B471" s="1" t="n">
        <v>45373</v>
      </c>
      <c r="C471" s="1" t="n">
        <v>45989</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1351-2025</t>
        </is>
      </c>
      <c r="B472" s="1" t="n">
        <v>45667.62246527777</v>
      </c>
      <c r="C472" s="1" t="n">
        <v>45989</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39496-2022</t>
        </is>
      </c>
      <c r="B473" s="1" t="n">
        <v>44818</v>
      </c>
      <c r="C473" s="1" t="n">
        <v>45989</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49874-2024</t>
        </is>
      </c>
      <c r="B474" s="1" t="n">
        <v>45597.49274305555</v>
      </c>
      <c r="C474" s="1" t="n">
        <v>45989</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42201-2023</t>
        </is>
      </c>
      <c r="B475" s="1" t="n">
        <v>45179</v>
      </c>
      <c r="C475" s="1" t="n">
        <v>45989</v>
      </c>
      <c r="D475" t="inlineStr">
        <is>
          <t>GOTLANDS LÄN</t>
        </is>
      </c>
      <c r="E475" t="inlineStr">
        <is>
          <t>GOTLAND</t>
        </is>
      </c>
      <c r="G475" t="n">
        <v>11.9</v>
      </c>
      <c r="H475" t="n">
        <v>0</v>
      </c>
      <c r="I475" t="n">
        <v>0</v>
      </c>
      <c r="J475" t="n">
        <v>0</v>
      </c>
      <c r="K475" t="n">
        <v>0</v>
      </c>
      <c r="L475" t="n">
        <v>0</v>
      </c>
      <c r="M475" t="n">
        <v>0</v>
      </c>
      <c r="N475" t="n">
        <v>0</v>
      </c>
      <c r="O475" t="n">
        <v>0</v>
      </c>
      <c r="P475" t="n">
        <v>0</v>
      </c>
      <c r="Q475" t="n">
        <v>0</v>
      </c>
      <c r="R475" s="2" t="inlineStr"/>
    </row>
    <row r="476" ht="15" customHeight="1">
      <c r="A476" t="inlineStr">
        <is>
          <t>A 46400-2023</t>
        </is>
      </c>
      <c r="B476" s="1" t="n">
        <v>45197.49290509259</v>
      </c>
      <c r="C476" s="1" t="n">
        <v>45989</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9875-2025</t>
        </is>
      </c>
      <c r="B477" s="1" t="n">
        <v>45716</v>
      </c>
      <c r="C477" s="1" t="n">
        <v>45989</v>
      </c>
      <c r="D477" t="inlineStr">
        <is>
          <t>GOTLANDS LÄN</t>
        </is>
      </c>
      <c r="E477" t="inlineStr">
        <is>
          <t>GOTLAND</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21164-2024</t>
        </is>
      </c>
      <c r="B478" s="1" t="n">
        <v>45440</v>
      </c>
      <c r="C478" s="1" t="n">
        <v>45989</v>
      </c>
      <c r="D478" t="inlineStr">
        <is>
          <t>GOTLANDS LÄN</t>
        </is>
      </c>
      <c r="E478" t="inlineStr">
        <is>
          <t>GOTLAND</t>
        </is>
      </c>
      <c r="G478" t="n">
        <v>6.3</v>
      </c>
      <c r="H478" t="n">
        <v>0</v>
      </c>
      <c r="I478" t="n">
        <v>0</v>
      </c>
      <c r="J478" t="n">
        <v>0</v>
      </c>
      <c r="K478" t="n">
        <v>0</v>
      </c>
      <c r="L478" t="n">
        <v>0</v>
      </c>
      <c r="M478" t="n">
        <v>0</v>
      </c>
      <c r="N478" t="n">
        <v>0</v>
      </c>
      <c r="O478" t="n">
        <v>0</v>
      </c>
      <c r="P478" t="n">
        <v>0</v>
      </c>
      <c r="Q478" t="n">
        <v>0</v>
      </c>
      <c r="R478" s="2" t="inlineStr"/>
    </row>
    <row r="479" ht="15" customHeight="1">
      <c r="A479" t="inlineStr">
        <is>
          <t>A 8045-2022</t>
        </is>
      </c>
      <c r="B479" s="1" t="n">
        <v>44609</v>
      </c>
      <c r="C479" s="1" t="n">
        <v>45989</v>
      </c>
      <c r="D479" t="inlineStr">
        <is>
          <t>GOTLANDS LÄN</t>
        </is>
      </c>
      <c r="E479" t="inlineStr">
        <is>
          <t>GOTLAND</t>
        </is>
      </c>
      <c r="G479" t="n">
        <v>7</v>
      </c>
      <c r="H479" t="n">
        <v>0</v>
      </c>
      <c r="I479" t="n">
        <v>0</v>
      </c>
      <c r="J479" t="n">
        <v>0</v>
      </c>
      <c r="K479" t="n">
        <v>0</v>
      </c>
      <c r="L479" t="n">
        <v>0</v>
      </c>
      <c r="M479" t="n">
        <v>0</v>
      </c>
      <c r="N479" t="n">
        <v>0</v>
      </c>
      <c r="O479" t="n">
        <v>0</v>
      </c>
      <c r="P479" t="n">
        <v>0</v>
      </c>
      <c r="Q479" t="n">
        <v>0</v>
      </c>
      <c r="R479" s="2" t="inlineStr"/>
    </row>
    <row r="480" ht="15" customHeight="1">
      <c r="A480" t="inlineStr">
        <is>
          <t>A 22897-2023</t>
        </is>
      </c>
      <c r="B480" s="1" t="n">
        <v>45072.55239583334</v>
      </c>
      <c r="C480" s="1" t="n">
        <v>45989</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61897-2024</t>
        </is>
      </c>
      <c r="B481" s="1" t="n">
        <v>45652.75685185185</v>
      </c>
      <c r="C481" s="1" t="n">
        <v>45989</v>
      </c>
      <c r="D481" t="inlineStr">
        <is>
          <t>GOTLANDS LÄN</t>
        </is>
      </c>
      <c r="E481" t="inlineStr">
        <is>
          <t>GOTLAND</t>
        </is>
      </c>
      <c r="G481" t="n">
        <v>6.4</v>
      </c>
      <c r="H481" t="n">
        <v>0</v>
      </c>
      <c r="I481" t="n">
        <v>0</v>
      </c>
      <c r="J481" t="n">
        <v>0</v>
      </c>
      <c r="K481" t="n">
        <v>0</v>
      </c>
      <c r="L481" t="n">
        <v>0</v>
      </c>
      <c r="M481" t="n">
        <v>0</v>
      </c>
      <c r="N481" t="n">
        <v>0</v>
      </c>
      <c r="O481" t="n">
        <v>0</v>
      </c>
      <c r="P481" t="n">
        <v>0</v>
      </c>
      <c r="Q481" t="n">
        <v>0</v>
      </c>
      <c r="R481" s="2" t="inlineStr"/>
    </row>
    <row r="482" ht="15" customHeight="1">
      <c r="A482" t="inlineStr">
        <is>
          <t>A 49962-2023</t>
        </is>
      </c>
      <c r="B482" s="1" t="n">
        <v>45215.38775462963</v>
      </c>
      <c r="C482" s="1" t="n">
        <v>45989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20165-2022</t>
        </is>
      </c>
      <c r="B483" s="1" t="n">
        <v>44698.49854166667</v>
      </c>
      <c r="C483" s="1" t="n">
        <v>45989</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40294-2022</t>
        </is>
      </c>
      <c r="B484" s="1" t="n">
        <v>44821</v>
      </c>
      <c r="C484" s="1" t="n">
        <v>45989</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12032-2025</t>
        </is>
      </c>
      <c r="B485" s="1" t="n">
        <v>45728.64472222222</v>
      </c>
      <c r="C485" s="1" t="n">
        <v>45989</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38787-2023</t>
        </is>
      </c>
      <c r="B486" s="1" t="n">
        <v>45163</v>
      </c>
      <c r="C486" s="1" t="n">
        <v>45989</v>
      </c>
      <c r="D486" t="inlineStr">
        <is>
          <t>GOTLANDS LÄN</t>
        </is>
      </c>
      <c r="E486" t="inlineStr">
        <is>
          <t>GOTLAND</t>
        </is>
      </c>
      <c r="G486" t="n">
        <v>0.4</v>
      </c>
      <c r="H486" t="n">
        <v>0</v>
      </c>
      <c r="I486" t="n">
        <v>0</v>
      </c>
      <c r="J486" t="n">
        <v>0</v>
      </c>
      <c r="K486" t="n">
        <v>0</v>
      </c>
      <c r="L486" t="n">
        <v>0</v>
      </c>
      <c r="M486" t="n">
        <v>0</v>
      </c>
      <c r="N486" t="n">
        <v>0</v>
      </c>
      <c r="O486" t="n">
        <v>0</v>
      </c>
      <c r="P486" t="n">
        <v>0</v>
      </c>
      <c r="Q486" t="n">
        <v>0</v>
      </c>
      <c r="R486" s="2" t="inlineStr"/>
    </row>
    <row r="487" ht="15" customHeight="1">
      <c r="A487" t="inlineStr">
        <is>
          <t>A 43231-2023</t>
        </is>
      </c>
      <c r="B487" s="1" t="n">
        <v>45183.47025462963</v>
      </c>
      <c r="C487" s="1" t="n">
        <v>45989</v>
      </c>
      <c r="D487" t="inlineStr">
        <is>
          <t>GOTLANDS LÄN</t>
        </is>
      </c>
      <c r="E487" t="inlineStr">
        <is>
          <t>GOTLAND</t>
        </is>
      </c>
      <c r="G487" t="n">
        <v>3.6</v>
      </c>
      <c r="H487" t="n">
        <v>0</v>
      </c>
      <c r="I487" t="n">
        <v>0</v>
      </c>
      <c r="J487" t="n">
        <v>0</v>
      </c>
      <c r="K487" t="n">
        <v>0</v>
      </c>
      <c r="L487" t="n">
        <v>0</v>
      </c>
      <c r="M487" t="n">
        <v>0</v>
      </c>
      <c r="N487" t="n">
        <v>0</v>
      </c>
      <c r="O487" t="n">
        <v>0</v>
      </c>
      <c r="P487" t="n">
        <v>0</v>
      </c>
      <c r="Q487" t="n">
        <v>0</v>
      </c>
      <c r="R487" s="2" t="inlineStr"/>
    </row>
    <row r="488" ht="15" customHeight="1">
      <c r="A488" t="inlineStr">
        <is>
          <t>A 17532-2024</t>
        </is>
      </c>
      <c r="B488" s="1" t="n">
        <v>45415</v>
      </c>
      <c r="C488" s="1" t="n">
        <v>45989</v>
      </c>
      <c r="D488" t="inlineStr">
        <is>
          <t>GOTLANDS LÄN</t>
        </is>
      </c>
      <c r="E488" t="inlineStr">
        <is>
          <t>GOTLAND</t>
        </is>
      </c>
      <c r="G488" t="n">
        <v>4.3</v>
      </c>
      <c r="H488" t="n">
        <v>0</v>
      </c>
      <c r="I488" t="n">
        <v>0</v>
      </c>
      <c r="J488" t="n">
        <v>0</v>
      </c>
      <c r="K488" t="n">
        <v>0</v>
      </c>
      <c r="L488" t="n">
        <v>0</v>
      </c>
      <c r="M488" t="n">
        <v>0</v>
      </c>
      <c r="N488" t="n">
        <v>0</v>
      </c>
      <c r="O488" t="n">
        <v>0</v>
      </c>
      <c r="P488" t="n">
        <v>0</v>
      </c>
      <c r="Q488" t="n">
        <v>0</v>
      </c>
      <c r="R488" s="2" t="inlineStr"/>
    </row>
    <row r="489" ht="15" customHeight="1">
      <c r="A489" t="inlineStr">
        <is>
          <t>A 3935-2025</t>
        </is>
      </c>
      <c r="B489" s="1" t="n">
        <v>45684.46070601852</v>
      </c>
      <c r="C489" s="1" t="n">
        <v>45989</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20225-2025</t>
        </is>
      </c>
      <c r="B490" s="1" t="n">
        <v>45772.65802083333</v>
      </c>
      <c r="C490" s="1" t="n">
        <v>45989</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883-2025</t>
        </is>
      </c>
      <c r="B491" s="1" t="n">
        <v>45665</v>
      </c>
      <c r="C491" s="1" t="n">
        <v>45989</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1066-2024</t>
        </is>
      </c>
      <c r="B492" s="1" t="n">
        <v>45302.285</v>
      </c>
      <c r="C492" s="1" t="n">
        <v>45989</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17144-2025</t>
        </is>
      </c>
      <c r="B493" s="1" t="n">
        <v>45755.9499537037</v>
      </c>
      <c r="C493" s="1" t="n">
        <v>45989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56009-2024</t>
        </is>
      </c>
      <c r="B494" s="1" t="n">
        <v>45623.80864583333</v>
      </c>
      <c r="C494" s="1" t="n">
        <v>45989</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42338-2023</t>
        </is>
      </c>
      <c r="B495" s="1" t="n">
        <v>45180</v>
      </c>
      <c r="C495" s="1" t="n">
        <v>45989</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581-2023</t>
        </is>
      </c>
      <c r="B496" s="1" t="n">
        <v>44930</v>
      </c>
      <c r="C496" s="1" t="n">
        <v>45989</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61386-2023</t>
        </is>
      </c>
      <c r="B497" s="1" t="n">
        <v>45264</v>
      </c>
      <c r="C497" s="1" t="n">
        <v>45989</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873-2024</t>
        </is>
      </c>
      <c r="B498" s="1" t="n">
        <v>45301</v>
      </c>
      <c r="C498" s="1" t="n">
        <v>45989</v>
      </c>
      <c r="D498" t="inlineStr">
        <is>
          <t>GOTLANDS LÄN</t>
        </is>
      </c>
      <c r="E498" t="inlineStr">
        <is>
          <t>GOTLAND</t>
        </is>
      </c>
      <c r="G498" t="n">
        <v>2.7</v>
      </c>
      <c r="H498" t="n">
        <v>0</v>
      </c>
      <c r="I498" t="n">
        <v>0</v>
      </c>
      <c r="J498" t="n">
        <v>0</v>
      </c>
      <c r="K498" t="n">
        <v>0</v>
      </c>
      <c r="L498" t="n">
        <v>0</v>
      </c>
      <c r="M498" t="n">
        <v>0</v>
      </c>
      <c r="N498" t="n">
        <v>0</v>
      </c>
      <c r="O498" t="n">
        <v>0</v>
      </c>
      <c r="P498" t="n">
        <v>0</v>
      </c>
      <c r="Q498" t="n">
        <v>0</v>
      </c>
      <c r="R498" s="2" t="inlineStr"/>
    </row>
    <row r="499" ht="15" customHeight="1">
      <c r="A499" t="inlineStr">
        <is>
          <t>A 49411-2023</t>
        </is>
      </c>
      <c r="B499" s="1" t="n">
        <v>45205</v>
      </c>
      <c r="C499" s="1" t="n">
        <v>45989</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22275-2023</t>
        </is>
      </c>
      <c r="B500" s="1" t="n">
        <v>45070.39875</v>
      </c>
      <c r="C500" s="1" t="n">
        <v>45989</v>
      </c>
      <c r="D500" t="inlineStr">
        <is>
          <t>GOTLANDS LÄN</t>
        </is>
      </c>
      <c r="E500" t="inlineStr">
        <is>
          <t>GOTLAND</t>
        </is>
      </c>
      <c r="G500" t="n">
        <v>7.2</v>
      </c>
      <c r="H500" t="n">
        <v>0</v>
      </c>
      <c r="I500" t="n">
        <v>0</v>
      </c>
      <c r="J500" t="n">
        <v>0</v>
      </c>
      <c r="K500" t="n">
        <v>0</v>
      </c>
      <c r="L500" t="n">
        <v>0</v>
      </c>
      <c r="M500" t="n">
        <v>0</v>
      </c>
      <c r="N500" t="n">
        <v>0</v>
      </c>
      <c r="O500" t="n">
        <v>0</v>
      </c>
      <c r="P500" t="n">
        <v>0</v>
      </c>
      <c r="Q500" t="n">
        <v>0</v>
      </c>
      <c r="R500" s="2" t="inlineStr"/>
    </row>
    <row r="501" ht="15" customHeight="1">
      <c r="A501" t="inlineStr">
        <is>
          <t>A 12322-2025</t>
        </is>
      </c>
      <c r="B501" s="1" t="n">
        <v>45730</v>
      </c>
      <c r="C501" s="1" t="n">
        <v>45989</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14797-2024</t>
        </is>
      </c>
      <c r="B502" s="1" t="n">
        <v>45397.87030092593</v>
      </c>
      <c r="C502" s="1" t="n">
        <v>45989</v>
      </c>
      <c r="D502" t="inlineStr">
        <is>
          <t>GOTLANDS LÄN</t>
        </is>
      </c>
      <c r="E502" t="inlineStr">
        <is>
          <t>GOTLAND</t>
        </is>
      </c>
      <c r="G502" t="n">
        <v>8.1</v>
      </c>
      <c r="H502" t="n">
        <v>0</v>
      </c>
      <c r="I502" t="n">
        <v>0</v>
      </c>
      <c r="J502" t="n">
        <v>0</v>
      </c>
      <c r="K502" t="n">
        <v>0</v>
      </c>
      <c r="L502" t="n">
        <v>0</v>
      </c>
      <c r="M502" t="n">
        <v>0</v>
      </c>
      <c r="N502" t="n">
        <v>0</v>
      </c>
      <c r="O502" t="n">
        <v>0</v>
      </c>
      <c r="P502" t="n">
        <v>0</v>
      </c>
      <c r="Q502" t="n">
        <v>0</v>
      </c>
      <c r="R502" s="2" t="inlineStr"/>
    </row>
    <row r="503" ht="15" customHeight="1">
      <c r="A503" t="inlineStr">
        <is>
          <t>A 999-2024</t>
        </is>
      </c>
      <c r="B503" s="1" t="n">
        <v>45301</v>
      </c>
      <c r="C503" s="1" t="n">
        <v>45989</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61596-2023</t>
        </is>
      </c>
      <c r="B504" s="1" t="n">
        <v>45265</v>
      </c>
      <c r="C504" s="1" t="n">
        <v>45989</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14638-2025</t>
        </is>
      </c>
      <c r="B505" s="1" t="n">
        <v>45742</v>
      </c>
      <c r="C505" s="1" t="n">
        <v>45989</v>
      </c>
      <c r="D505" t="inlineStr">
        <is>
          <t>GOTLANDS LÄN</t>
        </is>
      </c>
      <c r="E505" t="inlineStr">
        <is>
          <t>GOTLAND</t>
        </is>
      </c>
      <c r="G505" t="n">
        <v>13.4</v>
      </c>
      <c r="H505" t="n">
        <v>0</v>
      </c>
      <c r="I505" t="n">
        <v>0</v>
      </c>
      <c r="J505" t="n">
        <v>0</v>
      </c>
      <c r="K505" t="n">
        <v>0</v>
      </c>
      <c r="L505" t="n">
        <v>0</v>
      </c>
      <c r="M505" t="n">
        <v>0</v>
      </c>
      <c r="N505" t="n">
        <v>0</v>
      </c>
      <c r="O505" t="n">
        <v>0</v>
      </c>
      <c r="P505" t="n">
        <v>0</v>
      </c>
      <c r="Q505" t="n">
        <v>0</v>
      </c>
      <c r="R505" s="2" t="inlineStr"/>
    </row>
    <row r="506" ht="15" customHeight="1">
      <c r="A506" t="inlineStr">
        <is>
          <t>A 60675-2021</t>
        </is>
      </c>
      <c r="B506" s="1" t="n">
        <v>44496.64855324074</v>
      </c>
      <c r="C506" s="1" t="n">
        <v>45989</v>
      </c>
      <c r="D506" t="inlineStr">
        <is>
          <t>GOTLANDS LÄN</t>
        </is>
      </c>
      <c r="E506" t="inlineStr">
        <is>
          <t>GOTLAND</t>
        </is>
      </c>
      <c r="G506" t="n">
        <v>4.6</v>
      </c>
      <c r="H506" t="n">
        <v>0</v>
      </c>
      <c r="I506" t="n">
        <v>0</v>
      </c>
      <c r="J506" t="n">
        <v>0</v>
      </c>
      <c r="K506" t="n">
        <v>0</v>
      </c>
      <c r="L506" t="n">
        <v>0</v>
      </c>
      <c r="M506" t="n">
        <v>0</v>
      </c>
      <c r="N506" t="n">
        <v>0</v>
      </c>
      <c r="O506" t="n">
        <v>0</v>
      </c>
      <c r="P506" t="n">
        <v>0</v>
      </c>
      <c r="Q506" t="n">
        <v>0</v>
      </c>
      <c r="R506" s="2" t="inlineStr"/>
    </row>
    <row r="507" ht="15" customHeight="1">
      <c r="A507" t="inlineStr">
        <is>
          <t>A 37728-2024</t>
        </is>
      </c>
      <c r="B507" s="1" t="n">
        <v>45541</v>
      </c>
      <c r="C507" s="1" t="n">
        <v>45989</v>
      </c>
      <c r="D507" t="inlineStr">
        <is>
          <t>GOTLANDS LÄN</t>
        </is>
      </c>
      <c r="E507" t="inlineStr">
        <is>
          <t>GOTLAND</t>
        </is>
      </c>
      <c r="G507" t="n">
        <v>0.4</v>
      </c>
      <c r="H507" t="n">
        <v>0</v>
      </c>
      <c r="I507" t="n">
        <v>0</v>
      </c>
      <c r="J507" t="n">
        <v>0</v>
      </c>
      <c r="K507" t="n">
        <v>0</v>
      </c>
      <c r="L507" t="n">
        <v>0</v>
      </c>
      <c r="M507" t="n">
        <v>0</v>
      </c>
      <c r="N507" t="n">
        <v>0</v>
      </c>
      <c r="O507" t="n">
        <v>0</v>
      </c>
      <c r="P507" t="n">
        <v>0</v>
      </c>
      <c r="Q507" t="n">
        <v>0</v>
      </c>
      <c r="R507" s="2" t="inlineStr"/>
    </row>
    <row r="508" ht="15" customHeight="1">
      <c r="A508" t="inlineStr">
        <is>
          <t>A 22287-2022</t>
        </is>
      </c>
      <c r="B508" s="1" t="n">
        <v>44712</v>
      </c>
      <c r="C508" s="1" t="n">
        <v>45989</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54074-2022</t>
        </is>
      </c>
      <c r="B509" s="1" t="n">
        <v>44881</v>
      </c>
      <c r="C509" s="1" t="n">
        <v>45989</v>
      </c>
      <c r="D509" t="inlineStr">
        <is>
          <t>GOTLANDS LÄN</t>
        </is>
      </c>
      <c r="E509" t="inlineStr">
        <is>
          <t>GOTLAND</t>
        </is>
      </c>
      <c r="G509" t="n">
        <v>0.9</v>
      </c>
      <c r="H509" t="n">
        <v>0</v>
      </c>
      <c r="I509" t="n">
        <v>0</v>
      </c>
      <c r="J509" t="n">
        <v>0</v>
      </c>
      <c r="K509" t="n">
        <v>0</v>
      </c>
      <c r="L509" t="n">
        <v>0</v>
      </c>
      <c r="M509" t="n">
        <v>0</v>
      </c>
      <c r="N509" t="n">
        <v>0</v>
      </c>
      <c r="O509" t="n">
        <v>0</v>
      </c>
      <c r="P509" t="n">
        <v>0</v>
      </c>
      <c r="Q509" t="n">
        <v>0</v>
      </c>
      <c r="R509" s="2" t="inlineStr"/>
    </row>
    <row r="510" ht="15" customHeight="1">
      <c r="A510" t="inlineStr">
        <is>
          <t>A 65249-2023</t>
        </is>
      </c>
      <c r="B510" s="1" t="n">
        <v>45290</v>
      </c>
      <c r="C510" s="1" t="n">
        <v>45989</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13910-2025</t>
        </is>
      </c>
      <c r="B511" s="1" t="n">
        <v>45737</v>
      </c>
      <c r="C511" s="1" t="n">
        <v>45989</v>
      </c>
      <c r="D511" t="inlineStr">
        <is>
          <t>GOTLANDS LÄN</t>
        </is>
      </c>
      <c r="E511" t="inlineStr">
        <is>
          <t>GOTLAND</t>
        </is>
      </c>
      <c r="F511" t="inlineStr">
        <is>
          <t>Kommuner</t>
        </is>
      </c>
      <c r="G511" t="n">
        <v>3.2</v>
      </c>
      <c r="H511" t="n">
        <v>0</v>
      </c>
      <c r="I511" t="n">
        <v>0</v>
      </c>
      <c r="J511" t="n">
        <v>0</v>
      </c>
      <c r="K511" t="n">
        <v>0</v>
      </c>
      <c r="L511" t="n">
        <v>0</v>
      </c>
      <c r="M511" t="n">
        <v>0</v>
      </c>
      <c r="N511" t="n">
        <v>0</v>
      </c>
      <c r="O511" t="n">
        <v>0</v>
      </c>
      <c r="P511" t="n">
        <v>0</v>
      </c>
      <c r="Q511" t="n">
        <v>0</v>
      </c>
      <c r="R511" s="2" t="inlineStr"/>
    </row>
    <row r="512" ht="15" customHeight="1">
      <c r="A512" t="inlineStr">
        <is>
          <t>A 17780-2022</t>
        </is>
      </c>
      <c r="B512" s="1" t="n">
        <v>44682.82622685185</v>
      </c>
      <c r="C512" s="1" t="n">
        <v>45989</v>
      </c>
      <c r="D512" t="inlineStr">
        <is>
          <t>GOTLANDS LÄN</t>
        </is>
      </c>
      <c r="E512" t="inlineStr">
        <is>
          <t>GOTLAND</t>
        </is>
      </c>
      <c r="G512" t="n">
        <v>2.2</v>
      </c>
      <c r="H512" t="n">
        <v>0</v>
      </c>
      <c r="I512" t="n">
        <v>0</v>
      </c>
      <c r="J512" t="n">
        <v>0</v>
      </c>
      <c r="K512" t="n">
        <v>0</v>
      </c>
      <c r="L512" t="n">
        <v>0</v>
      </c>
      <c r="M512" t="n">
        <v>0</v>
      </c>
      <c r="N512" t="n">
        <v>0</v>
      </c>
      <c r="O512" t="n">
        <v>0</v>
      </c>
      <c r="P512" t="n">
        <v>0</v>
      </c>
      <c r="Q512" t="n">
        <v>0</v>
      </c>
      <c r="R512" s="2" t="inlineStr"/>
    </row>
    <row r="513" ht="15" customHeight="1">
      <c r="A513" t="inlineStr">
        <is>
          <t>A 59986-2022</t>
        </is>
      </c>
      <c r="B513" s="1" t="n">
        <v>44909</v>
      </c>
      <c r="C513" s="1" t="n">
        <v>45989</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14536-2021</t>
        </is>
      </c>
      <c r="B514" s="1" t="n">
        <v>44279.66168981481</v>
      </c>
      <c r="C514" s="1" t="n">
        <v>45989</v>
      </c>
      <c r="D514" t="inlineStr">
        <is>
          <t>GOTLANDS LÄN</t>
        </is>
      </c>
      <c r="E514" t="inlineStr">
        <is>
          <t>GOTLAND</t>
        </is>
      </c>
      <c r="G514" t="n">
        <v>8.5</v>
      </c>
      <c r="H514" t="n">
        <v>0</v>
      </c>
      <c r="I514" t="n">
        <v>0</v>
      </c>
      <c r="J514" t="n">
        <v>0</v>
      </c>
      <c r="K514" t="n">
        <v>0</v>
      </c>
      <c r="L514" t="n">
        <v>0</v>
      </c>
      <c r="M514" t="n">
        <v>0</v>
      </c>
      <c r="N514" t="n">
        <v>0</v>
      </c>
      <c r="O514" t="n">
        <v>0</v>
      </c>
      <c r="P514" t="n">
        <v>0</v>
      </c>
      <c r="Q514" t="n">
        <v>0</v>
      </c>
      <c r="R514" s="2" t="inlineStr"/>
    </row>
    <row r="515" ht="15" customHeight="1">
      <c r="A515" t="inlineStr">
        <is>
          <t>A 11874-2024</t>
        </is>
      </c>
      <c r="B515" s="1" t="n">
        <v>45376.46956018519</v>
      </c>
      <c r="C515" s="1" t="n">
        <v>45989</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42041-2024</t>
        </is>
      </c>
      <c r="B516" s="1" t="n">
        <v>45561</v>
      </c>
      <c r="C516" s="1" t="n">
        <v>45989</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61694-2023</t>
        </is>
      </c>
      <c r="B517" s="1" t="n">
        <v>45264</v>
      </c>
      <c r="C517" s="1" t="n">
        <v>45989</v>
      </c>
      <c r="D517" t="inlineStr">
        <is>
          <t>GOTLANDS LÄN</t>
        </is>
      </c>
      <c r="E517" t="inlineStr">
        <is>
          <t>GOTLAND</t>
        </is>
      </c>
      <c r="G517" t="n">
        <v>4.6</v>
      </c>
      <c r="H517" t="n">
        <v>0</v>
      </c>
      <c r="I517" t="n">
        <v>0</v>
      </c>
      <c r="J517" t="n">
        <v>0</v>
      </c>
      <c r="K517" t="n">
        <v>0</v>
      </c>
      <c r="L517" t="n">
        <v>0</v>
      </c>
      <c r="M517" t="n">
        <v>0</v>
      </c>
      <c r="N517" t="n">
        <v>0</v>
      </c>
      <c r="O517" t="n">
        <v>0</v>
      </c>
      <c r="P517" t="n">
        <v>0</v>
      </c>
      <c r="Q517" t="n">
        <v>0</v>
      </c>
      <c r="R517" s="2" t="inlineStr"/>
    </row>
    <row r="518" ht="15" customHeight="1">
      <c r="A518" t="inlineStr">
        <is>
          <t>A 64555-2023</t>
        </is>
      </c>
      <c r="B518" s="1" t="n">
        <v>45281</v>
      </c>
      <c r="C518" s="1" t="n">
        <v>45989</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64831-2023</t>
        </is>
      </c>
      <c r="B519" s="1" t="n">
        <v>45282.44924768519</v>
      </c>
      <c r="C519" s="1" t="n">
        <v>45989</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14804-2021</t>
        </is>
      </c>
      <c r="B520" s="1" t="n">
        <v>44280</v>
      </c>
      <c r="C520" s="1" t="n">
        <v>45989</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999-2023</t>
        </is>
      </c>
      <c r="B521" s="1" t="n">
        <v>44935</v>
      </c>
      <c r="C521" s="1" t="n">
        <v>45989</v>
      </c>
      <c r="D521" t="inlineStr">
        <is>
          <t>GOTLANDS LÄN</t>
        </is>
      </c>
      <c r="E521" t="inlineStr">
        <is>
          <t>GOTLAND</t>
        </is>
      </c>
      <c r="G521" t="n">
        <v>4.7</v>
      </c>
      <c r="H521" t="n">
        <v>0</v>
      </c>
      <c r="I521" t="n">
        <v>0</v>
      </c>
      <c r="J521" t="n">
        <v>0</v>
      </c>
      <c r="K521" t="n">
        <v>0</v>
      </c>
      <c r="L521" t="n">
        <v>0</v>
      </c>
      <c r="M521" t="n">
        <v>0</v>
      </c>
      <c r="N521" t="n">
        <v>0</v>
      </c>
      <c r="O521" t="n">
        <v>0</v>
      </c>
      <c r="P521" t="n">
        <v>0</v>
      </c>
      <c r="Q521" t="n">
        <v>0</v>
      </c>
      <c r="R521" s="2" t="inlineStr"/>
    </row>
    <row r="522" ht="15" customHeight="1">
      <c r="A522" t="inlineStr">
        <is>
          <t>A 27602-2023</t>
        </is>
      </c>
      <c r="B522" s="1" t="n">
        <v>45097</v>
      </c>
      <c r="C522" s="1" t="n">
        <v>45989</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4377-2023</t>
        </is>
      </c>
      <c r="B523" s="1" t="n">
        <v>44955.5502662037</v>
      </c>
      <c r="C523" s="1" t="n">
        <v>45989</v>
      </c>
      <c r="D523" t="inlineStr">
        <is>
          <t>GOTLANDS LÄN</t>
        </is>
      </c>
      <c r="E523" t="inlineStr">
        <is>
          <t>GOTLAND</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4387-2023</t>
        </is>
      </c>
      <c r="B524" s="1" t="n">
        <v>44955.73359953704</v>
      </c>
      <c r="C524" s="1" t="n">
        <v>45989</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45989</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51963-2024</t>
        </is>
      </c>
      <c r="B526" s="1" t="n">
        <v>45607.64833333333</v>
      </c>
      <c r="C526" s="1" t="n">
        <v>45989</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811-2023</t>
        </is>
      </c>
      <c r="B527" s="1" t="n">
        <v>44931</v>
      </c>
      <c r="C527" s="1" t="n">
        <v>45989</v>
      </c>
      <c r="D527" t="inlineStr">
        <is>
          <t>GOTLANDS LÄN</t>
        </is>
      </c>
      <c r="E527" t="inlineStr">
        <is>
          <t>GOTLAND</t>
        </is>
      </c>
      <c r="G527" t="n">
        <v>0.6</v>
      </c>
      <c r="H527" t="n">
        <v>0</v>
      </c>
      <c r="I527" t="n">
        <v>0</v>
      </c>
      <c r="J527" t="n">
        <v>0</v>
      </c>
      <c r="K527" t="n">
        <v>0</v>
      </c>
      <c r="L527" t="n">
        <v>0</v>
      </c>
      <c r="M527" t="n">
        <v>0</v>
      </c>
      <c r="N527" t="n">
        <v>0</v>
      </c>
      <c r="O527" t="n">
        <v>0</v>
      </c>
      <c r="P527" t="n">
        <v>0</v>
      </c>
      <c r="Q527" t="n">
        <v>0</v>
      </c>
      <c r="R527" s="2" t="inlineStr"/>
    </row>
    <row r="528" ht="15" customHeight="1">
      <c r="A528" t="inlineStr">
        <is>
          <t>A 46389-2021</t>
        </is>
      </c>
      <c r="B528" s="1" t="n">
        <v>44443</v>
      </c>
      <c r="C528" s="1" t="n">
        <v>45989</v>
      </c>
      <c r="D528" t="inlineStr">
        <is>
          <t>GOTLANDS LÄN</t>
        </is>
      </c>
      <c r="E528" t="inlineStr">
        <is>
          <t>GOTLAND</t>
        </is>
      </c>
      <c r="F528" t="inlineStr">
        <is>
          <t>Kyrkan</t>
        </is>
      </c>
      <c r="G528" t="n">
        <v>2.1</v>
      </c>
      <c r="H528" t="n">
        <v>0</v>
      </c>
      <c r="I528" t="n">
        <v>0</v>
      </c>
      <c r="J528" t="n">
        <v>0</v>
      </c>
      <c r="K528" t="n">
        <v>0</v>
      </c>
      <c r="L528" t="n">
        <v>0</v>
      </c>
      <c r="M528" t="n">
        <v>0</v>
      </c>
      <c r="N528" t="n">
        <v>0</v>
      </c>
      <c r="O528" t="n">
        <v>0</v>
      </c>
      <c r="P528" t="n">
        <v>0</v>
      </c>
      <c r="Q528" t="n">
        <v>0</v>
      </c>
      <c r="R528" s="2" t="inlineStr"/>
    </row>
    <row r="529" ht="15" customHeight="1">
      <c r="A529" t="inlineStr">
        <is>
          <t>A 26810-2021</t>
        </is>
      </c>
      <c r="B529" s="1" t="n">
        <v>44349.55087962963</v>
      </c>
      <c r="C529" s="1" t="n">
        <v>45989</v>
      </c>
      <c r="D529" t="inlineStr">
        <is>
          <t>GOTLANDS LÄN</t>
        </is>
      </c>
      <c r="E529" t="inlineStr">
        <is>
          <t>GOTLAND</t>
        </is>
      </c>
      <c r="G529" t="n">
        <v>3.5</v>
      </c>
      <c r="H529" t="n">
        <v>0</v>
      </c>
      <c r="I529" t="n">
        <v>0</v>
      </c>
      <c r="J529" t="n">
        <v>0</v>
      </c>
      <c r="K529" t="n">
        <v>0</v>
      </c>
      <c r="L529" t="n">
        <v>0</v>
      </c>
      <c r="M529" t="n">
        <v>0</v>
      </c>
      <c r="N529" t="n">
        <v>0</v>
      </c>
      <c r="O529" t="n">
        <v>0</v>
      </c>
      <c r="P529" t="n">
        <v>0</v>
      </c>
      <c r="Q529" t="n">
        <v>0</v>
      </c>
      <c r="R529" s="2" t="inlineStr"/>
    </row>
    <row r="530" ht="15" customHeight="1">
      <c r="A530" t="inlineStr">
        <is>
          <t>A 5923-2023</t>
        </is>
      </c>
      <c r="B530" s="1" t="n">
        <v>44963.69503472222</v>
      </c>
      <c r="C530" s="1" t="n">
        <v>45989</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33853-2024</t>
        </is>
      </c>
      <c r="B531" s="1" t="n">
        <v>45520.64298611111</v>
      </c>
      <c r="C531" s="1" t="n">
        <v>45989</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18918-2025</t>
        </is>
      </c>
      <c r="B532" s="1" t="n">
        <v>45764</v>
      </c>
      <c r="C532" s="1" t="n">
        <v>45989</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2674-2023</t>
        </is>
      </c>
      <c r="B533" s="1" t="n">
        <v>44944</v>
      </c>
      <c r="C533" s="1" t="n">
        <v>45989</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10655-2023</t>
        </is>
      </c>
      <c r="B534" s="1" t="n">
        <v>44988.49543981482</v>
      </c>
      <c r="C534" s="1" t="n">
        <v>45989</v>
      </c>
      <c r="D534" t="inlineStr">
        <is>
          <t>GOTLANDS LÄN</t>
        </is>
      </c>
      <c r="E534" t="inlineStr">
        <is>
          <t>GOTLAND</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2719-2023</t>
        </is>
      </c>
      <c r="B535" s="1" t="n">
        <v>44944.55361111111</v>
      </c>
      <c r="C535" s="1" t="n">
        <v>45989</v>
      </c>
      <c r="D535" t="inlineStr">
        <is>
          <t>GOTLANDS LÄN</t>
        </is>
      </c>
      <c r="E535" t="inlineStr">
        <is>
          <t>GOTLAND</t>
        </is>
      </c>
      <c r="G535" t="n">
        <v>0.5</v>
      </c>
      <c r="H535" t="n">
        <v>0</v>
      </c>
      <c r="I535" t="n">
        <v>0</v>
      </c>
      <c r="J535" t="n">
        <v>0</v>
      </c>
      <c r="K535" t="n">
        <v>0</v>
      </c>
      <c r="L535" t="n">
        <v>0</v>
      </c>
      <c r="M535" t="n">
        <v>0</v>
      </c>
      <c r="N535" t="n">
        <v>0</v>
      </c>
      <c r="O535" t="n">
        <v>0</v>
      </c>
      <c r="P535" t="n">
        <v>0</v>
      </c>
      <c r="Q535" t="n">
        <v>0</v>
      </c>
      <c r="R535" s="2" t="inlineStr"/>
    </row>
    <row r="536" ht="15" customHeight="1">
      <c r="A536" t="inlineStr">
        <is>
          <t>A 26891-2024</t>
        </is>
      </c>
      <c r="B536" s="1" t="n">
        <v>45470.65540509259</v>
      </c>
      <c r="C536" s="1" t="n">
        <v>45989</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42007-2023</t>
        </is>
      </c>
      <c r="B537" s="1" t="n">
        <v>45177</v>
      </c>
      <c r="C537" s="1" t="n">
        <v>45989</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9887-2025</t>
        </is>
      </c>
      <c r="B538" s="1" t="n">
        <v>45716</v>
      </c>
      <c r="C538" s="1" t="n">
        <v>45989</v>
      </c>
      <c r="D538" t="inlineStr">
        <is>
          <t>GOTLANDS LÄN</t>
        </is>
      </c>
      <c r="E538" t="inlineStr">
        <is>
          <t>GOTLAND</t>
        </is>
      </c>
      <c r="G538" t="n">
        <v>7.5</v>
      </c>
      <c r="H538" t="n">
        <v>0</v>
      </c>
      <c r="I538" t="n">
        <v>0</v>
      </c>
      <c r="J538" t="n">
        <v>0</v>
      </c>
      <c r="K538" t="n">
        <v>0</v>
      </c>
      <c r="L538" t="n">
        <v>0</v>
      </c>
      <c r="M538" t="n">
        <v>0</v>
      </c>
      <c r="N538" t="n">
        <v>0</v>
      </c>
      <c r="O538" t="n">
        <v>0</v>
      </c>
      <c r="P538" t="n">
        <v>0</v>
      </c>
      <c r="Q538" t="n">
        <v>0</v>
      </c>
      <c r="R538" s="2" t="inlineStr"/>
    </row>
    <row r="539" ht="15" customHeight="1">
      <c r="A539" t="inlineStr">
        <is>
          <t>A 38165-2023</t>
        </is>
      </c>
      <c r="B539" s="1" t="n">
        <v>45161</v>
      </c>
      <c r="C539" s="1" t="n">
        <v>45989</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27596-2023</t>
        </is>
      </c>
      <c r="B540" s="1" t="n">
        <v>45097</v>
      </c>
      <c r="C540" s="1" t="n">
        <v>45989</v>
      </c>
      <c r="D540" t="inlineStr">
        <is>
          <t>GOTLANDS LÄN</t>
        </is>
      </c>
      <c r="E540" t="inlineStr">
        <is>
          <t>GOTLAND</t>
        </is>
      </c>
      <c r="G540" t="n">
        <v>3.6</v>
      </c>
      <c r="H540" t="n">
        <v>0</v>
      </c>
      <c r="I540" t="n">
        <v>0</v>
      </c>
      <c r="J540" t="n">
        <v>0</v>
      </c>
      <c r="K540" t="n">
        <v>0</v>
      </c>
      <c r="L540" t="n">
        <v>0</v>
      </c>
      <c r="M540" t="n">
        <v>0</v>
      </c>
      <c r="N540" t="n">
        <v>0</v>
      </c>
      <c r="O540" t="n">
        <v>0</v>
      </c>
      <c r="P540" t="n">
        <v>0</v>
      </c>
      <c r="Q540" t="n">
        <v>0</v>
      </c>
      <c r="R540" s="2" t="inlineStr"/>
    </row>
    <row r="541" ht="15" customHeight="1">
      <c r="A541" t="inlineStr">
        <is>
          <t>A 24825-2024</t>
        </is>
      </c>
      <c r="B541" s="1" t="n">
        <v>45461</v>
      </c>
      <c r="C541" s="1" t="n">
        <v>45989</v>
      </c>
      <c r="D541" t="inlineStr">
        <is>
          <t>GOTLANDS LÄN</t>
        </is>
      </c>
      <c r="E541" t="inlineStr">
        <is>
          <t>GOTLAND</t>
        </is>
      </c>
      <c r="G541" t="n">
        <v>1.3</v>
      </c>
      <c r="H541" t="n">
        <v>0</v>
      </c>
      <c r="I541" t="n">
        <v>0</v>
      </c>
      <c r="J541" t="n">
        <v>0</v>
      </c>
      <c r="K541" t="n">
        <v>0</v>
      </c>
      <c r="L541" t="n">
        <v>0</v>
      </c>
      <c r="M541" t="n">
        <v>0</v>
      </c>
      <c r="N541" t="n">
        <v>0</v>
      </c>
      <c r="O541" t="n">
        <v>0</v>
      </c>
      <c r="P541" t="n">
        <v>0</v>
      </c>
      <c r="Q541" t="n">
        <v>0</v>
      </c>
      <c r="R541" s="2" t="inlineStr"/>
    </row>
    <row r="542" ht="15" customHeight="1">
      <c r="A542" t="inlineStr">
        <is>
          <t>A 6696-2023</t>
        </is>
      </c>
      <c r="B542" s="1" t="n">
        <v>44966.66425925926</v>
      </c>
      <c r="C542" s="1" t="n">
        <v>45989</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21247-2022</t>
        </is>
      </c>
      <c r="B543" s="1" t="n">
        <v>44705.38832175926</v>
      </c>
      <c r="C543" s="1" t="n">
        <v>45989</v>
      </c>
      <c r="D543" t="inlineStr">
        <is>
          <t>GOTLANDS LÄN</t>
        </is>
      </c>
      <c r="E543" t="inlineStr">
        <is>
          <t>GOTLAND</t>
        </is>
      </c>
      <c r="G543" t="n">
        <v>16.2</v>
      </c>
      <c r="H543" t="n">
        <v>0</v>
      </c>
      <c r="I543" t="n">
        <v>0</v>
      </c>
      <c r="J543" t="n">
        <v>0</v>
      </c>
      <c r="K543" t="n">
        <v>0</v>
      </c>
      <c r="L543" t="n">
        <v>0</v>
      </c>
      <c r="M543" t="n">
        <v>0</v>
      </c>
      <c r="N543" t="n">
        <v>0</v>
      </c>
      <c r="O543" t="n">
        <v>0</v>
      </c>
      <c r="P543" t="n">
        <v>0</v>
      </c>
      <c r="Q543" t="n">
        <v>0</v>
      </c>
      <c r="R543" s="2" t="inlineStr"/>
    </row>
    <row r="544" ht="15" customHeight="1">
      <c r="A544" t="inlineStr">
        <is>
          <t>A 456-2023</t>
        </is>
      </c>
      <c r="B544" s="1" t="n">
        <v>44929.87122685185</v>
      </c>
      <c r="C544" s="1" t="n">
        <v>45989</v>
      </c>
      <c r="D544" t="inlineStr">
        <is>
          <t>GOTLANDS LÄN</t>
        </is>
      </c>
      <c r="E544" t="inlineStr">
        <is>
          <t>GOTLAND</t>
        </is>
      </c>
      <c r="G544" t="n">
        <v>3.2</v>
      </c>
      <c r="H544" t="n">
        <v>0</v>
      </c>
      <c r="I544" t="n">
        <v>0</v>
      </c>
      <c r="J544" t="n">
        <v>0</v>
      </c>
      <c r="K544" t="n">
        <v>0</v>
      </c>
      <c r="L544" t="n">
        <v>0</v>
      </c>
      <c r="M544" t="n">
        <v>0</v>
      </c>
      <c r="N544" t="n">
        <v>0</v>
      </c>
      <c r="O544" t="n">
        <v>0</v>
      </c>
      <c r="P544" t="n">
        <v>0</v>
      </c>
      <c r="Q544" t="n">
        <v>0</v>
      </c>
      <c r="R544" s="2" t="inlineStr"/>
    </row>
    <row r="545" ht="15" customHeight="1">
      <c r="A545" t="inlineStr">
        <is>
          <t>A 2714-2023</t>
        </is>
      </c>
      <c r="B545" s="1" t="n">
        <v>44944.54896990741</v>
      </c>
      <c r="C545" s="1" t="n">
        <v>45989</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4421-2024</t>
        </is>
      </c>
      <c r="B546" s="1" t="n">
        <v>45327.45173611111</v>
      </c>
      <c r="C546" s="1" t="n">
        <v>45989</v>
      </c>
      <c r="D546" t="inlineStr">
        <is>
          <t>GOTLANDS LÄN</t>
        </is>
      </c>
      <c r="E546" t="inlineStr">
        <is>
          <t>GOTLAND</t>
        </is>
      </c>
      <c r="G546" t="n">
        <v>5.1</v>
      </c>
      <c r="H546" t="n">
        <v>0</v>
      </c>
      <c r="I546" t="n">
        <v>0</v>
      </c>
      <c r="J546" t="n">
        <v>0</v>
      </c>
      <c r="K546" t="n">
        <v>0</v>
      </c>
      <c r="L546" t="n">
        <v>0</v>
      </c>
      <c r="M546" t="n">
        <v>0</v>
      </c>
      <c r="N546" t="n">
        <v>0</v>
      </c>
      <c r="O546" t="n">
        <v>0</v>
      </c>
      <c r="P546" t="n">
        <v>0</v>
      </c>
      <c r="Q546" t="n">
        <v>0</v>
      </c>
      <c r="R546" s="2" t="inlineStr"/>
    </row>
    <row r="547" ht="15" customHeight="1">
      <c r="A547" t="inlineStr">
        <is>
          <t>A 51782-2023</t>
        </is>
      </c>
      <c r="B547" s="1" t="n">
        <v>45222.80952546297</v>
      </c>
      <c r="C547" s="1" t="n">
        <v>45989</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45989</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57534-2022</t>
        </is>
      </c>
      <c r="B549" s="1" t="n">
        <v>44896</v>
      </c>
      <c r="C549" s="1" t="n">
        <v>45989</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25866-2022</t>
        </is>
      </c>
      <c r="B550" s="1" t="n">
        <v>44733</v>
      </c>
      <c r="C550" s="1" t="n">
        <v>45989</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43229-2023</t>
        </is>
      </c>
      <c r="B551" s="1" t="n">
        <v>45183.46704861111</v>
      </c>
      <c r="C551" s="1" t="n">
        <v>45989</v>
      </c>
      <c r="D551" t="inlineStr">
        <is>
          <t>GOTLANDS LÄN</t>
        </is>
      </c>
      <c r="E551" t="inlineStr">
        <is>
          <t>GOTLAND</t>
        </is>
      </c>
      <c r="G551" t="n">
        <v>7.1</v>
      </c>
      <c r="H551" t="n">
        <v>0</v>
      </c>
      <c r="I551" t="n">
        <v>0</v>
      </c>
      <c r="J551" t="n">
        <v>0</v>
      </c>
      <c r="K551" t="n">
        <v>0</v>
      </c>
      <c r="L551" t="n">
        <v>0</v>
      </c>
      <c r="M551" t="n">
        <v>0</v>
      </c>
      <c r="N551" t="n">
        <v>0</v>
      </c>
      <c r="O551" t="n">
        <v>0</v>
      </c>
      <c r="P551" t="n">
        <v>0</v>
      </c>
      <c r="Q551" t="n">
        <v>0</v>
      </c>
      <c r="R551" s="2" t="inlineStr"/>
    </row>
    <row r="552" ht="15" customHeight="1">
      <c r="A552" t="inlineStr">
        <is>
          <t>A 1175-2025</t>
        </is>
      </c>
      <c r="B552" s="1" t="n">
        <v>45667.34449074074</v>
      </c>
      <c r="C552" s="1" t="n">
        <v>45989</v>
      </c>
      <c r="D552" t="inlineStr">
        <is>
          <t>GOTLANDS LÄN</t>
        </is>
      </c>
      <c r="E552" t="inlineStr">
        <is>
          <t>GOTLAND</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27095-2022</t>
        </is>
      </c>
      <c r="B553" s="1" t="n">
        <v>44741</v>
      </c>
      <c r="C553" s="1" t="n">
        <v>45989</v>
      </c>
      <c r="D553" t="inlineStr">
        <is>
          <t>GOTLANDS LÄN</t>
        </is>
      </c>
      <c r="E553" t="inlineStr">
        <is>
          <t>GOTLAND</t>
        </is>
      </c>
      <c r="F553" t="inlineStr">
        <is>
          <t>Övriga Aktiebolag</t>
        </is>
      </c>
      <c r="G553" t="n">
        <v>2.9</v>
      </c>
      <c r="H553" t="n">
        <v>0</v>
      </c>
      <c r="I553" t="n">
        <v>0</v>
      </c>
      <c r="J553" t="n">
        <v>0</v>
      </c>
      <c r="K553" t="n">
        <v>0</v>
      </c>
      <c r="L553" t="n">
        <v>0</v>
      </c>
      <c r="M553" t="n">
        <v>0</v>
      </c>
      <c r="N553" t="n">
        <v>0</v>
      </c>
      <c r="O553" t="n">
        <v>0</v>
      </c>
      <c r="P553" t="n">
        <v>0</v>
      </c>
      <c r="Q553" t="n">
        <v>0</v>
      </c>
      <c r="R553" s="2" t="inlineStr"/>
    </row>
    <row r="554" ht="15" customHeight="1">
      <c r="A554" t="inlineStr">
        <is>
          <t>A 22899-2023</t>
        </is>
      </c>
      <c r="B554" s="1" t="n">
        <v>45072</v>
      </c>
      <c r="C554" s="1" t="n">
        <v>45989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23978-2023</t>
        </is>
      </c>
      <c r="B555" s="1" t="n">
        <v>45078</v>
      </c>
      <c r="C555" s="1" t="n">
        <v>45989</v>
      </c>
      <c r="D555" t="inlineStr">
        <is>
          <t>GOTLANDS LÄN</t>
        </is>
      </c>
      <c r="E555" t="inlineStr">
        <is>
          <t>GOTLAND</t>
        </is>
      </c>
      <c r="F555" t="inlineStr">
        <is>
          <t>Naturvårdsverket</t>
        </is>
      </c>
      <c r="G555" t="n">
        <v>1.7</v>
      </c>
      <c r="H555" t="n">
        <v>0</v>
      </c>
      <c r="I555" t="n">
        <v>0</v>
      </c>
      <c r="J555" t="n">
        <v>0</v>
      </c>
      <c r="K555" t="n">
        <v>0</v>
      </c>
      <c r="L555" t="n">
        <v>0</v>
      </c>
      <c r="M555" t="n">
        <v>0</v>
      </c>
      <c r="N555" t="n">
        <v>0</v>
      </c>
      <c r="O555" t="n">
        <v>0</v>
      </c>
      <c r="P555" t="n">
        <v>0</v>
      </c>
      <c r="Q555" t="n">
        <v>0</v>
      </c>
      <c r="R555" s="2" t="inlineStr"/>
    </row>
    <row r="556" ht="15" customHeight="1">
      <c r="A556" t="inlineStr">
        <is>
          <t>A 34407-2023</t>
        </is>
      </c>
      <c r="B556" s="1" t="n">
        <v>45132</v>
      </c>
      <c r="C556" s="1" t="n">
        <v>45989</v>
      </c>
      <c r="D556" t="inlineStr">
        <is>
          <t>GOTLANDS LÄN</t>
        </is>
      </c>
      <c r="E556" t="inlineStr">
        <is>
          <t>GOTLAND</t>
        </is>
      </c>
      <c r="G556" t="n">
        <v>4.4</v>
      </c>
      <c r="H556" t="n">
        <v>0</v>
      </c>
      <c r="I556" t="n">
        <v>0</v>
      </c>
      <c r="J556" t="n">
        <v>0</v>
      </c>
      <c r="K556" t="n">
        <v>0</v>
      </c>
      <c r="L556" t="n">
        <v>0</v>
      </c>
      <c r="M556" t="n">
        <v>0</v>
      </c>
      <c r="N556" t="n">
        <v>0</v>
      </c>
      <c r="O556" t="n">
        <v>0</v>
      </c>
      <c r="P556" t="n">
        <v>0</v>
      </c>
      <c r="Q556" t="n">
        <v>0</v>
      </c>
      <c r="R556" s="2" t="inlineStr"/>
    </row>
    <row r="557" ht="15" customHeight="1">
      <c r="A557" t="inlineStr">
        <is>
          <t>A 11013-2024</t>
        </is>
      </c>
      <c r="B557" s="1" t="n">
        <v>45370</v>
      </c>
      <c r="C557" s="1" t="n">
        <v>45989</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27694-2024</t>
        </is>
      </c>
      <c r="B558" s="1" t="n">
        <v>45475</v>
      </c>
      <c r="C558" s="1" t="n">
        <v>45989</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15083-2025</t>
        </is>
      </c>
      <c r="B559" s="1" t="n">
        <v>45743</v>
      </c>
      <c r="C559" s="1" t="n">
        <v>45989</v>
      </c>
      <c r="D559" t="inlineStr">
        <is>
          <t>GOTLANDS LÄN</t>
        </is>
      </c>
      <c r="E559" t="inlineStr">
        <is>
          <t>GOTLAND</t>
        </is>
      </c>
      <c r="G559" t="n">
        <v>2.3</v>
      </c>
      <c r="H559" t="n">
        <v>0</v>
      </c>
      <c r="I559" t="n">
        <v>0</v>
      </c>
      <c r="J559" t="n">
        <v>0</v>
      </c>
      <c r="K559" t="n">
        <v>0</v>
      </c>
      <c r="L559" t="n">
        <v>0</v>
      </c>
      <c r="M559" t="n">
        <v>0</v>
      </c>
      <c r="N559" t="n">
        <v>0</v>
      </c>
      <c r="O559" t="n">
        <v>0</v>
      </c>
      <c r="P559" t="n">
        <v>0</v>
      </c>
      <c r="Q559" t="n">
        <v>0</v>
      </c>
      <c r="R559" s="2" t="inlineStr"/>
    </row>
    <row r="560" ht="15" customHeight="1">
      <c r="A560" t="inlineStr">
        <is>
          <t>A 13037-2025</t>
        </is>
      </c>
      <c r="B560" s="1" t="n">
        <v>45734</v>
      </c>
      <c r="C560" s="1" t="n">
        <v>45989</v>
      </c>
      <c r="D560" t="inlineStr">
        <is>
          <t>GOTLANDS LÄN</t>
        </is>
      </c>
      <c r="E560" t="inlineStr">
        <is>
          <t>GOTLAND</t>
        </is>
      </c>
      <c r="G560" t="n">
        <v>9.5</v>
      </c>
      <c r="H560" t="n">
        <v>0</v>
      </c>
      <c r="I560" t="n">
        <v>0</v>
      </c>
      <c r="J560" t="n">
        <v>0</v>
      </c>
      <c r="K560" t="n">
        <v>0</v>
      </c>
      <c r="L560" t="n">
        <v>0</v>
      </c>
      <c r="M560" t="n">
        <v>0</v>
      </c>
      <c r="N560" t="n">
        <v>0</v>
      </c>
      <c r="O560" t="n">
        <v>0</v>
      </c>
      <c r="P560" t="n">
        <v>0</v>
      </c>
      <c r="Q560" t="n">
        <v>0</v>
      </c>
      <c r="R560" s="2" t="inlineStr"/>
    </row>
    <row r="561" ht="15" customHeight="1">
      <c r="A561" t="inlineStr">
        <is>
          <t>A 458-2023</t>
        </is>
      </c>
      <c r="B561" s="1" t="n">
        <v>44929</v>
      </c>
      <c r="C561" s="1" t="n">
        <v>45989</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44228-2022</t>
        </is>
      </c>
      <c r="B562" s="1" t="n">
        <v>44839.51599537037</v>
      </c>
      <c r="C562" s="1" t="n">
        <v>45989</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58132-2023</t>
        </is>
      </c>
      <c r="B563" s="1" t="n">
        <v>45250</v>
      </c>
      <c r="C563" s="1" t="n">
        <v>45989</v>
      </c>
      <c r="D563" t="inlineStr">
        <is>
          <t>GOTLANDS LÄN</t>
        </is>
      </c>
      <c r="E563" t="inlineStr">
        <is>
          <t>GOTLAND</t>
        </is>
      </c>
      <c r="G563" t="n">
        <v>3.1</v>
      </c>
      <c r="H563" t="n">
        <v>0</v>
      </c>
      <c r="I563" t="n">
        <v>0</v>
      </c>
      <c r="J563" t="n">
        <v>0</v>
      </c>
      <c r="K563" t="n">
        <v>0</v>
      </c>
      <c r="L563" t="n">
        <v>0</v>
      </c>
      <c r="M563" t="n">
        <v>0</v>
      </c>
      <c r="N563" t="n">
        <v>0</v>
      </c>
      <c r="O563" t="n">
        <v>0</v>
      </c>
      <c r="P563" t="n">
        <v>0</v>
      </c>
      <c r="Q563" t="n">
        <v>0</v>
      </c>
      <c r="R563" s="2" t="inlineStr"/>
    </row>
    <row r="564" ht="15" customHeight="1">
      <c r="A564" t="inlineStr">
        <is>
          <t>A 49884-2023</t>
        </is>
      </c>
      <c r="B564" s="1" t="n">
        <v>45213</v>
      </c>
      <c r="C564" s="1" t="n">
        <v>45989</v>
      </c>
      <c r="D564" t="inlineStr">
        <is>
          <t>GOTLANDS LÄN</t>
        </is>
      </c>
      <c r="E564" t="inlineStr">
        <is>
          <t>GOTLAND</t>
        </is>
      </c>
      <c r="G564" t="n">
        <v>8.9</v>
      </c>
      <c r="H564" t="n">
        <v>0</v>
      </c>
      <c r="I564" t="n">
        <v>0</v>
      </c>
      <c r="J564" t="n">
        <v>0</v>
      </c>
      <c r="K564" t="n">
        <v>0</v>
      </c>
      <c r="L564" t="n">
        <v>0</v>
      </c>
      <c r="M564" t="n">
        <v>0</v>
      </c>
      <c r="N564" t="n">
        <v>0</v>
      </c>
      <c r="O564" t="n">
        <v>0</v>
      </c>
      <c r="P564" t="n">
        <v>0</v>
      </c>
      <c r="Q564" t="n">
        <v>0</v>
      </c>
      <c r="R564" s="2" t="inlineStr"/>
    </row>
    <row r="565" ht="15" customHeight="1">
      <c r="A565" t="inlineStr">
        <is>
          <t>A 876-2024</t>
        </is>
      </c>
      <c r="B565" s="1" t="n">
        <v>45301</v>
      </c>
      <c r="C565" s="1" t="n">
        <v>45989</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45989</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28425-2023</t>
        </is>
      </c>
      <c r="B567" s="1" t="n">
        <v>45102</v>
      </c>
      <c r="C567" s="1" t="n">
        <v>45989</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58476-2022</t>
        </is>
      </c>
      <c r="B568" s="1" t="n">
        <v>44902</v>
      </c>
      <c r="C568" s="1" t="n">
        <v>45989</v>
      </c>
      <c r="D568" t="inlineStr">
        <is>
          <t>GOTLANDS LÄN</t>
        </is>
      </c>
      <c r="E568" t="inlineStr">
        <is>
          <t>GOTLAND</t>
        </is>
      </c>
      <c r="G568" t="n">
        <v>0.9</v>
      </c>
      <c r="H568" t="n">
        <v>0</v>
      </c>
      <c r="I568" t="n">
        <v>0</v>
      </c>
      <c r="J568" t="n">
        <v>0</v>
      </c>
      <c r="K568" t="n">
        <v>0</v>
      </c>
      <c r="L568" t="n">
        <v>0</v>
      </c>
      <c r="M568" t="n">
        <v>0</v>
      </c>
      <c r="N568" t="n">
        <v>0</v>
      </c>
      <c r="O568" t="n">
        <v>0</v>
      </c>
      <c r="P568" t="n">
        <v>0</v>
      </c>
      <c r="Q568" t="n">
        <v>0</v>
      </c>
      <c r="R568" s="2" t="inlineStr"/>
    </row>
    <row r="569" ht="15" customHeight="1">
      <c r="A569" t="inlineStr">
        <is>
          <t>A 43200-2023</t>
        </is>
      </c>
      <c r="B569" s="1" t="n">
        <v>45183</v>
      </c>
      <c r="C569" s="1" t="n">
        <v>45989</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43223-2023</t>
        </is>
      </c>
      <c r="B570" s="1" t="n">
        <v>45183.45642361111</v>
      </c>
      <c r="C570" s="1" t="n">
        <v>45989</v>
      </c>
      <c r="D570" t="inlineStr">
        <is>
          <t>GOTLANDS LÄN</t>
        </is>
      </c>
      <c r="E570" t="inlineStr">
        <is>
          <t>GOTLAND</t>
        </is>
      </c>
      <c r="G570" t="n">
        <v>1.8</v>
      </c>
      <c r="H570" t="n">
        <v>0</v>
      </c>
      <c r="I570" t="n">
        <v>0</v>
      </c>
      <c r="J570" t="n">
        <v>0</v>
      </c>
      <c r="K570" t="n">
        <v>0</v>
      </c>
      <c r="L570" t="n">
        <v>0</v>
      </c>
      <c r="M570" t="n">
        <v>0</v>
      </c>
      <c r="N570" t="n">
        <v>0</v>
      </c>
      <c r="O570" t="n">
        <v>0</v>
      </c>
      <c r="P570" t="n">
        <v>0</v>
      </c>
      <c r="Q570" t="n">
        <v>0</v>
      </c>
      <c r="R570" s="2" t="inlineStr"/>
    </row>
    <row r="571" ht="15" customHeight="1">
      <c r="A571" t="inlineStr">
        <is>
          <t>A 12327-2025</t>
        </is>
      </c>
      <c r="B571" s="1" t="n">
        <v>45730</v>
      </c>
      <c r="C571" s="1" t="n">
        <v>45989</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3431-2025</t>
        </is>
      </c>
      <c r="B572" s="1" t="n">
        <v>45680.42935185185</v>
      </c>
      <c r="C572" s="1" t="n">
        <v>45989</v>
      </c>
      <c r="D572" t="inlineStr">
        <is>
          <t>GOTLANDS LÄN</t>
        </is>
      </c>
      <c r="E572" t="inlineStr">
        <is>
          <t>GOTLAND</t>
        </is>
      </c>
      <c r="G572" t="n">
        <v>4.8</v>
      </c>
      <c r="H572" t="n">
        <v>0</v>
      </c>
      <c r="I572" t="n">
        <v>0</v>
      </c>
      <c r="J572" t="n">
        <v>0</v>
      </c>
      <c r="K572" t="n">
        <v>0</v>
      </c>
      <c r="L572" t="n">
        <v>0</v>
      </c>
      <c r="M572" t="n">
        <v>0</v>
      </c>
      <c r="N572" t="n">
        <v>0</v>
      </c>
      <c r="O572" t="n">
        <v>0</v>
      </c>
      <c r="P572" t="n">
        <v>0</v>
      </c>
      <c r="Q572" t="n">
        <v>0</v>
      </c>
      <c r="R572" s="2" t="inlineStr"/>
    </row>
    <row r="573" ht="15" customHeight="1">
      <c r="A573" t="inlineStr">
        <is>
          <t>A 12209-2024</t>
        </is>
      </c>
      <c r="B573" s="1" t="n">
        <v>45378</v>
      </c>
      <c r="C573" s="1" t="n">
        <v>45989</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12210-2024</t>
        </is>
      </c>
      <c r="B574" s="1" t="n">
        <v>45378</v>
      </c>
      <c r="C574" s="1" t="n">
        <v>45989</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1364-2025</t>
        </is>
      </c>
      <c r="B575" s="1" t="n">
        <v>45667.63929398148</v>
      </c>
      <c r="C575" s="1" t="n">
        <v>45989</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15042-2025</t>
        </is>
      </c>
      <c r="B576" s="1" t="n">
        <v>45743</v>
      </c>
      <c r="C576" s="1" t="n">
        <v>45989</v>
      </c>
      <c r="D576" t="inlineStr">
        <is>
          <t>GOTLANDS LÄN</t>
        </is>
      </c>
      <c r="E576" t="inlineStr">
        <is>
          <t>GOTLAND</t>
        </is>
      </c>
      <c r="G576" t="n">
        <v>8.5</v>
      </c>
      <c r="H576" t="n">
        <v>0</v>
      </c>
      <c r="I576" t="n">
        <v>0</v>
      </c>
      <c r="J576" t="n">
        <v>0</v>
      </c>
      <c r="K576" t="n">
        <v>0</v>
      </c>
      <c r="L576" t="n">
        <v>0</v>
      </c>
      <c r="M576" t="n">
        <v>0</v>
      </c>
      <c r="N576" t="n">
        <v>0</v>
      </c>
      <c r="O576" t="n">
        <v>0</v>
      </c>
      <c r="P576" t="n">
        <v>0</v>
      </c>
      <c r="Q576" t="n">
        <v>0</v>
      </c>
      <c r="R576" s="2" t="inlineStr"/>
    </row>
    <row r="577" ht="15" customHeight="1">
      <c r="A577" t="inlineStr">
        <is>
          <t>A 2180-2025</t>
        </is>
      </c>
      <c r="B577" s="1" t="n">
        <v>45673</v>
      </c>
      <c r="C577" s="1" t="n">
        <v>45989</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15436-2025</t>
        </is>
      </c>
      <c r="B578" s="1" t="n">
        <v>45747.47462962963</v>
      </c>
      <c r="C578" s="1" t="n">
        <v>45989</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49257-2024</t>
        </is>
      </c>
      <c r="B579" s="1" t="n">
        <v>45595.47627314815</v>
      </c>
      <c r="C579" s="1" t="n">
        <v>45989</v>
      </c>
      <c r="D579" t="inlineStr">
        <is>
          <t>GOTLANDS LÄN</t>
        </is>
      </c>
      <c r="E579" t="inlineStr">
        <is>
          <t>GOTLAND</t>
        </is>
      </c>
      <c r="G579" t="n">
        <v>6.3</v>
      </c>
      <c r="H579" t="n">
        <v>0</v>
      </c>
      <c r="I579" t="n">
        <v>0</v>
      </c>
      <c r="J579" t="n">
        <v>0</v>
      </c>
      <c r="K579" t="n">
        <v>0</v>
      </c>
      <c r="L579" t="n">
        <v>0</v>
      </c>
      <c r="M579" t="n">
        <v>0</v>
      </c>
      <c r="N579" t="n">
        <v>0</v>
      </c>
      <c r="O579" t="n">
        <v>0</v>
      </c>
      <c r="P579" t="n">
        <v>0</v>
      </c>
      <c r="Q579" t="n">
        <v>0</v>
      </c>
      <c r="R579" s="2" t="inlineStr"/>
    </row>
    <row r="580" ht="15" customHeight="1">
      <c r="A580" t="inlineStr">
        <is>
          <t>A 37202-2024</t>
        </is>
      </c>
      <c r="B580" s="1" t="n">
        <v>45539.67310185185</v>
      </c>
      <c r="C580" s="1" t="n">
        <v>45989</v>
      </c>
      <c r="D580" t="inlineStr">
        <is>
          <t>GOTLANDS LÄN</t>
        </is>
      </c>
      <c r="E580" t="inlineStr">
        <is>
          <t>GOTLAND</t>
        </is>
      </c>
      <c r="G580" t="n">
        <v>0.3</v>
      </c>
      <c r="H580" t="n">
        <v>0</v>
      </c>
      <c r="I580" t="n">
        <v>0</v>
      </c>
      <c r="J580" t="n">
        <v>0</v>
      </c>
      <c r="K580" t="n">
        <v>0</v>
      </c>
      <c r="L580" t="n">
        <v>0</v>
      </c>
      <c r="M580" t="n">
        <v>0</v>
      </c>
      <c r="N580" t="n">
        <v>0</v>
      </c>
      <c r="O580" t="n">
        <v>0</v>
      </c>
      <c r="P580" t="n">
        <v>0</v>
      </c>
      <c r="Q580" t="n">
        <v>0</v>
      </c>
      <c r="R580" s="2" t="inlineStr"/>
    </row>
    <row r="581" ht="15" customHeight="1">
      <c r="A581" t="inlineStr">
        <is>
          <t>A 56115-2023</t>
        </is>
      </c>
      <c r="B581" s="1" t="n">
        <v>45236</v>
      </c>
      <c r="C581" s="1" t="n">
        <v>45989</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2774-2024</t>
        </is>
      </c>
      <c r="B582" s="1" t="n">
        <v>45314.62375</v>
      </c>
      <c r="C582" s="1" t="n">
        <v>45989</v>
      </c>
      <c r="D582" t="inlineStr">
        <is>
          <t>GOTLANDS LÄN</t>
        </is>
      </c>
      <c r="E582" t="inlineStr">
        <is>
          <t>GOTLAND</t>
        </is>
      </c>
      <c r="G582" t="n">
        <v>1</v>
      </c>
      <c r="H582" t="n">
        <v>0</v>
      </c>
      <c r="I582" t="n">
        <v>0</v>
      </c>
      <c r="J582" t="n">
        <v>0</v>
      </c>
      <c r="K582" t="n">
        <v>0</v>
      </c>
      <c r="L582" t="n">
        <v>0</v>
      </c>
      <c r="M582" t="n">
        <v>0</v>
      </c>
      <c r="N582" t="n">
        <v>0</v>
      </c>
      <c r="O582" t="n">
        <v>0</v>
      </c>
      <c r="P582" t="n">
        <v>0</v>
      </c>
      <c r="Q582" t="n">
        <v>0</v>
      </c>
      <c r="R582" s="2" t="inlineStr"/>
    </row>
    <row r="583" ht="15" customHeight="1">
      <c r="A583" t="inlineStr">
        <is>
          <t>A 60709-2023</t>
        </is>
      </c>
      <c r="B583" s="1" t="n">
        <v>45260</v>
      </c>
      <c r="C583" s="1" t="n">
        <v>45989</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64208-2021</t>
        </is>
      </c>
      <c r="B584" s="1" t="n">
        <v>44510</v>
      </c>
      <c r="C584" s="1" t="n">
        <v>45989</v>
      </c>
      <c r="D584" t="inlineStr">
        <is>
          <t>GOTLANDS LÄN</t>
        </is>
      </c>
      <c r="E584" t="inlineStr">
        <is>
          <t>GOTLAND</t>
        </is>
      </c>
      <c r="G584" t="n">
        <v>4.7</v>
      </c>
      <c r="H584" t="n">
        <v>0</v>
      </c>
      <c r="I584" t="n">
        <v>0</v>
      </c>
      <c r="J584" t="n">
        <v>0</v>
      </c>
      <c r="K584" t="n">
        <v>0</v>
      </c>
      <c r="L584" t="n">
        <v>0</v>
      </c>
      <c r="M584" t="n">
        <v>0</v>
      </c>
      <c r="N584" t="n">
        <v>0</v>
      </c>
      <c r="O584" t="n">
        <v>0</v>
      </c>
      <c r="P584" t="n">
        <v>0</v>
      </c>
      <c r="Q584" t="n">
        <v>0</v>
      </c>
      <c r="R584" s="2" t="inlineStr"/>
    </row>
    <row r="585" ht="15" customHeight="1">
      <c r="A585" t="inlineStr">
        <is>
          <t>A 39764-2022</t>
        </is>
      </c>
      <c r="B585" s="1" t="n">
        <v>44819</v>
      </c>
      <c r="C585" s="1" t="n">
        <v>45989</v>
      </c>
      <c r="D585" t="inlineStr">
        <is>
          <t>GOTLANDS LÄN</t>
        </is>
      </c>
      <c r="E585" t="inlineStr">
        <is>
          <t>GOTLAND</t>
        </is>
      </c>
      <c r="F585" t="inlineStr">
        <is>
          <t>Kyrkan</t>
        </is>
      </c>
      <c r="G585" t="n">
        <v>3.7</v>
      </c>
      <c r="H585" t="n">
        <v>0</v>
      </c>
      <c r="I585" t="n">
        <v>0</v>
      </c>
      <c r="J585" t="n">
        <v>0</v>
      </c>
      <c r="K585" t="n">
        <v>0</v>
      </c>
      <c r="L585" t="n">
        <v>0</v>
      </c>
      <c r="M585" t="n">
        <v>0</v>
      </c>
      <c r="N585" t="n">
        <v>0</v>
      </c>
      <c r="O585" t="n">
        <v>0</v>
      </c>
      <c r="P585" t="n">
        <v>0</v>
      </c>
      <c r="Q585" t="n">
        <v>0</v>
      </c>
      <c r="R585" s="2" t="inlineStr"/>
    </row>
    <row r="586" ht="15" customHeight="1">
      <c r="A586" t="inlineStr">
        <is>
          <t>A 58211-2024</t>
        </is>
      </c>
      <c r="B586" s="1" t="n">
        <v>45632.49292824074</v>
      </c>
      <c r="C586" s="1" t="n">
        <v>45989</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30956-2024</t>
        </is>
      </c>
      <c r="B587" s="1" t="n">
        <v>45499.42527777778</v>
      </c>
      <c r="C587" s="1" t="n">
        <v>45989</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30892-2024</t>
        </is>
      </c>
      <c r="B588" s="1" t="n">
        <v>45491</v>
      </c>
      <c r="C588" s="1" t="n">
        <v>45989</v>
      </c>
      <c r="D588" t="inlineStr">
        <is>
          <t>GOTLANDS LÄN</t>
        </is>
      </c>
      <c r="E588" t="inlineStr">
        <is>
          <t>GOTLAND</t>
        </is>
      </c>
      <c r="G588" t="n">
        <v>6.1</v>
      </c>
      <c r="H588" t="n">
        <v>0</v>
      </c>
      <c r="I588" t="n">
        <v>0</v>
      </c>
      <c r="J588" t="n">
        <v>0</v>
      </c>
      <c r="K588" t="n">
        <v>0</v>
      </c>
      <c r="L588" t="n">
        <v>0</v>
      </c>
      <c r="M588" t="n">
        <v>0</v>
      </c>
      <c r="N588" t="n">
        <v>0</v>
      </c>
      <c r="O588" t="n">
        <v>0</v>
      </c>
      <c r="P588" t="n">
        <v>0</v>
      </c>
      <c r="Q588" t="n">
        <v>0</v>
      </c>
      <c r="R588" s="2" t="inlineStr"/>
    </row>
    <row r="589" ht="15" customHeight="1">
      <c r="A589" t="inlineStr">
        <is>
          <t>A 14635-2023</t>
        </is>
      </c>
      <c r="B589" s="1" t="n">
        <v>45013.69365740741</v>
      </c>
      <c r="C589" s="1" t="n">
        <v>45989</v>
      </c>
      <c r="D589" t="inlineStr">
        <is>
          <t>GOTLANDS LÄN</t>
        </is>
      </c>
      <c r="E589" t="inlineStr">
        <is>
          <t>GOTLAND</t>
        </is>
      </c>
      <c r="G589" t="n">
        <v>3.1</v>
      </c>
      <c r="H589" t="n">
        <v>0</v>
      </c>
      <c r="I589" t="n">
        <v>0</v>
      </c>
      <c r="J589" t="n">
        <v>0</v>
      </c>
      <c r="K589" t="n">
        <v>0</v>
      </c>
      <c r="L589" t="n">
        <v>0</v>
      </c>
      <c r="M589" t="n">
        <v>0</v>
      </c>
      <c r="N589" t="n">
        <v>0</v>
      </c>
      <c r="O589" t="n">
        <v>0</v>
      </c>
      <c r="P589" t="n">
        <v>0</v>
      </c>
      <c r="Q589" t="n">
        <v>0</v>
      </c>
      <c r="R589" s="2" t="inlineStr"/>
    </row>
    <row r="590" ht="15" customHeight="1">
      <c r="A590" t="inlineStr">
        <is>
          <t>A 59469-2024</t>
        </is>
      </c>
      <c r="B590" s="1" t="n">
        <v>45638</v>
      </c>
      <c r="C590" s="1" t="n">
        <v>45989</v>
      </c>
      <c r="D590" t="inlineStr">
        <is>
          <t>GOTLANDS LÄN</t>
        </is>
      </c>
      <c r="E590" t="inlineStr">
        <is>
          <t>GOTLAND</t>
        </is>
      </c>
      <c r="G590" t="n">
        <v>0.4</v>
      </c>
      <c r="H590" t="n">
        <v>0</v>
      </c>
      <c r="I590" t="n">
        <v>0</v>
      </c>
      <c r="J590" t="n">
        <v>0</v>
      </c>
      <c r="K590" t="n">
        <v>0</v>
      </c>
      <c r="L590" t="n">
        <v>0</v>
      </c>
      <c r="M590" t="n">
        <v>0</v>
      </c>
      <c r="N590" t="n">
        <v>0</v>
      </c>
      <c r="O590" t="n">
        <v>0</v>
      </c>
      <c r="P590" t="n">
        <v>0</v>
      </c>
      <c r="Q590" t="n">
        <v>0</v>
      </c>
      <c r="R590" s="2" t="inlineStr"/>
    </row>
    <row r="591" ht="15" customHeight="1">
      <c r="A591" t="inlineStr">
        <is>
          <t>A 7858-2025</t>
        </is>
      </c>
      <c r="B591" s="1" t="n">
        <v>45706.68633101852</v>
      </c>
      <c r="C591" s="1" t="n">
        <v>45989</v>
      </c>
      <c r="D591" t="inlineStr">
        <is>
          <t>GOTLANDS LÄN</t>
        </is>
      </c>
      <c r="E591" t="inlineStr">
        <is>
          <t>GOTLAND</t>
        </is>
      </c>
      <c r="G591" t="n">
        <v>3</v>
      </c>
      <c r="H591" t="n">
        <v>0</v>
      </c>
      <c r="I591" t="n">
        <v>0</v>
      </c>
      <c r="J591" t="n">
        <v>0</v>
      </c>
      <c r="K591" t="n">
        <v>0</v>
      </c>
      <c r="L591" t="n">
        <v>0</v>
      </c>
      <c r="M591" t="n">
        <v>0</v>
      </c>
      <c r="N591" t="n">
        <v>0</v>
      </c>
      <c r="O591" t="n">
        <v>0</v>
      </c>
      <c r="P591" t="n">
        <v>0</v>
      </c>
      <c r="Q591" t="n">
        <v>0</v>
      </c>
      <c r="R591" s="2" t="inlineStr"/>
    </row>
    <row r="592" ht="15" customHeight="1">
      <c r="A592" t="inlineStr">
        <is>
          <t>A 53935-2024</t>
        </is>
      </c>
      <c r="B592" s="1" t="n">
        <v>45615</v>
      </c>
      <c r="C592" s="1" t="n">
        <v>45989</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18223-2025</t>
        </is>
      </c>
      <c r="B593" s="1" t="n">
        <v>45761</v>
      </c>
      <c r="C593" s="1" t="n">
        <v>45989</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4420-2025</t>
        </is>
      </c>
      <c r="B594" s="1" t="n">
        <v>45686.47157407407</v>
      </c>
      <c r="C594" s="1" t="n">
        <v>45989</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5891-2025</t>
        </is>
      </c>
      <c r="B595" s="1" t="n">
        <v>45695.38327546296</v>
      </c>
      <c r="C595" s="1" t="n">
        <v>45989</v>
      </c>
      <c r="D595" t="inlineStr">
        <is>
          <t>GOTLANDS LÄN</t>
        </is>
      </c>
      <c r="E595" t="inlineStr">
        <is>
          <t>GOTLAND</t>
        </is>
      </c>
      <c r="G595" t="n">
        <v>0.8</v>
      </c>
      <c r="H595" t="n">
        <v>0</v>
      </c>
      <c r="I595" t="n">
        <v>0</v>
      </c>
      <c r="J595" t="n">
        <v>0</v>
      </c>
      <c r="K595" t="n">
        <v>0</v>
      </c>
      <c r="L595" t="n">
        <v>0</v>
      </c>
      <c r="M595" t="n">
        <v>0</v>
      </c>
      <c r="N595" t="n">
        <v>0</v>
      </c>
      <c r="O595" t="n">
        <v>0</v>
      </c>
      <c r="P595" t="n">
        <v>0</v>
      </c>
      <c r="Q595" t="n">
        <v>0</v>
      </c>
      <c r="R595" s="2" t="inlineStr"/>
    </row>
    <row r="596" ht="15" customHeight="1">
      <c r="A596" t="inlineStr">
        <is>
          <t>A 7835-2024</t>
        </is>
      </c>
      <c r="B596" s="1" t="n">
        <v>45349.83138888889</v>
      </c>
      <c r="C596" s="1" t="n">
        <v>45989</v>
      </c>
      <c r="D596" t="inlineStr">
        <is>
          <t>GOTLANDS LÄN</t>
        </is>
      </c>
      <c r="E596" t="inlineStr">
        <is>
          <t>GOTLAND</t>
        </is>
      </c>
      <c r="G596" t="n">
        <v>3.8</v>
      </c>
      <c r="H596" t="n">
        <v>0</v>
      </c>
      <c r="I596" t="n">
        <v>0</v>
      </c>
      <c r="J596" t="n">
        <v>0</v>
      </c>
      <c r="K596" t="n">
        <v>0</v>
      </c>
      <c r="L596" t="n">
        <v>0</v>
      </c>
      <c r="M596" t="n">
        <v>0</v>
      </c>
      <c r="N596" t="n">
        <v>0</v>
      </c>
      <c r="O596" t="n">
        <v>0</v>
      </c>
      <c r="P596" t="n">
        <v>0</v>
      </c>
      <c r="Q596" t="n">
        <v>0</v>
      </c>
      <c r="R596" s="2" t="inlineStr"/>
    </row>
    <row r="597" ht="15" customHeight="1">
      <c r="A597" t="inlineStr">
        <is>
          <t>A 20794-2025</t>
        </is>
      </c>
      <c r="B597" s="1" t="n">
        <v>45776</v>
      </c>
      <c r="C597" s="1" t="n">
        <v>45989</v>
      </c>
      <c r="D597" t="inlineStr">
        <is>
          <t>GOTLANDS LÄN</t>
        </is>
      </c>
      <c r="E597" t="inlineStr">
        <is>
          <t>GOTLAND</t>
        </is>
      </c>
      <c r="G597" t="n">
        <v>6</v>
      </c>
      <c r="H597" t="n">
        <v>0</v>
      </c>
      <c r="I597" t="n">
        <v>0</v>
      </c>
      <c r="J597" t="n">
        <v>0</v>
      </c>
      <c r="K597" t="n">
        <v>0</v>
      </c>
      <c r="L597" t="n">
        <v>0</v>
      </c>
      <c r="M597" t="n">
        <v>0</v>
      </c>
      <c r="N597" t="n">
        <v>0</v>
      </c>
      <c r="O597" t="n">
        <v>0</v>
      </c>
      <c r="P597" t="n">
        <v>0</v>
      </c>
      <c r="Q597" t="n">
        <v>0</v>
      </c>
      <c r="R597" s="2" t="inlineStr"/>
    </row>
    <row r="598" ht="15" customHeight="1">
      <c r="A598" t="inlineStr">
        <is>
          <t>A 20805-2025</t>
        </is>
      </c>
      <c r="B598" s="1" t="n">
        <v>45776</v>
      </c>
      <c r="C598" s="1" t="n">
        <v>45989</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21389-2025</t>
        </is>
      </c>
      <c r="B599" s="1" t="n">
        <v>45782</v>
      </c>
      <c r="C599" s="1" t="n">
        <v>45989</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21651-2025</t>
        </is>
      </c>
      <c r="B600" s="1" t="n">
        <v>45783</v>
      </c>
      <c r="C600" s="1" t="n">
        <v>45989</v>
      </c>
      <c r="D600" t="inlineStr">
        <is>
          <t>GOTLANDS LÄN</t>
        </is>
      </c>
      <c r="E600" t="inlineStr">
        <is>
          <t>GOTLAND</t>
        </is>
      </c>
      <c r="G600" t="n">
        <v>4.2</v>
      </c>
      <c r="H600" t="n">
        <v>0</v>
      </c>
      <c r="I600" t="n">
        <v>0</v>
      </c>
      <c r="J600" t="n">
        <v>0</v>
      </c>
      <c r="K600" t="n">
        <v>0</v>
      </c>
      <c r="L600" t="n">
        <v>0</v>
      </c>
      <c r="M600" t="n">
        <v>0</v>
      </c>
      <c r="N600" t="n">
        <v>0</v>
      </c>
      <c r="O600" t="n">
        <v>0</v>
      </c>
      <c r="P600" t="n">
        <v>0</v>
      </c>
      <c r="Q600" t="n">
        <v>0</v>
      </c>
      <c r="R600" s="2" t="inlineStr"/>
    </row>
    <row r="601" ht="15" customHeight="1">
      <c r="A601" t="inlineStr">
        <is>
          <t>A 57356-2023</t>
        </is>
      </c>
      <c r="B601" s="1" t="n">
        <v>45240</v>
      </c>
      <c r="C601" s="1" t="n">
        <v>45989</v>
      </c>
      <c r="D601" t="inlineStr">
        <is>
          <t>GOTLANDS LÄN</t>
        </is>
      </c>
      <c r="E601" t="inlineStr">
        <is>
          <t>GOTLAND</t>
        </is>
      </c>
      <c r="G601" t="n">
        <v>6.4</v>
      </c>
      <c r="H601" t="n">
        <v>0</v>
      </c>
      <c r="I601" t="n">
        <v>0</v>
      </c>
      <c r="J601" t="n">
        <v>0</v>
      </c>
      <c r="K601" t="n">
        <v>0</v>
      </c>
      <c r="L601" t="n">
        <v>0</v>
      </c>
      <c r="M601" t="n">
        <v>0</v>
      </c>
      <c r="N601" t="n">
        <v>0</v>
      </c>
      <c r="O601" t="n">
        <v>0</v>
      </c>
      <c r="P601" t="n">
        <v>0</v>
      </c>
      <c r="Q601" t="n">
        <v>0</v>
      </c>
      <c r="R601" s="2" t="inlineStr"/>
    </row>
    <row r="602" ht="15" customHeight="1">
      <c r="A602" t="inlineStr">
        <is>
          <t>A 10656-2024</t>
        </is>
      </c>
      <c r="B602" s="1" t="n">
        <v>45368</v>
      </c>
      <c r="C602" s="1" t="n">
        <v>45989</v>
      </c>
      <c r="D602" t="inlineStr">
        <is>
          <t>GOTLANDS LÄN</t>
        </is>
      </c>
      <c r="E602" t="inlineStr">
        <is>
          <t>GOTLAND</t>
        </is>
      </c>
      <c r="G602" t="n">
        <v>1.5</v>
      </c>
      <c r="H602" t="n">
        <v>0</v>
      </c>
      <c r="I602" t="n">
        <v>0</v>
      </c>
      <c r="J602" t="n">
        <v>0</v>
      </c>
      <c r="K602" t="n">
        <v>0</v>
      </c>
      <c r="L602" t="n">
        <v>0</v>
      </c>
      <c r="M602" t="n">
        <v>0</v>
      </c>
      <c r="N602" t="n">
        <v>0</v>
      </c>
      <c r="O602" t="n">
        <v>0</v>
      </c>
      <c r="P602" t="n">
        <v>0</v>
      </c>
      <c r="Q602" t="n">
        <v>0</v>
      </c>
      <c r="R602" s="2" t="inlineStr"/>
    </row>
    <row r="603" ht="15" customHeight="1">
      <c r="A603" t="inlineStr">
        <is>
          <t>A 28506-2023</t>
        </is>
      </c>
      <c r="B603" s="1" t="n">
        <v>45103</v>
      </c>
      <c r="C603" s="1" t="n">
        <v>45989</v>
      </c>
      <c r="D603" t="inlineStr">
        <is>
          <t>GOTLANDS LÄN</t>
        </is>
      </c>
      <c r="E603" t="inlineStr">
        <is>
          <t>GOTLAND</t>
        </is>
      </c>
      <c r="G603" t="n">
        <v>3.2</v>
      </c>
      <c r="H603" t="n">
        <v>0</v>
      </c>
      <c r="I603" t="n">
        <v>0</v>
      </c>
      <c r="J603" t="n">
        <v>0</v>
      </c>
      <c r="K603" t="n">
        <v>0</v>
      </c>
      <c r="L603" t="n">
        <v>0</v>
      </c>
      <c r="M603" t="n">
        <v>0</v>
      </c>
      <c r="N603" t="n">
        <v>0</v>
      </c>
      <c r="O603" t="n">
        <v>0</v>
      </c>
      <c r="P603" t="n">
        <v>0</v>
      </c>
      <c r="Q603" t="n">
        <v>0</v>
      </c>
      <c r="R603" s="2" t="inlineStr"/>
    </row>
    <row r="604" ht="15" customHeight="1">
      <c r="A604" t="inlineStr">
        <is>
          <t>A 21420-2024</t>
        </is>
      </c>
      <c r="B604" s="1" t="n">
        <v>45441.38293981482</v>
      </c>
      <c r="C604" s="1" t="n">
        <v>45989</v>
      </c>
      <c r="D604" t="inlineStr">
        <is>
          <t>GOTLANDS LÄN</t>
        </is>
      </c>
      <c r="E604" t="inlineStr">
        <is>
          <t>GOTLAND</t>
        </is>
      </c>
      <c r="G604" t="n">
        <v>4.1</v>
      </c>
      <c r="H604" t="n">
        <v>0</v>
      </c>
      <c r="I604" t="n">
        <v>0</v>
      </c>
      <c r="J604" t="n">
        <v>0</v>
      </c>
      <c r="K604" t="n">
        <v>0</v>
      </c>
      <c r="L604" t="n">
        <v>0</v>
      </c>
      <c r="M604" t="n">
        <v>0</v>
      </c>
      <c r="N604" t="n">
        <v>0</v>
      </c>
      <c r="O604" t="n">
        <v>0</v>
      </c>
      <c r="P604" t="n">
        <v>0</v>
      </c>
      <c r="Q604" t="n">
        <v>0</v>
      </c>
      <c r="R604" s="2" t="inlineStr"/>
    </row>
    <row r="605" ht="15" customHeight="1">
      <c r="A605" t="inlineStr">
        <is>
          <t>A 23188-2025</t>
        </is>
      </c>
      <c r="B605" s="1" t="n">
        <v>45791</v>
      </c>
      <c r="C605" s="1" t="n">
        <v>45989</v>
      </c>
      <c r="D605" t="inlineStr">
        <is>
          <t>GOTLANDS LÄN</t>
        </is>
      </c>
      <c r="E605" t="inlineStr">
        <is>
          <t>GOTLAND</t>
        </is>
      </c>
      <c r="G605" t="n">
        <v>6.2</v>
      </c>
      <c r="H605" t="n">
        <v>0</v>
      </c>
      <c r="I605" t="n">
        <v>0</v>
      </c>
      <c r="J605" t="n">
        <v>0</v>
      </c>
      <c r="K605" t="n">
        <v>0</v>
      </c>
      <c r="L605" t="n">
        <v>0</v>
      </c>
      <c r="M605" t="n">
        <v>0</v>
      </c>
      <c r="N605" t="n">
        <v>0</v>
      </c>
      <c r="O605" t="n">
        <v>0</v>
      </c>
      <c r="P605" t="n">
        <v>0</v>
      </c>
      <c r="Q605" t="n">
        <v>0</v>
      </c>
      <c r="R605" s="2" t="inlineStr"/>
    </row>
    <row r="606" ht="15" customHeight="1">
      <c r="A606" t="inlineStr">
        <is>
          <t>A 23473-2025</t>
        </is>
      </c>
      <c r="B606" s="1" t="n">
        <v>45792</v>
      </c>
      <c r="C606" s="1" t="n">
        <v>45989</v>
      </c>
      <c r="D606" t="inlineStr">
        <is>
          <t>GOTLANDS LÄN</t>
        </is>
      </c>
      <c r="E606" t="inlineStr">
        <is>
          <t>GOTLAND</t>
        </is>
      </c>
      <c r="G606" t="n">
        <v>3.6</v>
      </c>
      <c r="H606" t="n">
        <v>0</v>
      </c>
      <c r="I606" t="n">
        <v>0</v>
      </c>
      <c r="J606" t="n">
        <v>0</v>
      </c>
      <c r="K606" t="n">
        <v>0</v>
      </c>
      <c r="L606" t="n">
        <v>0</v>
      </c>
      <c r="M606" t="n">
        <v>0</v>
      </c>
      <c r="N606" t="n">
        <v>0</v>
      </c>
      <c r="O606" t="n">
        <v>0</v>
      </c>
      <c r="P606" t="n">
        <v>0</v>
      </c>
      <c r="Q606" t="n">
        <v>0</v>
      </c>
      <c r="R606" s="2" t="inlineStr"/>
    </row>
    <row r="607" ht="15" customHeight="1">
      <c r="A607" t="inlineStr">
        <is>
          <t>A 23856-2025</t>
        </is>
      </c>
      <c r="B607" s="1" t="n">
        <v>45793</v>
      </c>
      <c r="C607" s="1" t="n">
        <v>45989</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15073-2025</t>
        </is>
      </c>
      <c r="B608" s="1" t="n">
        <v>45743</v>
      </c>
      <c r="C608" s="1" t="n">
        <v>45989</v>
      </c>
      <c r="D608" t="inlineStr">
        <is>
          <t>GOTLANDS LÄN</t>
        </is>
      </c>
      <c r="E608" t="inlineStr">
        <is>
          <t>GOTLAND</t>
        </is>
      </c>
      <c r="G608" t="n">
        <v>12.1</v>
      </c>
      <c r="H608" t="n">
        <v>0</v>
      </c>
      <c r="I608" t="n">
        <v>0</v>
      </c>
      <c r="J608" t="n">
        <v>0</v>
      </c>
      <c r="K608" t="n">
        <v>0</v>
      </c>
      <c r="L608" t="n">
        <v>0</v>
      </c>
      <c r="M608" t="n">
        <v>0</v>
      </c>
      <c r="N608" t="n">
        <v>0</v>
      </c>
      <c r="O608" t="n">
        <v>0</v>
      </c>
      <c r="P608" t="n">
        <v>0</v>
      </c>
      <c r="Q608" t="n">
        <v>0</v>
      </c>
      <c r="R608" s="2" t="inlineStr"/>
    </row>
    <row r="609" ht="15" customHeight="1">
      <c r="A609" t="inlineStr">
        <is>
          <t>A 6749-2025</t>
        </is>
      </c>
      <c r="B609" s="1" t="n">
        <v>45700</v>
      </c>
      <c r="C609" s="1" t="n">
        <v>45989</v>
      </c>
      <c r="D609" t="inlineStr">
        <is>
          <t>GOTLANDS LÄN</t>
        </is>
      </c>
      <c r="E609" t="inlineStr">
        <is>
          <t>GOTLAND</t>
        </is>
      </c>
      <c r="G609" t="n">
        <v>4.5</v>
      </c>
      <c r="H609" t="n">
        <v>0</v>
      </c>
      <c r="I609" t="n">
        <v>0</v>
      </c>
      <c r="J609" t="n">
        <v>0</v>
      </c>
      <c r="K609" t="n">
        <v>0</v>
      </c>
      <c r="L609" t="n">
        <v>0</v>
      </c>
      <c r="M609" t="n">
        <v>0</v>
      </c>
      <c r="N609" t="n">
        <v>0</v>
      </c>
      <c r="O609" t="n">
        <v>0</v>
      </c>
      <c r="P609" t="n">
        <v>0</v>
      </c>
      <c r="Q609" t="n">
        <v>0</v>
      </c>
      <c r="R609" s="2" t="inlineStr"/>
    </row>
    <row r="610">
      <c r="A610" t="inlineStr">
        <is>
          <t>A 23698-2025</t>
        </is>
      </c>
      <c r="B610" s="1" t="n">
        <v>45793</v>
      </c>
      <c r="C610" s="1" t="n">
        <v>45989</v>
      </c>
      <c r="D610" t="inlineStr">
        <is>
          <t>GOTLANDS LÄN</t>
        </is>
      </c>
      <c r="E610" t="inlineStr">
        <is>
          <t>GOTLAND</t>
        </is>
      </c>
      <c r="G610" t="n">
        <v>0.8</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2025-11-28T10:19:55Z</dcterms:created>
  <dcterms:modified xmlns:dcterms="http://purl.org/dc/terms/" xmlns:xsi="http://www.w3.org/2001/XMLSchema-instance" xsi:type="dcterms:W3CDTF">2025-11-28T10:19:55Z</dcterms:modified>
</cp:coreProperties>
</file>