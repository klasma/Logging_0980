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45937</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45722.48222222222</v>
      </c>
      <c r="C5" s="1" t="n">
        <v>45937</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45937</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45937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45937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45937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45937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45937</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30236-2025</t>
        </is>
      </c>
      <c r="B12" s="1" t="n">
        <v>45827</v>
      </c>
      <c r="C12" s="1" t="n">
        <v>45937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45937</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42607-2025</t>
        </is>
      </c>
      <c r="B14" s="1" t="n">
        <v>45905</v>
      </c>
      <c r="C14" s="1" t="n">
        <v>45937</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45937</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30542-2025</t>
        </is>
      </c>
      <c r="B16" s="1" t="n">
        <v>45831</v>
      </c>
      <c r="C16" s="1" t="n">
        <v>45937</v>
      </c>
      <c r="D16" t="inlineStr">
        <is>
          <t>GOTLANDS LÄN</t>
        </is>
      </c>
      <c r="E16" t="inlineStr">
        <is>
          <t>GOTLAND</t>
        </is>
      </c>
      <c r="G16" t="n">
        <v>8.300000000000001</v>
      </c>
      <c r="H16" t="n">
        <v>6</v>
      </c>
      <c r="I16" t="n">
        <v>8</v>
      </c>
      <c r="J16" t="n">
        <v>9</v>
      </c>
      <c r="K16" t="n">
        <v>4</v>
      </c>
      <c r="L16" t="n">
        <v>1</v>
      </c>
      <c r="M16" t="n">
        <v>0</v>
      </c>
      <c r="N16" t="n">
        <v>0</v>
      </c>
      <c r="O16" t="n">
        <v>15</v>
      </c>
      <c r="P16" t="n">
        <v>5</v>
      </c>
      <c r="Q16" t="n">
        <v>25</v>
      </c>
      <c r="R16" s="2" t="inlineStr">
        <is>
          <t>Ask
Granrotsspindling
Gulsträngad fagerspindling
Svartgrön spindling
Violettfläckig spindling
Backtimjan
Dårgräsfjäril
Jordtistel
Odörspindling
Solvända
Spillkråka
Svinrot
Äggspindling
Ängsstarr
Trollspindling
Anisspindling
Blå slemspindling
Blåmossa
Fjällig taggsvamp s.str.
Grovticka
Olivspindling
Skogsknipprot
Tvåblad
Brudsporre
Fläcknycklar</t>
        </is>
      </c>
      <c r="S16">
        <f>HYPERLINK("https://klasma.github.io/Logging_0980/artfynd/A 30542-2025 artfynd.xlsx", "A 30542-2025")</f>
        <v/>
      </c>
      <c r="T16">
        <f>HYPERLINK("https://klasma.github.io/Logging_0980/kartor/A 30542-2025 karta.png", "A 30542-2025")</f>
        <v/>
      </c>
      <c r="V16">
        <f>HYPERLINK("https://klasma.github.io/Logging_0980/klagomål/A 30542-2025 FSC-klagomål.docx", "A 30542-2025")</f>
        <v/>
      </c>
      <c r="W16">
        <f>HYPERLINK("https://klasma.github.io/Logging_0980/klagomålsmail/A 30542-2025 FSC-klagomål mail.docx", "A 30542-2025")</f>
        <v/>
      </c>
      <c r="X16">
        <f>HYPERLINK("https://klasma.github.io/Logging_0980/tillsyn/A 30542-2025 tillsynsbegäran.docx", "A 30542-2025")</f>
        <v/>
      </c>
      <c r="Y16">
        <f>HYPERLINK("https://klasma.github.io/Logging_0980/tillsynsmail/A 30542-2025 tillsynsbegäran mail.docx", "A 30542-2025")</f>
        <v/>
      </c>
      <c r="Z16">
        <f>HYPERLINK("https://klasma.github.io/Logging_0980/fåglar/A 30542-2025 prioriterade fågelarter.docx", "A 30542-2025")</f>
        <v/>
      </c>
    </row>
    <row r="17" ht="15" customHeight="1">
      <c r="A17" t="inlineStr">
        <is>
          <t>A 922-2023</t>
        </is>
      </c>
      <c r="B17" s="1" t="n">
        <v>44932</v>
      </c>
      <c r="C17" s="1" t="n">
        <v>45937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45937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45937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45937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45937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45937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45937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45937</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45937</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45937</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45937</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45937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45937</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45937</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45937</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45937</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24309-2025</t>
        </is>
      </c>
      <c r="B33" s="1" t="n">
        <v>45797</v>
      </c>
      <c r="C33" s="1" t="n">
        <v>45937</v>
      </c>
      <c r="D33" t="inlineStr">
        <is>
          <t>GOTLANDS LÄN</t>
        </is>
      </c>
      <c r="E33" t="inlineStr">
        <is>
          <t>GOTLAND</t>
        </is>
      </c>
      <c r="F33" t="inlineStr">
        <is>
          <t>Kyrkan</t>
        </is>
      </c>
      <c r="G33" t="n">
        <v>7.8</v>
      </c>
      <c r="H33" t="n">
        <v>11</v>
      </c>
      <c r="I33" t="n">
        <v>6</v>
      </c>
      <c r="J33" t="n">
        <v>3</v>
      </c>
      <c r="K33" t="n">
        <v>1</v>
      </c>
      <c r="L33" t="n">
        <v>1</v>
      </c>
      <c r="M33" t="n">
        <v>0</v>
      </c>
      <c r="N33" t="n">
        <v>0</v>
      </c>
      <c r="O33" t="n">
        <v>5</v>
      </c>
      <c r="P33" t="n">
        <v>2</v>
      </c>
      <c r="Q33" t="n">
        <v>14</v>
      </c>
      <c r="R33" s="2" t="inlineStr">
        <is>
          <t>Grönfink
Garderönn
Dårgräsfjäril
Spillkråka
Svinrot
Grönpyrola
Purpurknipprot
Skogsknipprot
Strävlosta
Tvåblad
Vit skogslilja
Halsbandsflugsnappare
Nattviol
Blåsippa</t>
        </is>
      </c>
      <c r="S33">
        <f>HYPERLINK("https://klasma.github.io/Logging_0980/artfynd/A 24309-2025 artfynd.xlsx", "A 24309-2025")</f>
        <v/>
      </c>
      <c r="T33">
        <f>HYPERLINK("https://klasma.github.io/Logging_0980/kartor/A 24309-2025 karta.png", "A 24309-2025")</f>
        <v/>
      </c>
      <c r="V33">
        <f>HYPERLINK("https://klasma.github.io/Logging_0980/klagomål/A 24309-2025 FSC-klagomål.docx", "A 24309-2025")</f>
        <v/>
      </c>
      <c r="W33">
        <f>HYPERLINK("https://klasma.github.io/Logging_0980/klagomålsmail/A 24309-2025 FSC-klagomål mail.docx", "A 24309-2025")</f>
        <v/>
      </c>
      <c r="X33">
        <f>HYPERLINK("https://klasma.github.io/Logging_0980/tillsyn/A 24309-2025 tillsynsbegäran.docx", "A 24309-2025")</f>
        <v/>
      </c>
      <c r="Y33">
        <f>HYPERLINK("https://klasma.github.io/Logging_0980/tillsynsmail/A 24309-2025 tillsynsbegäran mail.docx", "A 24309-2025")</f>
        <v/>
      </c>
      <c r="Z33">
        <f>HYPERLINK("https://klasma.github.io/Logging_0980/fåglar/A 24309-2025 prioriterade fågelarter.docx", "A 24309-2025")</f>
        <v/>
      </c>
    </row>
    <row r="34" ht="15" customHeight="1">
      <c r="A34" t="inlineStr">
        <is>
          <t>A 2222-2024</t>
        </is>
      </c>
      <c r="B34" s="1" t="n">
        <v>45309</v>
      </c>
      <c r="C34" s="1" t="n">
        <v>45937</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445-2023</t>
        </is>
      </c>
      <c r="B35" s="1" t="n">
        <v>44929</v>
      </c>
      <c r="C35" s="1" t="n">
        <v>45937</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44928-2022</t>
        </is>
      </c>
      <c r="B36" s="1" t="n">
        <v>44841</v>
      </c>
      <c r="C36" s="1" t="n">
        <v>45937</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45937</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45937</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2804-2023</t>
        </is>
      </c>
      <c r="B39" s="1" t="n">
        <v>44944</v>
      </c>
      <c r="C39" s="1" t="n">
        <v>45937</v>
      </c>
      <c r="D39" t="inlineStr">
        <is>
          <t>GOTLANDS LÄN</t>
        </is>
      </c>
      <c r="E39" t="inlineStr">
        <is>
          <t>GOTLAND</t>
        </is>
      </c>
      <c r="G39" t="n">
        <v>7.6</v>
      </c>
      <c r="H39" t="n">
        <v>2</v>
      </c>
      <c r="I39" t="n">
        <v>4</v>
      </c>
      <c r="J39" t="n">
        <v>4</v>
      </c>
      <c r="K39" t="n">
        <v>3</v>
      </c>
      <c r="L39" t="n">
        <v>0</v>
      </c>
      <c r="M39" t="n">
        <v>0</v>
      </c>
      <c r="N39" t="n">
        <v>0</v>
      </c>
      <c r="O39" t="n">
        <v>7</v>
      </c>
      <c r="P39" t="n">
        <v>3</v>
      </c>
      <c r="Q39" t="n">
        <v>13</v>
      </c>
      <c r="R39" s="2" t="inlineStr">
        <is>
          <t>Granrotsspindling
Narrspindling
Violettfläckig spindling
Ekticka
Granticka
Oxtungssvamp
Svinrot
Blå slemspindling
Fransig jordstjärna
Rödgul trumpetsvamp
Svavelriska
Sankt pers nycklar
Blåsippa</t>
        </is>
      </c>
      <c r="S39">
        <f>HYPERLINK("https://klasma.github.io/Logging_0980/artfynd/A 2804-2023 artfynd.xlsx", "A 2804-2023")</f>
        <v/>
      </c>
      <c r="T39">
        <f>HYPERLINK("https://klasma.github.io/Logging_0980/kartor/A 2804-2023 karta.png", "A 2804-2023")</f>
        <v/>
      </c>
      <c r="V39">
        <f>HYPERLINK("https://klasma.github.io/Logging_0980/klagomål/A 2804-2023 FSC-klagomål.docx", "A 2804-2023")</f>
        <v/>
      </c>
      <c r="W39">
        <f>HYPERLINK("https://klasma.github.io/Logging_0980/klagomålsmail/A 2804-2023 FSC-klagomål mail.docx", "A 2804-2023")</f>
        <v/>
      </c>
      <c r="X39">
        <f>HYPERLINK("https://klasma.github.io/Logging_0980/tillsyn/A 2804-2023 tillsynsbegäran.docx", "A 2804-2023")</f>
        <v/>
      </c>
      <c r="Y39">
        <f>HYPERLINK("https://klasma.github.io/Logging_0980/tillsynsmail/A 2804-2023 tillsynsbegäran mail.docx", "A 2804-2023")</f>
        <v/>
      </c>
    </row>
    <row r="40" ht="15" customHeight="1">
      <c r="A40" t="inlineStr">
        <is>
          <t>A 3324-2023</t>
        </is>
      </c>
      <c r="B40" s="1" t="n">
        <v>44949</v>
      </c>
      <c r="C40" s="1" t="n">
        <v>45937</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15850-2025</t>
        </is>
      </c>
      <c r="B41" s="1" t="n">
        <v>45748</v>
      </c>
      <c r="C41" s="1" t="n">
        <v>45937</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63872-2021</t>
        </is>
      </c>
      <c r="B42" s="1" t="n">
        <v>44509</v>
      </c>
      <c r="C42" s="1" t="n">
        <v>45937</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28287-2024</t>
        </is>
      </c>
      <c r="B43" s="1" t="n">
        <v>45477</v>
      </c>
      <c r="C43" s="1" t="n">
        <v>45937</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6052-2024</t>
        </is>
      </c>
      <c r="B44" s="1" t="n">
        <v>45336</v>
      </c>
      <c r="C44" s="1" t="n">
        <v>45937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45937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45937</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22404-2024</t>
        </is>
      </c>
      <c r="B47" s="1" t="n">
        <v>45446</v>
      </c>
      <c r="C47" s="1" t="n">
        <v>45937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1719-2025</t>
        </is>
      </c>
      <c r="B48" s="1" t="n">
        <v>45671</v>
      </c>
      <c r="C48" s="1" t="n">
        <v>45937</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14354-2024</t>
        </is>
      </c>
      <c r="B49" s="1" t="n">
        <v>45393</v>
      </c>
      <c r="C49" s="1" t="n">
        <v>45937</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584-2023</t>
        </is>
      </c>
      <c r="B50" s="1" t="n">
        <v>44930</v>
      </c>
      <c r="C50" s="1" t="n">
        <v>45937</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45937</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45937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59132-2024</t>
        </is>
      </c>
      <c r="B53" s="1" t="n">
        <v>45637</v>
      </c>
      <c r="C53" s="1" t="n">
        <v>45937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45937</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45937</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45937</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45937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45937</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27280-2023</t>
        </is>
      </c>
      <c r="B59" s="1" t="n">
        <v>45096</v>
      </c>
      <c r="C59" s="1" t="n">
        <v>45937</v>
      </c>
      <c r="D59" t="inlineStr">
        <is>
          <t>GOTLANDS LÄN</t>
        </is>
      </c>
      <c r="E59" t="inlineStr">
        <is>
          <t>GOTLAND</t>
        </is>
      </c>
      <c r="G59" t="n">
        <v>2.7</v>
      </c>
      <c r="H59" t="n">
        <v>7</v>
      </c>
      <c r="I59" t="n">
        <v>2</v>
      </c>
      <c r="J59" t="n">
        <v>1</v>
      </c>
      <c r="K59" t="n">
        <v>0</v>
      </c>
      <c r="L59" t="n">
        <v>0</v>
      </c>
      <c r="M59" t="n">
        <v>0</v>
      </c>
      <c r="N59" t="n">
        <v>0</v>
      </c>
      <c r="O59" t="n">
        <v>1</v>
      </c>
      <c r="P59" t="n">
        <v>0</v>
      </c>
      <c r="Q59" t="n">
        <v>7</v>
      </c>
      <c r="R59" s="2" t="inlineStr">
        <is>
          <t>Mindre hackspett
Skogsknipprot
Tvåblad
Brudsporre
Fläcknycklar
Grönvit nattviol
Nattviol</t>
        </is>
      </c>
      <c r="S59">
        <f>HYPERLINK("https://klasma.github.io/Logging_0980/artfynd/A 27280-2023 artfynd.xlsx", "A 27280-2023")</f>
        <v/>
      </c>
      <c r="T59">
        <f>HYPERLINK("https://klasma.github.io/Logging_0980/kartor/A 27280-2023 karta.png", "A 27280-2023")</f>
        <v/>
      </c>
      <c r="V59">
        <f>HYPERLINK("https://klasma.github.io/Logging_0980/klagomål/A 27280-2023 FSC-klagomål.docx", "A 27280-2023")</f>
        <v/>
      </c>
      <c r="W59">
        <f>HYPERLINK("https://klasma.github.io/Logging_0980/klagomålsmail/A 27280-2023 FSC-klagomål mail.docx", "A 27280-2023")</f>
        <v/>
      </c>
      <c r="X59">
        <f>HYPERLINK("https://klasma.github.io/Logging_0980/tillsyn/A 27280-2023 tillsynsbegäran.docx", "A 27280-2023")</f>
        <v/>
      </c>
      <c r="Y59">
        <f>HYPERLINK("https://klasma.github.io/Logging_0980/tillsynsmail/A 27280-2023 tillsynsbegäran mail.docx", "A 27280-2023")</f>
        <v/>
      </c>
      <c r="Z59">
        <f>HYPERLINK("https://klasma.github.io/Logging_0980/fåglar/A 27280-2023 prioriterade fågelarter.docx", "A 27280-2023")</f>
        <v/>
      </c>
    </row>
    <row r="60" ht="15" customHeight="1">
      <c r="A60" t="inlineStr">
        <is>
          <t>A 10419-2025</t>
        </is>
      </c>
      <c r="B60" s="1" t="n">
        <v>45720</v>
      </c>
      <c r="C60" s="1" t="n">
        <v>45937</v>
      </c>
      <c r="D60" t="inlineStr">
        <is>
          <t>GOTLANDS LÄN</t>
        </is>
      </c>
      <c r="E60" t="inlineStr">
        <is>
          <t>GOTLAND</t>
        </is>
      </c>
      <c r="G60" t="n">
        <v>1.2</v>
      </c>
      <c r="H60" t="n">
        <v>0</v>
      </c>
      <c r="I60" t="n">
        <v>5</v>
      </c>
      <c r="J60" t="n">
        <v>0</v>
      </c>
      <c r="K60" t="n">
        <v>2</v>
      </c>
      <c r="L60" t="n">
        <v>0</v>
      </c>
      <c r="M60" t="n">
        <v>0</v>
      </c>
      <c r="N60" t="n">
        <v>0</v>
      </c>
      <c r="O60" t="n">
        <v>2</v>
      </c>
      <c r="P60" t="n">
        <v>2</v>
      </c>
      <c r="Q60" t="n">
        <v>7</v>
      </c>
      <c r="R60" s="2" t="inlineStr">
        <is>
          <t>Mörkfjällig olivspindling
Violettfläckig spindling
Anisspindling
Blå slemspindling
Fjällig taggsvamp s.str.
Kryddspindling
Olivspindling</t>
        </is>
      </c>
      <c r="S60">
        <f>HYPERLINK("https://klasma.github.io/Logging_0980/artfynd/A 10419-2025 artfynd.xlsx", "A 10419-2025")</f>
        <v/>
      </c>
      <c r="T60">
        <f>HYPERLINK("https://klasma.github.io/Logging_0980/kartor/A 10419-2025 karta.png", "A 10419-2025")</f>
        <v/>
      </c>
      <c r="V60">
        <f>HYPERLINK("https://klasma.github.io/Logging_0980/klagomål/A 10419-2025 FSC-klagomål.docx", "A 10419-2025")</f>
        <v/>
      </c>
      <c r="W60">
        <f>HYPERLINK("https://klasma.github.io/Logging_0980/klagomålsmail/A 10419-2025 FSC-klagomål mail.docx", "A 10419-2025")</f>
        <v/>
      </c>
      <c r="X60">
        <f>HYPERLINK("https://klasma.github.io/Logging_0980/tillsyn/A 10419-2025 tillsynsbegäran.docx", "A 10419-2025")</f>
        <v/>
      </c>
      <c r="Y60">
        <f>HYPERLINK("https://klasma.github.io/Logging_0980/tillsynsmail/A 10419-2025 tillsynsbegäran mail.docx", "A 10419-2025")</f>
        <v/>
      </c>
    </row>
    <row r="61" ht="15" customHeight="1">
      <c r="A61" t="inlineStr">
        <is>
          <t>A 34142-2024</t>
        </is>
      </c>
      <c r="B61" s="1" t="n">
        <v>45524.36521990741</v>
      </c>
      <c r="C61" s="1" t="n">
        <v>45937</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4984-2025</t>
        </is>
      </c>
      <c r="B62" s="1" t="n">
        <v>45691.29891203704</v>
      </c>
      <c r="C62" s="1" t="n">
        <v>45937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45248-2024</t>
        </is>
      </c>
      <c r="B63" s="1" t="n">
        <v>45576</v>
      </c>
      <c r="C63" s="1" t="n">
        <v>45937</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18541-2024</t>
        </is>
      </c>
      <c r="B64" s="1" t="n">
        <v>45425</v>
      </c>
      <c r="C64" s="1" t="n">
        <v>45937</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6960-2025</t>
        </is>
      </c>
      <c r="B65" s="1" t="n">
        <v>45701.49409722222</v>
      </c>
      <c r="C65" s="1" t="n">
        <v>45937</v>
      </c>
      <c r="D65" t="inlineStr">
        <is>
          <t>GOTLANDS LÄN</t>
        </is>
      </c>
      <c r="E65" t="inlineStr">
        <is>
          <t>GOTLAND</t>
        </is>
      </c>
      <c r="G65" t="n">
        <v>4</v>
      </c>
      <c r="H65" t="n">
        <v>4</v>
      </c>
      <c r="I65" t="n">
        <v>1</v>
      </c>
      <c r="J65" t="n">
        <v>4</v>
      </c>
      <c r="K65" t="n">
        <v>0</v>
      </c>
      <c r="L65" t="n">
        <v>0</v>
      </c>
      <c r="M65" t="n">
        <v>0</v>
      </c>
      <c r="N65" t="n">
        <v>0</v>
      </c>
      <c r="O65" t="n">
        <v>4</v>
      </c>
      <c r="P65" t="n">
        <v>0</v>
      </c>
      <c r="Q65" t="n">
        <v>7</v>
      </c>
      <c r="R65" s="2" t="inlineStr">
        <is>
          <t>Majviva
Spillkråka
Svinrot
Ängsstarr
Skogsknipprot
Dactylorhiza incarnata subsp. incarnata
Nattviol</t>
        </is>
      </c>
      <c r="S65">
        <f>HYPERLINK("https://klasma.github.io/Logging_0980/artfynd/A 6960-2025 artfynd.xlsx", "A 6960-2025")</f>
        <v/>
      </c>
      <c r="T65">
        <f>HYPERLINK("https://klasma.github.io/Logging_0980/kartor/A 6960-2025 karta.png", "A 6960-2025")</f>
        <v/>
      </c>
      <c r="U65">
        <f>HYPERLINK("https://klasma.github.io/Logging_0980/knärot/A 6960-2025 karta knärot.png", "A 6960-2025")</f>
        <v/>
      </c>
      <c r="V65">
        <f>HYPERLINK("https://klasma.github.io/Logging_0980/klagomål/A 6960-2025 FSC-klagomål.docx", "A 6960-2025")</f>
        <v/>
      </c>
      <c r="W65">
        <f>HYPERLINK("https://klasma.github.io/Logging_0980/klagomålsmail/A 6960-2025 FSC-klagomål mail.docx", "A 6960-2025")</f>
        <v/>
      </c>
      <c r="X65">
        <f>HYPERLINK("https://klasma.github.io/Logging_0980/tillsyn/A 6960-2025 tillsynsbegäran.docx", "A 6960-2025")</f>
        <v/>
      </c>
      <c r="Y65">
        <f>HYPERLINK("https://klasma.github.io/Logging_0980/tillsynsmail/A 6960-2025 tillsynsbegäran mail.docx", "A 6960-2025")</f>
        <v/>
      </c>
      <c r="Z65">
        <f>HYPERLINK("https://klasma.github.io/Logging_0980/fåglar/A 6960-2025 prioriterade fågelarter.docx", "A 6960-2025")</f>
        <v/>
      </c>
    </row>
    <row r="66" ht="15" customHeight="1">
      <c r="A66" t="inlineStr">
        <is>
          <t>A 25205-2021</t>
        </is>
      </c>
      <c r="B66" s="1" t="n">
        <v>44342</v>
      </c>
      <c r="C66" s="1" t="n">
        <v>45937</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45937</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45937</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65819-2020</t>
        </is>
      </c>
      <c r="B69" s="1" t="n">
        <v>44174</v>
      </c>
      <c r="C69" s="1" t="n">
        <v>45937</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16823-2024</t>
        </is>
      </c>
      <c r="B70" s="1" t="n">
        <v>45411</v>
      </c>
      <c r="C70" s="1" t="n">
        <v>45937</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45937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45937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45937</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45937</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54055-2022</t>
        </is>
      </c>
      <c r="B75" s="1" t="n">
        <v>44881</v>
      </c>
      <c r="C75" s="1" t="n">
        <v>45937</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42936-2024</t>
        </is>
      </c>
      <c r="B76" s="1" t="n">
        <v>45567</v>
      </c>
      <c r="C76" s="1" t="n">
        <v>45937</v>
      </c>
      <c r="D76" t="inlineStr">
        <is>
          <t>GOTLANDS LÄN</t>
        </is>
      </c>
      <c r="E76" t="inlineStr">
        <is>
          <t>GOTLAND</t>
        </is>
      </c>
      <c r="G76" t="n">
        <v>3.4</v>
      </c>
      <c r="H76" t="n">
        <v>0</v>
      </c>
      <c r="I76" t="n">
        <v>3</v>
      </c>
      <c r="J76" t="n">
        <v>1</v>
      </c>
      <c r="K76" t="n">
        <v>1</v>
      </c>
      <c r="L76" t="n">
        <v>0</v>
      </c>
      <c r="M76" t="n">
        <v>0</v>
      </c>
      <c r="N76" t="n">
        <v>0</v>
      </c>
      <c r="O76" t="n">
        <v>2</v>
      </c>
      <c r="P76" t="n">
        <v>1</v>
      </c>
      <c r="Q76" t="n">
        <v>5</v>
      </c>
      <c r="R76" s="2" t="inlineStr">
        <is>
          <t>Vit taggsvamp
Äggspindling
Barrfagerspindling
Blå slemspindling
Svavelriska</t>
        </is>
      </c>
      <c r="S76">
        <f>HYPERLINK("https://klasma.github.io/Logging_0980/artfynd/A 42936-2024 artfynd.xlsx", "A 42936-2024")</f>
        <v/>
      </c>
      <c r="T76">
        <f>HYPERLINK("https://klasma.github.io/Logging_0980/kartor/A 42936-2024 karta.png", "A 42936-2024")</f>
        <v/>
      </c>
      <c r="V76">
        <f>HYPERLINK("https://klasma.github.io/Logging_0980/klagomål/A 42936-2024 FSC-klagomål.docx", "A 42936-2024")</f>
        <v/>
      </c>
      <c r="W76">
        <f>HYPERLINK("https://klasma.github.io/Logging_0980/klagomålsmail/A 42936-2024 FSC-klagomål mail.docx", "A 42936-2024")</f>
        <v/>
      </c>
      <c r="X76">
        <f>HYPERLINK("https://klasma.github.io/Logging_0980/tillsyn/A 42936-2024 tillsynsbegäran.docx", "A 42936-2024")</f>
        <v/>
      </c>
      <c r="Y76">
        <f>HYPERLINK("https://klasma.github.io/Logging_0980/tillsynsmail/A 42936-2024 tillsynsbegäran mail.docx", "A 42936-2024")</f>
        <v/>
      </c>
    </row>
    <row r="77" ht="15" customHeight="1">
      <c r="A77" t="inlineStr">
        <is>
          <t>A 16375-2025</t>
        </is>
      </c>
      <c r="B77" s="1" t="n">
        <v>45751.41064814815</v>
      </c>
      <c r="C77" s="1" t="n">
        <v>45937</v>
      </c>
      <c r="D77" t="inlineStr">
        <is>
          <t>GOTLANDS LÄN</t>
        </is>
      </c>
      <c r="E77" t="inlineStr">
        <is>
          <t>GOTLAND</t>
        </is>
      </c>
      <c r="G77" t="n">
        <v>1.9</v>
      </c>
      <c r="H77" t="n">
        <v>3</v>
      </c>
      <c r="I77" t="n">
        <v>3</v>
      </c>
      <c r="J77" t="n">
        <v>1</v>
      </c>
      <c r="K77" t="n">
        <v>0</v>
      </c>
      <c r="L77" t="n">
        <v>1</v>
      </c>
      <c r="M77" t="n">
        <v>0</v>
      </c>
      <c r="N77" t="n">
        <v>0</v>
      </c>
      <c r="O77" t="n">
        <v>2</v>
      </c>
      <c r="P77" t="n">
        <v>1</v>
      </c>
      <c r="Q77" t="n">
        <v>5</v>
      </c>
      <c r="R77" s="2" t="inlineStr">
        <is>
          <t>Ask
Spillkråka
Blåmossa
Nästrot
Tvåblad</t>
        </is>
      </c>
      <c r="S77">
        <f>HYPERLINK("https://klasma.github.io/Logging_0980/artfynd/A 16375-2025 artfynd.xlsx", "A 16375-2025")</f>
        <v/>
      </c>
      <c r="T77">
        <f>HYPERLINK("https://klasma.github.io/Logging_0980/kartor/A 16375-2025 karta.png", "A 16375-2025")</f>
        <v/>
      </c>
      <c r="V77">
        <f>HYPERLINK("https://klasma.github.io/Logging_0980/klagomål/A 16375-2025 FSC-klagomål.docx", "A 16375-2025")</f>
        <v/>
      </c>
      <c r="W77">
        <f>HYPERLINK("https://klasma.github.io/Logging_0980/klagomålsmail/A 16375-2025 FSC-klagomål mail.docx", "A 16375-2025")</f>
        <v/>
      </c>
      <c r="X77">
        <f>HYPERLINK("https://klasma.github.io/Logging_0980/tillsyn/A 16375-2025 tillsynsbegäran.docx", "A 16375-2025")</f>
        <v/>
      </c>
      <c r="Y77">
        <f>HYPERLINK("https://klasma.github.io/Logging_0980/tillsynsmail/A 16375-2025 tillsynsbegäran mail.docx", "A 16375-2025")</f>
        <v/>
      </c>
      <c r="Z77">
        <f>HYPERLINK("https://klasma.github.io/Logging_0980/fåglar/A 16375-2025 prioriterade fågelarter.docx", "A 16375-2025")</f>
        <v/>
      </c>
    </row>
    <row r="78" ht="15" customHeight="1">
      <c r="A78" t="inlineStr">
        <is>
          <t>A 44944-2022</t>
        </is>
      </c>
      <c r="B78" s="1" t="n">
        <v>44841</v>
      </c>
      <c r="C78" s="1" t="n">
        <v>45937</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35293-2025</t>
        </is>
      </c>
      <c r="B79" s="1" t="n">
        <v>45854.39438657407</v>
      </c>
      <c r="C79" s="1" t="n">
        <v>45937</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39425-2023</t>
        </is>
      </c>
      <c r="B80" s="1" t="n">
        <v>45166</v>
      </c>
      <c r="C80" s="1" t="n">
        <v>45937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45937</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32326-2024</t>
        </is>
      </c>
      <c r="B82" s="1" t="n">
        <v>45512</v>
      </c>
      <c r="C82" s="1" t="n">
        <v>45937</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29331-2021</t>
        </is>
      </c>
      <c r="B83" s="1" t="n">
        <v>44361</v>
      </c>
      <c r="C83" s="1" t="n">
        <v>45937</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54523-2023</t>
        </is>
      </c>
      <c r="B84" s="1" t="n">
        <v>45233</v>
      </c>
      <c r="C84" s="1" t="n">
        <v>45937</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6159-2023</t>
        </is>
      </c>
      <c r="B85" s="1" t="n">
        <v>44964</v>
      </c>
      <c r="C85" s="1" t="n">
        <v>45937</v>
      </c>
      <c r="D85" t="inlineStr">
        <is>
          <t>GOTLANDS LÄN</t>
        </is>
      </c>
      <c r="E85" t="inlineStr">
        <is>
          <t>GOTLAND</t>
        </is>
      </c>
      <c r="G85" t="n">
        <v>2</v>
      </c>
      <c r="H85" t="n">
        <v>0</v>
      </c>
      <c r="I85" t="n">
        <v>2</v>
      </c>
      <c r="J85" t="n">
        <v>2</v>
      </c>
      <c r="K85" t="n">
        <v>0</v>
      </c>
      <c r="L85" t="n">
        <v>0</v>
      </c>
      <c r="M85" t="n">
        <v>0</v>
      </c>
      <c r="N85" t="n">
        <v>0</v>
      </c>
      <c r="O85" t="n">
        <v>2</v>
      </c>
      <c r="P85" t="n">
        <v>0</v>
      </c>
      <c r="Q85" t="n">
        <v>4</v>
      </c>
      <c r="R85" s="2" t="inlineStr">
        <is>
          <t>Dofttaggsvamp
Odörspindling
Anisspindling
Olivspindling</t>
        </is>
      </c>
      <c r="S85">
        <f>HYPERLINK("https://klasma.github.io/Logging_0980/artfynd/A 6159-2023 artfynd.xlsx", "A 6159-2023")</f>
        <v/>
      </c>
      <c r="T85">
        <f>HYPERLINK("https://klasma.github.io/Logging_0980/kartor/A 6159-2023 karta.png", "A 6159-2023")</f>
        <v/>
      </c>
      <c r="V85">
        <f>HYPERLINK("https://klasma.github.io/Logging_0980/klagomål/A 6159-2023 FSC-klagomål.docx", "A 6159-2023")</f>
        <v/>
      </c>
      <c r="W85">
        <f>HYPERLINK("https://klasma.github.io/Logging_0980/klagomålsmail/A 6159-2023 FSC-klagomål mail.docx", "A 6159-2023")</f>
        <v/>
      </c>
      <c r="X85">
        <f>HYPERLINK("https://klasma.github.io/Logging_0980/tillsyn/A 6159-2023 tillsynsbegäran.docx", "A 6159-2023")</f>
        <v/>
      </c>
      <c r="Y85">
        <f>HYPERLINK("https://klasma.github.io/Logging_0980/tillsynsmail/A 6159-2023 tillsynsbegäran mail.docx", "A 6159-2023")</f>
        <v/>
      </c>
    </row>
    <row r="86" ht="15" customHeight="1">
      <c r="A86" t="inlineStr">
        <is>
          <t>A 44933-2022</t>
        </is>
      </c>
      <c r="B86" s="1" t="n">
        <v>44841</v>
      </c>
      <c r="C86" s="1" t="n">
        <v>45937</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43197-2023</t>
        </is>
      </c>
      <c r="B87" s="1" t="n">
        <v>45183</v>
      </c>
      <c r="C87" s="1" t="n">
        <v>45937</v>
      </c>
      <c r="D87" t="inlineStr">
        <is>
          <t>GOTLANDS LÄN</t>
        </is>
      </c>
      <c r="E87" t="inlineStr">
        <is>
          <t>GOTLAND</t>
        </is>
      </c>
      <c r="G87" t="n">
        <v>3.7</v>
      </c>
      <c r="H87" t="n">
        <v>2</v>
      </c>
      <c r="I87" t="n">
        <v>1</v>
      </c>
      <c r="J87" t="n">
        <v>1</v>
      </c>
      <c r="K87" t="n">
        <v>1</v>
      </c>
      <c r="L87" t="n">
        <v>0</v>
      </c>
      <c r="M87" t="n">
        <v>0</v>
      </c>
      <c r="N87" t="n">
        <v>0</v>
      </c>
      <c r="O87" t="n">
        <v>2</v>
      </c>
      <c r="P87" t="n">
        <v>1</v>
      </c>
      <c r="Q87" t="n">
        <v>4</v>
      </c>
      <c r="R87" s="2" t="inlineStr">
        <is>
          <t>Allékantlav
Svinrot
Skogsknipprot
Revlummer</t>
        </is>
      </c>
      <c r="S87">
        <f>HYPERLINK("https://klasma.github.io/Logging_0980/artfynd/A 43197-2023 artfynd.xlsx", "A 43197-2023")</f>
        <v/>
      </c>
      <c r="T87">
        <f>HYPERLINK("https://klasma.github.io/Logging_0980/kartor/A 43197-2023 karta.png", "A 43197-2023")</f>
        <v/>
      </c>
      <c r="V87">
        <f>HYPERLINK("https://klasma.github.io/Logging_0980/klagomål/A 43197-2023 FSC-klagomål.docx", "A 43197-2023")</f>
        <v/>
      </c>
      <c r="W87">
        <f>HYPERLINK("https://klasma.github.io/Logging_0980/klagomålsmail/A 43197-2023 FSC-klagomål mail.docx", "A 43197-2023")</f>
        <v/>
      </c>
      <c r="X87">
        <f>HYPERLINK("https://klasma.github.io/Logging_0980/tillsyn/A 43197-2023 tillsynsbegäran.docx", "A 43197-2023")</f>
        <v/>
      </c>
      <c r="Y87">
        <f>HYPERLINK("https://klasma.github.io/Logging_0980/tillsynsmail/A 43197-2023 tillsynsbegäran mail.docx", "A 43197-2023")</f>
        <v/>
      </c>
    </row>
    <row r="88" ht="15" customHeight="1">
      <c r="A88" t="inlineStr">
        <is>
          <t>A 1971-2023</t>
        </is>
      </c>
      <c r="B88" s="1" t="n">
        <v>44939</v>
      </c>
      <c r="C88" s="1" t="n">
        <v>45937</v>
      </c>
      <c r="D88" t="inlineStr">
        <is>
          <t>GOTLANDS LÄN</t>
        </is>
      </c>
      <c r="E88" t="inlineStr">
        <is>
          <t>GOTLAND</t>
        </is>
      </c>
      <c r="G88" t="n">
        <v>5.5</v>
      </c>
      <c r="H88" t="n">
        <v>0</v>
      </c>
      <c r="I88" t="n">
        <v>2</v>
      </c>
      <c r="J88" t="n">
        <v>1</v>
      </c>
      <c r="K88" t="n">
        <v>1</v>
      </c>
      <c r="L88" t="n">
        <v>0</v>
      </c>
      <c r="M88" t="n">
        <v>0</v>
      </c>
      <c r="N88" t="n">
        <v>0</v>
      </c>
      <c r="O88" t="n">
        <v>2</v>
      </c>
      <c r="P88" t="n">
        <v>1</v>
      </c>
      <c r="Q88" t="n">
        <v>4</v>
      </c>
      <c r="R88" s="2" t="inlineStr">
        <is>
          <t>Gulsträngad fagerspindling
Svinrot
Fjällig taggsvamp s.str.
Olivspindling</t>
        </is>
      </c>
      <c r="S88">
        <f>HYPERLINK("https://klasma.github.io/Logging_0980/artfynd/A 1971-2023 artfynd.xlsx", "A 1971-2023")</f>
        <v/>
      </c>
      <c r="T88">
        <f>HYPERLINK("https://klasma.github.io/Logging_0980/kartor/A 1971-2023 karta.png", "A 1971-2023")</f>
        <v/>
      </c>
      <c r="V88">
        <f>HYPERLINK("https://klasma.github.io/Logging_0980/klagomål/A 1971-2023 FSC-klagomål.docx", "A 1971-2023")</f>
        <v/>
      </c>
      <c r="W88">
        <f>HYPERLINK("https://klasma.github.io/Logging_0980/klagomålsmail/A 1971-2023 FSC-klagomål mail.docx", "A 1971-2023")</f>
        <v/>
      </c>
      <c r="X88">
        <f>HYPERLINK("https://klasma.github.io/Logging_0980/tillsyn/A 1971-2023 tillsynsbegäran.docx", "A 1971-2023")</f>
        <v/>
      </c>
      <c r="Y88">
        <f>HYPERLINK("https://klasma.github.io/Logging_0980/tillsynsmail/A 1971-2023 tillsynsbegäran mail.docx", "A 1971-2023")</f>
        <v/>
      </c>
    </row>
    <row r="89" ht="15" customHeight="1">
      <c r="A89" t="inlineStr">
        <is>
          <t>A 64378-2020</t>
        </is>
      </c>
      <c r="B89" s="1" t="n">
        <v>44168</v>
      </c>
      <c r="C89" s="1" t="n">
        <v>45937</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2485-2025</t>
        </is>
      </c>
      <c r="B90" s="1" t="n">
        <v>45673</v>
      </c>
      <c r="C90" s="1" t="n">
        <v>45937</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5904-2024</t>
        </is>
      </c>
      <c r="B91" s="1" t="n">
        <v>45335</v>
      </c>
      <c r="C91" s="1" t="n">
        <v>45937</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45937</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20833-2024</t>
        </is>
      </c>
      <c r="B93" s="1" t="n">
        <v>45439</v>
      </c>
      <c r="C93" s="1" t="n">
        <v>45937</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8265-2023</t>
        </is>
      </c>
      <c r="B94" s="1" t="n">
        <v>44974</v>
      </c>
      <c r="C94" s="1" t="n">
        <v>45937</v>
      </c>
      <c r="D94" t="inlineStr">
        <is>
          <t>GOTLANDS LÄN</t>
        </is>
      </c>
      <c r="E94" t="inlineStr">
        <is>
          <t>GOTLAND</t>
        </is>
      </c>
      <c r="G94" t="n">
        <v>3.3</v>
      </c>
      <c r="H94" t="n">
        <v>4</v>
      </c>
      <c r="I94" t="n">
        <v>3</v>
      </c>
      <c r="J94" t="n">
        <v>0</v>
      </c>
      <c r="K94" t="n">
        <v>0</v>
      </c>
      <c r="L94" t="n">
        <v>0</v>
      </c>
      <c r="M94" t="n">
        <v>0</v>
      </c>
      <c r="N94" t="n">
        <v>0</v>
      </c>
      <c r="O94" t="n">
        <v>0</v>
      </c>
      <c r="P94" t="n">
        <v>0</v>
      </c>
      <c r="Q94" t="n">
        <v>4</v>
      </c>
      <c r="R94" s="2" t="inlineStr">
        <is>
          <t>Flugblomster
Purpurknipprot
Tvåblad
Salepsrot</t>
        </is>
      </c>
      <c r="S94">
        <f>HYPERLINK("https://klasma.github.io/Logging_0980/artfynd/A 8265-2023 artfynd.xlsx", "A 8265-2023")</f>
        <v/>
      </c>
      <c r="T94">
        <f>HYPERLINK("https://klasma.github.io/Logging_0980/kartor/A 8265-2023 karta.png", "A 8265-2023")</f>
        <v/>
      </c>
      <c r="V94">
        <f>HYPERLINK("https://klasma.github.io/Logging_0980/klagomål/A 8265-2023 FSC-klagomål.docx", "A 8265-2023")</f>
        <v/>
      </c>
      <c r="W94">
        <f>HYPERLINK("https://klasma.github.io/Logging_0980/klagomålsmail/A 8265-2023 FSC-klagomål mail.docx", "A 8265-2023")</f>
        <v/>
      </c>
      <c r="X94">
        <f>HYPERLINK("https://klasma.github.io/Logging_0980/tillsyn/A 8265-2023 tillsynsbegäran.docx", "A 8265-2023")</f>
        <v/>
      </c>
      <c r="Y94">
        <f>HYPERLINK("https://klasma.github.io/Logging_0980/tillsynsmail/A 8265-2023 tillsynsbegäran mail.docx", "A 8265-2023")</f>
        <v/>
      </c>
    </row>
    <row r="95" ht="15" customHeight="1">
      <c r="A95" t="inlineStr">
        <is>
          <t>A 186-2023</t>
        </is>
      </c>
      <c r="B95" s="1" t="n">
        <v>44928</v>
      </c>
      <c r="C95" s="1" t="n">
        <v>45937</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56717-2024</t>
        </is>
      </c>
      <c r="B96" s="1" t="n">
        <v>45628.3166550926</v>
      </c>
      <c r="C96" s="1" t="n">
        <v>45937</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55029-2020</t>
        </is>
      </c>
      <c r="B97" s="1" t="n">
        <v>44130</v>
      </c>
      <c r="C97" s="1" t="n">
        <v>45937</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45937</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45937</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45937</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45937</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32718-2021</t>
        </is>
      </c>
      <c r="B102" s="1" t="n">
        <v>44375</v>
      </c>
      <c r="C102" s="1" t="n">
        <v>45937</v>
      </c>
      <c r="D102" t="inlineStr">
        <is>
          <t>GOTLANDS LÄN</t>
        </is>
      </c>
      <c r="E102" t="inlineStr">
        <is>
          <t>GOTLAND</t>
        </is>
      </c>
      <c r="G102" t="n">
        <v>2.1</v>
      </c>
      <c r="H102" t="n">
        <v>0</v>
      </c>
      <c r="I102" t="n">
        <v>1</v>
      </c>
      <c r="J102" t="n">
        <v>1</v>
      </c>
      <c r="K102" t="n">
        <v>1</v>
      </c>
      <c r="L102" t="n">
        <v>0</v>
      </c>
      <c r="M102" t="n">
        <v>0</v>
      </c>
      <c r="N102" t="n">
        <v>0</v>
      </c>
      <c r="O102" t="n">
        <v>2</v>
      </c>
      <c r="P102" t="n">
        <v>1</v>
      </c>
      <c r="Q102" t="n">
        <v>3</v>
      </c>
      <c r="R102" s="2" t="inlineStr">
        <is>
          <t>Skogskorn
Skugglosta
Strävlosta</t>
        </is>
      </c>
      <c r="S102">
        <f>HYPERLINK("https://klasma.github.io/Logging_0980/artfynd/A 32718-2021 artfynd.xlsx", "A 32718-2021")</f>
        <v/>
      </c>
      <c r="T102">
        <f>HYPERLINK("https://klasma.github.io/Logging_0980/kartor/A 32718-2021 karta.png", "A 32718-2021")</f>
        <v/>
      </c>
      <c r="V102">
        <f>HYPERLINK("https://klasma.github.io/Logging_0980/klagomål/A 32718-2021 FSC-klagomål.docx", "A 32718-2021")</f>
        <v/>
      </c>
      <c r="W102">
        <f>HYPERLINK("https://klasma.github.io/Logging_0980/klagomålsmail/A 32718-2021 FSC-klagomål mail.docx", "A 32718-2021")</f>
        <v/>
      </c>
      <c r="X102">
        <f>HYPERLINK("https://klasma.github.io/Logging_0980/tillsyn/A 32718-2021 tillsynsbegäran.docx", "A 32718-2021")</f>
        <v/>
      </c>
      <c r="Y102">
        <f>HYPERLINK("https://klasma.github.io/Logging_0980/tillsynsmail/A 32718-2021 tillsynsbegäran mail.docx", "A 32718-2021")</f>
        <v/>
      </c>
    </row>
    <row r="103" ht="15" customHeight="1">
      <c r="A103" t="inlineStr">
        <is>
          <t>A 2332-2021</t>
        </is>
      </c>
      <c r="B103" s="1" t="n">
        <v>44214</v>
      </c>
      <c r="C103" s="1" t="n">
        <v>45937</v>
      </c>
      <c r="D103" t="inlineStr">
        <is>
          <t>GOTLANDS LÄN</t>
        </is>
      </c>
      <c r="E103" t="inlineStr">
        <is>
          <t>GOTLAND</t>
        </is>
      </c>
      <c r="G103" t="n">
        <v>2.3</v>
      </c>
      <c r="H103" t="n">
        <v>2</v>
      </c>
      <c r="I103" t="n">
        <v>0</v>
      </c>
      <c r="J103" t="n">
        <v>1</v>
      </c>
      <c r="K103" t="n">
        <v>0</v>
      </c>
      <c r="L103" t="n">
        <v>0</v>
      </c>
      <c r="M103" t="n">
        <v>0</v>
      </c>
      <c r="N103" t="n">
        <v>0</v>
      </c>
      <c r="O103" t="n">
        <v>1</v>
      </c>
      <c r="P103" t="n">
        <v>0</v>
      </c>
      <c r="Q103" t="n">
        <v>3</v>
      </c>
      <c r="R103" s="2" t="inlineStr">
        <is>
          <t>Korpnopping
Sankt pers nycklar
Blåsippa</t>
        </is>
      </c>
      <c r="S103">
        <f>HYPERLINK("https://klasma.github.io/Logging_0980/artfynd/A 2332-2021 artfynd.xlsx", "A 2332-2021")</f>
        <v/>
      </c>
      <c r="T103">
        <f>HYPERLINK("https://klasma.github.io/Logging_0980/kartor/A 2332-2021 karta.png", "A 2332-2021")</f>
        <v/>
      </c>
      <c r="V103">
        <f>HYPERLINK("https://klasma.github.io/Logging_0980/klagomål/A 2332-2021 FSC-klagomål.docx", "A 2332-2021")</f>
        <v/>
      </c>
      <c r="W103">
        <f>HYPERLINK("https://klasma.github.io/Logging_0980/klagomålsmail/A 2332-2021 FSC-klagomål mail.docx", "A 2332-2021")</f>
        <v/>
      </c>
      <c r="X103">
        <f>HYPERLINK("https://klasma.github.io/Logging_0980/tillsyn/A 2332-2021 tillsynsbegäran.docx", "A 2332-2021")</f>
        <v/>
      </c>
      <c r="Y103">
        <f>HYPERLINK("https://klasma.github.io/Logging_0980/tillsynsmail/A 2332-2021 tillsynsbegäran mail.docx", "A 2332-2021")</f>
        <v/>
      </c>
    </row>
    <row r="104" ht="15" customHeight="1">
      <c r="A104" t="inlineStr">
        <is>
          <t>A 17982-2023</t>
        </is>
      </c>
      <c r="B104" s="1" t="n">
        <v>45040</v>
      </c>
      <c r="C104" s="1" t="n">
        <v>45937</v>
      </c>
      <c r="D104" t="inlineStr">
        <is>
          <t>GOTLANDS LÄN</t>
        </is>
      </c>
      <c r="E104" t="inlineStr">
        <is>
          <t>GOTLAND</t>
        </is>
      </c>
      <c r="G104" t="n">
        <v>2.2</v>
      </c>
      <c r="H104" t="n">
        <v>0</v>
      </c>
      <c r="I104" t="n">
        <v>0</v>
      </c>
      <c r="J104" t="n">
        <v>2</v>
      </c>
      <c r="K104" t="n">
        <v>0</v>
      </c>
      <c r="L104" t="n">
        <v>0</v>
      </c>
      <c r="M104" t="n">
        <v>1</v>
      </c>
      <c r="N104" t="n">
        <v>0</v>
      </c>
      <c r="O104" t="n">
        <v>3</v>
      </c>
      <c r="P104" t="n">
        <v>1</v>
      </c>
      <c r="Q104" t="n">
        <v>3</v>
      </c>
      <c r="R104" s="2" t="inlineStr">
        <is>
          <t>Lundalm
Krusfrö
Ängsskära</t>
        </is>
      </c>
      <c r="S104">
        <f>HYPERLINK("https://klasma.github.io/Logging_0980/artfynd/A 17982-2023 artfynd.xlsx", "A 17982-2023")</f>
        <v/>
      </c>
      <c r="T104">
        <f>HYPERLINK("https://klasma.github.io/Logging_0980/kartor/A 17982-2023 karta.png", "A 17982-2023")</f>
        <v/>
      </c>
      <c r="V104">
        <f>HYPERLINK("https://klasma.github.io/Logging_0980/klagomål/A 17982-2023 FSC-klagomål.docx", "A 17982-2023")</f>
        <v/>
      </c>
      <c r="W104">
        <f>HYPERLINK("https://klasma.github.io/Logging_0980/klagomålsmail/A 17982-2023 FSC-klagomål mail.docx", "A 17982-2023")</f>
        <v/>
      </c>
      <c r="X104">
        <f>HYPERLINK("https://klasma.github.io/Logging_0980/tillsyn/A 17982-2023 tillsynsbegäran.docx", "A 17982-2023")</f>
        <v/>
      </c>
      <c r="Y104">
        <f>HYPERLINK("https://klasma.github.io/Logging_0980/tillsynsmail/A 17982-2023 tillsynsbegäran mail.docx", "A 17982-2023")</f>
        <v/>
      </c>
    </row>
    <row r="105" ht="15" customHeight="1">
      <c r="A105" t="inlineStr">
        <is>
          <t>A 17975-2024</t>
        </is>
      </c>
      <c r="B105" s="1" t="n">
        <v>45419.85546296297</v>
      </c>
      <c r="C105" s="1" t="n">
        <v>45937</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48126-2022</t>
        </is>
      </c>
      <c r="B106" s="1" t="n">
        <v>44857</v>
      </c>
      <c r="C106" s="1" t="n">
        <v>45937</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13499-2022</t>
        </is>
      </c>
      <c r="B107" s="1" t="n">
        <v>44647.79203703703</v>
      </c>
      <c r="C107" s="1" t="n">
        <v>45937</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30490-2025</t>
        </is>
      </c>
      <c r="B108" s="1" t="n">
        <v>45830</v>
      </c>
      <c r="C108" s="1" t="n">
        <v>45937</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12315-2024</t>
        </is>
      </c>
      <c r="B109" s="1" t="n">
        <v>45378.6434837963</v>
      </c>
      <c r="C109" s="1" t="n">
        <v>45937</v>
      </c>
      <c r="D109" t="inlineStr">
        <is>
          <t>GOTLANDS LÄN</t>
        </is>
      </c>
      <c r="E109" t="inlineStr">
        <is>
          <t>GOTLAND</t>
        </is>
      </c>
      <c r="G109" t="n">
        <v>6</v>
      </c>
      <c r="H109" t="n">
        <v>3</v>
      </c>
      <c r="I109" t="n">
        <v>1</v>
      </c>
      <c r="J109" t="n">
        <v>1</v>
      </c>
      <c r="K109" t="n">
        <v>0</v>
      </c>
      <c r="L109" t="n">
        <v>0</v>
      </c>
      <c r="M109" t="n">
        <v>0</v>
      </c>
      <c r="N109" t="n">
        <v>0</v>
      </c>
      <c r="O109" t="n">
        <v>1</v>
      </c>
      <c r="P109" t="n">
        <v>0</v>
      </c>
      <c r="Q109" t="n">
        <v>3</v>
      </c>
      <c r="R109" s="2" t="inlineStr">
        <is>
          <t>Buskskvätta
Tvåblad
Fläcknycklar</t>
        </is>
      </c>
      <c r="S109">
        <f>HYPERLINK("https://klasma.github.io/Logging_0980/artfynd/A 12315-2024 artfynd.xlsx", "A 12315-2024")</f>
        <v/>
      </c>
      <c r="T109">
        <f>HYPERLINK("https://klasma.github.io/Logging_0980/kartor/A 12315-2024 karta.png", "A 12315-2024")</f>
        <v/>
      </c>
      <c r="V109">
        <f>HYPERLINK("https://klasma.github.io/Logging_0980/klagomål/A 12315-2024 FSC-klagomål.docx", "A 12315-2024")</f>
        <v/>
      </c>
      <c r="W109">
        <f>HYPERLINK("https://klasma.github.io/Logging_0980/klagomålsmail/A 12315-2024 FSC-klagomål mail.docx", "A 12315-2024")</f>
        <v/>
      </c>
      <c r="X109">
        <f>HYPERLINK("https://klasma.github.io/Logging_0980/tillsyn/A 12315-2024 tillsynsbegäran.docx", "A 12315-2024")</f>
        <v/>
      </c>
      <c r="Y109">
        <f>HYPERLINK("https://klasma.github.io/Logging_0980/tillsynsmail/A 12315-2024 tillsynsbegäran mail.docx", "A 12315-2024")</f>
        <v/>
      </c>
      <c r="Z109">
        <f>HYPERLINK("https://klasma.github.io/Logging_0980/fåglar/A 12315-2024 prioriterade fågelarter.docx", "A 12315-2024")</f>
        <v/>
      </c>
    </row>
    <row r="110" ht="15" customHeight="1">
      <c r="A110" t="inlineStr">
        <is>
          <t>A 43013-2022</t>
        </is>
      </c>
      <c r="B110" s="1" t="n">
        <v>44833</v>
      </c>
      <c r="C110" s="1" t="n">
        <v>45937</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45937</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45937</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55334-2024</t>
        </is>
      </c>
      <c r="B113" s="1" t="n">
        <v>45621</v>
      </c>
      <c r="C113" s="1" t="n">
        <v>45937</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62326-2020</t>
        </is>
      </c>
      <c r="B114" s="1" t="n">
        <v>44160</v>
      </c>
      <c r="C114" s="1" t="n">
        <v>45937</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20831-2024</t>
        </is>
      </c>
      <c r="B115" s="1" t="n">
        <v>45439</v>
      </c>
      <c r="C115" s="1" t="n">
        <v>45937</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73144-2021</t>
        </is>
      </c>
      <c r="B116" s="1" t="n">
        <v>44550</v>
      </c>
      <c r="C116" s="1" t="n">
        <v>45937</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29870-2021</t>
        </is>
      </c>
      <c r="B117" s="1" t="n">
        <v>44362</v>
      </c>
      <c r="C117" s="1" t="n">
        <v>45937</v>
      </c>
      <c r="D117" t="inlineStr">
        <is>
          <t>GOTLANDS LÄN</t>
        </is>
      </c>
      <c r="E117" t="inlineStr">
        <is>
          <t>GOTLAND</t>
        </is>
      </c>
      <c r="G117" t="n">
        <v>2.4</v>
      </c>
      <c r="H117" t="n">
        <v>0</v>
      </c>
      <c r="I117" t="n">
        <v>1</v>
      </c>
      <c r="J117" t="n">
        <v>0</v>
      </c>
      <c r="K117" t="n">
        <v>1</v>
      </c>
      <c r="L117" t="n">
        <v>0</v>
      </c>
      <c r="M117" t="n">
        <v>0</v>
      </c>
      <c r="N117" t="n">
        <v>0</v>
      </c>
      <c r="O117" t="n">
        <v>1</v>
      </c>
      <c r="P117" t="n">
        <v>1</v>
      </c>
      <c r="Q117" t="n">
        <v>2</v>
      </c>
      <c r="R117" s="2" t="inlineStr">
        <is>
          <t>Blåfotad fagerspindling
Olivspindling</t>
        </is>
      </c>
      <c r="S117">
        <f>HYPERLINK("https://klasma.github.io/Logging_0980/artfynd/A 29870-2021 artfynd.xlsx", "A 29870-2021")</f>
        <v/>
      </c>
      <c r="T117">
        <f>HYPERLINK("https://klasma.github.io/Logging_0980/kartor/A 29870-2021 karta.png", "A 29870-2021")</f>
        <v/>
      </c>
      <c r="V117">
        <f>HYPERLINK("https://klasma.github.io/Logging_0980/klagomål/A 29870-2021 FSC-klagomål.docx", "A 29870-2021")</f>
        <v/>
      </c>
      <c r="W117">
        <f>HYPERLINK("https://klasma.github.io/Logging_0980/klagomålsmail/A 29870-2021 FSC-klagomål mail.docx", "A 29870-2021")</f>
        <v/>
      </c>
      <c r="X117">
        <f>HYPERLINK("https://klasma.github.io/Logging_0980/tillsyn/A 29870-2021 tillsynsbegäran.docx", "A 29870-2021")</f>
        <v/>
      </c>
      <c r="Y117">
        <f>HYPERLINK("https://klasma.github.io/Logging_0980/tillsynsmail/A 29870-2021 tillsynsbegäran mail.docx", "A 29870-2021")</f>
        <v/>
      </c>
    </row>
    <row r="118" ht="15" customHeight="1">
      <c r="A118" t="inlineStr">
        <is>
          <t>A 26857-2021</t>
        </is>
      </c>
      <c r="B118" s="1" t="n">
        <v>44349.60091435185</v>
      </c>
      <c r="C118" s="1" t="n">
        <v>45937</v>
      </c>
      <c r="D118" t="inlineStr">
        <is>
          <t>GOTLANDS LÄN</t>
        </is>
      </c>
      <c r="E118" t="inlineStr">
        <is>
          <t>GOTLAND</t>
        </is>
      </c>
      <c r="G118" t="n">
        <v>1.9</v>
      </c>
      <c r="H118" t="n">
        <v>0</v>
      </c>
      <c r="I118" t="n">
        <v>0</v>
      </c>
      <c r="J118" t="n">
        <v>2</v>
      </c>
      <c r="K118" t="n">
        <v>0</v>
      </c>
      <c r="L118" t="n">
        <v>0</v>
      </c>
      <c r="M118" t="n">
        <v>0</v>
      </c>
      <c r="N118" t="n">
        <v>0</v>
      </c>
      <c r="O118" t="n">
        <v>2</v>
      </c>
      <c r="P118" t="n">
        <v>0</v>
      </c>
      <c r="Q118" t="n">
        <v>2</v>
      </c>
      <c r="R118" s="2" t="inlineStr">
        <is>
          <t>Jordtistel
Solvända</t>
        </is>
      </c>
      <c r="S118">
        <f>HYPERLINK("https://klasma.github.io/Logging_0980/artfynd/A 26857-2021 artfynd.xlsx", "A 26857-2021")</f>
        <v/>
      </c>
      <c r="T118">
        <f>HYPERLINK("https://klasma.github.io/Logging_0980/kartor/A 26857-2021 karta.png", "A 26857-2021")</f>
        <v/>
      </c>
      <c r="V118">
        <f>HYPERLINK("https://klasma.github.io/Logging_0980/klagomål/A 26857-2021 FSC-klagomål.docx", "A 26857-2021")</f>
        <v/>
      </c>
      <c r="W118">
        <f>HYPERLINK("https://klasma.github.io/Logging_0980/klagomålsmail/A 26857-2021 FSC-klagomål mail.docx", "A 26857-2021")</f>
        <v/>
      </c>
      <c r="X118">
        <f>HYPERLINK("https://klasma.github.io/Logging_0980/tillsyn/A 26857-2021 tillsynsbegäran.docx", "A 26857-2021")</f>
        <v/>
      </c>
      <c r="Y118">
        <f>HYPERLINK("https://klasma.github.io/Logging_0980/tillsynsmail/A 26857-2021 tillsynsbegäran mail.docx", "A 26857-2021")</f>
        <v/>
      </c>
    </row>
    <row r="119" ht="15" customHeight="1">
      <c r="A119" t="inlineStr">
        <is>
          <t>A 51737-2021</t>
        </is>
      </c>
      <c r="B119" s="1" t="n">
        <v>44462.57368055556</v>
      </c>
      <c r="C119" s="1" t="n">
        <v>45937</v>
      </c>
      <c r="D119" t="inlineStr">
        <is>
          <t>GOTLANDS LÄN</t>
        </is>
      </c>
      <c r="E119" t="inlineStr">
        <is>
          <t>GOTLAND</t>
        </is>
      </c>
      <c r="G119" t="n">
        <v>8.6</v>
      </c>
      <c r="H119" t="n">
        <v>0</v>
      </c>
      <c r="I119" t="n">
        <v>1</v>
      </c>
      <c r="J119" t="n">
        <v>1</v>
      </c>
      <c r="K119" t="n">
        <v>0</v>
      </c>
      <c r="L119" t="n">
        <v>0</v>
      </c>
      <c r="M119" t="n">
        <v>0</v>
      </c>
      <c r="N119" t="n">
        <v>0</v>
      </c>
      <c r="O119" t="n">
        <v>1</v>
      </c>
      <c r="P119" t="n">
        <v>0</v>
      </c>
      <c r="Q119" t="n">
        <v>2</v>
      </c>
      <c r="R119" s="2" t="inlineStr">
        <is>
          <t>Igelkott
Kambräken</t>
        </is>
      </c>
      <c r="S119">
        <f>HYPERLINK("https://klasma.github.io/Logging_0980/artfynd/A 51737-2021 artfynd.xlsx", "A 51737-2021")</f>
        <v/>
      </c>
      <c r="T119">
        <f>HYPERLINK("https://klasma.github.io/Logging_0980/kartor/A 51737-2021 karta.png", "A 51737-2021")</f>
        <v/>
      </c>
      <c r="V119">
        <f>HYPERLINK("https://klasma.github.io/Logging_0980/klagomål/A 51737-2021 FSC-klagomål.docx", "A 51737-2021")</f>
        <v/>
      </c>
      <c r="W119">
        <f>HYPERLINK("https://klasma.github.io/Logging_0980/klagomålsmail/A 51737-2021 FSC-klagomål mail.docx", "A 51737-2021")</f>
        <v/>
      </c>
      <c r="X119">
        <f>HYPERLINK("https://klasma.github.io/Logging_0980/tillsyn/A 51737-2021 tillsynsbegäran.docx", "A 51737-2021")</f>
        <v/>
      </c>
      <c r="Y119">
        <f>HYPERLINK("https://klasma.github.io/Logging_0980/tillsynsmail/A 51737-2021 tillsynsbegäran mail.docx", "A 51737-2021")</f>
        <v/>
      </c>
    </row>
    <row r="120" ht="15" customHeight="1">
      <c r="A120" t="inlineStr">
        <is>
          <t>A 16429-2021</t>
        </is>
      </c>
      <c r="B120" s="1" t="n">
        <v>44293</v>
      </c>
      <c r="C120" s="1" t="n">
        <v>45937</v>
      </c>
      <c r="D120" t="inlineStr">
        <is>
          <t>GOTLANDS LÄN</t>
        </is>
      </c>
      <c r="E120" t="inlineStr">
        <is>
          <t>GOTLAND</t>
        </is>
      </c>
      <c r="G120" t="n">
        <v>3.4</v>
      </c>
      <c r="H120" t="n">
        <v>0</v>
      </c>
      <c r="I120" t="n">
        <v>0</v>
      </c>
      <c r="J120" t="n">
        <v>1</v>
      </c>
      <c r="K120" t="n">
        <v>1</v>
      </c>
      <c r="L120" t="n">
        <v>0</v>
      </c>
      <c r="M120" t="n">
        <v>0</v>
      </c>
      <c r="N120" t="n">
        <v>0</v>
      </c>
      <c r="O120" t="n">
        <v>2</v>
      </c>
      <c r="P120" t="n">
        <v>1</v>
      </c>
      <c r="Q120" t="n">
        <v>2</v>
      </c>
      <c r="R120" s="2" t="inlineStr">
        <is>
          <t>Gotlandsmåra
Barrviolspindling</t>
        </is>
      </c>
      <c r="S120">
        <f>HYPERLINK("https://klasma.github.io/Logging_0980/artfynd/A 16429-2021 artfynd.xlsx", "A 16429-2021")</f>
        <v/>
      </c>
      <c r="T120">
        <f>HYPERLINK("https://klasma.github.io/Logging_0980/kartor/A 16429-2021 karta.png", "A 16429-2021")</f>
        <v/>
      </c>
      <c r="V120">
        <f>HYPERLINK("https://klasma.github.io/Logging_0980/klagomål/A 16429-2021 FSC-klagomål.docx", "A 16429-2021")</f>
        <v/>
      </c>
      <c r="W120">
        <f>HYPERLINK("https://klasma.github.io/Logging_0980/klagomålsmail/A 16429-2021 FSC-klagomål mail.docx", "A 16429-2021")</f>
        <v/>
      </c>
      <c r="X120">
        <f>HYPERLINK("https://klasma.github.io/Logging_0980/tillsyn/A 16429-2021 tillsynsbegäran.docx", "A 16429-2021")</f>
        <v/>
      </c>
      <c r="Y120">
        <f>HYPERLINK("https://klasma.github.io/Logging_0980/tillsynsmail/A 16429-2021 tillsynsbegäran mail.docx", "A 16429-2021")</f>
        <v/>
      </c>
    </row>
    <row r="121" ht="15" customHeight="1">
      <c r="A121" t="inlineStr">
        <is>
          <t>A 9930-2021</t>
        </is>
      </c>
      <c r="B121" s="1" t="n">
        <v>44252</v>
      </c>
      <c r="C121" s="1" t="n">
        <v>45937</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60665-2021</t>
        </is>
      </c>
      <c r="B122" s="1" t="n">
        <v>44496</v>
      </c>
      <c r="C122" s="1" t="n">
        <v>45937</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45937</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26077-2024</t>
        </is>
      </c>
      <c r="B124" s="1" t="n">
        <v>45467</v>
      </c>
      <c r="C124" s="1" t="n">
        <v>45937</v>
      </c>
      <c r="D124" t="inlineStr">
        <is>
          <t>GOTLANDS LÄN</t>
        </is>
      </c>
      <c r="E124" t="inlineStr">
        <is>
          <t>GOTLAND</t>
        </is>
      </c>
      <c r="G124" t="n">
        <v>4.6</v>
      </c>
      <c r="H124" t="n">
        <v>0</v>
      </c>
      <c r="I124" t="n">
        <v>0</v>
      </c>
      <c r="J124" t="n">
        <v>1</v>
      </c>
      <c r="K124" t="n">
        <v>0</v>
      </c>
      <c r="L124" t="n">
        <v>1</v>
      </c>
      <c r="M124" t="n">
        <v>0</v>
      </c>
      <c r="N124" t="n">
        <v>0</v>
      </c>
      <c r="O124" t="n">
        <v>2</v>
      </c>
      <c r="P124" t="n">
        <v>1</v>
      </c>
      <c r="Q124" t="n">
        <v>2</v>
      </c>
      <c r="R124" s="2" t="inlineStr">
        <is>
          <t>Ask
Tallticka</t>
        </is>
      </c>
      <c r="S124">
        <f>HYPERLINK("https://klasma.github.io/Logging_0980/artfynd/A 26077-2024 artfynd.xlsx", "A 26077-2024")</f>
        <v/>
      </c>
      <c r="T124">
        <f>HYPERLINK("https://klasma.github.io/Logging_0980/kartor/A 26077-2024 karta.png", "A 26077-2024")</f>
        <v/>
      </c>
      <c r="V124">
        <f>HYPERLINK("https://klasma.github.io/Logging_0980/klagomål/A 26077-2024 FSC-klagomål.docx", "A 26077-2024")</f>
        <v/>
      </c>
      <c r="W124">
        <f>HYPERLINK("https://klasma.github.io/Logging_0980/klagomålsmail/A 26077-2024 FSC-klagomål mail.docx", "A 26077-2024")</f>
        <v/>
      </c>
      <c r="X124">
        <f>HYPERLINK("https://klasma.github.io/Logging_0980/tillsyn/A 26077-2024 tillsynsbegäran.docx", "A 26077-2024")</f>
        <v/>
      </c>
      <c r="Y124">
        <f>HYPERLINK("https://klasma.github.io/Logging_0980/tillsynsmail/A 26077-2024 tillsynsbegäran mail.docx", "A 26077-2024")</f>
        <v/>
      </c>
    </row>
    <row r="125" ht="15" customHeight="1">
      <c r="A125" t="inlineStr">
        <is>
          <t>A 58701-2020</t>
        </is>
      </c>
      <c r="B125" s="1" t="n">
        <v>44146</v>
      </c>
      <c r="C125" s="1" t="n">
        <v>45937</v>
      </c>
      <c r="D125" t="inlineStr">
        <is>
          <t>GOTLANDS LÄN</t>
        </is>
      </c>
      <c r="E125" t="inlineStr">
        <is>
          <t>GOTLAND</t>
        </is>
      </c>
      <c r="G125" t="n">
        <v>5.5</v>
      </c>
      <c r="H125" t="n">
        <v>0</v>
      </c>
      <c r="I125" t="n">
        <v>0</v>
      </c>
      <c r="J125" t="n">
        <v>1</v>
      </c>
      <c r="K125" t="n">
        <v>1</v>
      </c>
      <c r="L125" t="n">
        <v>0</v>
      </c>
      <c r="M125" t="n">
        <v>0</v>
      </c>
      <c r="N125" t="n">
        <v>0</v>
      </c>
      <c r="O125" t="n">
        <v>2</v>
      </c>
      <c r="P125" t="n">
        <v>1</v>
      </c>
      <c r="Q125" t="n">
        <v>2</v>
      </c>
      <c r="R125" s="2" t="inlineStr">
        <is>
          <t>Vit taggsvamp
Odörspindling</t>
        </is>
      </c>
      <c r="S125">
        <f>HYPERLINK("https://klasma.github.io/Logging_0980/artfynd/A 58701-2020 artfynd.xlsx", "A 58701-2020")</f>
        <v/>
      </c>
      <c r="T125">
        <f>HYPERLINK("https://klasma.github.io/Logging_0980/kartor/A 58701-2020 karta.png", "A 58701-2020")</f>
        <v/>
      </c>
      <c r="V125">
        <f>HYPERLINK("https://klasma.github.io/Logging_0980/klagomål/A 58701-2020 FSC-klagomål.docx", "A 58701-2020")</f>
        <v/>
      </c>
      <c r="W125">
        <f>HYPERLINK("https://klasma.github.io/Logging_0980/klagomålsmail/A 58701-2020 FSC-klagomål mail.docx", "A 58701-2020")</f>
        <v/>
      </c>
      <c r="X125">
        <f>HYPERLINK("https://klasma.github.io/Logging_0980/tillsyn/A 58701-2020 tillsynsbegäran.docx", "A 58701-2020")</f>
        <v/>
      </c>
      <c r="Y125">
        <f>HYPERLINK("https://klasma.github.io/Logging_0980/tillsynsmail/A 58701-2020 tillsynsbegäran mail.docx", "A 58701-2020")</f>
        <v/>
      </c>
    </row>
    <row r="126" ht="15" customHeight="1">
      <c r="A126" t="inlineStr">
        <is>
          <t>A 54357-2024</t>
        </is>
      </c>
      <c r="B126" s="1" t="n">
        <v>45617.40662037037</v>
      </c>
      <c r="C126" s="1" t="n">
        <v>45937</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21879-2025</t>
        </is>
      </c>
      <c r="B127" s="1" t="n">
        <v>45784.40533564815</v>
      </c>
      <c r="C127" s="1" t="n">
        <v>45937</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7070-2022</t>
        </is>
      </c>
      <c r="B128" s="1" t="n">
        <v>44603</v>
      </c>
      <c r="C128" s="1" t="n">
        <v>45937</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43219-2023</t>
        </is>
      </c>
      <c r="B129" s="1" t="n">
        <v>45183</v>
      </c>
      <c r="C129" s="1" t="n">
        <v>45937</v>
      </c>
      <c r="D129" t="inlineStr">
        <is>
          <t>GOTLANDS LÄN</t>
        </is>
      </c>
      <c r="E129" t="inlineStr">
        <is>
          <t>GOTLAND</t>
        </is>
      </c>
      <c r="G129" t="n">
        <v>3.6</v>
      </c>
      <c r="H129" t="n">
        <v>1</v>
      </c>
      <c r="I129" t="n">
        <v>0</v>
      </c>
      <c r="J129" t="n">
        <v>1</v>
      </c>
      <c r="K129" t="n">
        <v>0</v>
      </c>
      <c r="L129" t="n">
        <v>0</v>
      </c>
      <c r="M129" t="n">
        <v>0</v>
      </c>
      <c r="N129" t="n">
        <v>0</v>
      </c>
      <c r="O129" t="n">
        <v>1</v>
      </c>
      <c r="P129" t="n">
        <v>0</v>
      </c>
      <c r="Q129" t="n">
        <v>2</v>
      </c>
      <c r="R129" s="2" t="inlineStr">
        <is>
          <t>Axveronika
Skogsduva</t>
        </is>
      </c>
      <c r="S129">
        <f>HYPERLINK("https://klasma.github.io/Logging_0980/artfynd/A 43219-2023 artfynd.xlsx", "A 43219-2023")</f>
        <v/>
      </c>
      <c r="T129">
        <f>HYPERLINK("https://klasma.github.io/Logging_0980/kartor/A 43219-2023 karta.png", "A 43219-2023")</f>
        <v/>
      </c>
      <c r="V129">
        <f>HYPERLINK("https://klasma.github.io/Logging_0980/klagomål/A 43219-2023 FSC-klagomål.docx", "A 43219-2023")</f>
        <v/>
      </c>
      <c r="W129">
        <f>HYPERLINK("https://klasma.github.io/Logging_0980/klagomålsmail/A 43219-2023 FSC-klagomål mail.docx", "A 43219-2023")</f>
        <v/>
      </c>
      <c r="X129">
        <f>HYPERLINK("https://klasma.github.io/Logging_0980/tillsyn/A 43219-2023 tillsynsbegäran.docx", "A 43219-2023")</f>
        <v/>
      </c>
      <c r="Y129">
        <f>HYPERLINK("https://klasma.github.io/Logging_0980/tillsynsmail/A 43219-2023 tillsynsbegäran mail.docx", "A 43219-2023")</f>
        <v/>
      </c>
      <c r="Z129">
        <f>HYPERLINK("https://klasma.github.io/Logging_0980/fåglar/A 43219-2023 prioriterade fågelarter.docx", "A 43219-2023")</f>
        <v/>
      </c>
    </row>
    <row r="130" ht="15" customHeight="1">
      <c r="A130" t="inlineStr">
        <is>
          <t>A 12914-2025</t>
        </is>
      </c>
      <c r="B130" s="1" t="n">
        <v>45733</v>
      </c>
      <c r="C130" s="1" t="n">
        <v>45937</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28261-2024</t>
        </is>
      </c>
      <c r="B131" s="1" t="n">
        <v>45477</v>
      </c>
      <c r="C131" s="1" t="n">
        <v>45937</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41238-2025</t>
        </is>
      </c>
      <c r="B132" s="1" t="n">
        <v>45898</v>
      </c>
      <c r="C132" s="1" t="n">
        <v>45937</v>
      </c>
      <c r="D132" t="inlineStr">
        <is>
          <t>GOTLANDS LÄN</t>
        </is>
      </c>
      <c r="E132" t="inlineStr">
        <is>
          <t>GOTLAND</t>
        </is>
      </c>
      <c r="G132" t="n">
        <v>7.1</v>
      </c>
      <c r="H132" t="n">
        <v>1</v>
      </c>
      <c r="I132" t="n">
        <v>2</v>
      </c>
      <c r="J132" t="n">
        <v>0</v>
      </c>
      <c r="K132" t="n">
        <v>0</v>
      </c>
      <c r="L132" t="n">
        <v>0</v>
      </c>
      <c r="M132" t="n">
        <v>0</v>
      </c>
      <c r="N132" t="n">
        <v>0</v>
      </c>
      <c r="O132" t="n">
        <v>0</v>
      </c>
      <c r="P132" t="n">
        <v>0</v>
      </c>
      <c r="Q132" t="n">
        <v>2</v>
      </c>
      <c r="R132" s="2" t="inlineStr">
        <is>
          <t>Granbarkgnagare
Skogsknipprot</t>
        </is>
      </c>
      <c r="S132">
        <f>HYPERLINK("https://klasma.github.io/Logging_0980/artfynd/A 41238-2025 artfynd.xlsx", "A 41238-2025")</f>
        <v/>
      </c>
      <c r="T132">
        <f>HYPERLINK("https://klasma.github.io/Logging_0980/kartor/A 41238-2025 karta.png", "A 41238-2025")</f>
        <v/>
      </c>
      <c r="V132">
        <f>HYPERLINK("https://klasma.github.io/Logging_0980/klagomål/A 41238-2025 FSC-klagomål.docx", "A 41238-2025")</f>
        <v/>
      </c>
      <c r="W132">
        <f>HYPERLINK("https://klasma.github.io/Logging_0980/klagomålsmail/A 41238-2025 FSC-klagomål mail.docx", "A 41238-2025")</f>
        <v/>
      </c>
      <c r="X132">
        <f>HYPERLINK("https://klasma.github.io/Logging_0980/tillsyn/A 41238-2025 tillsynsbegäran.docx", "A 41238-2025")</f>
        <v/>
      </c>
      <c r="Y132">
        <f>HYPERLINK("https://klasma.github.io/Logging_0980/tillsynsmail/A 41238-2025 tillsynsbegäran mail.docx", "A 41238-2025")</f>
        <v/>
      </c>
    </row>
    <row r="133" ht="15" customHeight="1">
      <c r="A133" t="inlineStr">
        <is>
          <t>A 55649-2024</t>
        </is>
      </c>
      <c r="B133" s="1" t="n">
        <v>45622.63053240741</v>
      </c>
      <c r="C133" s="1" t="n">
        <v>45937</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20838-2024</t>
        </is>
      </c>
      <c r="B134" s="1" t="n">
        <v>45439</v>
      </c>
      <c r="C134" s="1" t="n">
        <v>45937</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64263-2020</t>
        </is>
      </c>
      <c r="B135" s="1" t="n">
        <v>44168</v>
      </c>
      <c r="C135" s="1" t="n">
        <v>45937</v>
      </c>
      <c r="D135" t="inlineStr">
        <is>
          <t>GOTLANDS LÄN</t>
        </is>
      </c>
      <c r="E135" t="inlineStr">
        <is>
          <t>GOTLAND</t>
        </is>
      </c>
      <c r="G135" t="n">
        <v>10.9</v>
      </c>
      <c r="H135" t="n">
        <v>1</v>
      </c>
      <c r="I135" t="n">
        <v>0</v>
      </c>
      <c r="J135" t="n">
        <v>2</v>
      </c>
      <c r="K135" t="n">
        <v>0</v>
      </c>
      <c r="L135" t="n">
        <v>0</v>
      </c>
      <c r="M135" t="n">
        <v>0</v>
      </c>
      <c r="N135" t="n">
        <v>0</v>
      </c>
      <c r="O135" t="n">
        <v>2</v>
      </c>
      <c r="P135" t="n">
        <v>0</v>
      </c>
      <c r="Q135" t="n">
        <v>2</v>
      </c>
      <c r="R135" s="2" t="inlineStr">
        <is>
          <t>Mindre hackspett
Ullticka</t>
        </is>
      </c>
      <c r="S135">
        <f>HYPERLINK("https://klasma.github.io/Logging_0980/artfynd/A 64263-2020 artfynd.xlsx", "A 64263-2020")</f>
        <v/>
      </c>
      <c r="T135">
        <f>HYPERLINK("https://klasma.github.io/Logging_0980/kartor/A 64263-2020 karta.png", "A 64263-2020")</f>
        <v/>
      </c>
      <c r="V135">
        <f>HYPERLINK("https://klasma.github.io/Logging_0980/klagomål/A 64263-2020 FSC-klagomål.docx", "A 64263-2020")</f>
        <v/>
      </c>
      <c r="W135">
        <f>HYPERLINK("https://klasma.github.io/Logging_0980/klagomålsmail/A 64263-2020 FSC-klagomål mail.docx", "A 64263-2020")</f>
        <v/>
      </c>
      <c r="X135">
        <f>HYPERLINK("https://klasma.github.io/Logging_0980/tillsyn/A 64263-2020 tillsynsbegäran.docx", "A 64263-2020")</f>
        <v/>
      </c>
      <c r="Y135">
        <f>HYPERLINK("https://klasma.github.io/Logging_0980/tillsynsmail/A 64263-2020 tillsynsbegäran mail.docx", "A 64263-2020")</f>
        <v/>
      </c>
      <c r="Z135">
        <f>HYPERLINK("https://klasma.github.io/Logging_0980/fåglar/A 64263-2020 prioriterade fågelarter.docx", "A 64263-2020")</f>
        <v/>
      </c>
    </row>
    <row r="136" ht="15" customHeight="1">
      <c r="A136" t="inlineStr">
        <is>
          <t>A 13627-2023</t>
        </is>
      </c>
      <c r="B136" s="1" t="n">
        <v>45006</v>
      </c>
      <c r="C136" s="1" t="n">
        <v>45937</v>
      </c>
      <c r="D136" t="inlineStr">
        <is>
          <t>GOTLANDS LÄN</t>
        </is>
      </c>
      <c r="E136" t="inlineStr">
        <is>
          <t>GOTLAND</t>
        </is>
      </c>
      <c r="G136" t="n">
        <v>10.7</v>
      </c>
      <c r="H136" t="n">
        <v>0</v>
      </c>
      <c r="I136" t="n">
        <v>0</v>
      </c>
      <c r="J136" t="n">
        <v>1</v>
      </c>
      <c r="K136" t="n">
        <v>1</v>
      </c>
      <c r="L136" t="n">
        <v>0</v>
      </c>
      <c r="M136" t="n">
        <v>0</v>
      </c>
      <c r="N136" t="n">
        <v>0</v>
      </c>
      <c r="O136" t="n">
        <v>2</v>
      </c>
      <c r="P136" t="n">
        <v>1</v>
      </c>
      <c r="Q136" t="n">
        <v>2</v>
      </c>
      <c r="R136" s="2" t="inlineStr">
        <is>
          <t>Sammetsbockrot
Igelkott</t>
        </is>
      </c>
      <c r="S136">
        <f>HYPERLINK("https://klasma.github.io/Logging_0980/artfynd/A 13627-2023 artfynd.xlsx", "A 13627-2023")</f>
        <v/>
      </c>
      <c r="T136">
        <f>HYPERLINK("https://klasma.github.io/Logging_0980/kartor/A 13627-2023 karta.png", "A 13627-2023")</f>
        <v/>
      </c>
      <c r="V136">
        <f>HYPERLINK("https://klasma.github.io/Logging_0980/klagomål/A 13627-2023 FSC-klagomål.docx", "A 13627-2023")</f>
        <v/>
      </c>
      <c r="W136">
        <f>HYPERLINK("https://klasma.github.io/Logging_0980/klagomålsmail/A 13627-2023 FSC-klagomål mail.docx", "A 13627-2023")</f>
        <v/>
      </c>
      <c r="X136">
        <f>HYPERLINK("https://klasma.github.io/Logging_0980/tillsyn/A 13627-2023 tillsynsbegäran.docx", "A 13627-2023")</f>
        <v/>
      </c>
      <c r="Y136">
        <f>HYPERLINK("https://klasma.github.io/Logging_0980/tillsynsmail/A 13627-2023 tillsynsbegäran mail.docx", "A 13627-2023")</f>
        <v/>
      </c>
    </row>
    <row r="137" ht="15" customHeight="1">
      <c r="A137" t="inlineStr">
        <is>
          <t>A 28276-2024</t>
        </is>
      </c>
      <c r="B137" s="1" t="n">
        <v>45477</v>
      </c>
      <c r="C137" s="1" t="n">
        <v>45937</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24-2021</t>
        </is>
      </c>
      <c r="B138" s="1" t="n">
        <v>44197</v>
      </c>
      <c r="C138" s="1" t="n">
        <v>45937</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45937</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45937</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45937</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45937</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37591-2023</t>
        </is>
      </c>
      <c r="B143" s="1" t="n">
        <v>45159</v>
      </c>
      <c r="C143" s="1" t="n">
        <v>45937</v>
      </c>
      <c r="D143" t="inlineStr">
        <is>
          <t>GOTLANDS LÄN</t>
        </is>
      </c>
      <c r="E143" t="inlineStr">
        <is>
          <t>GOTLAND</t>
        </is>
      </c>
      <c r="G143" t="n">
        <v>8.300000000000001</v>
      </c>
      <c r="H143" t="n">
        <v>0</v>
      </c>
      <c r="I143" t="n">
        <v>0</v>
      </c>
      <c r="J143" t="n">
        <v>1</v>
      </c>
      <c r="K143" t="n">
        <v>0</v>
      </c>
      <c r="L143" t="n">
        <v>0</v>
      </c>
      <c r="M143" t="n">
        <v>0</v>
      </c>
      <c r="N143" t="n">
        <v>0</v>
      </c>
      <c r="O143" t="n">
        <v>1</v>
      </c>
      <c r="P143" t="n">
        <v>0</v>
      </c>
      <c r="Q143" t="n">
        <v>1</v>
      </c>
      <c r="R143" s="2" t="inlineStr">
        <is>
          <t>Ängsstarr</t>
        </is>
      </c>
      <c r="S143">
        <f>HYPERLINK("https://klasma.github.io/Logging_0980/artfynd/A 37591-2023 artfynd.xlsx", "A 37591-2023")</f>
        <v/>
      </c>
      <c r="T143">
        <f>HYPERLINK("https://klasma.github.io/Logging_0980/kartor/A 37591-2023 karta.png", "A 37591-2023")</f>
        <v/>
      </c>
      <c r="V143">
        <f>HYPERLINK("https://klasma.github.io/Logging_0980/klagomål/A 37591-2023 FSC-klagomål.docx", "A 37591-2023")</f>
        <v/>
      </c>
      <c r="W143">
        <f>HYPERLINK("https://klasma.github.io/Logging_0980/klagomålsmail/A 37591-2023 FSC-klagomål mail.docx", "A 37591-2023")</f>
        <v/>
      </c>
      <c r="X143">
        <f>HYPERLINK("https://klasma.github.io/Logging_0980/tillsyn/A 37591-2023 tillsynsbegäran.docx", "A 37591-2023")</f>
        <v/>
      </c>
      <c r="Y143">
        <f>HYPERLINK("https://klasma.github.io/Logging_0980/tillsynsmail/A 37591-2023 tillsynsbegäran mail.docx", "A 37591-2023")</f>
        <v/>
      </c>
    </row>
    <row r="144" ht="15" customHeight="1">
      <c r="A144" t="inlineStr">
        <is>
          <t>A 1477-2024</t>
        </is>
      </c>
      <c r="B144" s="1" t="n">
        <v>45305.37987268518</v>
      </c>
      <c r="C144" s="1" t="n">
        <v>45937</v>
      </c>
      <c r="D144" t="inlineStr">
        <is>
          <t>GOTLANDS LÄN</t>
        </is>
      </c>
      <c r="E144" t="inlineStr">
        <is>
          <t>GOTLAND</t>
        </is>
      </c>
      <c r="G144" t="n">
        <v>6.9</v>
      </c>
      <c r="H144" t="n">
        <v>0</v>
      </c>
      <c r="I144" t="n">
        <v>0</v>
      </c>
      <c r="J144" t="n">
        <v>1</v>
      </c>
      <c r="K144" t="n">
        <v>0</v>
      </c>
      <c r="L144" t="n">
        <v>0</v>
      </c>
      <c r="M144" t="n">
        <v>0</v>
      </c>
      <c r="N144" t="n">
        <v>0</v>
      </c>
      <c r="O144" t="n">
        <v>1</v>
      </c>
      <c r="P144" t="n">
        <v>0</v>
      </c>
      <c r="Q144" t="n">
        <v>1</v>
      </c>
      <c r="R144" s="2" t="inlineStr">
        <is>
          <t>Igelkott</t>
        </is>
      </c>
      <c r="S144">
        <f>HYPERLINK("https://klasma.github.io/Logging_0980/artfynd/A 1477-2024 artfynd.xlsx", "A 1477-2024")</f>
        <v/>
      </c>
      <c r="T144">
        <f>HYPERLINK("https://klasma.github.io/Logging_0980/kartor/A 1477-2024 karta.png", "A 1477-2024")</f>
        <v/>
      </c>
      <c r="V144">
        <f>HYPERLINK("https://klasma.github.io/Logging_0980/klagomål/A 1477-2024 FSC-klagomål.docx", "A 1477-2024")</f>
        <v/>
      </c>
      <c r="W144">
        <f>HYPERLINK("https://klasma.github.io/Logging_0980/klagomålsmail/A 1477-2024 FSC-klagomål mail.docx", "A 1477-2024")</f>
        <v/>
      </c>
      <c r="X144">
        <f>HYPERLINK("https://klasma.github.io/Logging_0980/tillsyn/A 1477-2024 tillsynsbegäran.docx", "A 1477-2024")</f>
        <v/>
      </c>
      <c r="Y144">
        <f>HYPERLINK("https://klasma.github.io/Logging_0980/tillsynsmail/A 1477-2024 tillsynsbegäran mail.docx", "A 1477-2024")</f>
        <v/>
      </c>
    </row>
    <row r="145" ht="15" customHeight="1">
      <c r="A145" t="inlineStr">
        <is>
          <t>A 35574-2024</t>
        </is>
      </c>
      <c r="B145" s="1" t="n">
        <v>45531</v>
      </c>
      <c r="C145" s="1" t="n">
        <v>45937</v>
      </c>
      <c r="D145" t="inlineStr">
        <is>
          <t>GOTLANDS LÄN</t>
        </is>
      </c>
      <c r="E145" t="inlineStr">
        <is>
          <t>GOTLAND</t>
        </is>
      </c>
      <c r="G145" t="n">
        <v>5.7</v>
      </c>
      <c r="H145" t="n">
        <v>0</v>
      </c>
      <c r="I145" t="n">
        <v>1</v>
      </c>
      <c r="J145" t="n">
        <v>0</v>
      </c>
      <c r="K145" t="n">
        <v>0</v>
      </c>
      <c r="L145" t="n">
        <v>0</v>
      </c>
      <c r="M145" t="n">
        <v>0</v>
      </c>
      <c r="N145" t="n">
        <v>0</v>
      </c>
      <c r="O145" t="n">
        <v>0</v>
      </c>
      <c r="P145" t="n">
        <v>0</v>
      </c>
      <c r="Q145" t="n">
        <v>1</v>
      </c>
      <c r="R145" s="2" t="inlineStr">
        <is>
          <t>Murgröna</t>
        </is>
      </c>
      <c r="S145">
        <f>HYPERLINK("https://klasma.github.io/Logging_0980/artfynd/A 35574-2024 artfynd.xlsx", "A 35574-2024")</f>
        <v/>
      </c>
      <c r="T145">
        <f>HYPERLINK("https://klasma.github.io/Logging_0980/kartor/A 35574-2024 karta.png", "A 35574-2024")</f>
        <v/>
      </c>
      <c r="V145">
        <f>HYPERLINK("https://klasma.github.io/Logging_0980/klagomål/A 35574-2024 FSC-klagomål.docx", "A 35574-2024")</f>
        <v/>
      </c>
      <c r="W145">
        <f>HYPERLINK("https://klasma.github.io/Logging_0980/klagomålsmail/A 35574-2024 FSC-klagomål mail.docx", "A 35574-2024")</f>
        <v/>
      </c>
      <c r="X145">
        <f>HYPERLINK("https://klasma.github.io/Logging_0980/tillsyn/A 35574-2024 tillsynsbegäran.docx", "A 35574-2024")</f>
        <v/>
      </c>
      <c r="Y145">
        <f>HYPERLINK("https://klasma.github.io/Logging_0980/tillsynsmail/A 35574-2024 tillsynsbegäran mail.docx", "A 35574-2024")</f>
        <v/>
      </c>
    </row>
    <row r="146" ht="15" customHeight="1">
      <c r="A146" t="inlineStr">
        <is>
          <t>A 7637-2025</t>
        </is>
      </c>
      <c r="B146" s="1" t="n">
        <v>45705.77181712963</v>
      </c>
      <c r="C146" s="1" t="n">
        <v>45937</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25977-2024</t>
        </is>
      </c>
      <c r="B147" s="1" t="n">
        <v>45467.69356481481</v>
      </c>
      <c r="C147" s="1" t="n">
        <v>45937</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21466-2025</t>
        </is>
      </c>
      <c r="B148" s="1" t="n">
        <v>45782</v>
      </c>
      <c r="C148" s="1" t="n">
        <v>45937</v>
      </c>
      <c r="D148" t="inlineStr">
        <is>
          <t>GOTLANDS LÄN</t>
        </is>
      </c>
      <c r="E148" t="inlineStr">
        <is>
          <t>GOTLAND</t>
        </is>
      </c>
      <c r="F148" t="inlineStr">
        <is>
          <t>Övriga statliga verk och myndigheter</t>
        </is>
      </c>
      <c r="G148" t="n">
        <v>1.7</v>
      </c>
      <c r="H148" t="n">
        <v>1</v>
      </c>
      <c r="I148" t="n">
        <v>0</v>
      </c>
      <c r="J148" t="n">
        <v>0</v>
      </c>
      <c r="K148" t="n">
        <v>0</v>
      </c>
      <c r="L148" t="n">
        <v>0</v>
      </c>
      <c r="M148" t="n">
        <v>0</v>
      </c>
      <c r="N148" t="n">
        <v>0</v>
      </c>
      <c r="O148" t="n">
        <v>0</v>
      </c>
      <c r="P148" t="n">
        <v>0</v>
      </c>
      <c r="Q148" t="n">
        <v>1</v>
      </c>
      <c r="R148" s="2" t="inlineStr">
        <is>
          <t>Blåsippa</t>
        </is>
      </c>
      <c r="S148">
        <f>HYPERLINK("https://klasma.github.io/Logging_0980/artfynd/A 21466-2025 artfynd.xlsx", "A 21466-2025")</f>
        <v/>
      </c>
      <c r="T148">
        <f>HYPERLINK("https://klasma.github.io/Logging_0980/kartor/A 21466-2025 karta.png", "A 21466-2025")</f>
        <v/>
      </c>
      <c r="V148">
        <f>HYPERLINK("https://klasma.github.io/Logging_0980/klagomål/A 21466-2025 FSC-klagomål.docx", "A 21466-2025")</f>
        <v/>
      </c>
      <c r="W148">
        <f>HYPERLINK("https://klasma.github.io/Logging_0980/klagomålsmail/A 21466-2025 FSC-klagomål mail.docx", "A 21466-2025")</f>
        <v/>
      </c>
      <c r="X148">
        <f>HYPERLINK("https://klasma.github.io/Logging_0980/tillsyn/A 21466-2025 tillsynsbegäran.docx", "A 21466-2025")</f>
        <v/>
      </c>
      <c r="Y148">
        <f>HYPERLINK("https://klasma.github.io/Logging_0980/tillsynsmail/A 21466-2025 tillsynsbegäran mail.docx", "A 21466-2025")</f>
        <v/>
      </c>
    </row>
    <row r="149" ht="15" customHeight="1">
      <c r="A149" t="inlineStr">
        <is>
          <t>A 10218-2025</t>
        </is>
      </c>
      <c r="B149" s="1" t="n">
        <v>45720</v>
      </c>
      <c r="C149" s="1" t="n">
        <v>45937</v>
      </c>
      <c r="D149" t="inlineStr">
        <is>
          <t>GOTLANDS LÄN</t>
        </is>
      </c>
      <c r="E149" t="inlineStr">
        <is>
          <t>GOTLAND</t>
        </is>
      </c>
      <c r="G149" t="n">
        <v>8.1</v>
      </c>
      <c r="H149" t="n">
        <v>0</v>
      </c>
      <c r="I149" t="n">
        <v>1</v>
      </c>
      <c r="J149" t="n">
        <v>0</v>
      </c>
      <c r="K149" t="n">
        <v>0</v>
      </c>
      <c r="L149" t="n">
        <v>0</v>
      </c>
      <c r="M149" t="n">
        <v>0</v>
      </c>
      <c r="N149" t="n">
        <v>0</v>
      </c>
      <c r="O149" t="n">
        <v>0</v>
      </c>
      <c r="P149" t="n">
        <v>0</v>
      </c>
      <c r="Q149" t="n">
        <v>1</v>
      </c>
      <c r="R149" s="2" t="inlineStr">
        <is>
          <t>Kalktallört</t>
        </is>
      </c>
      <c r="S149">
        <f>HYPERLINK("https://klasma.github.io/Logging_0980/artfynd/A 10218-2025 artfynd.xlsx", "A 10218-2025")</f>
        <v/>
      </c>
      <c r="T149">
        <f>HYPERLINK("https://klasma.github.io/Logging_0980/kartor/A 10218-2025 karta.png", "A 10218-2025")</f>
        <v/>
      </c>
      <c r="V149">
        <f>HYPERLINK("https://klasma.github.io/Logging_0980/klagomål/A 10218-2025 FSC-klagomål.docx", "A 10218-2025")</f>
        <v/>
      </c>
      <c r="W149">
        <f>HYPERLINK("https://klasma.github.io/Logging_0980/klagomålsmail/A 10218-2025 FSC-klagomål mail.docx", "A 10218-2025")</f>
        <v/>
      </c>
      <c r="X149">
        <f>HYPERLINK("https://klasma.github.io/Logging_0980/tillsyn/A 10218-2025 tillsynsbegäran.docx", "A 10218-2025")</f>
        <v/>
      </c>
      <c r="Y149">
        <f>HYPERLINK("https://klasma.github.io/Logging_0980/tillsynsmail/A 10218-2025 tillsynsbegäran mail.docx", "A 10218-2025")</f>
        <v/>
      </c>
    </row>
    <row r="150" ht="15" customHeight="1">
      <c r="A150" t="inlineStr">
        <is>
          <t>A 65927-2021</t>
        </is>
      </c>
      <c r="B150" s="1" t="n">
        <v>44516</v>
      </c>
      <c r="C150" s="1" t="n">
        <v>45937</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12379-2024</t>
        </is>
      </c>
      <c r="B151" s="1" t="n">
        <v>45379.28155092592</v>
      </c>
      <c r="C151" s="1" t="n">
        <v>45937</v>
      </c>
      <c r="D151" t="inlineStr">
        <is>
          <t>GOTLANDS LÄN</t>
        </is>
      </c>
      <c r="E151" t="inlineStr">
        <is>
          <t>GOTLAND</t>
        </is>
      </c>
      <c r="G151" t="n">
        <v>4.4</v>
      </c>
      <c r="H151" t="n">
        <v>0</v>
      </c>
      <c r="I151" t="n">
        <v>0</v>
      </c>
      <c r="J151" t="n">
        <v>1</v>
      </c>
      <c r="K151" t="n">
        <v>0</v>
      </c>
      <c r="L151" t="n">
        <v>0</v>
      </c>
      <c r="M151" t="n">
        <v>0</v>
      </c>
      <c r="N151" t="n">
        <v>0</v>
      </c>
      <c r="O151" t="n">
        <v>1</v>
      </c>
      <c r="P151" t="n">
        <v>0</v>
      </c>
      <c r="Q151" t="n">
        <v>1</v>
      </c>
      <c r="R151" s="2" t="inlineStr">
        <is>
          <t>Svinrot</t>
        </is>
      </c>
      <c r="S151">
        <f>HYPERLINK("https://klasma.github.io/Logging_0980/artfynd/A 12379-2024 artfynd.xlsx", "A 12379-2024")</f>
        <v/>
      </c>
      <c r="T151">
        <f>HYPERLINK("https://klasma.github.io/Logging_0980/kartor/A 12379-2024 karta.png", "A 12379-2024")</f>
        <v/>
      </c>
      <c r="V151">
        <f>HYPERLINK("https://klasma.github.io/Logging_0980/klagomål/A 12379-2024 FSC-klagomål.docx", "A 12379-2024")</f>
        <v/>
      </c>
      <c r="W151">
        <f>HYPERLINK("https://klasma.github.io/Logging_0980/klagomålsmail/A 12379-2024 FSC-klagomål mail.docx", "A 12379-2024")</f>
        <v/>
      </c>
      <c r="X151">
        <f>HYPERLINK("https://klasma.github.io/Logging_0980/tillsyn/A 12379-2024 tillsynsbegäran.docx", "A 12379-2024")</f>
        <v/>
      </c>
      <c r="Y151">
        <f>HYPERLINK("https://klasma.github.io/Logging_0980/tillsynsmail/A 12379-2024 tillsynsbegäran mail.docx", "A 12379-2024")</f>
        <v/>
      </c>
    </row>
    <row r="152" ht="15" customHeight="1">
      <c r="A152" t="inlineStr">
        <is>
          <t>A 10440-2024</t>
        </is>
      </c>
      <c r="B152" s="1" t="n">
        <v>45366.32818287037</v>
      </c>
      <c r="C152" s="1" t="n">
        <v>45937</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17723-2021</t>
        </is>
      </c>
      <c r="B153" s="1" t="n">
        <v>44300</v>
      </c>
      <c r="C153" s="1" t="n">
        <v>45937</v>
      </c>
      <c r="D153" t="inlineStr">
        <is>
          <t>GOTLANDS LÄN</t>
        </is>
      </c>
      <c r="E153" t="inlineStr">
        <is>
          <t>GOTLAND</t>
        </is>
      </c>
      <c r="G153" t="n">
        <v>1.5</v>
      </c>
      <c r="H153" t="n">
        <v>1</v>
      </c>
      <c r="I153" t="n">
        <v>1</v>
      </c>
      <c r="J153" t="n">
        <v>0</v>
      </c>
      <c r="K153" t="n">
        <v>0</v>
      </c>
      <c r="L153" t="n">
        <v>0</v>
      </c>
      <c r="M153" t="n">
        <v>0</v>
      </c>
      <c r="N153" t="n">
        <v>0</v>
      </c>
      <c r="O153" t="n">
        <v>0</v>
      </c>
      <c r="P153" t="n">
        <v>0</v>
      </c>
      <c r="Q153" t="n">
        <v>1</v>
      </c>
      <c r="R153" s="2" t="inlineStr">
        <is>
          <t>Vit skogslilja</t>
        </is>
      </c>
      <c r="S153">
        <f>HYPERLINK("https://klasma.github.io/Logging_0980/artfynd/A 17723-2021 artfynd.xlsx", "A 17723-2021")</f>
        <v/>
      </c>
      <c r="T153">
        <f>HYPERLINK("https://klasma.github.io/Logging_0980/kartor/A 17723-2021 karta.png", "A 17723-2021")</f>
        <v/>
      </c>
      <c r="V153">
        <f>HYPERLINK("https://klasma.github.io/Logging_0980/klagomål/A 17723-2021 FSC-klagomål.docx", "A 17723-2021")</f>
        <v/>
      </c>
      <c r="W153">
        <f>HYPERLINK("https://klasma.github.io/Logging_0980/klagomålsmail/A 17723-2021 FSC-klagomål mail.docx", "A 17723-2021")</f>
        <v/>
      </c>
      <c r="X153">
        <f>HYPERLINK("https://klasma.github.io/Logging_0980/tillsyn/A 17723-2021 tillsynsbegäran.docx", "A 17723-2021")</f>
        <v/>
      </c>
      <c r="Y153">
        <f>HYPERLINK("https://klasma.github.io/Logging_0980/tillsynsmail/A 17723-2021 tillsynsbegäran mail.docx", "A 17723-2021")</f>
        <v/>
      </c>
    </row>
    <row r="154" ht="15" customHeight="1">
      <c r="A154" t="inlineStr">
        <is>
          <t>A 61796-2022</t>
        </is>
      </c>
      <c r="B154" s="1" t="n">
        <v>44917</v>
      </c>
      <c r="C154" s="1" t="n">
        <v>45937</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6303-2024</t>
        </is>
      </c>
      <c r="B155" s="1" t="n">
        <v>45338.35376157407</v>
      </c>
      <c r="C155" s="1" t="n">
        <v>45937</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13939-2021</t>
        </is>
      </c>
      <c r="B156" s="1" t="n">
        <v>44277</v>
      </c>
      <c r="C156" s="1" t="n">
        <v>45937</v>
      </c>
      <c r="D156" t="inlineStr">
        <is>
          <t>GOTLANDS LÄN</t>
        </is>
      </c>
      <c r="E156" t="inlineStr">
        <is>
          <t>GOTLAND</t>
        </is>
      </c>
      <c r="G156" t="n">
        <v>1</v>
      </c>
      <c r="H156" t="n">
        <v>0</v>
      </c>
      <c r="I156" t="n">
        <v>0</v>
      </c>
      <c r="J156" t="n">
        <v>1</v>
      </c>
      <c r="K156" t="n">
        <v>0</v>
      </c>
      <c r="L156" t="n">
        <v>0</v>
      </c>
      <c r="M156" t="n">
        <v>0</v>
      </c>
      <c r="N156" t="n">
        <v>0</v>
      </c>
      <c r="O156" t="n">
        <v>1</v>
      </c>
      <c r="P156" t="n">
        <v>0</v>
      </c>
      <c r="Q156" t="n">
        <v>1</v>
      </c>
      <c r="R156" s="2" t="inlineStr">
        <is>
          <t>Axveronika</t>
        </is>
      </c>
      <c r="S156">
        <f>HYPERLINK("https://klasma.github.io/Logging_0980/artfynd/A 13939-2021 artfynd.xlsx", "A 13939-2021")</f>
        <v/>
      </c>
      <c r="T156">
        <f>HYPERLINK("https://klasma.github.io/Logging_0980/kartor/A 13939-2021 karta.png", "A 13939-2021")</f>
        <v/>
      </c>
      <c r="V156">
        <f>HYPERLINK("https://klasma.github.io/Logging_0980/klagomål/A 13939-2021 FSC-klagomål.docx", "A 13939-2021")</f>
        <v/>
      </c>
      <c r="W156">
        <f>HYPERLINK("https://klasma.github.io/Logging_0980/klagomålsmail/A 13939-2021 FSC-klagomål mail.docx", "A 13939-2021")</f>
        <v/>
      </c>
      <c r="X156">
        <f>HYPERLINK("https://klasma.github.io/Logging_0980/tillsyn/A 13939-2021 tillsynsbegäran.docx", "A 13939-2021")</f>
        <v/>
      </c>
      <c r="Y156">
        <f>HYPERLINK("https://klasma.github.io/Logging_0980/tillsynsmail/A 13939-2021 tillsynsbegäran mail.docx", "A 13939-2021")</f>
        <v/>
      </c>
    </row>
    <row r="157" ht="15" customHeight="1">
      <c r="A157" t="inlineStr">
        <is>
          <t>A 15637-2024</t>
        </is>
      </c>
      <c r="B157" s="1" t="n">
        <v>45403.6684837963</v>
      </c>
      <c r="C157" s="1" t="n">
        <v>45937</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26461-2025</t>
        </is>
      </c>
      <c r="B158" s="1" t="n">
        <v>45807.43337962963</v>
      </c>
      <c r="C158" s="1" t="n">
        <v>45937</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34809-2024</t>
        </is>
      </c>
      <c r="B159" s="1" t="n">
        <v>45526</v>
      </c>
      <c r="C159" s="1" t="n">
        <v>45937</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20429-2025</t>
        </is>
      </c>
      <c r="B160" s="1" t="n">
        <v>45775.47728009259</v>
      </c>
      <c r="C160" s="1" t="n">
        <v>45937</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2476-2025</t>
        </is>
      </c>
      <c r="B161" s="1" t="n">
        <v>45673</v>
      </c>
      <c r="C161" s="1" t="n">
        <v>45937</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10995-2023</t>
        </is>
      </c>
      <c r="B162" s="1" t="n">
        <v>44986</v>
      </c>
      <c r="C162" s="1" t="n">
        <v>45937</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39812-2025</t>
        </is>
      </c>
      <c r="B163" s="1" t="n">
        <v>45891</v>
      </c>
      <c r="C163" s="1" t="n">
        <v>45937</v>
      </c>
      <c r="D163" t="inlineStr">
        <is>
          <t>GOTLANDS LÄN</t>
        </is>
      </c>
      <c r="E163" t="inlineStr">
        <is>
          <t>GOTLAND</t>
        </is>
      </c>
      <c r="G163" t="n">
        <v>6</v>
      </c>
      <c r="H163" t="n">
        <v>1</v>
      </c>
      <c r="I163" t="n">
        <v>0</v>
      </c>
      <c r="J163" t="n">
        <v>0</v>
      </c>
      <c r="K163" t="n">
        <v>0</v>
      </c>
      <c r="L163" t="n">
        <v>1</v>
      </c>
      <c r="M163" t="n">
        <v>0</v>
      </c>
      <c r="N163" t="n">
        <v>0</v>
      </c>
      <c r="O163" t="n">
        <v>1</v>
      </c>
      <c r="P163" t="n">
        <v>1</v>
      </c>
      <c r="Q163" t="n">
        <v>1</v>
      </c>
      <c r="R163" s="2" t="inlineStr">
        <is>
          <t>Nålkörvel</t>
        </is>
      </c>
      <c r="S163">
        <f>HYPERLINK("https://klasma.github.io/Logging_0980/artfynd/A 39812-2025 artfynd.xlsx", "A 39812-2025")</f>
        <v/>
      </c>
      <c r="T163">
        <f>HYPERLINK("https://klasma.github.io/Logging_0980/kartor/A 39812-2025 karta.png", "A 39812-2025")</f>
        <v/>
      </c>
      <c r="V163">
        <f>HYPERLINK("https://klasma.github.io/Logging_0980/klagomål/A 39812-2025 FSC-klagomål.docx", "A 39812-2025")</f>
        <v/>
      </c>
      <c r="W163">
        <f>HYPERLINK("https://klasma.github.io/Logging_0980/klagomålsmail/A 39812-2025 FSC-klagomål mail.docx", "A 39812-2025")</f>
        <v/>
      </c>
      <c r="X163">
        <f>HYPERLINK("https://klasma.github.io/Logging_0980/tillsyn/A 39812-2025 tillsynsbegäran.docx", "A 39812-2025")</f>
        <v/>
      </c>
      <c r="Y163">
        <f>HYPERLINK("https://klasma.github.io/Logging_0980/tillsynsmail/A 39812-2025 tillsynsbegäran mail.docx", "A 39812-2025")</f>
        <v/>
      </c>
    </row>
    <row r="164" ht="15" customHeight="1">
      <c r="A164" t="inlineStr">
        <is>
          <t>A 34141-2024</t>
        </is>
      </c>
      <c r="B164" s="1" t="n">
        <v>45524.36229166666</v>
      </c>
      <c r="C164" s="1" t="n">
        <v>45937</v>
      </c>
      <c r="D164" t="inlineStr">
        <is>
          <t>GOTLANDS LÄN</t>
        </is>
      </c>
      <c r="E164" t="inlineStr">
        <is>
          <t>GOTLAND</t>
        </is>
      </c>
      <c r="G164" t="n">
        <v>0.9</v>
      </c>
      <c r="H164" t="n">
        <v>0</v>
      </c>
      <c r="I164" t="n">
        <v>1</v>
      </c>
      <c r="J164" t="n">
        <v>0</v>
      </c>
      <c r="K164" t="n">
        <v>0</v>
      </c>
      <c r="L164" t="n">
        <v>0</v>
      </c>
      <c r="M164" t="n">
        <v>0</v>
      </c>
      <c r="N164" t="n">
        <v>0</v>
      </c>
      <c r="O164" t="n">
        <v>0</v>
      </c>
      <c r="P164" t="n">
        <v>0</v>
      </c>
      <c r="Q164" t="n">
        <v>1</v>
      </c>
      <c r="R164" s="2" t="inlineStr">
        <is>
          <t>Strävlosta</t>
        </is>
      </c>
      <c r="S164">
        <f>HYPERLINK("https://klasma.github.io/Logging_0980/artfynd/A 34141-2024 artfynd.xlsx", "A 34141-2024")</f>
        <v/>
      </c>
      <c r="T164">
        <f>HYPERLINK("https://klasma.github.io/Logging_0980/kartor/A 34141-2024 karta.png", "A 34141-2024")</f>
        <v/>
      </c>
      <c r="V164">
        <f>HYPERLINK("https://klasma.github.io/Logging_0980/klagomål/A 34141-2024 FSC-klagomål.docx", "A 34141-2024")</f>
        <v/>
      </c>
      <c r="W164">
        <f>HYPERLINK("https://klasma.github.io/Logging_0980/klagomålsmail/A 34141-2024 FSC-klagomål mail.docx", "A 34141-2024")</f>
        <v/>
      </c>
      <c r="X164">
        <f>HYPERLINK("https://klasma.github.io/Logging_0980/tillsyn/A 34141-2024 tillsynsbegäran.docx", "A 34141-2024")</f>
        <v/>
      </c>
      <c r="Y164">
        <f>HYPERLINK("https://klasma.github.io/Logging_0980/tillsynsmail/A 34141-2024 tillsynsbegäran mail.docx", "A 34141-2024")</f>
        <v/>
      </c>
    </row>
    <row r="165" ht="15" customHeight="1">
      <c r="A165" t="inlineStr">
        <is>
          <t>A 9862-2024</t>
        </is>
      </c>
      <c r="B165" s="1" t="n">
        <v>45363</v>
      </c>
      <c r="C165" s="1" t="n">
        <v>45937</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62552-2022</t>
        </is>
      </c>
      <c r="B166" s="1" t="n">
        <v>44924</v>
      </c>
      <c r="C166" s="1" t="n">
        <v>45937</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61561-2023</t>
        </is>
      </c>
      <c r="B167" s="1" t="n">
        <v>45265</v>
      </c>
      <c r="C167" s="1" t="n">
        <v>45937</v>
      </c>
      <c r="D167" t="inlineStr">
        <is>
          <t>GOTLANDS LÄN</t>
        </is>
      </c>
      <c r="E167" t="inlineStr">
        <is>
          <t>GOTLAND</t>
        </is>
      </c>
      <c r="G167" t="n">
        <v>7.4</v>
      </c>
      <c r="H167" t="n">
        <v>0</v>
      </c>
      <c r="I167" t="n">
        <v>0</v>
      </c>
      <c r="J167" t="n">
        <v>1</v>
      </c>
      <c r="K167" t="n">
        <v>0</v>
      </c>
      <c r="L167" t="n">
        <v>0</v>
      </c>
      <c r="M167" t="n">
        <v>0</v>
      </c>
      <c r="N167" t="n">
        <v>0</v>
      </c>
      <c r="O167" t="n">
        <v>1</v>
      </c>
      <c r="P167" t="n">
        <v>0</v>
      </c>
      <c r="Q167" t="n">
        <v>1</v>
      </c>
      <c r="R167" s="2" t="inlineStr">
        <is>
          <t>Loppstarr</t>
        </is>
      </c>
      <c r="S167">
        <f>HYPERLINK("https://klasma.github.io/Logging_0980/artfynd/A 61561-2023 artfynd.xlsx", "A 61561-2023")</f>
        <v/>
      </c>
      <c r="T167">
        <f>HYPERLINK("https://klasma.github.io/Logging_0980/kartor/A 61561-2023 karta.png", "A 61561-2023")</f>
        <v/>
      </c>
      <c r="V167">
        <f>HYPERLINK("https://klasma.github.io/Logging_0980/klagomål/A 61561-2023 FSC-klagomål.docx", "A 61561-2023")</f>
        <v/>
      </c>
      <c r="W167">
        <f>HYPERLINK("https://klasma.github.io/Logging_0980/klagomålsmail/A 61561-2023 FSC-klagomål mail.docx", "A 61561-2023")</f>
        <v/>
      </c>
      <c r="X167">
        <f>HYPERLINK("https://klasma.github.io/Logging_0980/tillsyn/A 61561-2023 tillsynsbegäran.docx", "A 61561-2023")</f>
        <v/>
      </c>
      <c r="Y167">
        <f>HYPERLINK("https://klasma.github.io/Logging_0980/tillsynsmail/A 61561-2023 tillsynsbegäran mail.docx", "A 61561-2023")</f>
        <v/>
      </c>
    </row>
    <row r="168" ht="15" customHeight="1">
      <c r="A168" t="inlineStr">
        <is>
          <t>A 44088-2022</t>
        </is>
      </c>
      <c r="B168" s="1" t="n">
        <v>44839</v>
      </c>
      <c r="C168" s="1" t="n">
        <v>45937</v>
      </c>
      <c r="D168" t="inlineStr">
        <is>
          <t>GOTLANDS LÄN</t>
        </is>
      </c>
      <c r="E168" t="inlineStr">
        <is>
          <t>GOTLAND</t>
        </is>
      </c>
      <c r="G168" t="n">
        <v>1.5</v>
      </c>
      <c r="H168" t="n">
        <v>0</v>
      </c>
      <c r="I168" t="n">
        <v>1</v>
      </c>
      <c r="J168" t="n">
        <v>0</v>
      </c>
      <c r="K168" t="n">
        <v>0</v>
      </c>
      <c r="L168" t="n">
        <v>0</v>
      </c>
      <c r="M168" t="n">
        <v>0</v>
      </c>
      <c r="N168" t="n">
        <v>0</v>
      </c>
      <c r="O168" t="n">
        <v>0</v>
      </c>
      <c r="P168" t="n">
        <v>0</v>
      </c>
      <c r="Q168" t="n">
        <v>1</v>
      </c>
      <c r="R168" s="2" t="inlineStr">
        <is>
          <t>Strävlosta</t>
        </is>
      </c>
      <c r="S168">
        <f>HYPERLINK("https://klasma.github.io/Logging_0980/artfynd/A 44088-2022 artfynd.xlsx", "A 44088-2022")</f>
        <v/>
      </c>
      <c r="T168">
        <f>HYPERLINK("https://klasma.github.io/Logging_0980/kartor/A 44088-2022 karta.png", "A 44088-2022")</f>
        <v/>
      </c>
      <c r="V168">
        <f>HYPERLINK("https://klasma.github.io/Logging_0980/klagomål/A 44088-2022 FSC-klagomål.docx", "A 44088-2022")</f>
        <v/>
      </c>
      <c r="W168">
        <f>HYPERLINK("https://klasma.github.io/Logging_0980/klagomålsmail/A 44088-2022 FSC-klagomål mail.docx", "A 44088-2022")</f>
        <v/>
      </c>
      <c r="X168">
        <f>HYPERLINK("https://klasma.github.io/Logging_0980/tillsyn/A 44088-2022 tillsynsbegäran.docx", "A 44088-2022")</f>
        <v/>
      </c>
      <c r="Y168">
        <f>HYPERLINK("https://klasma.github.io/Logging_0980/tillsynsmail/A 44088-2022 tillsynsbegäran mail.docx", "A 44088-2022")</f>
        <v/>
      </c>
    </row>
    <row r="169" ht="15" customHeight="1">
      <c r="A169" t="inlineStr">
        <is>
          <t>A 44308-2021</t>
        </is>
      </c>
      <c r="B169" s="1" t="n">
        <v>44434</v>
      </c>
      <c r="C169" s="1" t="n">
        <v>45937</v>
      </c>
      <c r="D169" t="inlineStr">
        <is>
          <t>GOTLANDS LÄN</t>
        </is>
      </c>
      <c r="E169" t="inlineStr">
        <is>
          <t>GOTLAND</t>
        </is>
      </c>
      <c r="G169" t="n">
        <v>5.9</v>
      </c>
      <c r="H169" t="n">
        <v>0</v>
      </c>
      <c r="I169" t="n">
        <v>1</v>
      </c>
      <c r="J169" t="n">
        <v>0</v>
      </c>
      <c r="K169" t="n">
        <v>0</v>
      </c>
      <c r="L169" t="n">
        <v>0</v>
      </c>
      <c r="M169" t="n">
        <v>0</v>
      </c>
      <c r="N169" t="n">
        <v>0</v>
      </c>
      <c r="O169" t="n">
        <v>0</v>
      </c>
      <c r="P169" t="n">
        <v>0</v>
      </c>
      <c r="Q169" t="n">
        <v>1</v>
      </c>
      <c r="R169" s="2" t="inlineStr">
        <is>
          <t>Svavelriska</t>
        </is>
      </c>
      <c r="S169">
        <f>HYPERLINK("https://klasma.github.io/Logging_0980/artfynd/A 44308-2021 artfynd.xlsx", "A 44308-2021")</f>
        <v/>
      </c>
      <c r="T169">
        <f>HYPERLINK("https://klasma.github.io/Logging_0980/kartor/A 44308-2021 karta.png", "A 44308-2021")</f>
        <v/>
      </c>
      <c r="V169">
        <f>HYPERLINK("https://klasma.github.io/Logging_0980/klagomål/A 44308-2021 FSC-klagomål.docx", "A 44308-2021")</f>
        <v/>
      </c>
      <c r="W169">
        <f>HYPERLINK("https://klasma.github.io/Logging_0980/klagomålsmail/A 44308-2021 FSC-klagomål mail.docx", "A 44308-2021")</f>
        <v/>
      </c>
      <c r="X169">
        <f>HYPERLINK("https://klasma.github.io/Logging_0980/tillsyn/A 44308-2021 tillsynsbegäran.docx", "A 44308-2021")</f>
        <v/>
      </c>
      <c r="Y169">
        <f>HYPERLINK("https://klasma.github.io/Logging_0980/tillsynsmail/A 44308-2021 tillsynsbegäran mail.docx", "A 44308-2021")</f>
        <v/>
      </c>
    </row>
    <row r="170" ht="15" customHeight="1">
      <c r="A170" t="inlineStr">
        <is>
          <t>A 63299-2020</t>
        </is>
      </c>
      <c r="B170" s="1" t="n">
        <v>44165</v>
      </c>
      <c r="C170" s="1" t="n">
        <v>45937</v>
      </c>
      <c r="D170" t="inlineStr">
        <is>
          <t>GOTLANDS LÄN</t>
        </is>
      </c>
      <c r="E170" t="inlineStr">
        <is>
          <t>GOTLAND</t>
        </is>
      </c>
      <c r="G170" t="n">
        <v>12.9</v>
      </c>
      <c r="H170" t="n">
        <v>1</v>
      </c>
      <c r="I170" t="n">
        <v>0</v>
      </c>
      <c r="J170" t="n">
        <v>1</v>
      </c>
      <c r="K170" t="n">
        <v>0</v>
      </c>
      <c r="L170" t="n">
        <v>0</v>
      </c>
      <c r="M170" t="n">
        <v>0</v>
      </c>
      <c r="N170" t="n">
        <v>0</v>
      </c>
      <c r="O170" t="n">
        <v>1</v>
      </c>
      <c r="P170" t="n">
        <v>0</v>
      </c>
      <c r="Q170" t="n">
        <v>1</v>
      </c>
      <c r="R170" s="2" t="inlineStr">
        <is>
          <t>Svartfläckig blåvinge</t>
        </is>
      </c>
      <c r="S170">
        <f>HYPERLINK("https://klasma.github.io/Logging_0980/artfynd/A 63299-2020 artfynd.xlsx", "A 63299-2020")</f>
        <v/>
      </c>
      <c r="T170">
        <f>HYPERLINK("https://klasma.github.io/Logging_0980/kartor/A 63299-2020 karta.png", "A 63299-2020")</f>
        <v/>
      </c>
      <c r="V170">
        <f>HYPERLINK("https://klasma.github.io/Logging_0980/klagomål/A 63299-2020 FSC-klagomål.docx", "A 63299-2020")</f>
        <v/>
      </c>
      <c r="W170">
        <f>HYPERLINK("https://klasma.github.io/Logging_0980/klagomålsmail/A 63299-2020 FSC-klagomål mail.docx", "A 63299-2020")</f>
        <v/>
      </c>
      <c r="X170">
        <f>HYPERLINK("https://klasma.github.io/Logging_0980/tillsyn/A 63299-2020 tillsynsbegäran.docx", "A 63299-2020")</f>
        <v/>
      </c>
      <c r="Y170">
        <f>HYPERLINK("https://klasma.github.io/Logging_0980/tillsynsmail/A 63299-2020 tillsynsbegäran mail.docx", "A 63299-2020")</f>
        <v/>
      </c>
    </row>
    <row r="171" ht="15" customHeight="1">
      <c r="A171" t="inlineStr">
        <is>
          <t>A 447-2023</t>
        </is>
      </c>
      <c r="B171" s="1" t="n">
        <v>44929</v>
      </c>
      <c r="C171" s="1" t="n">
        <v>45937</v>
      </c>
      <c r="D171" t="inlineStr">
        <is>
          <t>GOTLANDS LÄN</t>
        </is>
      </c>
      <c r="E171" t="inlineStr">
        <is>
          <t>GOTLAND</t>
        </is>
      </c>
      <c r="G171" t="n">
        <v>5.1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447-2023 artfynd.xlsx", "A 447-2023")</f>
        <v/>
      </c>
      <c r="T171">
        <f>HYPERLINK("https://klasma.github.io/Logging_0980/kartor/A 447-2023 karta.png", "A 447-2023")</f>
        <v/>
      </c>
      <c r="V171">
        <f>HYPERLINK("https://klasma.github.io/Logging_0980/klagomål/A 447-2023 FSC-klagomål.docx", "A 447-2023")</f>
        <v/>
      </c>
      <c r="W171">
        <f>HYPERLINK("https://klasma.github.io/Logging_0980/klagomålsmail/A 447-2023 FSC-klagomål mail.docx", "A 447-2023")</f>
        <v/>
      </c>
      <c r="X171">
        <f>HYPERLINK("https://klasma.github.io/Logging_0980/tillsyn/A 447-2023 tillsynsbegäran.docx", "A 447-2023")</f>
        <v/>
      </c>
      <c r="Y171">
        <f>HYPERLINK("https://klasma.github.io/Logging_0980/tillsynsmail/A 447-2023 tillsynsbegäran mail.docx", "A 447-2023")</f>
        <v/>
      </c>
    </row>
    <row r="172" ht="15" customHeight="1">
      <c r="A172" t="inlineStr">
        <is>
          <t>A 27168-2022</t>
        </is>
      </c>
      <c r="B172" s="1" t="n">
        <v>44741</v>
      </c>
      <c r="C172" s="1" t="n">
        <v>45937</v>
      </c>
      <c r="D172" t="inlineStr">
        <is>
          <t>GOTLANDS LÄN</t>
        </is>
      </c>
      <c r="E172" t="inlineStr">
        <is>
          <t>GOTLAND</t>
        </is>
      </c>
      <c r="G172" t="n">
        <v>2.2</v>
      </c>
      <c r="H172" t="n">
        <v>1</v>
      </c>
      <c r="I172" t="n">
        <v>1</v>
      </c>
      <c r="J172" t="n">
        <v>0</v>
      </c>
      <c r="K172" t="n">
        <v>0</v>
      </c>
      <c r="L172" t="n">
        <v>0</v>
      </c>
      <c r="M172" t="n">
        <v>0</v>
      </c>
      <c r="N172" t="n">
        <v>0</v>
      </c>
      <c r="O172" t="n">
        <v>0</v>
      </c>
      <c r="P172" t="n">
        <v>0</v>
      </c>
      <c r="Q172" t="n">
        <v>1</v>
      </c>
      <c r="R172" s="2" t="inlineStr">
        <is>
          <t>Purpurknipprot</t>
        </is>
      </c>
      <c r="S172">
        <f>HYPERLINK("https://klasma.github.io/Logging_0980/artfynd/A 27168-2022 artfynd.xlsx", "A 27168-2022")</f>
        <v/>
      </c>
      <c r="T172">
        <f>HYPERLINK("https://klasma.github.io/Logging_0980/kartor/A 27168-2022 karta.png", "A 27168-2022")</f>
        <v/>
      </c>
      <c r="V172">
        <f>HYPERLINK("https://klasma.github.io/Logging_0980/klagomål/A 27168-2022 FSC-klagomål.docx", "A 27168-2022")</f>
        <v/>
      </c>
      <c r="W172">
        <f>HYPERLINK("https://klasma.github.io/Logging_0980/klagomålsmail/A 27168-2022 FSC-klagomål mail.docx", "A 27168-2022")</f>
        <v/>
      </c>
      <c r="X172">
        <f>HYPERLINK("https://klasma.github.io/Logging_0980/tillsyn/A 27168-2022 tillsynsbegäran.docx", "A 27168-2022")</f>
        <v/>
      </c>
      <c r="Y172">
        <f>HYPERLINK("https://klasma.github.io/Logging_0980/tillsynsmail/A 27168-2022 tillsynsbegäran mail.docx", "A 27168-2022")</f>
        <v/>
      </c>
    </row>
    <row r="173" ht="15" customHeight="1">
      <c r="A173" t="inlineStr">
        <is>
          <t>A 22782-2023</t>
        </is>
      </c>
      <c r="B173" s="1" t="n">
        <v>45072</v>
      </c>
      <c r="C173" s="1" t="n">
        <v>45937</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947-2023</t>
        </is>
      </c>
      <c r="B174" s="1" t="n">
        <v>44934</v>
      </c>
      <c r="C174" s="1" t="n">
        <v>45937</v>
      </c>
      <c r="D174" t="inlineStr">
        <is>
          <t>GOTLANDS LÄN</t>
        </is>
      </c>
      <c r="E174" t="inlineStr">
        <is>
          <t>GOTLAND</t>
        </is>
      </c>
      <c r="G174" t="n">
        <v>0.7</v>
      </c>
      <c r="H174" t="n">
        <v>1</v>
      </c>
      <c r="I174" t="n">
        <v>0</v>
      </c>
      <c r="J174" t="n">
        <v>0</v>
      </c>
      <c r="K174" t="n">
        <v>1</v>
      </c>
      <c r="L174" t="n">
        <v>0</v>
      </c>
      <c r="M174" t="n">
        <v>0</v>
      </c>
      <c r="N174" t="n">
        <v>0</v>
      </c>
      <c r="O174" t="n">
        <v>1</v>
      </c>
      <c r="P174" t="n">
        <v>1</v>
      </c>
      <c r="Q174" t="n">
        <v>1</v>
      </c>
      <c r="R174" s="2" t="inlineStr">
        <is>
          <t>Garderönn</t>
        </is>
      </c>
      <c r="S174">
        <f>HYPERLINK("https://klasma.github.io/Logging_0980/artfynd/A 947-2023 artfynd.xlsx", "A 947-2023")</f>
        <v/>
      </c>
      <c r="T174">
        <f>HYPERLINK("https://klasma.github.io/Logging_0980/kartor/A 947-2023 karta.png", "A 947-2023")</f>
        <v/>
      </c>
      <c r="V174">
        <f>HYPERLINK("https://klasma.github.io/Logging_0980/klagomål/A 947-2023 FSC-klagomål.docx", "A 947-2023")</f>
        <v/>
      </c>
      <c r="W174">
        <f>HYPERLINK("https://klasma.github.io/Logging_0980/klagomålsmail/A 947-2023 FSC-klagomål mail.docx", "A 947-2023")</f>
        <v/>
      </c>
      <c r="X174">
        <f>HYPERLINK("https://klasma.github.io/Logging_0980/tillsyn/A 947-2023 tillsynsbegäran.docx", "A 947-2023")</f>
        <v/>
      </c>
      <c r="Y174">
        <f>HYPERLINK("https://klasma.github.io/Logging_0980/tillsynsmail/A 947-2023 tillsynsbegäran mail.docx", "A 947-2023")</f>
        <v/>
      </c>
    </row>
    <row r="175" ht="15" customHeight="1">
      <c r="A175" t="inlineStr">
        <is>
          <t>A 44619-2025</t>
        </is>
      </c>
      <c r="B175" s="1" t="n">
        <v>45917</v>
      </c>
      <c r="C175" s="1" t="n">
        <v>45937</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49304-2024</t>
        </is>
      </c>
      <c r="B176" s="1" t="n">
        <v>45595.54996527778</v>
      </c>
      <c r="C176" s="1" t="n">
        <v>45937</v>
      </c>
      <c r="D176" t="inlineStr">
        <is>
          <t>GOTLANDS LÄN</t>
        </is>
      </c>
      <c r="E176" t="inlineStr">
        <is>
          <t>GOTLAND</t>
        </is>
      </c>
      <c r="G176" t="n">
        <v>10.8</v>
      </c>
      <c r="H176" t="n">
        <v>0</v>
      </c>
      <c r="I176" t="n">
        <v>0</v>
      </c>
      <c r="J176" t="n">
        <v>1</v>
      </c>
      <c r="K176" t="n">
        <v>0</v>
      </c>
      <c r="L176" t="n">
        <v>0</v>
      </c>
      <c r="M176" t="n">
        <v>0</v>
      </c>
      <c r="N176" t="n">
        <v>0</v>
      </c>
      <c r="O176" t="n">
        <v>1</v>
      </c>
      <c r="P176" t="n">
        <v>0</v>
      </c>
      <c r="Q176" t="n">
        <v>1</v>
      </c>
      <c r="R176" s="2" t="inlineStr">
        <is>
          <t>Åkerranunkel</t>
        </is>
      </c>
      <c r="S176">
        <f>HYPERLINK("https://klasma.github.io/Logging_0980/artfynd/A 49304-2024 artfynd.xlsx", "A 49304-2024")</f>
        <v/>
      </c>
      <c r="T176">
        <f>HYPERLINK("https://klasma.github.io/Logging_0980/kartor/A 49304-2024 karta.png", "A 49304-2024")</f>
        <v/>
      </c>
      <c r="V176">
        <f>HYPERLINK("https://klasma.github.io/Logging_0980/klagomål/A 49304-2024 FSC-klagomål.docx", "A 49304-2024")</f>
        <v/>
      </c>
      <c r="W176">
        <f>HYPERLINK("https://klasma.github.io/Logging_0980/klagomålsmail/A 49304-2024 FSC-klagomål mail.docx", "A 49304-2024")</f>
        <v/>
      </c>
      <c r="X176">
        <f>HYPERLINK("https://klasma.github.io/Logging_0980/tillsyn/A 49304-2024 tillsynsbegäran.docx", "A 49304-2024")</f>
        <v/>
      </c>
      <c r="Y176">
        <f>HYPERLINK("https://klasma.github.io/Logging_0980/tillsynsmail/A 49304-2024 tillsynsbegäran mail.docx", "A 49304-2024")</f>
        <v/>
      </c>
    </row>
    <row r="177" ht="15" customHeight="1">
      <c r="A177" t="inlineStr">
        <is>
          <t>A 63576-2021</t>
        </is>
      </c>
      <c r="B177" s="1" t="n">
        <v>44508</v>
      </c>
      <c r="C177" s="1" t="n">
        <v>45937</v>
      </c>
      <c r="D177" t="inlineStr">
        <is>
          <t>GOTLANDS LÄN</t>
        </is>
      </c>
      <c r="E177" t="inlineStr">
        <is>
          <t>GOTLAND</t>
        </is>
      </c>
      <c r="F177" t="inlineStr">
        <is>
          <t>Kyrkan</t>
        </is>
      </c>
      <c r="G177" t="n">
        <v>4.1</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63576-2021 artfynd.xlsx", "A 63576-2021")</f>
        <v/>
      </c>
      <c r="T177">
        <f>HYPERLINK("https://klasma.github.io/Logging_0980/kartor/A 63576-2021 karta.png", "A 63576-2021")</f>
        <v/>
      </c>
      <c r="V177">
        <f>HYPERLINK("https://klasma.github.io/Logging_0980/klagomål/A 63576-2021 FSC-klagomål.docx", "A 63576-2021")</f>
        <v/>
      </c>
      <c r="W177">
        <f>HYPERLINK("https://klasma.github.io/Logging_0980/klagomålsmail/A 63576-2021 FSC-klagomål mail.docx", "A 63576-2021")</f>
        <v/>
      </c>
      <c r="X177">
        <f>HYPERLINK("https://klasma.github.io/Logging_0980/tillsyn/A 63576-2021 tillsynsbegäran.docx", "A 63576-2021")</f>
        <v/>
      </c>
      <c r="Y177">
        <f>HYPERLINK("https://klasma.github.io/Logging_0980/tillsynsmail/A 63576-2021 tillsynsbegäran mail.docx", "A 63576-2021")</f>
        <v/>
      </c>
    </row>
    <row r="178" ht="15" customHeight="1">
      <c r="A178" t="inlineStr">
        <is>
          <t>A 22883-2024</t>
        </is>
      </c>
      <c r="B178" s="1" t="n">
        <v>45448.66368055555</v>
      </c>
      <c r="C178" s="1" t="n">
        <v>45937</v>
      </c>
      <c r="D178" t="inlineStr">
        <is>
          <t>GOTLANDS LÄN</t>
        </is>
      </c>
      <c r="E178" t="inlineStr">
        <is>
          <t>GOTLAND</t>
        </is>
      </c>
      <c r="G178" t="n">
        <v>0.5</v>
      </c>
      <c r="H178" t="n">
        <v>0</v>
      </c>
      <c r="I178" t="n">
        <v>0</v>
      </c>
      <c r="J178" t="n">
        <v>0</v>
      </c>
      <c r="K178" t="n">
        <v>1</v>
      </c>
      <c r="L178" t="n">
        <v>0</v>
      </c>
      <c r="M178" t="n">
        <v>0</v>
      </c>
      <c r="N178" t="n">
        <v>0</v>
      </c>
      <c r="O178" t="n">
        <v>1</v>
      </c>
      <c r="P178" t="n">
        <v>1</v>
      </c>
      <c r="Q178" t="n">
        <v>1</v>
      </c>
      <c r="R178" s="2" t="inlineStr">
        <is>
          <t>Gotlandsmåra</t>
        </is>
      </c>
      <c r="S178">
        <f>HYPERLINK("https://klasma.github.io/Logging_0980/artfynd/A 22883-2024 artfynd.xlsx", "A 22883-2024")</f>
        <v/>
      </c>
      <c r="T178">
        <f>HYPERLINK("https://klasma.github.io/Logging_0980/kartor/A 22883-2024 karta.png", "A 22883-2024")</f>
        <v/>
      </c>
      <c r="V178">
        <f>HYPERLINK("https://klasma.github.io/Logging_0980/klagomål/A 22883-2024 FSC-klagomål.docx", "A 22883-2024")</f>
        <v/>
      </c>
      <c r="W178">
        <f>HYPERLINK("https://klasma.github.io/Logging_0980/klagomålsmail/A 22883-2024 FSC-klagomål mail.docx", "A 22883-2024")</f>
        <v/>
      </c>
      <c r="X178">
        <f>HYPERLINK("https://klasma.github.io/Logging_0980/tillsyn/A 22883-2024 tillsynsbegäran.docx", "A 22883-2024")</f>
        <v/>
      </c>
      <c r="Y178">
        <f>HYPERLINK("https://klasma.github.io/Logging_0980/tillsynsmail/A 22883-2024 tillsynsbegäran mail.docx", "A 22883-2024")</f>
        <v/>
      </c>
    </row>
    <row r="179" ht="15" customHeight="1">
      <c r="A179" t="inlineStr">
        <is>
          <t>A 64700-2021</t>
        </is>
      </c>
      <c r="B179" s="1" t="n">
        <v>44511</v>
      </c>
      <c r="C179" s="1" t="n">
        <v>45937</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12924-2025</t>
        </is>
      </c>
      <c r="B180" s="1" t="n">
        <v>45734</v>
      </c>
      <c r="C180" s="1" t="n">
        <v>45937</v>
      </c>
      <c r="D180" t="inlineStr">
        <is>
          <t>GOTLANDS LÄN</t>
        </is>
      </c>
      <c r="E180" t="inlineStr">
        <is>
          <t>GOTLAND</t>
        </is>
      </c>
      <c r="G180" t="n">
        <v>11.7</v>
      </c>
      <c r="H180" t="n">
        <v>0</v>
      </c>
      <c r="I180" t="n">
        <v>0</v>
      </c>
      <c r="J180" t="n">
        <v>0</v>
      </c>
      <c r="K180" t="n">
        <v>1</v>
      </c>
      <c r="L180" t="n">
        <v>0</v>
      </c>
      <c r="M180" t="n">
        <v>0</v>
      </c>
      <c r="N180" t="n">
        <v>0</v>
      </c>
      <c r="O180" t="n">
        <v>1</v>
      </c>
      <c r="P180" t="n">
        <v>1</v>
      </c>
      <c r="Q180" t="n">
        <v>1</v>
      </c>
      <c r="R180" s="2" t="inlineStr">
        <is>
          <t>Gotlandsmåra</t>
        </is>
      </c>
      <c r="S180">
        <f>HYPERLINK("https://klasma.github.io/Logging_0980/artfynd/A 12924-2025 artfynd.xlsx", "A 12924-2025")</f>
        <v/>
      </c>
      <c r="T180">
        <f>HYPERLINK("https://klasma.github.io/Logging_0980/kartor/A 12924-2025 karta.png", "A 12924-2025")</f>
        <v/>
      </c>
      <c r="V180">
        <f>HYPERLINK("https://klasma.github.io/Logging_0980/klagomål/A 12924-2025 FSC-klagomål.docx", "A 12924-2025")</f>
        <v/>
      </c>
      <c r="W180">
        <f>HYPERLINK("https://klasma.github.io/Logging_0980/klagomålsmail/A 12924-2025 FSC-klagomål mail.docx", "A 12924-2025")</f>
        <v/>
      </c>
      <c r="X180">
        <f>HYPERLINK("https://klasma.github.io/Logging_0980/tillsyn/A 12924-2025 tillsynsbegäran.docx", "A 12924-2025")</f>
        <v/>
      </c>
      <c r="Y180">
        <f>HYPERLINK("https://klasma.github.io/Logging_0980/tillsynsmail/A 12924-2025 tillsynsbegäran mail.docx", "A 12924-2025")</f>
        <v/>
      </c>
    </row>
    <row r="181" ht="15" customHeight="1">
      <c r="A181" t="inlineStr">
        <is>
          <t>A 14915-2025</t>
        </is>
      </c>
      <c r="B181" s="1" t="n">
        <v>45743.53121527778</v>
      </c>
      <c r="C181" s="1" t="n">
        <v>45937</v>
      </c>
      <c r="D181" t="inlineStr">
        <is>
          <t>GOTLANDS LÄN</t>
        </is>
      </c>
      <c r="E181" t="inlineStr">
        <is>
          <t>GOTLAND</t>
        </is>
      </c>
      <c r="G181" t="n">
        <v>5.9</v>
      </c>
      <c r="H181" t="n">
        <v>0</v>
      </c>
      <c r="I181" t="n">
        <v>0</v>
      </c>
      <c r="J181" t="n">
        <v>1</v>
      </c>
      <c r="K181" t="n">
        <v>0</v>
      </c>
      <c r="L181" t="n">
        <v>0</v>
      </c>
      <c r="M181" t="n">
        <v>0</v>
      </c>
      <c r="N181" t="n">
        <v>0</v>
      </c>
      <c r="O181" t="n">
        <v>1</v>
      </c>
      <c r="P181" t="n">
        <v>0</v>
      </c>
      <c r="Q181" t="n">
        <v>1</v>
      </c>
      <c r="R181" s="2" t="inlineStr">
        <is>
          <t>Igelkott</t>
        </is>
      </c>
      <c r="S181">
        <f>HYPERLINK("https://klasma.github.io/Logging_0980/artfynd/A 14915-2025 artfynd.xlsx", "A 14915-2025")</f>
        <v/>
      </c>
      <c r="T181">
        <f>HYPERLINK("https://klasma.github.io/Logging_0980/kartor/A 14915-2025 karta.png", "A 14915-2025")</f>
        <v/>
      </c>
      <c r="V181">
        <f>HYPERLINK("https://klasma.github.io/Logging_0980/klagomål/A 14915-2025 FSC-klagomål.docx", "A 14915-2025")</f>
        <v/>
      </c>
      <c r="W181">
        <f>HYPERLINK("https://klasma.github.io/Logging_0980/klagomålsmail/A 14915-2025 FSC-klagomål mail.docx", "A 14915-2025")</f>
        <v/>
      </c>
      <c r="X181">
        <f>HYPERLINK("https://klasma.github.io/Logging_0980/tillsyn/A 14915-2025 tillsynsbegäran.docx", "A 14915-2025")</f>
        <v/>
      </c>
      <c r="Y181">
        <f>HYPERLINK("https://klasma.github.io/Logging_0980/tillsynsmail/A 14915-2025 tillsynsbegäran mail.docx", "A 14915-2025")</f>
        <v/>
      </c>
    </row>
    <row r="182" ht="15" customHeight="1">
      <c r="A182" t="inlineStr">
        <is>
          <t>A 27589-2023</t>
        </is>
      </c>
      <c r="B182" s="1" t="n">
        <v>45097</v>
      </c>
      <c r="C182" s="1" t="n">
        <v>45937</v>
      </c>
      <c r="D182" t="inlineStr">
        <is>
          <t>GOTLANDS LÄN</t>
        </is>
      </c>
      <c r="E182" t="inlineStr">
        <is>
          <t>GOTLAND</t>
        </is>
      </c>
      <c r="G182" t="n">
        <v>5.4</v>
      </c>
      <c r="H182" t="n">
        <v>0</v>
      </c>
      <c r="I182" t="n">
        <v>0</v>
      </c>
      <c r="J182" t="n">
        <v>0</v>
      </c>
      <c r="K182" t="n">
        <v>0</v>
      </c>
      <c r="L182" t="n">
        <v>0</v>
      </c>
      <c r="M182" t="n">
        <v>1</v>
      </c>
      <c r="N182" t="n">
        <v>0</v>
      </c>
      <c r="O182" t="n">
        <v>1</v>
      </c>
      <c r="P182" t="n">
        <v>1</v>
      </c>
      <c r="Q182" t="n">
        <v>1</v>
      </c>
      <c r="R182" s="2" t="inlineStr">
        <is>
          <t>Skogsalm</t>
        </is>
      </c>
      <c r="S182">
        <f>HYPERLINK("https://klasma.github.io/Logging_0980/artfynd/A 27589-2023 artfynd.xlsx", "A 27589-2023")</f>
        <v/>
      </c>
      <c r="T182">
        <f>HYPERLINK("https://klasma.github.io/Logging_0980/kartor/A 27589-2023 karta.png", "A 27589-2023")</f>
        <v/>
      </c>
      <c r="V182">
        <f>HYPERLINK("https://klasma.github.io/Logging_0980/klagomål/A 27589-2023 FSC-klagomål.docx", "A 27589-2023")</f>
        <v/>
      </c>
      <c r="W182">
        <f>HYPERLINK("https://klasma.github.io/Logging_0980/klagomålsmail/A 27589-2023 FSC-klagomål mail.docx", "A 27589-2023")</f>
        <v/>
      </c>
      <c r="X182">
        <f>HYPERLINK("https://klasma.github.io/Logging_0980/tillsyn/A 27589-2023 tillsynsbegäran.docx", "A 27589-2023")</f>
        <v/>
      </c>
      <c r="Y182">
        <f>HYPERLINK("https://klasma.github.io/Logging_0980/tillsynsmail/A 27589-2023 tillsynsbegäran mail.docx", "A 27589-2023")</f>
        <v/>
      </c>
    </row>
    <row r="183" ht="15" customHeight="1">
      <c r="A183" t="inlineStr">
        <is>
          <t>A 24245-2022</t>
        </is>
      </c>
      <c r="B183" s="1" t="n">
        <v>44725</v>
      </c>
      <c r="C183" s="1" t="n">
        <v>45937</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45937</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45937</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45937</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19901-2021</t>
        </is>
      </c>
      <c r="B187" s="1" t="n">
        <v>44312</v>
      </c>
      <c r="C187" s="1" t="n">
        <v>45937</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45937</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45937</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45937</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45937</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45937</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45937</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45937</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45937</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45937</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45937</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45937</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45937</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45937</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45937</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45937</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45937</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45937</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45937</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45937</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45937</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45937</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45937</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45937</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45937</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45937</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45937</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45937</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45937</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45937</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45937</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22495-2022</t>
        </is>
      </c>
      <c r="B220" s="1" t="n">
        <v>44713.6452199074</v>
      </c>
      <c r="C220" s="1" t="n">
        <v>45937</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64380-2020</t>
        </is>
      </c>
      <c r="B221" s="1" t="n">
        <v>44168.60128472222</v>
      </c>
      <c r="C221" s="1" t="n">
        <v>45937</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37037-2021</t>
        </is>
      </c>
      <c r="B222" s="1" t="n">
        <v>44393.84688657407</v>
      </c>
      <c r="C222" s="1" t="n">
        <v>45937</v>
      </c>
      <c r="D222" t="inlineStr">
        <is>
          <t>GOTLANDS LÄN</t>
        </is>
      </c>
      <c r="E222" t="inlineStr">
        <is>
          <t>GOTLAND</t>
        </is>
      </c>
      <c r="G222" t="n">
        <v>10.2</v>
      </c>
      <c r="H222" t="n">
        <v>0</v>
      </c>
      <c r="I222" t="n">
        <v>0</v>
      </c>
      <c r="J222" t="n">
        <v>0</v>
      </c>
      <c r="K222" t="n">
        <v>0</v>
      </c>
      <c r="L222" t="n">
        <v>0</v>
      </c>
      <c r="M222" t="n">
        <v>0</v>
      </c>
      <c r="N222" t="n">
        <v>0</v>
      </c>
      <c r="O222" t="n">
        <v>0</v>
      </c>
      <c r="P222" t="n">
        <v>0</v>
      </c>
      <c r="Q222" t="n">
        <v>0</v>
      </c>
      <c r="R222" s="2" t="inlineStr"/>
    </row>
    <row r="223" ht="15" customHeight="1">
      <c r="A223" t="inlineStr">
        <is>
          <t>A 2608-2021</t>
        </is>
      </c>
      <c r="B223" s="1" t="n">
        <v>44214</v>
      </c>
      <c r="C223" s="1" t="n">
        <v>45937</v>
      </c>
      <c r="D223" t="inlineStr">
        <is>
          <t>GOTLANDS LÄN</t>
        </is>
      </c>
      <c r="E223" t="inlineStr">
        <is>
          <t>GOTLAND</t>
        </is>
      </c>
      <c r="G223" t="n">
        <v>3.9</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45937</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45937</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47369-2021</t>
        </is>
      </c>
      <c r="B226" s="1" t="n">
        <v>44447</v>
      </c>
      <c r="C226" s="1" t="n">
        <v>45937</v>
      </c>
      <c r="D226" t="inlineStr">
        <is>
          <t>GOTLANDS LÄN</t>
        </is>
      </c>
      <c r="E226" t="inlineStr">
        <is>
          <t>GOTLAND</t>
        </is>
      </c>
      <c r="G226" t="n">
        <v>2.3</v>
      </c>
      <c r="H226" t="n">
        <v>0</v>
      </c>
      <c r="I226" t="n">
        <v>0</v>
      </c>
      <c r="J226" t="n">
        <v>0</v>
      </c>
      <c r="K226" t="n">
        <v>0</v>
      </c>
      <c r="L226" t="n">
        <v>0</v>
      </c>
      <c r="M226" t="n">
        <v>0</v>
      </c>
      <c r="N226" t="n">
        <v>0</v>
      </c>
      <c r="O226" t="n">
        <v>0</v>
      </c>
      <c r="P226" t="n">
        <v>0</v>
      </c>
      <c r="Q226" t="n">
        <v>0</v>
      </c>
      <c r="R226" s="2" t="inlineStr"/>
    </row>
    <row r="227" ht="15" customHeight="1">
      <c r="A227" t="inlineStr">
        <is>
          <t>A 11029-2022</t>
        </is>
      </c>
      <c r="B227" s="1" t="n">
        <v>44628</v>
      </c>
      <c r="C227" s="1" t="n">
        <v>45937</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45937</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45937</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31239-2022</t>
        </is>
      </c>
      <c r="B230" s="1" t="n">
        <v>44771.49383101852</v>
      </c>
      <c r="C230" s="1" t="n">
        <v>45937</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45937</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58224-2021</t>
        </is>
      </c>
      <c r="B232" s="1" t="n">
        <v>44487</v>
      </c>
      <c r="C232" s="1" t="n">
        <v>45937</v>
      </c>
      <c r="D232" t="inlineStr">
        <is>
          <t>GOTLANDS LÄN</t>
        </is>
      </c>
      <c r="E232" t="inlineStr">
        <is>
          <t>GOTLAND</t>
        </is>
      </c>
      <c r="G232" t="n">
        <v>1.4</v>
      </c>
      <c r="H232" t="n">
        <v>0</v>
      </c>
      <c r="I232" t="n">
        <v>0</v>
      </c>
      <c r="J232" t="n">
        <v>0</v>
      </c>
      <c r="K232" t="n">
        <v>0</v>
      </c>
      <c r="L232" t="n">
        <v>0</v>
      </c>
      <c r="M232" t="n">
        <v>0</v>
      </c>
      <c r="N232" t="n">
        <v>0</v>
      </c>
      <c r="O232" t="n">
        <v>0</v>
      </c>
      <c r="P232" t="n">
        <v>0</v>
      </c>
      <c r="Q232" t="n">
        <v>0</v>
      </c>
      <c r="R232" s="2" t="inlineStr"/>
    </row>
    <row r="233" ht="15" customHeight="1">
      <c r="A233" t="inlineStr">
        <is>
          <t>A 65393-2021</t>
        </is>
      </c>
      <c r="B233" s="1" t="n">
        <v>44515</v>
      </c>
      <c r="C233" s="1" t="n">
        <v>45937</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58815-2021</t>
        </is>
      </c>
      <c r="B234" s="1" t="n">
        <v>44489</v>
      </c>
      <c r="C234" s="1" t="n">
        <v>45937</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22155-2021</t>
        </is>
      </c>
      <c r="B235" s="1" t="n">
        <v>44325.49369212963</v>
      </c>
      <c r="C235" s="1" t="n">
        <v>45937</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1229-2021</t>
        </is>
      </c>
      <c r="B236" s="1" t="n">
        <v>44208</v>
      </c>
      <c r="C236" s="1" t="n">
        <v>45937</v>
      </c>
      <c r="D236" t="inlineStr">
        <is>
          <t>GOTLANDS LÄN</t>
        </is>
      </c>
      <c r="E236" t="inlineStr">
        <is>
          <t>GOTLAND</t>
        </is>
      </c>
      <c r="G236" t="n">
        <v>5.3</v>
      </c>
      <c r="H236" t="n">
        <v>0</v>
      </c>
      <c r="I236" t="n">
        <v>0</v>
      </c>
      <c r="J236" t="n">
        <v>0</v>
      </c>
      <c r="K236" t="n">
        <v>0</v>
      </c>
      <c r="L236" t="n">
        <v>0</v>
      </c>
      <c r="M236" t="n">
        <v>0</v>
      </c>
      <c r="N236" t="n">
        <v>0</v>
      </c>
      <c r="O236" t="n">
        <v>0</v>
      </c>
      <c r="P236" t="n">
        <v>0</v>
      </c>
      <c r="Q236" t="n">
        <v>0</v>
      </c>
      <c r="R236" s="2" t="inlineStr"/>
    </row>
    <row r="237" ht="15" customHeight="1">
      <c r="A237" t="inlineStr">
        <is>
          <t>A 62120-2020</t>
        </is>
      </c>
      <c r="B237" s="1" t="n">
        <v>44158</v>
      </c>
      <c r="C237" s="1" t="n">
        <v>45937</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3271-2021</t>
        </is>
      </c>
      <c r="B238" s="1" t="n">
        <v>44217</v>
      </c>
      <c r="C238" s="1" t="n">
        <v>45937</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71010-2021</t>
        </is>
      </c>
      <c r="B239" s="1" t="n">
        <v>44538.63775462963</v>
      </c>
      <c r="C239" s="1" t="n">
        <v>45937</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45937</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13498-2022</t>
        </is>
      </c>
      <c r="B241" s="1" t="n">
        <v>44647.78866898148</v>
      </c>
      <c r="C241" s="1" t="n">
        <v>45937</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13500-2022</t>
        </is>
      </c>
      <c r="B242" s="1" t="n">
        <v>44647.79513888889</v>
      </c>
      <c r="C242" s="1" t="n">
        <v>45937</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23910-2021</t>
        </is>
      </c>
      <c r="B243" s="1" t="n">
        <v>44335</v>
      </c>
      <c r="C243" s="1" t="n">
        <v>45937</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63516-2023</t>
        </is>
      </c>
      <c r="B244" s="1" t="n">
        <v>45274</v>
      </c>
      <c r="C244" s="1" t="n">
        <v>45937</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24001-2021</t>
        </is>
      </c>
      <c r="B245" s="1" t="n">
        <v>44335</v>
      </c>
      <c r="C245" s="1" t="n">
        <v>45937</v>
      </c>
      <c r="D245" t="inlineStr">
        <is>
          <t>GOTLANDS LÄN</t>
        </is>
      </c>
      <c r="E245" t="inlineStr">
        <is>
          <t>GOTLAND</t>
        </is>
      </c>
      <c r="G245" t="n">
        <v>3.4</v>
      </c>
      <c r="H245" t="n">
        <v>0</v>
      </c>
      <c r="I245" t="n">
        <v>0</v>
      </c>
      <c r="J245" t="n">
        <v>0</v>
      </c>
      <c r="K245" t="n">
        <v>0</v>
      </c>
      <c r="L245" t="n">
        <v>0</v>
      </c>
      <c r="M245" t="n">
        <v>0</v>
      </c>
      <c r="N245" t="n">
        <v>0</v>
      </c>
      <c r="O245" t="n">
        <v>0</v>
      </c>
      <c r="P245" t="n">
        <v>0</v>
      </c>
      <c r="Q245" t="n">
        <v>0</v>
      </c>
      <c r="R245" s="2" t="inlineStr"/>
    </row>
    <row r="246" ht="15" customHeight="1">
      <c r="A246" t="inlineStr">
        <is>
          <t>A 53935-2024</t>
        </is>
      </c>
      <c r="B246" s="1" t="n">
        <v>45615</v>
      </c>
      <c r="C246" s="1" t="n">
        <v>45937</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18223-2025</t>
        </is>
      </c>
      <c r="B247" s="1" t="n">
        <v>45761</v>
      </c>
      <c r="C247" s="1" t="n">
        <v>45937</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4420-2025</t>
        </is>
      </c>
      <c r="B248" s="1" t="n">
        <v>45686.47157407407</v>
      </c>
      <c r="C248" s="1" t="n">
        <v>45937</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1677-2023</t>
        </is>
      </c>
      <c r="B249" s="1" t="n">
        <v>44938</v>
      </c>
      <c r="C249" s="1" t="n">
        <v>45937</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5891-2025</t>
        </is>
      </c>
      <c r="B250" s="1" t="n">
        <v>45695.38327546296</v>
      </c>
      <c r="C250" s="1" t="n">
        <v>45937</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45244-2024</t>
        </is>
      </c>
      <c r="B251" s="1" t="n">
        <v>45576</v>
      </c>
      <c r="C251" s="1" t="n">
        <v>45937</v>
      </c>
      <c r="D251" t="inlineStr">
        <is>
          <t>GOTLANDS LÄN</t>
        </is>
      </c>
      <c r="E251" t="inlineStr">
        <is>
          <t>GOTLAND</t>
        </is>
      </c>
      <c r="G251" t="n">
        <v>2.4</v>
      </c>
      <c r="H251" t="n">
        <v>0</v>
      </c>
      <c r="I251" t="n">
        <v>0</v>
      </c>
      <c r="J251" t="n">
        <v>0</v>
      </c>
      <c r="K251" t="n">
        <v>0</v>
      </c>
      <c r="L251" t="n">
        <v>0</v>
      </c>
      <c r="M251" t="n">
        <v>0</v>
      </c>
      <c r="N251" t="n">
        <v>0</v>
      </c>
      <c r="O251" t="n">
        <v>0</v>
      </c>
      <c r="P251" t="n">
        <v>0</v>
      </c>
      <c r="Q251" t="n">
        <v>0</v>
      </c>
      <c r="R251" s="2" t="inlineStr"/>
    </row>
    <row r="252" ht="15" customHeight="1">
      <c r="A252" t="inlineStr">
        <is>
          <t>A 21507-2021</t>
        </is>
      </c>
      <c r="B252" s="1" t="n">
        <v>44321</v>
      </c>
      <c r="C252" s="1" t="n">
        <v>45937</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45937</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1681-2023</t>
        </is>
      </c>
      <c r="B254" s="1" t="n">
        <v>44938.39715277778</v>
      </c>
      <c r="C254" s="1" t="n">
        <v>45937</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8260-2023</t>
        </is>
      </c>
      <c r="B255" s="1" t="n">
        <v>44974.61608796296</v>
      </c>
      <c r="C255" s="1" t="n">
        <v>45937</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7835-2024</t>
        </is>
      </c>
      <c r="B256" s="1" t="n">
        <v>45349.83138888889</v>
      </c>
      <c r="C256" s="1" t="n">
        <v>45937</v>
      </c>
      <c r="D256" t="inlineStr">
        <is>
          <t>GOTLANDS LÄN</t>
        </is>
      </c>
      <c r="E256" t="inlineStr">
        <is>
          <t>GOTLAND</t>
        </is>
      </c>
      <c r="G256" t="n">
        <v>3.8</v>
      </c>
      <c r="H256" t="n">
        <v>0</v>
      </c>
      <c r="I256" t="n">
        <v>0</v>
      </c>
      <c r="J256" t="n">
        <v>0</v>
      </c>
      <c r="K256" t="n">
        <v>0</v>
      </c>
      <c r="L256" t="n">
        <v>0</v>
      </c>
      <c r="M256" t="n">
        <v>0</v>
      </c>
      <c r="N256" t="n">
        <v>0</v>
      </c>
      <c r="O256" t="n">
        <v>0</v>
      </c>
      <c r="P256" t="n">
        <v>0</v>
      </c>
      <c r="Q256" t="n">
        <v>0</v>
      </c>
      <c r="R256" s="2" t="inlineStr"/>
    </row>
    <row r="257" ht="15" customHeight="1">
      <c r="A257" t="inlineStr">
        <is>
          <t>A 57219-2021</t>
        </is>
      </c>
      <c r="B257" s="1" t="n">
        <v>44483</v>
      </c>
      <c r="C257" s="1" t="n">
        <v>45937</v>
      </c>
      <c r="D257" t="inlineStr">
        <is>
          <t>GOTLANDS LÄN</t>
        </is>
      </c>
      <c r="E257" t="inlineStr">
        <is>
          <t>GOTLAND</t>
        </is>
      </c>
      <c r="F257" t="inlineStr">
        <is>
          <t>Kyrkan</t>
        </is>
      </c>
      <c r="G257" t="n">
        <v>4</v>
      </c>
      <c r="H257" t="n">
        <v>0</v>
      </c>
      <c r="I257" t="n">
        <v>0</v>
      </c>
      <c r="J257" t="n">
        <v>0</v>
      </c>
      <c r="K257" t="n">
        <v>0</v>
      </c>
      <c r="L257" t="n">
        <v>0</v>
      </c>
      <c r="M257" t="n">
        <v>0</v>
      </c>
      <c r="N257" t="n">
        <v>0</v>
      </c>
      <c r="O257" t="n">
        <v>0</v>
      </c>
      <c r="P257" t="n">
        <v>0</v>
      </c>
      <c r="Q257" t="n">
        <v>0</v>
      </c>
      <c r="R257" s="2" t="inlineStr"/>
    </row>
    <row r="258" ht="15" customHeight="1">
      <c r="A258" t="inlineStr">
        <is>
          <t>A 64969-2023</t>
        </is>
      </c>
      <c r="B258" s="1" t="n">
        <v>45284.54009259259</v>
      </c>
      <c r="C258" s="1" t="n">
        <v>45937</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48843-2024</t>
        </is>
      </c>
      <c r="B259" s="1" t="n">
        <v>45593</v>
      </c>
      <c r="C259" s="1" t="n">
        <v>45937</v>
      </c>
      <c r="D259" t="inlineStr">
        <is>
          <t>GOTLANDS LÄN</t>
        </is>
      </c>
      <c r="E259" t="inlineStr">
        <is>
          <t>GOTLAND</t>
        </is>
      </c>
      <c r="G259" t="n">
        <v>0.5</v>
      </c>
      <c r="H259" t="n">
        <v>0</v>
      </c>
      <c r="I259" t="n">
        <v>0</v>
      </c>
      <c r="J259" t="n">
        <v>0</v>
      </c>
      <c r="K259" t="n">
        <v>0</v>
      </c>
      <c r="L259" t="n">
        <v>0</v>
      </c>
      <c r="M259" t="n">
        <v>0</v>
      </c>
      <c r="N259" t="n">
        <v>0</v>
      </c>
      <c r="O259" t="n">
        <v>0</v>
      </c>
      <c r="P259" t="n">
        <v>0</v>
      </c>
      <c r="Q259" t="n">
        <v>0</v>
      </c>
      <c r="R259" s="2" t="inlineStr"/>
    </row>
    <row r="260" ht="15" customHeight="1">
      <c r="A260" t="inlineStr">
        <is>
          <t>A 17541-2024</t>
        </is>
      </c>
      <c r="B260" s="1" t="n">
        <v>45415</v>
      </c>
      <c r="C260" s="1" t="n">
        <v>45937</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6099-2024</t>
        </is>
      </c>
      <c r="B261" s="1" t="n">
        <v>45337</v>
      </c>
      <c r="C261" s="1" t="n">
        <v>45937</v>
      </c>
      <c r="D261" t="inlineStr">
        <is>
          <t>GOTLANDS LÄN</t>
        </is>
      </c>
      <c r="E261" t="inlineStr">
        <is>
          <t>GOTLAND</t>
        </is>
      </c>
      <c r="G261" t="n">
        <v>12.6</v>
      </c>
      <c r="H261" t="n">
        <v>0</v>
      </c>
      <c r="I261" t="n">
        <v>0</v>
      </c>
      <c r="J261" t="n">
        <v>0</v>
      </c>
      <c r="K261" t="n">
        <v>0</v>
      </c>
      <c r="L261" t="n">
        <v>0</v>
      </c>
      <c r="M261" t="n">
        <v>0</v>
      </c>
      <c r="N261" t="n">
        <v>0</v>
      </c>
      <c r="O261" t="n">
        <v>0</v>
      </c>
      <c r="P261" t="n">
        <v>0</v>
      </c>
      <c r="Q261" t="n">
        <v>0</v>
      </c>
      <c r="R261" s="2" t="inlineStr"/>
    </row>
    <row r="262" ht="15" customHeight="1">
      <c r="A262" t="inlineStr">
        <is>
          <t>A 20794-2025</t>
        </is>
      </c>
      <c r="B262" s="1" t="n">
        <v>45776</v>
      </c>
      <c r="C262" s="1" t="n">
        <v>45937</v>
      </c>
      <c r="D262" t="inlineStr">
        <is>
          <t>GOTLANDS LÄN</t>
        </is>
      </c>
      <c r="E262" t="inlineStr">
        <is>
          <t>GOTLAND</t>
        </is>
      </c>
      <c r="G262" t="n">
        <v>6</v>
      </c>
      <c r="H262" t="n">
        <v>0</v>
      </c>
      <c r="I262" t="n">
        <v>0</v>
      </c>
      <c r="J262" t="n">
        <v>0</v>
      </c>
      <c r="K262" t="n">
        <v>0</v>
      </c>
      <c r="L262" t="n">
        <v>0</v>
      </c>
      <c r="M262" t="n">
        <v>0</v>
      </c>
      <c r="N262" t="n">
        <v>0</v>
      </c>
      <c r="O262" t="n">
        <v>0</v>
      </c>
      <c r="P262" t="n">
        <v>0</v>
      </c>
      <c r="Q262" t="n">
        <v>0</v>
      </c>
      <c r="R262" s="2" t="inlineStr"/>
    </row>
    <row r="263" ht="15" customHeight="1">
      <c r="A263" t="inlineStr">
        <is>
          <t>A 20805-2025</t>
        </is>
      </c>
      <c r="B263" s="1" t="n">
        <v>45776</v>
      </c>
      <c r="C263" s="1" t="n">
        <v>45937</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2241-2025</t>
        </is>
      </c>
      <c r="B264" s="1" t="n">
        <v>45673.48710648148</v>
      </c>
      <c r="C264" s="1" t="n">
        <v>45937</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1273-2023</t>
        </is>
      </c>
      <c r="B265" s="1" t="n">
        <v>44936</v>
      </c>
      <c r="C265" s="1" t="n">
        <v>45937</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58780-2024</t>
        </is>
      </c>
      <c r="B266" s="1" t="n">
        <v>45635.84113425926</v>
      </c>
      <c r="C266" s="1" t="n">
        <v>45937</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53641-2020</t>
        </is>
      </c>
      <c r="B267" s="1" t="n">
        <v>44124</v>
      </c>
      <c r="C267" s="1" t="n">
        <v>45937</v>
      </c>
      <c r="D267" t="inlineStr">
        <is>
          <t>GOTLANDS LÄN</t>
        </is>
      </c>
      <c r="E267" t="inlineStr">
        <is>
          <t>GOTLAND</t>
        </is>
      </c>
      <c r="G267" t="n">
        <v>3.2</v>
      </c>
      <c r="H267" t="n">
        <v>0</v>
      </c>
      <c r="I267" t="n">
        <v>0</v>
      </c>
      <c r="J267" t="n">
        <v>0</v>
      </c>
      <c r="K267" t="n">
        <v>0</v>
      </c>
      <c r="L267" t="n">
        <v>0</v>
      </c>
      <c r="M267" t="n">
        <v>0</v>
      </c>
      <c r="N267" t="n">
        <v>0</v>
      </c>
      <c r="O267" t="n">
        <v>0</v>
      </c>
      <c r="P267" t="n">
        <v>0</v>
      </c>
      <c r="Q267" t="n">
        <v>0</v>
      </c>
      <c r="R267" s="2" t="inlineStr"/>
    </row>
    <row r="268" ht="15" customHeight="1">
      <c r="A268" t="inlineStr">
        <is>
          <t>A 15434-2024</t>
        </is>
      </c>
      <c r="B268" s="1" t="n">
        <v>45401.38836805556</v>
      </c>
      <c r="C268" s="1" t="n">
        <v>45937</v>
      </c>
      <c r="D268" t="inlineStr">
        <is>
          <t>GOTLANDS LÄN</t>
        </is>
      </c>
      <c r="E268" t="inlineStr">
        <is>
          <t>GOTLAND</t>
        </is>
      </c>
      <c r="G268" t="n">
        <v>2.5</v>
      </c>
      <c r="H268" t="n">
        <v>0</v>
      </c>
      <c r="I268" t="n">
        <v>0</v>
      </c>
      <c r="J268" t="n">
        <v>0</v>
      </c>
      <c r="K268" t="n">
        <v>0</v>
      </c>
      <c r="L268" t="n">
        <v>0</v>
      </c>
      <c r="M268" t="n">
        <v>0</v>
      </c>
      <c r="N268" t="n">
        <v>0</v>
      </c>
      <c r="O268" t="n">
        <v>0</v>
      </c>
      <c r="P268" t="n">
        <v>0</v>
      </c>
      <c r="Q268" t="n">
        <v>0</v>
      </c>
      <c r="R268" s="2" t="inlineStr"/>
    </row>
    <row r="269" ht="15" customHeight="1">
      <c r="A269" t="inlineStr">
        <is>
          <t>A 45692-2023</t>
        </is>
      </c>
      <c r="B269" s="1" t="n">
        <v>45195</v>
      </c>
      <c r="C269" s="1" t="n">
        <v>45937</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21389-2025</t>
        </is>
      </c>
      <c r="B270" s="1" t="n">
        <v>45782</v>
      </c>
      <c r="C270" s="1" t="n">
        <v>45937</v>
      </c>
      <c r="D270" t="inlineStr">
        <is>
          <t>GOTLANDS LÄN</t>
        </is>
      </c>
      <c r="E270" t="inlineStr">
        <is>
          <t>GOTLAND</t>
        </is>
      </c>
      <c r="G270" t="n">
        <v>4.1</v>
      </c>
      <c r="H270" t="n">
        <v>0</v>
      </c>
      <c r="I270" t="n">
        <v>0</v>
      </c>
      <c r="J270" t="n">
        <v>0</v>
      </c>
      <c r="K270" t="n">
        <v>0</v>
      </c>
      <c r="L270" t="n">
        <v>0</v>
      </c>
      <c r="M270" t="n">
        <v>0</v>
      </c>
      <c r="N270" t="n">
        <v>0</v>
      </c>
      <c r="O270" t="n">
        <v>0</v>
      </c>
      <c r="P270" t="n">
        <v>0</v>
      </c>
      <c r="Q270" t="n">
        <v>0</v>
      </c>
      <c r="R270" s="2" t="inlineStr"/>
    </row>
    <row r="271" ht="15" customHeight="1">
      <c r="A271" t="inlineStr">
        <is>
          <t>A 33876-2024</t>
        </is>
      </c>
      <c r="B271" s="1" t="n">
        <v>45521.87988425926</v>
      </c>
      <c r="C271" s="1" t="n">
        <v>45937</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5943-2024</t>
        </is>
      </c>
      <c r="B272" s="1" t="n">
        <v>45336</v>
      </c>
      <c r="C272" s="1" t="n">
        <v>45937</v>
      </c>
      <c r="D272" t="inlineStr">
        <is>
          <t>GOTLANDS LÄN</t>
        </is>
      </c>
      <c r="E272" t="inlineStr">
        <is>
          <t>GOTLAND</t>
        </is>
      </c>
      <c r="G272" t="n">
        <v>4.3</v>
      </c>
      <c r="H272" t="n">
        <v>0</v>
      </c>
      <c r="I272" t="n">
        <v>0</v>
      </c>
      <c r="J272" t="n">
        <v>0</v>
      </c>
      <c r="K272" t="n">
        <v>0</v>
      </c>
      <c r="L272" t="n">
        <v>0</v>
      </c>
      <c r="M272" t="n">
        <v>0</v>
      </c>
      <c r="N272" t="n">
        <v>0</v>
      </c>
      <c r="O272" t="n">
        <v>0</v>
      </c>
      <c r="P272" t="n">
        <v>0</v>
      </c>
      <c r="Q272" t="n">
        <v>0</v>
      </c>
      <c r="R272" s="2" t="inlineStr"/>
    </row>
    <row r="273" ht="15" customHeight="1">
      <c r="A273" t="inlineStr">
        <is>
          <t>A 21651-2025</t>
        </is>
      </c>
      <c r="B273" s="1" t="n">
        <v>45783</v>
      </c>
      <c r="C273" s="1" t="n">
        <v>45937</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28285-2024</t>
        </is>
      </c>
      <c r="B274" s="1" t="n">
        <v>45477</v>
      </c>
      <c r="C274" s="1" t="n">
        <v>45937</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45937</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16361-2024</t>
        </is>
      </c>
      <c r="B276" s="1" t="n">
        <v>45407</v>
      </c>
      <c r="C276" s="1" t="n">
        <v>45937</v>
      </c>
      <c r="D276" t="inlineStr">
        <is>
          <t>GOTLANDS LÄN</t>
        </is>
      </c>
      <c r="E276" t="inlineStr">
        <is>
          <t>GOTLAND</t>
        </is>
      </c>
      <c r="G276" t="n">
        <v>6</v>
      </c>
      <c r="H276" t="n">
        <v>0</v>
      </c>
      <c r="I276" t="n">
        <v>0</v>
      </c>
      <c r="J276" t="n">
        <v>0</v>
      </c>
      <c r="K276" t="n">
        <v>0</v>
      </c>
      <c r="L276" t="n">
        <v>0</v>
      </c>
      <c r="M276" t="n">
        <v>0</v>
      </c>
      <c r="N276" t="n">
        <v>0</v>
      </c>
      <c r="O276" t="n">
        <v>0</v>
      </c>
      <c r="P276" t="n">
        <v>0</v>
      </c>
      <c r="Q276" t="n">
        <v>0</v>
      </c>
      <c r="R276" s="2" t="inlineStr"/>
    </row>
    <row r="277" ht="15" customHeight="1">
      <c r="A277" t="inlineStr">
        <is>
          <t>A 61100-2022</t>
        </is>
      </c>
      <c r="B277" s="1" t="n">
        <v>44915</v>
      </c>
      <c r="C277" s="1" t="n">
        <v>45937</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61682-2024</t>
        </is>
      </c>
      <c r="B278" s="1" t="n">
        <v>45647.48824074074</v>
      </c>
      <c r="C278" s="1" t="n">
        <v>45937</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41038-2023</t>
        </is>
      </c>
      <c r="B279" s="1" t="n">
        <v>45173.60959490741</v>
      </c>
      <c r="C279" s="1" t="n">
        <v>45937</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30282-2022</t>
        </is>
      </c>
      <c r="B280" s="1" t="n">
        <v>44760</v>
      </c>
      <c r="C280" s="1" t="n">
        <v>45937</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4868-2024</t>
        </is>
      </c>
      <c r="B281" s="1" t="n">
        <v>45329</v>
      </c>
      <c r="C281" s="1" t="n">
        <v>45937</v>
      </c>
      <c r="D281" t="inlineStr">
        <is>
          <t>GOTLANDS LÄN</t>
        </is>
      </c>
      <c r="E281" t="inlineStr">
        <is>
          <t>GOTLAND</t>
        </is>
      </c>
      <c r="G281" t="n">
        <v>7.1</v>
      </c>
      <c r="H281" t="n">
        <v>0</v>
      </c>
      <c r="I281" t="n">
        <v>0</v>
      </c>
      <c r="J281" t="n">
        <v>0</v>
      </c>
      <c r="K281" t="n">
        <v>0</v>
      </c>
      <c r="L281" t="n">
        <v>0</v>
      </c>
      <c r="M281" t="n">
        <v>0</v>
      </c>
      <c r="N281" t="n">
        <v>0</v>
      </c>
      <c r="O281" t="n">
        <v>0</v>
      </c>
      <c r="P281" t="n">
        <v>0</v>
      </c>
      <c r="Q281" t="n">
        <v>0</v>
      </c>
      <c r="R281" s="2" t="inlineStr"/>
    </row>
    <row r="282" ht="15" customHeight="1">
      <c r="A282" t="inlineStr">
        <is>
          <t>A 14427-2024</t>
        </is>
      </c>
      <c r="B282" s="1" t="n">
        <v>45394</v>
      </c>
      <c r="C282" s="1" t="n">
        <v>45937</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32330-2024</t>
        </is>
      </c>
      <c r="B283" s="1" t="n">
        <v>45512</v>
      </c>
      <c r="C283" s="1" t="n">
        <v>45937</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9613-2025</t>
        </is>
      </c>
      <c r="B284" s="1" t="n">
        <v>45715</v>
      </c>
      <c r="C284" s="1" t="n">
        <v>45937</v>
      </c>
      <c r="D284" t="inlineStr">
        <is>
          <t>GOTLANDS LÄN</t>
        </is>
      </c>
      <c r="E284" t="inlineStr">
        <is>
          <t>GOTLAND</t>
        </is>
      </c>
      <c r="G284" t="n">
        <v>3.5</v>
      </c>
      <c r="H284" t="n">
        <v>0</v>
      </c>
      <c r="I284" t="n">
        <v>0</v>
      </c>
      <c r="J284" t="n">
        <v>0</v>
      </c>
      <c r="K284" t="n">
        <v>0</v>
      </c>
      <c r="L284" t="n">
        <v>0</v>
      </c>
      <c r="M284" t="n">
        <v>0</v>
      </c>
      <c r="N284" t="n">
        <v>0</v>
      </c>
      <c r="O284" t="n">
        <v>0</v>
      </c>
      <c r="P284" t="n">
        <v>0</v>
      </c>
      <c r="Q284" t="n">
        <v>0</v>
      </c>
      <c r="R284" s="2" t="inlineStr"/>
    </row>
    <row r="285" ht="15" customHeight="1">
      <c r="A285" t="inlineStr">
        <is>
          <t>A 31802-2024</t>
        </is>
      </c>
      <c r="B285" s="1" t="n">
        <v>45509</v>
      </c>
      <c r="C285" s="1" t="n">
        <v>45937</v>
      </c>
      <c r="D285" t="inlineStr">
        <is>
          <t>GOTLANDS LÄN</t>
        </is>
      </c>
      <c r="E285" t="inlineStr">
        <is>
          <t>GOTLAND</t>
        </is>
      </c>
      <c r="G285" t="n">
        <v>2.8</v>
      </c>
      <c r="H285" t="n">
        <v>0</v>
      </c>
      <c r="I285" t="n">
        <v>0</v>
      </c>
      <c r="J285" t="n">
        <v>0</v>
      </c>
      <c r="K285" t="n">
        <v>0</v>
      </c>
      <c r="L285" t="n">
        <v>0</v>
      </c>
      <c r="M285" t="n">
        <v>0</v>
      </c>
      <c r="N285" t="n">
        <v>0</v>
      </c>
      <c r="O285" t="n">
        <v>0</v>
      </c>
      <c r="P285" t="n">
        <v>0</v>
      </c>
      <c r="Q285" t="n">
        <v>0</v>
      </c>
      <c r="R285" s="2" t="inlineStr"/>
    </row>
    <row r="286" ht="15" customHeight="1">
      <c r="A286" t="inlineStr">
        <is>
          <t>A 58388-2022</t>
        </is>
      </c>
      <c r="B286" s="1" t="n">
        <v>44894</v>
      </c>
      <c r="C286" s="1" t="n">
        <v>45937</v>
      </c>
      <c r="D286" t="inlineStr">
        <is>
          <t>GOTLANDS LÄN</t>
        </is>
      </c>
      <c r="E286" t="inlineStr">
        <is>
          <t>GOTLAND</t>
        </is>
      </c>
      <c r="F286" t="inlineStr">
        <is>
          <t>Övriga statliga verk och myndigheter</t>
        </is>
      </c>
      <c r="G286" t="n">
        <v>3.1</v>
      </c>
      <c r="H286" t="n">
        <v>0</v>
      </c>
      <c r="I286" t="n">
        <v>0</v>
      </c>
      <c r="J286" t="n">
        <v>0</v>
      </c>
      <c r="K286" t="n">
        <v>0</v>
      </c>
      <c r="L286" t="n">
        <v>0</v>
      </c>
      <c r="M286" t="n">
        <v>0</v>
      </c>
      <c r="N286" t="n">
        <v>0</v>
      </c>
      <c r="O286" t="n">
        <v>0</v>
      </c>
      <c r="P286" t="n">
        <v>0</v>
      </c>
      <c r="Q286" t="n">
        <v>0</v>
      </c>
      <c r="R286" s="2" t="inlineStr"/>
    </row>
    <row r="287" ht="15" customHeight="1">
      <c r="A287" t="inlineStr">
        <is>
          <t>A 8684-2025</t>
        </is>
      </c>
      <c r="B287" s="1" t="n">
        <v>45712.45605324074</v>
      </c>
      <c r="C287" s="1" t="n">
        <v>45937</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21792-2024</t>
        </is>
      </c>
      <c r="B288" s="1" t="n">
        <v>45442.64326388889</v>
      </c>
      <c r="C288" s="1" t="n">
        <v>45937</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15595-2024</t>
        </is>
      </c>
      <c r="B289" s="1" t="n">
        <v>45401.81480324074</v>
      </c>
      <c r="C289" s="1" t="n">
        <v>45937</v>
      </c>
      <c r="D289" t="inlineStr">
        <is>
          <t>GOTLANDS LÄN</t>
        </is>
      </c>
      <c r="E289" t="inlineStr">
        <is>
          <t>GOTLAND</t>
        </is>
      </c>
      <c r="G289" t="n">
        <v>6.4</v>
      </c>
      <c r="H289" t="n">
        <v>0</v>
      </c>
      <c r="I289" t="n">
        <v>0</v>
      </c>
      <c r="J289" t="n">
        <v>0</v>
      </c>
      <c r="K289" t="n">
        <v>0</v>
      </c>
      <c r="L289" t="n">
        <v>0</v>
      </c>
      <c r="M289" t="n">
        <v>0</v>
      </c>
      <c r="N289" t="n">
        <v>0</v>
      </c>
      <c r="O289" t="n">
        <v>0</v>
      </c>
      <c r="P289" t="n">
        <v>0</v>
      </c>
      <c r="Q289" t="n">
        <v>0</v>
      </c>
      <c r="R289" s="2" t="inlineStr"/>
    </row>
    <row r="290" ht="15" customHeight="1">
      <c r="A290" t="inlineStr">
        <is>
          <t>A 57356-2023</t>
        </is>
      </c>
      <c r="B290" s="1" t="n">
        <v>45240</v>
      </c>
      <c r="C290" s="1" t="n">
        <v>45937</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10656-2024</t>
        </is>
      </c>
      <c r="B291" s="1" t="n">
        <v>45368</v>
      </c>
      <c r="C291" s="1" t="n">
        <v>45937</v>
      </c>
      <c r="D291" t="inlineStr">
        <is>
          <t>GOTLANDS LÄN</t>
        </is>
      </c>
      <c r="E291" t="inlineStr">
        <is>
          <t>GOTLAND</t>
        </is>
      </c>
      <c r="G291" t="n">
        <v>1.5</v>
      </c>
      <c r="H291" t="n">
        <v>0</v>
      </c>
      <c r="I291" t="n">
        <v>0</v>
      </c>
      <c r="J291" t="n">
        <v>0</v>
      </c>
      <c r="K291" t="n">
        <v>0</v>
      </c>
      <c r="L291" t="n">
        <v>0</v>
      </c>
      <c r="M291" t="n">
        <v>0</v>
      </c>
      <c r="N291" t="n">
        <v>0</v>
      </c>
      <c r="O291" t="n">
        <v>0</v>
      </c>
      <c r="P291" t="n">
        <v>0</v>
      </c>
      <c r="Q291" t="n">
        <v>0</v>
      </c>
      <c r="R291" s="2" t="inlineStr"/>
    </row>
    <row r="292" ht="15" customHeight="1">
      <c r="A292" t="inlineStr">
        <is>
          <t>A 5751-2024</t>
        </is>
      </c>
      <c r="B292" s="1" t="n">
        <v>45335.32702546296</v>
      </c>
      <c r="C292" s="1" t="n">
        <v>45937</v>
      </c>
      <c r="D292" t="inlineStr">
        <is>
          <t>GOTLANDS LÄN</t>
        </is>
      </c>
      <c r="E292" t="inlineStr">
        <is>
          <t>GOTLAND</t>
        </is>
      </c>
      <c r="G292" t="n">
        <v>4.2</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45937</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21420-2024</t>
        </is>
      </c>
      <c r="B294" s="1" t="n">
        <v>45441.38293981482</v>
      </c>
      <c r="C294" s="1" t="n">
        <v>45937</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45937</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24966-2023</t>
        </is>
      </c>
      <c r="B296" s="1" t="n">
        <v>45085</v>
      </c>
      <c r="C296" s="1" t="n">
        <v>45937</v>
      </c>
      <c r="D296" t="inlineStr">
        <is>
          <t>GOTLANDS LÄN</t>
        </is>
      </c>
      <c r="E296" t="inlineStr">
        <is>
          <t>GOTLAND</t>
        </is>
      </c>
      <c r="G296" t="n">
        <v>7</v>
      </c>
      <c r="H296" t="n">
        <v>0</v>
      </c>
      <c r="I296" t="n">
        <v>0</v>
      </c>
      <c r="J296" t="n">
        <v>0</v>
      </c>
      <c r="K296" t="n">
        <v>0</v>
      </c>
      <c r="L296" t="n">
        <v>0</v>
      </c>
      <c r="M296" t="n">
        <v>0</v>
      </c>
      <c r="N296" t="n">
        <v>0</v>
      </c>
      <c r="O296" t="n">
        <v>0</v>
      </c>
      <c r="P296" t="n">
        <v>0</v>
      </c>
      <c r="Q296" t="n">
        <v>0</v>
      </c>
      <c r="R296" s="2" t="inlineStr"/>
    </row>
    <row r="297" ht="15" customHeight="1">
      <c r="A297" t="inlineStr">
        <is>
          <t>A 46189-2022</t>
        </is>
      </c>
      <c r="B297" s="1" t="n">
        <v>44847</v>
      </c>
      <c r="C297" s="1" t="n">
        <v>45937</v>
      </c>
      <c r="D297" t="inlineStr">
        <is>
          <t>GOTLANDS LÄN</t>
        </is>
      </c>
      <c r="E297" t="inlineStr">
        <is>
          <t>GOTLAND</t>
        </is>
      </c>
      <c r="G297" t="n">
        <v>0.4</v>
      </c>
      <c r="H297" t="n">
        <v>0</v>
      </c>
      <c r="I297" t="n">
        <v>0</v>
      </c>
      <c r="J297" t="n">
        <v>0</v>
      </c>
      <c r="K297" t="n">
        <v>0</v>
      </c>
      <c r="L297" t="n">
        <v>0</v>
      </c>
      <c r="M297" t="n">
        <v>0</v>
      </c>
      <c r="N297" t="n">
        <v>0</v>
      </c>
      <c r="O297" t="n">
        <v>0</v>
      </c>
      <c r="P297" t="n">
        <v>0</v>
      </c>
      <c r="Q297" t="n">
        <v>0</v>
      </c>
      <c r="R297" s="2" t="inlineStr"/>
    </row>
    <row r="298" ht="15" customHeight="1">
      <c r="A298" t="inlineStr">
        <is>
          <t>A 17688-2024</t>
        </is>
      </c>
      <c r="B298" s="1" t="n">
        <v>45418.43575231481</v>
      </c>
      <c r="C298" s="1" t="n">
        <v>45937</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7837-2024</t>
        </is>
      </c>
      <c r="B299" s="1" t="n">
        <v>45349.83787037037</v>
      </c>
      <c r="C299" s="1" t="n">
        <v>45937</v>
      </c>
      <c r="D299" t="inlineStr">
        <is>
          <t>GOTLANDS LÄN</t>
        </is>
      </c>
      <c r="E299" t="inlineStr">
        <is>
          <t>GOTLAND</t>
        </is>
      </c>
      <c r="G299" t="n">
        <v>5</v>
      </c>
      <c r="H299" t="n">
        <v>0</v>
      </c>
      <c r="I299" t="n">
        <v>0</v>
      </c>
      <c r="J299" t="n">
        <v>0</v>
      </c>
      <c r="K299" t="n">
        <v>0</v>
      </c>
      <c r="L299" t="n">
        <v>0</v>
      </c>
      <c r="M299" t="n">
        <v>0</v>
      </c>
      <c r="N299" t="n">
        <v>0</v>
      </c>
      <c r="O299" t="n">
        <v>0</v>
      </c>
      <c r="P299" t="n">
        <v>0</v>
      </c>
      <c r="Q299" t="n">
        <v>0</v>
      </c>
      <c r="R299" s="2" t="inlineStr"/>
    </row>
    <row r="300" ht="15" customHeight="1">
      <c r="A300" t="inlineStr">
        <is>
          <t>A 23473-2025</t>
        </is>
      </c>
      <c r="B300" s="1" t="n">
        <v>45792</v>
      </c>
      <c r="C300" s="1" t="n">
        <v>45937</v>
      </c>
      <c r="D300" t="inlineStr">
        <is>
          <t>GOTLANDS LÄN</t>
        </is>
      </c>
      <c r="E300" t="inlineStr">
        <is>
          <t>GOTLAND</t>
        </is>
      </c>
      <c r="G300" t="n">
        <v>3.6</v>
      </c>
      <c r="H300" t="n">
        <v>0</v>
      </c>
      <c r="I300" t="n">
        <v>0</v>
      </c>
      <c r="J300" t="n">
        <v>0</v>
      </c>
      <c r="K300" t="n">
        <v>0</v>
      </c>
      <c r="L300" t="n">
        <v>0</v>
      </c>
      <c r="M300" t="n">
        <v>0</v>
      </c>
      <c r="N300" t="n">
        <v>0</v>
      </c>
      <c r="O300" t="n">
        <v>0</v>
      </c>
      <c r="P300" t="n">
        <v>0</v>
      </c>
      <c r="Q300" t="n">
        <v>0</v>
      </c>
      <c r="R300" s="2" t="inlineStr"/>
    </row>
    <row r="301" ht="15" customHeight="1">
      <c r="A301" t="inlineStr">
        <is>
          <t>A 8036-2022</t>
        </is>
      </c>
      <c r="B301" s="1" t="n">
        <v>44609.44362268518</v>
      </c>
      <c r="C301" s="1" t="n">
        <v>45937</v>
      </c>
      <c r="D301" t="inlineStr">
        <is>
          <t>GOTLANDS LÄN</t>
        </is>
      </c>
      <c r="E301" t="inlineStr">
        <is>
          <t>GOTLAND</t>
        </is>
      </c>
      <c r="G301" t="n">
        <v>6.1</v>
      </c>
      <c r="H301" t="n">
        <v>0</v>
      </c>
      <c r="I301" t="n">
        <v>0</v>
      </c>
      <c r="J301" t="n">
        <v>0</v>
      </c>
      <c r="K301" t="n">
        <v>0</v>
      </c>
      <c r="L301" t="n">
        <v>0</v>
      </c>
      <c r="M301" t="n">
        <v>0</v>
      </c>
      <c r="N301" t="n">
        <v>0</v>
      </c>
      <c r="O301" t="n">
        <v>0</v>
      </c>
      <c r="P301" t="n">
        <v>0</v>
      </c>
      <c r="Q301" t="n">
        <v>0</v>
      </c>
      <c r="R301" s="2" t="inlineStr"/>
    </row>
    <row r="302" ht="15" customHeight="1">
      <c r="A302" t="inlineStr">
        <is>
          <t>A 4568-2025</t>
        </is>
      </c>
      <c r="B302" s="1" t="n">
        <v>45687</v>
      </c>
      <c r="C302" s="1" t="n">
        <v>45937</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45937</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49314-2024</t>
        </is>
      </c>
      <c r="B304" s="1" t="n">
        <v>45595.55893518519</v>
      </c>
      <c r="C304" s="1" t="n">
        <v>45937</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12846-2025</t>
        </is>
      </c>
      <c r="B305" s="1" t="n">
        <v>45733.65049768519</v>
      </c>
      <c r="C305" s="1" t="n">
        <v>45937</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23856-2025</t>
        </is>
      </c>
      <c r="B306" s="1" t="n">
        <v>45793</v>
      </c>
      <c r="C306" s="1" t="n">
        <v>45937</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44919-2022</t>
        </is>
      </c>
      <c r="B307" s="1" t="n">
        <v>44841</v>
      </c>
      <c r="C307" s="1" t="n">
        <v>45937</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35512-2023</t>
        </is>
      </c>
      <c r="B308" s="1" t="n">
        <v>45147.25623842593</v>
      </c>
      <c r="C308" s="1" t="n">
        <v>45937</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15073-2025</t>
        </is>
      </c>
      <c r="B309" s="1" t="n">
        <v>45743</v>
      </c>
      <c r="C309" s="1" t="n">
        <v>45937</v>
      </c>
      <c r="D309" t="inlineStr">
        <is>
          <t>GOTLANDS LÄN</t>
        </is>
      </c>
      <c r="E309" t="inlineStr">
        <is>
          <t>GOTLAND</t>
        </is>
      </c>
      <c r="G309" t="n">
        <v>12.1</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45937</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6749-2025</t>
        </is>
      </c>
      <c r="B311" s="1" t="n">
        <v>45700</v>
      </c>
      <c r="C311" s="1" t="n">
        <v>45937</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1291-2023</t>
        </is>
      </c>
      <c r="B312" s="1" t="n">
        <v>44936.47561342592</v>
      </c>
      <c r="C312" s="1" t="n">
        <v>45937</v>
      </c>
      <c r="D312" t="inlineStr">
        <is>
          <t>GOTLANDS LÄN</t>
        </is>
      </c>
      <c r="E312" t="inlineStr">
        <is>
          <t>GOTLAND</t>
        </is>
      </c>
      <c r="G312" t="n">
        <v>7.4</v>
      </c>
      <c r="H312" t="n">
        <v>0</v>
      </c>
      <c r="I312" t="n">
        <v>0</v>
      </c>
      <c r="J312" t="n">
        <v>0</v>
      </c>
      <c r="K312" t="n">
        <v>0</v>
      </c>
      <c r="L312" t="n">
        <v>0</v>
      </c>
      <c r="M312" t="n">
        <v>0</v>
      </c>
      <c r="N312" t="n">
        <v>0</v>
      </c>
      <c r="O312" t="n">
        <v>0</v>
      </c>
      <c r="P312" t="n">
        <v>0</v>
      </c>
      <c r="Q312" t="n">
        <v>0</v>
      </c>
      <c r="R312" s="2" t="inlineStr"/>
    </row>
    <row r="313" ht="15" customHeight="1">
      <c r="A313" t="inlineStr">
        <is>
          <t>A 23698-2025</t>
        </is>
      </c>
      <c r="B313" s="1" t="n">
        <v>45793</v>
      </c>
      <c r="C313" s="1" t="n">
        <v>45937</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46949-2024</t>
        </is>
      </c>
      <c r="B314" s="1" t="n">
        <v>45585</v>
      </c>
      <c r="C314" s="1" t="n">
        <v>45937</v>
      </c>
      <c r="D314" t="inlineStr">
        <is>
          <t>GOTLANDS LÄN</t>
        </is>
      </c>
      <c r="E314" t="inlineStr">
        <is>
          <t>GOTLAND</t>
        </is>
      </c>
      <c r="G314" t="n">
        <v>0.6</v>
      </c>
      <c r="H314" t="n">
        <v>0</v>
      </c>
      <c r="I314" t="n">
        <v>0</v>
      </c>
      <c r="J314" t="n">
        <v>0</v>
      </c>
      <c r="K314" t="n">
        <v>0</v>
      </c>
      <c r="L314" t="n">
        <v>0</v>
      </c>
      <c r="M314" t="n">
        <v>0</v>
      </c>
      <c r="N314" t="n">
        <v>0</v>
      </c>
      <c r="O314" t="n">
        <v>0</v>
      </c>
      <c r="P314" t="n">
        <v>0</v>
      </c>
      <c r="Q314" t="n">
        <v>0</v>
      </c>
      <c r="R314" s="2" t="inlineStr"/>
    </row>
    <row r="315" ht="15" customHeight="1">
      <c r="A315" t="inlineStr">
        <is>
          <t>A 48503-2023</t>
        </is>
      </c>
      <c r="B315" s="1" t="n">
        <v>45207</v>
      </c>
      <c r="C315" s="1" t="n">
        <v>45937</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45937</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57652-2023</t>
        </is>
      </c>
      <c r="B317" s="1" t="n">
        <v>45246</v>
      </c>
      <c r="C317" s="1" t="n">
        <v>45937</v>
      </c>
      <c r="D317" t="inlineStr">
        <is>
          <t>GOTLANDS LÄN</t>
        </is>
      </c>
      <c r="E317" t="inlineStr">
        <is>
          <t>GOTLAND</t>
        </is>
      </c>
      <c r="G317" t="n">
        <v>7.2</v>
      </c>
      <c r="H317" t="n">
        <v>0</v>
      </c>
      <c r="I317" t="n">
        <v>0</v>
      </c>
      <c r="J317" t="n">
        <v>0</v>
      </c>
      <c r="K317" t="n">
        <v>0</v>
      </c>
      <c r="L317" t="n">
        <v>0</v>
      </c>
      <c r="M317" t="n">
        <v>0</v>
      </c>
      <c r="N317" t="n">
        <v>0</v>
      </c>
      <c r="O317" t="n">
        <v>0</v>
      </c>
      <c r="P317" t="n">
        <v>0</v>
      </c>
      <c r="Q317" t="n">
        <v>0</v>
      </c>
      <c r="R317" s="2" t="inlineStr"/>
    </row>
    <row r="318" ht="15" customHeight="1">
      <c r="A318" t="inlineStr">
        <is>
          <t>A 65901-2021</t>
        </is>
      </c>
      <c r="B318" s="1" t="n">
        <v>44516</v>
      </c>
      <c r="C318" s="1" t="n">
        <v>45937</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45937</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45106-2024</t>
        </is>
      </c>
      <c r="B320" s="1" t="n">
        <v>45575</v>
      </c>
      <c r="C320" s="1" t="n">
        <v>45937</v>
      </c>
      <c r="D320" t="inlineStr">
        <is>
          <t>GOTLANDS LÄN</t>
        </is>
      </c>
      <c r="E320" t="inlineStr">
        <is>
          <t>GOTLAND</t>
        </is>
      </c>
      <c r="G320" t="n">
        <v>10</v>
      </c>
      <c r="H320" t="n">
        <v>0</v>
      </c>
      <c r="I320" t="n">
        <v>0</v>
      </c>
      <c r="J320" t="n">
        <v>0</v>
      </c>
      <c r="K320" t="n">
        <v>0</v>
      </c>
      <c r="L320" t="n">
        <v>0</v>
      </c>
      <c r="M320" t="n">
        <v>0</v>
      </c>
      <c r="N320" t="n">
        <v>0</v>
      </c>
      <c r="O320" t="n">
        <v>0</v>
      </c>
      <c r="P320" t="n">
        <v>0</v>
      </c>
      <c r="Q320" t="n">
        <v>0</v>
      </c>
      <c r="R320" s="2" t="inlineStr"/>
    </row>
    <row r="321" ht="15" customHeight="1">
      <c r="A321" t="inlineStr">
        <is>
          <t>A 45112-2024</t>
        </is>
      </c>
      <c r="B321" s="1" t="n">
        <v>45575</v>
      </c>
      <c r="C321" s="1" t="n">
        <v>45937</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2676-2023</t>
        </is>
      </c>
      <c r="B322" s="1" t="n">
        <v>44944</v>
      </c>
      <c r="C322" s="1" t="n">
        <v>45937</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44649-2021</t>
        </is>
      </c>
      <c r="B323" s="1" t="n">
        <v>44437</v>
      </c>
      <c r="C323" s="1" t="n">
        <v>45937</v>
      </c>
      <c r="D323" t="inlineStr">
        <is>
          <t>GOTLANDS LÄN</t>
        </is>
      </c>
      <c r="E323" t="inlineStr">
        <is>
          <t>GOTLAND</t>
        </is>
      </c>
      <c r="G323" t="n">
        <v>8.1</v>
      </c>
      <c r="H323" t="n">
        <v>0</v>
      </c>
      <c r="I323" t="n">
        <v>0</v>
      </c>
      <c r="J323" t="n">
        <v>0</v>
      </c>
      <c r="K323" t="n">
        <v>0</v>
      </c>
      <c r="L323" t="n">
        <v>0</v>
      </c>
      <c r="M323" t="n">
        <v>0</v>
      </c>
      <c r="N323" t="n">
        <v>0</v>
      </c>
      <c r="O323" t="n">
        <v>0</v>
      </c>
      <c r="P323" t="n">
        <v>0</v>
      </c>
      <c r="Q323" t="n">
        <v>0</v>
      </c>
      <c r="R323" s="2" t="inlineStr"/>
    </row>
    <row r="324" ht="15" customHeight="1">
      <c r="A324" t="inlineStr">
        <is>
          <t>A 3150-2025</t>
        </is>
      </c>
      <c r="B324" s="1" t="n">
        <v>45679.28974537037</v>
      </c>
      <c r="C324" s="1" t="n">
        <v>45937</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5462-2025</t>
        </is>
      </c>
      <c r="B325" s="1" t="n">
        <v>45693.29331018519</v>
      </c>
      <c r="C325" s="1" t="n">
        <v>45937</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8484-2025</t>
        </is>
      </c>
      <c r="B326" s="1" t="n">
        <v>45709</v>
      </c>
      <c r="C326" s="1" t="n">
        <v>45937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7635-2025</t>
        </is>
      </c>
      <c r="B327" s="1" t="n">
        <v>45705</v>
      </c>
      <c r="C327" s="1" t="n">
        <v>45937</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7636-2025</t>
        </is>
      </c>
      <c r="B328" s="1" t="n">
        <v>45705.7687962963</v>
      </c>
      <c r="C328" s="1" t="n">
        <v>45937</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7639-2025</t>
        </is>
      </c>
      <c r="B329" s="1" t="n">
        <v>45705.77465277778</v>
      </c>
      <c r="C329" s="1" t="n">
        <v>45937</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9947-2024</t>
        </is>
      </c>
      <c r="B330" s="1" t="n">
        <v>45363</v>
      </c>
      <c r="C330" s="1" t="n">
        <v>45937</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44304-2021</t>
        </is>
      </c>
      <c r="B331" s="1" t="n">
        <v>44434</v>
      </c>
      <c r="C331" s="1" t="n">
        <v>45937</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20356-2022</t>
        </is>
      </c>
      <c r="B332" s="1" t="n">
        <v>44699</v>
      </c>
      <c r="C332" s="1" t="n">
        <v>45937</v>
      </c>
      <c r="D332" t="inlineStr">
        <is>
          <t>GOTLANDS LÄN</t>
        </is>
      </c>
      <c r="E332" t="inlineStr">
        <is>
          <t>GOTLAND</t>
        </is>
      </c>
      <c r="F332" t="inlineStr">
        <is>
          <t>Övriga Aktiebolag</t>
        </is>
      </c>
      <c r="G332" t="n">
        <v>4.4</v>
      </c>
      <c r="H332" t="n">
        <v>0</v>
      </c>
      <c r="I332" t="n">
        <v>0</v>
      </c>
      <c r="J332" t="n">
        <v>0</v>
      </c>
      <c r="K332" t="n">
        <v>0</v>
      </c>
      <c r="L332" t="n">
        <v>0</v>
      </c>
      <c r="M332" t="n">
        <v>0</v>
      </c>
      <c r="N332" t="n">
        <v>0</v>
      </c>
      <c r="O332" t="n">
        <v>0</v>
      </c>
      <c r="P332" t="n">
        <v>0</v>
      </c>
      <c r="Q332" t="n">
        <v>0</v>
      </c>
      <c r="R332" s="2" t="inlineStr"/>
    </row>
    <row r="333" ht="15" customHeight="1">
      <c r="A333" t="inlineStr">
        <is>
          <t>A 48734-2022</t>
        </is>
      </c>
      <c r="B333" s="1" t="n">
        <v>44855</v>
      </c>
      <c r="C333" s="1" t="n">
        <v>45937</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11634-2024</t>
        </is>
      </c>
      <c r="B334" s="1" t="n">
        <v>45373</v>
      </c>
      <c r="C334" s="1" t="n">
        <v>45937</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14141-2024</t>
        </is>
      </c>
      <c r="B335" s="1" t="n">
        <v>45392.85193287037</v>
      </c>
      <c r="C335" s="1" t="n">
        <v>45937</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1351-2025</t>
        </is>
      </c>
      <c r="B336" s="1" t="n">
        <v>45667.62246527777</v>
      </c>
      <c r="C336" s="1" t="n">
        <v>45937</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17682-2024</t>
        </is>
      </c>
      <c r="B337" s="1" t="n">
        <v>45418.42966435185</v>
      </c>
      <c r="C337" s="1" t="n">
        <v>45937</v>
      </c>
      <c r="D337" t="inlineStr">
        <is>
          <t>GOTLANDS LÄN</t>
        </is>
      </c>
      <c r="E337" t="inlineStr">
        <is>
          <t>GOTLAND</t>
        </is>
      </c>
      <c r="G337" t="n">
        <v>2.9</v>
      </c>
      <c r="H337" t="n">
        <v>0</v>
      </c>
      <c r="I337" t="n">
        <v>0</v>
      </c>
      <c r="J337" t="n">
        <v>0</v>
      </c>
      <c r="K337" t="n">
        <v>0</v>
      </c>
      <c r="L337" t="n">
        <v>0</v>
      </c>
      <c r="M337" t="n">
        <v>0</v>
      </c>
      <c r="N337" t="n">
        <v>0</v>
      </c>
      <c r="O337" t="n">
        <v>0</v>
      </c>
      <c r="P337" t="n">
        <v>0</v>
      </c>
      <c r="Q337" t="n">
        <v>0</v>
      </c>
      <c r="R337" s="2" t="inlineStr"/>
    </row>
    <row r="338" ht="15" customHeight="1">
      <c r="A338" t="inlineStr">
        <is>
          <t>A 29809-2022</t>
        </is>
      </c>
      <c r="B338" s="1" t="n">
        <v>44755.8713425926</v>
      </c>
      <c r="C338" s="1" t="n">
        <v>45937</v>
      </c>
      <c r="D338" t="inlineStr">
        <is>
          <t>GOTLANDS LÄN</t>
        </is>
      </c>
      <c r="E338" t="inlineStr">
        <is>
          <t>GOTLAND</t>
        </is>
      </c>
      <c r="G338" t="n">
        <v>11.5</v>
      </c>
      <c r="H338" t="n">
        <v>0</v>
      </c>
      <c r="I338" t="n">
        <v>0</v>
      </c>
      <c r="J338" t="n">
        <v>0</v>
      </c>
      <c r="K338" t="n">
        <v>0</v>
      </c>
      <c r="L338" t="n">
        <v>0</v>
      </c>
      <c r="M338" t="n">
        <v>0</v>
      </c>
      <c r="N338" t="n">
        <v>0</v>
      </c>
      <c r="O338" t="n">
        <v>0</v>
      </c>
      <c r="P338" t="n">
        <v>0</v>
      </c>
      <c r="Q338" t="n">
        <v>0</v>
      </c>
      <c r="R338" s="2" t="inlineStr"/>
    </row>
    <row r="339" ht="15" customHeight="1">
      <c r="A339" t="inlineStr">
        <is>
          <t>A 57522-2022</t>
        </is>
      </c>
      <c r="B339" s="1" t="n">
        <v>44896</v>
      </c>
      <c r="C339" s="1" t="n">
        <v>45937</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39496-2022</t>
        </is>
      </c>
      <c r="B340" s="1" t="n">
        <v>44818</v>
      </c>
      <c r="C340" s="1" t="n">
        <v>45937</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25796-2025</t>
        </is>
      </c>
      <c r="B341" s="1" t="n">
        <v>45804.39543981481</v>
      </c>
      <c r="C341" s="1" t="n">
        <v>45937</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49874-2024</t>
        </is>
      </c>
      <c r="B342" s="1" t="n">
        <v>45597.49274305555</v>
      </c>
      <c r="C342" s="1" t="n">
        <v>45937</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2292-2021</t>
        </is>
      </c>
      <c r="B343" s="1" t="n">
        <v>44212</v>
      </c>
      <c r="C343" s="1" t="n">
        <v>45937</v>
      </c>
      <c r="D343" t="inlineStr">
        <is>
          <t>GOTLANDS LÄN</t>
        </is>
      </c>
      <c r="E343" t="inlineStr">
        <is>
          <t>GOTLAND</t>
        </is>
      </c>
      <c r="G343" t="n">
        <v>3</v>
      </c>
      <c r="H343" t="n">
        <v>0</v>
      </c>
      <c r="I343" t="n">
        <v>0</v>
      </c>
      <c r="J343" t="n">
        <v>0</v>
      </c>
      <c r="K343" t="n">
        <v>0</v>
      </c>
      <c r="L343" t="n">
        <v>0</v>
      </c>
      <c r="M343" t="n">
        <v>0</v>
      </c>
      <c r="N343" t="n">
        <v>0</v>
      </c>
      <c r="O343" t="n">
        <v>0</v>
      </c>
      <c r="P343" t="n">
        <v>0</v>
      </c>
      <c r="Q343" t="n">
        <v>0</v>
      </c>
      <c r="R343" s="2" t="inlineStr"/>
    </row>
    <row r="344" ht="15" customHeight="1">
      <c r="A344" t="inlineStr">
        <is>
          <t>A 42201-2023</t>
        </is>
      </c>
      <c r="B344" s="1" t="n">
        <v>45179</v>
      </c>
      <c r="C344" s="1" t="n">
        <v>45937</v>
      </c>
      <c r="D344" t="inlineStr">
        <is>
          <t>GOTLANDS LÄN</t>
        </is>
      </c>
      <c r="E344" t="inlineStr">
        <is>
          <t>GOTLAND</t>
        </is>
      </c>
      <c r="G344" t="n">
        <v>11.9</v>
      </c>
      <c r="H344" t="n">
        <v>0</v>
      </c>
      <c r="I344" t="n">
        <v>0</v>
      </c>
      <c r="J344" t="n">
        <v>0</v>
      </c>
      <c r="K344" t="n">
        <v>0</v>
      </c>
      <c r="L344" t="n">
        <v>0</v>
      </c>
      <c r="M344" t="n">
        <v>0</v>
      </c>
      <c r="N344" t="n">
        <v>0</v>
      </c>
      <c r="O344" t="n">
        <v>0</v>
      </c>
      <c r="P344" t="n">
        <v>0</v>
      </c>
      <c r="Q344" t="n">
        <v>0</v>
      </c>
      <c r="R344" s="2" t="inlineStr"/>
    </row>
    <row r="345" ht="15" customHeight="1">
      <c r="A345" t="inlineStr">
        <is>
          <t>A 46400-2023</t>
        </is>
      </c>
      <c r="B345" s="1" t="n">
        <v>45197.49290509259</v>
      </c>
      <c r="C345" s="1" t="n">
        <v>45937</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45937</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9875-2025</t>
        </is>
      </c>
      <c r="B347" s="1" t="n">
        <v>45716</v>
      </c>
      <c r="C347" s="1" t="n">
        <v>45937</v>
      </c>
      <c r="D347" t="inlineStr">
        <is>
          <t>GOTLANDS LÄN</t>
        </is>
      </c>
      <c r="E347" t="inlineStr">
        <is>
          <t>GOTLAND</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57685-2022</t>
        </is>
      </c>
      <c r="B348" s="1" t="n">
        <v>44897.4777662037</v>
      </c>
      <c r="C348" s="1" t="n">
        <v>45937</v>
      </c>
      <c r="D348" t="inlineStr">
        <is>
          <t>GOTLANDS LÄN</t>
        </is>
      </c>
      <c r="E348" t="inlineStr">
        <is>
          <t>GOTLAND</t>
        </is>
      </c>
      <c r="G348" t="n">
        <v>3.7</v>
      </c>
      <c r="H348" t="n">
        <v>0</v>
      </c>
      <c r="I348" t="n">
        <v>0</v>
      </c>
      <c r="J348" t="n">
        <v>0</v>
      </c>
      <c r="K348" t="n">
        <v>0</v>
      </c>
      <c r="L348" t="n">
        <v>0</v>
      </c>
      <c r="M348" t="n">
        <v>0</v>
      </c>
      <c r="N348" t="n">
        <v>0</v>
      </c>
      <c r="O348" t="n">
        <v>0</v>
      </c>
      <c r="P348" t="n">
        <v>0</v>
      </c>
      <c r="Q348" t="n">
        <v>0</v>
      </c>
      <c r="R348" s="2" t="inlineStr"/>
    </row>
    <row r="349" ht="15" customHeight="1">
      <c r="A349" t="inlineStr">
        <is>
          <t>A 21164-2024</t>
        </is>
      </c>
      <c r="B349" s="1" t="n">
        <v>45440</v>
      </c>
      <c r="C349" s="1" t="n">
        <v>45937</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26457-2025</t>
        </is>
      </c>
      <c r="B350" s="1" t="n">
        <v>45807.42773148148</v>
      </c>
      <c r="C350" s="1" t="n">
        <v>45937</v>
      </c>
      <c r="D350" t="inlineStr">
        <is>
          <t>GOTLANDS LÄN</t>
        </is>
      </c>
      <c r="E350" t="inlineStr">
        <is>
          <t>GOTLAND</t>
        </is>
      </c>
      <c r="G350" t="n">
        <v>5.7</v>
      </c>
      <c r="H350" t="n">
        <v>0</v>
      </c>
      <c r="I350" t="n">
        <v>0</v>
      </c>
      <c r="J350" t="n">
        <v>0</v>
      </c>
      <c r="K350" t="n">
        <v>0</v>
      </c>
      <c r="L350" t="n">
        <v>0</v>
      </c>
      <c r="M350" t="n">
        <v>0</v>
      </c>
      <c r="N350" t="n">
        <v>0</v>
      </c>
      <c r="O350" t="n">
        <v>0</v>
      </c>
      <c r="P350" t="n">
        <v>0</v>
      </c>
      <c r="Q350" t="n">
        <v>0</v>
      </c>
      <c r="R350" s="2" t="inlineStr"/>
    </row>
    <row r="351" ht="15" customHeight="1">
      <c r="A351" t="inlineStr">
        <is>
          <t>A 26467-2025</t>
        </is>
      </c>
      <c r="B351" s="1" t="n">
        <v>45807.44640046296</v>
      </c>
      <c r="C351" s="1" t="n">
        <v>45937</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8045-2022</t>
        </is>
      </c>
      <c r="B352" s="1" t="n">
        <v>44609</v>
      </c>
      <c r="C352" s="1" t="n">
        <v>45937</v>
      </c>
      <c r="D352" t="inlineStr">
        <is>
          <t>GOTLANDS LÄN</t>
        </is>
      </c>
      <c r="E352" t="inlineStr">
        <is>
          <t>GOTLAND</t>
        </is>
      </c>
      <c r="G352" t="n">
        <v>7</v>
      </c>
      <c r="H352" t="n">
        <v>0</v>
      </c>
      <c r="I352" t="n">
        <v>0</v>
      </c>
      <c r="J352" t="n">
        <v>0</v>
      </c>
      <c r="K352" t="n">
        <v>0</v>
      </c>
      <c r="L352" t="n">
        <v>0</v>
      </c>
      <c r="M352" t="n">
        <v>0</v>
      </c>
      <c r="N352" t="n">
        <v>0</v>
      </c>
      <c r="O352" t="n">
        <v>0</v>
      </c>
      <c r="P352" t="n">
        <v>0</v>
      </c>
      <c r="Q352" t="n">
        <v>0</v>
      </c>
      <c r="R352" s="2" t="inlineStr"/>
    </row>
    <row r="353" ht="15" customHeight="1">
      <c r="A353" t="inlineStr">
        <is>
          <t>A 30815-2023</t>
        </is>
      </c>
      <c r="B353" s="1" t="n">
        <v>45112</v>
      </c>
      <c r="C353" s="1" t="n">
        <v>45937</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26465-2025</t>
        </is>
      </c>
      <c r="B354" s="1" t="n">
        <v>45807.44377314814</v>
      </c>
      <c r="C354" s="1" t="n">
        <v>45937</v>
      </c>
      <c r="D354" t="inlineStr">
        <is>
          <t>GOTLANDS LÄN</t>
        </is>
      </c>
      <c r="E354" t="inlineStr">
        <is>
          <t>GOTLAND</t>
        </is>
      </c>
      <c r="G354" t="n">
        <v>4.5</v>
      </c>
      <c r="H354" t="n">
        <v>0</v>
      </c>
      <c r="I354" t="n">
        <v>0</v>
      </c>
      <c r="J354" t="n">
        <v>0</v>
      </c>
      <c r="K354" t="n">
        <v>0</v>
      </c>
      <c r="L354" t="n">
        <v>0</v>
      </c>
      <c r="M354" t="n">
        <v>0</v>
      </c>
      <c r="N354" t="n">
        <v>0</v>
      </c>
      <c r="O354" t="n">
        <v>0</v>
      </c>
      <c r="P354" t="n">
        <v>0</v>
      </c>
      <c r="Q354" t="n">
        <v>0</v>
      </c>
      <c r="R354" s="2" t="inlineStr"/>
    </row>
    <row r="355" ht="15" customHeight="1">
      <c r="A355" t="inlineStr">
        <is>
          <t>A 26660-2025</t>
        </is>
      </c>
      <c r="B355" s="1" t="n">
        <v>45810.39737268518</v>
      </c>
      <c r="C355" s="1" t="n">
        <v>45937</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22897-2023</t>
        </is>
      </c>
      <c r="B356" s="1" t="n">
        <v>45072.55239583334</v>
      </c>
      <c r="C356" s="1" t="n">
        <v>45937</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7034-2023</t>
        </is>
      </c>
      <c r="B357" s="1" t="n">
        <v>44968.32108796296</v>
      </c>
      <c r="C357" s="1" t="n">
        <v>45937</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7042-2023</t>
        </is>
      </c>
      <c r="B358" s="1" t="n">
        <v>44968</v>
      </c>
      <c r="C358" s="1" t="n">
        <v>45937</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23516-2023</t>
        </is>
      </c>
      <c r="B359" s="1" t="n">
        <v>45076.93391203704</v>
      </c>
      <c r="C359" s="1" t="n">
        <v>45937</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64660-2023</t>
        </is>
      </c>
      <c r="B360" s="1" t="n">
        <v>45281.60122685185</v>
      </c>
      <c r="C360" s="1" t="n">
        <v>45937</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61897-2024</t>
        </is>
      </c>
      <c r="B361" s="1" t="n">
        <v>45652.75685185185</v>
      </c>
      <c r="C361" s="1" t="n">
        <v>45937</v>
      </c>
      <c r="D361" t="inlineStr">
        <is>
          <t>GOTLANDS LÄN</t>
        </is>
      </c>
      <c r="E361" t="inlineStr">
        <is>
          <t>GOTLAND</t>
        </is>
      </c>
      <c r="G361" t="n">
        <v>6.4</v>
      </c>
      <c r="H361" t="n">
        <v>0</v>
      </c>
      <c r="I361" t="n">
        <v>0</v>
      </c>
      <c r="J361" t="n">
        <v>0</v>
      </c>
      <c r="K361" t="n">
        <v>0</v>
      </c>
      <c r="L361" t="n">
        <v>0</v>
      </c>
      <c r="M361" t="n">
        <v>0</v>
      </c>
      <c r="N361" t="n">
        <v>0</v>
      </c>
      <c r="O361" t="n">
        <v>0</v>
      </c>
      <c r="P361" t="n">
        <v>0</v>
      </c>
      <c r="Q361" t="n">
        <v>0</v>
      </c>
      <c r="R361" s="2" t="inlineStr"/>
    </row>
    <row r="362" ht="15" customHeight="1">
      <c r="A362" t="inlineStr">
        <is>
          <t>A 63763-2023</t>
        </is>
      </c>
      <c r="B362" s="1" t="n">
        <v>45278.33944444444</v>
      </c>
      <c r="C362" s="1" t="n">
        <v>45937</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27371-2025</t>
        </is>
      </c>
      <c r="B363" s="1" t="n">
        <v>45812</v>
      </c>
      <c r="C363" s="1" t="n">
        <v>45937</v>
      </c>
      <c r="D363" t="inlineStr">
        <is>
          <t>GOTLANDS LÄN</t>
        </is>
      </c>
      <c r="E363" t="inlineStr">
        <is>
          <t>GOTLAND</t>
        </is>
      </c>
      <c r="G363" t="n">
        <v>8</v>
      </c>
      <c r="H363" t="n">
        <v>0</v>
      </c>
      <c r="I363" t="n">
        <v>0</v>
      </c>
      <c r="J363" t="n">
        <v>0</v>
      </c>
      <c r="K363" t="n">
        <v>0</v>
      </c>
      <c r="L363" t="n">
        <v>0</v>
      </c>
      <c r="M363" t="n">
        <v>0</v>
      </c>
      <c r="N363" t="n">
        <v>0</v>
      </c>
      <c r="O363" t="n">
        <v>0</v>
      </c>
      <c r="P363" t="n">
        <v>0</v>
      </c>
      <c r="Q363" t="n">
        <v>0</v>
      </c>
      <c r="R363" s="2" t="inlineStr"/>
    </row>
    <row r="364" ht="15" customHeight="1">
      <c r="A364" t="inlineStr">
        <is>
          <t>A 20356-2022</t>
        </is>
      </c>
      <c r="B364" s="1" t="n">
        <v>44699</v>
      </c>
      <c r="C364" s="1" t="n">
        <v>45937</v>
      </c>
      <c r="D364" t="inlineStr">
        <is>
          <t>GOTLANDS LÄN</t>
        </is>
      </c>
      <c r="E364" t="inlineStr">
        <is>
          <t>GOTLAND</t>
        </is>
      </c>
      <c r="F364" t="inlineStr">
        <is>
          <t>Övriga Aktiebolag</t>
        </is>
      </c>
      <c r="G364" t="n">
        <v>4.4</v>
      </c>
      <c r="H364" t="n">
        <v>0</v>
      </c>
      <c r="I364" t="n">
        <v>0</v>
      </c>
      <c r="J364" t="n">
        <v>0</v>
      </c>
      <c r="K364" t="n">
        <v>0</v>
      </c>
      <c r="L364" t="n">
        <v>0</v>
      </c>
      <c r="M364" t="n">
        <v>0</v>
      </c>
      <c r="N364" t="n">
        <v>0</v>
      </c>
      <c r="O364" t="n">
        <v>0</v>
      </c>
      <c r="P364" t="n">
        <v>0</v>
      </c>
      <c r="Q364" t="n">
        <v>0</v>
      </c>
      <c r="R364" s="2" t="inlineStr"/>
    </row>
    <row r="365" ht="15" customHeight="1">
      <c r="A365" t="inlineStr">
        <is>
          <t>A 27355-2025</t>
        </is>
      </c>
      <c r="B365" s="1" t="n">
        <v>45812</v>
      </c>
      <c r="C365" s="1" t="n">
        <v>45937</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49962-2023</t>
        </is>
      </c>
      <c r="B366" s="1" t="n">
        <v>45215.38775462963</v>
      </c>
      <c r="C366" s="1" t="n">
        <v>45937</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6739-2025</t>
        </is>
      </c>
      <c r="B367" s="1" t="n">
        <v>45700</v>
      </c>
      <c r="C367" s="1" t="n">
        <v>45937</v>
      </c>
      <c r="D367" t="inlineStr">
        <is>
          <t>GOTLANDS LÄN</t>
        </is>
      </c>
      <c r="E367" t="inlineStr">
        <is>
          <t>GOTLAND</t>
        </is>
      </c>
      <c r="G367" t="n">
        <v>4.5</v>
      </c>
      <c r="H367" t="n">
        <v>0</v>
      </c>
      <c r="I367" t="n">
        <v>0</v>
      </c>
      <c r="J367" t="n">
        <v>0</v>
      </c>
      <c r="K367" t="n">
        <v>0</v>
      </c>
      <c r="L367" t="n">
        <v>0</v>
      </c>
      <c r="M367" t="n">
        <v>0</v>
      </c>
      <c r="N367" t="n">
        <v>0</v>
      </c>
      <c r="O367" t="n">
        <v>0</v>
      </c>
      <c r="P367" t="n">
        <v>0</v>
      </c>
      <c r="Q367" t="n">
        <v>0</v>
      </c>
      <c r="R367" s="2" t="inlineStr"/>
    </row>
    <row r="368" ht="15" customHeight="1">
      <c r="A368" t="inlineStr">
        <is>
          <t>A 7850-2025</t>
        </is>
      </c>
      <c r="B368" s="1" t="n">
        <v>45706</v>
      </c>
      <c r="C368" s="1" t="n">
        <v>45937</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45937</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20165-2022</t>
        </is>
      </c>
      <c r="B370" s="1" t="n">
        <v>44698.49854166667</v>
      </c>
      <c r="C370" s="1" t="n">
        <v>45937</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46375-2024</t>
        </is>
      </c>
      <c r="B371" s="1" t="n">
        <v>45582</v>
      </c>
      <c r="C371" s="1" t="n">
        <v>45937</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8444-2025</t>
        </is>
      </c>
      <c r="B372" s="1" t="n">
        <v>45709</v>
      </c>
      <c r="C372" s="1" t="n">
        <v>45937</v>
      </c>
      <c r="D372" t="inlineStr">
        <is>
          <t>GOTLANDS LÄN</t>
        </is>
      </c>
      <c r="E372" t="inlineStr">
        <is>
          <t>GOTLAND</t>
        </is>
      </c>
      <c r="G372" t="n">
        <v>5.2</v>
      </c>
      <c r="H372" t="n">
        <v>0</v>
      </c>
      <c r="I372" t="n">
        <v>0</v>
      </c>
      <c r="J372" t="n">
        <v>0</v>
      </c>
      <c r="K372" t="n">
        <v>0</v>
      </c>
      <c r="L372" t="n">
        <v>0</v>
      </c>
      <c r="M372" t="n">
        <v>0</v>
      </c>
      <c r="N372" t="n">
        <v>0</v>
      </c>
      <c r="O372" t="n">
        <v>0</v>
      </c>
      <c r="P372" t="n">
        <v>0</v>
      </c>
      <c r="Q372" t="n">
        <v>0</v>
      </c>
      <c r="R372" s="2" t="inlineStr"/>
    </row>
    <row r="373" ht="15" customHeight="1">
      <c r="A373" t="inlineStr">
        <is>
          <t>A 40294-2022</t>
        </is>
      </c>
      <c r="B373" s="1" t="n">
        <v>44821</v>
      </c>
      <c r="C373" s="1" t="n">
        <v>45937</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12032-2025</t>
        </is>
      </c>
      <c r="B374" s="1" t="n">
        <v>45728.64472222222</v>
      </c>
      <c r="C374" s="1" t="n">
        <v>45937</v>
      </c>
      <c r="D374" t="inlineStr">
        <is>
          <t>GOTLANDS LÄN</t>
        </is>
      </c>
      <c r="E374" t="inlineStr">
        <is>
          <t>GOTLAND</t>
        </is>
      </c>
      <c r="G374" t="n">
        <v>1.4</v>
      </c>
      <c r="H374" t="n">
        <v>0</v>
      </c>
      <c r="I374" t="n">
        <v>0</v>
      </c>
      <c r="J374" t="n">
        <v>0</v>
      </c>
      <c r="K374" t="n">
        <v>0</v>
      </c>
      <c r="L374" t="n">
        <v>0</v>
      </c>
      <c r="M374" t="n">
        <v>0</v>
      </c>
      <c r="N374" t="n">
        <v>0</v>
      </c>
      <c r="O374" t="n">
        <v>0</v>
      </c>
      <c r="P374" t="n">
        <v>0</v>
      </c>
      <c r="Q374" t="n">
        <v>0</v>
      </c>
      <c r="R374" s="2" t="inlineStr"/>
    </row>
    <row r="375" ht="15" customHeight="1">
      <c r="A375" t="inlineStr">
        <is>
          <t>A 38787-2023</t>
        </is>
      </c>
      <c r="B375" s="1" t="n">
        <v>45163</v>
      </c>
      <c r="C375" s="1" t="n">
        <v>45937</v>
      </c>
      <c r="D375" t="inlineStr">
        <is>
          <t>GOTLANDS LÄN</t>
        </is>
      </c>
      <c r="E375" t="inlineStr">
        <is>
          <t>GOTLAND</t>
        </is>
      </c>
      <c r="G375" t="n">
        <v>0.4</v>
      </c>
      <c r="H375" t="n">
        <v>0</v>
      </c>
      <c r="I375" t="n">
        <v>0</v>
      </c>
      <c r="J375" t="n">
        <v>0</v>
      </c>
      <c r="K375" t="n">
        <v>0</v>
      </c>
      <c r="L375" t="n">
        <v>0</v>
      </c>
      <c r="M375" t="n">
        <v>0</v>
      </c>
      <c r="N375" t="n">
        <v>0</v>
      </c>
      <c r="O375" t="n">
        <v>0</v>
      </c>
      <c r="P375" t="n">
        <v>0</v>
      </c>
      <c r="Q375" t="n">
        <v>0</v>
      </c>
      <c r="R375" s="2" t="inlineStr"/>
    </row>
    <row r="376" ht="15" customHeight="1">
      <c r="A376" t="inlineStr">
        <is>
          <t>A 43231-2023</t>
        </is>
      </c>
      <c r="B376" s="1" t="n">
        <v>45183.47025462963</v>
      </c>
      <c r="C376" s="1" t="n">
        <v>45937</v>
      </c>
      <c r="D376" t="inlineStr">
        <is>
          <t>GOTLANDS LÄN</t>
        </is>
      </c>
      <c r="E376" t="inlineStr">
        <is>
          <t>GOTLAND</t>
        </is>
      </c>
      <c r="G376" t="n">
        <v>3.6</v>
      </c>
      <c r="H376" t="n">
        <v>0</v>
      </c>
      <c r="I376" t="n">
        <v>0</v>
      </c>
      <c r="J376" t="n">
        <v>0</v>
      </c>
      <c r="K376" t="n">
        <v>0</v>
      </c>
      <c r="L376" t="n">
        <v>0</v>
      </c>
      <c r="M376" t="n">
        <v>0</v>
      </c>
      <c r="N376" t="n">
        <v>0</v>
      </c>
      <c r="O376" t="n">
        <v>0</v>
      </c>
      <c r="P376" t="n">
        <v>0</v>
      </c>
      <c r="Q376" t="n">
        <v>0</v>
      </c>
      <c r="R376" s="2" t="inlineStr"/>
    </row>
    <row r="377" ht="15" customHeight="1">
      <c r="A377" t="inlineStr">
        <is>
          <t>A 17532-2024</t>
        </is>
      </c>
      <c r="B377" s="1" t="n">
        <v>45415</v>
      </c>
      <c r="C377" s="1" t="n">
        <v>45937</v>
      </c>
      <c r="D377" t="inlineStr">
        <is>
          <t>GOTLANDS LÄN</t>
        </is>
      </c>
      <c r="E377" t="inlineStr">
        <is>
          <t>GOTLAND</t>
        </is>
      </c>
      <c r="G377" t="n">
        <v>4.3</v>
      </c>
      <c r="H377" t="n">
        <v>0</v>
      </c>
      <c r="I377" t="n">
        <v>0</v>
      </c>
      <c r="J377" t="n">
        <v>0</v>
      </c>
      <c r="K377" t="n">
        <v>0</v>
      </c>
      <c r="L377" t="n">
        <v>0</v>
      </c>
      <c r="M377" t="n">
        <v>0</v>
      </c>
      <c r="N377" t="n">
        <v>0</v>
      </c>
      <c r="O377" t="n">
        <v>0</v>
      </c>
      <c r="P377" t="n">
        <v>0</v>
      </c>
      <c r="Q377" t="n">
        <v>0</v>
      </c>
      <c r="R377" s="2" t="inlineStr"/>
    </row>
    <row r="378" ht="15" customHeight="1">
      <c r="A378" t="inlineStr">
        <is>
          <t>A 3935-2025</t>
        </is>
      </c>
      <c r="B378" s="1" t="n">
        <v>45684.46070601852</v>
      </c>
      <c r="C378" s="1" t="n">
        <v>45937</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19905-2025</t>
        </is>
      </c>
      <c r="B379" s="1" t="n">
        <v>45771</v>
      </c>
      <c r="C379" s="1" t="n">
        <v>45937</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29196-2025</t>
        </is>
      </c>
      <c r="B380" s="1" t="n">
        <v>45822</v>
      </c>
      <c r="C380" s="1" t="n">
        <v>45937</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18993-2025</t>
        </is>
      </c>
      <c r="B381" s="1" t="n">
        <v>45764</v>
      </c>
      <c r="C381" s="1" t="n">
        <v>45937</v>
      </c>
      <c r="D381" t="inlineStr">
        <is>
          <t>GOTLANDS LÄN</t>
        </is>
      </c>
      <c r="E381" t="inlineStr">
        <is>
          <t>GOTLAND</t>
        </is>
      </c>
      <c r="G381" t="n">
        <v>3</v>
      </c>
      <c r="H381" t="n">
        <v>0</v>
      </c>
      <c r="I381" t="n">
        <v>0</v>
      </c>
      <c r="J381" t="n">
        <v>0</v>
      </c>
      <c r="K381" t="n">
        <v>0</v>
      </c>
      <c r="L381" t="n">
        <v>0</v>
      </c>
      <c r="M381" t="n">
        <v>0</v>
      </c>
      <c r="N381" t="n">
        <v>0</v>
      </c>
      <c r="O381" t="n">
        <v>0</v>
      </c>
      <c r="P381" t="n">
        <v>0</v>
      </c>
      <c r="Q381" t="n">
        <v>0</v>
      </c>
      <c r="R381" s="2" t="inlineStr"/>
    </row>
    <row r="382" ht="15" customHeight="1">
      <c r="A382" t="inlineStr">
        <is>
          <t>A 47147-2025</t>
        </is>
      </c>
      <c r="B382" s="1" t="n">
        <v>45929.71716435185</v>
      </c>
      <c r="C382" s="1" t="n">
        <v>45937</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1734-2025</t>
        </is>
      </c>
      <c r="B383" s="1" t="n">
        <v>45671.3840625</v>
      </c>
      <c r="C383" s="1" t="n">
        <v>45937</v>
      </c>
      <c r="D383" t="inlineStr">
        <is>
          <t>GOTLANDS LÄN</t>
        </is>
      </c>
      <c r="E383" t="inlineStr">
        <is>
          <t>GOTLAND</t>
        </is>
      </c>
      <c r="G383" t="n">
        <v>1.9</v>
      </c>
      <c r="H383" t="n">
        <v>0</v>
      </c>
      <c r="I383" t="n">
        <v>0</v>
      </c>
      <c r="J383" t="n">
        <v>0</v>
      </c>
      <c r="K383" t="n">
        <v>0</v>
      </c>
      <c r="L383" t="n">
        <v>0</v>
      </c>
      <c r="M383" t="n">
        <v>0</v>
      </c>
      <c r="N383" t="n">
        <v>0</v>
      </c>
      <c r="O383" t="n">
        <v>0</v>
      </c>
      <c r="P383" t="n">
        <v>0</v>
      </c>
      <c r="Q383" t="n">
        <v>0</v>
      </c>
      <c r="R383" s="2" t="inlineStr"/>
    </row>
    <row r="384" ht="15" customHeight="1">
      <c r="A384" t="inlineStr">
        <is>
          <t>A 29207-2025</t>
        </is>
      </c>
      <c r="B384" s="1" t="n">
        <v>45823</v>
      </c>
      <c r="C384" s="1" t="n">
        <v>45937</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20993-2023</t>
        </is>
      </c>
      <c r="B385" s="1" t="n">
        <v>45056</v>
      </c>
      <c r="C385" s="1" t="n">
        <v>45937</v>
      </c>
      <c r="D385" t="inlineStr">
        <is>
          <t>GOTLANDS LÄN</t>
        </is>
      </c>
      <c r="E385" t="inlineStr">
        <is>
          <t>GOTLAND</t>
        </is>
      </c>
      <c r="G385" t="n">
        <v>7.1</v>
      </c>
      <c r="H385" t="n">
        <v>0</v>
      </c>
      <c r="I385" t="n">
        <v>0</v>
      </c>
      <c r="J385" t="n">
        <v>0</v>
      </c>
      <c r="K385" t="n">
        <v>0</v>
      </c>
      <c r="L385" t="n">
        <v>0</v>
      </c>
      <c r="M385" t="n">
        <v>0</v>
      </c>
      <c r="N385" t="n">
        <v>0</v>
      </c>
      <c r="O385" t="n">
        <v>0</v>
      </c>
      <c r="P385" t="n">
        <v>0</v>
      </c>
      <c r="Q385" t="n">
        <v>0</v>
      </c>
      <c r="R385" s="2" t="inlineStr"/>
    </row>
    <row r="386" ht="15" customHeight="1">
      <c r="A386" t="inlineStr">
        <is>
          <t>A 20225-2025</t>
        </is>
      </c>
      <c r="B386" s="1" t="n">
        <v>45772.65802083333</v>
      </c>
      <c r="C386" s="1" t="n">
        <v>45937</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883-2025</t>
        </is>
      </c>
      <c r="B387" s="1" t="n">
        <v>45665</v>
      </c>
      <c r="C387" s="1" t="n">
        <v>45937</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30135-2025</t>
        </is>
      </c>
      <c r="B388" s="1" t="n">
        <v>45826</v>
      </c>
      <c r="C388" s="1" t="n">
        <v>45937</v>
      </c>
      <c r="D388" t="inlineStr">
        <is>
          <t>GOTLANDS LÄN</t>
        </is>
      </c>
      <c r="E388" t="inlineStr">
        <is>
          <t>GOTLAND</t>
        </is>
      </c>
      <c r="G388" t="n">
        <v>2.7</v>
      </c>
      <c r="H388" t="n">
        <v>0</v>
      </c>
      <c r="I388" t="n">
        <v>0</v>
      </c>
      <c r="J388" t="n">
        <v>0</v>
      </c>
      <c r="K388" t="n">
        <v>0</v>
      </c>
      <c r="L388" t="n">
        <v>0</v>
      </c>
      <c r="M388" t="n">
        <v>0</v>
      </c>
      <c r="N388" t="n">
        <v>0</v>
      </c>
      <c r="O388" t="n">
        <v>0</v>
      </c>
      <c r="P388" t="n">
        <v>0</v>
      </c>
      <c r="Q388" t="n">
        <v>0</v>
      </c>
      <c r="R388" s="2" t="inlineStr"/>
    </row>
    <row r="389" ht="15" customHeight="1">
      <c r="A389" t="inlineStr">
        <is>
          <t>A 12599-2025</t>
        </is>
      </c>
      <c r="B389" s="1" t="n">
        <v>45733.29546296296</v>
      </c>
      <c r="C389" s="1" t="n">
        <v>45937</v>
      </c>
      <c r="D389" t="inlineStr">
        <is>
          <t>GOTLANDS LÄN</t>
        </is>
      </c>
      <c r="E389" t="inlineStr">
        <is>
          <t>GOTLAND</t>
        </is>
      </c>
      <c r="G389" t="n">
        <v>4.7</v>
      </c>
      <c r="H389" t="n">
        <v>0</v>
      </c>
      <c r="I389" t="n">
        <v>0</v>
      </c>
      <c r="J389" t="n">
        <v>0</v>
      </c>
      <c r="K389" t="n">
        <v>0</v>
      </c>
      <c r="L389" t="n">
        <v>0</v>
      </c>
      <c r="M389" t="n">
        <v>0</v>
      </c>
      <c r="N389" t="n">
        <v>0</v>
      </c>
      <c r="O389" t="n">
        <v>0</v>
      </c>
      <c r="P389" t="n">
        <v>0</v>
      </c>
      <c r="Q389" t="n">
        <v>0</v>
      </c>
      <c r="R389" s="2" t="inlineStr"/>
    </row>
    <row r="390" ht="15" customHeight="1">
      <c r="A390" t="inlineStr">
        <is>
          <t>A 35141-2025</t>
        </is>
      </c>
      <c r="B390" s="1" t="n">
        <v>45852.65206018519</v>
      </c>
      <c r="C390" s="1" t="n">
        <v>45937</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46836-2025</t>
        </is>
      </c>
      <c r="B391" s="1" t="n">
        <v>45928.31511574074</v>
      </c>
      <c r="C391" s="1" t="n">
        <v>45937</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35142-2025</t>
        </is>
      </c>
      <c r="B392" s="1" t="n">
        <v>45852.65532407408</v>
      </c>
      <c r="C392" s="1" t="n">
        <v>45937</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12596-2023</t>
        </is>
      </c>
      <c r="B393" s="1" t="n">
        <v>45000.43310185185</v>
      </c>
      <c r="C393" s="1" t="n">
        <v>45937</v>
      </c>
      <c r="D393" t="inlineStr">
        <is>
          <t>GOTLANDS LÄN</t>
        </is>
      </c>
      <c r="E393" t="inlineStr">
        <is>
          <t>GOTLAND</t>
        </is>
      </c>
      <c r="G393" t="n">
        <v>4.1</v>
      </c>
      <c r="H393" t="n">
        <v>0</v>
      </c>
      <c r="I393" t="n">
        <v>0</v>
      </c>
      <c r="J393" t="n">
        <v>0</v>
      </c>
      <c r="K393" t="n">
        <v>0</v>
      </c>
      <c r="L393" t="n">
        <v>0</v>
      </c>
      <c r="M393" t="n">
        <v>0</v>
      </c>
      <c r="N393" t="n">
        <v>0</v>
      </c>
      <c r="O393" t="n">
        <v>0</v>
      </c>
      <c r="P393" t="n">
        <v>0</v>
      </c>
      <c r="Q393" t="n">
        <v>0</v>
      </c>
      <c r="R393" s="2" t="inlineStr"/>
    </row>
    <row r="394" ht="15" customHeight="1">
      <c r="A394" t="inlineStr">
        <is>
          <t>A 2125-2025</t>
        </is>
      </c>
      <c r="B394" s="1" t="n">
        <v>45672.64940972222</v>
      </c>
      <c r="C394" s="1" t="n">
        <v>45937</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47637-2025</t>
        </is>
      </c>
      <c r="B395" s="1" t="n">
        <v>45931.49753472222</v>
      </c>
      <c r="C395" s="1" t="n">
        <v>45937</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30061-2025</t>
        </is>
      </c>
      <c r="B396" s="1" t="n">
        <v>45826.61488425926</v>
      </c>
      <c r="C396" s="1" t="n">
        <v>45937</v>
      </c>
      <c r="D396" t="inlineStr">
        <is>
          <t>GOTLANDS LÄN</t>
        </is>
      </c>
      <c r="E396" t="inlineStr">
        <is>
          <t>GOTLAND</t>
        </is>
      </c>
      <c r="G396" t="n">
        <v>4.1</v>
      </c>
      <c r="H396" t="n">
        <v>0</v>
      </c>
      <c r="I396" t="n">
        <v>0</v>
      </c>
      <c r="J396" t="n">
        <v>0</v>
      </c>
      <c r="K396" t="n">
        <v>0</v>
      </c>
      <c r="L396" t="n">
        <v>0</v>
      </c>
      <c r="M396" t="n">
        <v>0</v>
      </c>
      <c r="N396" t="n">
        <v>0</v>
      </c>
      <c r="O396" t="n">
        <v>0</v>
      </c>
      <c r="P396" t="n">
        <v>0</v>
      </c>
      <c r="Q396" t="n">
        <v>0</v>
      </c>
      <c r="R396" s="2" t="inlineStr"/>
    </row>
    <row r="397" ht="15" customHeight="1">
      <c r="A397" t="inlineStr">
        <is>
          <t>A 47578-2025</t>
        </is>
      </c>
      <c r="B397" s="1" t="n">
        <v>45931</v>
      </c>
      <c r="C397" s="1" t="n">
        <v>45937</v>
      </c>
      <c r="D397" t="inlineStr">
        <is>
          <t>GOTLANDS LÄN</t>
        </is>
      </c>
      <c r="E397" t="inlineStr">
        <is>
          <t>GOTLAND</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39278-2025</t>
        </is>
      </c>
      <c r="B398" s="1" t="n">
        <v>45889</v>
      </c>
      <c r="C398" s="1" t="n">
        <v>45937</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12155-2023</t>
        </is>
      </c>
      <c r="B399" s="1" t="n">
        <v>44998.49106481481</v>
      </c>
      <c r="C399" s="1" t="n">
        <v>45937</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58160-2024</t>
        </is>
      </c>
      <c r="B400" s="1" t="n">
        <v>45632.44927083333</v>
      </c>
      <c r="C400" s="1" t="n">
        <v>45937</v>
      </c>
      <c r="D400" t="inlineStr">
        <is>
          <t>GOTLANDS LÄN</t>
        </is>
      </c>
      <c r="E400" t="inlineStr">
        <is>
          <t>GOTLAND</t>
        </is>
      </c>
      <c r="G400" t="n">
        <v>5.6</v>
      </c>
      <c r="H400" t="n">
        <v>0</v>
      </c>
      <c r="I400" t="n">
        <v>0</v>
      </c>
      <c r="J400" t="n">
        <v>0</v>
      </c>
      <c r="K400" t="n">
        <v>0</v>
      </c>
      <c r="L400" t="n">
        <v>0</v>
      </c>
      <c r="M400" t="n">
        <v>0</v>
      </c>
      <c r="N400" t="n">
        <v>0</v>
      </c>
      <c r="O400" t="n">
        <v>0</v>
      </c>
      <c r="P400" t="n">
        <v>0</v>
      </c>
      <c r="Q400" t="n">
        <v>0</v>
      </c>
      <c r="R400" s="2" t="inlineStr"/>
    </row>
    <row r="401" ht="15" customHeight="1">
      <c r="A401" t="inlineStr">
        <is>
          <t>A 457-2023</t>
        </is>
      </c>
      <c r="B401" s="1" t="n">
        <v>44929.87238425926</v>
      </c>
      <c r="C401" s="1" t="n">
        <v>45937</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459-2023</t>
        </is>
      </c>
      <c r="B402" s="1" t="n">
        <v>44929.87423611111</v>
      </c>
      <c r="C402" s="1" t="n">
        <v>45937</v>
      </c>
      <c r="D402" t="inlineStr">
        <is>
          <t>GOTLANDS LÄN</t>
        </is>
      </c>
      <c r="E402" t="inlineStr">
        <is>
          <t>GOTLAND</t>
        </is>
      </c>
      <c r="G402" t="n">
        <v>4.2</v>
      </c>
      <c r="H402" t="n">
        <v>0</v>
      </c>
      <c r="I402" t="n">
        <v>0</v>
      </c>
      <c r="J402" t="n">
        <v>0</v>
      </c>
      <c r="K402" t="n">
        <v>0</v>
      </c>
      <c r="L402" t="n">
        <v>0</v>
      </c>
      <c r="M402" t="n">
        <v>0</v>
      </c>
      <c r="N402" t="n">
        <v>0</v>
      </c>
      <c r="O402" t="n">
        <v>0</v>
      </c>
      <c r="P402" t="n">
        <v>0</v>
      </c>
      <c r="Q402" t="n">
        <v>0</v>
      </c>
      <c r="R402" s="2" t="inlineStr"/>
    </row>
    <row r="403" ht="15" customHeight="1">
      <c r="A403" t="inlineStr">
        <is>
          <t>A 38234-2023</t>
        </is>
      </c>
      <c r="B403" s="1" t="n">
        <v>45161.56663194444</v>
      </c>
      <c r="C403" s="1" t="n">
        <v>45937</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39819-2025</t>
        </is>
      </c>
      <c r="B404" s="1" t="n">
        <v>45891.53418981482</v>
      </c>
      <c r="C404" s="1" t="n">
        <v>45937</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1066-2024</t>
        </is>
      </c>
      <c r="B405" s="1" t="n">
        <v>45302.285</v>
      </c>
      <c r="C405" s="1" t="n">
        <v>45937</v>
      </c>
      <c r="D405" t="inlineStr">
        <is>
          <t>GOTLANDS LÄN</t>
        </is>
      </c>
      <c r="E405" t="inlineStr">
        <is>
          <t>GOTLAND</t>
        </is>
      </c>
      <c r="G405" t="n">
        <v>1.4</v>
      </c>
      <c r="H405" t="n">
        <v>0</v>
      </c>
      <c r="I405" t="n">
        <v>0</v>
      </c>
      <c r="J405" t="n">
        <v>0</v>
      </c>
      <c r="K405" t="n">
        <v>0</v>
      </c>
      <c r="L405" t="n">
        <v>0</v>
      </c>
      <c r="M405" t="n">
        <v>0</v>
      </c>
      <c r="N405" t="n">
        <v>0</v>
      </c>
      <c r="O405" t="n">
        <v>0</v>
      </c>
      <c r="P405" t="n">
        <v>0</v>
      </c>
      <c r="Q405" t="n">
        <v>0</v>
      </c>
      <c r="R405" s="2" t="inlineStr"/>
    </row>
    <row r="406" ht="15" customHeight="1">
      <c r="A406" t="inlineStr">
        <is>
          <t>A 17144-2025</t>
        </is>
      </c>
      <c r="B406" s="1" t="n">
        <v>45755.9499537037</v>
      </c>
      <c r="C406" s="1" t="n">
        <v>45937</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50744-2024</t>
        </is>
      </c>
      <c r="B407" s="1" t="n">
        <v>45602.4187037037</v>
      </c>
      <c r="C407" s="1" t="n">
        <v>45937</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39814-2025</t>
        </is>
      </c>
      <c r="B408" s="1" t="n">
        <v>45891.52694444444</v>
      </c>
      <c r="C408" s="1" t="n">
        <v>45937</v>
      </c>
      <c r="D408" t="inlineStr">
        <is>
          <t>GOTLANDS LÄN</t>
        </is>
      </c>
      <c r="E408" t="inlineStr">
        <is>
          <t>GOTLAND</t>
        </is>
      </c>
      <c r="G408" t="n">
        <v>4.5</v>
      </c>
      <c r="H408" t="n">
        <v>0</v>
      </c>
      <c r="I408" t="n">
        <v>0</v>
      </c>
      <c r="J408" t="n">
        <v>0</v>
      </c>
      <c r="K408" t="n">
        <v>0</v>
      </c>
      <c r="L408" t="n">
        <v>0</v>
      </c>
      <c r="M408" t="n">
        <v>0</v>
      </c>
      <c r="N408" t="n">
        <v>0</v>
      </c>
      <c r="O408" t="n">
        <v>0</v>
      </c>
      <c r="P408" t="n">
        <v>0</v>
      </c>
      <c r="Q408" t="n">
        <v>0</v>
      </c>
      <c r="R408" s="2" t="inlineStr"/>
    </row>
    <row r="409" ht="15" customHeight="1">
      <c r="A409" t="inlineStr">
        <is>
          <t>A 53934-2024</t>
        </is>
      </c>
      <c r="B409" s="1" t="n">
        <v>45615</v>
      </c>
      <c r="C409" s="1" t="n">
        <v>45937</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56009-2024</t>
        </is>
      </c>
      <c r="B410" s="1" t="n">
        <v>45623.80864583333</v>
      </c>
      <c r="C410" s="1" t="n">
        <v>45937</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42338-2023</t>
        </is>
      </c>
      <c r="B411" s="1" t="n">
        <v>45180</v>
      </c>
      <c r="C411" s="1" t="n">
        <v>45937</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39849-2025</t>
        </is>
      </c>
      <c r="B412" s="1" t="n">
        <v>45891.58502314815</v>
      </c>
      <c r="C412" s="1" t="n">
        <v>45937</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32379-2025</t>
        </is>
      </c>
      <c r="B413" s="1" t="n">
        <v>45837</v>
      </c>
      <c r="C413" s="1" t="n">
        <v>45937</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1446-2025</t>
        </is>
      </c>
      <c r="B414" s="1" t="n">
        <v>45669.86035879629</v>
      </c>
      <c r="C414" s="1" t="n">
        <v>45937</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39752-2025</t>
        </is>
      </c>
      <c r="B415" s="1" t="n">
        <v>45891</v>
      </c>
      <c r="C415" s="1" t="n">
        <v>45937</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32467-2025</t>
        </is>
      </c>
      <c r="B416" s="1" t="n">
        <v>45838.42111111111</v>
      </c>
      <c r="C416" s="1" t="n">
        <v>45937</v>
      </c>
      <c r="D416" t="inlineStr">
        <is>
          <t>GOTLANDS LÄN</t>
        </is>
      </c>
      <c r="E416" t="inlineStr">
        <is>
          <t>GOTLAND</t>
        </is>
      </c>
      <c r="G416" t="n">
        <v>4.3</v>
      </c>
      <c r="H416" t="n">
        <v>0</v>
      </c>
      <c r="I416" t="n">
        <v>0</v>
      </c>
      <c r="J416" t="n">
        <v>0</v>
      </c>
      <c r="K416" t="n">
        <v>0</v>
      </c>
      <c r="L416" t="n">
        <v>0</v>
      </c>
      <c r="M416" t="n">
        <v>0</v>
      </c>
      <c r="N416" t="n">
        <v>0</v>
      </c>
      <c r="O416" t="n">
        <v>0</v>
      </c>
      <c r="P416" t="n">
        <v>0</v>
      </c>
      <c r="Q416" t="n">
        <v>0</v>
      </c>
      <c r="R416" s="2" t="inlineStr"/>
    </row>
    <row r="417" ht="15" customHeight="1">
      <c r="A417" t="inlineStr">
        <is>
          <t>A 32378-2025</t>
        </is>
      </c>
      <c r="B417" s="1" t="n">
        <v>45837</v>
      </c>
      <c r="C417" s="1" t="n">
        <v>45937</v>
      </c>
      <c r="D417" t="inlineStr">
        <is>
          <t>GOTLANDS LÄN</t>
        </is>
      </c>
      <c r="E417" t="inlineStr">
        <is>
          <t>GOTLAND</t>
        </is>
      </c>
      <c r="G417" t="n">
        <v>4.1</v>
      </c>
      <c r="H417" t="n">
        <v>0</v>
      </c>
      <c r="I417" t="n">
        <v>0</v>
      </c>
      <c r="J417" t="n">
        <v>0</v>
      </c>
      <c r="K417" t="n">
        <v>0</v>
      </c>
      <c r="L417" t="n">
        <v>0</v>
      </c>
      <c r="M417" t="n">
        <v>0</v>
      </c>
      <c r="N417" t="n">
        <v>0</v>
      </c>
      <c r="O417" t="n">
        <v>0</v>
      </c>
      <c r="P417" t="n">
        <v>0</v>
      </c>
      <c r="Q417" t="n">
        <v>0</v>
      </c>
      <c r="R417" s="2" t="inlineStr"/>
    </row>
    <row r="418" ht="15" customHeight="1">
      <c r="A418" t="inlineStr">
        <is>
          <t>A 16109-2025</t>
        </is>
      </c>
      <c r="B418" s="1" t="n">
        <v>45750</v>
      </c>
      <c r="C418" s="1" t="n">
        <v>45937</v>
      </c>
      <c r="D418" t="inlineStr">
        <is>
          <t>GOTLANDS LÄN</t>
        </is>
      </c>
      <c r="E418" t="inlineStr">
        <is>
          <t>GOTLAND</t>
        </is>
      </c>
      <c r="G418" t="n">
        <v>4.9</v>
      </c>
      <c r="H418" t="n">
        <v>0</v>
      </c>
      <c r="I418" t="n">
        <v>0</v>
      </c>
      <c r="J418" t="n">
        <v>0</v>
      </c>
      <c r="K418" t="n">
        <v>0</v>
      </c>
      <c r="L418" t="n">
        <v>0</v>
      </c>
      <c r="M418" t="n">
        <v>0</v>
      </c>
      <c r="N418" t="n">
        <v>0</v>
      </c>
      <c r="O418" t="n">
        <v>0</v>
      </c>
      <c r="P418" t="n">
        <v>0</v>
      </c>
      <c r="Q418" t="n">
        <v>0</v>
      </c>
      <c r="R418" s="2" t="inlineStr"/>
    </row>
    <row r="419" ht="15" customHeight="1">
      <c r="A419" t="inlineStr">
        <is>
          <t>A 33078-2025</t>
        </is>
      </c>
      <c r="B419" s="1" t="n">
        <v>45840</v>
      </c>
      <c r="C419" s="1" t="n">
        <v>45937</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31264-2021</t>
        </is>
      </c>
      <c r="B420" s="1" t="n">
        <v>44368</v>
      </c>
      <c r="C420" s="1" t="n">
        <v>45937</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38649-2025</t>
        </is>
      </c>
      <c r="B421" s="1" t="n">
        <v>45884</v>
      </c>
      <c r="C421" s="1" t="n">
        <v>45937</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43901-2023</t>
        </is>
      </c>
      <c r="B422" s="1" t="n">
        <v>45187</v>
      </c>
      <c r="C422" s="1" t="n">
        <v>45937</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39816-2025</t>
        </is>
      </c>
      <c r="B423" s="1" t="n">
        <v>45891</v>
      </c>
      <c r="C423" s="1" t="n">
        <v>45937</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40103-2025</t>
        </is>
      </c>
      <c r="B424" s="1" t="n">
        <v>45894.4880324074</v>
      </c>
      <c r="C424" s="1" t="n">
        <v>45937</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33007-2025</t>
        </is>
      </c>
      <c r="B425" s="1" t="n">
        <v>45840</v>
      </c>
      <c r="C425" s="1" t="n">
        <v>45937</v>
      </c>
      <c r="D425" t="inlineStr">
        <is>
          <t>GOTLANDS LÄN</t>
        </is>
      </c>
      <c r="E425" t="inlineStr">
        <is>
          <t>GOTLAND</t>
        </is>
      </c>
      <c r="G425" t="n">
        <v>4.9</v>
      </c>
      <c r="H425" t="n">
        <v>0</v>
      </c>
      <c r="I425" t="n">
        <v>0</v>
      </c>
      <c r="J425" t="n">
        <v>0</v>
      </c>
      <c r="K425" t="n">
        <v>0</v>
      </c>
      <c r="L425" t="n">
        <v>0</v>
      </c>
      <c r="M425" t="n">
        <v>0</v>
      </c>
      <c r="N425" t="n">
        <v>0</v>
      </c>
      <c r="O425" t="n">
        <v>0</v>
      </c>
      <c r="P425" t="n">
        <v>0</v>
      </c>
      <c r="Q425" t="n">
        <v>0</v>
      </c>
      <c r="R425" s="2" t="inlineStr"/>
    </row>
    <row r="426" ht="15" customHeight="1">
      <c r="A426" t="inlineStr">
        <is>
          <t>A 33011-2025</t>
        </is>
      </c>
      <c r="B426" s="1" t="n">
        <v>45840</v>
      </c>
      <c r="C426" s="1" t="n">
        <v>45937</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10746-2025</t>
        </is>
      </c>
      <c r="B427" s="1" t="n">
        <v>45722.42766203704</v>
      </c>
      <c r="C427" s="1" t="n">
        <v>45937</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16501-2023</t>
        </is>
      </c>
      <c r="B428" s="1" t="n">
        <v>45029</v>
      </c>
      <c r="C428" s="1" t="n">
        <v>45937</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581-2023</t>
        </is>
      </c>
      <c r="B429" s="1" t="n">
        <v>44930</v>
      </c>
      <c r="C429" s="1" t="n">
        <v>45937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61386-2023</t>
        </is>
      </c>
      <c r="B430" s="1" t="n">
        <v>45264</v>
      </c>
      <c r="C430" s="1" t="n">
        <v>45937</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873-2024</t>
        </is>
      </c>
      <c r="B431" s="1" t="n">
        <v>45301</v>
      </c>
      <c r="C431" s="1" t="n">
        <v>45937</v>
      </c>
      <c r="D431" t="inlineStr">
        <is>
          <t>GOTLANDS LÄN</t>
        </is>
      </c>
      <c r="E431" t="inlineStr">
        <is>
          <t>GOTLAND</t>
        </is>
      </c>
      <c r="G431" t="n">
        <v>2.7</v>
      </c>
      <c r="H431" t="n">
        <v>0</v>
      </c>
      <c r="I431" t="n">
        <v>0</v>
      </c>
      <c r="J431" t="n">
        <v>0</v>
      </c>
      <c r="K431" t="n">
        <v>0</v>
      </c>
      <c r="L431" t="n">
        <v>0</v>
      </c>
      <c r="M431" t="n">
        <v>0</v>
      </c>
      <c r="N431" t="n">
        <v>0</v>
      </c>
      <c r="O431" t="n">
        <v>0</v>
      </c>
      <c r="P431" t="n">
        <v>0</v>
      </c>
      <c r="Q431" t="n">
        <v>0</v>
      </c>
      <c r="R431" s="2" t="inlineStr"/>
    </row>
    <row r="432" ht="15" customHeight="1">
      <c r="A432" t="inlineStr">
        <is>
          <t>A 49411-2023</t>
        </is>
      </c>
      <c r="B432" s="1" t="n">
        <v>45205</v>
      </c>
      <c r="C432" s="1" t="n">
        <v>45937</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45937</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22275-2023</t>
        </is>
      </c>
      <c r="B434" s="1" t="n">
        <v>45070.39875</v>
      </c>
      <c r="C434" s="1" t="n">
        <v>45937</v>
      </c>
      <c r="D434" t="inlineStr">
        <is>
          <t>GOTLANDS LÄN</t>
        </is>
      </c>
      <c r="E434" t="inlineStr">
        <is>
          <t>GOTLAND</t>
        </is>
      </c>
      <c r="G434" t="n">
        <v>7.2</v>
      </c>
      <c r="H434" t="n">
        <v>0</v>
      </c>
      <c r="I434" t="n">
        <v>0</v>
      </c>
      <c r="J434" t="n">
        <v>0</v>
      </c>
      <c r="K434" t="n">
        <v>0</v>
      </c>
      <c r="L434" t="n">
        <v>0</v>
      </c>
      <c r="M434" t="n">
        <v>0</v>
      </c>
      <c r="N434" t="n">
        <v>0</v>
      </c>
      <c r="O434" t="n">
        <v>0</v>
      </c>
      <c r="P434" t="n">
        <v>0</v>
      </c>
      <c r="Q434" t="n">
        <v>0</v>
      </c>
      <c r="R434" s="2" t="inlineStr"/>
    </row>
    <row r="435" ht="15" customHeight="1">
      <c r="A435" t="inlineStr">
        <is>
          <t>A 12322-2025</t>
        </is>
      </c>
      <c r="B435" s="1" t="n">
        <v>45730</v>
      </c>
      <c r="C435" s="1" t="n">
        <v>45937</v>
      </c>
      <c r="D435" t="inlineStr">
        <is>
          <t>GOTLANDS LÄN</t>
        </is>
      </c>
      <c r="E435" t="inlineStr">
        <is>
          <t>GOTLAND</t>
        </is>
      </c>
      <c r="G435" t="n">
        <v>1.4</v>
      </c>
      <c r="H435" t="n">
        <v>0</v>
      </c>
      <c r="I435" t="n">
        <v>0</v>
      </c>
      <c r="J435" t="n">
        <v>0</v>
      </c>
      <c r="K435" t="n">
        <v>0</v>
      </c>
      <c r="L435" t="n">
        <v>0</v>
      </c>
      <c r="M435" t="n">
        <v>0</v>
      </c>
      <c r="N435" t="n">
        <v>0</v>
      </c>
      <c r="O435" t="n">
        <v>0</v>
      </c>
      <c r="P435" t="n">
        <v>0</v>
      </c>
      <c r="Q435" t="n">
        <v>0</v>
      </c>
      <c r="R435" s="2" t="inlineStr"/>
    </row>
    <row r="436" ht="15" customHeight="1">
      <c r="A436" t="inlineStr">
        <is>
          <t>A 61962-2024</t>
        </is>
      </c>
      <c r="B436" s="1" t="n">
        <v>45653.54340277778</v>
      </c>
      <c r="C436" s="1" t="n">
        <v>45937</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14797-2024</t>
        </is>
      </c>
      <c r="B437" s="1" t="n">
        <v>45397.87030092593</v>
      </c>
      <c r="C437" s="1" t="n">
        <v>45937</v>
      </c>
      <c r="D437" t="inlineStr">
        <is>
          <t>GOTLANDS LÄN</t>
        </is>
      </c>
      <c r="E437" t="inlineStr">
        <is>
          <t>GOTLAND</t>
        </is>
      </c>
      <c r="G437" t="n">
        <v>8.1</v>
      </c>
      <c r="H437" t="n">
        <v>0</v>
      </c>
      <c r="I437" t="n">
        <v>0</v>
      </c>
      <c r="J437" t="n">
        <v>0</v>
      </c>
      <c r="K437" t="n">
        <v>0</v>
      </c>
      <c r="L437" t="n">
        <v>0</v>
      </c>
      <c r="M437" t="n">
        <v>0</v>
      </c>
      <c r="N437" t="n">
        <v>0</v>
      </c>
      <c r="O437" t="n">
        <v>0</v>
      </c>
      <c r="P437" t="n">
        <v>0</v>
      </c>
      <c r="Q437" t="n">
        <v>0</v>
      </c>
      <c r="R437" s="2" t="inlineStr"/>
    </row>
    <row r="438" ht="15" customHeight="1">
      <c r="A438" t="inlineStr">
        <is>
          <t>A 999-2024</t>
        </is>
      </c>
      <c r="B438" s="1" t="n">
        <v>45301</v>
      </c>
      <c r="C438" s="1" t="n">
        <v>45937</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10492-2023</t>
        </is>
      </c>
      <c r="B439" s="1" t="n">
        <v>44987</v>
      </c>
      <c r="C439" s="1" t="n">
        <v>45937</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61596-2023</t>
        </is>
      </c>
      <c r="B440" s="1" t="n">
        <v>45265</v>
      </c>
      <c r="C440" s="1" t="n">
        <v>45937</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14638-2025</t>
        </is>
      </c>
      <c r="B441" s="1" t="n">
        <v>45742</v>
      </c>
      <c r="C441" s="1" t="n">
        <v>45937</v>
      </c>
      <c r="D441" t="inlineStr">
        <is>
          <t>GOTLANDS LÄN</t>
        </is>
      </c>
      <c r="E441" t="inlineStr">
        <is>
          <t>GOTLAND</t>
        </is>
      </c>
      <c r="G441" t="n">
        <v>13.4</v>
      </c>
      <c r="H441" t="n">
        <v>0</v>
      </c>
      <c r="I441" t="n">
        <v>0</v>
      </c>
      <c r="J441" t="n">
        <v>0</v>
      </c>
      <c r="K441" t="n">
        <v>0</v>
      </c>
      <c r="L441" t="n">
        <v>0</v>
      </c>
      <c r="M441" t="n">
        <v>0</v>
      </c>
      <c r="N441" t="n">
        <v>0</v>
      </c>
      <c r="O441" t="n">
        <v>0</v>
      </c>
      <c r="P441" t="n">
        <v>0</v>
      </c>
      <c r="Q441" t="n">
        <v>0</v>
      </c>
      <c r="R441" s="2" t="inlineStr"/>
    </row>
    <row r="442" ht="15" customHeight="1">
      <c r="A442" t="inlineStr">
        <is>
          <t>A 15413-2025</t>
        </is>
      </c>
      <c r="B442" s="1" t="n">
        <v>45747.451875</v>
      </c>
      <c r="C442" s="1" t="n">
        <v>45937</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60675-2021</t>
        </is>
      </c>
      <c r="B443" s="1" t="n">
        <v>44496.64855324074</v>
      </c>
      <c r="C443" s="1" t="n">
        <v>45937</v>
      </c>
      <c r="D443" t="inlineStr">
        <is>
          <t>GOTLANDS LÄN</t>
        </is>
      </c>
      <c r="E443" t="inlineStr">
        <is>
          <t>GOTLAND</t>
        </is>
      </c>
      <c r="G443" t="n">
        <v>4.6</v>
      </c>
      <c r="H443" t="n">
        <v>0</v>
      </c>
      <c r="I443" t="n">
        <v>0</v>
      </c>
      <c r="J443" t="n">
        <v>0</v>
      </c>
      <c r="K443" t="n">
        <v>0</v>
      </c>
      <c r="L443" t="n">
        <v>0</v>
      </c>
      <c r="M443" t="n">
        <v>0</v>
      </c>
      <c r="N443" t="n">
        <v>0</v>
      </c>
      <c r="O443" t="n">
        <v>0</v>
      </c>
      <c r="P443" t="n">
        <v>0</v>
      </c>
      <c r="Q443" t="n">
        <v>0</v>
      </c>
      <c r="R443" s="2" t="inlineStr"/>
    </row>
    <row r="444" ht="15" customHeight="1">
      <c r="A444" t="inlineStr">
        <is>
          <t>A 37728-2024</t>
        </is>
      </c>
      <c r="B444" s="1" t="n">
        <v>45541</v>
      </c>
      <c r="C444" s="1" t="n">
        <v>45937</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5909-2025</t>
        </is>
      </c>
      <c r="B445" s="1" t="n">
        <v>45695.40634259259</v>
      </c>
      <c r="C445" s="1" t="n">
        <v>45937</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10653-2023</t>
        </is>
      </c>
      <c r="B446" s="1" t="n">
        <v>44988.48859953704</v>
      </c>
      <c r="C446" s="1" t="n">
        <v>45937</v>
      </c>
      <c r="D446" t="inlineStr">
        <is>
          <t>GOTLANDS LÄN</t>
        </is>
      </c>
      <c r="E446" t="inlineStr">
        <is>
          <t>GOTLAND</t>
        </is>
      </c>
      <c r="F446" t="inlineStr">
        <is>
          <t>Kyrkan</t>
        </is>
      </c>
      <c r="G446" t="n">
        <v>3</v>
      </c>
      <c r="H446" t="n">
        <v>0</v>
      </c>
      <c r="I446" t="n">
        <v>0</v>
      </c>
      <c r="J446" t="n">
        <v>0</v>
      </c>
      <c r="K446" t="n">
        <v>0</v>
      </c>
      <c r="L446" t="n">
        <v>0</v>
      </c>
      <c r="M446" t="n">
        <v>0</v>
      </c>
      <c r="N446" t="n">
        <v>0</v>
      </c>
      <c r="O446" t="n">
        <v>0</v>
      </c>
      <c r="P446" t="n">
        <v>0</v>
      </c>
      <c r="Q446" t="n">
        <v>0</v>
      </c>
      <c r="R446" s="2" t="inlineStr"/>
    </row>
    <row r="447" ht="15" customHeight="1">
      <c r="A447" t="inlineStr">
        <is>
          <t>A 35123-2025</t>
        </is>
      </c>
      <c r="B447" s="1" t="n">
        <v>45852.614375</v>
      </c>
      <c r="C447" s="1" t="n">
        <v>45937</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22287-2022</t>
        </is>
      </c>
      <c r="B448" s="1" t="n">
        <v>44712</v>
      </c>
      <c r="C448" s="1" t="n">
        <v>45937</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35096-2025</t>
        </is>
      </c>
      <c r="B449" s="1" t="n">
        <v>45852.54356481481</v>
      </c>
      <c r="C449" s="1" t="n">
        <v>45937</v>
      </c>
      <c r="D449" t="inlineStr">
        <is>
          <t>GOTLANDS LÄN</t>
        </is>
      </c>
      <c r="E449" t="inlineStr">
        <is>
          <t>GOTLAND</t>
        </is>
      </c>
      <c r="F449" t="inlineStr">
        <is>
          <t>Kyrkan</t>
        </is>
      </c>
      <c r="G449" t="n">
        <v>1</v>
      </c>
      <c r="H449" t="n">
        <v>0</v>
      </c>
      <c r="I449" t="n">
        <v>0</v>
      </c>
      <c r="J449" t="n">
        <v>0</v>
      </c>
      <c r="K449" t="n">
        <v>0</v>
      </c>
      <c r="L449" t="n">
        <v>0</v>
      </c>
      <c r="M449" t="n">
        <v>0</v>
      </c>
      <c r="N449" t="n">
        <v>0</v>
      </c>
      <c r="O449" t="n">
        <v>0</v>
      </c>
      <c r="P449" t="n">
        <v>0</v>
      </c>
      <c r="Q449" t="n">
        <v>0</v>
      </c>
      <c r="R449" s="2" t="inlineStr"/>
    </row>
    <row r="450" ht="15" customHeight="1">
      <c r="A450" t="inlineStr">
        <is>
          <t>A 4990-2025</t>
        </is>
      </c>
      <c r="B450" s="1" t="n">
        <v>45691</v>
      </c>
      <c r="C450" s="1" t="n">
        <v>45937</v>
      </c>
      <c r="D450" t="inlineStr">
        <is>
          <t>GOTLANDS LÄN</t>
        </is>
      </c>
      <c r="E450" t="inlineStr">
        <is>
          <t>GOTLAND</t>
        </is>
      </c>
      <c r="G450" t="n">
        <v>7.7</v>
      </c>
      <c r="H450" t="n">
        <v>0</v>
      </c>
      <c r="I450" t="n">
        <v>0</v>
      </c>
      <c r="J450" t="n">
        <v>0</v>
      </c>
      <c r="K450" t="n">
        <v>0</v>
      </c>
      <c r="L450" t="n">
        <v>0</v>
      </c>
      <c r="M450" t="n">
        <v>0</v>
      </c>
      <c r="N450" t="n">
        <v>0</v>
      </c>
      <c r="O450" t="n">
        <v>0</v>
      </c>
      <c r="P450" t="n">
        <v>0</v>
      </c>
      <c r="Q450" t="n">
        <v>0</v>
      </c>
      <c r="R450" s="2" t="inlineStr"/>
    </row>
    <row r="451" ht="15" customHeight="1">
      <c r="A451" t="inlineStr">
        <is>
          <t>A 54074-2022</t>
        </is>
      </c>
      <c r="B451" s="1" t="n">
        <v>44881</v>
      </c>
      <c r="C451" s="1" t="n">
        <v>45937</v>
      </c>
      <c r="D451" t="inlineStr">
        <is>
          <t>GOTLANDS LÄN</t>
        </is>
      </c>
      <c r="E451" t="inlineStr">
        <is>
          <t>GOTLAND</t>
        </is>
      </c>
      <c r="G451" t="n">
        <v>0.9</v>
      </c>
      <c r="H451" t="n">
        <v>0</v>
      </c>
      <c r="I451" t="n">
        <v>0</v>
      </c>
      <c r="J451" t="n">
        <v>0</v>
      </c>
      <c r="K451" t="n">
        <v>0</v>
      </c>
      <c r="L451" t="n">
        <v>0</v>
      </c>
      <c r="M451" t="n">
        <v>0</v>
      </c>
      <c r="N451" t="n">
        <v>0</v>
      </c>
      <c r="O451" t="n">
        <v>0</v>
      </c>
      <c r="P451" t="n">
        <v>0</v>
      </c>
      <c r="Q451" t="n">
        <v>0</v>
      </c>
      <c r="R451" s="2" t="inlineStr"/>
    </row>
    <row r="452" ht="15" customHeight="1">
      <c r="A452" t="inlineStr">
        <is>
          <t>A 40372-2025</t>
        </is>
      </c>
      <c r="B452" s="1" t="n">
        <v>45895.5162037037</v>
      </c>
      <c r="C452" s="1" t="n">
        <v>45937</v>
      </c>
      <c r="D452" t="inlineStr">
        <is>
          <t>GOTLANDS LÄN</t>
        </is>
      </c>
      <c r="E452" t="inlineStr">
        <is>
          <t>GOTLAND</t>
        </is>
      </c>
      <c r="G452" t="n">
        <v>3.3</v>
      </c>
      <c r="H452" t="n">
        <v>0</v>
      </c>
      <c r="I452" t="n">
        <v>0</v>
      </c>
      <c r="J452" t="n">
        <v>0</v>
      </c>
      <c r="K452" t="n">
        <v>0</v>
      </c>
      <c r="L452" t="n">
        <v>0</v>
      </c>
      <c r="M452" t="n">
        <v>0</v>
      </c>
      <c r="N452" t="n">
        <v>0</v>
      </c>
      <c r="O452" t="n">
        <v>0</v>
      </c>
      <c r="P452" t="n">
        <v>0</v>
      </c>
      <c r="Q452" t="n">
        <v>0</v>
      </c>
      <c r="R452" s="2" t="inlineStr"/>
    </row>
    <row r="453" ht="15" customHeight="1">
      <c r="A453" t="inlineStr">
        <is>
          <t>A 40373-2025</t>
        </is>
      </c>
      <c r="B453" s="1" t="n">
        <v>45895.51821759259</v>
      </c>
      <c r="C453" s="1" t="n">
        <v>45937</v>
      </c>
      <c r="D453" t="inlineStr">
        <is>
          <t>GOTLANDS LÄN</t>
        </is>
      </c>
      <c r="E453" t="inlineStr">
        <is>
          <t>GOTLAND</t>
        </is>
      </c>
      <c r="G453" t="n">
        <v>0.6</v>
      </c>
      <c r="H453" t="n">
        <v>0</v>
      </c>
      <c r="I453" t="n">
        <v>0</v>
      </c>
      <c r="J453" t="n">
        <v>0</v>
      </c>
      <c r="K453" t="n">
        <v>0</v>
      </c>
      <c r="L453" t="n">
        <v>0</v>
      </c>
      <c r="M453" t="n">
        <v>0</v>
      </c>
      <c r="N453" t="n">
        <v>0</v>
      </c>
      <c r="O453" t="n">
        <v>0</v>
      </c>
      <c r="P453" t="n">
        <v>0</v>
      </c>
      <c r="Q453" t="n">
        <v>0</v>
      </c>
      <c r="R453" s="2" t="inlineStr"/>
    </row>
    <row r="454" ht="15" customHeight="1">
      <c r="A454" t="inlineStr">
        <is>
          <t>A 30104-2025</t>
        </is>
      </c>
      <c r="B454" s="1" t="n">
        <v>45826.68806712963</v>
      </c>
      <c r="C454" s="1" t="n">
        <v>45937</v>
      </c>
      <c r="D454" t="inlineStr">
        <is>
          <t>GOTLANDS LÄN</t>
        </is>
      </c>
      <c r="E454" t="inlineStr">
        <is>
          <t>GOTLAND</t>
        </is>
      </c>
      <c r="G454" t="n">
        <v>15.4</v>
      </c>
      <c r="H454" t="n">
        <v>0</v>
      </c>
      <c r="I454" t="n">
        <v>0</v>
      </c>
      <c r="J454" t="n">
        <v>0</v>
      </c>
      <c r="K454" t="n">
        <v>0</v>
      </c>
      <c r="L454" t="n">
        <v>0</v>
      </c>
      <c r="M454" t="n">
        <v>0</v>
      </c>
      <c r="N454" t="n">
        <v>0</v>
      </c>
      <c r="O454" t="n">
        <v>0</v>
      </c>
      <c r="P454" t="n">
        <v>0</v>
      </c>
      <c r="Q454" t="n">
        <v>0</v>
      </c>
      <c r="R454" s="2" t="inlineStr"/>
    </row>
    <row r="455" ht="15" customHeight="1">
      <c r="A455" t="inlineStr">
        <is>
          <t>A 40499-2025</t>
        </is>
      </c>
      <c r="B455" s="1" t="n">
        <v>45896.32517361111</v>
      </c>
      <c r="C455" s="1" t="n">
        <v>45937</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65249-2023</t>
        </is>
      </c>
      <c r="B456" s="1" t="n">
        <v>45290</v>
      </c>
      <c r="C456" s="1" t="n">
        <v>45937</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35290-2025</t>
        </is>
      </c>
      <c r="B457" s="1" t="n">
        <v>45854.38502314815</v>
      </c>
      <c r="C457" s="1" t="n">
        <v>45937</v>
      </c>
      <c r="D457" t="inlineStr">
        <is>
          <t>GOTLANDS LÄN</t>
        </is>
      </c>
      <c r="E457" t="inlineStr">
        <is>
          <t>GOTLAND</t>
        </is>
      </c>
      <c r="G457" t="n">
        <v>5.4</v>
      </c>
      <c r="H457" t="n">
        <v>0</v>
      </c>
      <c r="I457" t="n">
        <v>0</v>
      </c>
      <c r="J457" t="n">
        <v>0</v>
      </c>
      <c r="K457" t="n">
        <v>0</v>
      </c>
      <c r="L457" t="n">
        <v>0</v>
      </c>
      <c r="M457" t="n">
        <v>0</v>
      </c>
      <c r="N457" t="n">
        <v>0</v>
      </c>
      <c r="O457" t="n">
        <v>0</v>
      </c>
      <c r="P457" t="n">
        <v>0</v>
      </c>
      <c r="Q457" t="n">
        <v>0</v>
      </c>
      <c r="R457" s="2" t="inlineStr"/>
    </row>
    <row r="458" ht="15" customHeight="1">
      <c r="A458" t="inlineStr">
        <is>
          <t>A 32669-2024</t>
        </is>
      </c>
      <c r="B458" s="1" t="n">
        <v>45514</v>
      </c>
      <c r="C458" s="1" t="n">
        <v>45937</v>
      </c>
      <c r="D458" t="inlineStr">
        <is>
          <t>GOTLANDS LÄN</t>
        </is>
      </c>
      <c r="E458" t="inlineStr">
        <is>
          <t>GOTLAND</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43081-2022</t>
        </is>
      </c>
      <c r="B459" s="1" t="n">
        <v>44833</v>
      </c>
      <c r="C459" s="1" t="n">
        <v>45937</v>
      </c>
      <c r="D459" t="inlineStr">
        <is>
          <t>GOTLANDS LÄN</t>
        </is>
      </c>
      <c r="E459" t="inlineStr">
        <is>
          <t>GOTLAND</t>
        </is>
      </c>
      <c r="G459" t="n">
        <v>6.8</v>
      </c>
      <c r="H459" t="n">
        <v>0</v>
      </c>
      <c r="I459" t="n">
        <v>0</v>
      </c>
      <c r="J459" t="n">
        <v>0</v>
      </c>
      <c r="K459" t="n">
        <v>0</v>
      </c>
      <c r="L459" t="n">
        <v>0</v>
      </c>
      <c r="M459" t="n">
        <v>0</v>
      </c>
      <c r="N459" t="n">
        <v>0</v>
      </c>
      <c r="O459" t="n">
        <v>0</v>
      </c>
      <c r="P459" t="n">
        <v>0</v>
      </c>
      <c r="Q459" t="n">
        <v>0</v>
      </c>
      <c r="R459" s="2" t="inlineStr"/>
    </row>
    <row r="460" ht="15" customHeight="1">
      <c r="A460" t="inlineStr">
        <is>
          <t>A 32958-2021</t>
        </is>
      </c>
      <c r="B460" s="1" t="n">
        <v>44376</v>
      </c>
      <c r="C460" s="1" t="n">
        <v>45937</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5884-2025</t>
        </is>
      </c>
      <c r="B461" s="1" t="n">
        <v>45695.37482638889</v>
      </c>
      <c r="C461" s="1" t="n">
        <v>45937</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5897-2025</t>
        </is>
      </c>
      <c r="B462" s="1" t="n">
        <v>45695.39273148148</v>
      </c>
      <c r="C462" s="1" t="n">
        <v>45937</v>
      </c>
      <c r="D462" t="inlineStr">
        <is>
          <t>GOTLANDS LÄN</t>
        </is>
      </c>
      <c r="E462" t="inlineStr">
        <is>
          <t>GOTLAND</t>
        </is>
      </c>
      <c r="G462" t="n">
        <v>3.7</v>
      </c>
      <c r="H462" t="n">
        <v>0</v>
      </c>
      <c r="I462" t="n">
        <v>0</v>
      </c>
      <c r="J462" t="n">
        <v>0</v>
      </c>
      <c r="K462" t="n">
        <v>0</v>
      </c>
      <c r="L462" t="n">
        <v>0</v>
      </c>
      <c r="M462" t="n">
        <v>0</v>
      </c>
      <c r="N462" t="n">
        <v>0</v>
      </c>
      <c r="O462" t="n">
        <v>0</v>
      </c>
      <c r="P462" t="n">
        <v>0</v>
      </c>
      <c r="Q462" t="n">
        <v>0</v>
      </c>
      <c r="R462" s="2" t="inlineStr"/>
    </row>
    <row r="463" ht="15" customHeight="1">
      <c r="A463" t="inlineStr">
        <is>
          <t>A 35537-2025</t>
        </is>
      </c>
      <c r="B463" s="1" t="n">
        <v>45856</v>
      </c>
      <c r="C463" s="1" t="n">
        <v>45937</v>
      </c>
      <c r="D463" t="inlineStr">
        <is>
          <t>GOTLANDS LÄN</t>
        </is>
      </c>
      <c r="E463" t="inlineStr">
        <is>
          <t>GOTLAND</t>
        </is>
      </c>
      <c r="G463" t="n">
        <v>16.8</v>
      </c>
      <c r="H463" t="n">
        <v>0</v>
      </c>
      <c r="I463" t="n">
        <v>0</v>
      </c>
      <c r="J463" t="n">
        <v>0</v>
      </c>
      <c r="K463" t="n">
        <v>0</v>
      </c>
      <c r="L463" t="n">
        <v>0</v>
      </c>
      <c r="M463" t="n">
        <v>0</v>
      </c>
      <c r="N463" t="n">
        <v>0</v>
      </c>
      <c r="O463" t="n">
        <v>0</v>
      </c>
      <c r="P463" t="n">
        <v>0</v>
      </c>
      <c r="Q463" t="n">
        <v>0</v>
      </c>
      <c r="R463" s="2" t="inlineStr"/>
    </row>
    <row r="464" ht="15" customHeight="1">
      <c r="A464" t="inlineStr">
        <is>
          <t>A 35550-2025</t>
        </is>
      </c>
      <c r="B464" s="1" t="n">
        <v>45856.49324074074</v>
      </c>
      <c r="C464" s="1" t="n">
        <v>45937</v>
      </c>
      <c r="D464" t="inlineStr">
        <is>
          <t>GOTLANDS LÄN</t>
        </is>
      </c>
      <c r="E464" t="inlineStr">
        <is>
          <t>GOTLAND</t>
        </is>
      </c>
      <c r="G464" t="n">
        <v>3.2</v>
      </c>
      <c r="H464" t="n">
        <v>0</v>
      </c>
      <c r="I464" t="n">
        <v>0</v>
      </c>
      <c r="J464" t="n">
        <v>0</v>
      </c>
      <c r="K464" t="n">
        <v>0</v>
      </c>
      <c r="L464" t="n">
        <v>0</v>
      </c>
      <c r="M464" t="n">
        <v>0</v>
      </c>
      <c r="N464" t="n">
        <v>0</v>
      </c>
      <c r="O464" t="n">
        <v>0</v>
      </c>
      <c r="P464" t="n">
        <v>0</v>
      </c>
      <c r="Q464" t="n">
        <v>0</v>
      </c>
      <c r="R464" s="2" t="inlineStr"/>
    </row>
    <row r="465" ht="15" customHeight="1">
      <c r="A465" t="inlineStr">
        <is>
          <t>A 49693-2023</t>
        </is>
      </c>
      <c r="B465" s="1" t="n">
        <v>45212.38138888889</v>
      </c>
      <c r="C465" s="1" t="n">
        <v>45937</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49697-2023</t>
        </is>
      </c>
      <c r="B466" s="1" t="n">
        <v>45212.38909722222</v>
      </c>
      <c r="C466" s="1" t="n">
        <v>45937</v>
      </c>
      <c r="D466" t="inlineStr">
        <is>
          <t>GOTLANDS LÄN</t>
        </is>
      </c>
      <c r="E466" t="inlineStr">
        <is>
          <t>GOTLAND</t>
        </is>
      </c>
      <c r="G466" t="n">
        <v>4.4</v>
      </c>
      <c r="H466" t="n">
        <v>0</v>
      </c>
      <c r="I466" t="n">
        <v>0</v>
      </c>
      <c r="J466" t="n">
        <v>0</v>
      </c>
      <c r="K466" t="n">
        <v>0</v>
      </c>
      <c r="L466" t="n">
        <v>0</v>
      </c>
      <c r="M466" t="n">
        <v>0</v>
      </c>
      <c r="N466" t="n">
        <v>0</v>
      </c>
      <c r="O466" t="n">
        <v>0</v>
      </c>
      <c r="P466" t="n">
        <v>0</v>
      </c>
      <c r="Q466" t="n">
        <v>0</v>
      </c>
      <c r="R466" s="2" t="inlineStr"/>
    </row>
    <row r="467" ht="15" customHeight="1">
      <c r="A467" t="inlineStr">
        <is>
          <t>A 13910-2025</t>
        </is>
      </c>
      <c r="B467" s="1" t="n">
        <v>45737</v>
      </c>
      <c r="C467" s="1" t="n">
        <v>45937</v>
      </c>
      <c r="D467" t="inlineStr">
        <is>
          <t>GOTLANDS LÄN</t>
        </is>
      </c>
      <c r="E467" t="inlineStr">
        <is>
          <t>GOTLAND</t>
        </is>
      </c>
      <c r="F467" t="inlineStr">
        <is>
          <t>Kommuner</t>
        </is>
      </c>
      <c r="G467" t="n">
        <v>3.2</v>
      </c>
      <c r="H467" t="n">
        <v>0</v>
      </c>
      <c r="I467" t="n">
        <v>0</v>
      </c>
      <c r="J467" t="n">
        <v>0</v>
      </c>
      <c r="K467" t="n">
        <v>0</v>
      </c>
      <c r="L467" t="n">
        <v>0</v>
      </c>
      <c r="M467" t="n">
        <v>0</v>
      </c>
      <c r="N467" t="n">
        <v>0</v>
      </c>
      <c r="O467" t="n">
        <v>0</v>
      </c>
      <c r="P467" t="n">
        <v>0</v>
      </c>
      <c r="Q467" t="n">
        <v>0</v>
      </c>
      <c r="R467" s="2" t="inlineStr"/>
    </row>
    <row r="468" ht="15" customHeight="1">
      <c r="A468" t="inlineStr">
        <is>
          <t>A 17901-2023</t>
        </is>
      </c>
      <c r="B468" s="1" t="n">
        <v>45039</v>
      </c>
      <c r="C468" s="1" t="n">
        <v>45937</v>
      </c>
      <c r="D468" t="inlineStr">
        <is>
          <t>GOTLANDS LÄN</t>
        </is>
      </c>
      <c r="E468" t="inlineStr">
        <is>
          <t>GOTLAND</t>
        </is>
      </c>
      <c r="F468" t="inlineStr">
        <is>
          <t>Kyrkan</t>
        </is>
      </c>
      <c r="G468" t="n">
        <v>0.6</v>
      </c>
      <c r="H468" t="n">
        <v>0</v>
      </c>
      <c r="I468" t="n">
        <v>0</v>
      </c>
      <c r="J468" t="n">
        <v>0</v>
      </c>
      <c r="K468" t="n">
        <v>0</v>
      </c>
      <c r="L468" t="n">
        <v>0</v>
      </c>
      <c r="M468" t="n">
        <v>0</v>
      </c>
      <c r="N468" t="n">
        <v>0</v>
      </c>
      <c r="O468" t="n">
        <v>0</v>
      </c>
      <c r="P468" t="n">
        <v>0</v>
      </c>
      <c r="Q468" t="n">
        <v>0</v>
      </c>
      <c r="R468" s="2" t="inlineStr"/>
    </row>
    <row r="469" ht="15" customHeight="1">
      <c r="A469" t="inlineStr">
        <is>
          <t>A 41551-2025</t>
        </is>
      </c>
      <c r="B469" s="1" t="n">
        <v>45901.58854166666</v>
      </c>
      <c r="C469" s="1" t="n">
        <v>45937</v>
      </c>
      <c r="D469" t="inlineStr">
        <is>
          <t>GOTLANDS LÄN</t>
        </is>
      </c>
      <c r="E469" t="inlineStr">
        <is>
          <t>GOTLAND</t>
        </is>
      </c>
      <c r="G469" t="n">
        <v>5.6</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44467.49048611111</v>
      </c>
      <c r="C470" s="1" t="n">
        <v>45937</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41435-2025</t>
        </is>
      </c>
      <c r="B471" s="1" t="n">
        <v>45901.39974537037</v>
      </c>
      <c r="C471" s="1" t="n">
        <v>45937</v>
      </c>
      <c r="D471" t="inlineStr">
        <is>
          <t>GOTLANDS LÄN</t>
        </is>
      </c>
      <c r="E471" t="inlineStr">
        <is>
          <t>GOTLAND</t>
        </is>
      </c>
      <c r="G471" t="n">
        <v>4.9</v>
      </c>
      <c r="H471" t="n">
        <v>0</v>
      </c>
      <c r="I471" t="n">
        <v>0</v>
      </c>
      <c r="J471" t="n">
        <v>0</v>
      </c>
      <c r="K471" t="n">
        <v>0</v>
      </c>
      <c r="L471" t="n">
        <v>0</v>
      </c>
      <c r="M471" t="n">
        <v>0</v>
      </c>
      <c r="N471" t="n">
        <v>0</v>
      </c>
      <c r="O471" t="n">
        <v>0</v>
      </c>
      <c r="P471" t="n">
        <v>0</v>
      </c>
      <c r="Q471" t="n">
        <v>0</v>
      </c>
      <c r="R471" s="2" t="inlineStr"/>
    </row>
    <row r="472" ht="15" customHeight="1">
      <c r="A472" t="inlineStr">
        <is>
          <t>A 17780-2022</t>
        </is>
      </c>
      <c r="B472" s="1" t="n">
        <v>44682.82622685185</v>
      </c>
      <c r="C472" s="1" t="n">
        <v>45937</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45937</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17724-2024</t>
        </is>
      </c>
      <c r="B474" s="1" t="n">
        <v>45418.55096064815</v>
      </c>
      <c r="C474" s="1" t="n">
        <v>45937</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34312-2024</t>
        </is>
      </c>
      <c r="B475" s="1" t="n">
        <v>45524.69703703704</v>
      </c>
      <c r="C475" s="1" t="n">
        <v>45937</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15216-2025</t>
        </is>
      </c>
      <c r="B476" s="1" t="n">
        <v>45744</v>
      </c>
      <c r="C476" s="1" t="n">
        <v>45937</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43790-2024</t>
        </is>
      </c>
      <c r="B477" s="1" t="n">
        <v>45571</v>
      </c>
      <c r="C477" s="1" t="n">
        <v>45937</v>
      </c>
      <c r="D477" t="inlineStr">
        <is>
          <t>GOTLANDS LÄN</t>
        </is>
      </c>
      <c r="E477" t="inlineStr">
        <is>
          <t>GOTLAND</t>
        </is>
      </c>
      <c r="G477" t="n">
        <v>3.5</v>
      </c>
      <c r="H477" t="n">
        <v>0</v>
      </c>
      <c r="I477" t="n">
        <v>0</v>
      </c>
      <c r="J477" t="n">
        <v>0</v>
      </c>
      <c r="K477" t="n">
        <v>0</v>
      </c>
      <c r="L477" t="n">
        <v>0</v>
      </c>
      <c r="M477" t="n">
        <v>0</v>
      </c>
      <c r="N477" t="n">
        <v>0</v>
      </c>
      <c r="O477" t="n">
        <v>0</v>
      </c>
      <c r="P477" t="n">
        <v>0</v>
      </c>
      <c r="Q477" t="n">
        <v>0</v>
      </c>
      <c r="R477" s="2" t="inlineStr"/>
    </row>
    <row r="478" ht="15" customHeight="1">
      <c r="A478" t="inlineStr">
        <is>
          <t>A 15001-2025</t>
        </is>
      </c>
      <c r="B478" s="1" t="n">
        <v>45743</v>
      </c>
      <c r="C478" s="1" t="n">
        <v>45937</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30488-2025</t>
        </is>
      </c>
      <c r="B479" s="1" t="n">
        <v>45830</v>
      </c>
      <c r="C479" s="1" t="n">
        <v>45937</v>
      </c>
      <c r="D479" t="inlineStr">
        <is>
          <t>GOTLANDS LÄN</t>
        </is>
      </c>
      <c r="E479" t="inlineStr">
        <is>
          <t>GOTLAND</t>
        </is>
      </c>
      <c r="F479" t="inlineStr">
        <is>
          <t>Kyrkan</t>
        </is>
      </c>
      <c r="G479" t="n">
        <v>3.9</v>
      </c>
      <c r="H479" t="n">
        <v>0</v>
      </c>
      <c r="I479" t="n">
        <v>0</v>
      </c>
      <c r="J479" t="n">
        <v>0</v>
      </c>
      <c r="K479" t="n">
        <v>0</v>
      </c>
      <c r="L479" t="n">
        <v>0</v>
      </c>
      <c r="M479" t="n">
        <v>0</v>
      </c>
      <c r="N479" t="n">
        <v>0</v>
      </c>
      <c r="O479" t="n">
        <v>0</v>
      </c>
      <c r="P479" t="n">
        <v>0</v>
      </c>
      <c r="Q479" t="n">
        <v>0</v>
      </c>
      <c r="R479" s="2" t="inlineStr"/>
    </row>
    <row r="480" ht="15" customHeight="1">
      <c r="A480" t="inlineStr">
        <is>
          <t>A 42608-2025</t>
        </is>
      </c>
      <c r="B480" s="1" t="n">
        <v>45905</v>
      </c>
      <c r="C480" s="1" t="n">
        <v>45937</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17847-2025</t>
        </is>
      </c>
      <c r="B481" s="1" t="n">
        <v>45758</v>
      </c>
      <c r="C481" s="1" t="n">
        <v>45937</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59986-2022</t>
        </is>
      </c>
      <c r="B482" s="1" t="n">
        <v>44909</v>
      </c>
      <c r="C482" s="1" t="n">
        <v>45937</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14536-2021</t>
        </is>
      </c>
      <c r="B483" s="1" t="n">
        <v>44279.66168981481</v>
      </c>
      <c r="C483" s="1" t="n">
        <v>45937</v>
      </c>
      <c r="D483" t="inlineStr">
        <is>
          <t>GOTLANDS LÄN</t>
        </is>
      </c>
      <c r="E483" t="inlineStr">
        <is>
          <t>GOTLAND</t>
        </is>
      </c>
      <c r="G483" t="n">
        <v>8.5</v>
      </c>
      <c r="H483" t="n">
        <v>0</v>
      </c>
      <c r="I483" t="n">
        <v>0</v>
      </c>
      <c r="J483" t="n">
        <v>0</v>
      </c>
      <c r="K483" t="n">
        <v>0</v>
      </c>
      <c r="L483" t="n">
        <v>0</v>
      </c>
      <c r="M483" t="n">
        <v>0</v>
      </c>
      <c r="N483" t="n">
        <v>0</v>
      </c>
      <c r="O483" t="n">
        <v>0</v>
      </c>
      <c r="P483" t="n">
        <v>0</v>
      </c>
      <c r="Q483" t="n">
        <v>0</v>
      </c>
      <c r="R483" s="2" t="inlineStr"/>
    </row>
    <row r="484" ht="15" customHeight="1">
      <c r="A484" t="inlineStr">
        <is>
          <t>A 18742-2025</t>
        </is>
      </c>
      <c r="B484" s="1" t="n">
        <v>45763</v>
      </c>
      <c r="C484" s="1" t="n">
        <v>45937</v>
      </c>
      <c r="D484" t="inlineStr">
        <is>
          <t>GOTLANDS LÄN</t>
        </is>
      </c>
      <c r="E484" t="inlineStr">
        <is>
          <t>GOTLAND</t>
        </is>
      </c>
      <c r="G484" t="n">
        <v>3.4</v>
      </c>
      <c r="H484" t="n">
        <v>0</v>
      </c>
      <c r="I484" t="n">
        <v>0</v>
      </c>
      <c r="J484" t="n">
        <v>0</v>
      </c>
      <c r="K484" t="n">
        <v>0</v>
      </c>
      <c r="L484" t="n">
        <v>0</v>
      </c>
      <c r="M484" t="n">
        <v>0</v>
      </c>
      <c r="N484" t="n">
        <v>0</v>
      </c>
      <c r="O484" t="n">
        <v>0</v>
      </c>
      <c r="P484" t="n">
        <v>0</v>
      </c>
      <c r="Q484" t="n">
        <v>0</v>
      </c>
      <c r="R484" s="2" t="inlineStr"/>
    </row>
    <row r="485" ht="15" customHeight="1">
      <c r="A485" t="inlineStr">
        <is>
          <t>A 36319-2025</t>
        </is>
      </c>
      <c r="B485" s="1" t="n">
        <v>45868</v>
      </c>
      <c r="C485" s="1" t="n">
        <v>45937</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69112-2021</t>
        </is>
      </c>
      <c r="B486" s="1" t="n">
        <v>44530</v>
      </c>
      <c r="C486" s="1" t="n">
        <v>45937</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35129-2025</t>
        </is>
      </c>
      <c r="B487" s="1" t="n">
        <v>45852.63224537037</v>
      </c>
      <c r="C487" s="1" t="n">
        <v>45937</v>
      </c>
      <c r="D487" t="inlineStr">
        <is>
          <t>GOTLANDS LÄN</t>
        </is>
      </c>
      <c r="E487" t="inlineStr">
        <is>
          <t>GOTLAND</t>
        </is>
      </c>
      <c r="G487" t="n">
        <v>3.2</v>
      </c>
      <c r="H487" t="n">
        <v>0</v>
      </c>
      <c r="I487" t="n">
        <v>0</v>
      </c>
      <c r="J487" t="n">
        <v>0</v>
      </c>
      <c r="K487" t="n">
        <v>0</v>
      </c>
      <c r="L487" t="n">
        <v>0</v>
      </c>
      <c r="M487" t="n">
        <v>0</v>
      </c>
      <c r="N487" t="n">
        <v>0</v>
      </c>
      <c r="O487" t="n">
        <v>0</v>
      </c>
      <c r="P487" t="n">
        <v>0</v>
      </c>
      <c r="Q487" t="n">
        <v>0</v>
      </c>
      <c r="R487" s="2" t="inlineStr"/>
    </row>
    <row r="488" ht="15" customHeight="1">
      <c r="A488" t="inlineStr">
        <is>
          <t>A 7638-2025</t>
        </is>
      </c>
      <c r="B488" s="1" t="n">
        <v>45705.77306712963</v>
      </c>
      <c r="C488" s="1" t="n">
        <v>45937</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50482-2024</t>
        </is>
      </c>
      <c r="B489" s="1" t="n">
        <v>45601.48114583334</v>
      </c>
      <c r="C489" s="1" t="n">
        <v>45937</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1394-2023</t>
        </is>
      </c>
      <c r="B490" s="1" t="n">
        <v>44936.72997685185</v>
      </c>
      <c r="C490" s="1" t="n">
        <v>45937</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11874-2024</t>
        </is>
      </c>
      <c r="B491" s="1" t="n">
        <v>45376.46956018519</v>
      </c>
      <c r="C491" s="1" t="n">
        <v>45937</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42041-2024</t>
        </is>
      </c>
      <c r="B492" s="1" t="n">
        <v>45561</v>
      </c>
      <c r="C492" s="1" t="n">
        <v>45937</v>
      </c>
      <c r="D492" t="inlineStr">
        <is>
          <t>GOTLANDS LÄN</t>
        </is>
      </c>
      <c r="E492" t="inlineStr">
        <is>
          <t>GOTLAND</t>
        </is>
      </c>
      <c r="G492" t="n">
        <v>3.2</v>
      </c>
      <c r="H492" t="n">
        <v>0</v>
      </c>
      <c r="I492" t="n">
        <v>0</v>
      </c>
      <c r="J492" t="n">
        <v>0</v>
      </c>
      <c r="K492" t="n">
        <v>0</v>
      </c>
      <c r="L492" t="n">
        <v>0</v>
      </c>
      <c r="M492" t="n">
        <v>0</v>
      </c>
      <c r="N492" t="n">
        <v>0</v>
      </c>
      <c r="O492" t="n">
        <v>0</v>
      </c>
      <c r="P492" t="n">
        <v>0</v>
      </c>
      <c r="Q492" t="n">
        <v>0</v>
      </c>
      <c r="R492" s="2" t="inlineStr"/>
    </row>
    <row r="493" ht="15" customHeight="1">
      <c r="A493" t="inlineStr">
        <is>
          <t>A 61694-2023</t>
        </is>
      </c>
      <c r="B493" s="1" t="n">
        <v>45264</v>
      </c>
      <c r="C493" s="1" t="n">
        <v>45937</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58230-2024</t>
        </is>
      </c>
      <c r="B494" s="1" t="n">
        <v>45632.51625</v>
      </c>
      <c r="C494" s="1" t="n">
        <v>45937</v>
      </c>
      <c r="D494" t="inlineStr">
        <is>
          <t>GOTLANDS LÄN</t>
        </is>
      </c>
      <c r="E494" t="inlineStr">
        <is>
          <t>GOTLAND</t>
        </is>
      </c>
      <c r="G494" t="n">
        <v>7.3</v>
      </c>
      <c r="H494" t="n">
        <v>0</v>
      </c>
      <c r="I494" t="n">
        <v>0</v>
      </c>
      <c r="J494" t="n">
        <v>0</v>
      </c>
      <c r="K494" t="n">
        <v>0</v>
      </c>
      <c r="L494" t="n">
        <v>0</v>
      </c>
      <c r="M494" t="n">
        <v>0</v>
      </c>
      <c r="N494" t="n">
        <v>0</v>
      </c>
      <c r="O494" t="n">
        <v>0</v>
      </c>
      <c r="P494" t="n">
        <v>0</v>
      </c>
      <c r="Q494" t="n">
        <v>0</v>
      </c>
      <c r="R494" s="2" t="inlineStr"/>
    </row>
    <row r="495" ht="15" customHeight="1">
      <c r="A495" t="inlineStr">
        <is>
          <t>A 1462-2025</t>
        </is>
      </c>
      <c r="B495" s="1" t="n">
        <v>45670.36319444444</v>
      </c>
      <c r="C495" s="1" t="n">
        <v>45937</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25129-2023</t>
        </is>
      </c>
      <c r="B496" s="1" t="n">
        <v>45086.44261574074</v>
      </c>
      <c r="C496" s="1" t="n">
        <v>45937</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24192-2023</t>
        </is>
      </c>
      <c r="B497" s="1" t="n">
        <v>45079</v>
      </c>
      <c r="C497" s="1" t="n">
        <v>45937</v>
      </c>
      <c r="D497" t="inlineStr">
        <is>
          <t>GOTLANDS LÄN</t>
        </is>
      </c>
      <c r="E497" t="inlineStr">
        <is>
          <t>GOTLAND</t>
        </is>
      </c>
      <c r="G497" t="n">
        <v>2.1</v>
      </c>
      <c r="H497" t="n">
        <v>0</v>
      </c>
      <c r="I497" t="n">
        <v>0</v>
      </c>
      <c r="J497" t="n">
        <v>0</v>
      </c>
      <c r="K497" t="n">
        <v>0</v>
      </c>
      <c r="L497" t="n">
        <v>0</v>
      </c>
      <c r="M497" t="n">
        <v>0</v>
      </c>
      <c r="N497" t="n">
        <v>0</v>
      </c>
      <c r="O497" t="n">
        <v>0</v>
      </c>
      <c r="P497" t="n">
        <v>0</v>
      </c>
      <c r="Q497" t="n">
        <v>0</v>
      </c>
      <c r="R497" s="2" t="inlineStr"/>
    </row>
    <row r="498" ht="15" customHeight="1">
      <c r="A498" t="inlineStr">
        <is>
          <t>A 44410-2025</t>
        </is>
      </c>
      <c r="B498" s="1" t="n">
        <v>45916.53699074074</v>
      </c>
      <c r="C498" s="1" t="n">
        <v>45937</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44405-2025</t>
        </is>
      </c>
      <c r="B499" s="1" t="n">
        <v>45916.52405092592</v>
      </c>
      <c r="C499" s="1" t="n">
        <v>45937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64555-2023</t>
        </is>
      </c>
      <c r="B500" s="1" t="n">
        <v>45281</v>
      </c>
      <c r="C500" s="1" t="n">
        <v>45937</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64831-2023</t>
        </is>
      </c>
      <c r="B501" s="1" t="n">
        <v>45282.44924768519</v>
      </c>
      <c r="C501" s="1" t="n">
        <v>45937</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5386-2023</t>
        </is>
      </c>
      <c r="B502" s="1" t="n">
        <v>44959</v>
      </c>
      <c r="C502" s="1" t="n">
        <v>45937</v>
      </c>
      <c r="D502" t="inlineStr">
        <is>
          <t>GOTLANDS LÄN</t>
        </is>
      </c>
      <c r="E502" t="inlineStr">
        <is>
          <t>GOTLAND</t>
        </is>
      </c>
      <c r="G502" t="n">
        <v>5.4</v>
      </c>
      <c r="H502" t="n">
        <v>0</v>
      </c>
      <c r="I502" t="n">
        <v>0</v>
      </c>
      <c r="J502" t="n">
        <v>0</v>
      </c>
      <c r="K502" t="n">
        <v>0</v>
      </c>
      <c r="L502" t="n">
        <v>0</v>
      </c>
      <c r="M502" t="n">
        <v>0</v>
      </c>
      <c r="N502" t="n">
        <v>0</v>
      </c>
      <c r="O502" t="n">
        <v>0</v>
      </c>
      <c r="P502" t="n">
        <v>0</v>
      </c>
      <c r="Q502" t="n">
        <v>0</v>
      </c>
      <c r="R502" s="2" t="inlineStr"/>
    </row>
    <row r="503" ht="15" customHeight="1">
      <c r="A503" t="inlineStr">
        <is>
          <t>A 14804-2021</t>
        </is>
      </c>
      <c r="B503" s="1" t="n">
        <v>44280</v>
      </c>
      <c r="C503" s="1" t="n">
        <v>45937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999-2023</t>
        </is>
      </c>
      <c r="B504" s="1" t="n">
        <v>44935</v>
      </c>
      <c r="C504" s="1" t="n">
        <v>45937</v>
      </c>
      <c r="D504" t="inlineStr">
        <is>
          <t>GOTLANDS LÄN</t>
        </is>
      </c>
      <c r="E504" t="inlineStr">
        <is>
          <t>GOTLAND</t>
        </is>
      </c>
      <c r="G504" t="n">
        <v>4.7</v>
      </c>
      <c r="H504" t="n">
        <v>0</v>
      </c>
      <c r="I504" t="n">
        <v>0</v>
      </c>
      <c r="J504" t="n">
        <v>0</v>
      </c>
      <c r="K504" t="n">
        <v>0</v>
      </c>
      <c r="L504" t="n">
        <v>0</v>
      </c>
      <c r="M504" t="n">
        <v>0</v>
      </c>
      <c r="N504" t="n">
        <v>0</v>
      </c>
      <c r="O504" t="n">
        <v>0</v>
      </c>
      <c r="P504" t="n">
        <v>0</v>
      </c>
      <c r="Q504" t="n">
        <v>0</v>
      </c>
      <c r="R504" s="2" t="inlineStr"/>
    </row>
    <row r="505" ht="15" customHeight="1">
      <c r="A505" t="inlineStr">
        <is>
          <t>A 7026-2023</t>
        </is>
      </c>
      <c r="B505" s="1" t="n">
        <v>44968.30340277778</v>
      </c>
      <c r="C505" s="1" t="n">
        <v>45937</v>
      </c>
      <c r="D505" t="inlineStr">
        <is>
          <t>GOTLANDS LÄN</t>
        </is>
      </c>
      <c r="E505" t="inlineStr">
        <is>
          <t>GOTLAND</t>
        </is>
      </c>
      <c r="G505" t="n">
        <v>2.9</v>
      </c>
      <c r="H505" t="n">
        <v>0</v>
      </c>
      <c r="I505" t="n">
        <v>0</v>
      </c>
      <c r="J505" t="n">
        <v>0</v>
      </c>
      <c r="K505" t="n">
        <v>0</v>
      </c>
      <c r="L505" t="n">
        <v>0</v>
      </c>
      <c r="M505" t="n">
        <v>0</v>
      </c>
      <c r="N505" t="n">
        <v>0</v>
      </c>
      <c r="O505" t="n">
        <v>0</v>
      </c>
      <c r="P505" t="n">
        <v>0</v>
      </c>
      <c r="Q505" t="n">
        <v>0</v>
      </c>
      <c r="R505" s="2" t="inlineStr"/>
    </row>
    <row r="506" ht="15" customHeight="1">
      <c r="A506" t="inlineStr">
        <is>
          <t>A 20855-2023</t>
        </is>
      </c>
      <c r="B506" s="1" t="n">
        <v>45058.82172453704</v>
      </c>
      <c r="C506" s="1" t="n">
        <v>45937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27602-2023</t>
        </is>
      </c>
      <c r="B507" s="1" t="n">
        <v>45097</v>
      </c>
      <c r="C507" s="1" t="n">
        <v>45937</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43911-2025</t>
        </is>
      </c>
      <c r="B508" s="1" t="n">
        <v>45914.3881712963</v>
      </c>
      <c r="C508" s="1" t="n">
        <v>45937</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16373-2025</t>
        </is>
      </c>
      <c r="B509" s="1" t="n">
        <v>45751</v>
      </c>
      <c r="C509" s="1" t="n">
        <v>45937</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1000-2024</t>
        </is>
      </c>
      <c r="B510" s="1" t="n">
        <v>45301.63371527778</v>
      </c>
      <c r="C510" s="1" t="n">
        <v>45937</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1010-2024</t>
        </is>
      </c>
      <c r="B511" s="1" t="n">
        <v>45301</v>
      </c>
      <c r="C511" s="1" t="n">
        <v>45937</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43951-2025</t>
        </is>
      </c>
      <c r="B512" s="1" t="n">
        <v>45915.38119212963</v>
      </c>
      <c r="C512" s="1" t="n">
        <v>45937</v>
      </c>
      <c r="D512" t="inlineStr">
        <is>
          <t>GOTLANDS LÄN</t>
        </is>
      </c>
      <c r="E512" t="inlineStr">
        <is>
          <t>GOTLAND</t>
        </is>
      </c>
      <c r="G512" t="n">
        <v>4.4</v>
      </c>
      <c r="H512" t="n">
        <v>0</v>
      </c>
      <c r="I512" t="n">
        <v>0</v>
      </c>
      <c r="J512" t="n">
        <v>0</v>
      </c>
      <c r="K512" t="n">
        <v>0</v>
      </c>
      <c r="L512" t="n">
        <v>0</v>
      </c>
      <c r="M512" t="n">
        <v>0</v>
      </c>
      <c r="N512" t="n">
        <v>0</v>
      </c>
      <c r="O512" t="n">
        <v>0</v>
      </c>
      <c r="P512" t="n">
        <v>0</v>
      </c>
      <c r="Q512" t="n">
        <v>0</v>
      </c>
      <c r="R512" s="2" t="inlineStr"/>
    </row>
    <row r="513" ht="15" customHeight="1">
      <c r="A513" t="inlineStr">
        <is>
          <t>A 4377-2023</t>
        </is>
      </c>
      <c r="B513" s="1" t="n">
        <v>44955.5502662037</v>
      </c>
      <c r="C513" s="1" t="n">
        <v>45937</v>
      </c>
      <c r="D513" t="inlineStr">
        <is>
          <t>GOTLANDS LÄN</t>
        </is>
      </c>
      <c r="E513" t="inlineStr">
        <is>
          <t>GOTLAND</t>
        </is>
      </c>
      <c r="F513" t="inlineStr">
        <is>
          <t>Kyrkan</t>
        </is>
      </c>
      <c r="G513" t="n">
        <v>0.6</v>
      </c>
      <c r="H513" t="n">
        <v>0</v>
      </c>
      <c r="I513" t="n">
        <v>0</v>
      </c>
      <c r="J513" t="n">
        <v>0</v>
      </c>
      <c r="K513" t="n">
        <v>0</v>
      </c>
      <c r="L513" t="n">
        <v>0</v>
      </c>
      <c r="M513" t="n">
        <v>0</v>
      </c>
      <c r="N513" t="n">
        <v>0</v>
      </c>
      <c r="O513" t="n">
        <v>0</v>
      </c>
      <c r="P513" t="n">
        <v>0</v>
      </c>
      <c r="Q513" t="n">
        <v>0</v>
      </c>
      <c r="R513" s="2" t="inlineStr"/>
    </row>
    <row r="514" ht="15" customHeight="1">
      <c r="A514" t="inlineStr">
        <is>
          <t>A 4387-2023</t>
        </is>
      </c>
      <c r="B514" s="1" t="n">
        <v>44955.73359953704</v>
      </c>
      <c r="C514" s="1" t="n">
        <v>45937</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39479-2022</t>
        </is>
      </c>
      <c r="B515" s="1" t="n">
        <v>44818</v>
      </c>
      <c r="C515" s="1" t="n">
        <v>45937</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47762-2023</t>
        </is>
      </c>
      <c r="B516" s="1" t="n">
        <v>45203.86256944444</v>
      </c>
      <c r="C516" s="1" t="n">
        <v>45937</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51963-2024</t>
        </is>
      </c>
      <c r="B517" s="1" t="n">
        <v>45607.64833333333</v>
      </c>
      <c r="C517" s="1" t="n">
        <v>45937</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46545-2024</t>
        </is>
      </c>
      <c r="B518" s="1" t="n">
        <v>45582.65831018519</v>
      </c>
      <c r="C518" s="1" t="n">
        <v>45937</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45937</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60086-2022</t>
        </is>
      </c>
      <c r="B520" s="1" t="n">
        <v>44909</v>
      </c>
      <c r="C520" s="1" t="n">
        <v>45937</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46389-2021</t>
        </is>
      </c>
      <c r="B521" s="1" t="n">
        <v>44443</v>
      </c>
      <c r="C521" s="1" t="n">
        <v>45937</v>
      </c>
      <c r="D521" t="inlineStr">
        <is>
          <t>GOTLANDS LÄN</t>
        </is>
      </c>
      <c r="E521" t="inlineStr">
        <is>
          <t>GOTLAND</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28480-2023</t>
        </is>
      </c>
      <c r="B522" s="1" t="n">
        <v>45103</v>
      </c>
      <c r="C522" s="1" t="n">
        <v>45937</v>
      </c>
      <c r="D522" t="inlineStr">
        <is>
          <t>GOTLANDS LÄN</t>
        </is>
      </c>
      <c r="E522" t="inlineStr">
        <is>
          <t>GOTLAND</t>
        </is>
      </c>
      <c r="G522" t="n">
        <v>5.7</v>
      </c>
      <c r="H522" t="n">
        <v>0</v>
      </c>
      <c r="I522" t="n">
        <v>0</v>
      </c>
      <c r="J522" t="n">
        <v>0</v>
      </c>
      <c r="K522" t="n">
        <v>0</v>
      </c>
      <c r="L522" t="n">
        <v>0</v>
      </c>
      <c r="M522" t="n">
        <v>0</v>
      </c>
      <c r="N522" t="n">
        <v>0</v>
      </c>
      <c r="O522" t="n">
        <v>0</v>
      </c>
      <c r="P522" t="n">
        <v>0</v>
      </c>
      <c r="Q522" t="n">
        <v>0</v>
      </c>
      <c r="R522" s="2" t="inlineStr"/>
    </row>
    <row r="523" ht="15" customHeight="1">
      <c r="A523" t="inlineStr">
        <is>
          <t>A 28485-2023</t>
        </is>
      </c>
      <c r="B523" s="1" t="n">
        <v>45103.43731481482</v>
      </c>
      <c r="C523" s="1" t="n">
        <v>45937</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6108-2025</t>
        </is>
      </c>
      <c r="B524" s="1" t="n">
        <v>45698.29880787037</v>
      </c>
      <c r="C524" s="1" t="n">
        <v>45937</v>
      </c>
      <c r="D524" t="inlineStr">
        <is>
          <t>GOTLANDS LÄN</t>
        </is>
      </c>
      <c r="E524" t="inlineStr">
        <is>
          <t>GOTLAND</t>
        </is>
      </c>
      <c r="G524" t="n">
        <v>2.8</v>
      </c>
      <c r="H524" t="n">
        <v>0</v>
      </c>
      <c r="I524" t="n">
        <v>0</v>
      </c>
      <c r="J524" t="n">
        <v>0</v>
      </c>
      <c r="K524" t="n">
        <v>0</v>
      </c>
      <c r="L524" t="n">
        <v>0</v>
      </c>
      <c r="M524" t="n">
        <v>0</v>
      </c>
      <c r="N524" t="n">
        <v>0</v>
      </c>
      <c r="O524" t="n">
        <v>0</v>
      </c>
      <c r="P524" t="n">
        <v>0</v>
      </c>
      <c r="Q524" t="n">
        <v>0</v>
      </c>
      <c r="R524" s="2" t="inlineStr"/>
    </row>
    <row r="525" ht="15" customHeight="1">
      <c r="A525" t="inlineStr">
        <is>
          <t>A 21142-2025</t>
        </is>
      </c>
      <c r="B525" s="1" t="n">
        <v>45779</v>
      </c>
      <c r="C525" s="1" t="n">
        <v>45937</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10158-2025</t>
        </is>
      </c>
      <c r="B526" s="1" t="n">
        <v>45719</v>
      </c>
      <c r="C526" s="1" t="n">
        <v>45937</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26810-2021</t>
        </is>
      </c>
      <c r="B527" s="1" t="n">
        <v>44349.55087962963</v>
      </c>
      <c r="C527" s="1" t="n">
        <v>45937</v>
      </c>
      <c r="D527" t="inlineStr">
        <is>
          <t>GOTLANDS LÄN</t>
        </is>
      </c>
      <c r="E527" t="inlineStr">
        <is>
          <t>GOTLAND</t>
        </is>
      </c>
      <c r="G527" t="n">
        <v>3.5</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45937</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44949-2023</t>
        </is>
      </c>
      <c r="B529" s="1" t="n">
        <v>45190.69520833333</v>
      </c>
      <c r="C529" s="1" t="n">
        <v>45937</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5923-2023</t>
        </is>
      </c>
      <c r="B530" s="1" t="n">
        <v>44963.69503472222</v>
      </c>
      <c r="C530" s="1" t="n">
        <v>45937</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45937</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45937</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45937</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37222-2021</t>
        </is>
      </c>
      <c r="B534" s="1" t="n">
        <v>44396</v>
      </c>
      <c r="C534" s="1" t="n">
        <v>45937</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17343-2025</t>
        </is>
      </c>
      <c r="B535" s="1" t="n">
        <v>45756.6687037037</v>
      </c>
      <c r="C535" s="1" t="n">
        <v>45937</v>
      </c>
      <c r="D535" t="inlineStr">
        <is>
          <t>GOTLANDS LÄN</t>
        </is>
      </c>
      <c r="E535" t="inlineStr">
        <is>
          <t>GOTLAND</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18938-2025</t>
        </is>
      </c>
      <c r="B536" s="1" t="n">
        <v>45764.49172453704</v>
      </c>
      <c r="C536" s="1" t="n">
        <v>45937</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10655-2023</t>
        </is>
      </c>
      <c r="B537" s="1" t="n">
        <v>44988.49543981482</v>
      </c>
      <c r="C537" s="1" t="n">
        <v>45937</v>
      </c>
      <c r="D537" t="inlineStr">
        <is>
          <t>GOTLANDS LÄN</t>
        </is>
      </c>
      <c r="E537" t="inlineStr">
        <is>
          <t>GOTLAND</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3964-2024</t>
        </is>
      </c>
      <c r="B538" s="1" t="n">
        <v>45322</v>
      </c>
      <c r="C538" s="1" t="n">
        <v>45937</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2719-2023</t>
        </is>
      </c>
      <c r="B539" s="1" t="n">
        <v>44944.55361111111</v>
      </c>
      <c r="C539" s="1" t="n">
        <v>45937</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45084-2024</t>
        </is>
      </c>
      <c r="B540" s="1" t="n">
        <v>45575</v>
      </c>
      <c r="C540" s="1" t="n">
        <v>45937</v>
      </c>
      <c r="D540" t="inlineStr">
        <is>
          <t>GOTLANDS LÄN</t>
        </is>
      </c>
      <c r="E540" t="inlineStr">
        <is>
          <t>GOTLAND</t>
        </is>
      </c>
      <c r="G540" t="n">
        <v>6.8</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45937</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42007-2023</t>
        </is>
      </c>
      <c r="B542" s="1" t="n">
        <v>45177</v>
      </c>
      <c r="C542" s="1" t="n">
        <v>45937</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9887-2025</t>
        </is>
      </c>
      <c r="B543" s="1" t="n">
        <v>45716</v>
      </c>
      <c r="C543" s="1" t="n">
        <v>45937</v>
      </c>
      <c r="D543" t="inlineStr">
        <is>
          <t>GOTLANDS LÄN</t>
        </is>
      </c>
      <c r="E543" t="inlineStr">
        <is>
          <t>GOTLAND</t>
        </is>
      </c>
      <c r="G543" t="n">
        <v>7.5</v>
      </c>
      <c r="H543" t="n">
        <v>0</v>
      </c>
      <c r="I543" t="n">
        <v>0</v>
      </c>
      <c r="J543" t="n">
        <v>0</v>
      </c>
      <c r="K543" t="n">
        <v>0</v>
      </c>
      <c r="L543" t="n">
        <v>0</v>
      </c>
      <c r="M543" t="n">
        <v>0</v>
      </c>
      <c r="N543" t="n">
        <v>0</v>
      </c>
      <c r="O543" t="n">
        <v>0</v>
      </c>
      <c r="P543" t="n">
        <v>0</v>
      </c>
      <c r="Q543" t="n">
        <v>0</v>
      </c>
      <c r="R543" s="2" t="inlineStr"/>
    </row>
    <row r="544" ht="15" customHeight="1">
      <c r="A544" t="inlineStr">
        <is>
          <t>A 30489-2025</t>
        </is>
      </c>
      <c r="B544" s="1" t="n">
        <v>45830</v>
      </c>
      <c r="C544" s="1" t="n">
        <v>45937</v>
      </c>
      <c r="D544" t="inlineStr">
        <is>
          <t>GOTLANDS LÄN</t>
        </is>
      </c>
      <c r="E544" t="inlineStr">
        <is>
          <t>GOTLAND</t>
        </is>
      </c>
      <c r="G544" t="n">
        <v>4.6</v>
      </c>
      <c r="H544" t="n">
        <v>0</v>
      </c>
      <c r="I544" t="n">
        <v>0</v>
      </c>
      <c r="J544" t="n">
        <v>0</v>
      </c>
      <c r="K544" t="n">
        <v>0</v>
      </c>
      <c r="L544" t="n">
        <v>0</v>
      </c>
      <c r="M544" t="n">
        <v>0</v>
      </c>
      <c r="N544" t="n">
        <v>0</v>
      </c>
      <c r="O544" t="n">
        <v>0</v>
      </c>
      <c r="P544" t="n">
        <v>0</v>
      </c>
      <c r="Q544" t="n">
        <v>0</v>
      </c>
      <c r="R544" s="2" t="inlineStr"/>
    </row>
    <row r="545" ht="15" customHeight="1">
      <c r="A545" t="inlineStr">
        <is>
          <t>A 38165-2023</t>
        </is>
      </c>
      <c r="B545" s="1" t="n">
        <v>45161</v>
      </c>
      <c r="C545" s="1" t="n">
        <v>45937</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27596-2023</t>
        </is>
      </c>
      <c r="B546" s="1" t="n">
        <v>45097</v>
      </c>
      <c r="C546" s="1" t="n">
        <v>45937</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20307-2025</t>
        </is>
      </c>
      <c r="B547" s="1" t="n">
        <v>45774.95546296296</v>
      </c>
      <c r="C547" s="1" t="n">
        <v>45937</v>
      </c>
      <c r="D547" t="inlineStr">
        <is>
          <t>GOTLANDS LÄN</t>
        </is>
      </c>
      <c r="E547" t="inlineStr">
        <is>
          <t>GOTLAND</t>
        </is>
      </c>
      <c r="G547" t="n">
        <v>6.8</v>
      </c>
      <c r="H547" t="n">
        <v>0</v>
      </c>
      <c r="I547" t="n">
        <v>0</v>
      </c>
      <c r="J547" t="n">
        <v>0</v>
      </c>
      <c r="K547" t="n">
        <v>0</v>
      </c>
      <c r="L547" t="n">
        <v>0</v>
      </c>
      <c r="M547" t="n">
        <v>0</v>
      </c>
      <c r="N547" t="n">
        <v>0</v>
      </c>
      <c r="O547" t="n">
        <v>0</v>
      </c>
      <c r="P547" t="n">
        <v>0</v>
      </c>
      <c r="Q547" t="n">
        <v>0</v>
      </c>
      <c r="R547" s="2" t="inlineStr"/>
    </row>
    <row r="548" ht="15" customHeight="1">
      <c r="A548" t="inlineStr">
        <is>
          <t>A 5217-2023</t>
        </is>
      </c>
      <c r="B548" s="1" t="n">
        <v>44959.39582175926</v>
      </c>
      <c r="C548" s="1" t="n">
        <v>45937</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24825-2024</t>
        </is>
      </c>
      <c r="B549" s="1" t="n">
        <v>45461</v>
      </c>
      <c r="C549" s="1" t="n">
        <v>45937</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6696-2023</t>
        </is>
      </c>
      <c r="B550" s="1" t="n">
        <v>44966.66425925926</v>
      </c>
      <c r="C550" s="1" t="n">
        <v>45937</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21247-2022</t>
        </is>
      </c>
      <c r="B551" s="1" t="n">
        <v>44705.38832175926</v>
      </c>
      <c r="C551" s="1" t="n">
        <v>45937</v>
      </c>
      <c r="D551" t="inlineStr">
        <is>
          <t>GOTLANDS LÄN</t>
        </is>
      </c>
      <c r="E551" t="inlineStr">
        <is>
          <t>GOTLAND</t>
        </is>
      </c>
      <c r="G551" t="n">
        <v>16.2</v>
      </c>
      <c r="H551" t="n">
        <v>0</v>
      </c>
      <c r="I551" t="n">
        <v>0</v>
      </c>
      <c r="J551" t="n">
        <v>0</v>
      </c>
      <c r="K551" t="n">
        <v>0</v>
      </c>
      <c r="L551" t="n">
        <v>0</v>
      </c>
      <c r="M551" t="n">
        <v>0</v>
      </c>
      <c r="N551" t="n">
        <v>0</v>
      </c>
      <c r="O551" t="n">
        <v>0</v>
      </c>
      <c r="P551" t="n">
        <v>0</v>
      </c>
      <c r="Q551" t="n">
        <v>0</v>
      </c>
      <c r="R551" s="2" t="inlineStr"/>
    </row>
    <row r="552" ht="15" customHeight="1">
      <c r="A552" t="inlineStr">
        <is>
          <t>A 456-2023</t>
        </is>
      </c>
      <c r="B552" s="1" t="n">
        <v>44929.87122685185</v>
      </c>
      <c r="C552" s="1" t="n">
        <v>45937</v>
      </c>
      <c r="D552" t="inlineStr">
        <is>
          <t>GOTLANDS LÄN</t>
        </is>
      </c>
      <c r="E552" t="inlineStr">
        <is>
          <t>GOTLAND</t>
        </is>
      </c>
      <c r="G552" t="n">
        <v>3.2</v>
      </c>
      <c r="H552" t="n">
        <v>0</v>
      </c>
      <c r="I552" t="n">
        <v>0</v>
      </c>
      <c r="J552" t="n">
        <v>0</v>
      </c>
      <c r="K552" t="n">
        <v>0</v>
      </c>
      <c r="L552" t="n">
        <v>0</v>
      </c>
      <c r="M552" t="n">
        <v>0</v>
      </c>
      <c r="N552" t="n">
        <v>0</v>
      </c>
      <c r="O552" t="n">
        <v>0</v>
      </c>
      <c r="P552" t="n">
        <v>0</v>
      </c>
      <c r="Q552" t="n">
        <v>0</v>
      </c>
      <c r="R552" s="2" t="inlineStr"/>
    </row>
    <row r="553" ht="15" customHeight="1">
      <c r="A553" t="inlineStr">
        <is>
          <t>A 2714-2023</t>
        </is>
      </c>
      <c r="B553" s="1" t="n">
        <v>44944.54896990741</v>
      </c>
      <c r="C553" s="1" t="n">
        <v>45937</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4421-2024</t>
        </is>
      </c>
      <c r="B554" s="1" t="n">
        <v>45327.45173611111</v>
      </c>
      <c r="C554" s="1" t="n">
        <v>45937</v>
      </c>
      <c r="D554" t="inlineStr">
        <is>
          <t>GOTLANDS LÄN</t>
        </is>
      </c>
      <c r="E554" t="inlineStr">
        <is>
          <t>GOTLAND</t>
        </is>
      </c>
      <c r="G554" t="n">
        <v>5.1</v>
      </c>
      <c r="H554" t="n">
        <v>0</v>
      </c>
      <c r="I554" t="n">
        <v>0</v>
      </c>
      <c r="J554" t="n">
        <v>0</v>
      </c>
      <c r="K554" t="n">
        <v>0</v>
      </c>
      <c r="L554" t="n">
        <v>0</v>
      </c>
      <c r="M554" t="n">
        <v>0</v>
      </c>
      <c r="N554" t="n">
        <v>0</v>
      </c>
      <c r="O554" t="n">
        <v>0</v>
      </c>
      <c r="P554" t="n">
        <v>0</v>
      </c>
      <c r="Q554" t="n">
        <v>0</v>
      </c>
      <c r="R554" s="2" t="inlineStr"/>
    </row>
    <row r="555" ht="15" customHeight="1">
      <c r="A555" t="inlineStr">
        <is>
          <t>A 51782-2023</t>
        </is>
      </c>
      <c r="B555" s="1" t="n">
        <v>45222.80952546297</v>
      </c>
      <c r="C555" s="1" t="n">
        <v>45937</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54268-2022</t>
        </is>
      </c>
      <c r="B556" s="1" t="n">
        <v>44882</v>
      </c>
      <c r="C556" s="1" t="n">
        <v>45937</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45937</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25866-2022</t>
        </is>
      </c>
      <c r="B558" s="1" t="n">
        <v>44733</v>
      </c>
      <c r="C558" s="1" t="n">
        <v>45937</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43229-2023</t>
        </is>
      </c>
      <c r="B559" s="1" t="n">
        <v>45183.46704861111</v>
      </c>
      <c r="C559" s="1" t="n">
        <v>45937</v>
      </c>
      <c r="D559" t="inlineStr">
        <is>
          <t>GOTLANDS LÄN</t>
        </is>
      </c>
      <c r="E559" t="inlineStr">
        <is>
          <t>GOTLAND</t>
        </is>
      </c>
      <c r="G559" t="n">
        <v>7.1</v>
      </c>
      <c r="H559" t="n">
        <v>0</v>
      </c>
      <c r="I559" t="n">
        <v>0</v>
      </c>
      <c r="J559" t="n">
        <v>0</v>
      </c>
      <c r="K559" t="n">
        <v>0</v>
      </c>
      <c r="L559" t="n">
        <v>0</v>
      </c>
      <c r="M559" t="n">
        <v>0</v>
      </c>
      <c r="N559" t="n">
        <v>0</v>
      </c>
      <c r="O559" t="n">
        <v>0</v>
      </c>
      <c r="P559" t="n">
        <v>0</v>
      </c>
      <c r="Q559" t="n">
        <v>0</v>
      </c>
      <c r="R559" s="2" t="inlineStr"/>
    </row>
    <row r="560" ht="15" customHeight="1">
      <c r="A560" t="inlineStr">
        <is>
          <t>A 1175-2025</t>
        </is>
      </c>
      <c r="B560" s="1" t="n">
        <v>45667.34449074074</v>
      </c>
      <c r="C560" s="1" t="n">
        <v>45937</v>
      </c>
      <c r="D560" t="inlineStr">
        <is>
          <t>GOTLANDS LÄN</t>
        </is>
      </c>
      <c r="E560" t="inlineStr">
        <is>
          <t>GOTLAND</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27095-2022</t>
        </is>
      </c>
      <c r="B561" s="1" t="n">
        <v>44741</v>
      </c>
      <c r="C561" s="1" t="n">
        <v>45937</v>
      </c>
      <c r="D561" t="inlineStr">
        <is>
          <t>GOTLANDS LÄN</t>
        </is>
      </c>
      <c r="E561" t="inlineStr">
        <is>
          <t>GOTLAND</t>
        </is>
      </c>
      <c r="F561" t="inlineStr">
        <is>
          <t>Övriga Aktiebolag</t>
        </is>
      </c>
      <c r="G561" t="n">
        <v>2.9</v>
      </c>
      <c r="H561" t="n">
        <v>0</v>
      </c>
      <c r="I561" t="n">
        <v>0</v>
      </c>
      <c r="J561" t="n">
        <v>0</v>
      </c>
      <c r="K561" t="n">
        <v>0</v>
      </c>
      <c r="L561" t="n">
        <v>0</v>
      </c>
      <c r="M561" t="n">
        <v>0</v>
      </c>
      <c r="N561" t="n">
        <v>0</v>
      </c>
      <c r="O561" t="n">
        <v>0</v>
      </c>
      <c r="P561" t="n">
        <v>0</v>
      </c>
      <c r="Q561" t="n">
        <v>0</v>
      </c>
      <c r="R561" s="2" t="inlineStr"/>
    </row>
    <row r="562" ht="15" customHeight="1">
      <c r="A562" t="inlineStr">
        <is>
          <t>A 22899-2023</t>
        </is>
      </c>
      <c r="B562" s="1" t="n">
        <v>45072</v>
      </c>
      <c r="C562" s="1" t="n">
        <v>45937</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23978-2023</t>
        </is>
      </c>
      <c r="B563" s="1" t="n">
        <v>45078</v>
      </c>
      <c r="C563" s="1" t="n">
        <v>45937</v>
      </c>
      <c r="D563" t="inlineStr">
        <is>
          <t>GOTLANDS LÄN</t>
        </is>
      </c>
      <c r="E563" t="inlineStr">
        <is>
          <t>GOTLAND</t>
        </is>
      </c>
      <c r="F563" t="inlineStr">
        <is>
          <t>Naturvårdsverket</t>
        </is>
      </c>
      <c r="G563" t="n">
        <v>1.7</v>
      </c>
      <c r="H563" t="n">
        <v>0</v>
      </c>
      <c r="I563" t="n">
        <v>0</v>
      </c>
      <c r="J563" t="n">
        <v>0</v>
      </c>
      <c r="K563" t="n">
        <v>0</v>
      </c>
      <c r="L563" t="n">
        <v>0</v>
      </c>
      <c r="M563" t="n">
        <v>0</v>
      </c>
      <c r="N563" t="n">
        <v>0</v>
      </c>
      <c r="O563" t="n">
        <v>0</v>
      </c>
      <c r="P563" t="n">
        <v>0</v>
      </c>
      <c r="Q563" t="n">
        <v>0</v>
      </c>
      <c r="R563" s="2" t="inlineStr"/>
    </row>
    <row r="564" ht="15" customHeight="1">
      <c r="A564" t="inlineStr">
        <is>
          <t>A 34407-2023</t>
        </is>
      </c>
      <c r="B564" s="1" t="n">
        <v>45132</v>
      </c>
      <c r="C564" s="1" t="n">
        <v>45937</v>
      </c>
      <c r="D564" t="inlineStr">
        <is>
          <t>GOTLANDS LÄN</t>
        </is>
      </c>
      <c r="E564" t="inlineStr">
        <is>
          <t>GOTLAND</t>
        </is>
      </c>
      <c r="G564" t="n">
        <v>4.4</v>
      </c>
      <c r="H564" t="n">
        <v>0</v>
      </c>
      <c r="I564" t="n">
        <v>0</v>
      </c>
      <c r="J564" t="n">
        <v>0</v>
      </c>
      <c r="K564" t="n">
        <v>0</v>
      </c>
      <c r="L564" t="n">
        <v>0</v>
      </c>
      <c r="M564" t="n">
        <v>0</v>
      </c>
      <c r="N564" t="n">
        <v>0</v>
      </c>
      <c r="O564" t="n">
        <v>0</v>
      </c>
      <c r="P564" t="n">
        <v>0</v>
      </c>
      <c r="Q564" t="n">
        <v>0</v>
      </c>
      <c r="R564" s="2" t="inlineStr"/>
    </row>
    <row r="565" ht="15" customHeight="1">
      <c r="A565" t="inlineStr">
        <is>
          <t>A 11013-2024</t>
        </is>
      </c>
      <c r="B565" s="1" t="n">
        <v>45370</v>
      </c>
      <c r="C565" s="1" t="n">
        <v>45937</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27694-2024</t>
        </is>
      </c>
      <c r="B566" s="1" t="n">
        <v>45475</v>
      </c>
      <c r="C566" s="1" t="n">
        <v>45937</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15083-2025</t>
        </is>
      </c>
      <c r="B567" s="1" t="n">
        <v>45743</v>
      </c>
      <c r="C567" s="1" t="n">
        <v>45937</v>
      </c>
      <c r="D567" t="inlineStr">
        <is>
          <t>GOTLANDS LÄN</t>
        </is>
      </c>
      <c r="E567" t="inlineStr">
        <is>
          <t>GOTLAND</t>
        </is>
      </c>
      <c r="G567" t="n">
        <v>2.3</v>
      </c>
      <c r="H567" t="n">
        <v>0</v>
      </c>
      <c r="I567" t="n">
        <v>0</v>
      </c>
      <c r="J567" t="n">
        <v>0</v>
      </c>
      <c r="K567" t="n">
        <v>0</v>
      </c>
      <c r="L567" t="n">
        <v>0</v>
      </c>
      <c r="M567" t="n">
        <v>0</v>
      </c>
      <c r="N567" t="n">
        <v>0</v>
      </c>
      <c r="O567" t="n">
        <v>0</v>
      </c>
      <c r="P567" t="n">
        <v>0</v>
      </c>
      <c r="Q567" t="n">
        <v>0</v>
      </c>
      <c r="R567" s="2" t="inlineStr"/>
    </row>
    <row r="568" ht="15" customHeight="1">
      <c r="A568" t="inlineStr">
        <is>
          <t>A 13037-2025</t>
        </is>
      </c>
      <c r="B568" s="1" t="n">
        <v>45734</v>
      </c>
      <c r="C568" s="1" t="n">
        <v>45937</v>
      </c>
      <c r="D568" t="inlineStr">
        <is>
          <t>GOTLANDS LÄN</t>
        </is>
      </c>
      <c r="E568" t="inlineStr">
        <is>
          <t>GOTLAND</t>
        </is>
      </c>
      <c r="G568" t="n">
        <v>9.5</v>
      </c>
      <c r="H568" t="n">
        <v>0</v>
      </c>
      <c r="I568" t="n">
        <v>0</v>
      </c>
      <c r="J568" t="n">
        <v>0</v>
      </c>
      <c r="K568" t="n">
        <v>0</v>
      </c>
      <c r="L568" t="n">
        <v>0</v>
      </c>
      <c r="M568" t="n">
        <v>0</v>
      </c>
      <c r="N568" t="n">
        <v>0</v>
      </c>
      <c r="O568" t="n">
        <v>0</v>
      </c>
      <c r="P568" t="n">
        <v>0</v>
      </c>
      <c r="Q568" t="n">
        <v>0</v>
      </c>
      <c r="R568" s="2" t="inlineStr"/>
    </row>
    <row r="569" ht="15" customHeight="1">
      <c r="A569" t="inlineStr">
        <is>
          <t>A 458-2023</t>
        </is>
      </c>
      <c r="B569" s="1" t="n">
        <v>44929</v>
      </c>
      <c r="C569" s="1" t="n">
        <v>45937</v>
      </c>
      <c r="D569" t="inlineStr">
        <is>
          <t>GOTLANDS LÄN</t>
        </is>
      </c>
      <c r="E569" t="inlineStr">
        <is>
          <t>GOTLAND</t>
        </is>
      </c>
      <c r="G569" t="n">
        <v>3.6</v>
      </c>
      <c r="H569" t="n">
        <v>0</v>
      </c>
      <c r="I569" t="n">
        <v>0</v>
      </c>
      <c r="J569" t="n">
        <v>0</v>
      </c>
      <c r="K569" t="n">
        <v>0</v>
      </c>
      <c r="L569" t="n">
        <v>0</v>
      </c>
      <c r="M569" t="n">
        <v>0</v>
      </c>
      <c r="N569" t="n">
        <v>0</v>
      </c>
      <c r="O569" t="n">
        <v>0</v>
      </c>
      <c r="P569" t="n">
        <v>0</v>
      </c>
      <c r="Q569" t="n">
        <v>0</v>
      </c>
      <c r="R569" s="2" t="inlineStr"/>
    </row>
    <row r="570" ht="15" customHeight="1">
      <c r="A570" t="inlineStr">
        <is>
          <t>A 44228-2022</t>
        </is>
      </c>
      <c r="B570" s="1" t="n">
        <v>44839.51599537037</v>
      </c>
      <c r="C570" s="1" t="n">
        <v>45937</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58132-2023</t>
        </is>
      </c>
      <c r="B571" s="1" t="n">
        <v>45250</v>
      </c>
      <c r="C571" s="1" t="n">
        <v>45937</v>
      </c>
      <c r="D571" t="inlineStr">
        <is>
          <t>GOTLANDS LÄN</t>
        </is>
      </c>
      <c r="E571" t="inlineStr">
        <is>
          <t>GOTLAND</t>
        </is>
      </c>
      <c r="G571" t="n">
        <v>3.1</v>
      </c>
      <c r="H571" t="n">
        <v>0</v>
      </c>
      <c r="I571" t="n">
        <v>0</v>
      </c>
      <c r="J571" t="n">
        <v>0</v>
      </c>
      <c r="K571" t="n">
        <v>0</v>
      </c>
      <c r="L571" t="n">
        <v>0</v>
      </c>
      <c r="M571" t="n">
        <v>0</v>
      </c>
      <c r="N571" t="n">
        <v>0</v>
      </c>
      <c r="O571" t="n">
        <v>0</v>
      </c>
      <c r="P571" t="n">
        <v>0</v>
      </c>
      <c r="Q571" t="n">
        <v>0</v>
      </c>
      <c r="R571" s="2" t="inlineStr"/>
    </row>
    <row r="572" ht="15" customHeight="1">
      <c r="A572" t="inlineStr">
        <is>
          <t>A 49884-2023</t>
        </is>
      </c>
      <c r="B572" s="1" t="n">
        <v>45213</v>
      </c>
      <c r="C572" s="1" t="n">
        <v>45937</v>
      </c>
      <c r="D572" t="inlineStr">
        <is>
          <t>GOTLANDS LÄN</t>
        </is>
      </c>
      <c r="E572" t="inlineStr">
        <is>
          <t>GOTLAND</t>
        </is>
      </c>
      <c r="G572" t="n">
        <v>8.9</v>
      </c>
      <c r="H572" t="n">
        <v>0</v>
      </c>
      <c r="I572" t="n">
        <v>0</v>
      </c>
      <c r="J572" t="n">
        <v>0</v>
      </c>
      <c r="K572" t="n">
        <v>0</v>
      </c>
      <c r="L572" t="n">
        <v>0</v>
      </c>
      <c r="M572" t="n">
        <v>0</v>
      </c>
      <c r="N572" t="n">
        <v>0</v>
      </c>
      <c r="O572" t="n">
        <v>0</v>
      </c>
      <c r="P572" t="n">
        <v>0</v>
      </c>
      <c r="Q572" t="n">
        <v>0</v>
      </c>
      <c r="R572" s="2" t="inlineStr"/>
    </row>
    <row r="573" ht="15" customHeight="1">
      <c r="A573" t="inlineStr">
        <is>
          <t>A 876-2024</t>
        </is>
      </c>
      <c r="B573" s="1" t="n">
        <v>45301</v>
      </c>
      <c r="C573" s="1" t="n">
        <v>45937</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6796-2025</t>
        </is>
      </c>
      <c r="B574" s="1" t="n">
        <v>45700.66559027778</v>
      </c>
      <c r="C574" s="1" t="n">
        <v>45937</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22704-2023</t>
        </is>
      </c>
      <c r="B575" s="1" t="n">
        <v>45071</v>
      </c>
      <c r="C575" s="1" t="n">
        <v>45937</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28425-2023</t>
        </is>
      </c>
      <c r="B576" s="1" t="n">
        <v>45102</v>
      </c>
      <c r="C576" s="1" t="n">
        <v>45937</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58476-2022</t>
        </is>
      </c>
      <c r="B577" s="1" t="n">
        <v>44902</v>
      </c>
      <c r="C577" s="1" t="n">
        <v>45937</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43200-2023</t>
        </is>
      </c>
      <c r="B578" s="1" t="n">
        <v>45183</v>
      </c>
      <c r="C578" s="1" t="n">
        <v>45937</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43223-2023</t>
        </is>
      </c>
      <c r="B579" s="1" t="n">
        <v>45183.45642361111</v>
      </c>
      <c r="C579" s="1" t="n">
        <v>45937</v>
      </c>
      <c r="D579" t="inlineStr">
        <is>
          <t>GOTLANDS LÄN</t>
        </is>
      </c>
      <c r="E579" t="inlineStr">
        <is>
          <t>GOTLAND</t>
        </is>
      </c>
      <c r="G579" t="n">
        <v>1.8</v>
      </c>
      <c r="H579" t="n">
        <v>0</v>
      </c>
      <c r="I579" t="n">
        <v>0</v>
      </c>
      <c r="J579" t="n">
        <v>0</v>
      </c>
      <c r="K579" t="n">
        <v>0</v>
      </c>
      <c r="L579" t="n">
        <v>0</v>
      </c>
      <c r="M579" t="n">
        <v>0</v>
      </c>
      <c r="N579" t="n">
        <v>0</v>
      </c>
      <c r="O579" t="n">
        <v>0</v>
      </c>
      <c r="P579" t="n">
        <v>0</v>
      </c>
      <c r="Q579" t="n">
        <v>0</v>
      </c>
      <c r="R579" s="2" t="inlineStr"/>
    </row>
    <row r="580" ht="15" customHeight="1">
      <c r="A580" t="inlineStr">
        <is>
          <t>A 12327-2025</t>
        </is>
      </c>
      <c r="B580" s="1" t="n">
        <v>45730</v>
      </c>
      <c r="C580" s="1" t="n">
        <v>45937</v>
      </c>
      <c r="D580" t="inlineStr">
        <is>
          <t>GOTLANDS LÄN</t>
        </is>
      </c>
      <c r="E580" t="inlineStr">
        <is>
          <t>GOTLAND</t>
        </is>
      </c>
      <c r="G580" t="n">
        <v>1.8</v>
      </c>
      <c r="H580" t="n">
        <v>0</v>
      </c>
      <c r="I580" t="n">
        <v>0</v>
      </c>
      <c r="J580" t="n">
        <v>0</v>
      </c>
      <c r="K580" t="n">
        <v>0</v>
      </c>
      <c r="L580" t="n">
        <v>0</v>
      </c>
      <c r="M580" t="n">
        <v>0</v>
      </c>
      <c r="N580" t="n">
        <v>0</v>
      </c>
      <c r="O580" t="n">
        <v>0</v>
      </c>
      <c r="P580" t="n">
        <v>0</v>
      </c>
      <c r="Q580" t="n">
        <v>0</v>
      </c>
      <c r="R580" s="2" t="inlineStr"/>
    </row>
    <row r="581" ht="15" customHeight="1">
      <c r="A581" t="inlineStr">
        <is>
          <t>A 3431-2025</t>
        </is>
      </c>
      <c r="B581" s="1" t="n">
        <v>45680.42935185185</v>
      </c>
      <c r="C581" s="1" t="n">
        <v>45937</v>
      </c>
      <c r="D581" t="inlineStr">
        <is>
          <t>GOTLANDS LÄN</t>
        </is>
      </c>
      <c r="E581" t="inlineStr">
        <is>
          <t>GOTLAND</t>
        </is>
      </c>
      <c r="G581" t="n">
        <v>4.8</v>
      </c>
      <c r="H581" t="n">
        <v>0</v>
      </c>
      <c r="I581" t="n">
        <v>0</v>
      </c>
      <c r="J581" t="n">
        <v>0</v>
      </c>
      <c r="K581" t="n">
        <v>0</v>
      </c>
      <c r="L581" t="n">
        <v>0</v>
      </c>
      <c r="M581" t="n">
        <v>0</v>
      </c>
      <c r="N581" t="n">
        <v>0</v>
      </c>
      <c r="O581" t="n">
        <v>0</v>
      </c>
      <c r="P581" t="n">
        <v>0</v>
      </c>
      <c r="Q581" t="n">
        <v>0</v>
      </c>
      <c r="R581" s="2" t="inlineStr"/>
    </row>
    <row r="582" ht="15" customHeight="1">
      <c r="A582" t="inlineStr">
        <is>
          <t>A 12209-2024</t>
        </is>
      </c>
      <c r="B582" s="1" t="n">
        <v>45378</v>
      </c>
      <c r="C582" s="1" t="n">
        <v>45937</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12210-2024</t>
        </is>
      </c>
      <c r="B583" s="1" t="n">
        <v>45378</v>
      </c>
      <c r="C583" s="1" t="n">
        <v>45937</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1364-2025</t>
        </is>
      </c>
      <c r="B584" s="1" t="n">
        <v>45667.63929398148</v>
      </c>
      <c r="C584" s="1" t="n">
        <v>45937</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15042-2025</t>
        </is>
      </c>
      <c r="B585" s="1" t="n">
        <v>45743</v>
      </c>
      <c r="C585" s="1" t="n">
        <v>45937</v>
      </c>
      <c r="D585" t="inlineStr">
        <is>
          <t>GOTLANDS LÄN</t>
        </is>
      </c>
      <c r="E585" t="inlineStr">
        <is>
          <t>GOTLAND</t>
        </is>
      </c>
      <c r="G585" t="n">
        <v>8.5</v>
      </c>
      <c r="H585" t="n">
        <v>0</v>
      </c>
      <c r="I585" t="n">
        <v>0</v>
      </c>
      <c r="J585" t="n">
        <v>0</v>
      </c>
      <c r="K585" t="n">
        <v>0</v>
      </c>
      <c r="L585" t="n">
        <v>0</v>
      </c>
      <c r="M585" t="n">
        <v>0</v>
      </c>
      <c r="N585" t="n">
        <v>0</v>
      </c>
      <c r="O585" t="n">
        <v>0</v>
      </c>
      <c r="P585" t="n">
        <v>0</v>
      </c>
      <c r="Q585" t="n">
        <v>0</v>
      </c>
      <c r="R585" s="2" t="inlineStr"/>
    </row>
    <row r="586" ht="15" customHeight="1">
      <c r="A586" t="inlineStr">
        <is>
          <t>A 2180-2025</t>
        </is>
      </c>
      <c r="B586" s="1" t="n">
        <v>45673</v>
      </c>
      <c r="C586" s="1" t="n">
        <v>45937</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15436-2025</t>
        </is>
      </c>
      <c r="B587" s="1" t="n">
        <v>45747.47462962963</v>
      </c>
      <c r="C587" s="1" t="n">
        <v>45937</v>
      </c>
      <c r="D587" t="inlineStr">
        <is>
          <t>GOTLANDS LÄN</t>
        </is>
      </c>
      <c r="E587" t="inlineStr">
        <is>
          <t>GOTLAND</t>
        </is>
      </c>
      <c r="G587" t="n">
        <v>4.1</v>
      </c>
      <c r="H587" t="n">
        <v>0</v>
      </c>
      <c r="I587" t="n">
        <v>0</v>
      </c>
      <c r="J587" t="n">
        <v>0</v>
      </c>
      <c r="K587" t="n">
        <v>0</v>
      </c>
      <c r="L587" t="n">
        <v>0</v>
      </c>
      <c r="M587" t="n">
        <v>0</v>
      </c>
      <c r="N587" t="n">
        <v>0</v>
      </c>
      <c r="O587" t="n">
        <v>0</v>
      </c>
      <c r="P587" t="n">
        <v>0</v>
      </c>
      <c r="Q587" t="n">
        <v>0</v>
      </c>
      <c r="R587" s="2" t="inlineStr"/>
    </row>
    <row r="588" ht="15" customHeight="1">
      <c r="A588" t="inlineStr">
        <is>
          <t>A 49257-2024</t>
        </is>
      </c>
      <c r="B588" s="1" t="n">
        <v>45595.47627314815</v>
      </c>
      <c r="C588" s="1" t="n">
        <v>45937</v>
      </c>
      <c r="D588" t="inlineStr">
        <is>
          <t>GOTLANDS LÄN</t>
        </is>
      </c>
      <c r="E588" t="inlineStr">
        <is>
          <t>GOTLAND</t>
        </is>
      </c>
      <c r="G588" t="n">
        <v>6.3</v>
      </c>
      <c r="H588" t="n">
        <v>0</v>
      </c>
      <c r="I588" t="n">
        <v>0</v>
      </c>
      <c r="J588" t="n">
        <v>0</v>
      </c>
      <c r="K588" t="n">
        <v>0</v>
      </c>
      <c r="L588" t="n">
        <v>0</v>
      </c>
      <c r="M588" t="n">
        <v>0</v>
      </c>
      <c r="N588" t="n">
        <v>0</v>
      </c>
      <c r="O588" t="n">
        <v>0</v>
      </c>
      <c r="P588" t="n">
        <v>0</v>
      </c>
      <c r="Q588" t="n">
        <v>0</v>
      </c>
      <c r="R588" s="2" t="inlineStr"/>
    </row>
    <row r="589" ht="15" customHeight="1">
      <c r="A589" t="inlineStr">
        <is>
          <t>A 37202-2024</t>
        </is>
      </c>
      <c r="B589" s="1" t="n">
        <v>45539.67310185185</v>
      </c>
      <c r="C589" s="1" t="n">
        <v>45937</v>
      </c>
      <c r="D589" t="inlineStr">
        <is>
          <t>GOTLANDS LÄN</t>
        </is>
      </c>
      <c r="E589" t="inlineStr">
        <is>
          <t>GOTLAND</t>
        </is>
      </c>
      <c r="G589" t="n">
        <v>0.3</v>
      </c>
      <c r="H589" t="n">
        <v>0</v>
      </c>
      <c r="I589" t="n">
        <v>0</v>
      </c>
      <c r="J589" t="n">
        <v>0</v>
      </c>
      <c r="K589" t="n">
        <v>0</v>
      </c>
      <c r="L589" t="n">
        <v>0</v>
      </c>
      <c r="M589" t="n">
        <v>0</v>
      </c>
      <c r="N589" t="n">
        <v>0</v>
      </c>
      <c r="O589" t="n">
        <v>0</v>
      </c>
      <c r="P589" t="n">
        <v>0</v>
      </c>
      <c r="Q589" t="n">
        <v>0</v>
      </c>
      <c r="R589" s="2" t="inlineStr"/>
    </row>
    <row r="590" ht="15" customHeight="1">
      <c r="A590" t="inlineStr">
        <is>
          <t>A 56115-2023</t>
        </is>
      </c>
      <c r="B590" s="1" t="n">
        <v>45236</v>
      </c>
      <c r="C590" s="1" t="n">
        <v>45937</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2774-2024</t>
        </is>
      </c>
      <c r="B591" s="1" t="n">
        <v>45314.62375</v>
      </c>
      <c r="C591" s="1" t="n">
        <v>45937</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60709-2023</t>
        </is>
      </c>
      <c r="B592" s="1" t="n">
        <v>45260</v>
      </c>
      <c r="C592" s="1" t="n">
        <v>45937</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64208-2021</t>
        </is>
      </c>
      <c r="B593" s="1" t="n">
        <v>44510</v>
      </c>
      <c r="C593" s="1" t="n">
        <v>45937</v>
      </c>
      <c r="D593" t="inlineStr">
        <is>
          <t>GOTLANDS LÄN</t>
        </is>
      </c>
      <c r="E593" t="inlineStr">
        <is>
          <t>GOTLAND</t>
        </is>
      </c>
      <c r="G593" t="n">
        <v>4.7</v>
      </c>
      <c r="H593" t="n">
        <v>0</v>
      </c>
      <c r="I593" t="n">
        <v>0</v>
      </c>
      <c r="J593" t="n">
        <v>0</v>
      </c>
      <c r="K593" t="n">
        <v>0</v>
      </c>
      <c r="L593" t="n">
        <v>0</v>
      </c>
      <c r="M593" t="n">
        <v>0</v>
      </c>
      <c r="N593" t="n">
        <v>0</v>
      </c>
      <c r="O593" t="n">
        <v>0</v>
      </c>
      <c r="P593" t="n">
        <v>0</v>
      </c>
      <c r="Q593" t="n">
        <v>0</v>
      </c>
      <c r="R593" s="2" t="inlineStr"/>
    </row>
    <row r="594" ht="15" customHeight="1">
      <c r="A594" t="inlineStr">
        <is>
          <t>A 39764-2022</t>
        </is>
      </c>
      <c r="B594" s="1" t="n">
        <v>44819</v>
      </c>
      <c r="C594" s="1" t="n">
        <v>45937</v>
      </c>
      <c r="D594" t="inlineStr">
        <is>
          <t>GOTLANDS LÄN</t>
        </is>
      </c>
      <c r="E594" t="inlineStr">
        <is>
          <t>GOTLAND</t>
        </is>
      </c>
      <c r="F594" t="inlineStr">
        <is>
          <t>Kyrkan</t>
        </is>
      </c>
      <c r="G594" t="n">
        <v>3.7</v>
      </c>
      <c r="H594" t="n">
        <v>0</v>
      </c>
      <c r="I594" t="n">
        <v>0</v>
      </c>
      <c r="J594" t="n">
        <v>0</v>
      </c>
      <c r="K594" t="n">
        <v>0</v>
      </c>
      <c r="L594" t="n">
        <v>0</v>
      </c>
      <c r="M594" t="n">
        <v>0</v>
      </c>
      <c r="N594" t="n">
        <v>0</v>
      </c>
      <c r="O594" t="n">
        <v>0</v>
      </c>
      <c r="P594" t="n">
        <v>0</v>
      </c>
      <c r="Q594" t="n">
        <v>0</v>
      </c>
      <c r="R594" s="2" t="inlineStr"/>
    </row>
    <row r="595" ht="15" customHeight="1">
      <c r="A595" t="inlineStr">
        <is>
          <t>A 58211-2024</t>
        </is>
      </c>
      <c r="B595" s="1" t="n">
        <v>45632.49292824074</v>
      </c>
      <c r="C595" s="1" t="n">
        <v>45937</v>
      </c>
      <c r="D595" t="inlineStr">
        <is>
          <t>GOTLANDS LÄN</t>
        </is>
      </c>
      <c r="E595" t="inlineStr">
        <is>
          <t>GOTLAND</t>
        </is>
      </c>
      <c r="G595" t="n">
        <v>5.4</v>
      </c>
      <c r="H595" t="n">
        <v>0</v>
      </c>
      <c r="I595" t="n">
        <v>0</v>
      </c>
      <c r="J595" t="n">
        <v>0</v>
      </c>
      <c r="K595" t="n">
        <v>0</v>
      </c>
      <c r="L595" t="n">
        <v>0</v>
      </c>
      <c r="M595" t="n">
        <v>0</v>
      </c>
      <c r="N595" t="n">
        <v>0</v>
      </c>
      <c r="O595" t="n">
        <v>0</v>
      </c>
      <c r="P595" t="n">
        <v>0</v>
      </c>
      <c r="Q595" t="n">
        <v>0</v>
      </c>
      <c r="R595" s="2" t="inlineStr"/>
    </row>
    <row r="596" ht="15" customHeight="1">
      <c r="A596" t="inlineStr">
        <is>
          <t>A 30956-2024</t>
        </is>
      </c>
      <c r="B596" s="1" t="n">
        <v>45499.42527777778</v>
      </c>
      <c r="C596" s="1" t="n">
        <v>45937</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30892-2024</t>
        </is>
      </c>
      <c r="B597" s="1" t="n">
        <v>45491</v>
      </c>
      <c r="C597" s="1" t="n">
        <v>45937</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14635-2023</t>
        </is>
      </c>
      <c r="B598" s="1" t="n">
        <v>45013.69365740741</v>
      </c>
      <c r="C598" s="1" t="n">
        <v>45937</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59469-2024</t>
        </is>
      </c>
      <c r="B599" s="1" t="n">
        <v>45638</v>
      </c>
      <c r="C599" s="1" t="n">
        <v>45937</v>
      </c>
      <c r="D599" t="inlineStr">
        <is>
          <t>GOTLANDS LÄN</t>
        </is>
      </c>
      <c r="E599" t="inlineStr">
        <is>
          <t>GOTLAND</t>
        </is>
      </c>
      <c r="G599" t="n">
        <v>0.4</v>
      </c>
      <c r="H599" t="n">
        <v>0</v>
      </c>
      <c r="I599" t="n">
        <v>0</v>
      </c>
      <c r="J599" t="n">
        <v>0</v>
      </c>
      <c r="K599" t="n">
        <v>0</v>
      </c>
      <c r="L599" t="n">
        <v>0</v>
      </c>
      <c r="M599" t="n">
        <v>0</v>
      </c>
      <c r="N599" t="n">
        <v>0</v>
      </c>
      <c r="O599" t="n">
        <v>0</v>
      </c>
      <c r="P599" t="n">
        <v>0</v>
      </c>
      <c r="Q599" t="n">
        <v>0</v>
      </c>
      <c r="R599" s="2" t="inlineStr"/>
    </row>
    <row r="600">
      <c r="A600" t="inlineStr">
        <is>
          <t>A 7858-2025</t>
        </is>
      </c>
      <c r="B600" s="1" t="n">
        <v>45706.68633101852</v>
      </c>
      <c r="C600" s="1" t="n">
        <v>45937</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2025-10-07T12:30:51Z</dcterms:created>
  <dcterms:modified xmlns:dcterms="http://purl.org/dc/terms/" xmlns:xsi="http://www.w3.org/2001/XMLSchema-instance" xsi:type="dcterms:W3CDTF">2025-10-07T12:30:51Z</dcterms:modified>
</cp:coreProperties>
</file>