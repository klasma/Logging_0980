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46144</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46144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46144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46144</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46144</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46144</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46144</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46144</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46144</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46144</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46144</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46144</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46144</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46144</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46144</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46144</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46144</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46144</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46144</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46144</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46144</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46144</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46144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46144</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46144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46144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35141-2022</t>
        </is>
      </c>
      <c r="B33" s="1" t="n">
        <v>44797.53318287037</v>
      </c>
      <c r="C33" s="1" t="n">
        <v>46144</v>
      </c>
      <c r="D33" t="inlineStr">
        <is>
          <t>GOTLANDS LÄN</t>
        </is>
      </c>
      <c r="E33" t="inlineStr">
        <is>
          <t>GOTLAND</t>
        </is>
      </c>
      <c r="G33" t="n">
        <v>1.8</v>
      </c>
      <c r="H33" t="n">
        <v>0</v>
      </c>
      <c r="I33" t="n">
        <v>7</v>
      </c>
      <c r="J33" t="n">
        <v>3</v>
      </c>
      <c r="K33" t="n">
        <v>3</v>
      </c>
      <c r="L33" t="n">
        <v>0</v>
      </c>
      <c r="M33" t="n">
        <v>0</v>
      </c>
      <c r="N33" t="n">
        <v>0</v>
      </c>
      <c r="O33" t="n">
        <v>6</v>
      </c>
      <c r="P33" t="n">
        <v>3</v>
      </c>
      <c r="Q33" t="n">
        <v>13</v>
      </c>
      <c r="R33" s="2" t="inlineStr">
        <is>
          <t>Dvärgfjällskivling
Svartgrön spindling
Violettfläckig spindling
Bittermusseron
Flattoppad klubbsvamp
Odörspindling
Anisspindling
Fransig jordstjärna
Kambräken
Olivspindling
Rödgul trumpetsvamp
Svavelriska
Vågbandad barkbock</t>
        </is>
      </c>
      <c r="S33">
        <f>HYPERLINK("https://klasma.github.io/Logging_0980/artfynd/A 35141-2022 artfynd.xlsx", "A 35141-2022")</f>
        <v/>
      </c>
      <c r="T33">
        <f>HYPERLINK("https://klasma.github.io/Logging_0980/kartor/A 35141-2022 karta.png", "A 35141-2022")</f>
        <v/>
      </c>
      <c r="V33">
        <f>HYPERLINK("https://klasma.github.io/Logging_0980/klagomål/A 35141-2022 FSC-klagomål.docx", "A 35141-2022")</f>
        <v/>
      </c>
      <c r="W33">
        <f>HYPERLINK("https://klasma.github.io/Logging_0980/klagomålsmail/A 35141-2022 FSC-klagomål mail.docx", "A 35141-2022")</f>
        <v/>
      </c>
      <c r="X33">
        <f>HYPERLINK("https://klasma.github.io/Logging_0980/tillsyn/A 35141-2022 tillsynsbegäran.docx", "A 35141-2022")</f>
        <v/>
      </c>
      <c r="Y33">
        <f>HYPERLINK("https://klasma.github.io/Logging_0980/tillsynsmail/A 35141-2022 tillsynsbegäran mail.docx", "A 35141-2022")</f>
        <v/>
      </c>
    </row>
    <row r="34" ht="15" customHeight="1">
      <c r="A34" t="inlineStr">
        <is>
          <t>A 44204-2022</t>
        </is>
      </c>
      <c r="B34" s="1" t="n">
        <v>44839</v>
      </c>
      <c r="C34" s="1" t="n">
        <v>46144</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46144</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46144</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46144</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46144</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46144</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46144</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46144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46144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46144</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46144</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14354-2024</t>
        </is>
      </c>
      <c r="B46" s="1" t="n">
        <v>45393</v>
      </c>
      <c r="C46" s="1" t="n">
        <v>46144</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17766-2024</t>
        </is>
      </c>
      <c r="B47" s="1" t="n">
        <v>45418</v>
      </c>
      <c r="C47" s="1" t="n">
        <v>46144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46144</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46144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46144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584-2023</t>
        </is>
      </c>
      <c r="B51" s="1" t="n">
        <v>44930</v>
      </c>
      <c r="C51" s="1" t="n">
        <v>46144</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46144</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46144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46144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1769-2022</t>
        </is>
      </c>
      <c r="B56" s="1" t="n">
        <v>44574</v>
      </c>
      <c r="C56" s="1" t="n">
        <v>46144</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46144</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46144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46144</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2649-2023</t>
        </is>
      </c>
      <c r="B60" s="1" t="n">
        <v>44943</v>
      </c>
      <c r="C60" s="1" t="n">
        <v>46144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46144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46144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46144</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46144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46144</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46144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46144</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46144</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46144</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46144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46144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53584-2025</t>
        </is>
      </c>
      <c r="B73" s="1" t="n">
        <v>45960.43130787037</v>
      </c>
      <c r="C73" s="1" t="n">
        <v>46144</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7038-2023</t>
        </is>
      </c>
      <c r="B74" s="1" t="n">
        <v>44968</v>
      </c>
      <c r="C74" s="1" t="n">
        <v>46144</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57773-2025</t>
        </is>
      </c>
      <c r="B75" s="1" t="n">
        <v>45981.56349537037</v>
      </c>
      <c r="C75" s="1" t="n">
        <v>46144</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46144</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46144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46144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46144</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46144</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52245-2025</t>
        </is>
      </c>
      <c r="B81" s="1" t="n">
        <v>45953.47115740741</v>
      </c>
      <c r="C81" s="1" t="n">
        <v>46144</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46144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46144</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32326-2024</t>
        </is>
      </c>
      <c r="B84" s="1" t="n">
        <v>45512</v>
      </c>
      <c r="C84" s="1" t="n">
        <v>46144</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16375-2025</t>
        </is>
      </c>
      <c r="B85" s="1" t="n">
        <v>45751.41064814815</v>
      </c>
      <c r="C85" s="1" t="n">
        <v>46144</v>
      </c>
      <c r="D85" t="inlineStr">
        <is>
          <t>GOTLANDS LÄN</t>
        </is>
      </c>
      <c r="E85" t="inlineStr">
        <is>
          <t>GOTLAND</t>
        </is>
      </c>
      <c r="G85" t="n">
        <v>1.9</v>
      </c>
      <c r="H85" t="n">
        <v>3</v>
      </c>
      <c r="I85" t="n">
        <v>3</v>
      </c>
      <c r="J85" t="n">
        <v>1</v>
      </c>
      <c r="K85" t="n">
        <v>0</v>
      </c>
      <c r="L85" t="n">
        <v>1</v>
      </c>
      <c r="M85" t="n">
        <v>0</v>
      </c>
      <c r="N85" t="n">
        <v>0</v>
      </c>
      <c r="O85" t="n">
        <v>2</v>
      </c>
      <c r="P85" t="n">
        <v>1</v>
      </c>
      <c r="Q85" t="n">
        <v>5</v>
      </c>
      <c r="R85" s="2" t="inlineStr">
        <is>
          <t>Ask
Spillkråka
Blåmossa
Nästrot
Tvåblad</t>
        </is>
      </c>
      <c r="S85">
        <f>HYPERLINK("https://klasma.github.io/Logging_0980/artfynd/A 16375-2025 artfynd.xlsx", "A 16375-2025")</f>
        <v/>
      </c>
      <c r="T85">
        <f>HYPERLINK("https://klasma.github.io/Logging_0980/kartor/A 16375-2025 karta.png", "A 16375-2025")</f>
        <v/>
      </c>
      <c r="V85">
        <f>HYPERLINK("https://klasma.github.io/Logging_0980/klagomål/A 16375-2025 FSC-klagomål.docx", "A 16375-2025")</f>
        <v/>
      </c>
      <c r="W85">
        <f>HYPERLINK("https://klasma.github.io/Logging_0980/klagomålsmail/A 16375-2025 FSC-klagomål mail.docx", "A 16375-2025")</f>
        <v/>
      </c>
      <c r="X85">
        <f>HYPERLINK("https://klasma.github.io/Logging_0980/tillsyn/A 16375-2025 tillsynsbegäran.docx", "A 16375-2025")</f>
        <v/>
      </c>
      <c r="Y85">
        <f>HYPERLINK("https://klasma.github.io/Logging_0980/tillsynsmail/A 16375-2025 tillsynsbegäran mail.docx", "A 16375-2025")</f>
        <v/>
      </c>
      <c r="Z85">
        <f>HYPERLINK("https://klasma.github.io/Logging_0980/fåglar/A 16375-2025 prioriterade fågelarter.docx", "A 16375-2025")</f>
        <v/>
      </c>
    </row>
    <row r="86" ht="15" customHeight="1">
      <c r="A86" t="inlineStr">
        <is>
          <t>A 35293-2025</t>
        </is>
      </c>
      <c r="B86" s="1" t="n">
        <v>45854.39438657407</v>
      </c>
      <c r="C86" s="1" t="n">
        <v>46144</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46144</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46144</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46144</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1971-2023</t>
        </is>
      </c>
      <c r="B90" s="1" t="n">
        <v>44939</v>
      </c>
      <c r="C90" s="1" t="n">
        <v>46144</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5904-2024</t>
        </is>
      </c>
      <c r="B91" s="1" t="n">
        <v>45335</v>
      </c>
      <c r="C91" s="1" t="n">
        <v>46144</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46144</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44933-2022</t>
        </is>
      </c>
      <c r="B93" s="1" t="n">
        <v>44841</v>
      </c>
      <c r="C93" s="1" t="n">
        <v>46144</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2485-2025</t>
        </is>
      </c>
      <c r="B94" s="1" t="n">
        <v>45673</v>
      </c>
      <c r="C94" s="1" t="n">
        <v>46144</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54523-2023</t>
        </is>
      </c>
      <c r="B95" s="1" t="n">
        <v>45233</v>
      </c>
      <c r="C95" s="1" t="n">
        <v>46144</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52250-2025</t>
        </is>
      </c>
      <c r="B96" s="1" t="n">
        <v>45953.48998842593</v>
      </c>
      <c r="C96" s="1" t="n">
        <v>46144</v>
      </c>
      <c r="D96" t="inlineStr">
        <is>
          <t>GOTLANDS LÄN</t>
        </is>
      </c>
      <c r="E96" t="inlineStr">
        <is>
          <t>GOTLAND</t>
        </is>
      </c>
      <c r="F96" t="inlineStr">
        <is>
          <t>Övriga Aktiebolag</t>
        </is>
      </c>
      <c r="G96" t="n">
        <v>1.2</v>
      </c>
      <c r="H96" t="n">
        <v>2</v>
      </c>
      <c r="I96" t="n">
        <v>1</v>
      </c>
      <c r="J96" t="n">
        <v>2</v>
      </c>
      <c r="K96" t="n">
        <v>0</v>
      </c>
      <c r="L96" t="n">
        <v>0</v>
      </c>
      <c r="M96" t="n">
        <v>0</v>
      </c>
      <c r="N96" t="n">
        <v>0</v>
      </c>
      <c r="O96" t="n">
        <v>2</v>
      </c>
      <c r="P96" t="n">
        <v>0</v>
      </c>
      <c r="Q96" t="n">
        <v>4</v>
      </c>
      <c r="R96" s="2" t="inlineStr">
        <is>
          <t>Backtimjan
Spillkråka
Anisspindling
Nattviol</t>
        </is>
      </c>
      <c r="S96">
        <f>HYPERLINK("https://klasma.github.io/Logging_0980/artfynd/A 52250-2025 artfynd.xlsx", "A 52250-2025")</f>
        <v/>
      </c>
      <c r="T96">
        <f>HYPERLINK("https://klasma.github.io/Logging_0980/kartor/A 52250-2025 karta.png", "A 52250-2025")</f>
        <v/>
      </c>
      <c r="V96">
        <f>HYPERLINK("https://klasma.github.io/Logging_0980/klagomål/A 52250-2025 FSC-klagomål.docx", "A 52250-2025")</f>
        <v/>
      </c>
      <c r="W96">
        <f>HYPERLINK("https://klasma.github.io/Logging_0980/klagomålsmail/A 52250-2025 FSC-klagomål mail.docx", "A 52250-2025")</f>
        <v/>
      </c>
      <c r="X96">
        <f>HYPERLINK("https://klasma.github.io/Logging_0980/tillsyn/A 52250-2025 tillsynsbegäran.docx", "A 52250-2025")</f>
        <v/>
      </c>
      <c r="Y96">
        <f>HYPERLINK("https://klasma.github.io/Logging_0980/tillsynsmail/A 52250-2025 tillsynsbegäran mail.docx", "A 52250-2025")</f>
        <v/>
      </c>
      <c r="Z96">
        <f>HYPERLINK("https://klasma.github.io/Logging_0980/fåglar/A 52250-2025 prioriterade fågelarter.docx", "A 52250-2025")</f>
        <v/>
      </c>
    </row>
    <row r="97" ht="15" customHeight="1">
      <c r="A97" t="inlineStr">
        <is>
          <t>A 6836-2026</t>
        </is>
      </c>
      <c r="B97" s="1" t="n">
        <v>46057.40902777778</v>
      </c>
      <c r="C97" s="1" t="n">
        <v>46144</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57463-2025</t>
        </is>
      </c>
      <c r="B98" s="1" t="n">
        <v>45980.54174768519</v>
      </c>
      <c r="C98" s="1" t="n">
        <v>46144</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13203-2026</t>
        </is>
      </c>
      <c r="B99" s="1" t="n">
        <v>46093</v>
      </c>
      <c r="C99" s="1" t="n">
        <v>46144</v>
      </c>
      <c r="D99" t="inlineStr">
        <is>
          <t>GOTLANDS LÄN</t>
        </is>
      </c>
      <c r="E99" t="inlineStr">
        <is>
          <t>GOTLAND</t>
        </is>
      </c>
      <c r="G99" t="n">
        <v>4.5</v>
      </c>
      <c r="H99" t="n">
        <v>2</v>
      </c>
      <c r="I99" t="n">
        <v>1</v>
      </c>
      <c r="J99" t="n">
        <v>1</v>
      </c>
      <c r="K99" t="n">
        <v>1</v>
      </c>
      <c r="L99" t="n">
        <v>0</v>
      </c>
      <c r="M99" t="n">
        <v>0</v>
      </c>
      <c r="N99" t="n">
        <v>0</v>
      </c>
      <c r="O99" t="n">
        <v>2</v>
      </c>
      <c r="P99" t="n">
        <v>1</v>
      </c>
      <c r="Q99" t="n">
        <v>4</v>
      </c>
      <c r="R99" s="2" t="inlineStr">
        <is>
          <t>Gotlandsmåra
Svinrot
Nästrot
Grönvit nattviol</t>
        </is>
      </c>
      <c r="S99">
        <f>HYPERLINK("https://klasma.github.io/Logging_0980/artfynd/A 13203-2026 artfynd.xlsx", "A 13203-2026")</f>
        <v/>
      </c>
      <c r="T99">
        <f>HYPERLINK("https://klasma.github.io/Logging_0980/kartor/A 13203-2026 karta.png", "A 13203-2026")</f>
        <v/>
      </c>
      <c r="V99">
        <f>HYPERLINK("https://klasma.github.io/Logging_0980/klagomål/A 13203-2026 FSC-klagomål.docx", "A 13203-2026")</f>
        <v/>
      </c>
      <c r="W99">
        <f>HYPERLINK("https://klasma.github.io/Logging_0980/klagomålsmail/A 13203-2026 FSC-klagomål mail.docx", "A 13203-2026")</f>
        <v/>
      </c>
      <c r="X99">
        <f>HYPERLINK("https://klasma.github.io/Logging_0980/tillsyn/A 13203-2026 tillsynsbegäran.docx", "A 13203-2026")</f>
        <v/>
      </c>
      <c r="Y99">
        <f>HYPERLINK("https://klasma.github.io/Logging_0980/tillsynsmail/A 13203-2026 tillsynsbegäran mail.docx", "A 13203-2026")</f>
        <v/>
      </c>
    </row>
    <row r="100" ht="15" customHeight="1">
      <c r="A100" t="inlineStr">
        <is>
          <t>A 8265-2023</t>
        </is>
      </c>
      <c r="B100" s="1" t="n">
        <v>44974</v>
      </c>
      <c r="C100" s="1" t="n">
        <v>46144</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46144</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46144</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20833-2024</t>
        </is>
      </c>
      <c r="B103" s="1" t="n">
        <v>45439</v>
      </c>
      <c r="C103" s="1" t="n">
        <v>46144</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46144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46144</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46144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43013-2022</t>
        </is>
      </c>
      <c r="B108" s="1" t="n">
        <v>44833</v>
      </c>
      <c r="C108" s="1" t="n">
        <v>46144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5235-2025</t>
        </is>
      </c>
      <c r="B109" s="1" t="n">
        <v>45692.26797453704</v>
      </c>
      <c r="C109" s="1" t="n">
        <v>46144</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53552-2021</t>
        </is>
      </c>
      <c r="B110" s="1" t="n">
        <v>44468</v>
      </c>
      <c r="C110" s="1" t="n">
        <v>46144</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55334-2024</t>
        </is>
      </c>
      <c r="B111" s="1" t="n">
        <v>45621</v>
      </c>
      <c r="C111" s="1" t="n">
        <v>46144</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46144</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17982-2023</t>
        </is>
      </c>
      <c r="B113" s="1" t="n">
        <v>45040</v>
      </c>
      <c r="C113" s="1" t="n">
        <v>46144</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46144</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46144</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12315-2024</t>
        </is>
      </c>
      <c r="B116" s="1" t="n">
        <v>45378.6434837963</v>
      </c>
      <c r="C116" s="1" t="n">
        <v>46144</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46144</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73144-2021</t>
        </is>
      </c>
      <c r="B118" s="1" t="n">
        <v>44550</v>
      </c>
      <c r="C118" s="1" t="n">
        <v>46144</v>
      </c>
      <c r="D118" t="inlineStr">
        <is>
          <t>GOTLANDS LÄN</t>
        </is>
      </c>
      <c r="E118" t="inlineStr">
        <is>
          <t>GOTLAND</t>
        </is>
      </c>
      <c r="G118" t="n">
        <v>1.9</v>
      </c>
      <c r="H118" t="n">
        <v>0</v>
      </c>
      <c r="I118" t="n">
        <v>1</v>
      </c>
      <c r="J118" t="n">
        <v>1</v>
      </c>
      <c r="K118" t="n">
        <v>1</v>
      </c>
      <c r="L118" t="n">
        <v>0</v>
      </c>
      <c r="M118" t="n">
        <v>0</v>
      </c>
      <c r="N118" t="n">
        <v>0</v>
      </c>
      <c r="O118" t="n">
        <v>2</v>
      </c>
      <c r="P118" t="n">
        <v>1</v>
      </c>
      <c r="Q118" t="n">
        <v>3</v>
      </c>
      <c r="R118" s="2" t="inlineStr">
        <is>
          <t>Skogskorn
Igelkott
Kambräken</t>
        </is>
      </c>
      <c r="S118">
        <f>HYPERLINK("https://klasma.github.io/Logging_0980/artfynd/A 73144-2021 artfynd.xlsx", "A 73144-2021")</f>
        <v/>
      </c>
      <c r="T118">
        <f>HYPERLINK("https://klasma.github.io/Logging_0980/kartor/A 73144-2021 karta.png", "A 73144-2021")</f>
        <v/>
      </c>
      <c r="V118">
        <f>HYPERLINK("https://klasma.github.io/Logging_0980/klagomål/A 73144-2021 FSC-klagomål.docx", "A 73144-2021")</f>
        <v/>
      </c>
      <c r="W118">
        <f>HYPERLINK("https://klasma.github.io/Logging_0980/klagomålsmail/A 73144-2021 FSC-klagomål mail.docx", "A 73144-2021")</f>
        <v/>
      </c>
      <c r="X118">
        <f>HYPERLINK("https://klasma.github.io/Logging_0980/tillsyn/A 73144-2021 tillsynsbegäran.docx", "A 73144-2021")</f>
        <v/>
      </c>
      <c r="Y118">
        <f>HYPERLINK("https://klasma.github.io/Logging_0980/tillsynsmail/A 73144-2021 tillsynsbegäran mail.docx", "A 73144-2021")</f>
        <v/>
      </c>
    </row>
    <row r="119" ht="15" customHeight="1">
      <c r="A119" t="inlineStr">
        <is>
          <t>A 30490-2025</t>
        </is>
      </c>
      <c r="B119" s="1" t="n">
        <v>45830</v>
      </c>
      <c r="C119" s="1" t="n">
        <v>46144</v>
      </c>
      <c r="D119" t="inlineStr">
        <is>
          <t>GOTLANDS LÄN</t>
        </is>
      </c>
      <c r="E119" t="inlineStr">
        <is>
          <t>GOTLAND</t>
        </is>
      </c>
      <c r="G119" t="n">
        <v>7.9</v>
      </c>
      <c r="H119" t="n">
        <v>1</v>
      </c>
      <c r="I119" t="n">
        <v>0</v>
      </c>
      <c r="J119" t="n">
        <v>2</v>
      </c>
      <c r="K119" t="n">
        <v>0</v>
      </c>
      <c r="L119" t="n">
        <v>0</v>
      </c>
      <c r="M119" t="n">
        <v>0</v>
      </c>
      <c r="N119" t="n">
        <v>0</v>
      </c>
      <c r="O119" t="n">
        <v>2</v>
      </c>
      <c r="P119" t="n">
        <v>0</v>
      </c>
      <c r="Q119" t="n">
        <v>3</v>
      </c>
      <c r="R119" s="2" t="inlineStr">
        <is>
          <t>Klasefibbla
Majviva
Nattviol</t>
        </is>
      </c>
      <c r="S119">
        <f>HYPERLINK("https://klasma.github.io/Logging_0980/artfynd/A 30490-2025 artfynd.xlsx", "A 30490-2025")</f>
        <v/>
      </c>
      <c r="T119">
        <f>HYPERLINK("https://klasma.github.io/Logging_0980/kartor/A 30490-2025 karta.png", "A 30490-2025")</f>
        <v/>
      </c>
      <c r="V119">
        <f>HYPERLINK("https://klasma.github.io/Logging_0980/klagomål/A 30490-2025 FSC-klagomål.docx", "A 30490-2025")</f>
        <v/>
      </c>
      <c r="W119">
        <f>HYPERLINK("https://klasma.github.io/Logging_0980/klagomålsmail/A 30490-2025 FSC-klagomål mail.docx", "A 30490-2025")</f>
        <v/>
      </c>
      <c r="X119">
        <f>HYPERLINK("https://klasma.github.io/Logging_0980/tillsyn/A 30490-2025 tillsynsbegäran.docx", "A 30490-2025")</f>
        <v/>
      </c>
      <c r="Y119">
        <f>HYPERLINK("https://klasma.github.io/Logging_0980/tillsynsmail/A 30490-2025 tillsynsbegäran mail.docx", "A 30490-2025")</f>
        <v/>
      </c>
    </row>
    <row r="120" ht="15" customHeight="1">
      <c r="A120" t="inlineStr">
        <is>
          <t>A 20831-2024</t>
        </is>
      </c>
      <c r="B120" s="1" t="n">
        <v>45439</v>
      </c>
      <c r="C120" s="1" t="n">
        <v>46144</v>
      </c>
      <c r="D120" t="inlineStr">
        <is>
          <t>GOTLANDS LÄN</t>
        </is>
      </c>
      <c r="E120" t="inlineStr">
        <is>
          <t>GOTLAND</t>
        </is>
      </c>
      <c r="G120" t="n">
        <v>2.9</v>
      </c>
      <c r="H120" t="n">
        <v>2</v>
      </c>
      <c r="I120" t="n">
        <v>1</v>
      </c>
      <c r="J120" t="n">
        <v>2</v>
      </c>
      <c r="K120" t="n">
        <v>0</v>
      </c>
      <c r="L120" t="n">
        <v>0</v>
      </c>
      <c r="M120" t="n">
        <v>0</v>
      </c>
      <c r="N120" t="n">
        <v>0</v>
      </c>
      <c r="O120" t="n">
        <v>2</v>
      </c>
      <c r="P120" t="n">
        <v>0</v>
      </c>
      <c r="Q120" t="n">
        <v>3</v>
      </c>
      <c r="R120" s="2" t="inlineStr">
        <is>
          <t>Dårgräsfjäril
Svinrot
Skogsknipprot</t>
        </is>
      </c>
      <c r="S120">
        <f>HYPERLINK("https://klasma.github.io/Logging_0980/artfynd/A 20831-2024 artfynd.xlsx", "A 20831-2024")</f>
        <v/>
      </c>
      <c r="T120">
        <f>HYPERLINK("https://klasma.github.io/Logging_0980/kartor/A 20831-2024 karta.png", "A 20831-2024")</f>
        <v/>
      </c>
      <c r="V120">
        <f>HYPERLINK("https://klasma.github.io/Logging_0980/klagomål/A 20831-2024 FSC-klagomål.docx", "A 20831-2024")</f>
        <v/>
      </c>
      <c r="W120">
        <f>HYPERLINK("https://klasma.github.io/Logging_0980/klagomålsmail/A 20831-2024 FSC-klagomål mail.docx", "A 20831-2024")</f>
        <v/>
      </c>
      <c r="X120">
        <f>HYPERLINK("https://klasma.github.io/Logging_0980/tillsyn/A 20831-2024 tillsynsbegäran.docx", "A 20831-2024")</f>
        <v/>
      </c>
      <c r="Y120">
        <f>HYPERLINK("https://klasma.github.io/Logging_0980/tillsynsmail/A 20831-2024 tillsynsbegäran mail.docx", "A 20831-2024")</f>
        <v/>
      </c>
    </row>
    <row r="121" ht="15" customHeight="1">
      <c r="A121" t="inlineStr">
        <is>
          <t>A 29870-2021</t>
        </is>
      </c>
      <c r="B121" s="1" t="n">
        <v>44362</v>
      </c>
      <c r="C121" s="1" t="n">
        <v>46144</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46144</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46144</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46144</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20838-2024</t>
        </is>
      </c>
      <c r="B126" s="1" t="n">
        <v>45439</v>
      </c>
      <c r="C126" s="1" t="n">
        <v>46144</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20429-2025</t>
        </is>
      </c>
      <c r="B127" s="1" t="n">
        <v>45775.47728009259</v>
      </c>
      <c r="C127" s="1" t="n">
        <v>46144</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54357-2024</t>
        </is>
      </c>
      <c r="B128" s="1" t="n">
        <v>45617.40662037037</v>
      </c>
      <c r="C128" s="1" t="n">
        <v>46144</v>
      </c>
      <c r="D128" t="inlineStr">
        <is>
          <t>GOTLANDS LÄN</t>
        </is>
      </c>
      <c r="E128" t="inlineStr">
        <is>
          <t>GOTLAND</t>
        </is>
      </c>
      <c r="G128" t="n">
        <v>1.5</v>
      </c>
      <c r="H128" t="n">
        <v>1</v>
      </c>
      <c r="I128" t="n">
        <v>0</v>
      </c>
      <c r="J128" t="n">
        <v>1</v>
      </c>
      <c r="K128" t="n">
        <v>0</v>
      </c>
      <c r="L128" t="n">
        <v>0</v>
      </c>
      <c r="M128" t="n">
        <v>0</v>
      </c>
      <c r="N128" t="n">
        <v>0</v>
      </c>
      <c r="O128" t="n">
        <v>1</v>
      </c>
      <c r="P128" t="n">
        <v>0</v>
      </c>
      <c r="Q128" t="n">
        <v>2</v>
      </c>
      <c r="R128" s="2" t="inlineStr">
        <is>
          <t>Loppstarr
Fläcknycklar</t>
        </is>
      </c>
      <c r="S128">
        <f>HYPERLINK("https://klasma.github.io/Logging_0980/artfynd/A 54357-2024 artfynd.xlsx", "A 54357-2024")</f>
        <v/>
      </c>
      <c r="T128">
        <f>HYPERLINK("https://klasma.github.io/Logging_0980/kartor/A 54357-2024 karta.png", "A 54357-2024")</f>
        <v/>
      </c>
      <c r="V128">
        <f>HYPERLINK("https://klasma.github.io/Logging_0980/klagomål/A 54357-2024 FSC-klagomål.docx", "A 54357-2024")</f>
        <v/>
      </c>
      <c r="W128">
        <f>HYPERLINK("https://klasma.github.io/Logging_0980/klagomålsmail/A 54357-2024 FSC-klagomål mail.docx", "A 54357-2024")</f>
        <v/>
      </c>
      <c r="X128">
        <f>HYPERLINK("https://klasma.github.io/Logging_0980/tillsyn/A 54357-2024 tillsynsbegäran.docx", "A 54357-2024")</f>
        <v/>
      </c>
      <c r="Y128">
        <f>HYPERLINK("https://klasma.github.io/Logging_0980/tillsynsmail/A 54357-2024 tillsynsbegäran mail.docx", "A 54357-2024")</f>
        <v/>
      </c>
    </row>
    <row r="129" ht="15" customHeight="1">
      <c r="A129" t="inlineStr">
        <is>
          <t>A 7070-2022</t>
        </is>
      </c>
      <c r="B129" s="1" t="n">
        <v>44603</v>
      </c>
      <c r="C129" s="1" t="n">
        <v>46144</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46144</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46144</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46144</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46144</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62760-2025</t>
        </is>
      </c>
      <c r="B134" s="1" t="n">
        <v>46008</v>
      </c>
      <c r="C134" s="1" t="n">
        <v>46144</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46010.37629629629</v>
      </c>
      <c r="C135" s="1" t="n">
        <v>46144</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16997-2026</t>
        </is>
      </c>
      <c r="B136" s="1" t="n">
        <v>46114.42539351852</v>
      </c>
      <c r="C136" s="1" t="n">
        <v>46144</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28276-2024</t>
        </is>
      </c>
      <c r="B137" s="1" t="n">
        <v>45477</v>
      </c>
      <c r="C137" s="1" t="n">
        <v>46144</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46144</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46144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46144</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46144</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46144</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46144</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65927-2021</t>
        </is>
      </c>
      <c r="B144" s="1" t="n">
        <v>44516</v>
      </c>
      <c r="C144" s="1" t="n">
        <v>46144</v>
      </c>
      <c r="D144" t="inlineStr">
        <is>
          <t>GOTLANDS LÄN</t>
        </is>
      </c>
      <c r="E144" t="inlineStr">
        <is>
          <t>GOTLAND</t>
        </is>
      </c>
      <c r="G144" t="n">
        <v>3.1</v>
      </c>
      <c r="H144" t="n">
        <v>1</v>
      </c>
      <c r="I144" t="n">
        <v>0</v>
      </c>
      <c r="J144" t="n">
        <v>0</v>
      </c>
      <c r="K144" t="n">
        <v>1</v>
      </c>
      <c r="L144" t="n">
        <v>0</v>
      </c>
      <c r="M144" t="n">
        <v>0</v>
      </c>
      <c r="N144" t="n">
        <v>0</v>
      </c>
      <c r="O144" t="n">
        <v>1</v>
      </c>
      <c r="P144" t="n">
        <v>1</v>
      </c>
      <c r="Q144" t="n">
        <v>1</v>
      </c>
      <c r="R144" s="2" t="inlineStr">
        <is>
          <t>Grenigt kungsljus</t>
        </is>
      </c>
      <c r="S144">
        <f>HYPERLINK("https://klasma.github.io/Logging_0980/artfynd/A 65927-2021 artfynd.xlsx", "A 65927-2021")</f>
        <v/>
      </c>
      <c r="T144">
        <f>HYPERLINK("https://klasma.github.io/Logging_0980/kartor/A 65927-2021 karta.png", "A 65927-2021")</f>
        <v/>
      </c>
      <c r="V144">
        <f>HYPERLINK("https://klasma.github.io/Logging_0980/klagomål/A 65927-2021 FSC-klagomål.docx", "A 65927-2021")</f>
        <v/>
      </c>
      <c r="W144">
        <f>HYPERLINK("https://klasma.github.io/Logging_0980/klagomålsmail/A 65927-2021 FSC-klagomål mail.docx", "A 65927-2021")</f>
        <v/>
      </c>
      <c r="X144">
        <f>HYPERLINK("https://klasma.github.io/Logging_0980/tillsyn/A 65927-2021 tillsynsbegäran.docx", "A 65927-2021")</f>
        <v/>
      </c>
      <c r="Y144">
        <f>HYPERLINK("https://klasma.github.io/Logging_0980/tillsynsmail/A 65927-2021 tillsynsbegäran mail.docx", "A 65927-2021")</f>
        <v/>
      </c>
    </row>
    <row r="145" ht="15" customHeight="1">
      <c r="A145" t="inlineStr">
        <is>
          <t>A 61796-2022</t>
        </is>
      </c>
      <c r="B145" s="1" t="n">
        <v>44917</v>
      </c>
      <c r="C145" s="1" t="n">
        <v>46144</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15637-2024</t>
        </is>
      </c>
      <c r="B146" s="1" t="n">
        <v>45403.6684837963</v>
      </c>
      <c r="C146" s="1" t="n">
        <v>46144</v>
      </c>
      <c r="D146" t="inlineStr">
        <is>
          <t>GOTLANDS LÄN</t>
        </is>
      </c>
      <c r="E146" t="inlineStr">
        <is>
          <t>GOTLAND</t>
        </is>
      </c>
      <c r="G146" t="n">
        <v>4.1</v>
      </c>
      <c r="H146" t="n">
        <v>1</v>
      </c>
      <c r="I146" t="n">
        <v>0</v>
      </c>
      <c r="J146" t="n">
        <v>0</v>
      </c>
      <c r="K146" t="n">
        <v>0</v>
      </c>
      <c r="L146" t="n">
        <v>0</v>
      </c>
      <c r="M146" t="n">
        <v>0</v>
      </c>
      <c r="N146" t="n">
        <v>0</v>
      </c>
      <c r="O146" t="n">
        <v>0</v>
      </c>
      <c r="P146" t="n">
        <v>0</v>
      </c>
      <c r="Q146" t="n">
        <v>1</v>
      </c>
      <c r="R146" s="2" t="inlineStr">
        <is>
          <t>Blåsippa</t>
        </is>
      </c>
      <c r="S146">
        <f>HYPERLINK("https://klasma.github.io/Logging_0980/artfynd/A 15637-2024 artfynd.xlsx", "A 15637-2024")</f>
        <v/>
      </c>
      <c r="T146">
        <f>HYPERLINK("https://klasma.github.io/Logging_0980/kartor/A 15637-2024 karta.png", "A 15637-2024")</f>
        <v/>
      </c>
      <c r="V146">
        <f>HYPERLINK("https://klasma.github.io/Logging_0980/klagomål/A 15637-2024 FSC-klagomål.docx", "A 15637-2024")</f>
        <v/>
      </c>
      <c r="W146">
        <f>HYPERLINK("https://klasma.github.io/Logging_0980/klagomålsmail/A 15637-2024 FSC-klagomål mail.docx", "A 15637-2024")</f>
        <v/>
      </c>
      <c r="X146">
        <f>HYPERLINK("https://klasma.github.io/Logging_0980/tillsyn/A 15637-2024 tillsynsbegäran.docx", "A 15637-2024")</f>
        <v/>
      </c>
      <c r="Y146">
        <f>HYPERLINK("https://klasma.github.io/Logging_0980/tillsynsmail/A 15637-2024 tillsynsbegäran mail.docx", "A 15637-2024")</f>
        <v/>
      </c>
    </row>
    <row r="147" ht="15" customHeight="1">
      <c r="A147" t="inlineStr">
        <is>
          <t>A 12924-2025</t>
        </is>
      </c>
      <c r="B147" s="1" t="n">
        <v>45734</v>
      </c>
      <c r="C147" s="1" t="n">
        <v>46144</v>
      </c>
      <c r="D147" t="inlineStr">
        <is>
          <t>GOTLANDS LÄN</t>
        </is>
      </c>
      <c r="E147" t="inlineStr">
        <is>
          <t>GOTLAND</t>
        </is>
      </c>
      <c r="G147" t="n">
        <v>11.7</v>
      </c>
      <c r="H147" t="n">
        <v>0</v>
      </c>
      <c r="I147" t="n">
        <v>0</v>
      </c>
      <c r="J147" t="n">
        <v>0</v>
      </c>
      <c r="K147" t="n">
        <v>1</v>
      </c>
      <c r="L147" t="n">
        <v>0</v>
      </c>
      <c r="M147" t="n">
        <v>0</v>
      </c>
      <c r="N147" t="n">
        <v>0</v>
      </c>
      <c r="O147" t="n">
        <v>1</v>
      </c>
      <c r="P147" t="n">
        <v>1</v>
      </c>
      <c r="Q147" t="n">
        <v>1</v>
      </c>
      <c r="R147" s="2" t="inlineStr">
        <is>
          <t>Gotlandsmåra</t>
        </is>
      </c>
      <c r="S147">
        <f>HYPERLINK("https://klasma.github.io/Logging_0980/artfynd/A 12924-2025 artfynd.xlsx", "A 12924-2025")</f>
        <v/>
      </c>
      <c r="T147">
        <f>HYPERLINK("https://klasma.github.io/Logging_0980/kartor/A 12924-2025 karta.png", "A 12924-2025")</f>
        <v/>
      </c>
      <c r="V147">
        <f>HYPERLINK("https://klasma.github.io/Logging_0980/klagomål/A 12924-2025 FSC-klagomål.docx", "A 12924-2025")</f>
        <v/>
      </c>
      <c r="W147">
        <f>HYPERLINK("https://klasma.github.io/Logging_0980/klagomålsmail/A 12924-2025 FSC-klagomål mail.docx", "A 12924-2025")</f>
        <v/>
      </c>
      <c r="X147">
        <f>HYPERLINK("https://klasma.github.io/Logging_0980/tillsyn/A 12924-2025 tillsynsbegäran.docx", "A 12924-2025")</f>
        <v/>
      </c>
      <c r="Y147">
        <f>HYPERLINK("https://klasma.github.io/Logging_0980/tillsynsmail/A 12924-2025 tillsynsbegäran mail.docx", "A 12924-2025")</f>
        <v/>
      </c>
    </row>
    <row r="148" ht="15" customHeight="1">
      <c r="A148" t="inlineStr">
        <is>
          <t>A 2476-2025</t>
        </is>
      </c>
      <c r="B148" s="1" t="n">
        <v>45673</v>
      </c>
      <c r="C148" s="1" t="n">
        <v>46144</v>
      </c>
      <c r="D148" t="inlineStr">
        <is>
          <t>GOTLANDS LÄN</t>
        </is>
      </c>
      <c r="E148" t="inlineStr">
        <is>
          <t>GOTLAND</t>
        </is>
      </c>
      <c r="G148" t="n">
        <v>3.1</v>
      </c>
      <c r="H148" t="n">
        <v>0</v>
      </c>
      <c r="I148" t="n">
        <v>1</v>
      </c>
      <c r="J148" t="n">
        <v>0</v>
      </c>
      <c r="K148" t="n">
        <v>0</v>
      </c>
      <c r="L148" t="n">
        <v>0</v>
      </c>
      <c r="M148" t="n">
        <v>0</v>
      </c>
      <c r="N148" t="n">
        <v>0</v>
      </c>
      <c r="O148" t="n">
        <v>0</v>
      </c>
      <c r="P148" t="n">
        <v>0</v>
      </c>
      <c r="Q148" t="n">
        <v>1</v>
      </c>
      <c r="R148" s="2" t="inlineStr">
        <is>
          <t>Kryddspindling</t>
        </is>
      </c>
      <c r="S148">
        <f>HYPERLINK("https://klasma.github.io/Logging_0980/artfynd/A 2476-2025 artfynd.xlsx", "A 2476-2025")</f>
        <v/>
      </c>
      <c r="T148">
        <f>HYPERLINK("https://klasma.github.io/Logging_0980/kartor/A 2476-2025 karta.png", "A 2476-2025")</f>
        <v/>
      </c>
      <c r="V148">
        <f>HYPERLINK("https://klasma.github.io/Logging_0980/klagomål/A 2476-2025 FSC-klagomål.docx", "A 2476-2025")</f>
        <v/>
      </c>
      <c r="W148">
        <f>HYPERLINK("https://klasma.github.io/Logging_0980/klagomålsmail/A 2476-2025 FSC-klagomål mail.docx", "A 2476-2025")</f>
        <v/>
      </c>
      <c r="X148">
        <f>HYPERLINK("https://klasma.github.io/Logging_0980/tillsyn/A 2476-2025 tillsynsbegäran.docx", "A 2476-2025")</f>
        <v/>
      </c>
      <c r="Y148">
        <f>HYPERLINK("https://klasma.github.io/Logging_0980/tillsynsmail/A 2476-2025 tillsynsbegäran mail.docx", "A 2476-2025")</f>
        <v/>
      </c>
    </row>
    <row r="149" ht="15" customHeight="1">
      <c r="A149" t="inlineStr">
        <is>
          <t>A 39812-2025</t>
        </is>
      </c>
      <c r="B149" s="1" t="n">
        <v>45891</v>
      </c>
      <c r="C149" s="1" t="n">
        <v>46144</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10995-2023</t>
        </is>
      </c>
      <c r="B150" s="1" t="n">
        <v>44986</v>
      </c>
      <c r="C150" s="1" t="n">
        <v>46144</v>
      </c>
      <c r="D150" t="inlineStr">
        <is>
          <t>GOTLANDS LÄN</t>
        </is>
      </c>
      <c r="E150" t="inlineStr">
        <is>
          <t>GOTLAND</t>
        </is>
      </c>
      <c r="G150" t="n">
        <v>2.8</v>
      </c>
      <c r="H150" t="n">
        <v>0</v>
      </c>
      <c r="I150" t="n">
        <v>0</v>
      </c>
      <c r="J150" t="n">
        <v>0</v>
      </c>
      <c r="K150" t="n">
        <v>1</v>
      </c>
      <c r="L150" t="n">
        <v>0</v>
      </c>
      <c r="M150" t="n">
        <v>0</v>
      </c>
      <c r="N150" t="n">
        <v>0</v>
      </c>
      <c r="O150" t="n">
        <v>1</v>
      </c>
      <c r="P150" t="n">
        <v>1</v>
      </c>
      <c r="Q150" t="n">
        <v>1</v>
      </c>
      <c r="R150" s="2" t="inlineStr">
        <is>
          <t>Violettfläckig spindling</t>
        </is>
      </c>
      <c r="S150">
        <f>HYPERLINK("https://klasma.github.io/Logging_0980/artfynd/A 10995-2023 artfynd.xlsx", "A 10995-2023")</f>
        <v/>
      </c>
      <c r="T150">
        <f>HYPERLINK("https://klasma.github.io/Logging_0980/kartor/A 10995-2023 karta.png", "A 10995-2023")</f>
        <v/>
      </c>
      <c r="V150">
        <f>HYPERLINK("https://klasma.github.io/Logging_0980/klagomål/A 10995-2023 FSC-klagomål.docx", "A 10995-2023")</f>
        <v/>
      </c>
      <c r="W150">
        <f>HYPERLINK("https://klasma.github.io/Logging_0980/klagomålsmail/A 10995-2023 FSC-klagomål mail.docx", "A 10995-2023")</f>
        <v/>
      </c>
      <c r="X150">
        <f>HYPERLINK("https://klasma.github.io/Logging_0980/tillsyn/A 10995-2023 tillsynsbegäran.docx", "A 10995-2023")</f>
        <v/>
      </c>
      <c r="Y150">
        <f>HYPERLINK("https://klasma.github.io/Logging_0980/tillsynsmail/A 10995-2023 tillsynsbegäran mail.docx", "A 10995-2023")</f>
        <v/>
      </c>
    </row>
    <row r="151" ht="15" customHeight="1">
      <c r="A151" t="inlineStr">
        <is>
          <t>A 62552-2022</t>
        </is>
      </c>
      <c r="B151" s="1" t="n">
        <v>44924</v>
      </c>
      <c r="C151" s="1" t="n">
        <v>46144</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46144</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44088-2022</t>
        </is>
      </c>
      <c r="B153" s="1" t="n">
        <v>44839</v>
      </c>
      <c r="C153" s="1" t="n">
        <v>46144</v>
      </c>
      <c r="D153" t="inlineStr">
        <is>
          <t>GOTLANDS LÄN</t>
        </is>
      </c>
      <c r="E153" t="inlineStr">
        <is>
          <t>GOTLAND</t>
        </is>
      </c>
      <c r="G153" t="n">
        <v>1.5</v>
      </c>
      <c r="H153" t="n">
        <v>0</v>
      </c>
      <c r="I153" t="n">
        <v>1</v>
      </c>
      <c r="J153" t="n">
        <v>0</v>
      </c>
      <c r="K153" t="n">
        <v>0</v>
      </c>
      <c r="L153" t="n">
        <v>0</v>
      </c>
      <c r="M153" t="n">
        <v>0</v>
      </c>
      <c r="N153" t="n">
        <v>0</v>
      </c>
      <c r="O153" t="n">
        <v>0</v>
      </c>
      <c r="P153" t="n">
        <v>0</v>
      </c>
      <c r="Q153" t="n">
        <v>1</v>
      </c>
      <c r="R153" s="2" t="inlineStr">
        <is>
          <t>Strävlosta</t>
        </is>
      </c>
      <c r="S153">
        <f>HYPERLINK("https://klasma.github.io/Logging_0980/artfynd/A 44088-2022 artfynd.xlsx", "A 44088-2022")</f>
        <v/>
      </c>
      <c r="T153">
        <f>HYPERLINK("https://klasma.github.io/Logging_0980/kartor/A 44088-2022 karta.png", "A 44088-2022")</f>
        <v/>
      </c>
      <c r="V153">
        <f>HYPERLINK("https://klasma.github.io/Logging_0980/klagomål/A 44088-2022 FSC-klagomål.docx", "A 44088-2022")</f>
        <v/>
      </c>
      <c r="W153">
        <f>HYPERLINK("https://klasma.github.io/Logging_0980/klagomålsmail/A 44088-2022 FSC-klagomål mail.docx", "A 44088-2022")</f>
        <v/>
      </c>
      <c r="X153">
        <f>HYPERLINK("https://klasma.github.io/Logging_0980/tillsyn/A 44088-2022 tillsynsbegäran.docx", "A 44088-2022")</f>
        <v/>
      </c>
      <c r="Y153">
        <f>HYPERLINK("https://klasma.github.io/Logging_0980/tillsynsmail/A 44088-2022 tillsynsbegäran mail.docx", "A 44088-2022")</f>
        <v/>
      </c>
    </row>
    <row r="154" ht="15" customHeight="1">
      <c r="A154" t="inlineStr">
        <is>
          <t>A 44619-2025</t>
        </is>
      </c>
      <c r="B154" s="1" t="n">
        <v>45917</v>
      </c>
      <c r="C154" s="1" t="n">
        <v>46144</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44308-2021</t>
        </is>
      </c>
      <c r="B155" s="1" t="n">
        <v>44434</v>
      </c>
      <c r="C155" s="1" t="n">
        <v>46144</v>
      </c>
      <c r="D155" t="inlineStr">
        <is>
          <t>GOTLANDS LÄN</t>
        </is>
      </c>
      <c r="E155" t="inlineStr">
        <is>
          <t>GOTLAND</t>
        </is>
      </c>
      <c r="G155" t="n">
        <v>5.9</v>
      </c>
      <c r="H155" t="n">
        <v>0</v>
      </c>
      <c r="I155" t="n">
        <v>1</v>
      </c>
      <c r="J155" t="n">
        <v>0</v>
      </c>
      <c r="K155" t="n">
        <v>0</v>
      </c>
      <c r="L155" t="n">
        <v>0</v>
      </c>
      <c r="M155" t="n">
        <v>0</v>
      </c>
      <c r="N155" t="n">
        <v>0</v>
      </c>
      <c r="O155" t="n">
        <v>0</v>
      </c>
      <c r="P155" t="n">
        <v>0</v>
      </c>
      <c r="Q155" t="n">
        <v>1</v>
      </c>
      <c r="R155" s="2" t="inlineStr">
        <is>
          <t>Svavelriska</t>
        </is>
      </c>
      <c r="S155">
        <f>HYPERLINK("https://klasma.github.io/Logging_0980/artfynd/A 44308-2021 artfynd.xlsx", "A 44308-2021")</f>
        <v/>
      </c>
      <c r="T155">
        <f>HYPERLINK("https://klasma.github.io/Logging_0980/kartor/A 44308-2021 karta.png", "A 44308-2021")</f>
        <v/>
      </c>
      <c r="V155">
        <f>HYPERLINK("https://klasma.github.io/Logging_0980/klagomål/A 44308-2021 FSC-klagomål.docx", "A 44308-2021")</f>
        <v/>
      </c>
      <c r="W155">
        <f>HYPERLINK("https://klasma.github.io/Logging_0980/klagomålsmail/A 44308-2021 FSC-klagomål mail.docx", "A 44308-2021")</f>
        <v/>
      </c>
      <c r="X155">
        <f>HYPERLINK("https://klasma.github.io/Logging_0980/tillsyn/A 44308-2021 tillsynsbegäran.docx", "A 44308-2021")</f>
        <v/>
      </c>
      <c r="Y155">
        <f>HYPERLINK("https://klasma.github.io/Logging_0980/tillsynsmail/A 44308-2021 tillsynsbegäran mail.docx", "A 44308-2021")</f>
        <v/>
      </c>
    </row>
    <row r="156" ht="15" customHeight="1">
      <c r="A156" t="inlineStr">
        <is>
          <t>A 447-2023</t>
        </is>
      </c>
      <c r="B156" s="1" t="n">
        <v>44929</v>
      </c>
      <c r="C156" s="1" t="n">
        <v>46144</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49726-2025</t>
        </is>
      </c>
      <c r="B157" s="1" t="n">
        <v>45939.84466435185</v>
      </c>
      <c r="C157" s="1" t="n">
        <v>46144</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947-2023</t>
        </is>
      </c>
      <c r="B158" s="1" t="n">
        <v>44934</v>
      </c>
      <c r="C158" s="1" t="n">
        <v>46144</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49304-2024</t>
        </is>
      </c>
      <c r="B159" s="1" t="n">
        <v>45595.54996527778</v>
      </c>
      <c r="C159" s="1" t="n">
        <v>46144</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63576-2021</t>
        </is>
      </c>
      <c r="B160" s="1" t="n">
        <v>44508</v>
      </c>
      <c r="C160" s="1" t="n">
        <v>46144</v>
      </c>
      <c r="D160" t="inlineStr">
        <is>
          <t>GOTLANDS LÄN</t>
        </is>
      </c>
      <c r="E160" t="inlineStr">
        <is>
          <t>GOTLAND</t>
        </is>
      </c>
      <c r="F160" t="inlineStr">
        <is>
          <t>Kyrkan</t>
        </is>
      </c>
      <c r="G160" t="n">
        <v>4.1</v>
      </c>
      <c r="H160" t="n">
        <v>1</v>
      </c>
      <c r="I160" t="n">
        <v>0</v>
      </c>
      <c r="J160" t="n">
        <v>1</v>
      </c>
      <c r="K160" t="n">
        <v>0</v>
      </c>
      <c r="L160" t="n">
        <v>0</v>
      </c>
      <c r="M160" t="n">
        <v>0</v>
      </c>
      <c r="N160" t="n">
        <v>0</v>
      </c>
      <c r="O160" t="n">
        <v>1</v>
      </c>
      <c r="P160" t="n">
        <v>0</v>
      </c>
      <c r="Q160" t="n">
        <v>1</v>
      </c>
      <c r="R160" s="2" t="inlineStr">
        <is>
          <t>Dårgräsfjäril</t>
        </is>
      </c>
      <c r="S160">
        <f>HYPERLINK("https://klasma.github.io/Logging_0980/artfynd/A 63576-2021 artfynd.xlsx", "A 63576-2021")</f>
        <v/>
      </c>
      <c r="T160">
        <f>HYPERLINK("https://klasma.github.io/Logging_0980/kartor/A 63576-2021 karta.png", "A 63576-2021")</f>
        <v/>
      </c>
      <c r="V160">
        <f>HYPERLINK("https://klasma.github.io/Logging_0980/klagomål/A 63576-2021 FSC-klagomål.docx", "A 63576-2021")</f>
        <v/>
      </c>
      <c r="W160">
        <f>HYPERLINK("https://klasma.github.io/Logging_0980/klagomålsmail/A 63576-2021 FSC-klagomål mail.docx", "A 63576-2021")</f>
        <v/>
      </c>
      <c r="X160">
        <f>HYPERLINK("https://klasma.github.io/Logging_0980/tillsyn/A 63576-2021 tillsynsbegäran.docx", "A 63576-2021")</f>
        <v/>
      </c>
      <c r="Y160">
        <f>HYPERLINK("https://klasma.github.io/Logging_0980/tillsynsmail/A 63576-2021 tillsynsbegäran mail.docx", "A 63576-2021")</f>
        <v/>
      </c>
    </row>
    <row r="161" ht="15" customHeight="1">
      <c r="A161" t="inlineStr">
        <is>
          <t>A 64700-2021</t>
        </is>
      </c>
      <c r="B161" s="1" t="n">
        <v>44511</v>
      </c>
      <c r="C161" s="1" t="n">
        <v>46144</v>
      </c>
      <c r="D161" t="inlineStr">
        <is>
          <t>GOTLANDS LÄN</t>
        </is>
      </c>
      <c r="E161" t="inlineStr">
        <is>
          <t>GOTLAND</t>
        </is>
      </c>
      <c r="F161" t="inlineStr">
        <is>
          <t>Naturvårdsverket</t>
        </is>
      </c>
      <c r="G161" t="n">
        <v>2.4</v>
      </c>
      <c r="H161" t="n">
        <v>1</v>
      </c>
      <c r="I161" t="n">
        <v>0</v>
      </c>
      <c r="J161" t="n">
        <v>0</v>
      </c>
      <c r="K161" t="n">
        <v>1</v>
      </c>
      <c r="L161" t="n">
        <v>0</v>
      </c>
      <c r="M161" t="n">
        <v>0</v>
      </c>
      <c r="N161" t="n">
        <v>0</v>
      </c>
      <c r="O161" t="n">
        <v>1</v>
      </c>
      <c r="P161" t="n">
        <v>1</v>
      </c>
      <c r="Q161" t="n">
        <v>1</v>
      </c>
      <c r="R161" s="2" t="inlineStr">
        <is>
          <t>Kalkdån</t>
        </is>
      </c>
      <c r="S161">
        <f>HYPERLINK("https://klasma.github.io/Logging_0980/artfynd/A 64700-2021 artfynd.xlsx", "A 64700-2021")</f>
        <v/>
      </c>
      <c r="T161">
        <f>HYPERLINK("https://klasma.github.io/Logging_0980/kartor/A 64700-2021 karta.png", "A 64700-2021")</f>
        <v/>
      </c>
      <c r="V161">
        <f>HYPERLINK("https://klasma.github.io/Logging_0980/klagomål/A 64700-2021 FSC-klagomål.docx", "A 64700-2021")</f>
        <v/>
      </c>
      <c r="W161">
        <f>HYPERLINK("https://klasma.github.io/Logging_0980/klagomålsmail/A 64700-2021 FSC-klagomål mail.docx", "A 64700-2021")</f>
        <v/>
      </c>
      <c r="X161">
        <f>HYPERLINK("https://klasma.github.io/Logging_0980/tillsyn/A 64700-2021 tillsynsbegäran.docx", "A 64700-2021")</f>
        <v/>
      </c>
      <c r="Y161">
        <f>HYPERLINK("https://klasma.github.io/Logging_0980/tillsynsmail/A 64700-2021 tillsynsbegäran mail.docx", "A 64700-2021")</f>
        <v/>
      </c>
    </row>
    <row r="162" ht="15" customHeight="1">
      <c r="A162" t="inlineStr">
        <is>
          <t>A 27589-2023</t>
        </is>
      </c>
      <c r="B162" s="1" t="n">
        <v>45097</v>
      </c>
      <c r="C162" s="1" t="n">
        <v>46144</v>
      </c>
      <c r="D162" t="inlineStr">
        <is>
          <t>GOTLANDS LÄN</t>
        </is>
      </c>
      <c r="E162" t="inlineStr">
        <is>
          <t>GOTLAND</t>
        </is>
      </c>
      <c r="G162" t="n">
        <v>5.4</v>
      </c>
      <c r="H162" t="n">
        <v>0</v>
      </c>
      <c r="I162" t="n">
        <v>0</v>
      </c>
      <c r="J162" t="n">
        <v>0</v>
      </c>
      <c r="K162" t="n">
        <v>0</v>
      </c>
      <c r="L162" t="n">
        <v>0</v>
      </c>
      <c r="M162" t="n">
        <v>1</v>
      </c>
      <c r="N162" t="n">
        <v>0</v>
      </c>
      <c r="O162" t="n">
        <v>1</v>
      </c>
      <c r="P162" t="n">
        <v>1</v>
      </c>
      <c r="Q162" t="n">
        <v>1</v>
      </c>
      <c r="R162" s="2" t="inlineStr">
        <is>
          <t>Skogsalm</t>
        </is>
      </c>
      <c r="S162">
        <f>HYPERLINK("https://klasma.github.io/Logging_0980/artfynd/A 27589-2023 artfynd.xlsx", "A 27589-2023")</f>
        <v/>
      </c>
      <c r="T162">
        <f>HYPERLINK("https://klasma.github.io/Logging_0980/kartor/A 27589-2023 karta.png", "A 27589-2023")</f>
        <v/>
      </c>
      <c r="V162">
        <f>HYPERLINK("https://klasma.github.io/Logging_0980/klagomål/A 27589-2023 FSC-klagomål.docx", "A 27589-2023")</f>
        <v/>
      </c>
      <c r="W162">
        <f>HYPERLINK("https://klasma.github.io/Logging_0980/klagomålsmail/A 27589-2023 FSC-klagomål mail.docx", "A 27589-2023")</f>
        <v/>
      </c>
      <c r="X162">
        <f>HYPERLINK("https://klasma.github.io/Logging_0980/tillsyn/A 27589-2023 tillsynsbegäran.docx", "A 27589-2023")</f>
        <v/>
      </c>
      <c r="Y162">
        <f>HYPERLINK("https://klasma.github.io/Logging_0980/tillsynsmail/A 27589-2023 tillsynsbegäran mail.docx", "A 27589-2023")</f>
        <v/>
      </c>
    </row>
    <row r="163" ht="15" customHeight="1">
      <c r="A163" t="inlineStr">
        <is>
          <t>A 1477-2024</t>
        </is>
      </c>
      <c r="B163" s="1" t="n">
        <v>45305.37987268518</v>
      </c>
      <c r="C163" s="1" t="n">
        <v>46144</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35574-2024</t>
        </is>
      </c>
      <c r="B164" s="1" t="n">
        <v>45531</v>
      </c>
      <c r="C164" s="1" t="n">
        <v>46144</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46144</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6303-2024</t>
        </is>
      </c>
      <c r="B166" s="1" t="n">
        <v>45338.35376157407</v>
      </c>
      <c r="C166" s="1" t="n">
        <v>46144</v>
      </c>
      <c r="D166" t="inlineStr">
        <is>
          <t>GOTLANDS LÄN</t>
        </is>
      </c>
      <c r="E166" t="inlineStr">
        <is>
          <t>GOTLAND</t>
        </is>
      </c>
      <c r="G166" t="n">
        <v>0.6</v>
      </c>
      <c r="H166" t="n">
        <v>0</v>
      </c>
      <c r="I166" t="n">
        <v>1</v>
      </c>
      <c r="J166" t="n">
        <v>0</v>
      </c>
      <c r="K166" t="n">
        <v>0</v>
      </c>
      <c r="L166" t="n">
        <v>0</v>
      </c>
      <c r="M166" t="n">
        <v>0</v>
      </c>
      <c r="N166" t="n">
        <v>0</v>
      </c>
      <c r="O166" t="n">
        <v>0</v>
      </c>
      <c r="P166" t="n">
        <v>0</v>
      </c>
      <c r="Q166" t="n">
        <v>1</v>
      </c>
      <c r="R166" s="2" t="inlineStr">
        <is>
          <t>Strävlosta</t>
        </is>
      </c>
      <c r="S166">
        <f>HYPERLINK("https://klasma.github.io/Logging_0980/artfynd/A 6303-2024 artfynd.xlsx", "A 6303-2024")</f>
        <v/>
      </c>
      <c r="T166">
        <f>HYPERLINK("https://klasma.github.io/Logging_0980/kartor/A 6303-2024 karta.png", "A 6303-2024")</f>
        <v/>
      </c>
      <c r="V166">
        <f>HYPERLINK("https://klasma.github.io/Logging_0980/klagomål/A 6303-2024 FSC-klagomål.docx", "A 6303-2024")</f>
        <v/>
      </c>
      <c r="W166">
        <f>HYPERLINK("https://klasma.github.io/Logging_0980/klagomålsmail/A 6303-2024 FSC-klagomål mail.docx", "A 6303-2024")</f>
        <v/>
      </c>
      <c r="X166">
        <f>HYPERLINK("https://klasma.github.io/Logging_0980/tillsyn/A 6303-2024 tillsynsbegäran.docx", "A 6303-2024")</f>
        <v/>
      </c>
      <c r="Y166">
        <f>HYPERLINK("https://klasma.github.io/Logging_0980/tillsynsmail/A 6303-2024 tillsynsbegäran mail.docx", "A 6303-2024")</f>
        <v/>
      </c>
    </row>
    <row r="167" ht="15" customHeight="1">
      <c r="A167" t="inlineStr">
        <is>
          <t>A 34809-2024</t>
        </is>
      </c>
      <c r="B167" s="1" t="n">
        <v>45526</v>
      </c>
      <c r="C167" s="1" t="n">
        <v>46144</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61561-2023</t>
        </is>
      </c>
      <c r="B168" s="1" t="n">
        <v>45265</v>
      </c>
      <c r="C168" s="1" t="n">
        <v>46144</v>
      </c>
      <c r="D168" t="inlineStr">
        <is>
          <t>GOTLANDS LÄN</t>
        </is>
      </c>
      <c r="E168" t="inlineStr">
        <is>
          <t>GOTLAND</t>
        </is>
      </c>
      <c r="G168" t="n">
        <v>7.4</v>
      </c>
      <c r="H168" t="n">
        <v>0</v>
      </c>
      <c r="I168" t="n">
        <v>0</v>
      </c>
      <c r="J168" t="n">
        <v>1</v>
      </c>
      <c r="K168" t="n">
        <v>0</v>
      </c>
      <c r="L168" t="n">
        <v>0</v>
      </c>
      <c r="M168" t="n">
        <v>0</v>
      </c>
      <c r="N168" t="n">
        <v>0</v>
      </c>
      <c r="O168" t="n">
        <v>1</v>
      </c>
      <c r="P168" t="n">
        <v>0</v>
      </c>
      <c r="Q168" t="n">
        <v>1</v>
      </c>
      <c r="R168" s="2" t="inlineStr">
        <is>
          <t>Loppstarr</t>
        </is>
      </c>
      <c r="S168">
        <f>HYPERLINK("https://klasma.github.io/Logging_0980/artfynd/A 61561-2023 artfynd.xlsx", "A 61561-2023")</f>
        <v/>
      </c>
      <c r="T168">
        <f>HYPERLINK("https://klasma.github.io/Logging_0980/kartor/A 61561-2023 karta.png", "A 61561-2023")</f>
        <v/>
      </c>
      <c r="V168">
        <f>HYPERLINK("https://klasma.github.io/Logging_0980/klagomål/A 61561-2023 FSC-klagomål.docx", "A 61561-2023")</f>
        <v/>
      </c>
      <c r="W168">
        <f>HYPERLINK("https://klasma.github.io/Logging_0980/klagomålsmail/A 61561-2023 FSC-klagomål mail.docx", "A 61561-2023")</f>
        <v/>
      </c>
      <c r="X168">
        <f>HYPERLINK("https://klasma.github.io/Logging_0980/tillsyn/A 61561-2023 tillsynsbegäran.docx", "A 61561-2023")</f>
        <v/>
      </c>
      <c r="Y168">
        <f>HYPERLINK("https://klasma.github.io/Logging_0980/tillsynsmail/A 61561-2023 tillsynsbegäran mail.docx", "A 61561-2023")</f>
        <v/>
      </c>
    </row>
    <row r="169" ht="15" customHeight="1">
      <c r="A169" t="inlineStr">
        <is>
          <t>A 22782-2023</t>
        </is>
      </c>
      <c r="B169" s="1" t="n">
        <v>45072</v>
      </c>
      <c r="C169" s="1" t="n">
        <v>46144</v>
      </c>
      <c r="D169" t="inlineStr">
        <is>
          <t>GOTLANDS LÄN</t>
        </is>
      </c>
      <c r="E169" t="inlineStr">
        <is>
          <t>GOTLAND</t>
        </is>
      </c>
      <c r="F169" t="inlineStr">
        <is>
          <t>Kyrkan</t>
        </is>
      </c>
      <c r="G169" t="n">
        <v>3.1</v>
      </c>
      <c r="H169" t="n">
        <v>1</v>
      </c>
      <c r="I169" t="n">
        <v>0</v>
      </c>
      <c r="J169" t="n">
        <v>0</v>
      </c>
      <c r="K169" t="n">
        <v>0</v>
      </c>
      <c r="L169" t="n">
        <v>0</v>
      </c>
      <c r="M169" t="n">
        <v>0</v>
      </c>
      <c r="N169" t="n">
        <v>0</v>
      </c>
      <c r="O169" t="n">
        <v>0</v>
      </c>
      <c r="P169" t="n">
        <v>0</v>
      </c>
      <c r="Q169" t="n">
        <v>1</v>
      </c>
      <c r="R169" s="2" t="inlineStr">
        <is>
          <t>Ängsnycklar × skogsnycklar</t>
        </is>
      </c>
      <c r="S169">
        <f>HYPERLINK("https://klasma.github.io/Logging_0980/artfynd/A 22782-2023 artfynd.xlsx", "A 22782-2023")</f>
        <v/>
      </c>
      <c r="T169">
        <f>HYPERLINK("https://klasma.github.io/Logging_0980/kartor/A 22782-2023 karta.png", "A 22782-2023")</f>
        <v/>
      </c>
      <c r="V169">
        <f>HYPERLINK("https://klasma.github.io/Logging_0980/klagomål/A 22782-2023 FSC-klagomål.docx", "A 22782-2023")</f>
        <v/>
      </c>
      <c r="W169">
        <f>HYPERLINK("https://klasma.github.io/Logging_0980/klagomålsmail/A 22782-2023 FSC-klagomål mail.docx", "A 22782-2023")</f>
        <v/>
      </c>
      <c r="X169">
        <f>HYPERLINK("https://klasma.github.io/Logging_0980/tillsyn/A 22782-2023 tillsynsbegäran.docx", "A 22782-2023")</f>
        <v/>
      </c>
      <c r="Y169">
        <f>HYPERLINK("https://klasma.github.io/Logging_0980/tillsynsmail/A 22782-2023 tillsynsbegäran mail.docx", "A 22782-2023")</f>
        <v/>
      </c>
    </row>
    <row r="170" ht="15" customHeight="1">
      <c r="A170" t="inlineStr">
        <is>
          <t>A 63149-2025</t>
        </is>
      </c>
      <c r="B170" s="1" t="n">
        <v>46010</v>
      </c>
      <c r="C170" s="1" t="n">
        <v>46144</v>
      </c>
      <c r="D170" t="inlineStr">
        <is>
          <t>GOTLANDS LÄN</t>
        </is>
      </c>
      <c r="E170" t="inlineStr">
        <is>
          <t>GOTLAND</t>
        </is>
      </c>
      <c r="G170" t="n">
        <v>4.3</v>
      </c>
      <c r="H170" t="n">
        <v>0</v>
      </c>
      <c r="I170" t="n">
        <v>1</v>
      </c>
      <c r="J170" t="n">
        <v>0</v>
      </c>
      <c r="K170" t="n">
        <v>0</v>
      </c>
      <c r="L170" t="n">
        <v>0</v>
      </c>
      <c r="M170" t="n">
        <v>0</v>
      </c>
      <c r="N170" t="n">
        <v>0</v>
      </c>
      <c r="O170" t="n">
        <v>0</v>
      </c>
      <c r="P170" t="n">
        <v>0</v>
      </c>
      <c r="Q170" t="n">
        <v>1</v>
      </c>
      <c r="R170" s="2" t="inlineStr">
        <is>
          <t>Anisspindling</t>
        </is>
      </c>
      <c r="S170">
        <f>HYPERLINK("https://klasma.github.io/Logging_0980/artfynd/A 63149-2025 artfynd.xlsx", "A 63149-2025")</f>
        <v/>
      </c>
      <c r="T170">
        <f>HYPERLINK("https://klasma.github.io/Logging_0980/kartor/A 63149-2025 karta.png", "A 63149-2025")</f>
        <v/>
      </c>
      <c r="V170">
        <f>HYPERLINK("https://klasma.github.io/Logging_0980/klagomål/A 63149-2025 FSC-klagomål.docx", "A 63149-2025")</f>
        <v/>
      </c>
      <c r="W170">
        <f>HYPERLINK("https://klasma.github.io/Logging_0980/klagomålsmail/A 63149-2025 FSC-klagomål mail.docx", "A 63149-2025")</f>
        <v/>
      </c>
      <c r="X170">
        <f>HYPERLINK("https://klasma.github.io/Logging_0980/tillsyn/A 63149-2025 tillsynsbegäran.docx", "A 63149-2025")</f>
        <v/>
      </c>
      <c r="Y170">
        <f>HYPERLINK("https://klasma.github.io/Logging_0980/tillsynsmail/A 63149-2025 tillsynsbegäran mail.docx", "A 63149-2025")</f>
        <v/>
      </c>
    </row>
    <row r="171" ht="15" customHeight="1">
      <c r="A171" t="inlineStr">
        <is>
          <t>A 10013-2026</t>
        </is>
      </c>
      <c r="B171" s="1" t="n">
        <v>46073</v>
      </c>
      <c r="C171" s="1" t="n">
        <v>46144</v>
      </c>
      <c r="D171" t="inlineStr">
        <is>
          <t>GOTLANDS LÄN</t>
        </is>
      </c>
      <c r="E171" t="inlineStr">
        <is>
          <t>GOTLAND</t>
        </is>
      </c>
      <c r="G171" t="n">
        <v>10.5</v>
      </c>
      <c r="H171" t="n">
        <v>0</v>
      </c>
      <c r="I171" t="n">
        <v>0</v>
      </c>
      <c r="J171" t="n">
        <v>0</v>
      </c>
      <c r="K171" t="n">
        <v>1</v>
      </c>
      <c r="L171" t="n">
        <v>0</v>
      </c>
      <c r="M171" t="n">
        <v>0</v>
      </c>
      <c r="N171" t="n">
        <v>0</v>
      </c>
      <c r="O171" t="n">
        <v>1</v>
      </c>
      <c r="P171" t="n">
        <v>1</v>
      </c>
      <c r="Q171" t="n">
        <v>1</v>
      </c>
      <c r="R171" s="2" t="inlineStr">
        <is>
          <t>Skogskorn</t>
        </is>
      </c>
      <c r="S171">
        <f>HYPERLINK("https://klasma.github.io/Logging_0980/artfynd/A 10013-2026 artfynd.xlsx", "A 10013-2026")</f>
        <v/>
      </c>
      <c r="T171">
        <f>HYPERLINK("https://klasma.github.io/Logging_0980/kartor/A 10013-2026 karta.png", "A 10013-2026")</f>
        <v/>
      </c>
      <c r="V171">
        <f>HYPERLINK("https://klasma.github.io/Logging_0980/klagomål/A 10013-2026 FSC-klagomål.docx", "A 10013-2026")</f>
        <v/>
      </c>
      <c r="W171">
        <f>HYPERLINK("https://klasma.github.io/Logging_0980/klagomålsmail/A 10013-2026 FSC-klagomål mail.docx", "A 10013-2026")</f>
        <v/>
      </c>
      <c r="X171">
        <f>HYPERLINK("https://klasma.github.io/Logging_0980/tillsyn/A 10013-2026 tillsynsbegäran.docx", "A 10013-2026")</f>
        <v/>
      </c>
      <c r="Y171">
        <f>HYPERLINK("https://klasma.github.io/Logging_0980/tillsynsmail/A 10013-2026 tillsynsbegäran mail.docx", "A 10013-2026")</f>
        <v/>
      </c>
    </row>
    <row r="172" ht="15" customHeight="1">
      <c r="A172" t="inlineStr">
        <is>
          <t>A 22883-2024</t>
        </is>
      </c>
      <c r="B172" s="1" t="n">
        <v>45448.66368055555</v>
      </c>
      <c r="C172" s="1" t="n">
        <v>46144</v>
      </c>
      <c r="D172" t="inlineStr">
        <is>
          <t>GOTLANDS LÄN</t>
        </is>
      </c>
      <c r="E172" t="inlineStr">
        <is>
          <t>GOTLAND</t>
        </is>
      </c>
      <c r="G172" t="n">
        <v>0.5</v>
      </c>
      <c r="H172" t="n">
        <v>0</v>
      </c>
      <c r="I172" t="n">
        <v>0</v>
      </c>
      <c r="J172" t="n">
        <v>0</v>
      </c>
      <c r="K172" t="n">
        <v>1</v>
      </c>
      <c r="L172" t="n">
        <v>0</v>
      </c>
      <c r="M172" t="n">
        <v>0</v>
      </c>
      <c r="N172" t="n">
        <v>0</v>
      </c>
      <c r="O172" t="n">
        <v>1</v>
      </c>
      <c r="P172" t="n">
        <v>1</v>
      </c>
      <c r="Q172" t="n">
        <v>1</v>
      </c>
      <c r="R172" s="2" t="inlineStr">
        <is>
          <t>Gotlandsmåra</t>
        </is>
      </c>
      <c r="S172">
        <f>HYPERLINK("https://klasma.github.io/Logging_0980/artfynd/A 22883-2024 artfynd.xlsx", "A 22883-2024")</f>
        <v/>
      </c>
      <c r="T172">
        <f>HYPERLINK("https://klasma.github.io/Logging_0980/kartor/A 22883-2024 karta.png", "A 22883-2024")</f>
        <v/>
      </c>
      <c r="V172">
        <f>HYPERLINK("https://klasma.github.io/Logging_0980/klagomål/A 22883-2024 FSC-klagomål.docx", "A 22883-2024")</f>
        <v/>
      </c>
      <c r="W172">
        <f>HYPERLINK("https://klasma.github.io/Logging_0980/klagomålsmail/A 22883-2024 FSC-klagomål mail.docx", "A 22883-2024")</f>
        <v/>
      </c>
      <c r="X172">
        <f>HYPERLINK("https://klasma.github.io/Logging_0980/tillsyn/A 22883-2024 tillsynsbegäran.docx", "A 22883-2024")</f>
        <v/>
      </c>
      <c r="Y172">
        <f>HYPERLINK("https://klasma.github.io/Logging_0980/tillsynsmail/A 22883-2024 tillsynsbegäran mail.docx", "A 22883-2024")</f>
        <v/>
      </c>
    </row>
    <row r="173" ht="15" customHeight="1">
      <c r="A173" t="inlineStr">
        <is>
          <t>A 17854-2026</t>
        </is>
      </c>
      <c r="B173" s="1" t="n">
        <v>46121</v>
      </c>
      <c r="C173" s="1" t="n">
        <v>46144</v>
      </c>
      <c r="D173" t="inlineStr">
        <is>
          <t>GOTLANDS LÄN</t>
        </is>
      </c>
      <c r="E173" t="inlineStr">
        <is>
          <t>GOTLAND</t>
        </is>
      </c>
      <c r="G173" t="n">
        <v>6.6</v>
      </c>
      <c r="H173" t="n">
        <v>0</v>
      </c>
      <c r="I173" t="n">
        <v>1</v>
      </c>
      <c r="J173" t="n">
        <v>0</v>
      </c>
      <c r="K173" t="n">
        <v>0</v>
      </c>
      <c r="L173" t="n">
        <v>0</v>
      </c>
      <c r="M173" t="n">
        <v>0</v>
      </c>
      <c r="N173" t="n">
        <v>0</v>
      </c>
      <c r="O173" t="n">
        <v>0</v>
      </c>
      <c r="P173" t="n">
        <v>0</v>
      </c>
      <c r="Q173" t="n">
        <v>1</v>
      </c>
      <c r="R173" s="2" t="inlineStr">
        <is>
          <t>Blå slemspindling</t>
        </is>
      </c>
      <c r="S173">
        <f>HYPERLINK("https://klasma.github.io/Logging_0980/artfynd/A 17854-2026 artfynd.xlsx", "A 17854-2026")</f>
        <v/>
      </c>
      <c r="T173">
        <f>HYPERLINK("https://klasma.github.io/Logging_0980/kartor/A 17854-2026 karta.png", "A 17854-2026")</f>
        <v/>
      </c>
      <c r="V173">
        <f>HYPERLINK("https://klasma.github.io/Logging_0980/klagomål/A 17854-2026 FSC-klagomål.docx", "A 17854-2026")</f>
        <v/>
      </c>
      <c r="W173">
        <f>HYPERLINK("https://klasma.github.io/Logging_0980/klagomålsmail/A 17854-2026 FSC-klagomål mail.docx", "A 17854-2026")</f>
        <v/>
      </c>
      <c r="X173">
        <f>HYPERLINK("https://klasma.github.io/Logging_0980/tillsyn/A 17854-2026 tillsynsbegäran.docx", "A 17854-2026")</f>
        <v/>
      </c>
      <c r="Y173">
        <f>HYPERLINK("https://klasma.github.io/Logging_0980/tillsynsmail/A 17854-2026 tillsynsbegäran mail.docx", "A 17854-2026")</f>
        <v/>
      </c>
    </row>
    <row r="174" ht="15" customHeight="1">
      <c r="A174" t="inlineStr">
        <is>
          <t>A 18036-2026</t>
        </is>
      </c>
      <c r="B174" s="1" t="n">
        <v>46125.39576388889</v>
      </c>
      <c r="C174" s="1" t="n">
        <v>46144</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11708-2026</t>
        </is>
      </c>
      <c r="B175" s="1" t="n">
        <v>46084</v>
      </c>
      <c r="C175" s="1" t="n">
        <v>46144</v>
      </c>
      <c r="D175" t="inlineStr">
        <is>
          <t>GOTLANDS LÄN</t>
        </is>
      </c>
      <c r="E175" t="inlineStr">
        <is>
          <t>GOTLAND</t>
        </is>
      </c>
      <c r="G175" t="n">
        <v>8.4</v>
      </c>
      <c r="H175" t="n">
        <v>1</v>
      </c>
      <c r="I175" t="n">
        <v>0</v>
      </c>
      <c r="J175" t="n">
        <v>1</v>
      </c>
      <c r="K175" t="n">
        <v>0</v>
      </c>
      <c r="L175" t="n">
        <v>0</v>
      </c>
      <c r="M175" t="n">
        <v>0</v>
      </c>
      <c r="N175" t="n">
        <v>0</v>
      </c>
      <c r="O175" t="n">
        <v>1</v>
      </c>
      <c r="P175" t="n">
        <v>0</v>
      </c>
      <c r="Q175" t="n">
        <v>1</v>
      </c>
      <c r="R175" s="2" t="inlineStr">
        <is>
          <t>Bredarun</t>
        </is>
      </c>
      <c r="S175">
        <f>HYPERLINK("https://klasma.github.io/Logging_0980/artfynd/A 11708-2026 artfynd.xlsx", "A 11708-2026")</f>
        <v/>
      </c>
      <c r="T175">
        <f>HYPERLINK("https://klasma.github.io/Logging_0980/kartor/A 11708-2026 karta.png", "A 11708-2026")</f>
        <v/>
      </c>
      <c r="V175">
        <f>HYPERLINK("https://klasma.github.io/Logging_0980/klagomål/A 11708-2026 FSC-klagomål.docx", "A 11708-2026")</f>
        <v/>
      </c>
      <c r="W175">
        <f>HYPERLINK("https://klasma.github.io/Logging_0980/klagomålsmail/A 11708-2026 FSC-klagomål mail.docx", "A 11708-2026")</f>
        <v/>
      </c>
      <c r="X175">
        <f>HYPERLINK("https://klasma.github.io/Logging_0980/tillsyn/A 11708-2026 tillsynsbegäran.docx", "A 11708-2026")</f>
        <v/>
      </c>
      <c r="Y175">
        <f>HYPERLINK("https://klasma.github.io/Logging_0980/tillsynsmail/A 11708-2026 tillsynsbegäran mail.docx", "A 11708-2026")</f>
        <v/>
      </c>
    </row>
    <row r="176" ht="15" customHeight="1">
      <c r="A176" t="inlineStr">
        <is>
          <t>A 24245-2022</t>
        </is>
      </c>
      <c r="B176" s="1" t="n">
        <v>44725</v>
      </c>
      <c r="C176" s="1" t="n">
        <v>46144</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13482-2026</t>
        </is>
      </c>
      <c r="B177" s="1" t="n">
        <v>46094</v>
      </c>
      <c r="C177" s="1" t="n">
        <v>46144</v>
      </c>
      <c r="D177" t="inlineStr">
        <is>
          <t>GOTLANDS LÄN</t>
        </is>
      </c>
      <c r="E177" t="inlineStr">
        <is>
          <t>GOTLAND</t>
        </is>
      </c>
      <c r="G177" t="n">
        <v>1.7</v>
      </c>
      <c r="H177" t="n">
        <v>1</v>
      </c>
      <c r="I177" t="n">
        <v>0</v>
      </c>
      <c r="J177" t="n">
        <v>1</v>
      </c>
      <c r="K177" t="n">
        <v>0</v>
      </c>
      <c r="L177" t="n">
        <v>0</v>
      </c>
      <c r="M177" t="n">
        <v>0</v>
      </c>
      <c r="N177" t="n">
        <v>0</v>
      </c>
      <c r="O177" t="n">
        <v>1</v>
      </c>
      <c r="P177" t="n">
        <v>0</v>
      </c>
      <c r="Q177" t="n">
        <v>1</v>
      </c>
      <c r="R177" s="2" t="inlineStr">
        <is>
          <t>Spillkråka</t>
        </is>
      </c>
      <c r="S177">
        <f>HYPERLINK("https://klasma.github.io/Logging_0980/artfynd/A 13482-2026 artfynd.xlsx", "A 13482-2026")</f>
        <v/>
      </c>
      <c r="T177">
        <f>HYPERLINK("https://klasma.github.io/Logging_0980/kartor/A 13482-2026 karta.png", "A 13482-2026")</f>
        <v/>
      </c>
      <c r="V177">
        <f>HYPERLINK("https://klasma.github.io/Logging_0980/klagomål/A 13482-2026 FSC-klagomål.docx", "A 13482-2026")</f>
        <v/>
      </c>
      <c r="W177">
        <f>HYPERLINK("https://klasma.github.io/Logging_0980/klagomålsmail/A 13482-2026 FSC-klagomål mail.docx", "A 13482-2026")</f>
        <v/>
      </c>
      <c r="X177">
        <f>HYPERLINK("https://klasma.github.io/Logging_0980/tillsyn/A 13482-2026 tillsynsbegäran.docx", "A 13482-2026")</f>
        <v/>
      </c>
      <c r="Y177">
        <f>HYPERLINK("https://klasma.github.io/Logging_0980/tillsynsmail/A 13482-2026 tillsynsbegäran mail.docx", "A 13482-2026")</f>
        <v/>
      </c>
      <c r="Z177">
        <f>HYPERLINK("https://klasma.github.io/Logging_0980/fåglar/A 13482-2026 prioriterade fågelarter.docx", "A 13482-2026")</f>
        <v/>
      </c>
    </row>
    <row r="178" ht="15" customHeight="1">
      <c r="A178" t="inlineStr">
        <is>
          <t>A 49847-2023</t>
        </is>
      </c>
      <c r="B178" s="1" t="n">
        <v>45212</v>
      </c>
      <c r="C178" s="1" t="n">
        <v>46144</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46527-2023</t>
        </is>
      </c>
      <c r="B179" s="1" t="n">
        <v>45197</v>
      </c>
      <c r="C179" s="1" t="n">
        <v>46144</v>
      </c>
      <c r="D179" t="inlineStr">
        <is>
          <t>GOTLANDS LÄN</t>
        </is>
      </c>
      <c r="E179" t="inlineStr">
        <is>
          <t>GOTLAND</t>
        </is>
      </c>
      <c r="G179" t="n">
        <v>0.9</v>
      </c>
      <c r="H179" t="n">
        <v>0</v>
      </c>
      <c r="I179" t="n">
        <v>0</v>
      </c>
      <c r="J179" t="n">
        <v>1</v>
      </c>
      <c r="K179" t="n">
        <v>0</v>
      </c>
      <c r="L179" t="n">
        <v>0</v>
      </c>
      <c r="M179" t="n">
        <v>0</v>
      </c>
      <c r="N179" t="n">
        <v>0</v>
      </c>
      <c r="O179" t="n">
        <v>1</v>
      </c>
      <c r="P179" t="n">
        <v>0</v>
      </c>
      <c r="Q179" t="n">
        <v>1</v>
      </c>
      <c r="R179" s="2" t="inlineStr">
        <is>
          <t>Guldgräshoppa</t>
        </is>
      </c>
      <c r="S179">
        <f>HYPERLINK("https://klasma.github.io/Logging_0980/artfynd/A 46527-2023 artfynd.xlsx", "A 46527-2023")</f>
        <v/>
      </c>
      <c r="T179">
        <f>HYPERLINK("https://klasma.github.io/Logging_0980/kartor/A 46527-2023 karta.png", "A 46527-2023")</f>
        <v/>
      </c>
      <c r="V179">
        <f>HYPERLINK("https://klasma.github.io/Logging_0980/klagomål/A 46527-2023 FSC-klagomål.docx", "A 46527-2023")</f>
        <v/>
      </c>
      <c r="W179">
        <f>HYPERLINK("https://klasma.github.io/Logging_0980/klagomålsmail/A 46527-2023 FSC-klagomål mail.docx", "A 46527-2023")</f>
        <v/>
      </c>
      <c r="X179">
        <f>HYPERLINK("https://klasma.github.io/Logging_0980/tillsyn/A 46527-2023 tillsynsbegäran.docx", "A 46527-2023")</f>
        <v/>
      </c>
      <c r="Y179">
        <f>HYPERLINK("https://klasma.github.io/Logging_0980/tillsynsmail/A 46527-2023 tillsynsbegäran mail.docx", "A 46527-2023")</f>
        <v/>
      </c>
    </row>
    <row r="180" ht="15" customHeight="1">
      <c r="A180" t="inlineStr">
        <is>
          <t>A 12324-2025</t>
        </is>
      </c>
      <c r="B180" s="1" t="n">
        <v>45730</v>
      </c>
      <c r="C180" s="1" t="n">
        <v>46144</v>
      </c>
      <c r="D180" t="inlineStr">
        <is>
          <t>GOTLANDS LÄN</t>
        </is>
      </c>
      <c r="E180" t="inlineStr">
        <is>
          <t>GOTLAND</t>
        </is>
      </c>
      <c r="G180" t="n">
        <v>5</v>
      </c>
      <c r="H180" t="n">
        <v>0</v>
      </c>
      <c r="I180" t="n">
        <v>0</v>
      </c>
      <c r="J180" t="n">
        <v>0</v>
      </c>
      <c r="K180" t="n">
        <v>1</v>
      </c>
      <c r="L180" t="n">
        <v>0</v>
      </c>
      <c r="M180" t="n">
        <v>0</v>
      </c>
      <c r="N180" t="n">
        <v>0</v>
      </c>
      <c r="O180" t="n">
        <v>1</v>
      </c>
      <c r="P180" t="n">
        <v>1</v>
      </c>
      <c r="Q180" t="n">
        <v>1</v>
      </c>
      <c r="R180" s="2" t="inlineStr">
        <is>
          <t>Sommarklynne</t>
        </is>
      </c>
      <c r="S180">
        <f>HYPERLINK("https://klasma.github.io/Logging_0980/artfynd/A 12324-2025 artfynd.xlsx", "A 12324-2025")</f>
        <v/>
      </c>
      <c r="T180">
        <f>HYPERLINK("https://klasma.github.io/Logging_0980/kartor/A 12324-2025 karta.png", "A 12324-2025")</f>
        <v/>
      </c>
      <c r="V180">
        <f>HYPERLINK("https://klasma.github.io/Logging_0980/klagomål/A 12324-2025 FSC-klagomål.docx", "A 12324-2025")</f>
        <v/>
      </c>
      <c r="W180">
        <f>HYPERLINK("https://klasma.github.io/Logging_0980/klagomålsmail/A 12324-2025 FSC-klagomål mail.docx", "A 12324-2025")</f>
        <v/>
      </c>
      <c r="X180">
        <f>HYPERLINK("https://klasma.github.io/Logging_0980/tillsyn/A 12324-2025 tillsynsbegäran.docx", "A 12324-2025")</f>
        <v/>
      </c>
      <c r="Y180">
        <f>HYPERLINK("https://klasma.github.io/Logging_0980/tillsynsmail/A 12324-2025 tillsynsbegäran mail.docx", "A 12324-2025")</f>
        <v/>
      </c>
    </row>
    <row r="181" ht="15" customHeight="1">
      <c r="A181" t="inlineStr">
        <is>
          <t>A 37591-2023</t>
        </is>
      </c>
      <c r="B181" s="1" t="n">
        <v>45159</v>
      </c>
      <c r="C181" s="1" t="n">
        <v>46144</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21466-2025</t>
        </is>
      </c>
      <c r="B182" s="1" t="n">
        <v>45782</v>
      </c>
      <c r="C182" s="1" t="n">
        <v>46144</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46144</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46144</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34141-2024</t>
        </is>
      </c>
      <c r="B185" s="1" t="n">
        <v>45524.36229166666</v>
      </c>
      <c r="C185" s="1" t="n">
        <v>46144</v>
      </c>
      <c r="D185" t="inlineStr">
        <is>
          <t>GOTLANDS LÄN</t>
        </is>
      </c>
      <c r="E185" t="inlineStr">
        <is>
          <t>GOTLAND</t>
        </is>
      </c>
      <c r="G185" t="n">
        <v>0.9</v>
      </c>
      <c r="H185" t="n">
        <v>0</v>
      </c>
      <c r="I185" t="n">
        <v>1</v>
      </c>
      <c r="J185" t="n">
        <v>0</v>
      </c>
      <c r="K185" t="n">
        <v>0</v>
      </c>
      <c r="L185" t="n">
        <v>0</v>
      </c>
      <c r="M185" t="n">
        <v>0</v>
      </c>
      <c r="N185" t="n">
        <v>0</v>
      </c>
      <c r="O185" t="n">
        <v>0</v>
      </c>
      <c r="P185" t="n">
        <v>0</v>
      </c>
      <c r="Q185" t="n">
        <v>1</v>
      </c>
      <c r="R185" s="2" t="inlineStr">
        <is>
          <t>Strävlosta</t>
        </is>
      </c>
      <c r="S185">
        <f>HYPERLINK("https://klasma.github.io/Logging_0980/artfynd/A 34141-2024 artfynd.xlsx", "A 34141-2024")</f>
        <v/>
      </c>
      <c r="T185">
        <f>HYPERLINK("https://klasma.github.io/Logging_0980/kartor/A 34141-2024 karta.png", "A 34141-2024")</f>
        <v/>
      </c>
      <c r="V185">
        <f>HYPERLINK("https://klasma.github.io/Logging_0980/klagomål/A 34141-2024 FSC-klagomål.docx", "A 34141-2024")</f>
        <v/>
      </c>
      <c r="W185">
        <f>HYPERLINK("https://klasma.github.io/Logging_0980/klagomålsmail/A 34141-2024 FSC-klagomål mail.docx", "A 34141-2024")</f>
        <v/>
      </c>
      <c r="X185">
        <f>HYPERLINK("https://klasma.github.io/Logging_0980/tillsyn/A 34141-2024 tillsynsbegäran.docx", "A 34141-2024")</f>
        <v/>
      </c>
      <c r="Y185">
        <f>HYPERLINK("https://klasma.github.io/Logging_0980/tillsynsmail/A 34141-2024 tillsynsbegäran mail.docx", "A 34141-2024")</f>
        <v/>
      </c>
    </row>
    <row r="186" ht="15" customHeight="1">
      <c r="A186" t="inlineStr">
        <is>
          <t>A 9862-2024</t>
        </is>
      </c>
      <c r="B186" s="1" t="n">
        <v>45363</v>
      </c>
      <c r="C186" s="1" t="n">
        <v>46144</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36313-2021</t>
        </is>
      </c>
      <c r="B187" s="1" t="n">
        <v>44390</v>
      </c>
      <c r="C187" s="1" t="n">
        <v>46144</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46144</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46144</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46144</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46144</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46144</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46144</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46144</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46144</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46144</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46144</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46144</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46144</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46144</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46144</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46144</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46144</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46144</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46144</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71010-2021</t>
        </is>
      </c>
      <c r="B208" s="1" t="n">
        <v>44538.63775462963</v>
      </c>
      <c r="C208" s="1" t="n">
        <v>46144</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22495-2022</t>
        </is>
      </c>
      <c r="B209" s="1" t="n">
        <v>44713.6452199074</v>
      </c>
      <c r="C209" s="1" t="n">
        <v>46144</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44942-2022</t>
        </is>
      </c>
      <c r="B210" s="1" t="n">
        <v>44841</v>
      </c>
      <c r="C210" s="1" t="n">
        <v>46144</v>
      </c>
      <c r="D210" t="inlineStr">
        <is>
          <t>GOTLANDS LÄN</t>
        </is>
      </c>
      <c r="E210" t="inlineStr">
        <is>
          <t>GOTLAND</t>
        </is>
      </c>
      <c r="G210" t="n">
        <v>2</v>
      </c>
      <c r="H210" t="n">
        <v>0</v>
      </c>
      <c r="I210" t="n">
        <v>0</v>
      </c>
      <c r="J210" t="n">
        <v>0</v>
      </c>
      <c r="K210" t="n">
        <v>0</v>
      </c>
      <c r="L210" t="n">
        <v>0</v>
      </c>
      <c r="M210" t="n">
        <v>0</v>
      </c>
      <c r="N210" t="n">
        <v>0</v>
      </c>
      <c r="O210" t="n">
        <v>0</v>
      </c>
      <c r="P210" t="n">
        <v>0</v>
      </c>
      <c r="Q210" t="n">
        <v>0</v>
      </c>
      <c r="R210" s="2" t="inlineStr"/>
    </row>
    <row r="211" ht="15" customHeight="1">
      <c r="A211" t="inlineStr">
        <is>
          <t>A 53225-2022</t>
        </is>
      </c>
      <c r="B211" s="1" t="n">
        <v>44876</v>
      </c>
      <c r="C211" s="1" t="n">
        <v>46144</v>
      </c>
      <c r="D211" t="inlineStr">
        <is>
          <t>GOTLANDS LÄN</t>
        </is>
      </c>
      <c r="E211" t="inlineStr">
        <is>
          <t>GOTLAND</t>
        </is>
      </c>
      <c r="F211" t="inlineStr">
        <is>
          <t>Kyrkan</t>
        </is>
      </c>
      <c r="G211" t="n">
        <v>0.9</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46144</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46144</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23910-2021</t>
        </is>
      </c>
      <c r="B214" s="1" t="n">
        <v>44335</v>
      </c>
      <c r="C214" s="1" t="n">
        <v>46144</v>
      </c>
      <c r="D214" t="inlineStr">
        <is>
          <t>GOTLANDS LÄN</t>
        </is>
      </c>
      <c r="E214" t="inlineStr">
        <is>
          <t>GOTLAND</t>
        </is>
      </c>
      <c r="G214" t="n">
        <v>1.5</v>
      </c>
      <c r="H214" t="n">
        <v>0</v>
      </c>
      <c r="I214" t="n">
        <v>0</v>
      </c>
      <c r="J214" t="n">
        <v>0</v>
      </c>
      <c r="K214" t="n">
        <v>0</v>
      </c>
      <c r="L214" t="n">
        <v>0</v>
      </c>
      <c r="M214" t="n">
        <v>0</v>
      </c>
      <c r="N214" t="n">
        <v>0</v>
      </c>
      <c r="O214" t="n">
        <v>0</v>
      </c>
      <c r="P214" t="n">
        <v>0</v>
      </c>
      <c r="Q214" t="n">
        <v>0</v>
      </c>
      <c r="R214" s="2" t="inlineStr"/>
    </row>
    <row r="215" ht="15" customHeight="1">
      <c r="A215" t="inlineStr">
        <is>
          <t>A 17354-2022</t>
        </is>
      </c>
      <c r="B215" s="1" t="n">
        <v>44678</v>
      </c>
      <c r="C215" s="1" t="n">
        <v>46144</v>
      </c>
      <c r="D215" t="inlineStr">
        <is>
          <t>GOTLANDS LÄN</t>
        </is>
      </c>
      <c r="E215" t="inlineStr">
        <is>
          <t>GOTLAND</t>
        </is>
      </c>
      <c r="G215" t="n">
        <v>7.1</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46144</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56951-2021</t>
        </is>
      </c>
      <c r="B217" s="1" t="n">
        <v>44482.37388888889</v>
      </c>
      <c r="C217" s="1" t="n">
        <v>46144</v>
      </c>
      <c r="D217" t="inlineStr">
        <is>
          <t>GOTLANDS LÄN</t>
        </is>
      </c>
      <c r="E217" t="inlineStr">
        <is>
          <t>GOTLAND</t>
        </is>
      </c>
      <c r="G217" t="n">
        <v>2.1</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46144</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46144</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46144</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46144</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46144</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46144</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32330-2024</t>
        </is>
      </c>
      <c r="B224" s="1" t="n">
        <v>45512</v>
      </c>
      <c r="C224" s="1" t="n">
        <v>46144</v>
      </c>
      <c r="D224" t="inlineStr">
        <is>
          <t>GOTLANDS LÄN</t>
        </is>
      </c>
      <c r="E224" t="inlineStr">
        <is>
          <t>GOTLAND</t>
        </is>
      </c>
      <c r="G224" t="n">
        <v>2.6</v>
      </c>
      <c r="H224" t="n">
        <v>0</v>
      </c>
      <c r="I224" t="n">
        <v>0</v>
      </c>
      <c r="J224" t="n">
        <v>0</v>
      </c>
      <c r="K224" t="n">
        <v>0</v>
      </c>
      <c r="L224" t="n">
        <v>0</v>
      </c>
      <c r="M224" t="n">
        <v>0</v>
      </c>
      <c r="N224" t="n">
        <v>0</v>
      </c>
      <c r="O224" t="n">
        <v>0</v>
      </c>
      <c r="P224" t="n">
        <v>0</v>
      </c>
      <c r="Q224" t="n">
        <v>0</v>
      </c>
      <c r="R224" s="2" t="inlineStr"/>
    </row>
    <row r="225" ht="15" customHeight="1">
      <c r="A225" t="inlineStr">
        <is>
          <t>A 5751-2024</t>
        </is>
      </c>
      <c r="B225" s="1" t="n">
        <v>45335.32702546296</v>
      </c>
      <c r="C225" s="1" t="n">
        <v>46144</v>
      </c>
      <c r="D225" t="inlineStr">
        <is>
          <t>GOTLANDS LÄN</t>
        </is>
      </c>
      <c r="E225" t="inlineStr">
        <is>
          <t>GOTLAND</t>
        </is>
      </c>
      <c r="G225" t="n">
        <v>4.2</v>
      </c>
      <c r="H225" t="n">
        <v>0</v>
      </c>
      <c r="I225" t="n">
        <v>0</v>
      </c>
      <c r="J225" t="n">
        <v>0</v>
      </c>
      <c r="K225" t="n">
        <v>0</v>
      </c>
      <c r="L225" t="n">
        <v>0</v>
      </c>
      <c r="M225" t="n">
        <v>0</v>
      </c>
      <c r="N225" t="n">
        <v>0</v>
      </c>
      <c r="O225" t="n">
        <v>0</v>
      </c>
      <c r="P225" t="n">
        <v>0</v>
      </c>
      <c r="Q225" t="n">
        <v>0</v>
      </c>
      <c r="R225" s="2" t="inlineStr"/>
    </row>
    <row r="226" ht="15" customHeight="1">
      <c r="A226" t="inlineStr">
        <is>
          <t>A 9613-2025</t>
        </is>
      </c>
      <c r="B226" s="1" t="n">
        <v>45715</v>
      </c>
      <c r="C226" s="1" t="n">
        <v>46144</v>
      </c>
      <c r="D226" t="inlineStr">
        <is>
          <t>GOTLANDS LÄN</t>
        </is>
      </c>
      <c r="E226" t="inlineStr">
        <is>
          <t>GOTLAND</t>
        </is>
      </c>
      <c r="G226" t="n">
        <v>3.5</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46144</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46144</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46144</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46144</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46144</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46144</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46144</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46144</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46144</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46144</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27593-2023</t>
        </is>
      </c>
      <c r="B237" s="1" t="n">
        <v>45097</v>
      </c>
      <c r="C237" s="1" t="n">
        <v>46144</v>
      </c>
      <c r="D237" t="inlineStr">
        <is>
          <t>GOTLANDS LÄN</t>
        </is>
      </c>
      <c r="E237" t="inlineStr">
        <is>
          <t>GOTLAND</t>
        </is>
      </c>
      <c r="G237" t="n">
        <v>3.1</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46144</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57522-2022</t>
        </is>
      </c>
      <c r="B239" s="1" t="n">
        <v>44896</v>
      </c>
      <c r="C239" s="1" t="n">
        <v>46144</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63516-2023</t>
        </is>
      </c>
      <c r="B240" s="1" t="n">
        <v>45274</v>
      </c>
      <c r="C240" s="1" t="n">
        <v>46144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24001-2021</t>
        </is>
      </c>
      <c r="B241" s="1" t="n">
        <v>44335</v>
      </c>
      <c r="C241" s="1" t="n">
        <v>46144</v>
      </c>
      <c r="D241" t="inlineStr">
        <is>
          <t>GOTLANDS LÄN</t>
        </is>
      </c>
      <c r="E241" t="inlineStr">
        <is>
          <t>GOTLAND</t>
        </is>
      </c>
      <c r="G241" t="n">
        <v>3.4</v>
      </c>
      <c r="H241" t="n">
        <v>0</v>
      </c>
      <c r="I241" t="n">
        <v>0</v>
      </c>
      <c r="J241" t="n">
        <v>0</v>
      </c>
      <c r="K241" t="n">
        <v>0</v>
      </c>
      <c r="L241" t="n">
        <v>0</v>
      </c>
      <c r="M241" t="n">
        <v>0</v>
      </c>
      <c r="N241" t="n">
        <v>0</v>
      </c>
      <c r="O241" t="n">
        <v>0</v>
      </c>
      <c r="P241" t="n">
        <v>0</v>
      </c>
      <c r="Q241" t="n">
        <v>0</v>
      </c>
      <c r="R241" s="2" t="inlineStr"/>
    </row>
    <row r="242" ht="15" customHeight="1">
      <c r="A242" t="inlineStr">
        <is>
          <t>A 1681-2023</t>
        </is>
      </c>
      <c r="B242" s="1" t="n">
        <v>44938.39715277778</v>
      </c>
      <c r="C242" s="1" t="n">
        <v>46144</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30365-2024</t>
        </is>
      </c>
      <c r="B243" s="1" t="n">
        <v>45491.3716087963</v>
      </c>
      <c r="C243" s="1" t="n">
        <v>46144</v>
      </c>
      <c r="D243" t="inlineStr">
        <is>
          <t>GOTLANDS LÄN</t>
        </is>
      </c>
      <c r="E243" t="inlineStr">
        <is>
          <t>GOTLAND</t>
        </is>
      </c>
      <c r="G243" t="n">
        <v>0.5</v>
      </c>
      <c r="H243" t="n">
        <v>0</v>
      </c>
      <c r="I243" t="n">
        <v>0</v>
      </c>
      <c r="J243" t="n">
        <v>0</v>
      </c>
      <c r="K243" t="n">
        <v>0</v>
      </c>
      <c r="L243" t="n">
        <v>0</v>
      </c>
      <c r="M243" t="n">
        <v>0</v>
      </c>
      <c r="N243" t="n">
        <v>0</v>
      </c>
      <c r="O243" t="n">
        <v>0</v>
      </c>
      <c r="P243" t="n">
        <v>0</v>
      </c>
      <c r="Q243" t="n">
        <v>0</v>
      </c>
      <c r="R243" s="2" t="inlineStr"/>
    </row>
    <row r="244" ht="15" customHeight="1">
      <c r="A244" t="inlineStr">
        <is>
          <t>A 6099-2024</t>
        </is>
      </c>
      <c r="B244" s="1" t="n">
        <v>45337</v>
      </c>
      <c r="C244" s="1" t="n">
        <v>46144</v>
      </c>
      <c r="D244" t="inlineStr">
        <is>
          <t>GOTLANDS LÄN</t>
        </is>
      </c>
      <c r="E244" t="inlineStr">
        <is>
          <t>GOTLAND</t>
        </is>
      </c>
      <c r="G244" t="n">
        <v>12.6</v>
      </c>
      <c r="H244" t="n">
        <v>0</v>
      </c>
      <c r="I244" t="n">
        <v>0</v>
      </c>
      <c r="J244" t="n">
        <v>0</v>
      </c>
      <c r="K244" t="n">
        <v>0</v>
      </c>
      <c r="L244" t="n">
        <v>0</v>
      </c>
      <c r="M244" t="n">
        <v>0</v>
      </c>
      <c r="N244" t="n">
        <v>0</v>
      </c>
      <c r="O244" t="n">
        <v>0</v>
      </c>
      <c r="P244" t="n">
        <v>0</v>
      </c>
      <c r="Q244" t="n">
        <v>0</v>
      </c>
      <c r="R244" s="2" t="inlineStr"/>
    </row>
    <row r="245" ht="15" customHeight="1">
      <c r="A245" t="inlineStr">
        <is>
          <t>A 1273-2023</t>
        </is>
      </c>
      <c r="B245" s="1" t="n">
        <v>44936</v>
      </c>
      <c r="C245" s="1" t="n">
        <v>46144</v>
      </c>
      <c r="D245" t="inlineStr">
        <is>
          <t>GOTLANDS LÄN</t>
        </is>
      </c>
      <c r="E245" t="inlineStr">
        <is>
          <t>GOTLAND</t>
        </is>
      </c>
      <c r="G245" t="n">
        <v>4.5</v>
      </c>
      <c r="H245" t="n">
        <v>0</v>
      </c>
      <c r="I245" t="n">
        <v>0</v>
      </c>
      <c r="J245" t="n">
        <v>0</v>
      </c>
      <c r="K245" t="n">
        <v>0</v>
      </c>
      <c r="L245" t="n">
        <v>0</v>
      </c>
      <c r="M245" t="n">
        <v>0</v>
      </c>
      <c r="N245" t="n">
        <v>0</v>
      </c>
      <c r="O245" t="n">
        <v>0</v>
      </c>
      <c r="P245" t="n">
        <v>0</v>
      </c>
      <c r="Q245" t="n">
        <v>0</v>
      </c>
      <c r="R245" s="2" t="inlineStr"/>
    </row>
    <row r="246" ht="15" customHeight="1">
      <c r="A246" t="inlineStr">
        <is>
          <t>A 58780-2024</t>
        </is>
      </c>
      <c r="B246" s="1" t="n">
        <v>45635.84113425926</v>
      </c>
      <c r="C246" s="1" t="n">
        <v>46144</v>
      </c>
      <c r="D246" t="inlineStr">
        <is>
          <t>GOTLANDS LÄN</t>
        </is>
      </c>
      <c r="E246" t="inlineStr">
        <is>
          <t>GOTLAND</t>
        </is>
      </c>
      <c r="G246" t="n">
        <v>2.6</v>
      </c>
      <c r="H246" t="n">
        <v>0</v>
      </c>
      <c r="I246" t="n">
        <v>0</v>
      </c>
      <c r="J246" t="n">
        <v>0</v>
      </c>
      <c r="K246" t="n">
        <v>0</v>
      </c>
      <c r="L246" t="n">
        <v>0</v>
      </c>
      <c r="M246" t="n">
        <v>0</v>
      </c>
      <c r="N246" t="n">
        <v>0</v>
      </c>
      <c r="O246" t="n">
        <v>0</v>
      </c>
      <c r="P246" t="n">
        <v>0</v>
      </c>
      <c r="Q246" t="n">
        <v>0</v>
      </c>
      <c r="R246" s="2" t="inlineStr"/>
    </row>
    <row r="247" ht="15" customHeight="1">
      <c r="A247" t="inlineStr">
        <is>
          <t>A 28285-2024</t>
        </is>
      </c>
      <c r="B247" s="1" t="n">
        <v>45477</v>
      </c>
      <c r="C247" s="1" t="n">
        <v>46144</v>
      </c>
      <c r="D247" t="inlineStr">
        <is>
          <t>GOTLANDS LÄN</t>
        </is>
      </c>
      <c r="E247" t="inlineStr">
        <is>
          <t>GOTLAND</t>
        </is>
      </c>
      <c r="G247" t="n">
        <v>1.6</v>
      </c>
      <c r="H247" t="n">
        <v>0</v>
      </c>
      <c r="I247" t="n">
        <v>0</v>
      </c>
      <c r="J247" t="n">
        <v>0</v>
      </c>
      <c r="K247" t="n">
        <v>0</v>
      </c>
      <c r="L247" t="n">
        <v>0</v>
      </c>
      <c r="M247" t="n">
        <v>0</v>
      </c>
      <c r="N247" t="n">
        <v>0</v>
      </c>
      <c r="O247" t="n">
        <v>0</v>
      </c>
      <c r="P247" t="n">
        <v>0</v>
      </c>
      <c r="Q247" t="n">
        <v>0</v>
      </c>
      <c r="R247" s="2" t="inlineStr"/>
    </row>
    <row r="248" ht="15" customHeight="1">
      <c r="A248" t="inlineStr">
        <is>
          <t>A 45692-2023</t>
        </is>
      </c>
      <c r="B248" s="1" t="n">
        <v>45195</v>
      </c>
      <c r="C248" s="1" t="n">
        <v>46144</v>
      </c>
      <c r="D248" t="inlineStr">
        <is>
          <t>GOTLANDS LÄN</t>
        </is>
      </c>
      <c r="E248" t="inlineStr">
        <is>
          <t>GOTLAND</t>
        </is>
      </c>
      <c r="G248" t="n">
        <v>5.3</v>
      </c>
      <c r="H248" t="n">
        <v>0</v>
      </c>
      <c r="I248" t="n">
        <v>0</v>
      </c>
      <c r="J248" t="n">
        <v>0</v>
      </c>
      <c r="K248" t="n">
        <v>0</v>
      </c>
      <c r="L248" t="n">
        <v>0</v>
      </c>
      <c r="M248" t="n">
        <v>0</v>
      </c>
      <c r="N248" t="n">
        <v>0</v>
      </c>
      <c r="O248" t="n">
        <v>0</v>
      </c>
      <c r="P248" t="n">
        <v>0</v>
      </c>
      <c r="Q248" t="n">
        <v>0</v>
      </c>
      <c r="R248" s="2" t="inlineStr"/>
    </row>
    <row r="249" ht="15" customHeight="1">
      <c r="A249" t="inlineStr">
        <is>
          <t>A 61100-2022</t>
        </is>
      </c>
      <c r="B249" s="1" t="n">
        <v>44915</v>
      </c>
      <c r="C249" s="1" t="n">
        <v>46144</v>
      </c>
      <c r="D249" t="inlineStr">
        <is>
          <t>GOTLANDS LÄN</t>
        </is>
      </c>
      <c r="E249" t="inlineStr">
        <is>
          <t>GOTLAND</t>
        </is>
      </c>
      <c r="G249" t="n">
        <v>1.4</v>
      </c>
      <c r="H249" t="n">
        <v>0</v>
      </c>
      <c r="I249" t="n">
        <v>0</v>
      </c>
      <c r="J249" t="n">
        <v>0</v>
      </c>
      <c r="K249" t="n">
        <v>0</v>
      </c>
      <c r="L249" t="n">
        <v>0</v>
      </c>
      <c r="M249" t="n">
        <v>0</v>
      </c>
      <c r="N249" t="n">
        <v>0</v>
      </c>
      <c r="O249" t="n">
        <v>0</v>
      </c>
      <c r="P249" t="n">
        <v>0</v>
      </c>
      <c r="Q249" t="n">
        <v>0</v>
      </c>
      <c r="R249" s="2" t="inlineStr"/>
    </row>
    <row r="250" ht="15" customHeight="1">
      <c r="A250" t="inlineStr">
        <is>
          <t>A 33876-2024</t>
        </is>
      </c>
      <c r="B250" s="1" t="n">
        <v>45521.87988425926</v>
      </c>
      <c r="C250" s="1" t="n">
        <v>46144</v>
      </c>
      <c r="D250" t="inlineStr">
        <is>
          <t>GOTLANDS LÄN</t>
        </is>
      </c>
      <c r="E250" t="inlineStr">
        <is>
          <t>GOTLAND</t>
        </is>
      </c>
      <c r="G250" t="n">
        <v>1.3</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45647.48824074074</v>
      </c>
      <c r="C251" s="1" t="n">
        <v>46144</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58388-2022</t>
        </is>
      </c>
      <c r="B252" s="1" t="n">
        <v>44894</v>
      </c>
      <c r="C252" s="1" t="n">
        <v>46144</v>
      </c>
      <c r="D252" t="inlineStr">
        <is>
          <t>GOTLANDS LÄN</t>
        </is>
      </c>
      <c r="E252" t="inlineStr">
        <is>
          <t>GOTLAND</t>
        </is>
      </c>
      <c r="F252" t="inlineStr">
        <is>
          <t>Övriga statliga verk och myndigheter</t>
        </is>
      </c>
      <c r="G252" t="n">
        <v>3.1</v>
      </c>
      <c r="H252" t="n">
        <v>0</v>
      </c>
      <c r="I252" t="n">
        <v>0</v>
      </c>
      <c r="J252" t="n">
        <v>0</v>
      </c>
      <c r="K252" t="n">
        <v>0</v>
      </c>
      <c r="L252" t="n">
        <v>0</v>
      </c>
      <c r="M252" t="n">
        <v>0</v>
      </c>
      <c r="N252" t="n">
        <v>0</v>
      </c>
      <c r="O252" t="n">
        <v>0</v>
      </c>
      <c r="P252" t="n">
        <v>0</v>
      </c>
      <c r="Q252" t="n">
        <v>0</v>
      </c>
      <c r="R252" s="2" t="inlineStr"/>
    </row>
    <row r="253" ht="15" customHeight="1">
      <c r="A253" t="inlineStr">
        <is>
          <t>A 21792-2024</t>
        </is>
      </c>
      <c r="B253" s="1" t="n">
        <v>45442.64326388889</v>
      </c>
      <c r="C253" s="1" t="n">
        <v>46144</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17688-2024</t>
        </is>
      </c>
      <c r="B254" s="1" t="n">
        <v>45418.43575231481</v>
      </c>
      <c r="C254" s="1" t="n">
        <v>46144</v>
      </c>
      <c r="D254" t="inlineStr">
        <is>
          <t>GOTLANDS LÄN</t>
        </is>
      </c>
      <c r="E254" t="inlineStr">
        <is>
          <t>GOTLAND</t>
        </is>
      </c>
      <c r="G254" t="n">
        <v>1.2</v>
      </c>
      <c r="H254" t="n">
        <v>0</v>
      </c>
      <c r="I254" t="n">
        <v>0</v>
      </c>
      <c r="J254" t="n">
        <v>0</v>
      </c>
      <c r="K254" t="n">
        <v>0</v>
      </c>
      <c r="L254" t="n">
        <v>0</v>
      </c>
      <c r="M254" t="n">
        <v>0</v>
      </c>
      <c r="N254" t="n">
        <v>0</v>
      </c>
      <c r="O254" t="n">
        <v>0</v>
      </c>
      <c r="P254" t="n">
        <v>0</v>
      </c>
      <c r="Q254" t="n">
        <v>0</v>
      </c>
      <c r="R254" s="2" t="inlineStr"/>
    </row>
    <row r="255" ht="15" customHeight="1">
      <c r="A255" t="inlineStr">
        <is>
          <t>A 7837-2024</t>
        </is>
      </c>
      <c r="B255" s="1" t="n">
        <v>45349.83787037037</v>
      </c>
      <c r="C255" s="1" t="n">
        <v>46144</v>
      </c>
      <c r="D255" t="inlineStr">
        <is>
          <t>GOTLANDS LÄN</t>
        </is>
      </c>
      <c r="E255" t="inlineStr">
        <is>
          <t>GOTLAND</t>
        </is>
      </c>
      <c r="G255" t="n">
        <v>5</v>
      </c>
      <c r="H255" t="n">
        <v>0</v>
      </c>
      <c r="I255" t="n">
        <v>0</v>
      </c>
      <c r="J255" t="n">
        <v>0</v>
      </c>
      <c r="K255" t="n">
        <v>0</v>
      </c>
      <c r="L255" t="n">
        <v>0</v>
      </c>
      <c r="M255" t="n">
        <v>0</v>
      </c>
      <c r="N255" t="n">
        <v>0</v>
      </c>
      <c r="O255" t="n">
        <v>0</v>
      </c>
      <c r="P255" t="n">
        <v>0</v>
      </c>
      <c r="Q255" t="n">
        <v>0</v>
      </c>
      <c r="R255" s="2" t="inlineStr"/>
    </row>
    <row r="256" ht="15" customHeight="1">
      <c r="A256" t="inlineStr">
        <is>
          <t>A 4568-2025</t>
        </is>
      </c>
      <c r="B256" s="1" t="n">
        <v>45687</v>
      </c>
      <c r="C256" s="1" t="n">
        <v>46144</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35512-2023</t>
        </is>
      </c>
      <c r="B257" s="1" t="n">
        <v>45147.25623842593</v>
      </c>
      <c r="C257" s="1" t="n">
        <v>46144</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46144</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1291-2023</t>
        </is>
      </c>
      <c r="B259" s="1" t="n">
        <v>44936.47561342592</v>
      </c>
      <c r="C259" s="1" t="n">
        <v>46144</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57652-2023</t>
        </is>
      </c>
      <c r="B260" s="1" t="n">
        <v>45246</v>
      </c>
      <c r="C260" s="1" t="n">
        <v>46144</v>
      </c>
      <c r="D260" t="inlineStr">
        <is>
          <t>GOTLANDS LÄN</t>
        </is>
      </c>
      <c r="E260" t="inlineStr">
        <is>
          <t>GOTLAND</t>
        </is>
      </c>
      <c r="G260" t="n">
        <v>7.2</v>
      </c>
      <c r="H260" t="n">
        <v>0</v>
      </c>
      <c r="I260" t="n">
        <v>0</v>
      </c>
      <c r="J260" t="n">
        <v>0</v>
      </c>
      <c r="K260" t="n">
        <v>0</v>
      </c>
      <c r="L260" t="n">
        <v>0</v>
      </c>
      <c r="M260" t="n">
        <v>0</v>
      </c>
      <c r="N260" t="n">
        <v>0</v>
      </c>
      <c r="O260" t="n">
        <v>0</v>
      </c>
      <c r="P260" t="n">
        <v>0</v>
      </c>
      <c r="Q260" t="n">
        <v>0</v>
      </c>
      <c r="R260" s="2" t="inlineStr"/>
    </row>
    <row r="261" ht="15" customHeight="1">
      <c r="A261" t="inlineStr">
        <is>
          <t>A 45106-2024</t>
        </is>
      </c>
      <c r="B261" s="1" t="n">
        <v>45575</v>
      </c>
      <c r="C261" s="1" t="n">
        <v>46144</v>
      </c>
      <c r="D261" t="inlineStr">
        <is>
          <t>GOTLANDS LÄN</t>
        </is>
      </c>
      <c r="E261" t="inlineStr">
        <is>
          <t>GOTLAND</t>
        </is>
      </c>
      <c r="G261" t="n">
        <v>10</v>
      </c>
      <c r="H261" t="n">
        <v>0</v>
      </c>
      <c r="I261" t="n">
        <v>0</v>
      </c>
      <c r="J261" t="n">
        <v>0</v>
      </c>
      <c r="K261" t="n">
        <v>0</v>
      </c>
      <c r="L261" t="n">
        <v>0</v>
      </c>
      <c r="M261" t="n">
        <v>0</v>
      </c>
      <c r="N261" t="n">
        <v>0</v>
      </c>
      <c r="O261" t="n">
        <v>0</v>
      </c>
      <c r="P261" t="n">
        <v>0</v>
      </c>
      <c r="Q261" t="n">
        <v>0</v>
      </c>
      <c r="R261" s="2" t="inlineStr"/>
    </row>
    <row r="262" ht="15" customHeight="1">
      <c r="A262" t="inlineStr">
        <is>
          <t>A 45112-2024</t>
        </is>
      </c>
      <c r="B262" s="1" t="n">
        <v>45575</v>
      </c>
      <c r="C262" s="1" t="n">
        <v>46144</v>
      </c>
      <c r="D262" t="inlineStr">
        <is>
          <t>GOTLANDS LÄN</t>
        </is>
      </c>
      <c r="E262" t="inlineStr">
        <is>
          <t>GOTLAND</t>
        </is>
      </c>
      <c r="G262" t="n">
        <v>5.1</v>
      </c>
      <c r="H262" t="n">
        <v>0</v>
      </c>
      <c r="I262" t="n">
        <v>0</v>
      </c>
      <c r="J262" t="n">
        <v>0</v>
      </c>
      <c r="K262" t="n">
        <v>0</v>
      </c>
      <c r="L262" t="n">
        <v>0</v>
      </c>
      <c r="M262" t="n">
        <v>0</v>
      </c>
      <c r="N262" t="n">
        <v>0</v>
      </c>
      <c r="O262" t="n">
        <v>0</v>
      </c>
      <c r="P262" t="n">
        <v>0</v>
      </c>
      <c r="Q262" t="n">
        <v>0</v>
      </c>
      <c r="R262" s="2" t="inlineStr"/>
    </row>
    <row r="263" ht="15" customHeight="1">
      <c r="A263" t="inlineStr">
        <is>
          <t>A 49315-2024</t>
        </is>
      </c>
      <c r="B263" s="1" t="n">
        <v>45595</v>
      </c>
      <c r="C263" s="1" t="n">
        <v>46144</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2676-2023</t>
        </is>
      </c>
      <c r="B264" s="1" t="n">
        <v>44944</v>
      </c>
      <c r="C264" s="1" t="n">
        <v>46144</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3150-2025</t>
        </is>
      </c>
      <c r="B265" s="1" t="n">
        <v>45679.28974537037</v>
      </c>
      <c r="C265" s="1" t="n">
        <v>46144</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20356-2022</t>
        </is>
      </c>
      <c r="B266" s="1" t="n">
        <v>44699</v>
      </c>
      <c r="C266" s="1" t="n">
        <v>46144</v>
      </c>
      <c r="D266" t="inlineStr">
        <is>
          <t>GOTLANDS LÄN</t>
        </is>
      </c>
      <c r="E266" t="inlineStr">
        <is>
          <t>GOTLAND</t>
        </is>
      </c>
      <c r="F266" t="inlineStr">
        <is>
          <t>Övriga Aktiebolag</t>
        </is>
      </c>
      <c r="G266" t="n">
        <v>4.4</v>
      </c>
      <c r="H266" t="n">
        <v>0</v>
      </c>
      <c r="I266" t="n">
        <v>0</v>
      </c>
      <c r="J266" t="n">
        <v>0</v>
      </c>
      <c r="K266" t="n">
        <v>0</v>
      </c>
      <c r="L266" t="n">
        <v>0</v>
      </c>
      <c r="M266" t="n">
        <v>0</v>
      </c>
      <c r="N266" t="n">
        <v>0</v>
      </c>
      <c r="O266" t="n">
        <v>0</v>
      </c>
      <c r="P266" t="n">
        <v>0</v>
      </c>
      <c r="Q266" t="n">
        <v>0</v>
      </c>
      <c r="R266" s="2" t="inlineStr"/>
    </row>
    <row r="267" ht="15" customHeight="1">
      <c r="A267" t="inlineStr">
        <is>
          <t>A 48734-2022</t>
        </is>
      </c>
      <c r="B267" s="1" t="n">
        <v>44855</v>
      </c>
      <c r="C267" s="1" t="n">
        <v>46144</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14141-2024</t>
        </is>
      </c>
      <c r="B268" s="1" t="n">
        <v>45392.85193287037</v>
      </c>
      <c r="C268" s="1" t="n">
        <v>46144</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8484-2025</t>
        </is>
      </c>
      <c r="B269" s="1" t="n">
        <v>45709</v>
      </c>
      <c r="C269" s="1" t="n">
        <v>46144</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29809-2022</t>
        </is>
      </c>
      <c r="B270" s="1" t="n">
        <v>44755.8713425926</v>
      </c>
      <c r="C270" s="1" t="n">
        <v>46144</v>
      </c>
      <c r="D270" t="inlineStr">
        <is>
          <t>GOTLANDS LÄN</t>
        </is>
      </c>
      <c r="E270" t="inlineStr">
        <is>
          <t>GOTLAND</t>
        </is>
      </c>
      <c r="G270" t="n">
        <v>11.5</v>
      </c>
      <c r="H270" t="n">
        <v>0</v>
      </c>
      <c r="I270" t="n">
        <v>0</v>
      </c>
      <c r="J270" t="n">
        <v>0</v>
      </c>
      <c r="K270" t="n">
        <v>0</v>
      </c>
      <c r="L270" t="n">
        <v>0</v>
      </c>
      <c r="M270" t="n">
        <v>0</v>
      </c>
      <c r="N270" t="n">
        <v>0</v>
      </c>
      <c r="O270" t="n">
        <v>0</v>
      </c>
      <c r="P270" t="n">
        <v>0</v>
      </c>
      <c r="Q270" t="n">
        <v>0</v>
      </c>
      <c r="R270" s="2" t="inlineStr"/>
    </row>
    <row r="271" ht="15" customHeight="1">
      <c r="A271" t="inlineStr">
        <is>
          <t>A 7635-2025</t>
        </is>
      </c>
      <c r="B271" s="1" t="n">
        <v>45705</v>
      </c>
      <c r="C271" s="1" t="n">
        <v>46144</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7636-2025</t>
        </is>
      </c>
      <c r="B272" s="1" t="n">
        <v>45705.7687962963</v>
      </c>
      <c r="C272" s="1" t="n">
        <v>46144</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7639-2025</t>
        </is>
      </c>
      <c r="B273" s="1" t="n">
        <v>45705.77465277778</v>
      </c>
      <c r="C273" s="1" t="n">
        <v>46144</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57685-2022</t>
        </is>
      </c>
      <c r="B274" s="1" t="n">
        <v>44897.4777662037</v>
      </c>
      <c r="C274" s="1" t="n">
        <v>46144</v>
      </c>
      <c r="D274" t="inlineStr">
        <is>
          <t>GOTLANDS LÄN</t>
        </is>
      </c>
      <c r="E274" t="inlineStr">
        <is>
          <t>GOTLAND</t>
        </is>
      </c>
      <c r="G274" t="n">
        <v>3.7</v>
      </c>
      <c r="H274" t="n">
        <v>0</v>
      </c>
      <c r="I274" t="n">
        <v>0</v>
      </c>
      <c r="J274" t="n">
        <v>0</v>
      </c>
      <c r="K274" t="n">
        <v>0</v>
      </c>
      <c r="L274" t="n">
        <v>0</v>
      </c>
      <c r="M274" t="n">
        <v>0</v>
      </c>
      <c r="N274" t="n">
        <v>0</v>
      </c>
      <c r="O274" t="n">
        <v>0</v>
      </c>
      <c r="P274" t="n">
        <v>0</v>
      </c>
      <c r="Q274" t="n">
        <v>0</v>
      </c>
      <c r="R274" s="2" t="inlineStr"/>
    </row>
    <row r="275" ht="15" customHeight="1">
      <c r="A275" t="inlineStr">
        <is>
          <t>A 30815-2023</t>
        </is>
      </c>
      <c r="B275" s="1" t="n">
        <v>45112</v>
      </c>
      <c r="C275" s="1" t="n">
        <v>46144</v>
      </c>
      <c r="D275" t="inlineStr">
        <is>
          <t>GOTLANDS LÄN</t>
        </is>
      </c>
      <c r="E275" t="inlineStr">
        <is>
          <t>GOTLAND</t>
        </is>
      </c>
      <c r="G275" t="n">
        <v>6</v>
      </c>
      <c r="H275" t="n">
        <v>0</v>
      </c>
      <c r="I275" t="n">
        <v>0</v>
      </c>
      <c r="J275" t="n">
        <v>0</v>
      </c>
      <c r="K275" t="n">
        <v>0</v>
      </c>
      <c r="L275" t="n">
        <v>0</v>
      </c>
      <c r="M275" t="n">
        <v>0</v>
      </c>
      <c r="N275" t="n">
        <v>0</v>
      </c>
      <c r="O275" t="n">
        <v>0</v>
      </c>
      <c r="P275" t="n">
        <v>0</v>
      </c>
      <c r="Q275" t="n">
        <v>0</v>
      </c>
      <c r="R275" s="2" t="inlineStr"/>
    </row>
    <row r="276" ht="15" customHeight="1">
      <c r="A276" t="inlineStr">
        <is>
          <t>A 7034-2023</t>
        </is>
      </c>
      <c r="B276" s="1" t="n">
        <v>44968.32108796296</v>
      </c>
      <c r="C276" s="1" t="n">
        <v>46144</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7042-2023</t>
        </is>
      </c>
      <c r="B277" s="1" t="n">
        <v>44968</v>
      </c>
      <c r="C277" s="1" t="n">
        <v>46144</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23516-2023</t>
        </is>
      </c>
      <c r="B278" s="1" t="n">
        <v>45076.93391203704</v>
      </c>
      <c r="C278" s="1" t="n">
        <v>46144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46144</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63763-2023</t>
        </is>
      </c>
      <c r="B280" s="1" t="n">
        <v>45278.33944444444</v>
      </c>
      <c r="C280" s="1" t="n">
        <v>46144</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63229-2021</t>
        </is>
      </c>
      <c r="B281" s="1" t="n">
        <v>44508.34518518519</v>
      </c>
      <c r="C281" s="1" t="n">
        <v>46144</v>
      </c>
      <c r="D281" t="inlineStr">
        <is>
          <t>GOTLANDS LÄN</t>
        </is>
      </c>
      <c r="E281" t="inlineStr">
        <is>
          <t>GOTLAND</t>
        </is>
      </c>
      <c r="F281" t="inlineStr">
        <is>
          <t>Kyrkan</t>
        </is>
      </c>
      <c r="G281" t="n">
        <v>3.8</v>
      </c>
      <c r="H281" t="n">
        <v>0</v>
      </c>
      <c r="I281" t="n">
        <v>0</v>
      </c>
      <c r="J281" t="n">
        <v>0</v>
      </c>
      <c r="K281" t="n">
        <v>0</v>
      </c>
      <c r="L281" t="n">
        <v>0</v>
      </c>
      <c r="M281" t="n">
        <v>0</v>
      </c>
      <c r="N281" t="n">
        <v>0</v>
      </c>
      <c r="O281" t="n">
        <v>0</v>
      </c>
      <c r="P281" t="n">
        <v>0</v>
      </c>
      <c r="Q281" t="n">
        <v>0</v>
      </c>
      <c r="R281" s="2" t="inlineStr"/>
    </row>
    <row r="282" ht="15" customHeight="1">
      <c r="A282" t="inlineStr">
        <is>
          <t>A 46375-2024</t>
        </is>
      </c>
      <c r="B282" s="1" t="n">
        <v>45582</v>
      </c>
      <c r="C282" s="1" t="n">
        <v>46144</v>
      </c>
      <c r="D282" t="inlineStr">
        <is>
          <t>GOTLANDS LÄN</t>
        </is>
      </c>
      <c r="E282" t="inlineStr">
        <is>
          <t>GOTLAND</t>
        </is>
      </c>
      <c r="G282" t="n">
        <v>3</v>
      </c>
      <c r="H282" t="n">
        <v>0</v>
      </c>
      <c r="I282" t="n">
        <v>0</v>
      </c>
      <c r="J282" t="n">
        <v>0</v>
      </c>
      <c r="K282" t="n">
        <v>0</v>
      </c>
      <c r="L282" t="n">
        <v>0</v>
      </c>
      <c r="M282" t="n">
        <v>0</v>
      </c>
      <c r="N282" t="n">
        <v>0</v>
      </c>
      <c r="O282" t="n">
        <v>0</v>
      </c>
      <c r="P282" t="n">
        <v>0</v>
      </c>
      <c r="Q282" t="n">
        <v>0</v>
      </c>
      <c r="R282" s="2" t="inlineStr"/>
    </row>
    <row r="283" ht="15" customHeight="1">
      <c r="A283" t="inlineStr">
        <is>
          <t>A 6108-2025</t>
        </is>
      </c>
      <c r="B283" s="1" t="n">
        <v>45698.29880787037</v>
      </c>
      <c r="C283" s="1" t="n">
        <v>46144</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21142-2025</t>
        </is>
      </c>
      <c r="B284" s="1" t="n">
        <v>45779</v>
      </c>
      <c r="C284" s="1" t="n">
        <v>46144</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17343-2025</t>
        </is>
      </c>
      <c r="B285" s="1" t="n">
        <v>45756.6687037037</v>
      </c>
      <c r="C285" s="1" t="n">
        <v>46144</v>
      </c>
      <c r="D285" t="inlineStr">
        <is>
          <t>GOTLANDS LÄN</t>
        </is>
      </c>
      <c r="E285" t="inlineStr">
        <is>
          <t>GOTLAND</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18938-2025</t>
        </is>
      </c>
      <c r="B286" s="1" t="n">
        <v>45764.49172453704</v>
      </c>
      <c r="C286" s="1" t="n">
        <v>46144</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30489-2025</t>
        </is>
      </c>
      <c r="B287" s="1" t="n">
        <v>45830</v>
      </c>
      <c r="C287" s="1" t="n">
        <v>46144</v>
      </c>
      <c r="D287" t="inlineStr">
        <is>
          <t>GOTLANDS LÄN</t>
        </is>
      </c>
      <c r="E287" t="inlineStr">
        <is>
          <t>GOTLAND</t>
        </is>
      </c>
      <c r="G287" t="n">
        <v>4.6</v>
      </c>
      <c r="H287" t="n">
        <v>0</v>
      </c>
      <c r="I287" t="n">
        <v>0</v>
      </c>
      <c r="J287" t="n">
        <v>0</v>
      </c>
      <c r="K287" t="n">
        <v>0</v>
      </c>
      <c r="L287" t="n">
        <v>0</v>
      </c>
      <c r="M287" t="n">
        <v>0</v>
      </c>
      <c r="N287" t="n">
        <v>0</v>
      </c>
      <c r="O287" t="n">
        <v>0</v>
      </c>
      <c r="P287" t="n">
        <v>0</v>
      </c>
      <c r="Q287" t="n">
        <v>0</v>
      </c>
      <c r="R287" s="2" t="inlineStr"/>
    </row>
    <row r="288" ht="15" customHeight="1">
      <c r="A288" t="inlineStr">
        <is>
          <t>A 20307-2025</t>
        </is>
      </c>
      <c r="B288" s="1" t="n">
        <v>45774.95546296296</v>
      </c>
      <c r="C288" s="1" t="n">
        <v>46144</v>
      </c>
      <c r="D288" t="inlineStr">
        <is>
          <t>GOTLANDS LÄN</t>
        </is>
      </c>
      <c r="E288" t="inlineStr">
        <is>
          <t>GOTLAND</t>
        </is>
      </c>
      <c r="G288" t="n">
        <v>6.8</v>
      </c>
      <c r="H288" t="n">
        <v>0</v>
      </c>
      <c r="I288" t="n">
        <v>0</v>
      </c>
      <c r="J288" t="n">
        <v>0</v>
      </c>
      <c r="K288" t="n">
        <v>0</v>
      </c>
      <c r="L288" t="n">
        <v>0</v>
      </c>
      <c r="M288" t="n">
        <v>0</v>
      </c>
      <c r="N288" t="n">
        <v>0</v>
      </c>
      <c r="O288" t="n">
        <v>0</v>
      </c>
      <c r="P288" t="n">
        <v>0</v>
      </c>
      <c r="Q288" t="n">
        <v>0</v>
      </c>
      <c r="R288" s="2" t="inlineStr"/>
    </row>
    <row r="289" ht="15" customHeight="1">
      <c r="A289" t="inlineStr">
        <is>
          <t>A 18993-2025</t>
        </is>
      </c>
      <c r="B289" s="1" t="n">
        <v>45764</v>
      </c>
      <c r="C289" s="1" t="n">
        <v>46144</v>
      </c>
      <c r="D289" t="inlineStr">
        <is>
          <t>GOTLANDS LÄN</t>
        </is>
      </c>
      <c r="E289" t="inlineStr">
        <is>
          <t>GOTLAND</t>
        </is>
      </c>
      <c r="G289" t="n">
        <v>3</v>
      </c>
      <c r="H289" t="n">
        <v>0</v>
      </c>
      <c r="I289" t="n">
        <v>0</v>
      </c>
      <c r="J289" t="n">
        <v>0</v>
      </c>
      <c r="K289" t="n">
        <v>0</v>
      </c>
      <c r="L289" t="n">
        <v>0</v>
      </c>
      <c r="M289" t="n">
        <v>0</v>
      </c>
      <c r="N289" t="n">
        <v>0</v>
      </c>
      <c r="O289" t="n">
        <v>0</v>
      </c>
      <c r="P289" t="n">
        <v>0</v>
      </c>
      <c r="Q289" t="n">
        <v>0</v>
      </c>
      <c r="R289" s="2" t="inlineStr"/>
    </row>
    <row r="290" ht="15" customHeight="1">
      <c r="A290" t="inlineStr">
        <is>
          <t>A 1734-2025</t>
        </is>
      </c>
      <c r="B290" s="1" t="n">
        <v>45671.3840625</v>
      </c>
      <c r="C290" s="1" t="n">
        <v>46144</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30135-2025</t>
        </is>
      </c>
      <c r="B291" s="1" t="n">
        <v>45826</v>
      </c>
      <c r="C291" s="1" t="n">
        <v>46144</v>
      </c>
      <c r="D291" t="inlineStr">
        <is>
          <t>GOTLANDS LÄN</t>
        </is>
      </c>
      <c r="E291" t="inlineStr">
        <is>
          <t>GOTLAND</t>
        </is>
      </c>
      <c r="G291" t="n">
        <v>2.7</v>
      </c>
      <c r="H291" t="n">
        <v>0</v>
      </c>
      <c r="I291" t="n">
        <v>0</v>
      </c>
      <c r="J291" t="n">
        <v>0</v>
      </c>
      <c r="K291" t="n">
        <v>0</v>
      </c>
      <c r="L291" t="n">
        <v>0</v>
      </c>
      <c r="M291" t="n">
        <v>0</v>
      </c>
      <c r="N291" t="n">
        <v>0</v>
      </c>
      <c r="O291" t="n">
        <v>0</v>
      </c>
      <c r="P291" t="n">
        <v>0</v>
      </c>
      <c r="Q291" t="n">
        <v>0</v>
      </c>
      <c r="R291" s="2" t="inlineStr"/>
    </row>
    <row r="292" ht="15" customHeight="1">
      <c r="A292" t="inlineStr">
        <is>
          <t>A 20993-2023</t>
        </is>
      </c>
      <c r="B292" s="1" t="n">
        <v>45056</v>
      </c>
      <c r="C292" s="1" t="n">
        <v>46144</v>
      </c>
      <c r="D292" t="inlineStr">
        <is>
          <t>GOTLANDS LÄN</t>
        </is>
      </c>
      <c r="E292" t="inlineStr">
        <is>
          <t>GOTLAND</t>
        </is>
      </c>
      <c r="G292" t="n">
        <v>7.1</v>
      </c>
      <c r="H292" t="n">
        <v>0</v>
      </c>
      <c r="I292" t="n">
        <v>0</v>
      </c>
      <c r="J292" t="n">
        <v>0</v>
      </c>
      <c r="K292" t="n">
        <v>0</v>
      </c>
      <c r="L292" t="n">
        <v>0</v>
      </c>
      <c r="M292" t="n">
        <v>0</v>
      </c>
      <c r="N292" t="n">
        <v>0</v>
      </c>
      <c r="O292" t="n">
        <v>0</v>
      </c>
      <c r="P292" t="n">
        <v>0</v>
      </c>
      <c r="Q292" t="n">
        <v>0</v>
      </c>
      <c r="R292" s="2" t="inlineStr"/>
    </row>
    <row r="293" ht="15" customHeight="1">
      <c r="A293" t="inlineStr">
        <is>
          <t>A 12599-2025</t>
        </is>
      </c>
      <c r="B293" s="1" t="n">
        <v>45733.29546296296</v>
      </c>
      <c r="C293" s="1" t="n">
        <v>46144</v>
      </c>
      <c r="D293" t="inlineStr">
        <is>
          <t>GOTLANDS LÄN</t>
        </is>
      </c>
      <c r="E293" t="inlineStr">
        <is>
          <t>GOTLAND</t>
        </is>
      </c>
      <c r="G293" t="n">
        <v>4.7</v>
      </c>
      <c r="H293" t="n">
        <v>0</v>
      </c>
      <c r="I293" t="n">
        <v>0</v>
      </c>
      <c r="J293" t="n">
        <v>0</v>
      </c>
      <c r="K293" t="n">
        <v>0</v>
      </c>
      <c r="L293" t="n">
        <v>0</v>
      </c>
      <c r="M293" t="n">
        <v>0</v>
      </c>
      <c r="N293" t="n">
        <v>0</v>
      </c>
      <c r="O293" t="n">
        <v>0</v>
      </c>
      <c r="P293" t="n">
        <v>0</v>
      </c>
      <c r="Q293" t="n">
        <v>0</v>
      </c>
      <c r="R293" s="2" t="inlineStr"/>
    </row>
    <row r="294" ht="15" customHeight="1">
      <c r="A294" t="inlineStr">
        <is>
          <t>A 35141-2025</t>
        </is>
      </c>
      <c r="B294" s="1" t="n">
        <v>45852.65206018519</v>
      </c>
      <c r="C294" s="1" t="n">
        <v>46144</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46144</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12596-2023</t>
        </is>
      </c>
      <c r="B296" s="1" t="n">
        <v>45000.43310185185</v>
      </c>
      <c r="C296" s="1" t="n">
        <v>46144</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2125-2025</t>
        </is>
      </c>
      <c r="B297" s="1" t="n">
        <v>45672.64940972222</v>
      </c>
      <c r="C297" s="1" t="n">
        <v>46144</v>
      </c>
      <c r="D297" t="inlineStr">
        <is>
          <t>GOTLANDS LÄN</t>
        </is>
      </c>
      <c r="E297" t="inlineStr">
        <is>
          <t>GOTLAND</t>
        </is>
      </c>
      <c r="G297" t="n">
        <v>2.3</v>
      </c>
      <c r="H297" t="n">
        <v>0</v>
      </c>
      <c r="I297" t="n">
        <v>0</v>
      </c>
      <c r="J297" t="n">
        <v>0</v>
      </c>
      <c r="K297" t="n">
        <v>0</v>
      </c>
      <c r="L297" t="n">
        <v>0</v>
      </c>
      <c r="M297" t="n">
        <v>0</v>
      </c>
      <c r="N297" t="n">
        <v>0</v>
      </c>
      <c r="O297" t="n">
        <v>0</v>
      </c>
      <c r="P297" t="n">
        <v>0</v>
      </c>
      <c r="Q297" t="n">
        <v>0</v>
      </c>
      <c r="R297" s="2" t="inlineStr"/>
    </row>
    <row r="298" ht="15" customHeight="1">
      <c r="A298" t="inlineStr">
        <is>
          <t>A 12155-2023</t>
        </is>
      </c>
      <c r="B298" s="1" t="n">
        <v>44998.49106481481</v>
      </c>
      <c r="C298" s="1" t="n">
        <v>46144</v>
      </c>
      <c r="D298" t="inlineStr">
        <is>
          <t>GOTLANDS LÄN</t>
        </is>
      </c>
      <c r="E298" t="inlineStr">
        <is>
          <t>GOTLAND</t>
        </is>
      </c>
      <c r="G298" t="n">
        <v>1.1</v>
      </c>
      <c r="H298" t="n">
        <v>0</v>
      </c>
      <c r="I298" t="n">
        <v>0</v>
      </c>
      <c r="J298" t="n">
        <v>0</v>
      </c>
      <c r="K298" t="n">
        <v>0</v>
      </c>
      <c r="L298" t="n">
        <v>0</v>
      </c>
      <c r="M298" t="n">
        <v>0</v>
      </c>
      <c r="N298" t="n">
        <v>0</v>
      </c>
      <c r="O298" t="n">
        <v>0</v>
      </c>
      <c r="P298" t="n">
        <v>0</v>
      </c>
      <c r="Q298" t="n">
        <v>0</v>
      </c>
      <c r="R298" s="2" t="inlineStr"/>
    </row>
    <row r="299" ht="15" customHeight="1">
      <c r="A299" t="inlineStr">
        <is>
          <t>A 20356-2022</t>
        </is>
      </c>
      <c r="B299" s="1" t="n">
        <v>44699</v>
      </c>
      <c r="C299" s="1" t="n">
        <v>46144</v>
      </c>
      <c r="D299" t="inlineStr">
        <is>
          <t>GOTLANDS LÄN</t>
        </is>
      </c>
      <c r="E299" t="inlineStr">
        <is>
          <t>GOTLAND</t>
        </is>
      </c>
      <c r="F299" t="inlineStr">
        <is>
          <t>Övriga Aktiebolag</t>
        </is>
      </c>
      <c r="G299" t="n">
        <v>4.4</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46144</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46144</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46144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50744-2024</t>
        </is>
      </c>
      <c r="B303" s="1" t="n">
        <v>45602.4187037037</v>
      </c>
      <c r="C303" s="1" t="n">
        <v>46144</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46144</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39814-2025</t>
        </is>
      </c>
      <c r="B305" s="1" t="n">
        <v>45891.52694444444</v>
      </c>
      <c r="C305" s="1" t="n">
        <v>46144</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53934-2024</t>
        </is>
      </c>
      <c r="B306" s="1" t="n">
        <v>45615</v>
      </c>
      <c r="C306" s="1" t="n">
        <v>46144</v>
      </c>
      <c r="D306" t="inlineStr">
        <is>
          <t>GOTLANDS LÄN</t>
        </is>
      </c>
      <c r="E306" t="inlineStr">
        <is>
          <t>GOTLAND</t>
        </is>
      </c>
      <c r="G306" t="n">
        <v>5</v>
      </c>
      <c r="H306" t="n">
        <v>0</v>
      </c>
      <c r="I306" t="n">
        <v>0</v>
      </c>
      <c r="J306" t="n">
        <v>0</v>
      </c>
      <c r="K306" t="n">
        <v>0</v>
      </c>
      <c r="L306" t="n">
        <v>0</v>
      </c>
      <c r="M306" t="n">
        <v>0</v>
      </c>
      <c r="N306" t="n">
        <v>0</v>
      </c>
      <c r="O306" t="n">
        <v>0</v>
      </c>
      <c r="P306" t="n">
        <v>0</v>
      </c>
      <c r="Q306" t="n">
        <v>0</v>
      </c>
      <c r="R306" s="2" t="inlineStr"/>
    </row>
    <row r="307" ht="15" customHeight="1">
      <c r="A307" t="inlineStr">
        <is>
          <t>A 39849-2025</t>
        </is>
      </c>
      <c r="B307" s="1" t="n">
        <v>45891.58502314815</v>
      </c>
      <c r="C307" s="1" t="n">
        <v>46144</v>
      </c>
      <c r="D307" t="inlineStr">
        <is>
          <t>GOTLANDS LÄN</t>
        </is>
      </c>
      <c r="E307" t="inlineStr">
        <is>
          <t>GOTLAND</t>
        </is>
      </c>
      <c r="G307" t="n">
        <v>6.1</v>
      </c>
      <c r="H307" t="n">
        <v>0</v>
      </c>
      <c r="I307" t="n">
        <v>0</v>
      </c>
      <c r="J307" t="n">
        <v>0</v>
      </c>
      <c r="K307" t="n">
        <v>0</v>
      </c>
      <c r="L307" t="n">
        <v>0</v>
      </c>
      <c r="M307" t="n">
        <v>0</v>
      </c>
      <c r="N307" t="n">
        <v>0</v>
      </c>
      <c r="O307" t="n">
        <v>0</v>
      </c>
      <c r="P307" t="n">
        <v>0</v>
      </c>
      <c r="Q307" t="n">
        <v>0</v>
      </c>
      <c r="R307" s="2" t="inlineStr"/>
    </row>
    <row r="308" ht="15" customHeight="1">
      <c r="A308" t="inlineStr">
        <is>
          <t>A 39752-2025</t>
        </is>
      </c>
      <c r="B308" s="1" t="n">
        <v>45891</v>
      </c>
      <c r="C308" s="1" t="n">
        <v>46144</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39816-2025</t>
        </is>
      </c>
      <c r="B309" s="1" t="n">
        <v>45891</v>
      </c>
      <c r="C309" s="1" t="n">
        <v>46144</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40103-2025</t>
        </is>
      </c>
      <c r="B310" s="1" t="n">
        <v>45894.4880324074</v>
      </c>
      <c r="C310" s="1" t="n">
        <v>46144</v>
      </c>
      <c r="D310" t="inlineStr">
        <is>
          <t>GOTLANDS LÄN</t>
        </is>
      </c>
      <c r="E310" t="inlineStr">
        <is>
          <t>GOTLAND</t>
        </is>
      </c>
      <c r="G310" t="n">
        <v>0.9</v>
      </c>
      <c r="H310" t="n">
        <v>0</v>
      </c>
      <c r="I310" t="n">
        <v>0</v>
      </c>
      <c r="J310" t="n">
        <v>0</v>
      </c>
      <c r="K310" t="n">
        <v>0</v>
      </c>
      <c r="L310" t="n">
        <v>0</v>
      </c>
      <c r="M310" t="n">
        <v>0</v>
      </c>
      <c r="N310" t="n">
        <v>0</v>
      </c>
      <c r="O310" t="n">
        <v>0</v>
      </c>
      <c r="P310" t="n">
        <v>0</v>
      </c>
      <c r="Q310" t="n">
        <v>0</v>
      </c>
      <c r="R310" s="2" t="inlineStr"/>
    </row>
    <row r="311" ht="15" customHeight="1">
      <c r="A311" t="inlineStr">
        <is>
          <t>A 40373-2025</t>
        </is>
      </c>
      <c r="B311" s="1" t="n">
        <v>45895.51821759259</v>
      </c>
      <c r="C311" s="1" t="n">
        <v>46144</v>
      </c>
      <c r="D311" t="inlineStr">
        <is>
          <t>GOTLANDS LÄN</t>
        </is>
      </c>
      <c r="E311" t="inlineStr">
        <is>
          <t>GOTLAND</t>
        </is>
      </c>
      <c r="G311" t="n">
        <v>0.6</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46144</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40372-2025</t>
        </is>
      </c>
      <c r="B313" s="1" t="n">
        <v>45895.5162037037</v>
      </c>
      <c r="C313" s="1" t="n">
        <v>46144</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39278-2025</t>
        </is>
      </c>
      <c r="B314" s="1" t="n">
        <v>45889</v>
      </c>
      <c r="C314" s="1" t="n">
        <v>46144</v>
      </c>
      <c r="D314" t="inlineStr">
        <is>
          <t>GOTLANDS LÄN</t>
        </is>
      </c>
      <c r="E314" t="inlineStr">
        <is>
          <t>GOTLAND</t>
        </is>
      </c>
      <c r="G314" t="n">
        <v>3.7</v>
      </c>
      <c r="H314" t="n">
        <v>0</v>
      </c>
      <c r="I314" t="n">
        <v>0</v>
      </c>
      <c r="J314" t="n">
        <v>0</v>
      </c>
      <c r="K314" t="n">
        <v>0</v>
      </c>
      <c r="L314" t="n">
        <v>0</v>
      </c>
      <c r="M314" t="n">
        <v>0</v>
      </c>
      <c r="N314" t="n">
        <v>0</v>
      </c>
      <c r="O314" t="n">
        <v>0</v>
      </c>
      <c r="P314" t="n">
        <v>0</v>
      </c>
      <c r="Q314" t="n">
        <v>0</v>
      </c>
      <c r="R314" s="2" t="inlineStr"/>
    </row>
    <row r="315" ht="15" customHeight="1">
      <c r="A315" t="inlineStr">
        <is>
          <t>A 1446-2025</t>
        </is>
      </c>
      <c r="B315" s="1" t="n">
        <v>45669.86035879629</v>
      </c>
      <c r="C315" s="1" t="n">
        <v>46144</v>
      </c>
      <c r="D315" t="inlineStr">
        <is>
          <t>GOTLANDS LÄN</t>
        </is>
      </c>
      <c r="E315" t="inlineStr">
        <is>
          <t>GOTLAND</t>
        </is>
      </c>
      <c r="G315" t="n">
        <v>3.1</v>
      </c>
      <c r="H315" t="n">
        <v>0</v>
      </c>
      <c r="I315" t="n">
        <v>0</v>
      </c>
      <c r="J315" t="n">
        <v>0</v>
      </c>
      <c r="K315" t="n">
        <v>0</v>
      </c>
      <c r="L315" t="n">
        <v>0</v>
      </c>
      <c r="M315" t="n">
        <v>0</v>
      </c>
      <c r="N315" t="n">
        <v>0</v>
      </c>
      <c r="O315" t="n">
        <v>0</v>
      </c>
      <c r="P315" t="n">
        <v>0</v>
      </c>
      <c r="Q315" t="n">
        <v>0</v>
      </c>
      <c r="R315" s="2" t="inlineStr"/>
    </row>
    <row r="316" ht="15" customHeight="1">
      <c r="A316" t="inlineStr">
        <is>
          <t>A 41435-2025</t>
        </is>
      </c>
      <c r="B316" s="1" t="n">
        <v>45901.39974537037</v>
      </c>
      <c r="C316" s="1" t="n">
        <v>46144</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31264-2021</t>
        </is>
      </c>
      <c r="B317" s="1" t="n">
        <v>44368</v>
      </c>
      <c r="C317" s="1" t="n">
        <v>46144</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41551-2025</t>
        </is>
      </c>
      <c r="B318" s="1" t="n">
        <v>45901.58854166666</v>
      </c>
      <c r="C318" s="1" t="n">
        <v>46144</v>
      </c>
      <c r="D318" t="inlineStr">
        <is>
          <t>GOTLANDS LÄN</t>
        </is>
      </c>
      <c r="E318" t="inlineStr">
        <is>
          <t>GOTLAND</t>
        </is>
      </c>
      <c r="G318" t="n">
        <v>5.6</v>
      </c>
      <c r="H318" t="n">
        <v>0</v>
      </c>
      <c r="I318" t="n">
        <v>0</v>
      </c>
      <c r="J318" t="n">
        <v>0</v>
      </c>
      <c r="K318" t="n">
        <v>0</v>
      </c>
      <c r="L318" t="n">
        <v>0</v>
      </c>
      <c r="M318" t="n">
        <v>0</v>
      </c>
      <c r="N318" t="n">
        <v>0</v>
      </c>
      <c r="O318" t="n">
        <v>0</v>
      </c>
      <c r="P318" t="n">
        <v>0</v>
      </c>
      <c r="Q318" t="n">
        <v>0</v>
      </c>
      <c r="R318" s="2" t="inlineStr"/>
    </row>
    <row r="319" ht="15" customHeight="1">
      <c r="A319" t="inlineStr">
        <is>
          <t>A 43901-2023</t>
        </is>
      </c>
      <c r="B319" s="1" t="n">
        <v>45187</v>
      </c>
      <c r="C319" s="1" t="n">
        <v>46144</v>
      </c>
      <c r="D319" t="inlineStr">
        <is>
          <t>GOTLANDS LÄN</t>
        </is>
      </c>
      <c r="E319" t="inlineStr">
        <is>
          <t>GOTLAND</t>
        </is>
      </c>
      <c r="G319" t="n">
        <v>5.4</v>
      </c>
      <c r="H319" t="n">
        <v>0</v>
      </c>
      <c r="I319" t="n">
        <v>0</v>
      </c>
      <c r="J319" t="n">
        <v>0</v>
      </c>
      <c r="K319" t="n">
        <v>0</v>
      </c>
      <c r="L319" t="n">
        <v>0</v>
      </c>
      <c r="M319" t="n">
        <v>0</v>
      </c>
      <c r="N319" t="n">
        <v>0</v>
      </c>
      <c r="O319" t="n">
        <v>0</v>
      </c>
      <c r="P319" t="n">
        <v>0</v>
      </c>
      <c r="Q319" t="n">
        <v>0</v>
      </c>
      <c r="R319" s="2" t="inlineStr"/>
    </row>
    <row r="320" ht="15" customHeight="1">
      <c r="A320" t="inlineStr">
        <is>
          <t>A 10746-2025</t>
        </is>
      </c>
      <c r="B320" s="1" t="n">
        <v>45722.42766203704</v>
      </c>
      <c r="C320" s="1" t="n">
        <v>46144</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16501-2023</t>
        </is>
      </c>
      <c r="B321" s="1" t="n">
        <v>45029</v>
      </c>
      <c r="C321" s="1" t="n">
        <v>46144</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27930-2021</t>
        </is>
      </c>
      <c r="B322" s="1" t="n">
        <v>44354</v>
      </c>
      <c r="C322" s="1" t="n">
        <v>46144</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46144</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10492-2023</t>
        </is>
      </c>
      <c r="B324" s="1" t="n">
        <v>44987</v>
      </c>
      <c r="C324" s="1" t="n">
        <v>46144</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42608-2025</t>
        </is>
      </c>
      <c r="B325" s="1" t="n">
        <v>45905</v>
      </c>
      <c r="C325" s="1" t="n">
        <v>46144</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46144</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5909-2025</t>
        </is>
      </c>
      <c r="B327" s="1" t="n">
        <v>45695.40634259259</v>
      </c>
      <c r="C327" s="1" t="n">
        <v>46144</v>
      </c>
      <c r="D327" t="inlineStr">
        <is>
          <t>GOTLANDS LÄN</t>
        </is>
      </c>
      <c r="E327" t="inlineStr">
        <is>
          <t>GOTLAND</t>
        </is>
      </c>
      <c r="G327" t="n">
        <v>2.9</v>
      </c>
      <c r="H327" t="n">
        <v>0</v>
      </c>
      <c r="I327" t="n">
        <v>0</v>
      </c>
      <c r="J327" t="n">
        <v>0</v>
      </c>
      <c r="K327" t="n">
        <v>0</v>
      </c>
      <c r="L327" t="n">
        <v>0</v>
      </c>
      <c r="M327" t="n">
        <v>0</v>
      </c>
      <c r="N327" t="n">
        <v>0</v>
      </c>
      <c r="O327" t="n">
        <v>0</v>
      </c>
      <c r="P327" t="n">
        <v>0</v>
      </c>
      <c r="Q327" t="n">
        <v>0</v>
      </c>
      <c r="R327" s="2" t="inlineStr"/>
    </row>
    <row r="328" ht="15" customHeight="1">
      <c r="A328" t="inlineStr">
        <is>
          <t>A 10653-2023</t>
        </is>
      </c>
      <c r="B328" s="1" t="n">
        <v>44988.48859953704</v>
      </c>
      <c r="C328" s="1" t="n">
        <v>46144</v>
      </c>
      <c r="D328" t="inlineStr">
        <is>
          <t>GOTLANDS LÄN</t>
        </is>
      </c>
      <c r="E328" t="inlineStr">
        <is>
          <t>GOTLAND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4990-2025</t>
        </is>
      </c>
      <c r="B329" s="1" t="n">
        <v>45691</v>
      </c>
      <c r="C329" s="1" t="n">
        <v>46144</v>
      </c>
      <c r="D329" t="inlineStr">
        <is>
          <t>GOTLANDS LÄN</t>
        </is>
      </c>
      <c r="E329" t="inlineStr">
        <is>
          <t>GOTLAND</t>
        </is>
      </c>
      <c r="G329" t="n">
        <v>7.7</v>
      </c>
      <c r="H329" t="n">
        <v>0</v>
      </c>
      <c r="I329" t="n">
        <v>0</v>
      </c>
      <c r="J329" t="n">
        <v>0</v>
      </c>
      <c r="K329" t="n">
        <v>0</v>
      </c>
      <c r="L329" t="n">
        <v>0</v>
      </c>
      <c r="M329" t="n">
        <v>0</v>
      </c>
      <c r="N329" t="n">
        <v>0</v>
      </c>
      <c r="O329" t="n">
        <v>0</v>
      </c>
      <c r="P329" t="n">
        <v>0</v>
      </c>
      <c r="Q329" t="n">
        <v>0</v>
      </c>
      <c r="R329" s="2" t="inlineStr"/>
    </row>
    <row r="330" ht="15" customHeight="1">
      <c r="A330" t="inlineStr">
        <is>
          <t>A 10158-2025</t>
        </is>
      </c>
      <c r="B330" s="1" t="n">
        <v>45719</v>
      </c>
      <c r="C330" s="1" t="n">
        <v>46144</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43911-2025</t>
        </is>
      </c>
      <c r="B331" s="1" t="n">
        <v>45914.3881712963</v>
      </c>
      <c r="C331" s="1" t="n">
        <v>46144</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44410-2025</t>
        </is>
      </c>
      <c r="B332" s="1" t="n">
        <v>45916.53699074074</v>
      </c>
      <c r="C332" s="1" t="n">
        <v>46144</v>
      </c>
      <c r="D332" t="inlineStr">
        <is>
          <t>GOTLANDS LÄN</t>
        </is>
      </c>
      <c r="E332" t="inlineStr">
        <is>
          <t>GOTLAND</t>
        </is>
      </c>
      <c r="G332" t="n">
        <v>2.3</v>
      </c>
      <c r="H332" t="n">
        <v>0</v>
      </c>
      <c r="I332" t="n">
        <v>0</v>
      </c>
      <c r="J332" t="n">
        <v>0</v>
      </c>
      <c r="K332" t="n">
        <v>0</v>
      </c>
      <c r="L332" t="n">
        <v>0</v>
      </c>
      <c r="M332" t="n">
        <v>0</v>
      </c>
      <c r="N332" t="n">
        <v>0</v>
      </c>
      <c r="O332" t="n">
        <v>0</v>
      </c>
      <c r="P332" t="n">
        <v>0</v>
      </c>
      <c r="Q332" t="n">
        <v>0</v>
      </c>
      <c r="R332" s="2" t="inlineStr"/>
    </row>
    <row r="333" ht="15" customHeight="1">
      <c r="A333" t="inlineStr">
        <is>
          <t>A 43951-2025</t>
        </is>
      </c>
      <c r="B333" s="1" t="n">
        <v>45915.38119212963</v>
      </c>
      <c r="C333" s="1" t="n">
        <v>46144</v>
      </c>
      <c r="D333" t="inlineStr">
        <is>
          <t>GOTLANDS LÄN</t>
        </is>
      </c>
      <c r="E333" t="inlineStr">
        <is>
          <t>GOTLAND</t>
        </is>
      </c>
      <c r="G333" t="n">
        <v>4.4</v>
      </c>
      <c r="H333" t="n">
        <v>0</v>
      </c>
      <c r="I333" t="n">
        <v>0</v>
      </c>
      <c r="J333" t="n">
        <v>0</v>
      </c>
      <c r="K333" t="n">
        <v>0</v>
      </c>
      <c r="L333" t="n">
        <v>0</v>
      </c>
      <c r="M333" t="n">
        <v>0</v>
      </c>
      <c r="N333" t="n">
        <v>0</v>
      </c>
      <c r="O333" t="n">
        <v>0</v>
      </c>
      <c r="P333" t="n">
        <v>0</v>
      </c>
      <c r="Q333" t="n">
        <v>0</v>
      </c>
      <c r="R333" s="2" t="inlineStr"/>
    </row>
    <row r="334" ht="15" customHeight="1">
      <c r="A334" t="inlineStr">
        <is>
          <t>A 43081-2022</t>
        </is>
      </c>
      <c r="B334" s="1" t="n">
        <v>44833</v>
      </c>
      <c r="C334" s="1" t="n">
        <v>46144</v>
      </c>
      <c r="D334" t="inlineStr">
        <is>
          <t>GOTLANDS LÄN</t>
        </is>
      </c>
      <c r="E334" t="inlineStr">
        <is>
          <t>GOTLAND</t>
        </is>
      </c>
      <c r="G334" t="n">
        <v>6.8</v>
      </c>
      <c r="H334" t="n">
        <v>0</v>
      </c>
      <c r="I334" t="n">
        <v>0</v>
      </c>
      <c r="J334" t="n">
        <v>0</v>
      </c>
      <c r="K334" t="n">
        <v>0</v>
      </c>
      <c r="L334" t="n">
        <v>0</v>
      </c>
      <c r="M334" t="n">
        <v>0</v>
      </c>
      <c r="N334" t="n">
        <v>0</v>
      </c>
      <c r="O334" t="n">
        <v>0</v>
      </c>
      <c r="P334" t="n">
        <v>0</v>
      </c>
      <c r="Q334" t="n">
        <v>0</v>
      </c>
      <c r="R334" s="2" t="inlineStr"/>
    </row>
    <row r="335" ht="15" customHeight="1">
      <c r="A335" t="inlineStr">
        <is>
          <t>A 44405-2025</t>
        </is>
      </c>
      <c r="B335" s="1" t="n">
        <v>45916.52405092592</v>
      </c>
      <c r="C335" s="1" t="n">
        <v>46144</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32958-2021</t>
        </is>
      </c>
      <c r="B336" s="1" t="n">
        <v>44376</v>
      </c>
      <c r="C336" s="1" t="n">
        <v>46144</v>
      </c>
      <c r="D336" t="inlineStr">
        <is>
          <t>GOTLANDS LÄN</t>
        </is>
      </c>
      <c r="E336" t="inlineStr">
        <is>
          <t>GOTLAND</t>
        </is>
      </c>
      <c r="G336" t="n">
        <v>2.2</v>
      </c>
      <c r="H336" t="n">
        <v>0</v>
      </c>
      <c r="I336" t="n">
        <v>0</v>
      </c>
      <c r="J336" t="n">
        <v>0</v>
      </c>
      <c r="K336" t="n">
        <v>0</v>
      </c>
      <c r="L336" t="n">
        <v>0</v>
      </c>
      <c r="M336" t="n">
        <v>0</v>
      </c>
      <c r="N336" t="n">
        <v>0</v>
      </c>
      <c r="O336" t="n">
        <v>0</v>
      </c>
      <c r="P336" t="n">
        <v>0</v>
      </c>
      <c r="Q336" t="n">
        <v>0</v>
      </c>
      <c r="R336" s="2" t="inlineStr"/>
    </row>
    <row r="337" ht="15" customHeight="1">
      <c r="A337" t="inlineStr">
        <is>
          <t>A 5884-2025</t>
        </is>
      </c>
      <c r="B337" s="1" t="n">
        <v>45695.37482638889</v>
      </c>
      <c r="C337" s="1" t="n">
        <v>46144</v>
      </c>
      <c r="D337" t="inlineStr">
        <is>
          <t>GOTLANDS LÄN</t>
        </is>
      </c>
      <c r="E337" t="inlineStr">
        <is>
          <t>GOTLAND</t>
        </is>
      </c>
      <c r="G337" t="n">
        <v>2.1</v>
      </c>
      <c r="H337" t="n">
        <v>0</v>
      </c>
      <c r="I337" t="n">
        <v>0</v>
      </c>
      <c r="J337" t="n">
        <v>0</v>
      </c>
      <c r="K337" t="n">
        <v>0</v>
      </c>
      <c r="L337" t="n">
        <v>0</v>
      </c>
      <c r="M337" t="n">
        <v>0</v>
      </c>
      <c r="N337" t="n">
        <v>0</v>
      </c>
      <c r="O337" t="n">
        <v>0</v>
      </c>
      <c r="P337" t="n">
        <v>0</v>
      </c>
      <c r="Q337" t="n">
        <v>0</v>
      </c>
      <c r="R337" s="2" t="inlineStr"/>
    </row>
    <row r="338" ht="15" customHeight="1">
      <c r="A338" t="inlineStr">
        <is>
          <t>A 5897-2025</t>
        </is>
      </c>
      <c r="B338" s="1" t="n">
        <v>45695.39273148148</v>
      </c>
      <c r="C338" s="1" t="n">
        <v>46144</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49693-2023</t>
        </is>
      </c>
      <c r="B339" s="1" t="n">
        <v>45212.38138888889</v>
      </c>
      <c r="C339" s="1" t="n">
        <v>46144</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49697-2023</t>
        </is>
      </c>
      <c r="B340" s="1" t="n">
        <v>45212.38909722222</v>
      </c>
      <c r="C340" s="1" t="n">
        <v>46144</v>
      </c>
      <c r="D340" t="inlineStr">
        <is>
          <t>GOTLANDS LÄN</t>
        </is>
      </c>
      <c r="E340" t="inlineStr">
        <is>
          <t>GOTLAND</t>
        </is>
      </c>
      <c r="G340" t="n">
        <v>4.4</v>
      </c>
      <c r="H340" t="n">
        <v>0</v>
      </c>
      <c r="I340" t="n">
        <v>0</v>
      </c>
      <c r="J340" t="n">
        <v>0</v>
      </c>
      <c r="K340" t="n">
        <v>0</v>
      </c>
      <c r="L340" t="n">
        <v>0</v>
      </c>
      <c r="M340" t="n">
        <v>0</v>
      </c>
      <c r="N340" t="n">
        <v>0</v>
      </c>
      <c r="O340" t="n">
        <v>0</v>
      </c>
      <c r="P340" t="n">
        <v>0</v>
      </c>
      <c r="Q340" t="n">
        <v>0</v>
      </c>
      <c r="R340" s="2" t="inlineStr"/>
    </row>
    <row r="341" ht="15" customHeight="1">
      <c r="A341" t="inlineStr">
        <is>
          <t>A 17901-2023</t>
        </is>
      </c>
      <c r="B341" s="1" t="n">
        <v>45039</v>
      </c>
      <c r="C341" s="1" t="n">
        <v>46144</v>
      </c>
      <c r="D341" t="inlineStr">
        <is>
          <t>GOTLANDS LÄN</t>
        </is>
      </c>
      <c r="E341" t="inlineStr">
        <is>
          <t>GOTLAND</t>
        </is>
      </c>
      <c r="F341" t="inlineStr">
        <is>
          <t>Kyrkan</t>
        </is>
      </c>
      <c r="G341" t="n">
        <v>0.6</v>
      </c>
      <c r="H341" t="n">
        <v>0</v>
      </c>
      <c r="I341" t="n">
        <v>0</v>
      </c>
      <c r="J341" t="n">
        <v>0</v>
      </c>
      <c r="K341" t="n">
        <v>0</v>
      </c>
      <c r="L341" t="n">
        <v>0</v>
      </c>
      <c r="M341" t="n">
        <v>0</v>
      </c>
      <c r="N341" t="n">
        <v>0</v>
      </c>
      <c r="O341" t="n">
        <v>0</v>
      </c>
      <c r="P341" t="n">
        <v>0</v>
      </c>
      <c r="Q341" t="n">
        <v>0</v>
      </c>
      <c r="R341" s="2" t="inlineStr"/>
    </row>
    <row r="342" ht="15" customHeight="1">
      <c r="A342" t="inlineStr">
        <is>
          <t>A 52892-2021</t>
        </is>
      </c>
      <c r="B342" s="1" t="n">
        <v>44467.49048611111</v>
      </c>
      <c r="C342" s="1" t="n">
        <v>46144</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46396-2023</t>
        </is>
      </c>
      <c r="B343" s="1" t="n">
        <v>45197</v>
      </c>
      <c r="C343" s="1" t="n">
        <v>46144</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46144</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46836-2025</t>
        </is>
      </c>
      <c r="B345" s="1" t="n">
        <v>45928.31511574074</v>
      </c>
      <c r="C345" s="1" t="n">
        <v>46144</v>
      </c>
      <c r="D345" t="inlineStr">
        <is>
          <t>GOTLANDS LÄN</t>
        </is>
      </c>
      <c r="E345" t="inlineStr">
        <is>
          <t>GOTLAND</t>
        </is>
      </c>
      <c r="G345" t="n">
        <v>2.8</v>
      </c>
      <c r="H345" t="n">
        <v>0</v>
      </c>
      <c r="I345" t="n">
        <v>0</v>
      </c>
      <c r="J345" t="n">
        <v>0</v>
      </c>
      <c r="K345" t="n">
        <v>0</v>
      </c>
      <c r="L345" t="n">
        <v>0</v>
      </c>
      <c r="M345" t="n">
        <v>0</v>
      </c>
      <c r="N345" t="n">
        <v>0</v>
      </c>
      <c r="O345" t="n">
        <v>0</v>
      </c>
      <c r="P345" t="n">
        <v>0</v>
      </c>
      <c r="Q345" t="n">
        <v>0</v>
      </c>
      <c r="R345" s="2" t="inlineStr"/>
    </row>
    <row r="346" ht="15" customHeight="1">
      <c r="A346" t="inlineStr">
        <is>
          <t>A 17724-2024</t>
        </is>
      </c>
      <c r="B346" s="1" t="n">
        <v>45418.55096064815</v>
      </c>
      <c r="C346" s="1" t="n">
        <v>46144</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34312-2024</t>
        </is>
      </c>
      <c r="B347" s="1" t="n">
        <v>45524.69703703704</v>
      </c>
      <c r="C347" s="1" t="n">
        <v>46144</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69112-2021</t>
        </is>
      </c>
      <c r="B348" s="1" t="n">
        <v>44530</v>
      </c>
      <c r="C348" s="1" t="n">
        <v>46144</v>
      </c>
      <c r="D348" t="inlineStr">
        <is>
          <t>GOTLANDS LÄN</t>
        </is>
      </c>
      <c r="E348" t="inlineStr">
        <is>
          <t>GOTLAND</t>
        </is>
      </c>
      <c r="G348" t="n">
        <v>4.2</v>
      </c>
      <c r="H348" t="n">
        <v>0</v>
      </c>
      <c r="I348" t="n">
        <v>0</v>
      </c>
      <c r="J348" t="n">
        <v>0</v>
      </c>
      <c r="K348" t="n">
        <v>0</v>
      </c>
      <c r="L348" t="n">
        <v>0</v>
      </c>
      <c r="M348" t="n">
        <v>0</v>
      </c>
      <c r="N348" t="n">
        <v>0</v>
      </c>
      <c r="O348" t="n">
        <v>0</v>
      </c>
      <c r="P348" t="n">
        <v>0</v>
      </c>
      <c r="Q348" t="n">
        <v>0</v>
      </c>
      <c r="R348" s="2" t="inlineStr"/>
    </row>
    <row r="349" ht="15" customHeight="1">
      <c r="A349" t="inlineStr">
        <is>
          <t>A 47637-2025</t>
        </is>
      </c>
      <c r="B349" s="1" t="n">
        <v>45931.49753472222</v>
      </c>
      <c r="C349" s="1" t="n">
        <v>46144</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7638-2025</t>
        </is>
      </c>
      <c r="B350" s="1" t="n">
        <v>45705.77306712963</v>
      </c>
      <c r="C350" s="1" t="n">
        <v>46144</v>
      </c>
      <c r="D350" t="inlineStr">
        <is>
          <t>GOTLANDS LÄN</t>
        </is>
      </c>
      <c r="E350" t="inlineStr">
        <is>
          <t>GOTLAND</t>
        </is>
      </c>
      <c r="G350" t="n">
        <v>2.2</v>
      </c>
      <c r="H350" t="n">
        <v>0</v>
      </c>
      <c r="I350" t="n">
        <v>0</v>
      </c>
      <c r="J350" t="n">
        <v>0</v>
      </c>
      <c r="K350" t="n">
        <v>0</v>
      </c>
      <c r="L350" t="n">
        <v>0</v>
      </c>
      <c r="M350" t="n">
        <v>0</v>
      </c>
      <c r="N350" t="n">
        <v>0</v>
      </c>
      <c r="O350" t="n">
        <v>0</v>
      </c>
      <c r="P350" t="n">
        <v>0</v>
      </c>
      <c r="Q350" t="n">
        <v>0</v>
      </c>
      <c r="R350" s="2" t="inlineStr"/>
    </row>
    <row r="351" ht="15" customHeight="1">
      <c r="A351" t="inlineStr">
        <is>
          <t>A 50482-2024</t>
        </is>
      </c>
      <c r="B351" s="1" t="n">
        <v>45601.48114583334</v>
      </c>
      <c r="C351" s="1" t="n">
        <v>46144</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32378-2025</t>
        </is>
      </c>
      <c r="B352" s="1" t="n">
        <v>45837</v>
      </c>
      <c r="C352" s="1" t="n">
        <v>46144</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1394-2023</t>
        </is>
      </c>
      <c r="B353" s="1" t="n">
        <v>44936.72997685185</v>
      </c>
      <c r="C353" s="1" t="n">
        <v>46144</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35550-2025</t>
        </is>
      </c>
      <c r="B354" s="1" t="n">
        <v>45856.49324074074</v>
      </c>
      <c r="C354" s="1" t="n">
        <v>46144</v>
      </c>
      <c r="D354" t="inlineStr">
        <is>
          <t>GOTLANDS LÄN</t>
        </is>
      </c>
      <c r="E354" t="inlineStr">
        <is>
          <t>GOTLAND</t>
        </is>
      </c>
      <c r="G354" t="n">
        <v>3.2</v>
      </c>
      <c r="H354" t="n">
        <v>0</v>
      </c>
      <c r="I354" t="n">
        <v>0</v>
      </c>
      <c r="J354" t="n">
        <v>0</v>
      </c>
      <c r="K354" t="n">
        <v>0</v>
      </c>
      <c r="L354" t="n">
        <v>0</v>
      </c>
      <c r="M354" t="n">
        <v>0</v>
      </c>
      <c r="N354" t="n">
        <v>0</v>
      </c>
      <c r="O354" t="n">
        <v>0</v>
      </c>
      <c r="P354" t="n">
        <v>0</v>
      </c>
      <c r="Q354" t="n">
        <v>0</v>
      </c>
      <c r="R354" s="2" t="inlineStr"/>
    </row>
    <row r="355" ht="15" customHeight="1">
      <c r="A355" t="inlineStr">
        <is>
          <t>A 58230-2024</t>
        </is>
      </c>
      <c r="B355" s="1" t="n">
        <v>45632.51625</v>
      </c>
      <c r="C355" s="1" t="n">
        <v>46144</v>
      </c>
      <c r="D355" t="inlineStr">
        <is>
          <t>GOTLANDS LÄN</t>
        </is>
      </c>
      <c r="E355" t="inlineStr">
        <is>
          <t>GOTLAND</t>
        </is>
      </c>
      <c r="G355" t="n">
        <v>7.3</v>
      </c>
      <c r="H355" t="n">
        <v>0</v>
      </c>
      <c r="I355" t="n">
        <v>0</v>
      </c>
      <c r="J355" t="n">
        <v>0</v>
      </c>
      <c r="K355" t="n">
        <v>0</v>
      </c>
      <c r="L355" t="n">
        <v>0</v>
      </c>
      <c r="M355" t="n">
        <v>0</v>
      </c>
      <c r="N355" t="n">
        <v>0</v>
      </c>
      <c r="O355" t="n">
        <v>0</v>
      </c>
      <c r="P355" t="n">
        <v>0</v>
      </c>
      <c r="Q355" t="n">
        <v>0</v>
      </c>
      <c r="R355" s="2" t="inlineStr"/>
    </row>
    <row r="356" ht="15" customHeight="1">
      <c r="A356" t="inlineStr">
        <is>
          <t>A 1462-2025</t>
        </is>
      </c>
      <c r="B356" s="1" t="n">
        <v>45670.36319444444</v>
      </c>
      <c r="C356" s="1" t="n">
        <v>46144</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46144</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49724-2025</t>
        </is>
      </c>
      <c r="B358" s="1" t="n">
        <v>45939.83730324074</v>
      </c>
      <c r="C358" s="1" t="n">
        <v>46144</v>
      </c>
      <c r="D358" t="inlineStr">
        <is>
          <t>GOTLANDS LÄN</t>
        </is>
      </c>
      <c r="E358" t="inlineStr">
        <is>
          <t>GOTLAND</t>
        </is>
      </c>
      <c r="F358" t="inlineStr">
        <is>
          <t>Kyrkan</t>
        </is>
      </c>
      <c r="G358" t="n">
        <v>3.1</v>
      </c>
      <c r="H358" t="n">
        <v>0</v>
      </c>
      <c r="I358" t="n">
        <v>0</v>
      </c>
      <c r="J358" t="n">
        <v>0</v>
      </c>
      <c r="K358" t="n">
        <v>0</v>
      </c>
      <c r="L358" t="n">
        <v>0</v>
      </c>
      <c r="M358" t="n">
        <v>0</v>
      </c>
      <c r="N358" t="n">
        <v>0</v>
      </c>
      <c r="O358" t="n">
        <v>0</v>
      </c>
      <c r="P358" t="n">
        <v>0</v>
      </c>
      <c r="Q358" t="n">
        <v>0</v>
      </c>
      <c r="R358" s="2" t="inlineStr"/>
    </row>
    <row r="359" ht="15" customHeight="1">
      <c r="A359" t="inlineStr">
        <is>
          <t>A 49730-2025</t>
        </is>
      </c>
      <c r="B359" s="1" t="n">
        <v>45939.87613425926</v>
      </c>
      <c r="C359" s="1" t="n">
        <v>46144</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25129-2023</t>
        </is>
      </c>
      <c r="B360" s="1" t="n">
        <v>45086.44261574074</v>
      </c>
      <c r="C360" s="1" t="n">
        <v>46144</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46144</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49690-2025</t>
        </is>
      </c>
      <c r="B362" s="1" t="n">
        <v>45939.66730324074</v>
      </c>
      <c r="C362" s="1" t="n">
        <v>46144</v>
      </c>
      <c r="D362" t="inlineStr">
        <is>
          <t>GOTLANDS LÄN</t>
        </is>
      </c>
      <c r="E362" t="inlineStr">
        <is>
          <t>GOTLAND</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33011-2025</t>
        </is>
      </c>
      <c r="B363" s="1" t="n">
        <v>45840</v>
      </c>
      <c r="C363" s="1" t="n">
        <v>46144</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46144</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5386-2023</t>
        </is>
      </c>
      <c r="B365" s="1" t="n">
        <v>44959</v>
      </c>
      <c r="C365" s="1" t="n">
        <v>46144</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7026-2023</t>
        </is>
      </c>
      <c r="B366" s="1" t="n">
        <v>44968.30340277778</v>
      </c>
      <c r="C366" s="1" t="n">
        <v>46144</v>
      </c>
      <c r="D366" t="inlineStr">
        <is>
          <t>GOTLANDS LÄN</t>
        </is>
      </c>
      <c r="E366" t="inlineStr">
        <is>
          <t>GOTLAND</t>
        </is>
      </c>
      <c r="G366" t="n">
        <v>2.9</v>
      </c>
      <c r="H366" t="n">
        <v>0</v>
      </c>
      <c r="I366" t="n">
        <v>0</v>
      </c>
      <c r="J366" t="n">
        <v>0</v>
      </c>
      <c r="K366" t="n">
        <v>0</v>
      </c>
      <c r="L366" t="n">
        <v>0</v>
      </c>
      <c r="M366" t="n">
        <v>0</v>
      </c>
      <c r="N366" t="n">
        <v>0</v>
      </c>
      <c r="O366" t="n">
        <v>0</v>
      </c>
      <c r="P366" t="n">
        <v>0</v>
      </c>
      <c r="Q366" t="n">
        <v>0</v>
      </c>
      <c r="R366" s="2" t="inlineStr"/>
    </row>
    <row r="367" ht="15" customHeight="1">
      <c r="A367" t="inlineStr">
        <is>
          <t>A 20855-2023</t>
        </is>
      </c>
      <c r="B367" s="1" t="n">
        <v>45058.82172453704</v>
      </c>
      <c r="C367" s="1" t="n">
        <v>46144</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46144</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50928-2025</t>
        </is>
      </c>
      <c r="B369" s="1" t="n">
        <v>45946.67896990741</v>
      </c>
      <c r="C369" s="1" t="n">
        <v>46144</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1000-2024</t>
        </is>
      </c>
      <c r="B370" s="1" t="n">
        <v>45301.63371527778</v>
      </c>
      <c r="C370" s="1" t="n">
        <v>46144</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1010-2024</t>
        </is>
      </c>
      <c r="B371" s="1" t="n">
        <v>45301</v>
      </c>
      <c r="C371" s="1" t="n">
        <v>46144</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47762-2023</t>
        </is>
      </c>
      <c r="B372" s="1" t="n">
        <v>45203.86256944444</v>
      </c>
      <c r="C372" s="1" t="n">
        <v>46144</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46144</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46545-2024</t>
        </is>
      </c>
      <c r="B374" s="1" t="n">
        <v>45582.65831018519</v>
      </c>
      <c r="C374" s="1" t="n">
        <v>46144</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60086-2022</t>
        </is>
      </c>
      <c r="B375" s="1" t="n">
        <v>44909</v>
      </c>
      <c r="C375" s="1" t="n">
        <v>46144</v>
      </c>
      <c r="D375" t="inlineStr">
        <is>
          <t>GOTLANDS LÄN</t>
        </is>
      </c>
      <c r="E375" t="inlineStr">
        <is>
          <t>GOTLAND</t>
        </is>
      </c>
      <c r="G375" t="n">
        <v>2.1</v>
      </c>
      <c r="H375" t="n">
        <v>0</v>
      </c>
      <c r="I375" t="n">
        <v>0</v>
      </c>
      <c r="J375" t="n">
        <v>0</v>
      </c>
      <c r="K375" t="n">
        <v>0</v>
      </c>
      <c r="L375" t="n">
        <v>0</v>
      </c>
      <c r="M375" t="n">
        <v>0</v>
      </c>
      <c r="N375" t="n">
        <v>0</v>
      </c>
      <c r="O375" t="n">
        <v>0</v>
      </c>
      <c r="P375" t="n">
        <v>0</v>
      </c>
      <c r="Q375" t="n">
        <v>0</v>
      </c>
      <c r="R375" s="2" t="inlineStr"/>
    </row>
    <row r="376" ht="15" customHeight="1">
      <c r="A376" t="inlineStr">
        <is>
          <t>A 28480-2023</t>
        </is>
      </c>
      <c r="B376" s="1" t="n">
        <v>45103</v>
      </c>
      <c r="C376" s="1" t="n">
        <v>46144</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28485-2023</t>
        </is>
      </c>
      <c r="B377" s="1" t="n">
        <v>45103.43731481482</v>
      </c>
      <c r="C377" s="1" t="n">
        <v>46144</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62915-2021</t>
        </is>
      </c>
      <c r="B378" s="1" t="n">
        <v>44504</v>
      </c>
      <c r="C378" s="1" t="n">
        <v>46144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52249-2025</t>
        </is>
      </c>
      <c r="B379" s="1" t="n">
        <v>45953.48637731482</v>
      </c>
      <c r="C379" s="1" t="n">
        <v>46144</v>
      </c>
      <c r="D379" t="inlineStr">
        <is>
          <t>GOTLANDS LÄN</t>
        </is>
      </c>
      <c r="E379" t="inlineStr">
        <is>
          <t>GOTLAND</t>
        </is>
      </c>
      <c r="F379" t="inlineStr">
        <is>
          <t>Övriga Aktiebolag</t>
        </is>
      </c>
      <c r="G379" t="n">
        <v>1</v>
      </c>
      <c r="H379" t="n">
        <v>0</v>
      </c>
      <c r="I379" t="n">
        <v>0</v>
      </c>
      <c r="J379" t="n">
        <v>0</v>
      </c>
      <c r="K379" t="n">
        <v>0</v>
      </c>
      <c r="L379" t="n">
        <v>0</v>
      </c>
      <c r="M379" t="n">
        <v>0</v>
      </c>
      <c r="N379" t="n">
        <v>0</v>
      </c>
      <c r="O379" t="n">
        <v>0</v>
      </c>
      <c r="P379" t="n">
        <v>0</v>
      </c>
      <c r="Q379" t="n">
        <v>0</v>
      </c>
      <c r="R379" s="2" t="inlineStr"/>
    </row>
    <row r="380" ht="15" customHeight="1">
      <c r="A380" t="inlineStr">
        <is>
          <t>A 44949-2023</t>
        </is>
      </c>
      <c r="B380" s="1" t="n">
        <v>45190.69520833333</v>
      </c>
      <c r="C380" s="1" t="n">
        <v>46144</v>
      </c>
      <c r="D380" t="inlineStr">
        <is>
          <t>GOTLANDS LÄN</t>
        </is>
      </c>
      <c r="E380" t="inlineStr">
        <is>
          <t>GOTLAND</t>
        </is>
      </c>
      <c r="G380" t="n">
        <v>1.4</v>
      </c>
      <c r="H380" t="n">
        <v>0</v>
      </c>
      <c r="I380" t="n">
        <v>0</v>
      </c>
      <c r="J380" t="n">
        <v>0</v>
      </c>
      <c r="K380" t="n">
        <v>0</v>
      </c>
      <c r="L380" t="n">
        <v>0</v>
      </c>
      <c r="M380" t="n">
        <v>0</v>
      </c>
      <c r="N380" t="n">
        <v>0</v>
      </c>
      <c r="O380" t="n">
        <v>0</v>
      </c>
      <c r="P380" t="n">
        <v>0</v>
      </c>
      <c r="Q380" t="n">
        <v>0</v>
      </c>
      <c r="R380" s="2" t="inlineStr"/>
    </row>
    <row r="381" ht="15" customHeight="1">
      <c r="A381" t="inlineStr">
        <is>
          <t>A 37222-2021</t>
        </is>
      </c>
      <c r="B381" s="1" t="n">
        <v>44396</v>
      </c>
      <c r="C381" s="1" t="n">
        <v>46144</v>
      </c>
      <c r="D381" t="inlineStr">
        <is>
          <t>GOTLANDS LÄN</t>
        </is>
      </c>
      <c r="E381" t="inlineStr">
        <is>
          <t>GOTLAND</t>
        </is>
      </c>
      <c r="G381" t="n">
        <v>3</v>
      </c>
      <c r="H381" t="n">
        <v>0</v>
      </c>
      <c r="I381" t="n">
        <v>0</v>
      </c>
      <c r="J381" t="n">
        <v>0</v>
      </c>
      <c r="K381" t="n">
        <v>0</v>
      </c>
      <c r="L381" t="n">
        <v>0</v>
      </c>
      <c r="M381" t="n">
        <v>0</v>
      </c>
      <c r="N381" t="n">
        <v>0</v>
      </c>
      <c r="O381" t="n">
        <v>0</v>
      </c>
      <c r="P381" t="n">
        <v>0</v>
      </c>
      <c r="Q381" t="n">
        <v>0</v>
      </c>
      <c r="R381" s="2" t="inlineStr"/>
    </row>
    <row r="382" ht="15" customHeight="1">
      <c r="A382" t="inlineStr">
        <is>
          <t>A 52637-2025</t>
        </is>
      </c>
      <c r="B382" s="1" t="n">
        <v>45954.75099537037</v>
      </c>
      <c r="C382" s="1" t="n">
        <v>46144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3964-2024</t>
        </is>
      </c>
      <c r="B383" s="1" t="n">
        <v>45322</v>
      </c>
      <c r="C383" s="1" t="n">
        <v>46144</v>
      </c>
      <c r="D383" t="inlineStr">
        <is>
          <t>GOTLANDS LÄN</t>
        </is>
      </c>
      <c r="E383" t="inlineStr">
        <is>
          <t>GOTLAND</t>
        </is>
      </c>
      <c r="G383" t="n">
        <v>1.4</v>
      </c>
      <c r="H383" t="n">
        <v>0</v>
      </c>
      <c r="I383" t="n">
        <v>0</v>
      </c>
      <c r="J383" t="n">
        <v>0</v>
      </c>
      <c r="K383" t="n">
        <v>0</v>
      </c>
      <c r="L383" t="n">
        <v>0</v>
      </c>
      <c r="M383" t="n">
        <v>0</v>
      </c>
      <c r="N383" t="n">
        <v>0</v>
      </c>
      <c r="O383" t="n">
        <v>0</v>
      </c>
      <c r="P383" t="n">
        <v>0</v>
      </c>
      <c r="Q383" t="n">
        <v>0</v>
      </c>
      <c r="R383" s="2" t="inlineStr"/>
    </row>
    <row r="384" ht="15" customHeight="1">
      <c r="A384" t="inlineStr">
        <is>
          <t>A 45084-2024</t>
        </is>
      </c>
      <c r="B384" s="1" t="n">
        <v>45575</v>
      </c>
      <c r="C384" s="1" t="n">
        <v>46144</v>
      </c>
      <c r="D384" t="inlineStr">
        <is>
          <t>GOTLANDS LÄN</t>
        </is>
      </c>
      <c r="E384" t="inlineStr">
        <is>
          <t>GOTLAND</t>
        </is>
      </c>
      <c r="G384" t="n">
        <v>6.8</v>
      </c>
      <c r="H384" t="n">
        <v>0</v>
      </c>
      <c r="I384" t="n">
        <v>0</v>
      </c>
      <c r="J384" t="n">
        <v>0</v>
      </c>
      <c r="K384" t="n">
        <v>0</v>
      </c>
      <c r="L384" t="n">
        <v>0</v>
      </c>
      <c r="M384" t="n">
        <v>0</v>
      </c>
      <c r="N384" t="n">
        <v>0</v>
      </c>
      <c r="O384" t="n">
        <v>0</v>
      </c>
      <c r="P384" t="n">
        <v>0</v>
      </c>
      <c r="Q384" t="n">
        <v>0</v>
      </c>
      <c r="R384" s="2" t="inlineStr"/>
    </row>
    <row r="385" ht="15" customHeight="1">
      <c r="A385" t="inlineStr">
        <is>
          <t>A 53569-2025</t>
        </is>
      </c>
      <c r="B385" s="1" t="n">
        <v>45960.41155092593</v>
      </c>
      <c r="C385" s="1" t="n">
        <v>46144</v>
      </c>
      <c r="D385" t="inlineStr">
        <is>
          <t>GOTLANDS LÄN</t>
        </is>
      </c>
      <c r="E385" t="inlineStr">
        <is>
          <t>GOTLAND</t>
        </is>
      </c>
      <c r="F385" t="inlineStr">
        <is>
          <t>Övriga Aktiebolag</t>
        </is>
      </c>
      <c r="G385" t="n">
        <v>11.3</v>
      </c>
      <c r="H385" t="n">
        <v>0</v>
      </c>
      <c r="I385" t="n">
        <v>0</v>
      </c>
      <c r="J385" t="n">
        <v>0</v>
      </c>
      <c r="K385" t="n">
        <v>0</v>
      </c>
      <c r="L385" t="n">
        <v>0</v>
      </c>
      <c r="M385" t="n">
        <v>0</v>
      </c>
      <c r="N385" t="n">
        <v>0</v>
      </c>
      <c r="O385" t="n">
        <v>0</v>
      </c>
      <c r="P385" t="n">
        <v>0</v>
      </c>
      <c r="Q385" t="n">
        <v>0</v>
      </c>
      <c r="R385" s="2" t="inlineStr"/>
    </row>
    <row r="386" ht="15" customHeight="1">
      <c r="A386" t="inlineStr">
        <is>
          <t>A 53577-2025</t>
        </is>
      </c>
      <c r="B386" s="1" t="n">
        <v>45960.42224537037</v>
      </c>
      <c r="C386" s="1" t="n">
        <v>46144</v>
      </c>
      <c r="D386" t="inlineStr">
        <is>
          <t>GOTLANDS LÄN</t>
        </is>
      </c>
      <c r="E386" t="inlineStr">
        <is>
          <t>GOTLAND</t>
        </is>
      </c>
      <c r="F386" t="inlineStr">
        <is>
          <t>Övriga Aktiebolag</t>
        </is>
      </c>
      <c r="G386" t="n">
        <v>3.3</v>
      </c>
      <c r="H386" t="n">
        <v>0</v>
      </c>
      <c r="I386" t="n">
        <v>0</v>
      </c>
      <c r="J386" t="n">
        <v>0</v>
      </c>
      <c r="K386" t="n">
        <v>0</v>
      </c>
      <c r="L386" t="n">
        <v>0</v>
      </c>
      <c r="M386" t="n">
        <v>0</v>
      </c>
      <c r="N386" t="n">
        <v>0</v>
      </c>
      <c r="O386" t="n">
        <v>0</v>
      </c>
      <c r="P386" t="n">
        <v>0</v>
      </c>
      <c r="Q386" t="n">
        <v>0</v>
      </c>
      <c r="R386" s="2" t="inlineStr"/>
    </row>
    <row r="387" ht="15" customHeight="1">
      <c r="A387" t="inlineStr">
        <is>
          <t>A 5217-2023</t>
        </is>
      </c>
      <c r="B387" s="1" t="n">
        <v>44959.39582175926</v>
      </c>
      <c r="C387" s="1" t="n">
        <v>46144</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46144</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46144</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8260-2023</t>
        </is>
      </c>
      <c r="B390" s="1" t="n">
        <v>44974.61608796296</v>
      </c>
      <c r="C390" s="1" t="n">
        <v>46144</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64969-2023</t>
        </is>
      </c>
      <c r="B391" s="1" t="n">
        <v>45284.54009259259</v>
      </c>
      <c r="C391" s="1" t="n">
        <v>46144</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48843-2024</t>
        </is>
      </c>
      <c r="B392" s="1" t="n">
        <v>45593</v>
      </c>
      <c r="C392" s="1" t="n">
        <v>46144</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17541-2024</t>
        </is>
      </c>
      <c r="B393" s="1" t="n">
        <v>45415</v>
      </c>
      <c r="C393" s="1" t="n">
        <v>46144</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2241-2025</t>
        </is>
      </c>
      <c r="B394" s="1" t="n">
        <v>45673.48710648148</v>
      </c>
      <c r="C394" s="1" t="n">
        <v>46144</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15434-2024</t>
        </is>
      </c>
      <c r="B395" s="1" t="n">
        <v>45401.38836805556</v>
      </c>
      <c r="C395" s="1" t="n">
        <v>46144</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56799-2025</t>
        </is>
      </c>
      <c r="B396" s="1" t="n">
        <v>45978.43392361111</v>
      </c>
      <c r="C396" s="1" t="n">
        <v>46144</v>
      </c>
      <c r="D396" t="inlineStr">
        <is>
          <t>GOTLANDS LÄN</t>
        </is>
      </c>
      <c r="E396" t="inlineStr">
        <is>
          <t>GOTLAND</t>
        </is>
      </c>
      <c r="G396" t="n">
        <v>1.1</v>
      </c>
      <c r="H396" t="n">
        <v>0</v>
      </c>
      <c r="I396" t="n">
        <v>0</v>
      </c>
      <c r="J396" t="n">
        <v>0</v>
      </c>
      <c r="K396" t="n">
        <v>0</v>
      </c>
      <c r="L396" t="n">
        <v>0</v>
      </c>
      <c r="M396" t="n">
        <v>0</v>
      </c>
      <c r="N396" t="n">
        <v>0</v>
      </c>
      <c r="O396" t="n">
        <v>0</v>
      </c>
      <c r="P396" t="n">
        <v>0</v>
      </c>
      <c r="Q396" t="n">
        <v>0</v>
      </c>
      <c r="R396" s="2" t="inlineStr"/>
    </row>
    <row r="397" ht="15" customHeight="1">
      <c r="A397" t="inlineStr">
        <is>
          <t>A 56688-2025</t>
        </is>
      </c>
      <c r="B397" s="1" t="n">
        <v>45975.84331018518</v>
      </c>
      <c r="C397" s="1" t="n">
        <v>46144</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5943-2024</t>
        </is>
      </c>
      <c r="B398" s="1" t="n">
        <v>45336</v>
      </c>
      <c r="C398" s="1" t="n">
        <v>46144</v>
      </c>
      <c r="D398" t="inlineStr">
        <is>
          <t>GOTLANDS LÄN</t>
        </is>
      </c>
      <c r="E398" t="inlineStr">
        <is>
          <t>GOTLAND</t>
        </is>
      </c>
      <c r="G398" t="n">
        <v>4.3</v>
      </c>
      <c r="H398" t="n">
        <v>0</v>
      </c>
      <c r="I398" t="n">
        <v>0</v>
      </c>
      <c r="J398" t="n">
        <v>0</v>
      </c>
      <c r="K398" t="n">
        <v>0</v>
      </c>
      <c r="L398" t="n">
        <v>0</v>
      </c>
      <c r="M398" t="n">
        <v>0</v>
      </c>
      <c r="N398" t="n">
        <v>0</v>
      </c>
      <c r="O398" t="n">
        <v>0</v>
      </c>
      <c r="P398" t="n">
        <v>0</v>
      </c>
      <c r="Q398" t="n">
        <v>0</v>
      </c>
      <c r="R398" s="2" t="inlineStr"/>
    </row>
    <row r="399" ht="15" customHeight="1">
      <c r="A399" t="inlineStr">
        <is>
          <t>A 54073-2022</t>
        </is>
      </c>
      <c r="B399" s="1" t="n">
        <v>44881.50380787037</v>
      </c>
      <c r="C399" s="1" t="n">
        <v>46144</v>
      </c>
      <c r="D399" t="inlineStr">
        <is>
          <t>GOTLANDS LÄN</t>
        </is>
      </c>
      <c r="E399" t="inlineStr">
        <is>
          <t>GOTLAND</t>
        </is>
      </c>
      <c r="G399" t="n">
        <v>3.8</v>
      </c>
      <c r="H399" t="n">
        <v>0</v>
      </c>
      <c r="I399" t="n">
        <v>0</v>
      </c>
      <c r="J399" t="n">
        <v>0</v>
      </c>
      <c r="K399" t="n">
        <v>0</v>
      </c>
      <c r="L399" t="n">
        <v>0</v>
      </c>
      <c r="M399" t="n">
        <v>0</v>
      </c>
      <c r="N399" t="n">
        <v>0</v>
      </c>
      <c r="O399" t="n">
        <v>0</v>
      </c>
      <c r="P399" t="n">
        <v>0</v>
      </c>
      <c r="Q399" t="n">
        <v>0</v>
      </c>
      <c r="R399" s="2" t="inlineStr"/>
    </row>
    <row r="400" ht="15" customHeight="1">
      <c r="A400" t="inlineStr">
        <is>
          <t>A 16361-2024</t>
        </is>
      </c>
      <c r="B400" s="1" t="n">
        <v>45407</v>
      </c>
      <c r="C400" s="1" t="n">
        <v>46144</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41038-2023</t>
        </is>
      </c>
      <c r="B401" s="1" t="n">
        <v>45173.60959490741</v>
      </c>
      <c r="C401" s="1" t="n">
        <v>46144</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14427-2024</t>
        </is>
      </c>
      <c r="B402" s="1" t="n">
        <v>45394</v>
      </c>
      <c r="C402" s="1" t="n">
        <v>46144</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31802-2024</t>
        </is>
      </c>
      <c r="B403" s="1" t="n">
        <v>45509</v>
      </c>
      <c r="C403" s="1" t="n">
        <v>46144</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8036-2022</t>
        </is>
      </c>
      <c r="B404" s="1" t="n">
        <v>44609.44362268518</v>
      </c>
      <c r="C404" s="1" t="n">
        <v>46144</v>
      </c>
      <c r="D404" t="inlineStr">
        <is>
          <t>GOTLANDS LÄN</t>
        </is>
      </c>
      <c r="E404" t="inlineStr">
        <is>
          <t>GOTLAND</t>
        </is>
      </c>
      <c r="G404" t="n">
        <v>6.1</v>
      </c>
      <c r="H404" t="n">
        <v>0</v>
      </c>
      <c r="I404" t="n">
        <v>0</v>
      </c>
      <c r="J404" t="n">
        <v>0</v>
      </c>
      <c r="K404" t="n">
        <v>0</v>
      </c>
      <c r="L404" t="n">
        <v>0</v>
      </c>
      <c r="M404" t="n">
        <v>0</v>
      </c>
      <c r="N404" t="n">
        <v>0</v>
      </c>
      <c r="O404" t="n">
        <v>0</v>
      </c>
      <c r="P404" t="n">
        <v>0</v>
      </c>
      <c r="Q404" t="n">
        <v>0</v>
      </c>
      <c r="R404" s="2" t="inlineStr"/>
    </row>
    <row r="405" ht="15" customHeight="1">
      <c r="A405" t="inlineStr">
        <is>
          <t>A 12846-2025</t>
        </is>
      </c>
      <c r="B405" s="1" t="n">
        <v>45733.65049768519</v>
      </c>
      <c r="C405" s="1" t="n">
        <v>46144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59197-2025</t>
        </is>
      </c>
      <c r="B406" s="1" t="n">
        <v>45988.59846064815</v>
      </c>
      <c r="C406" s="1" t="n">
        <v>46144</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46949-2024</t>
        </is>
      </c>
      <c r="B407" s="1" t="n">
        <v>45585</v>
      </c>
      <c r="C407" s="1" t="n">
        <v>46144</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10650-2022</t>
        </is>
      </c>
      <c r="B408" s="1" t="n">
        <v>44624.57945601852</v>
      </c>
      <c r="C408" s="1" t="n">
        <v>46144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36319-2025</t>
        </is>
      </c>
      <c r="B409" s="1" t="n">
        <v>45868</v>
      </c>
      <c r="C409" s="1" t="n">
        <v>46144</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11634-2024</t>
        </is>
      </c>
      <c r="B410" s="1" t="n">
        <v>45373</v>
      </c>
      <c r="C410" s="1" t="n">
        <v>46144</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1351-2025</t>
        </is>
      </c>
      <c r="B411" s="1" t="n">
        <v>45667.62246527777</v>
      </c>
      <c r="C411" s="1" t="n">
        <v>46144</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39496-2022</t>
        </is>
      </c>
      <c r="B412" s="1" t="n">
        <v>44818</v>
      </c>
      <c r="C412" s="1" t="n">
        <v>46144</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49874-2024</t>
        </is>
      </c>
      <c r="B413" s="1" t="n">
        <v>45597.49274305555</v>
      </c>
      <c r="C413" s="1" t="n">
        <v>46144</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46400-2023</t>
        </is>
      </c>
      <c r="B414" s="1" t="n">
        <v>45197.49290509259</v>
      </c>
      <c r="C414" s="1" t="n">
        <v>46144</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9875-2025</t>
        </is>
      </c>
      <c r="B415" s="1" t="n">
        <v>45716</v>
      </c>
      <c r="C415" s="1" t="n">
        <v>46144</v>
      </c>
      <c r="D415" t="inlineStr">
        <is>
          <t>GOTLANDS LÄN</t>
        </is>
      </c>
      <c r="E415" t="inlineStr">
        <is>
          <t>GOTLAND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46144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21164-2024</t>
        </is>
      </c>
      <c r="B417" s="1" t="n">
        <v>45440</v>
      </c>
      <c r="C417" s="1" t="n">
        <v>46144</v>
      </c>
      <c r="D417" t="inlineStr">
        <is>
          <t>GOTLANDS LÄN</t>
        </is>
      </c>
      <c r="E417" t="inlineStr">
        <is>
          <t>GOTLAND</t>
        </is>
      </c>
      <c r="G417" t="n">
        <v>6.3</v>
      </c>
      <c r="H417" t="n">
        <v>0</v>
      </c>
      <c r="I417" t="n">
        <v>0</v>
      </c>
      <c r="J417" t="n">
        <v>0</v>
      </c>
      <c r="K417" t="n">
        <v>0</v>
      </c>
      <c r="L417" t="n">
        <v>0</v>
      </c>
      <c r="M417" t="n">
        <v>0</v>
      </c>
      <c r="N417" t="n">
        <v>0</v>
      </c>
      <c r="O417" t="n">
        <v>0</v>
      </c>
      <c r="P417" t="n">
        <v>0</v>
      </c>
      <c r="Q417" t="n">
        <v>0</v>
      </c>
      <c r="R417" s="2" t="inlineStr"/>
    </row>
    <row r="418" ht="15" customHeight="1">
      <c r="A418" t="inlineStr">
        <is>
          <t>A 62103-2025</t>
        </is>
      </c>
      <c r="B418" s="1" t="n">
        <v>46006</v>
      </c>
      <c r="C418" s="1" t="n">
        <v>46144</v>
      </c>
      <c r="D418" t="inlineStr">
        <is>
          <t>GOTLANDS LÄN</t>
        </is>
      </c>
      <c r="E418" t="inlineStr">
        <is>
          <t>GOTLAND</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8045-2022</t>
        </is>
      </c>
      <c r="B419" s="1" t="n">
        <v>44609</v>
      </c>
      <c r="C419" s="1" t="n">
        <v>46144</v>
      </c>
      <c r="D419" t="inlineStr">
        <is>
          <t>GOTLANDS LÄN</t>
        </is>
      </c>
      <c r="E419" t="inlineStr">
        <is>
          <t>GOTLAND</t>
        </is>
      </c>
      <c r="G419" t="n">
        <v>7</v>
      </c>
      <c r="H419" t="n">
        <v>0</v>
      </c>
      <c r="I419" t="n">
        <v>0</v>
      </c>
      <c r="J419" t="n">
        <v>0</v>
      </c>
      <c r="K419" t="n">
        <v>0</v>
      </c>
      <c r="L419" t="n">
        <v>0</v>
      </c>
      <c r="M419" t="n">
        <v>0</v>
      </c>
      <c r="N419" t="n">
        <v>0</v>
      </c>
      <c r="O419" t="n">
        <v>0</v>
      </c>
      <c r="P419" t="n">
        <v>0</v>
      </c>
      <c r="Q419" t="n">
        <v>0</v>
      </c>
      <c r="R419" s="2" t="inlineStr"/>
    </row>
    <row r="420" ht="15" customHeight="1">
      <c r="A420" t="inlineStr">
        <is>
          <t>A 22897-2023</t>
        </is>
      </c>
      <c r="B420" s="1" t="n">
        <v>45072.55239583334</v>
      </c>
      <c r="C420" s="1" t="n">
        <v>46144</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61897-2024</t>
        </is>
      </c>
      <c r="B421" s="1" t="n">
        <v>45652.75685185185</v>
      </c>
      <c r="C421" s="1" t="n">
        <v>46144</v>
      </c>
      <c r="D421" t="inlineStr">
        <is>
          <t>GOTLANDS LÄN</t>
        </is>
      </c>
      <c r="E421" t="inlineStr">
        <is>
          <t>GOTLAND</t>
        </is>
      </c>
      <c r="G421" t="n">
        <v>6.4</v>
      </c>
      <c r="H421" t="n">
        <v>0</v>
      </c>
      <c r="I421" t="n">
        <v>0</v>
      </c>
      <c r="J421" t="n">
        <v>0</v>
      </c>
      <c r="K421" t="n">
        <v>0</v>
      </c>
      <c r="L421" t="n">
        <v>0</v>
      </c>
      <c r="M421" t="n">
        <v>0</v>
      </c>
      <c r="N421" t="n">
        <v>0</v>
      </c>
      <c r="O421" t="n">
        <v>0</v>
      </c>
      <c r="P421" t="n">
        <v>0</v>
      </c>
      <c r="Q421" t="n">
        <v>0</v>
      </c>
      <c r="R421" s="2" t="inlineStr"/>
    </row>
    <row r="422" ht="15" customHeight="1">
      <c r="A422" t="inlineStr">
        <is>
          <t>A 49962-2023</t>
        </is>
      </c>
      <c r="B422" s="1" t="n">
        <v>45215.38775462963</v>
      </c>
      <c r="C422" s="1" t="n">
        <v>46144</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63002-2025</t>
        </is>
      </c>
      <c r="B423" s="1" t="n">
        <v>46009.56564814815</v>
      </c>
      <c r="C423" s="1" t="n">
        <v>46144</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20165-2022</t>
        </is>
      </c>
      <c r="B424" s="1" t="n">
        <v>44698.49854166667</v>
      </c>
      <c r="C424" s="1" t="n">
        <v>46144</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40294-2022</t>
        </is>
      </c>
      <c r="B425" s="1" t="n">
        <v>44821</v>
      </c>
      <c r="C425" s="1" t="n">
        <v>46144</v>
      </c>
      <c r="D425" t="inlineStr">
        <is>
          <t>GOTLANDS LÄN</t>
        </is>
      </c>
      <c r="E425" t="inlineStr">
        <is>
          <t>GOTLAND</t>
        </is>
      </c>
      <c r="G425" t="n">
        <v>1.6</v>
      </c>
      <c r="H425" t="n">
        <v>0</v>
      </c>
      <c r="I425" t="n">
        <v>0</v>
      </c>
      <c r="J425" t="n">
        <v>0</v>
      </c>
      <c r="K425" t="n">
        <v>0</v>
      </c>
      <c r="L425" t="n">
        <v>0</v>
      </c>
      <c r="M425" t="n">
        <v>0</v>
      </c>
      <c r="N425" t="n">
        <v>0</v>
      </c>
      <c r="O425" t="n">
        <v>0</v>
      </c>
      <c r="P425" t="n">
        <v>0</v>
      </c>
      <c r="Q425" t="n">
        <v>0</v>
      </c>
      <c r="R425" s="2" t="inlineStr"/>
    </row>
    <row r="426" ht="15" customHeight="1">
      <c r="A426" t="inlineStr">
        <is>
          <t>A 38649-2025</t>
        </is>
      </c>
      <c r="B426" s="1" t="n">
        <v>45884</v>
      </c>
      <c r="C426" s="1" t="n">
        <v>46144</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12032-2025</t>
        </is>
      </c>
      <c r="B427" s="1" t="n">
        <v>45728.64472222222</v>
      </c>
      <c r="C427" s="1" t="n">
        <v>46144</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38787-2023</t>
        </is>
      </c>
      <c r="B428" s="1" t="n">
        <v>45163</v>
      </c>
      <c r="C428" s="1" t="n">
        <v>46144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61078-2025</t>
        </is>
      </c>
      <c r="B429" s="1" t="n">
        <v>46000</v>
      </c>
      <c r="C429" s="1" t="n">
        <v>46144</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36-2026</t>
        </is>
      </c>
      <c r="B430" s="1" t="n">
        <v>46024.38886574074</v>
      </c>
      <c r="C430" s="1" t="n">
        <v>46144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43231-2023</t>
        </is>
      </c>
      <c r="B431" s="1" t="n">
        <v>45183.47025462963</v>
      </c>
      <c r="C431" s="1" t="n">
        <v>46144</v>
      </c>
      <c r="D431" t="inlineStr">
        <is>
          <t>GOTLANDS LÄN</t>
        </is>
      </c>
      <c r="E431" t="inlineStr">
        <is>
          <t>GOTLAND</t>
        </is>
      </c>
      <c r="G431" t="n">
        <v>3.6</v>
      </c>
      <c r="H431" t="n">
        <v>0</v>
      </c>
      <c r="I431" t="n">
        <v>0</v>
      </c>
      <c r="J431" t="n">
        <v>0</v>
      </c>
      <c r="K431" t="n">
        <v>0</v>
      </c>
      <c r="L431" t="n">
        <v>0</v>
      </c>
      <c r="M431" t="n">
        <v>0</v>
      </c>
      <c r="N431" t="n">
        <v>0</v>
      </c>
      <c r="O431" t="n">
        <v>0</v>
      </c>
      <c r="P431" t="n">
        <v>0</v>
      </c>
      <c r="Q431" t="n">
        <v>0</v>
      </c>
      <c r="R431" s="2" t="inlineStr"/>
    </row>
    <row r="432" ht="15" customHeight="1">
      <c r="A432" t="inlineStr">
        <is>
          <t>A 62674-2025</t>
        </is>
      </c>
      <c r="B432" s="1" t="n">
        <v>46008</v>
      </c>
      <c r="C432" s="1" t="n">
        <v>46144</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17532-2024</t>
        </is>
      </c>
      <c r="B433" s="1" t="n">
        <v>45415</v>
      </c>
      <c r="C433" s="1" t="n">
        <v>46144</v>
      </c>
      <c r="D433" t="inlineStr">
        <is>
          <t>GOTLANDS LÄN</t>
        </is>
      </c>
      <c r="E433" t="inlineStr">
        <is>
          <t>GOTLAND</t>
        </is>
      </c>
      <c r="G433" t="n">
        <v>4.3</v>
      </c>
      <c r="H433" t="n">
        <v>0</v>
      </c>
      <c r="I433" t="n">
        <v>0</v>
      </c>
      <c r="J433" t="n">
        <v>0</v>
      </c>
      <c r="K433" t="n">
        <v>0</v>
      </c>
      <c r="L433" t="n">
        <v>0</v>
      </c>
      <c r="M433" t="n">
        <v>0</v>
      </c>
      <c r="N433" t="n">
        <v>0</v>
      </c>
      <c r="O433" t="n">
        <v>0</v>
      </c>
      <c r="P433" t="n">
        <v>0</v>
      </c>
      <c r="Q433" t="n">
        <v>0</v>
      </c>
      <c r="R433" s="2" t="inlineStr"/>
    </row>
    <row r="434" ht="15" customHeight="1">
      <c r="A434" t="inlineStr">
        <is>
          <t>A 3935-2025</t>
        </is>
      </c>
      <c r="B434" s="1" t="n">
        <v>45684.46070601852</v>
      </c>
      <c r="C434" s="1" t="n">
        <v>46144</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20225-2025</t>
        </is>
      </c>
      <c r="B435" s="1" t="n">
        <v>45772.65802083333</v>
      </c>
      <c r="C435" s="1" t="n">
        <v>46144</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883-2025</t>
        </is>
      </c>
      <c r="B436" s="1" t="n">
        <v>45665</v>
      </c>
      <c r="C436" s="1" t="n">
        <v>46144</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1355-2026</t>
        </is>
      </c>
      <c r="B437" s="1" t="n">
        <v>46031.59909722222</v>
      </c>
      <c r="C437" s="1" t="n">
        <v>46144</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1898-2026</t>
        </is>
      </c>
      <c r="B438" s="1" t="n">
        <v>46035.52024305556</v>
      </c>
      <c r="C438" s="1" t="n">
        <v>46144</v>
      </c>
      <c r="D438" t="inlineStr">
        <is>
          <t>GOTLANDS LÄN</t>
        </is>
      </c>
      <c r="E438" t="inlineStr">
        <is>
          <t>GOTLAND</t>
        </is>
      </c>
      <c r="G438" t="n">
        <v>3.7</v>
      </c>
      <c r="H438" t="n">
        <v>0</v>
      </c>
      <c r="I438" t="n">
        <v>0</v>
      </c>
      <c r="J438" t="n">
        <v>0</v>
      </c>
      <c r="K438" t="n">
        <v>0</v>
      </c>
      <c r="L438" t="n">
        <v>0</v>
      </c>
      <c r="M438" t="n">
        <v>0</v>
      </c>
      <c r="N438" t="n">
        <v>0</v>
      </c>
      <c r="O438" t="n">
        <v>0</v>
      </c>
      <c r="P438" t="n">
        <v>0</v>
      </c>
      <c r="Q438" t="n">
        <v>0</v>
      </c>
      <c r="R438" s="2" t="inlineStr"/>
    </row>
    <row r="439" ht="15" customHeight="1">
      <c r="A439" t="inlineStr">
        <is>
          <t>A 1066-2024</t>
        </is>
      </c>
      <c r="B439" s="1" t="n">
        <v>45302.285</v>
      </c>
      <c r="C439" s="1" t="n">
        <v>46144</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17144-2025</t>
        </is>
      </c>
      <c r="B440" s="1" t="n">
        <v>45755.9499537037</v>
      </c>
      <c r="C440" s="1" t="n">
        <v>46144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2415-2026</t>
        </is>
      </c>
      <c r="B441" s="1" t="n">
        <v>46036.76203703704</v>
      </c>
      <c r="C441" s="1" t="n">
        <v>46144</v>
      </c>
      <c r="D441" t="inlineStr">
        <is>
          <t>GOTLANDS LÄN</t>
        </is>
      </c>
      <c r="E441" t="inlineStr">
        <is>
          <t>GOTLAND</t>
        </is>
      </c>
      <c r="G441" t="n">
        <v>6.9</v>
      </c>
      <c r="H441" t="n">
        <v>0</v>
      </c>
      <c r="I441" t="n">
        <v>0</v>
      </c>
      <c r="J441" t="n">
        <v>0</v>
      </c>
      <c r="K441" t="n">
        <v>0</v>
      </c>
      <c r="L441" t="n">
        <v>0</v>
      </c>
      <c r="M441" t="n">
        <v>0</v>
      </c>
      <c r="N441" t="n">
        <v>0</v>
      </c>
      <c r="O441" t="n">
        <v>0</v>
      </c>
      <c r="P441" t="n">
        <v>0</v>
      </c>
      <c r="Q441" t="n">
        <v>0</v>
      </c>
      <c r="R441" s="2" t="inlineStr"/>
    </row>
    <row r="442" ht="15" customHeight="1">
      <c r="A442" t="inlineStr">
        <is>
          <t>A 56009-2024</t>
        </is>
      </c>
      <c r="B442" s="1" t="n">
        <v>45623.80864583333</v>
      </c>
      <c r="C442" s="1" t="n">
        <v>46144</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46144</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46144</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4646-2026</t>
        </is>
      </c>
      <c r="B445" s="1" t="n">
        <v>46048.40357638889</v>
      </c>
      <c r="C445" s="1" t="n">
        <v>46144</v>
      </c>
      <c r="D445" t="inlineStr">
        <is>
          <t>GOTLANDS LÄN</t>
        </is>
      </c>
      <c r="E445" t="inlineStr">
        <is>
          <t>GOTLAND</t>
        </is>
      </c>
      <c r="G445" t="n">
        <v>2.7</v>
      </c>
      <c r="H445" t="n">
        <v>0</v>
      </c>
      <c r="I445" t="n">
        <v>0</v>
      </c>
      <c r="J445" t="n">
        <v>0</v>
      </c>
      <c r="K445" t="n">
        <v>0</v>
      </c>
      <c r="L445" t="n">
        <v>0</v>
      </c>
      <c r="M445" t="n">
        <v>0</v>
      </c>
      <c r="N445" t="n">
        <v>0</v>
      </c>
      <c r="O445" t="n">
        <v>0</v>
      </c>
      <c r="P445" t="n">
        <v>0</v>
      </c>
      <c r="Q445" t="n">
        <v>0</v>
      </c>
      <c r="R445" s="2" t="inlineStr"/>
    </row>
    <row r="446" ht="15" customHeight="1">
      <c r="A446" t="inlineStr">
        <is>
          <t>A 4662-2026</t>
        </is>
      </c>
      <c r="B446" s="1" t="n">
        <v>46048.40949074074</v>
      </c>
      <c r="C446" s="1" t="n">
        <v>46144</v>
      </c>
      <c r="D446" t="inlineStr">
        <is>
          <t>GOTLANDS LÄN</t>
        </is>
      </c>
      <c r="E446" t="inlineStr">
        <is>
          <t>GOTLAND</t>
        </is>
      </c>
      <c r="G446" t="n">
        <v>7.6</v>
      </c>
      <c r="H446" t="n">
        <v>0</v>
      </c>
      <c r="I446" t="n">
        <v>0</v>
      </c>
      <c r="J446" t="n">
        <v>0</v>
      </c>
      <c r="K446" t="n">
        <v>0</v>
      </c>
      <c r="L446" t="n">
        <v>0</v>
      </c>
      <c r="M446" t="n">
        <v>0</v>
      </c>
      <c r="N446" t="n">
        <v>0</v>
      </c>
      <c r="O446" t="n">
        <v>0</v>
      </c>
      <c r="P446" t="n">
        <v>0</v>
      </c>
      <c r="Q446" t="n">
        <v>0</v>
      </c>
      <c r="R446" s="2" t="inlineStr"/>
    </row>
    <row r="447" ht="15" customHeight="1">
      <c r="A447" t="inlineStr">
        <is>
          <t>A 4639-2026</t>
        </is>
      </c>
      <c r="B447" s="1" t="n">
        <v>46048.39880787037</v>
      </c>
      <c r="C447" s="1" t="n">
        <v>46144</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1839-2026</t>
        </is>
      </c>
      <c r="B448" s="1" t="n">
        <v>46035.3942824074</v>
      </c>
      <c r="C448" s="1" t="n">
        <v>46144</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4634-2026</t>
        </is>
      </c>
      <c r="B449" s="1" t="n">
        <v>46048.39304398148</v>
      </c>
      <c r="C449" s="1" t="n">
        <v>46144</v>
      </c>
      <c r="D449" t="inlineStr">
        <is>
          <t>GOTLANDS LÄN</t>
        </is>
      </c>
      <c r="E449" t="inlineStr">
        <is>
          <t>GOTLAND</t>
        </is>
      </c>
      <c r="G449" t="n">
        <v>7.8</v>
      </c>
      <c r="H449" t="n">
        <v>0</v>
      </c>
      <c r="I449" t="n">
        <v>0</v>
      </c>
      <c r="J449" t="n">
        <v>0</v>
      </c>
      <c r="K449" t="n">
        <v>0</v>
      </c>
      <c r="L449" t="n">
        <v>0</v>
      </c>
      <c r="M449" t="n">
        <v>0</v>
      </c>
      <c r="N449" t="n">
        <v>0</v>
      </c>
      <c r="O449" t="n">
        <v>0</v>
      </c>
      <c r="P449" t="n">
        <v>0</v>
      </c>
      <c r="Q449" t="n">
        <v>0</v>
      </c>
      <c r="R449" s="2" t="inlineStr"/>
    </row>
    <row r="450" ht="15" customHeight="1">
      <c r="A450" t="inlineStr">
        <is>
          <t>A 4670-2026</t>
        </is>
      </c>
      <c r="B450" s="1" t="n">
        <v>46048.41733796296</v>
      </c>
      <c r="C450" s="1" t="n">
        <v>46144</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581-2023</t>
        </is>
      </c>
      <c r="B451" s="1" t="n">
        <v>44930</v>
      </c>
      <c r="C451" s="1" t="n">
        <v>46144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61386-2023</t>
        </is>
      </c>
      <c r="B452" s="1" t="n">
        <v>45264</v>
      </c>
      <c r="C452" s="1" t="n">
        <v>46144</v>
      </c>
      <c r="D452" t="inlineStr">
        <is>
          <t>GOTLANDS LÄN</t>
        </is>
      </c>
      <c r="E452" t="inlineStr">
        <is>
          <t>GOTLAND</t>
        </is>
      </c>
      <c r="G452" t="n">
        <v>0.7</v>
      </c>
      <c r="H452" t="n">
        <v>0</v>
      </c>
      <c r="I452" t="n">
        <v>0</v>
      </c>
      <c r="J452" t="n">
        <v>0</v>
      </c>
      <c r="K452" t="n">
        <v>0</v>
      </c>
      <c r="L452" t="n">
        <v>0</v>
      </c>
      <c r="M452" t="n">
        <v>0</v>
      </c>
      <c r="N452" t="n">
        <v>0</v>
      </c>
      <c r="O452" t="n">
        <v>0</v>
      </c>
      <c r="P452" t="n">
        <v>0</v>
      </c>
      <c r="Q452" t="n">
        <v>0</v>
      </c>
      <c r="R452" s="2" t="inlineStr"/>
    </row>
    <row r="453" ht="15" customHeight="1">
      <c r="A453" t="inlineStr">
        <is>
          <t>A 873-2024</t>
        </is>
      </c>
      <c r="B453" s="1" t="n">
        <v>45301</v>
      </c>
      <c r="C453" s="1" t="n">
        <v>46144</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49411-2023</t>
        </is>
      </c>
      <c r="B454" s="1" t="n">
        <v>45205</v>
      </c>
      <c r="C454" s="1" t="n">
        <v>46144</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22275-2023</t>
        </is>
      </c>
      <c r="B455" s="1" t="n">
        <v>45070.39875</v>
      </c>
      <c r="C455" s="1" t="n">
        <v>46144</v>
      </c>
      <c r="D455" t="inlineStr">
        <is>
          <t>GOTLANDS LÄN</t>
        </is>
      </c>
      <c r="E455" t="inlineStr">
        <is>
          <t>GOTLAND</t>
        </is>
      </c>
      <c r="G455" t="n">
        <v>7.2</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46144</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12322-2025</t>
        </is>
      </c>
      <c r="B457" s="1" t="n">
        <v>45730</v>
      </c>
      <c r="C457" s="1" t="n">
        <v>46144</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14797-2024</t>
        </is>
      </c>
      <c r="B458" s="1" t="n">
        <v>45397.87030092593</v>
      </c>
      <c r="C458" s="1" t="n">
        <v>46144</v>
      </c>
      <c r="D458" t="inlineStr">
        <is>
          <t>GOTLANDS LÄN</t>
        </is>
      </c>
      <c r="E458" t="inlineStr">
        <is>
          <t>GOTLAND</t>
        </is>
      </c>
      <c r="G458" t="n">
        <v>8.1</v>
      </c>
      <c r="H458" t="n">
        <v>0</v>
      </c>
      <c r="I458" t="n">
        <v>0</v>
      </c>
      <c r="J458" t="n">
        <v>0</v>
      </c>
      <c r="K458" t="n">
        <v>0</v>
      </c>
      <c r="L458" t="n">
        <v>0</v>
      </c>
      <c r="M458" t="n">
        <v>0</v>
      </c>
      <c r="N458" t="n">
        <v>0</v>
      </c>
      <c r="O458" t="n">
        <v>0</v>
      </c>
      <c r="P458" t="n">
        <v>0</v>
      </c>
      <c r="Q458" t="n">
        <v>0</v>
      </c>
      <c r="R458" s="2" t="inlineStr"/>
    </row>
    <row r="459" ht="15" customHeight="1">
      <c r="A459" t="inlineStr">
        <is>
          <t>A 999-2024</t>
        </is>
      </c>
      <c r="B459" s="1" t="n">
        <v>45301</v>
      </c>
      <c r="C459" s="1" t="n">
        <v>46144</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61596-2023</t>
        </is>
      </c>
      <c r="B460" s="1" t="n">
        <v>45265</v>
      </c>
      <c r="C460" s="1" t="n">
        <v>46144</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14638-2025</t>
        </is>
      </c>
      <c r="B461" s="1" t="n">
        <v>45742</v>
      </c>
      <c r="C461" s="1" t="n">
        <v>46144</v>
      </c>
      <c r="D461" t="inlineStr">
        <is>
          <t>GOTLANDS LÄN</t>
        </is>
      </c>
      <c r="E461" t="inlineStr">
        <is>
          <t>GOTLAND</t>
        </is>
      </c>
      <c r="G461" t="n">
        <v>13.4</v>
      </c>
      <c r="H461" t="n">
        <v>0</v>
      </c>
      <c r="I461" t="n">
        <v>0</v>
      </c>
      <c r="J461" t="n">
        <v>0</v>
      </c>
      <c r="K461" t="n">
        <v>0</v>
      </c>
      <c r="L461" t="n">
        <v>0</v>
      </c>
      <c r="M461" t="n">
        <v>0</v>
      </c>
      <c r="N461" t="n">
        <v>0</v>
      </c>
      <c r="O461" t="n">
        <v>0</v>
      </c>
      <c r="P461" t="n">
        <v>0</v>
      </c>
      <c r="Q461" t="n">
        <v>0</v>
      </c>
      <c r="R461" s="2" t="inlineStr"/>
    </row>
    <row r="462" ht="15" customHeight="1">
      <c r="A462" t="inlineStr">
        <is>
          <t>A 6218-2026</t>
        </is>
      </c>
      <c r="B462" s="1" t="n">
        <v>46055.42859953704</v>
      </c>
      <c r="C462" s="1" t="n">
        <v>46144</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44496.64855324074</v>
      </c>
      <c r="C463" s="1" t="n">
        <v>46144</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6207-2026</t>
        </is>
      </c>
      <c r="B464" s="1" t="n">
        <v>46055.42083333333</v>
      </c>
      <c r="C464" s="1" t="n">
        <v>46144</v>
      </c>
      <c r="D464" t="inlineStr">
        <is>
          <t>GOTLANDS LÄN</t>
        </is>
      </c>
      <c r="E464" t="inlineStr">
        <is>
          <t>GOTLAND</t>
        </is>
      </c>
      <c r="G464" t="n">
        <v>7.6</v>
      </c>
      <c r="H464" t="n">
        <v>0</v>
      </c>
      <c r="I464" t="n">
        <v>0</v>
      </c>
      <c r="J464" t="n">
        <v>0</v>
      </c>
      <c r="K464" t="n">
        <v>0</v>
      </c>
      <c r="L464" t="n">
        <v>0</v>
      </c>
      <c r="M464" t="n">
        <v>0</v>
      </c>
      <c r="N464" t="n">
        <v>0</v>
      </c>
      <c r="O464" t="n">
        <v>0</v>
      </c>
      <c r="P464" t="n">
        <v>0</v>
      </c>
      <c r="Q464" t="n">
        <v>0</v>
      </c>
      <c r="R464" s="2" t="inlineStr"/>
    </row>
    <row r="465" ht="15" customHeight="1">
      <c r="A465" t="inlineStr">
        <is>
          <t>A 37728-2024</t>
        </is>
      </c>
      <c r="B465" s="1" t="n">
        <v>45541</v>
      </c>
      <c r="C465" s="1" t="n">
        <v>46144</v>
      </c>
      <c r="D465" t="inlineStr">
        <is>
          <t>GOTLANDS LÄN</t>
        </is>
      </c>
      <c r="E465" t="inlineStr">
        <is>
          <t>GOTLAND</t>
        </is>
      </c>
      <c r="G465" t="n">
        <v>0.4</v>
      </c>
      <c r="H465" t="n">
        <v>0</v>
      </c>
      <c r="I465" t="n">
        <v>0</v>
      </c>
      <c r="J465" t="n">
        <v>0</v>
      </c>
      <c r="K465" t="n">
        <v>0</v>
      </c>
      <c r="L465" t="n">
        <v>0</v>
      </c>
      <c r="M465" t="n">
        <v>0</v>
      </c>
      <c r="N465" t="n">
        <v>0</v>
      </c>
      <c r="O465" t="n">
        <v>0</v>
      </c>
      <c r="P465" t="n">
        <v>0</v>
      </c>
      <c r="Q465" t="n">
        <v>0</v>
      </c>
      <c r="R465" s="2" t="inlineStr"/>
    </row>
    <row r="466" ht="15" customHeight="1">
      <c r="A466" t="inlineStr">
        <is>
          <t>A 6959-2026</t>
        </is>
      </c>
      <c r="B466" s="1" t="n">
        <v>46057.580625</v>
      </c>
      <c r="C466" s="1" t="n">
        <v>46144</v>
      </c>
      <c r="D466" t="inlineStr">
        <is>
          <t>GOTLANDS LÄN</t>
        </is>
      </c>
      <c r="E466" t="inlineStr">
        <is>
          <t>GOTLAND</t>
        </is>
      </c>
      <c r="F466" t="inlineStr">
        <is>
          <t>Kyrkan</t>
        </is>
      </c>
      <c r="G466" t="n">
        <v>1.2</v>
      </c>
      <c r="H466" t="n">
        <v>0</v>
      </c>
      <c r="I466" t="n">
        <v>0</v>
      </c>
      <c r="J466" t="n">
        <v>0</v>
      </c>
      <c r="K466" t="n">
        <v>0</v>
      </c>
      <c r="L466" t="n">
        <v>0</v>
      </c>
      <c r="M466" t="n">
        <v>0</v>
      </c>
      <c r="N466" t="n">
        <v>0</v>
      </c>
      <c r="O466" t="n">
        <v>0</v>
      </c>
      <c r="P466" t="n">
        <v>0</v>
      </c>
      <c r="Q466" t="n">
        <v>0</v>
      </c>
      <c r="R466" s="2" t="inlineStr"/>
    </row>
    <row r="467" ht="15" customHeight="1">
      <c r="A467" t="inlineStr">
        <is>
          <t>A 6960-2026</t>
        </is>
      </c>
      <c r="B467" s="1" t="n">
        <v>46057.58105324074</v>
      </c>
      <c r="C467" s="1" t="n">
        <v>46144</v>
      </c>
      <c r="D467" t="inlineStr">
        <is>
          <t>GOTLANDS LÄN</t>
        </is>
      </c>
      <c r="E467" t="inlineStr">
        <is>
          <t>GOTLAND</t>
        </is>
      </c>
      <c r="F467" t="inlineStr">
        <is>
          <t>Kyrkan</t>
        </is>
      </c>
      <c r="G467" t="n">
        <v>2.4</v>
      </c>
      <c r="H467" t="n">
        <v>0</v>
      </c>
      <c r="I467" t="n">
        <v>0</v>
      </c>
      <c r="J467" t="n">
        <v>0</v>
      </c>
      <c r="K467" t="n">
        <v>0</v>
      </c>
      <c r="L467" t="n">
        <v>0</v>
      </c>
      <c r="M467" t="n">
        <v>0</v>
      </c>
      <c r="N467" t="n">
        <v>0</v>
      </c>
      <c r="O467" t="n">
        <v>0</v>
      </c>
      <c r="P467" t="n">
        <v>0</v>
      </c>
      <c r="Q467" t="n">
        <v>0</v>
      </c>
      <c r="R467" s="2" t="inlineStr"/>
    </row>
    <row r="468" ht="15" customHeight="1">
      <c r="A468" t="inlineStr">
        <is>
          <t>A 22287-2022</t>
        </is>
      </c>
      <c r="B468" s="1" t="n">
        <v>44712</v>
      </c>
      <c r="C468" s="1" t="n">
        <v>46144</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54074-2022</t>
        </is>
      </c>
      <c r="B469" s="1" t="n">
        <v>44881</v>
      </c>
      <c r="C469" s="1" t="n">
        <v>46144</v>
      </c>
      <c r="D469" t="inlineStr">
        <is>
          <t>GOTLANDS LÄN</t>
        </is>
      </c>
      <c r="E469" t="inlineStr">
        <is>
          <t>GOTLAND</t>
        </is>
      </c>
      <c r="G469" t="n">
        <v>0.9</v>
      </c>
      <c r="H469" t="n">
        <v>0</v>
      </c>
      <c r="I469" t="n">
        <v>0</v>
      </c>
      <c r="J469" t="n">
        <v>0</v>
      </c>
      <c r="K469" t="n">
        <v>0</v>
      </c>
      <c r="L469" t="n">
        <v>0</v>
      </c>
      <c r="M469" t="n">
        <v>0</v>
      </c>
      <c r="N469" t="n">
        <v>0</v>
      </c>
      <c r="O469" t="n">
        <v>0</v>
      </c>
      <c r="P469" t="n">
        <v>0</v>
      </c>
      <c r="Q469" t="n">
        <v>0</v>
      </c>
      <c r="R469" s="2" t="inlineStr"/>
    </row>
    <row r="470" ht="15" customHeight="1">
      <c r="A470" t="inlineStr">
        <is>
          <t>A 14840-2026</t>
        </is>
      </c>
      <c r="B470" s="1" t="n">
        <v>46104.39498842593</v>
      </c>
      <c r="C470" s="1" t="n">
        <v>46144</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7625-2026</t>
        </is>
      </c>
      <c r="B471" s="1" t="n">
        <v>46062.35135416667</v>
      </c>
      <c r="C471" s="1" t="n">
        <v>46144</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65249-2023</t>
        </is>
      </c>
      <c r="B472" s="1" t="n">
        <v>45290</v>
      </c>
      <c r="C472" s="1" t="n">
        <v>46144</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7627-2026</t>
        </is>
      </c>
      <c r="B473" s="1" t="n">
        <v>46062.35465277778</v>
      </c>
      <c r="C473" s="1" t="n">
        <v>46144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63105-2025</t>
        </is>
      </c>
      <c r="B474" s="1" t="n">
        <v>46009</v>
      </c>
      <c r="C474" s="1" t="n">
        <v>46144</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2135-2026</t>
        </is>
      </c>
      <c r="B475" s="1" t="n">
        <v>46036</v>
      </c>
      <c r="C475" s="1" t="n">
        <v>46144</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13910-2025</t>
        </is>
      </c>
      <c r="B476" s="1" t="n">
        <v>45737</v>
      </c>
      <c r="C476" s="1" t="n">
        <v>46144</v>
      </c>
      <c r="D476" t="inlineStr">
        <is>
          <t>GOTLANDS LÄN</t>
        </is>
      </c>
      <c r="E476" t="inlineStr">
        <is>
          <t>GOTLAND</t>
        </is>
      </c>
      <c r="F476" t="inlineStr">
        <is>
          <t>Kommuner</t>
        </is>
      </c>
      <c r="G476" t="n">
        <v>3.2</v>
      </c>
      <c r="H476" t="n">
        <v>0</v>
      </c>
      <c r="I476" t="n">
        <v>0</v>
      </c>
      <c r="J476" t="n">
        <v>0</v>
      </c>
      <c r="K476" t="n">
        <v>0</v>
      </c>
      <c r="L476" t="n">
        <v>0</v>
      </c>
      <c r="M476" t="n">
        <v>0</v>
      </c>
      <c r="N476" t="n">
        <v>0</v>
      </c>
      <c r="O476" t="n">
        <v>0</v>
      </c>
      <c r="P476" t="n">
        <v>0</v>
      </c>
      <c r="Q476" t="n">
        <v>0</v>
      </c>
      <c r="R476" s="2" t="inlineStr"/>
    </row>
    <row r="477" ht="15" customHeight="1">
      <c r="A477" t="inlineStr">
        <is>
          <t>A 2134-2026</t>
        </is>
      </c>
      <c r="B477" s="1" t="n">
        <v>46036</v>
      </c>
      <c r="C477" s="1" t="n">
        <v>46144</v>
      </c>
      <c r="D477" t="inlineStr">
        <is>
          <t>GOTLANDS LÄN</t>
        </is>
      </c>
      <c r="E477" t="inlineStr">
        <is>
          <t>GOTLAND</t>
        </is>
      </c>
      <c r="G477" t="n">
        <v>1.7</v>
      </c>
      <c r="H477" t="n">
        <v>0</v>
      </c>
      <c r="I477" t="n">
        <v>0</v>
      </c>
      <c r="J477" t="n">
        <v>0</v>
      </c>
      <c r="K477" t="n">
        <v>0</v>
      </c>
      <c r="L477" t="n">
        <v>0</v>
      </c>
      <c r="M477" t="n">
        <v>0</v>
      </c>
      <c r="N477" t="n">
        <v>0</v>
      </c>
      <c r="O477" t="n">
        <v>0</v>
      </c>
      <c r="P477" t="n">
        <v>0</v>
      </c>
      <c r="Q477" t="n">
        <v>0</v>
      </c>
      <c r="R477" s="2" t="inlineStr"/>
    </row>
    <row r="478" ht="15" customHeight="1">
      <c r="A478" t="inlineStr">
        <is>
          <t>A 17780-2022</t>
        </is>
      </c>
      <c r="B478" s="1" t="n">
        <v>44682.82622685185</v>
      </c>
      <c r="C478" s="1" t="n">
        <v>46144</v>
      </c>
      <c r="D478" t="inlineStr">
        <is>
          <t>GOTLANDS LÄN</t>
        </is>
      </c>
      <c r="E478" t="inlineStr">
        <is>
          <t>GOTLAND</t>
        </is>
      </c>
      <c r="G478" t="n">
        <v>2.2</v>
      </c>
      <c r="H478" t="n">
        <v>0</v>
      </c>
      <c r="I478" t="n">
        <v>0</v>
      </c>
      <c r="J478" t="n">
        <v>0</v>
      </c>
      <c r="K478" t="n">
        <v>0</v>
      </c>
      <c r="L478" t="n">
        <v>0</v>
      </c>
      <c r="M478" t="n">
        <v>0</v>
      </c>
      <c r="N478" t="n">
        <v>0</v>
      </c>
      <c r="O478" t="n">
        <v>0</v>
      </c>
      <c r="P478" t="n">
        <v>0</v>
      </c>
      <c r="Q478" t="n">
        <v>0</v>
      </c>
      <c r="R478" s="2" t="inlineStr"/>
    </row>
    <row r="479" ht="15" customHeight="1">
      <c r="A479" t="inlineStr">
        <is>
          <t>A 59986-2022</t>
        </is>
      </c>
      <c r="B479" s="1" t="n">
        <v>44909</v>
      </c>
      <c r="C479" s="1" t="n">
        <v>46144</v>
      </c>
      <c r="D479" t="inlineStr">
        <is>
          <t>GOTLANDS LÄN</t>
        </is>
      </c>
      <c r="E479" t="inlineStr">
        <is>
          <t>GOTLAND</t>
        </is>
      </c>
      <c r="G479" t="n">
        <v>0.7</v>
      </c>
      <c r="H479" t="n">
        <v>0</v>
      </c>
      <c r="I479" t="n">
        <v>0</v>
      </c>
      <c r="J479" t="n">
        <v>0</v>
      </c>
      <c r="K479" t="n">
        <v>0</v>
      </c>
      <c r="L479" t="n">
        <v>0</v>
      </c>
      <c r="M479" t="n">
        <v>0</v>
      </c>
      <c r="N479" t="n">
        <v>0</v>
      </c>
      <c r="O479" t="n">
        <v>0</v>
      </c>
      <c r="P479" t="n">
        <v>0</v>
      </c>
      <c r="Q479" t="n">
        <v>0</v>
      </c>
      <c r="R479" s="2" t="inlineStr"/>
    </row>
    <row r="480" ht="15" customHeight="1">
      <c r="A480" t="inlineStr">
        <is>
          <t>A 11874-2024</t>
        </is>
      </c>
      <c r="B480" s="1" t="n">
        <v>45376.46956018519</v>
      </c>
      <c r="C480" s="1" t="n">
        <v>46144</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42041-2024</t>
        </is>
      </c>
      <c r="B481" s="1" t="n">
        <v>45561</v>
      </c>
      <c r="C481" s="1" t="n">
        <v>46144</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53561-2025</t>
        </is>
      </c>
      <c r="B482" s="1" t="n">
        <v>45960.4059375</v>
      </c>
      <c r="C482" s="1" t="n">
        <v>46144</v>
      </c>
      <c r="D482" t="inlineStr">
        <is>
          <t>GOTLANDS LÄN</t>
        </is>
      </c>
      <c r="E482" t="inlineStr">
        <is>
          <t>GOTLAND</t>
        </is>
      </c>
      <c r="F482" t="inlineStr">
        <is>
          <t>Övriga Aktiebolag</t>
        </is>
      </c>
      <c r="G482" t="n">
        <v>2.4</v>
      </c>
      <c r="H482" t="n">
        <v>0</v>
      </c>
      <c r="I482" t="n">
        <v>0</v>
      </c>
      <c r="J482" t="n">
        <v>0</v>
      </c>
      <c r="K482" t="n">
        <v>0</v>
      </c>
      <c r="L482" t="n">
        <v>0</v>
      </c>
      <c r="M482" t="n">
        <v>0</v>
      </c>
      <c r="N482" t="n">
        <v>0</v>
      </c>
      <c r="O482" t="n">
        <v>0</v>
      </c>
      <c r="P482" t="n">
        <v>0</v>
      </c>
      <c r="Q482" t="n">
        <v>0</v>
      </c>
      <c r="R482" s="2" t="inlineStr"/>
    </row>
    <row r="483" ht="15" customHeight="1">
      <c r="A483" t="inlineStr">
        <is>
          <t>A 61694-2023</t>
        </is>
      </c>
      <c r="B483" s="1" t="n">
        <v>45264</v>
      </c>
      <c r="C483" s="1" t="n">
        <v>46144</v>
      </c>
      <c r="D483" t="inlineStr">
        <is>
          <t>GOTLANDS LÄN</t>
        </is>
      </c>
      <c r="E483" t="inlineStr">
        <is>
          <t>GOTLAND</t>
        </is>
      </c>
      <c r="G483" t="n">
        <v>4.6</v>
      </c>
      <c r="H483" t="n">
        <v>0</v>
      </c>
      <c r="I483" t="n">
        <v>0</v>
      </c>
      <c r="J483" t="n">
        <v>0</v>
      </c>
      <c r="K483" t="n">
        <v>0</v>
      </c>
      <c r="L483" t="n">
        <v>0</v>
      </c>
      <c r="M483" t="n">
        <v>0</v>
      </c>
      <c r="N483" t="n">
        <v>0</v>
      </c>
      <c r="O483" t="n">
        <v>0</v>
      </c>
      <c r="P483" t="n">
        <v>0</v>
      </c>
      <c r="Q483" t="n">
        <v>0</v>
      </c>
      <c r="R483" s="2" t="inlineStr"/>
    </row>
    <row r="484" ht="15" customHeight="1">
      <c r="A484" t="inlineStr">
        <is>
          <t>A 53587-2025</t>
        </is>
      </c>
      <c r="B484" s="1" t="n">
        <v>45960.43681712963</v>
      </c>
      <c r="C484" s="1" t="n">
        <v>46144</v>
      </c>
      <c r="D484" t="inlineStr">
        <is>
          <t>GOTLANDS LÄN</t>
        </is>
      </c>
      <c r="E484" t="inlineStr">
        <is>
          <t>GOTLAND</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9504-2026</t>
        </is>
      </c>
      <c r="B485" s="1" t="n">
        <v>46071.57730324074</v>
      </c>
      <c r="C485" s="1" t="n">
        <v>46144</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9518-2026</t>
        </is>
      </c>
      <c r="B486" s="1" t="n">
        <v>46071.59653935185</v>
      </c>
      <c r="C486" s="1" t="n">
        <v>46144</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9519-2026</t>
        </is>
      </c>
      <c r="B487" s="1" t="n">
        <v>46071.59820601852</v>
      </c>
      <c r="C487" s="1" t="n">
        <v>46144</v>
      </c>
      <c r="D487" t="inlineStr">
        <is>
          <t>GOTLANDS LÄN</t>
        </is>
      </c>
      <c r="E487" t="inlineStr">
        <is>
          <t>GOTLAND</t>
        </is>
      </c>
      <c r="G487" t="n">
        <v>4</v>
      </c>
      <c r="H487" t="n">
        <v>0</v>
      </c>
      <c r="I487" t="n">
        <v>0</v>
      </c>
      <c r="J487" t="n">
        <v>0</v>
      </c>
      <c r="K487" t="n">
        <v>0</v>
      </c>
      <c r="L487" t="n">
        <v>0</v>
      </c>
      <c r="M487" t="n">
        <v>0</v>
      </c>
      <c r="N487" t="n">
        <v>0</v>
      </c>
      <c r="O487" t="n">
        <v>0</v>
      </c>
      <c r="P487" t="n">
        <v>0</v>
      </c>
      <c r="Q487" t="n">
        <v>0</v>
      </c>
      <c r="R487" s="2" t="inlineStr"/>
    </row>
    <row r="488" ht="15" customHeight="1">
      <c r="A488" t="inlineStr">
        <is>
          <t>A 64555-2023</t>
        </is>
      </c>
      <c r="B488" s="1" t="n">
        <v>45281</v>
      </c>
      <c r="C488" s="1" t="n">
        <v>46144</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46144</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9540-2026</t>
        </is>
      </c>
      <c r="B490" s="1" t="n">
        <v>46071.61961805556</v>
      </c>
      <c r="C490" s="1" t="n">
        <v>46144</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9521-2026</t>
        </is>
      </c>
      <c r="B491" s="1" t="n">
        <v>46071.59969907408</v>
      </c>
      <c r="C491" s="1" t="n">
        <v>46144</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9524-2026</t>
        </is>
      </c>
      <c r="B492" s="1" t="n">
        <v>46071.60108796296</v>
      </c>
      <c r="C492" s="1" t="n">
        <v>46144</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9543-2026</t>
        </is>
      </c>
      <c r="B493" s="1" t="n">
        <v>46071.62486111111</v>
      </c>
      <c r="C493" s="1" t="n">
        <v>46144</v>
      </c>
      <c r="D493" t="inlineStr">
        <is>
          <t>GOTLANDS LÄN</t>
        </is>
      </c>
      <c r="E493" t="inlineStr">
        <is>
          <t>GOTLAND</t>
        </is>
      </c>
      <c r="G493" t="n">
        <v>2.6</v>
      </c>
      <c r="H493" t="n">
        <v>0</v>
      </c>
      <c r="I493" t="n">
        <v>0</v>
      </c>
      <c r="J493" t="n">
        <v>0</v>
      </c>
      <c r="K493" t="n">
        <v>0</v>
      </c>
      <c r="L493" t="n">
        <v>0</v>
      </c>
      <c r="M493" t="n">
        <v>0</v>
      </c>
      <c r="N493" t="n">
        <v>0</v>
      </c>
      <c r="O493" t="n">
        <v>0</v>
      </c>
      <c r="P493" t="n">
        <v>0</v>
      </c>
      <c r="Q493" t="n">
        <v>0</v>
      </c>
      <c r="R493" s="2" t="inlineStr"/>
    </row>
    <row r="494" ht="15" customHeight="1">
      <c r="A494" t="inlineStr">
        <is>
          <t>A 999-2023</t>
        </is>
      </c>
      <c r="B494" s="1" t="n">
        <v>44935</v>
      </c>
      <c r="C494" s="1" t="n">
        <v>46144</v>
      </c>
      <c r="D494" t="inlineStr">
        <is>
          <t>GOTLANDS LÄN</t>
        </is>
      </c>
      <c r="E494" t="inlineStr">
        <is>
          <t>GOTLAND</t>
        </is>
      </c>
      <c r="G494" t="n">
        <v>4.7</v>
      </c>
      <c r="H494" t="n">
        <v>0</v>
      </c>
      <c r="I494" t="n">
        <v>0</v>
      </c>
      <c r="J494" t="n">
        <v>0</v>
      </c>
      <c r="K494" t="n">
        <v>0</v>
      </c>
      <c r="L494" t="n">
        <v>0</v>
      </c>
      <c r="M494" t="n">
        <v>0</v>
      </c>
      <c r="N494" t="n">
        <v>0</v>
      </c>
      <c r="O494" t="n">
        <v>0</v>
      </c>
      <c r="P494" t="n">
        <v>0</v>
      </c>
      <c r="Q494" t="n">
        <v>0</v>
      </c>
      <c r="R494" s="2" t="inlineStr"/>
    </row>
    <row r="495" ht="15" customHeight="1">
      <c r="A495" t="inlineStr">
        <is>
          <t>A 27602-2023</t>
        </is>
      </c>
      <c r="B495" s="1" t="n">
        <v>45097</v>
      </c>
      <c r="C495" s="1" t="n">
        <v>46144</v>
      </c>
      <c r="D495" t="inlineStr">
        <is>
          <t>GOTLANDS LÄN</t>
        </is>
      </c>
      <c r="E495" t="inlineStr">
        <is>
          <t>GOTLAND</t>
        </is>
      </c>
      <c r="G495" t="n">
        <v>2.7</v>
      </c>
      <c r="H495" t="n">
        <v>0</v>
      </c>
      <c r="I495" t="n">
        <v>0</v>
      </c>
      <c r="J495" t="n">
        <v>0</v>
      </c>
      <c r="K495" t="n">
        <v>0</v>
      </c>
      <c r="L495" t="n">
        <v>0</v>
      </c>
      <c r="M495" t="n">
        <v>0</v>
      </c>
      <c r="N495" t="n">
        <v>0</v>
      </c>
      <c r="O495" t="n">
        <v>0</v>
      </c>
      <c r="P495" t="n">
        <v>0</v>
      </c>
      <c r="Q495" t="n">
        <v>0</v>
      </c>
      <c r="R495" s="2" t="inlineStr"/>
    </row>
    <row r="496" ht="15" customHeight="1">
      <c r="A496" t="inlineStr">
        <is>
          <t>A 16993-2026</t>
        </is>
      </c>
      <c r="B496" s="1" t="n">
        <v>46114.41918981481</v>
      </c>
      <c r="C496" s="1" t="n">
        <v>46144</v>
      </c>
      <c r="D496" t="inlineStr">
        <is>
          <t>GOTLANDS LÄN</t>
        </is>
      </c>
      <c r="E496" t="inlineStr">
        <is>
          <t>GOTLAND</t>
        </is>
      </c>
      <c r="G496" t="n">
        <v>3</v>
      </c>
      <c r="H496" t="n">
        <v>0</v>
      </c>
      <c r="I496" t="n">
        <v>0</v>
      </c>
      <c r="J496" t="n">
        <v>0</v>
      </c>
      <c r="K496" t="n">
        <v>0</v>
      </c>
      <c r="L496" t="n">
        <v>0</v>
      </c>
      <c r="M496" t="n">
        <v>0</v>
      </c>
      <c r="N496" t="n">
        <v>0</v>
      </c>
      <c r="O496" t="n">
        <v>0</v>
      </c>
      <c r="P496" t="n">
        <v>0</v>
      </c>
      <c r="Q496" t="n">
        <v>0</v>
      </c>
      <c r="R496" s="2" t="inlineStr"/>
    </row>
    <row r="497" ht="15" customHeight="1">
      <c r="A497" t="inlineStr">
        <is>
          <t>A 17000-2026</t>
        </is>
      </c>
      <c r="B497" s="1" t="n">
        <v>46114.42690972222</v>
      </c>
      <c r="C497" s="1" t="n">
        <v>46144</v>
      </c>
      <c r="D497" t="inlineStr">
        <is>
          <t>GOTLANDS LÄN</t>
        </is>
      </c>
      <c r="E497" t="inlineStr">
        <is>
          <t>GOTLAND</t>
        </is>
      </c>
      <c r="G497" t="n">
        <v>1.9</v>
      </c>
      <c r="H497" t="n">
        <v>0</v>
      </c>
      <c r="I497" t="n">
        <v>0</v>
      </c>
      <c r="J497" t="n">
        <v>0</v>
      </c>
      <c r="K497" t="n">
        <v>0</v>
      </c>
      <c r="L497" t="n">
        <v>0</v>
      </c>
      <c r="M497" t="n">
        <v>0</v>
      </c>
      <c r="N497" t="n">
        <v>0</v>
      </c>
      <c r="O497" t="n">
        <v>0</v>
      </c>
      <c r="P497" t="n">
        <v>0</v>
      </c>
      <c r="Q497" t="n">
        <v>0</v>
      </c>
      <c r="R497" s="2" t="inlineStr"/>
    </row>
    <row r="498" ht="15" customHeight="1">
      <c r="A498" t="inlineStr">
        <is>
          <t>A 63152-2025</t>
        </is>
      </c>
      <c r="B498" s="1" t="n">
        <v>46010</v>
      </c>
      <c r="C498" s="1" t="n">
        <v>46144</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10486-2026</t>
        </is>
      </c>
      <c r="B499" s="1" t="n">
        <v>46077.51425925926</v>
      </c>
      <c r="C499" s="1" t="n">
        <v>46144</v>
      </c>
      <c r="D499" t="inlineStr">
        <is>
          <t>GOTLANDS LÄN</t>
        </is>
      </c>
      <c r="E499" t="inlineStr">
        <is>
          <t>GOTLAND</t>
        </is>
      </c>
      <c r="G499" t="n">
        <v>3.5</v>
      </c>
      <c r="H499" t="n">
        <v>0</v>
      </c>
      <c r="I499" t="n">
        <v>0</v>
      </c>
      <c r="J499" t="n">
        <v>0</v>
      </c>
      <c r="K499" t="n">
        <v>0</v>
      </c>
      <c r="L499" t="n">
        <v>0</v>
      </c>
      <c r="M499" t="n">
        <v>0</v>
      </c>
      <c r="N499" t="n">
        <v>0</v>
      </c>
      <c r="O499" t="n">
        <v>0</v>
      </c>
      <c r="P499" t="n">
        <v>0</v>
      </c>
      <c r="Q499" t="n">
        <v>0</v>
      </c>
      <c r="R499" s="2" t="inlineStr"/>
    </row>
    <row r="500" ht="15" customHeight="1">
      <c r="A500" t="inlineStr">
        <is>
          <t>A 4377-2023</t>
        </is>
      </c>
      <c r="B500" s="1" t="n">
        <v>44955.5502662037</v>
      </c>
      <c r="C500" s="1" t="n">
        <v>46144</v>
      </c>
      <c r="D500" t="inlineStr">
        <is>
          <t>GOTLANDS LÄN</t>
        </is>
      </c>
      <c r="E500" t="inlineStr">
        <is>
          <t>GOTLAND</t>
        </is>
      </c>
      <c r="F500" t="inlineStr">
        <is>
          <t>Kyrkan</t>
        </is>
      </c>
      <c r="G500" t="n">
        <v>0.6</v>
      </c>
      <c r="H500" t="n">
        <v>0</v>
      </c>
      <c r="I500" t="n">
        <v>0</v>
      </c>
      <c r="J500" t="n">
        <v>0</v>
      </c>
      <c r="K500" t="n">
        <v>0</v>
      </c>
      <c r="L500" t="n">
        <v>0</v>
      </c>
      <c r="M500" t="n">
        <v>0</v>
      </c>
      <c r="N500" t="n">
        <v>0</v>
      </c>
      <c r="O500" t="n">
        <v>0</v>
      </c>
      <c r="P500" t="n">
        <v>0</v>
      </c>
      <c r="Q500" t="n">
        <v>0</v>
      </c>
      <c r="R500" s="2" t="inlineStr"/>
    </row>
    <row r="501" ht="15" customHeight="1">
      <c r="A501" t="inlineStr">
        <is>
          <t>A 4387-2023</t>
        </is>
      </c>
      <c r="B501" s="1" t="n">
        <v>44955.73359953704</v>
      </c>
      <c r="C501" s="1" t="n">
        <v>46144</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9901-2026</t>
        </is>
      </c>
      <c r="B502" s="1" t="n">
        <v>46073.40391203704</v>
      </c>
      <c r="C502" s="1" t="n">
        <v>46144</v>
      </c>
      <c r="D502" t="inlineStr">
        <is>
          <t>GOTLANDS LÄN</t>
        </is>
      </c>
      <c r="E502" t="inlineStr">
        <is>
          <t>GOTLAND</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46144</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17328-2026</t>
        </is>
      </c>
      <c r="B504" s="1" t="n">
        <v>46119.61216435185</v>
      </c>
      <c r="C504" s="1" t="n">
        <v>46144</v>
      </c>
      <c r="D504" t="inlineStr">
        <is>
          <t>GOTLANDS LÄN</t>
        </is>
      </c>
      <c r="E504" t="inlineStr">
        <is>
          <t>GOTLAND</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10284-2026</t>
        </is>
      </c>
      <c r="B505" s="1" t="n">
        <v>46076</v>
      </c>
      <c r="C505" s="1" t="n">
        <v>46144</v>
      </c>
      <c r="D505" t="inlineStr">
        <is>
          <t>GOTLANDS LÄN</t>
        </is>
      </c>
      <c r="E505" t="inlineStr">
        <is>
          <t>GOTLAND</t>
        </is>
      </c>
      <c r="G505" t="n">
        <v>5.2</v>
      </c>
      <c r="H505" t="n">
        <v>0</v>
      </c>
      <c r="I505" t="n">
        <v>0</v>
      </c>
      <c r="J505" t="n">
        <v>0</v>
      </c>
      <c r="K505" t="n">
        <v>0</v>
      </c>
      <c r="L505" t="n">
        <v>0</v>
      </c>
      <c r="M505" t="n">
        <v>0</v>
      </c>
      <c r="N505" t="n">
        <v>0</v>
      </c>
      <c r="O505" t="n">
        <v>0</v>
      </c>
      <c r="P505" t="n">
        <v>0</v>
      </c>
      <c r="Q505" t="n">
        <v>0</v>
      </c>
      <c r="R505" s="2" t="inlineStr"/>
    </row>
    <row r="506" ht="15" customHeight="1">
      <c r="A506" t="inlineStr">
        <is>
          <t>A 51963-2024</t>
        </is>
      </c>
      <c r="B506" s="1" t="n">
        <v>45607.64833333333</v>
      </c>
      <c r="C506" s="1" t="n">
        <v>46144</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811-2023</t>
        </is>
      </c>
      <c r="B507" s="1" t="n">
        <v>44931</v>
      </c>
      <c r="C507" s="1" t="n">
        <v>46144</v>
      </c>
      <c r="D507" t="inlineStr">
        <is>
          <t>GOTLANDS LÄN</t>
        </is>
      </c>
      <c r="E507" t="inlineStr">
        <is>
          <t>GOTLAND</t>
        </is>
      </c>
      <c r="G507" t="n">
        <v>0.6</v>
      </c>
      <c r="H507" t="n">
        <v>0</v>
      </c>
      <c r="I507" t="n">
        <v>0</v>
      </c>
      <c r="J507" t="n">
        <v>0</v>
      </c>
      <c r="K507" t="n">
        <v>0</v>
      </c>
      <c r="L507" t="n">
        <v>0</v>
      </c>
      <c r="M507" t="n">
        <v>0</v>
      </c>
      <c r="N507" t="n">
        <v>0</v>
      </c>
      <c r="O507" t="n">
        <v>0</v>
      </c>
      <c r="P507" t="n">
        <v>0</v>
      </c>
      <c r="Q507" t="n">
        <v>0</v>
      </c>
      <c r="R507" s="2" t="inlineStr"/>
    </row>
    <row r="508" ht="15" customHeight="1">
      <c r="A508" t="inlineStr">
        <is>
          <t>A 60384-2025</t>
        </is>
      </c>
      <c r="B508" s="1" t="n">
        <v>45995</v>
      </c>
      <c r="C508" s="1" t="n">
        <v>46144</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46389-2021</t>
        </is>
      </c>
      <c r="B509" s="1" t="n">
        <v>44443</v>
      </c>
      <c r="C509" s="1" t="n">
        <v>46144</v>
      </c>
      <c r="D509" t="inlineStr">
        <is>
          <t>GOTLANDS LÄN</t>
        </is>
      </c>
      <c r="E509" t="inlineStr">
        <is>
          <t>GOTLAND</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26810-2021</t>
        </is>
      </c>
      <c r="B510" s="1" t="n">
        <v>44349.55087962963</v>
      </c>
      <c r="C510" s="1" t="n">
        <v>46144</v>
      </c>
      <c r="D510" t="inlineStr">
        <is>
          <t>GOTLANDS LÄN</t>
        </is>
      </c>
      <c r="E510" t="inlineStr">
        <is>
          <t>GOTLAND</t>
        </is>
      </c>
      <c r="G510" t="n">
        <v>3.5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46144</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33853-2024</t>
        </is>
      </c>
      <c r="B512" s="1" t="n">
        <v>45520.64298611111</v>
      </c>
      <c r="C512" s="1" t="n">
        <v>46144</v>
      </c>
      <c r="D512" t="inlineStr">
        <is>
          <t>GOTLANDS LÄN</t>
        </is>
      </c>
      <c r="E512" t="inlineStr">
        <is>
          <t>GOTLAND</t>
        </is>
      </c>
      <c r="G512" t="n">
        <v>3.9</v>
      </c>
      <c r="H512" t="n">
        <v>0</v>
      </c>
      <c r="I512" t="n">
        <v>0</v>
      </c>
      <c r="J512" t="n">
        <v>0</v>
      </c>
      <c r="K512" t="n">
        <v>0</v>
      </c>
      <c r="L512" t="n">
        <v>0</v>
      </c>
      <c r="M512" t="n">
        <v>0</v>
      </c>
      <c r="N512" t="n">
        <v>0</v>
      </c>
      <c r="O512" t="n">
        <v>0</v>
      </c>
      <c r="P512" t="n">
        <v>0</v>
      </c>
      <c r="Q512" t="n">
        <v>0</v>
      </c>
      <c r="R512" s="2" t="inlineStr"/>
    </row>
    <row r="513" ht="15" customHeight="1">
      <c r="A513" t="inlineStr">
        <is>
          <t>A 18918-2025</t>
        </is>
      </c>
      <c r="B513" s="1" t="n">
        <v>45764</v>
      </c>
      <c r="C513" s="1" t="n">
        <v>46144</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2674-2023</t>
        </is>
      </c>
      <c r="B514" s="1" t="n">
        <v>44944</v>
      </c>
      <c r="C514" s="1" t="n">
        <v>46144</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17935-2026</t>
        </is>
      </c>
      <c r="B515" s="1" t="n">
        <v>46122</v>
      </c>
      <c r="C515" s="1" t="n">
        <v>46144</v>
      </c>
      <c r="D515" t="inlineStr">
        <is>
          <t>GOTLANDS LÄN</t>
        </is>
      </c>
      <c r="E515" t="inlineStr">
        <is>
          <t>GOTLAND</t>
        </is>
      </c>
      <c r="G515" t="n">
        <v>0.9</v>
      </c>
      <c r="H515" t="n">
        <v>0</v>
      </c>
      <c r="I515" t="n">
        <v>0</v>
      </c>
      <c r="J515" t="n">
        <v>0</v>
      </c>
      <c r="K515" t="n">
        <v>0</v>
      </c>
      <c r="L515" t="n">
        <v>0</v>
      </c>
      <c r="M515" t="n">
        <v>0</v>
      </c>
      <c r="N515" t="n">
        <v>0</v>
      </c>
      <c r="O515" t="n">
        <v>0</v>
      </c>
      <c r="P515" t="n">
        <v>0</v>
      </c>
      <c r="Q515" t="n">
        <v>0</v>
      </c>
      <c r="R515" s="2" t="inlineStr"/>
    </row>
    <row r="516" ht="15" customHeight="1">
      <c r="A516" t="inlineStr">
        <is>
          <t>A 10655-2023</t>
        </is>
      </c>
      <c r="B516" s="1" t="n">
        <v>44988.49543981482</v>
      </c>
      <c r="C516" s="1" t="n">
        <v>46144</v>
      </c>
      <c r="D516" t="inlineStr">
        <is>
          <t>GOTLANDS LÄN</t>
        </is>
      </c>
      <c r="E516" t="inlineStr">
        <is>
          <t>GOTLAND</t>
        </is>
      </c>
      <c r="F516" t="inlineStr">
        <is>
          <t>Kyrkan</t>
        </is>
      </c>
      <c r="G516" t="n">
        <v>2</v>
      </c>
      <c r="H516" t="n">
        <v>0</v>
      </c>
      <c r="I516" t="n">
        <v>0</v>
      </c>
      <c r="J516" t="n">
        <v>0</v>
      </c>
      <c r="K516" t="n">
        <v>0</v>
      </c>
      <c r="L516" t="n">
        <v>0</v>
      </c>
      <c r="M516" t="n">
        <v>0</v>
      </c>
      <c r="N516" t="n">
        <v>0</v>
      </c>
      <c r="O516" t="n">
        <v>0</v>
      </c>
      <c r="P516" t="n">
        <v>0</v>
      </c>
      <c r="Q516" t="n">
        <v>0</v>
      </c>
      <c r="R516" s="2" t="inlineStr"/>
    </row>
    <row r="517" ht="15" customHeight="1">
      <c r="A517" t="inlineStr">
        <is>
          <t>A 11424-2026</t>
        </is>
      </c>
      <c r="B517" s="1" t="n">
        <v>46083.48068287037</v>
      </c>
      <c r="C517" s="1" t="n">
        <v>46144</v>
      </c>
      <c r="D517" t="inlineStr">
        <is>
          <t>GOTLANDS LÄN</t>
        </is>
      </c>
      <c r="E517" t="inlineStr">
        <is>
          <t>GOTLAND</t>
        </is>
      </c>
      <c r="G517" t="n">
        <v>1.3</v>
      </c>
      <c r="H517" t="n">
        <v>0</v>
      </c>
      <c r="I517" t="n">
        <v>0</v>
      </c>
      <c r="J517" t="n">
        <v>0</v>
      </c>
      <c r="K517" t="n">
        <v>0</v>
      </c>
      <c r="L517" t="n">
        <v>0</v>
      </c>
      <c r="M517" t="n">
        <v>0</v>
      </c>
      <c r="N517" t="n">
        <v>0</v>
      </c>
      <c r="O517" t="n">
        <v>0</v>
      </c>
      <c r="P517" t="n">
        <v>0</v>
      </c>
      <c r="Q517" t="n">
        <v>0</v>
      </c>
      <c r="R517" s="2" t="inlineStr"/>
    </row>
    <row r="518" ht="15" customHeight="1">
      <c r="A518" t="inlineStr">
        <is>
          <t>A 2719-2023</t>
        </is>
      </c>
      <c r="B518" s="1" t="n">
        <v>44944.55361111111</v>
      </c>
      <c r="C518" s="1" t="n">
        <v>46144</v>
      </c>
      <c r="D518" t="inlineStr">
        <is>
          <t>GOTLANDS LÄN</t>
        </is>
      </c>
      <c r="E518" t="inlineStr">
        <is>
          <t>GOTLAND</t>
        </is>
      </c>
      <c r="G518" t="n">
        <v>0.5</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46144</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11414-2026</t>
        </is>
      </c>
      <c r="B520" s="1" t="n">
        <v>46083.46336805556</v>
      </c>
      <c r="C520" s="1" t="n">
        <v>46144</v>
      </c>
      <c r="D520" t="inlineStr">
        <is>
          <t>GOTLANDS LÄN</t>
        </is>
      </c>
      <c r="E520" t="inlineStr">
        <is>
          <t>GOTLAND</t>
        </is>
      </c>
      <c r="G520" t="n">
        <v>4.9</v>
      </c>
      <c r="H520" t="n">
        <v>0</v>
      </c>
      <c r="I520" t="n">
        <v>0</v>
      </c>
      <c r="J520" t="n">
        <v>0</v>
      </c>
      <c r="K520" t="n">
        <v>0</v>
      </c>
      <c r="L520" t="n">
        <v>0</v>
      </c>
      <c r="M520" t="n">
        <v>0</v>
      </c>
      <c r="N520" t="n">
        <v>0</v>
      </c>
      <c r="O520" t="n">
        <v>0</v>
      </c>
      <c r="P520" t="n">
        <v>0</v>
      </c>
      <c r="Q520" t="n">
        <v>0</v>
      </c>
      <c r="R520" s="2" t="inlineStr"/>
    </row>
    <row r="521" ht="15" customHeight="1">
      <c r="A521" t="inlineStr">
        <is>
          <t>A 17943-2026</t>
        </is>
      </c>
      <c r="B521" s="1" t="n">
        <v>46122</v>
      </c>
      <c r="C521" s="1" t="n">
        <v>46144</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42007-2023</t>
        </is>
      </c>
      <c r="B522" s="1" t="n">
        <v>45177</v>
      </c>
      <c r="C522" s="1" t="n">
        <v>46144</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54584-2025</t>
        </is>
      </c>
      <c r="B523" s="1" t="n">
        <v>45965.71788194445</v>
      </c>
      <c r="C523" s="1" t="n">
        <v>46144</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9887-2025</t>
        </is>
      </c>
      <c r="B524" s="1" t="n">
        <v>45716</v>
      </c>
      <c r="C524" s="1" t="n">
        <v>46144</v>
      </c>
      <c r="D524" t="inlineStr">
        <is>
          <t>GOTLANDS LÄN</t>
        </is>
      </c>
      <c r="E524" t="inlineStr">
        <is>
          <t>GOTLAND</t>
        </is>
      </c>
      <c r="G524" t="n">
        <v>7.5</v>
      </c>
      <c r="H524" t="n">
        <v>0</v>
      </c>
      <c r="I524" t="n">
        <v>0</v>
      </c>
      <c r="J524" t="n">
        <v>0</v>
      </c>
      <c r="K524" t="n">
        <v>0</v>
      </c>
      <c r="L524" t="n">
        <v>0</v>
      </c>
      <c r="M524" t="n">
        <v>0</v>
      </c>
      <c r="N524" t="n">
        <v>0</v>
      </c>
      <c r="O524" t="n">
        <v>0</v>
      </c>
      <c r="P524" t="n">
        <v>0</v>
      </c>
      <c r="Q524" t="n">
        <v>0</v>
      </c>
      <c r="R524" s="2" t="inlineStr"/>
    </row>
    <row r="525" ht="15" customHeight="1">
      <c r="A525" t="inlineStr">
        <is>
          <t>A 3067-2026</t>
        </is>
      </c>
      <c r="B525" s="1" t="n">
        <v>46040.59025462963</v>
      </c>
      <c r="C525" s="1" t="n">
        <v>46144</v>
      </c>
      <c r="D525" t="inlineStr">
        <is>
          <t>GOTLANDS LÄN</t>
        </is>
      </c>
      <c r="E525" t="inlineStr">
        <is>
          <t>GOTLAND</t>
        </is>
      </c>
      <c r="G525" t="n">
        <v>7.8</v>
      </c>
      <c r="H525" t="n">
        <v>0</v>
      </c>
      <c r="I525" t="n">
        <v>0</v>
      </c>
      <c r="J525" t="n">
        <v>0</v>
      </c>
      <c r="K525" t="n">
        <v>0</v>
      </c>
      <c r="L525" t="n">
        <v>0</v>
      </c>
      <c r="M525" t="n">
        <v>0</v>
      </c>
      <c r="N525" t="n">
        <v>0</v>
      </c>
      <c r="O525" t="n">
        <v>0</v>
      </c>
      <c r="P525" t="n">
        <v>0</v>
      </c>
      <c r="Q525" t="n">
        <v>0</v>
      </c>
      <c r="R525" s="2" t="inlineStr"/>
    </row>
    <row r="526" ht="15" customHeight="1">
      <c r="A526" t="inlineStr">
        <is>
          <t>A 38165-2023</t>
        </is>
      </c>
      <c r="B526" s="1" t="n">
        <v>45161</v>
      </c>
      <c r="C526" s="1" t="n">
        <v>46144</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27596-2023</t>
        </is>
      </c>
      <c r="B527" s="1" t="n">
        <v>45097</v>
      </c>
      <c r="C527" s="1" t="n">
        <v>46144</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24825-2024</t>
        </is>
      </c>
      <c r="B528" s="1" t="n">
        <v>45461</v>
      </c>
      <c r="C528" s="1" t="n">
        <v>46144</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6696-2023</t>
        </is>
      </c>
      <c r="B529" s="1" t="n">
        <v>44966.66425925926</v>
      </c>
      <c r="C529" s="1" t="n">
        <v>46144</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11982-2026</t>
        </is>
      </c>
      <c r="B530" s="1" t="n">
        <v>46085.6434375</v>
      </c>
      <c r="C530" s="1" t="n">
        <v>46144</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21247-2022</t>
        </is>
      </c>
      <c r="B531" s="1" t="n">
        <v>44705.38832175926</v>
      </c>
      <c r="C531" s="1" t="n">
        <v>46144</v>
      </c>
      <c r="D531" t="inlineStr">
        <is>
          <t>GOTLANDS LÄN</t>
        </is>
      </c>
      <c r="E531" t="inlineStr">
        <is>
          <t>GOTLAND</t>
        </is>
      </c>
      <c r="G531" t="n">
        <v>16.2</v>
      </c>
      <c r="H531" t="n">
        <v>0</v>
      </c>
      <c r="I531" t="n">
        <v>0</v>
      </c>
      <c r="J531" t="n">
        <v>0</v>
      </c>
      <c r="K531" t="n">
        <v>0</v>
      </c>
      <c r="L531" t="n">
        <v>0</v>
      </c>
      <c r="M531" t="n">
        <v>0</v>
      </c>
      <c r="N531" t="n">
        <v>0</v>
      </c>
      <c r="O531" t="n">
        <v>0</v>
      </c>
      <c r="P531" t="n">
        <v>0</v>
      </c>
      <c r="Q531" t="n">
        <v>0</v>
      </c>
      <c r="R531" s="2" t="inlineStr"/>
    </row>
    <row r="532" ht="15" customHeight="1">
      <c r="A532" t="inlineStr">
        <is>
          <t>A 456-2023</t>
        </is>
      </c>
      <c r="B532" s="1" t="n">
        <v>44929.87122685185</v>
      </c>
      <c r="C532" s="1" t="n">
        <v>46144</v>
      </c>
      <c r="D532" t="inlineStr">
        <is>
          <t>GOTLANDS LÄN</t>
        </is>
      </c>
      <c r="E532" t="inlineStr">
        <is>
          <t>GOTLAND</t>
        </is>
      </c>
      <c r="G532" t="n">
        <v>3.2</v>
      </c>
      <c r="H532" t="n">
        <v>0</v>
      </c>
      <c r="I532" t="n">
        <v>0</v>
      </c>
      <c r="J532" t="n">
        <v>0</v>
      </c>
      <c r="K532" t="n">
        <v>0</v>
      </c>
      <c r="L532" t="n">
        <v>0</v>
      </c>
      <c r="M532" t="n">
        <v>0</v>
      </c>
      <c r="N532" t="n">
        <v>0</v>
      </c>
      <c r="O532" t="n">
        <v>0</v>
      </c>
      <c r="P532" t="n">
        <v>0</v>
      </c>
      <c r="Q532" t="n">
        <v>0</v>
      </c>
      <c r="R532" s="2" t="inlineStr"/>
    </row>
    <row r="533" ht="15" customHeight="1">
      <c r="A533" t="inlineStr">
        <is>
          <t>A 2714-2023</t>
        </is>
      </c>
      <c r="B533" s="1" t="n">
        <v>44944.54896990741</v>
      </c>
      <c r="C533" s="1" t="n">
        <v>46144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18804-2026</t>
        </is>
      </c>
      <c r="B534" s="1" t="n">
        <v>46128.62366898148</v>
      </c>
      <c r="C534" s="1" t="n">
        <v>46144</v>
      </c>
      <c r="D534" t="inlineStr">
        <is>
          <t>GOTLANDS LÄN</t>
        </is>
      </c>
      <c r="E534" t="inlineStr">
        <is>
          <t>GOTLAND</t>
        </is>
      </c>
      <c r="F534" t="inlineStr">
        <is>
          <t>Kyrkan</t>
        </is>
      </c>
      <c r="G534" t="n">
        <v>2.6</v>
      </c>
      <c r="H534" t="n">
        <v>0</v>
      </c>
      <c r="I534" t="n">
        <v>0</v>
      </c>
      <c r="J534" t="n">
        <v>0</v>
      </c>
      <c r="K534" t="n">
        <v>0</v>
      </c>
      <c r="L534" t="n">
        <v>0</v>
      </c>
      <c r="M534" t="n">
        <v>0</v>
      </c>
      <c r="N534" t="n">
        <v>0</v>
      </c>
      <c r="O534" t="n">
        <v>0</v>
      </c>
      <c r="P534" t="n">
        <v>0</v>
      </c>
      <c r="Q534" t="n">
        <v>0</v>
      </c>
      <c r="R534" s="2" t="inlineStr"/>
    </row>
    <row r="535" ht="15" customHeight="1">
      <c r="A535" t="inlineStr">
        <is>
          <t>A 12135-2026</t>
        </is>
      </c>
      <c r="B535" s="1" t="n">
        <v>46086</v>
      </c>
      <c r="C535" s="1" t="n">
        <v>46144</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4421-2024</t>
        </is>
      </c>
      <c r="B536" s="1" t="n">
        <v>45327.45173611111</v>
      </c>
      <c r="C536" s="1" t="n">
        <v>46144</v>
      </c>
      <c r="D536" t="inlineStr">
        <is>
          <t>GOTLANDS LÄN</t>
        </is>
      </c>
      <c r="E536" t="inlineStr">
        <is>
          <t>GOTLAND</t>
        </is>
      </c>
      <c r="G536" t="n">
        <v>5.1</v>
      </c>
      <c r="H536" t="n">
        <v>0</v>
      </c>
      <c r="I536" t="n">
        <v>0</v>
      </c>
      <c r="J536" t="n">
        <v>0</v>
      </c>
      <c r="K536" t="n">
        <v>0</v>
      </c>
      <c r="L536" t="n">
        <v>0</v>
      </c>
      <c r="M536" t="n">
        <v>0</v>
      </c>
      <c r="N536" t="n">
        <v>0</v>
      </c>
      <c r="O536" t="n">
        <v>0</v>
      </c>
      <c r="P536" t="n">
        <v>0</v>
      </c>
      <c r="Q536" t="n">
        <v>0</v>
      </c>
      <c r="R536" s="2" t="inlineStr"/>
    </row>
    <row r="537" ht="15" customHeight="1">
      <c r="A537" t="inlineStr">
        <is>
          <t>A 51782-2023</t>
        </is>
      </c>
      <c r="B537" s="1" t="n">
        <v>45222.80952546297</v>
      </c>
      <c r="C537" s="1" t="n">
        <v>46144</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54268-2022</t>
        </is>
      </c>
      <c r="B538" s="1" t="n">
        <v>44882</v>
      </c>
      <c r="C538" s="1" t="n">
        <v>46144</v>
      </c>
      <c r="D538" t="inlineStr">
        <is>
          <t>GOTLANDS LÄN</t>
        </is>
      </c>
      <c r="E538" t="inlineStr">
        <is>
          <t>GOTLAND</t>
        </is>
      </c>
      <c r="G538" t="n">
        <v>2.7</v>
      </c>
      <c r="H538" t="n">
        <v>0</v>
      </c>
      <c r="I538" t="n">
        <v>0</v>
      </c>
      <c r="J538" t="n">
        <v>0</v>
      </c>
      <c r="K538" t="n">
        <v>0</v>
      </c>
      <c r="L538" t="n">
        <v>0</v>
      </c>
      <c r="M538" t="n">
        <v>0</v>
      </c>
      <c r="N538" t="n">
        <v>0</v>
      </c>
      <c r="O538" t="n">
        <v>0</v>
      </c>
      <c r="P538" t="n">
        <v>0</v>
      </c>
      <c r="Q538" t="n">
        <v>0</v>
      </c>
      <c r="R538" s="2" t="inlineStr"/>
    </row>
    <row r="539" ht="15" customHeight="1">
      <c r="A539" t="inlineStr">
        <is>
          <t>A 42201-2023</t>
        </is>
      </c>
      <c r="B539" s="1" t="n">
        <v>45179</v>
      </c>
      <c r="C539" s="1" t="n">
        <v>46144</v>
      </c>
      <c r="D539" t="inlineStr">
        <is>
          <t>GOTLANDS LÄN</t>
        </is>
      </c>
      <c r="E539" t="inlineStr">
        <is>
          <t>GOTLAND</t>
        </is>
      </c>
      <c r="G539" t="n">
        <v>11.9</v>
      </c>
      <c r="H539" t="n">
        <v>0</v>
      </c>
      <c r="I539" t="n">
        <v>0</v>
      </c>
      <c r="J539" t="n">
        <v>0</v>
      </c>
      <c r="K539" t="n">
        <v>0</v>
      </c>
      <c r="L539" t="n">
        <v>0</v>
      </c>
      <c r="M539" t="n">
        <v>0</v>
      </c>
      <c r="N539" t="n">
        <v>0</v>
      </c>
      <c r="O539" t="n">
        <v>0</v>
      </c>
      <c r="P539" t="n">
        <v>0</v>
      </c>
      <c r="Q539" t="n">
        <v>0</v>
      </c>
      <c r="R539" s="2" t="inlineStr"/>
    </row>
    <row r="540" ht="15" customHeight="1">
      <c r="A540" t="inlineStr">
        <is>
          <t>A 57534-2022</t>
        </is>
      </c>
      <c r="B540" s="1" t="n">
        <v>44896</v>
      </c>
      <c r="C540" s="1" t="n">
        <v>46144</v>
      </c>
      <c r="D540" t="inlineStr">
        <is>
          <t>GOTLANDS LÄN</t>
        </is>
      </c>
      <c r="E540" t="inlineStr">
        <is>
          <t>GOTLAND</t>
        </is>
      </c>
      <c r="G540" t="n">
        <v>0.6</v>
      </c>
      <c r="H540" t="n">
        <v>0</v>
      </c>
      <c r="I540" t="n">
        <v>0</v>
      </c>
      <c r="J540" t="n">
        <v>0</v>
      </c>
      <c r="K540" t="n">
        <v>0</v>
      </c>
      <c r="L540" t="n">
        <v>0</v>
      </c>
      <c r="M540" t="n">
        <v>0</v>
      </c>
      <c r="N540" t="n">
        <v>0</v>
      </c>
      <c r="O540" t="n">
        <v>0</v>
      </c>
      <c r="P540" t="n">
        <v>0</v>
      </c>
      <c r="Q540" t="n">
        <v>0</v>
      </c>
      <c r="R540" s="2" t="inlineStr"/>
    </row>
    <row r="541" ht="15" customHeight="1">
      <c r="A541" t="inlineStr">
        <is>
          <t>A 19322-2026</t>
        </is>
      </c>
      <c r="B541" s="1" t="n">
        <v>46129</v>
      </c>
      <c r="C541" s="1" t="n">
        <v>46144</v>
      </c>
      <c r="D541" t="inlineStr">
        <is>
          <t>GOTLANDS LÄN</t>
        </is>
      </c>
      <c r="E541" t="inlineStr">
        <is>
          <t>GOTLAND</t>
        </is>
      </c>
      <c r="G541" t="n">
        <v>1</v>
      </c>
      <c r="H541" t="n">
        <v>0</v>
      </c>
      <c r="I541" t="n">
        <v>0</v>
      </c>
      <c r="J541" t="n">
        <v>0</v>
      </c>
      <c r="K541" t="n">
        <v>0</v>
      </c>
      <c r="L541" t="n">
        <v>0</v>
      </c>
      <c r="M541" t="n">
        <v>0</v>
      </c>
      <c r="N541" t="n">
        <v>0</v>
      </c>
      <c r="O541" t="n">
        <v>0</v>
      </c>
      <c r="P541" t="n">
        <v>0</v>
      </c>
      <c r="Q541" t="n">
        <v>0</v>
      </c>
      <c r="R541" s="2" t="inlineStr"/>
    </row>
    <row r="542" ht="15" customHeight="1">
      <c r="A542" t="inlineStr">
        <is>
          <t>A 25866-2022</t>
        </is>
      </c>
      <c r="B542" s="1" t="n">
        <v>44733</v>
      </c>
      <c r="C542" s="1" t="n">
        <v>46144</v>
      </c>
      <c r="D542" t="inlineStr">
        <is>
          <t>GOTLANDS LÄN</t>
        </is>
      </c>
      <c r="E542" t="inlineStr">
        <is>
          <t>GOTLAND</t>
        </is>
      </c>
      <c r="G542" t="n">
        <v>2.9</v>
      </c>
      <c r="H542" t="n">
        <v>0</v>
      </c>
      <c r="I542" t="n">
        <v>0</v>
      </c>
      <c r="J542" t="n">
        <v>0</v>
      </c>
      <c r="K542" t="n">
        <v>0</v>
      </c>
      <c r="L542" t="n">
        <v>0</v>
      </c>
      <c r="M542" t="n">
        <v>0</v>
      </c>
      <c r="N542" t="n">
        <v>0</v>
      </c>
      <c r="O542" t="n">
        <v>0</v>
      </c>
      <c r="P542" t="n">
        <v>0</v>
      </c>
      <c r="Q542" t="n">
        <v>0</v>
      </c>
      <c r="R542" s="2" t="inlineStr"/>
    </row>
    <row r="543" ht="15" customHeight="1">
      <c r="A543" t="inlineStr">
        <is>
          <t>A 43229-2023</t>
        </is>
      </c>
      <c r="B543" s="1" t="n">
        <v>45183.46704861111</v>
      </c>
      <c r="C543" s="1" t="n">
        <v>46144</v>
      </c>
      <c r="D543" t="inlineStr">
        <is>
          <t>GOTLANDS LÄN</t>
        </is>
      </c>
      <c r="E543" t="inlineStr">
        <is>
          <t>GOTLAND</t>
        </is>
      </c>
      <c r="G543" t="n">
        <v>7.1</v>
      </c>
      <c r="H543" t="n">
        <v>0</v>
      </c>
      <c r="I543" t="n">
        <v>0</v>
      </c>
      <c r="J543" t="n">
        <v>0</v>
      </c>
      <c r="K543" t="n">
        <v>0</v>
      </c>
      <c r="L543" t="n">
        <v>0</v>
      </c>
      <c r="M543" t="n">
        <v>0</v>
      </c>
      <c r="N543" t="n">
        <v>0</v>
      </c>
      <c r="O543" t="n">
        <v>0</v>
      </c>
      <c r="P543" t="n">
        <v>0</v>
      </c>
      <c r="Q543" t="n">
        <v>0</v>
      </c>
      <c r="R543" s="2" t="inlineStr"/>
    </row>
    <row r="544" ht="15" customHeight="1">
      <c r="A544" t="inlineStr">
        <is>
          <t>A 1175-2025</t>
        </is>
      </c>
      <c r="B544" s="1" t="n">
        <v>45667.34449074074</v>
      </c>
      <c r="C544" s="1" t="n">
        <v>46144</v>
      </c>
      <c r="D544" t="inlineStr">
        <is>
          <t>GOTLANDS LÄN</t>
        </is>
      </c>
      <c r="E544" t="inlineStr">
        <is>
          <t>GOTLAND</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27095-2022</t>
        </is>
      </c>
      <c r="B545" s="1" t="n">
        <v>44741</v>
      </c>
      <c r="C545" s="1" t="n">
        <v>46144</v>
      </c>
      <c r="D545" t="inlineStr">
        <is>
          <t>GOTLANDS LÄN</t>
        </is>
      </c>
      <c r="E545" t="inlineStr">
        <is>
          <t>GOTLAND</t>
        </is>
      </c>
      <c r="F545" t="inlineStr">
        <is>
          <t>Övriga Aktiebolag</t>
        </is>
      </c>
      <c r="G545" t="n">
        <v>2.9</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46144</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23978-2023</t>
        </is>
      </c>
      <c r="B547" s="1" t="n">
        <v>45078</v>
      </c>
      <c r="C547" s="1" t="n">
        <v>46144</v>
      </c>
      <c r="D547" t="inlineStr">
        <is>
          <t>GOTLANDS LÄN</t>
        </is>
      </c>
      <c r="E547" t="inlineStr">
        <is>
          <t>GOTLAND</t>
        </is>
      </c>
      <c r="F547" t="inlineStr">
        <is>
          <t>Naturvårdsverket</t>
        </is>
      </c>
      <c r="G547" t="n">
        <v>1.7</v>
      </c>
      <c r="H547" t="n">
        <v>0</v>
      </c>
      <c r="I547" t="n">
        <v>0</v>
      </c>
      <c r="J547" t="n">
        <v>0</v>
      </c>
      <c r="K547" t="n">
        <v>0</v>
      </c>
      <c r="L547" t="n">
        <v>0</v>
      </c>
      <c r="M547" t="n">
        <v>0</v>
      </c>
      <c r="N547" t="n">
        <v>0</v>
      </c>
      <c r="O547" t="n">
        <v>0</v>
      </c>
      <c r="P547" t="n">
        <v>0</v>
      </c>
      <c r="Q547" t="n">
        <v>0</v>
      </c>
      <c r="R547" s="2" t="inlineStr"/>
    </row>
    <row r="548" ht="15" customHeight="1">
      <c r="A548" t="inlineStr">
        <is>
          <t>A 34407-2023</t>
        </is>
      </c>
      <c r="B548" s="1" t="n">
        <v>45132</v>
      </c>
      <c r="C548" s="1" t="n">
        <v>46144</v>
      </c>
      <c r="D548" t="inlineStr">
        <is>
          <t>GOTLANDS LÄN</t>
        </is>
      </c>
      <c r="E548" t="inlineStr">
        <is>
          <t>GOTLAND</t>
        </is>
      </c>
      <c r="G548" t="n">
        <v>4.4</v>
      </c>
      <c r="H548" t="n">
        <v>0</v>
      </c>
      <c r="I548" t="n">
        <v>0</v>
      </c>
      <c r="J548" t="n">
        <v>0</v>
      </c>
      <c r="K548" t="n">
        <v>0</v>
      </c>
      <c r="L548" t="n">
        <v>0</v>
      </c>
      <c r="M548" t="n">
        <v>0</v>
      </c>
      <c r="N548" t="n">
        <v>0</v>
      </c>
      <c r="O548" t="n">
        <v>0</v>
      </c>
      <c r="P548" t="n">
        <v>0</v>
      </c>
      <c r="Q548" t="n">
        <v>0</v>
      </c>
      <c r="R548" s="2" t="inlineStr"/>
    </row>
    <row r="549" ht="15" customHeight="1">
      <c r="A549" t="inlineStr">
        <is>
          <t>A 11013-2024</t>
        </is>
      </c>
      <c r="B549" s="1" t="n">
        <v>45370</v>
      </c>
      <c r="C549" s="1" t="n">
        <v>46144</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27694-2024</t>
        </is>
      </c>
      <c r="B550" s="1" t="n">
        <v>45475</v>
      </c>
      <c r="C550" s="1" t="n">
        <v>46144</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15083-2025</t>
        </is>
      </c>
      <c r="B551" s="1" t="n">
        <v>45743</v>
      </c>
      <c r="C551" s="1" t="n">
        <v>46144</v>
      </c>
      <c r="D551" t="inlineStr">
        <is>
          <t>GOTLANDS LÄN</t>
        </is>
      </c>
      <c r="E551" t="inlineStr">
        <is>
          <t>GOTLAND</t>
        </is>
      </c>
      <c r="G551" t="n">
        <v>2.3</v>
      </c>
      <c r="H551" t="n">
        <v>0</v>
      </c>
      <c r="I551" t="n">
        <v>0</v>
      </c>
      <c r="J551" t="n">
        <v>0</v>
      </c>
      <c r="K551" t="n">
        <v>0</v>
      </c>
      <c r="L551" t="n">
        <v>0</v>
      </c>
      <c r="M551" t="n">
        <v>0</v>
      </c>
      <c r="N551" t="n">
        <v>0</v>
      </c>
      <c r="O551" t="n">
        <v>0</v>
      </c>
      <c r="P551" t="n">
        <v>0</v>
      </c>
      <c r="Q551" t="n">
        <v>0</v>
      </c>
      <c r="R551" s="2" t="inlineStr"/>
    </row>
    <row r="552" ht="15" customHeight="1">
      <c r="A552" t="inlineStr">
        <is>
          <t>A 13037-2025</t>
        </is>
      </c>
      <c r="B552" s="1" t="n">
        <v>45734</v>
      </c>
      <c r="C552" s="1" t="n">
        <v>46144</v>
      </c>
      <c r="D552" t="inlineStr">
        <is>
          <t>GOTLANDS LÄN</t>
        </is>
      </c>
      <c r="E552" t="inlineStr">
        <is>
          <t>GOTLAND</t>
        </is>
      </c>
      <c r="G552" t="n">
        <v>9.5</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v>
      </c>
      <c r="C553" s="1" t="n">
        <v>46144</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46144</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62754-2025</t>
        </is>
      </c>
      <c r="B555" s="1" t="n">
        <v>46008</v>
      </c>
      <c r="C555" s="1" t="n">
        <v>46144</v>
      </c>
      <c r="D555" t="inlineStr">
        <is>
          <t>GOTLANDS LÄN</t>
        </is>
      </c>
      <c r="E555" t="inlineStr">
        <is>
          <t>GOTLAND</t>
        </is>
      </c>
      <c r="F555" t="inlineStr">
        <is>
          <t>Övriga Aktiebolag</t>
        </is>
      </c>
      <c r="G555" t="n">
        <v>2.9</v>
      </c>
      <c r="H555" t="n">
        <v>0</v>
      </c>
      <c r="I555" t="n">
        <v>0</v>
      </c>
      <c r="J555" t="n">
        <v>0</v>
      </c>
      <c r="K555" t="n">
        <v>0</v>
      </c>
      <c r="L555" t="n">
        <v>0</v>
      </c>
      <c r="M555" t="n">
        <v>0</v>
      </c>
      <c r="N555" t="n">
        <v>0</v>
      </c>
      <c r="O555" t="n">
        <v>0</v>
      </c>
      <c r="P555" t="n">
        <v>0</v>
      </c>
      <c r="Q555" t="n">
        <v>0</v>
      </c>
      <c r="R555" s="2" t="inlineStr"/>
    </row>
    <row r="556" ht="15" customHeight="1">
      <c r="A556" t="inlineStr">
        <is>
          <t>A 44228-2022</t>
        </is>
      </c>
      <c r="B556" s="1" t="n">
        <v>44839.51599537037</v>
      </c>
      <c r="C556" s="1" t="n">
        <v>46144</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58132-2023</t>
        </is>
      </c>
      <c r="B557" s="1" t="n">
        <v>45250</v>
      </c>
      <c r="C557" s="1" t="n">
        <v>46144</v>
      </c>
      <c r="D557" t="inlineStr">
        <is>
          <t>GOTLANDS LÄN</t>
        </is>
      </c>
      <c r="E557" t="inlineStr">
        <is>
          <t>GOTLAND</t>
        </is>
      </c>
      <c r="G557" t="n">
        <v>3.1</v>
      </c>
      <c r="H557" t="n">
        <v>0</v>
      </c>
      <c r="I557" t="n">
        <v>0</v>
      </c>
      <c r="J557" t="n">
        <v>0</v>
      </c>
      <c r="K557" t="n">
        <v>0</v>
      </c>
      <c r="L557" t="n">
        <v>0</v>
      </c>
      <c r="M557" t="n">
        <v>0</v>
      </c>
      <c r="N557" t="n">
        <v>0</v>
      </c>
      <c r="O557" t="n">
        <v>0</v>
      </c>
      <c r="P557" t="n">
        <v>0</v>
      </c>
      <c r="Q557" t="n">
        <v>0</v>
      </c>
      <c r="R557" s="2" t="inlineStr"/>
    </row>
    <row r="558" ht="15" customHeight="1">
      <c r="A558" t="inlineStr">
        <is>
          <t>A 62836-2025</t>
        </is>
      </c>
      <c r="B558" s="1" t="n">
        <v>46008</v>
      </c>
      <c r="C558" s="1" t="n">
        <v>46144</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49884-2023</t>
        </is>
      </c>
      <c r="B559" s="1" t="n">
        <v>45213</v>
      </c>
      <c r="C559" s="1" t="n">
        <v>46144</v>
      </c>
      <c r="D559" t="inlineStr">
        <is>
          <t>GOTLANDS LÄN</t>
        </is>
      </c>
      <c r="E559" t="inlineStr">
        <is>
          <t>GOTLAND</t>
        </is>
      </c>
      <c r="G559" t="n">
        <v>8.9</v>
      </c>
      <c r="H559" t="n">
        <v>0</v>
      </c>
      <c r="I559" t="n">
        <v>0</v>
      </c>
      <c r="J559" t="n">
        <v>0</v>
      </c>
      <c r="K559" t="n">
        <v>0</v>
      </c>
      <c r="L559" t="n">
        <v>0</v>
      </c>
      <c r="M559" t="n">
        <v>0</v>
      </c>
      <c r="N559" t="n">
        <v>0</v>
      </c>
      <c r="O559" t="n">
        <v>0</v>
      </c>
      <c r="P559" t="n">
        <v>0</v>
      </c>
      <c r="Q559" t="n">
        <v>0</v>
      </c>
      <c r="R559" s="2" t="inlineStr"/>
    </row>
    <row r="560" ht="15" customHeight="1">
      <c r="A560" t="inlineStr">
        <is>
          <t>A 63000-2025</t>
        </is>
      </c>
      <c r="B560" s="1" t="n">
        <v>46009</v>
      </c>
      <c r="C560" s="1" t="n">
        <v>46144</v>
      </c>
      <c r="D560" t="inlineStr">
        <is>
          <t>GOTLANDS LÄN</t>
        </is>
      </c>
      <c r="E560" t="inlineStr">
        <is>
          <t>GOTLAND</t>
        </is>
      </c>
      <c r="F560" t="inlineStr">
        <is>
          <t>Övriga Aktiebolag</t>
        </is>
      </c>
      <c r="G560" t="n">
        <v>1.7</v>
      </c>
      <c r="H560" t="n">
        <v>0</v>
      </c>
      <c r="I560" t="n">
        <v>0</v>
      </c>
      <c r="J560" t="n">
        <v>0</v>
      </c>
      <c r="K560" t="n">
        <v>0</v>
      </c>
      <c r="L560" t="n">
        <v>0</v>
      </c>
      <c r="M560" t="n">
        <v>0</v>
      </c>
      <c r="N560" t="n">
        <v>0</v>
      </c>
      <c r="O560" t="n">
        <v>0</v>
      </c>
      <c r="P560" t="n">
        <v>0</v>
      </c>
      <c r="Q560" t="n">
        <v>0</v>
      </c>
      <c r="R560" s="2" t="inlineStr"/>
    </row>
    <row r="561" ht="15" customHeight="1">
      <c r="A561" t="inlineStr">
        <is>
          <t>A 876-2024</t>
        </is>
      </c>
      <c r="B561" s="1" t="n">
        <v>45301</v>
      </c>
      <c r="C561" s="1" t="n">
        <v>46144</v>
      </c>
      <c r="D561" t="inlineStr">
        <is>
          <t>GOTLANDS LÄN</t>
        </is>
      </c>
      <c r="E561" t="inlineStr">
        <is>
          <t>GOTLAND</t>
        </is>
      </c>
      <c r="G561" t="n">
        <v>5.3</v>
      </c>
      <c r="H561" t="n">
        <v>0</v>
      </c>
      <c r="I561" t="n">
        <v>0</v>
      </c>
      <c r="J561" t="n">
        <v>0</v>
      </c>
      <c r="K561" t="n">
        <v>0</v>
      </c>
      <c r="L561" t="n">
        <v>0</v>
      </c>
      <c r="M561" t="n">
        <v>0</v>
      </c>
      <c r="N561" t="n">
        <v>0</v>
      </c>
      <c r="O561" t="n">
        <v>0</v>
      </c>
      <c r="P561" t="n">
        <v>0</v>
      </c>
      <c r="Q561" t="n">
        <v>0</v>
      </c>
      <c r="R561" s="2" t="inlineStr"/>
    </row>
    <row r="562" ht="15" customHeight="1">
      <c r="A562" t="inlineStr">
        <is>
          <t>A 13486-2026</t>
        </is>
      </c>
      <c r="B562" s="1" t="n">
        <v>46094</v>
      </c>
      <c r="C562" s="1" t="n">
        <v>46144</v>
      </c>
      <c r="D562" t="inlineStr">
        <is>
          <t>GOTLANDS LÄN</t>
        </is>
      </c>
      <c r="E562" t="inlineStr">
        <is>
          <t>GOTLAND</t>
        </is>
      </c>
      <c r="G562" t="n">
        <v>1.6</v>
      </c>
      <c r="H562" t="n">
        <v>0</v>
      </c>
      <c r="I562" t="n">
        <v>0</v>
      </c>
      <c r="J562" t="n">
        <v>0</v>
      </c>
      <c r="K562" t="n">
        <v>0</v>
      </c>
      <c r="L562" t="n">
        <v>0</v>
      </c>
      <c r="M562" t="n">
        <v>0</v>
      </c>
      <c r="N562" t="n">
        <v>0</v>
      </c>
      <c r="O562" t="n">
        <v>0</v>
      </c>
      <c r="P562" t="n">
        <v>0</v>
      </c>
      <c r="Q562" t="n">
        <v>0</v>
      </c>
      <c r="R562" s="2" t="inlineStr"/>
    </row>
    <row r="563" ht="15" customHeight="1">
      <c r="A563" t="inlineStr">
        <is>
          <t>A 62751-2025</t>
        </is>
      </c>
      <c r="B563" s="1" t="n">
        <v>46008</v>
      </c>
      <c r="C563" s="1" t="n">
        <v>46144</v>
      </c>
      <c r="D563" t="inlineStr">
        <is>
          <t>GOTLANDS LÄN</t>
        </is>
      </c>
      <c r="E563" t="inlineStr">
        <is>
          <t>GOTLAND</t>
        </is>
      </c>
      <c r="F563" t="inlineStr">
        <is>
          <t>Övriga Aktiebolag</t>
        </is>
      </c>
      <c r="G563" t="n">
        <v>7.8</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46144</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28425-2023</t>
        </is>
      </c>
      <c r="B565" s="1" t="n">
        <v>45102</v>
      </c>
      <c r="C565" s="1" t="n">
        <v>46144</v>
      </c>
      <c r="D565" t="inlineStr">
        <is>
          <t>GOTLANDS LÄN</t>
        </is>
      </c>
      <c r="E565" t="inlineStr">
        <is>
          <t>GOTLAND</t>
        </is>
      </c>
      <c r="G565" t="n">
        <v>0.5</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46144</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43200-2023</t>
        </is>
      </c>
      <c r="B567" s="1" t="n">
        <v>45183</v>
      </c>
      <c r="C567" s="1" t="n">
        <v>46144</v>
      </c>
      <c r="D567" t="inlineStr">
        <is>
          <t>GOTLANDS LÄN</t>
        </is>
      </c>
      <c r="E567" t="inlineStr">
        <is>
          <t>GOTLAND</t>
        </is>
      </c>
      <c r="G567" t="n">
        <v>0.5</v>
      </c>
      <c r="H567" t="n">
        <v>0</v>
      </c>
      <c r="I567" t="n">
        <v>0</v>
      </c>
      <c r="J567" t="n">
        <v>0</v>
      </c>
      <c r="K567" t="n">
        <v>0</v>
      </c>
      <c r="L567" t="n">
        <v>0</v>
      </c>
      <c r="M567" t="n">
        <v>0</v>
      </c>
      <c r="N567" t="n">
        <v>0</v>
      </c>
      <c r="O567" t="n">
        <v>0</v>
      </c>
      <c r="P567" t="n">
        <v>0</v>
      </c>
      <c r="Q567" t="n">
        <v>0</v>
      </c>
      <c r="R567" s="2" t="inlineStr"/>
    </row>
    <row r="568" ht="15" customHeight="1">
      <c r="A568" t="inlineStr">
        <is>
          <t>A 43223-2023</t>
        </is>
      </c>
      <c r="B568" s="1" t="n">
        <v>45183.45642361111</v>
      </c>
      <c r="C568" s="1" t="n">
        <v>46144</v>
      </c>
      <c r="D568" t="inlineStr">
        <is>
          <t>GOTLANDS LÄN</t>
        </is>
      </c>
      <c r="E568" t="inlineStr">
        <is>
          <t>GOTLAND</t>
        </is>
      </c>
      <c r="G568" t="n">
        <v>1.8</v>
      </c>
      <c r="H568" t="n">
        <v>0</v>
      </c>
      <c r="I568" t="n">
        <v>0</v>
      </c>
      <c r="J568" t="n">
        <v>0</v>
      </c>
      <c r="K568" t="n">
        <v>0</v>
      </c>
      <c r="L568" t="n">
        <v>0</v>
      </c>
      <c r="M568" t="n">
        <v>0</v>
      </c>
      <c r="N568" t="n">
        <v>0</v>
      </c>
      <c r="O568" t="n">
        <v>0</v>
      </c>
      <c r="P568" t="n">
        <v>0</v>
      </c>
      <c r="Q568" t="n">
        <v>0</v>
      </c>
      <c r="R568" s="2" t="inlineStr"/>
    </row>
    <row r="569" ht="15" customHeight="1">
      <c r="A569" t="inlineStr">
        <is>
          <t>A 12327-2025</t>
        </is>
      </c>
      <c r="B569" s="1" t="n">
        <v>45730</v>
      </c>
      <c r="C569" s="1" t="n">
        <v>46144</v>
      </c>
      <c r="D569" t="inlineStr">
        <is>
          <t>GOTLANDS LÄN</t>
        </is>
      </c>
      <c r="E569" t="inlineStr">
        <is>
          <t>GOTLAND</t>
        </is>
      </c>
      <c r="G569" t="n">
        <v>1.8</v>
      </c>
      <c r="H569" t="n">
        <v>0</v>
      </c>
      <c r="I569" t="n">
        <v>0</v>
      </c>
      <c r="J569" t="n">
        <v>0</v>
      </c>
      <c r="K569" t="n">
        <v>0</v>
      </c>
      <c r="L569" t="n">
        <v>0</v>
      </c>
      <c r="M569" t="n">
        <v>0</v>
      </c>
      <c r="N569" t="n">
        <v>0</v>
      </c>
      <c r="O569" t="n">
        <v>0</v>
      </c>
      <c r="P569" t="n">
        <v>0</v>
      </c>
      <c r="Q569" t="n">
        <v>0</v>
      </c>
      <c r="R569" s="2" t="inlineStr"/>
    </row>
    <row r="570" ht="15" customHeight="1">
      <c r="A570" t="inlineStr">
        <is>
          <t>A 3431-2025</t>
        </is>
      </c>
      <c r="B570" s="1" t="n">
        <v>45680.42935185185</v>
      </c>
      <c r="C570" s="1" t="n">
        <v>46144</v>
      </c>
      <c r="D570" t="inlineStr">
        <is>
          <t>GOTLANDS LÄN</t>
        </is>
      </c>
      <c r="E570" t="inlineStr">
        <is>
          <t>GOTLAND</t>
        </is>
      </c>
      <c r="G570" t="n">
        <v>4.8</v>
      </c>
      <c r="H570" t="n">
        <v>0</v>
      </c>
      <c r="I570" t="n">
        <v>0</v>
      </c>
      <c r="J570" t="n">
        <v>0</v>
      </c>
      <c r="K570" t="n">
        <v>0</v>
      </c>
      <c r="L570" t="n">
        <v>0</v>
      </c>
      <c r="M570" t="n">
        <v>0</v>
      </c>
      <c r="N570" t="n">
        <v>0</v>
      </c>
      <c r="O570" t="n">
        <v>0</v>
      </c>
      <c r="P570" t="n">
        <v>0</v>
      </c>
      <c r="Q570" t="n">
        <v>0</v>
      </c>
      <c r="R570" s="2" t="inlineStr"/>
    </row>
    <row r="571" ht="15" customHeight="1">
      <c r="A571" t="inlineStr">
        <is>
          <t>A 12209-2024</t>
        </is>
      </c>
      <c r="B571" s="1" t="n">
        <v>45378</v>
      </c>
      <c r="C571" s="1" t="n">
        <v>46144</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12210-2024</t>
        </is>
      </c>
      <c r="B572" s="1" t="n">
        <v>45378</v>
      </c>
      <c r="C572" s="1" t="n">
        <v>46144</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1364-2025</t>
        </is>
      </c>
      <c r="B573" s="1" t="n">
        <v>45667.63929398148</v>
      </c>
      <c r="C573" s="1" t="n">
        <v>46144</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15042-2025</t>
        </is>
      </c>
      <c r="B574" s="1" t="n">
        <v>45743</v>
      </c>
      <c r="C574" s="1" t="n">
        <v>46144</v>
      </c>
      <c r="D574" t="inlineStr">
        <is>
          <t>GOTLANDS LÄN</t>
        </is>
      </c>
      <c r="E574" t="inlineStr">
        <is>
          <t>GOTLAND</t>
        </is>
      </c>
      <c r="G574" t="n">
        <v>8.5</v>
      </c>
      <c r="H574" t="n">
        <v>0</v>
      </c>
      <c r="I574" t="n">
        <v>0</v>
      </c>
      <c r="J574" t="n">
        <v>0</v>
      </c>
      <c r="K574" t="n">
        <v>0</v>
      </c>
      <c r="L574" t="n">
        <v>0</v>
      </c>
      <c r="M574" t="n">
        <v>0</v>
      </c>
      <c r="N574" t="n">
        <v>0</v>
      </c>
      <c r="O574" t="n">
        <v>0</v>
      </c>
      <c r="P574" t="n">
        <v>0</v>
      </c>
      <c r="Q574" t="n">
        <v>0</v>
      </c>
      <c r="R574" s="2" t="inlineStr"/>
    </row>
    <row r="575" ht="15" customHeight="1">
      <c r="A575" t="inlineStr">
        <is>
          <t>A 2180-2025</t>
        </is>
      </c>
      <c r="B575" s="1" t="n">
        <v>45673</v>
      </c>
      <c r="C575" s="1" t="n">
        <v>46144</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15436-2025</t>
        </is>
      </c>
      <c r="B576" s="1" t="n">
        <v>45747.47462962963</v>
      </c>
      <c r="C576" s="1" t="n">
        <v>46144</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49257-2024</t>
        </is>
      </c>
      <c r="B577" s="1" t="n">
        <v>45595.47627314815</v>
      </c>
      <c r="C577" s="1" t="n">
        <v>46144</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37202-2024</t>
        </is>
      </c>
      <c r="B578" s="1" t="n">
        <v>45539.67310185185</v>
      </c>
      <c r="C578" s="1" t="n">
        <v>46144</v>
      </c>
      <c r="D578" t="inlineStr">
        <is>
          <t>GOTLANDS LÄN</t>
        </is>
      </c>
      <c r="E578" t="inlineStr">
        <is>
          <t>GOTLAND</t>
        </is>
      </c>
      <c r="G578" t="n">
        <v>0.3</v>
      </c>
      <c r="H578" t="n">
        <v>0</v>
      </c>
      <c r="I578" t="n">
        <v>0</v>
      </c>
      <c r="J578" t="n">
        <v>0</v>
      </c>
      <c r="K578" t="n">
        <v>0</v>
      </c>
      <c r="L578" t="n">
        <v>0</v>
      </c>
      <c r="M578" t="n">
        <v>0</v>
      </c>
      <c r="N578" t="n">
        <v>0</v>
      </c>
      <c r="O578" t="n">
        <v>0</v>
      </c>
      <c r="P578" t="n">
        <v>0</v>
      </c>
      <c r="Q578" t="n">
        <v>0</v>
      </c>
      <c r="R578" s="2" t="inlineStr"/>
    </row>
    <row r="579" ht="15" customHeight="1">
      <c r="A579" t="inlineStr">
        <is>
          <t>A 56115-2023</t>
        </is>
      </c>
      <c r="B579" s="1" t="n">
        <v>45236</v>
      </c>
      <c r="C579" s="1" t="n">
        <v>46144</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2774-2024</t>
        </is>
      </c>
      <c r="B580" s="1" t="n">
        <v>45314.62375</v>
      </c>
      <c r="C580" s="1" t="n">
        <v>46144</v>
      </c>
      <c r="D580" t="inlineStr">
        <is>
          <t>GOTLANDS LÄN</t>
        </is>
      </c>
      <c r="E580" t="inlineStr">
        <is>
          <t>GOTLAND</t>
        </is>
      </c>
      <c r="G580" t="n">
        <v>1</v>
      </c>
      <c r="H580" t="n">
        <v>0</v>
      </c>
      <c r="I580" t="n">
        <v>0</v>
      </c>
      <c r="J580" t="n">
        <v>0</v>
      </c>
      <c r="K580" t="n">
        <v>0</v>
      </c>
      <c r="L580" t="n">
        <v>0</v>
      </c>
      <c r="M580" t="n">
        <v>0</v>
      </c>
      <c r="N580" t="n">
        <v>0</v>
      </c>
      <c r="O580" t="n">
        <v>0</v>
      </c>
      <c r="P580" t="n">
        <v>0</v>
      </c>
      <c r="Q580" t="n">
        <v>0</v>
      </c>
      <c r="R580" s="2" t="inlineStr"/>
    </row>
    <row r="581" ht="15" customHeight="1">
      <c r="A581" t="inlineStr">
        <is>
          <t>A 60709-2023</t>
        </is>
      </c>
      <c r="B581" s="1" t="n">
        <v>45260</v>
      </c>
      <c r="C581" s="1" t="n">
        <v>46144</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64208-2021</t>
        </is>
      </c>
      <c r="B582" s="1" t="n">
        <v>44510</v>
      </c>
      <c r="C582" s="1" t="n">
        <v>46144</v>
      </c>
      <c r="D582" t="inlineStr">
        <is>
          <t>GOTLANDS LÄN</t>
        </is>
      </c>
      <c r="E582" t="inlineStr">
        <is>
          <t>GOTLAND</t>
        </is>
      </c>
      <c r="G582" t="n">
        <v>4.7</v>
      </c>
      <c r="H582" t="n">
        <v>0</v>
      </c>
      <c r="I582" t="n">
        <v>0</v>
      </c>
      <c r="J582" t="n">
        <v>0</v>
      </c>
      <c r="K582" t="n">
        <v>0</v>
      </c>
      <c r="L582" t="n">
        <v>0</v>
      </c>
      <c r="M582" t="n">
        <v>0</v>
      </c>
      <c r="N582" t="n">
        <v>0</v>
      </c>
      <c r="O582" t="n">
        <v>0</v>
      </c>
      <c r="P582" t="n">
        <v>0</v>
      </c>
      <c r="Q582" t="n">
        <v>0</v>
      </c>
      <c r="R582" s="2" t="inlineStr"/>
    </row>
    <row r="583" ht="15" customHeight="1">
      <c r="A583" t="inlineStr">
        <is>
          <t>A 39764-2022</t>
        </is>
      </c>
      <c r="B583" s="1" t="n">
        <v>44819</v>
      </c>
      <c r="C583" s="1" t="n">
        <v>46144</v>
      </c>
      <c r="D583" t="inlineStr">
        <is>
          <t>GOTLANDS LÄN</t>
        </is>
      </c>
      <c r="E583" t="inlineStr">
        <is>
          <t>GOTLAND</t>
        </is>
      </c>
      <c r="F583" t="inlineStr">
        <is>
          <t>Kyrkan</t>
        </is>
      </c>
      <c r="G583" t="n">
        <v>3.7</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46144</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30956-2024</t>
        </is>
      </c>
      <c r="B585" s="1" t="n">
        <v>45499.42527777778</v>
      </c>
      <c r="C585" s="1" t="n">
        <v>46144</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30892-2024</t>
        </is>
      </c>
      <c r="B586" s="1" t="n">
        <v>45491</v>
      </c>
      <c r="C586" s="1" t="n">
        <v>46144</v>
      </c>
      <c r="D586" t="inlineStr">
        <is>
          <t>GOTLANDS LÄN</t>
        </is>
      </c>
      <c r="E586" t="inlineStr">
        <is>
          <t>GOTLAND</t>
        </is>
      </c>
      <c r="G586" t="n">
        <v>6.1</v>
      </c>
      <c r="H586" t="n">
        <v>0</v>
      </c>
      <c r="I586" t="n">
        <v>0</v>
      </c>
      <c r="J586" t="n">
        <v>0</v>
      </c>
      <c r="K586" t="n">
        <v>0</v>
      </c>
      <c r="L586" t="n">
        <v>0</v>
      </c>
      <c r="M586" t="n">
        <v>0</v>
      </c>
      <c r="N586" t="n">
        <v>0</v>
      </c>
      <c r="O586" t="n">
        <v>0</v>
      </c>
      <c r="P586" t="n">
        <v>0</v>
      </c>
      <c r="Q586" t="n">
        <v>0</v>
      </c>
      <c r="R586" s="2" t="inlineStr"/>
    </row>
    <row r="587" ht="15" customHeight="1">
      <c r="A587" t="inlineStr">
        <is>
          <t>A 14635-2023</t>
        </is>
      </c>
      <c r="B587" s="1" t="n">
        <v>45013.69365740741</v>
      </c>
      <c r="C587" s="1" t="n">
        <v>46144</v>
      </c>
      <c r="D587" t="inlineStr">
        <is>
          <t>GOTLANDS LÄN</t>
        </is>
      </c>
      <c r="E587" t="inlineStr">
        <is>
          <t>GOTLAND</t>
        </is>
      </c>
      <c r="G587" t="n">
        <v>3.1</v>
      </c>
      <c r="H587" t="n">
        <v>0</v>
      </c>
      <c r="I587" t="n">
        <v>0</v>
      </c>
      <c r="J587" t="n">
        <v>0</v>
      </c>
      <c r="K587" t="n">
        <v>0</v>
      </c>
      <c r="L587" t="n">
        <v>0</v>
      </c>
      <c r="M587" t="n">
        <v>0</v>
      </c>
      <c r="N587" t="n">
        <v>0</v>
      </c>
      <c r="O587" t="n">
        <v>0</v>
      </c>
      <c r="P587" t="n">
        <v>0</v>
      </c>
      <c r="Q587" t="n">
        <v>0</v>
      </c>
      <c r="R587" s="2" t="inlineStr"/>
    </row>
    <row r="588" ht="15" customHeight="1">
      <c r="A588" t="inlineStr">
        <is>
          <t>A 59469-2024</t>
        </is>
      </c>
      <c r="B588" s="1" t="n">
        <v>45638</v>
      </c>
      <c r="C588" s="1" t="n">
        <v>46144</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7858-2025</t>
        </is>
      </c>
      <c r="B589" s="1" t="n">
        <v>45706.68633101852</v>
      </c>
      <c r="C589" s="1" t="n">
        <v>46144</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53935-2024</t>
        </is>
      </c>
      <c r="B590" s="1" t="n">
        <v>45615</v>
      </c>
      <c r="C590" s="1" t="n">
        <v>46144</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18223-2025</t>
        </is>
      </c>
      <c r="B591" s="1" t="n">
        <v>45761</v>
      </c>
      <c r="C591" s="1" t="n">
        <v>46144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46144</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5891-2025</t>
        </is>
      </c>
      <c r="B593" s="1" t="n">
        <v>45695.38327546296</v>
      </c>
      <c r="C593" s="1" t="n">
        <v>46144</v>
      </c>
      <c r="D593" t="inlineStr">
        <is>
          <t>GOTLANDS LÄN</t>
        </is>
      </c>
      <c r="E593" t="inlineStr">
        <is>
          <t>GOTLAND</t>
        </is>
      </c>
      <c r="G593" t="n">
        <v>0.8</v>
      </c>
      <c r="H593" t="n">
        <v>0</v>
      </c>
      <c r="I593" t="n">
        <v>0</v>
      </c>
      <c r="J593" t="n">
        <v>0</v>
      </c>
      <c r="K593" t="n">
        <v>0</v>
      </c>
      <c r="L593" t="n">
        <v>0</v>
      </c>
      <c r="M593" t="n">
        <v>0</v>
      </c>
      <c r="N593" t="n">
        <v>0</v>
      </c>
      <c r="O593" t="n">
        <v>0</v>
      </c>
      <c r="P593" t="n">
        <v>0</v>
      </c>
      <c r="Q593" t="n">
        <v>0</v>
      </c>
      <c r="R593" s="2" t="inlineStr"/>
    </row>
    <row r="594" ht="15" customHeight="1">
      <c r="A594" t="inlineStr">
        <is>
          <t>A 7835-2024</t>
        </is>
      </c>
      <c r="B594" s="1" t="n">
        <v>45349.83138888889</v>
      </c>
      <c r="C594" s="1" t="n">
        <v>46144</v>
      </c>
      <c r="D594" t="inlineStr">
        <is>
          <t>GOTLANDS LÄN</t>
        </is>
      </c>
      <c r="E594" t="inlineStr">
        <is>
          <t>GOTLAND</t>
        </is>
      </c>
      <c r="G594" t="n">
        <v>3.8</v>
      </c>
      <c r="H594" t="n">
        <v>0</v>
      </c>
      <c r="I594" t="n">
        <v>0</v>
      </c>
      <c r="J594" t="n">
        <v>0</v>
      </c>
      <c r="K594" t="n">
        <v>0</v>
      </c>
      <c r="L594" t="n">
        <v>0</v>
      </c>
      <c r="M594" t="n">
        <v>0</v>
      </c>
      <c r="N594" t="n">
        <v>0</v>
      </c>
      <c r="O594" t="n">
        <v>0</v>
      </c>
      <c r="P594" t="n">
        <v>0</v>
      </c>
      <c r="Q594" t="n">
        <v>0</v>
      </c>
      <c r="R594" s="2" t="inlineStr"/>
    </row>
    <row r="595" ht="15" customHeight="1">
      <c r="A595" t="inlineStr">
        <is>
          <t>A 20794-2025</t>
        </is>
      </c>
      <c r="B595" s="1" t="n">
        <v>45776</v>
      </c>
      <c r="C595" s="1" t="n">
        <v>46144</v>
      </c>
      <c r="D595" t="inlineStr">
        <is>
          <t>GOTLANDS LÄN</t>
        </is>
      </c>
      <c r="E595" t="inlineStr">
        <is>
          <t>GOTLAND</t>
        </is>
      </c>
      <c r="G595" t="n">
        <v>6</v>
      </c>
      <c r="H595" t="n">
        <v>0</v>
      </c>
      <c r="I595" t="n">
        <v>0</v>
      </c>
      <c r="J595" t="n">
        <v>0</v>
      </c>
      <c r="K595" t="n">
        <v>0</v>
      </c>
      <c r="L595" t="n">
        <v>0</v>
      </c>
      <c r="M595" t="n">
        <v>0</v>
      </c>
      <c r="N595" t="n">
        <v>0</v>
      </c>
      <c r="O595" t="n">
        <v>0</v>
      </c>
      <c r="P595" t="n">
        <v>0</v>
      </c>
      <c r="Q595" t="n">
        <v>0</v>
      </c>
      <c r="R595" s="2" t="inlineStr"/>
    </row>
    <row r="596" ht="15" customHeight="1">
      <c r="A596" t="inlineStr">
        <is>
          <t>A 20805-2025</t>
        </is>
      </c>
      <c r="B596" s="1" t="n">
        <v>45776</v>
      </c>
      <c r="C596" s="1" t="n">
        <v>46144</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21389-2025</t>
        </is>
      </c>
      <c r="B597" s="1" t="n">
        <v>45782</v>
      </c>
      <c r="C597" s="1" t="n">
        <v>46144</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21651-2025</t>
        </is>
      </c>
      <c r="B598" s="1" t="n">
        <v>45783</v>
      </c>
      <c r="C598" s="1" t="n">
        <v>46144</v>
      </c>
      <c r="D598" t="inlineStr">
        <is>
          <t>GOTLANDS LÄN</t>
        </is>
      </c>
      <c r="E598" t="inlineStr">
        <is>
          <t>GOTLAND</t>
        </is>
      </c>
      <c r="G598" t="n">
        <v>4.2</v>
      </c>
      <c r="H598" t="n">
        <v>0</v>
      </c>
      <c r="I598" t="n">
        <v>0</v>
      </c>
      <c r="J598" t="n">
        <v>0</v>
      </c>
      <c r="K598" t="n">
        <v>0</v>
      </c>
      <c r="L598" t="n">
        <v>0</v>
      </c>
      <c r="M598" t="n">
        <v>0</v>
      </c>
      <c r="N598" t="n">
        <v>0</v>
      </c>
      <c r="O598" t="n">
        <v>0</v>
      </c>
      <c r="P598" t="n">
        <v>0</v>
      </c>
      <c r="Q598" t="n">
        <v>0</v>
      </c>
      <c r="R598" s="2" t="inlineStr"/>
    </row>
    <row r="599" ht="15" customHeight="1">
      <c r="A599" t="inlineStr">
        <is>
          <t>A 57356-2023</t>
        </is>
      </c>
      <c r="B599" s="1" t="n">
        <v>45240</v>
      </c>
      <c r="C599" s="1" t="n">
        <v>46144</v>
      </c>
      <c r="D599" t="inlineStr">
        <is>
          <t>GOTLANDS LÄN</t>
        </is>
      </c>
      <c r="E599" t="inlineStr">
        <is>
          <t>GOTLAND</t>
        </is>
      </c>
      <c r="G599" t="n">
        <v>6.4</v>
      </c>
      <c r="H599" t="n">
        <v>0</v>
      </c>
      <c r="I599" t="n">
        <v>0</v>
      </c>
      <c r="J599" t="n">
        <v>0</v>
      </c>
      <c r="K599" t="n">
        <v>0</v>
      </c>
      <c r="L599" t="n">
        <v>0</v>
      </c>
      <c r="M599" t="n">
        <v>0</v>
      </c>
      <c r="N599" t="n">
        <v>0</v>
      </c>
      <c r="O599" t="n">
        <v>0</v>
      </c>
      <c r="P599" t="n">
        <v>0</v>
      </c>
      <c r="Q599" t="n">
        <v>0</v>
      </c>
      <c r="R599" s="2" t="inlineStr"/>
    </row>
    <row r="600" ht="15" customHeight="1">
      <c r="A600" t="inlineStr">
        <is>
          <t>A 10656-2024</t>
        </is>
      </c>
      <c r="B600" s="1" t="n">
        <v>45368</v>
      </c>
      <c r="C600" s="1" t="n">
        <v>46144</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28506-2023</t>
        </is>
      </c>
      <c r="B601" s="1" t="n">
        <v>45103</v>
      </c>
      <c r="C601" s="1" t="n">
        <v>46144</v>
      </c>
      <c r="D601" t="inlineStr">
        <is>
          <t>GOTLANDS LÄN</t>
        </is>
      </c>
      <c r="E601" t="inlineStr">
        <is>
          <t>GOTLAND</t>
        </is>
      </c>
      <c r="G601" t="n">
        <v>3.2</v>
      </c>
      <c r="H601" t="n">
        <v>0</v>
      </c>
      <c r="I601" t="n">
        <v>0</v>
      </c>
      <c r="J601" t="n">
        <v>0</v>
      </c>
      <c r="K601" t="n">
        <v>0</v>
      </c>
      <c r="L601" t="n">
        <v>0</v>
      </c>
      <c r="M601" t="n">
        <v>0</v>
      </c>
      <c r="N601" t="n">
        <v>0</v>
      </c>
      <c r="O601" t="n">
        <v>0</v>
      </c>
      <c r="P601" t="n">
        <v>0</v>
      </c>
      <c r="Q601" t="n">
        <v>0</v>
      </c>
      <c r="R601" s="2" t="inlineStr"/>
    </row>
    <row r="602" ht="15" customHeight="1">
      <c r="A602" t="inlineStr">
        <is>
          <t>A 21420-2024</t>
        </is>
      </c>
      <c r="B602" s="1" t="n">
        <v>45441.38293981482</v>
      </c>
      <c r="C602" s="1" t="n">
        <v>46144</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23188-2025</t>
        </is>
      </c>
      <c r="B603" s="1" t="n">
        <v>45791</v>
      </c>
      <c r="C603" s="1" t="n">
        <v>46144</v>
      </c>
      <c r="D603" t="inlineStr">
        <is>
          <t>GOTLANDS LÄN</t>
        </is>
      </c>
      <c r="E603" t="inlineStr">
        <is>
          <t>GOTLAND</t>
        </is>
      </c>
      <c r="G603" t="n">
        <v>6.2</v>
      </c>
      <c r="H603" t="n">
        <v>0</v>
      </c>
      <c r="I603" t="n">
        <v>0</v>
      </c>
      <c r="J603" t="n">
        <v>0</v>
      </c>
      <c r="K603" t="n">
        <v>0</v>
      </c>
      <c r="L603" t="n">
        <v>0</v>
      </c>
      <c r="M603" t="n">
        <v>0</v>
      </c>
      <c r="N603" t="n">
        <v>0</v>
      </c>
      <c r="O603" t="n">
        <v>0</v>
      </c>
      <c r="P603" t="n">
        <v>0</v>
      </c>
      <c r="Q603" t="n">
        <v>0</v>
      </c>
      <c r="R603" s="2" t="inlineStr"/>
    </row>
    <row r="604" ht="15" customHeight="1">
      <c r="A604" t="inlineStr">
        <is>
          <t>A 23473-2025</t>
        </is>
      </c>
      <c r="B604" s="1" t="n">
        <v>45792</v>
      </c>
      <c r="C604" s="1" t="n">
        <v>46144</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23856-2025</t>
        </is>
      </c>
      <c r="B605" s="1" t="n">
        <v>45793</v>
      </c>
      <c r="C605" s="1" t="n">
        <v>46144</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15073-2025</t>
        </is>
      </c>
      <c r="B606" s="1" t="n">
        <v>45743</v>
      </c>
      <c r="C606" s="1" t="n">
        <v>46144</v>
      </c>
      <c r="D606" t="inlineStr">
        <is>
          <t>GOTLANDS LÄN</t>
        </is>
      </c>
      <c r="E606" t="inlineStr">
        <is>
          <t>GOTLAND</t>
        </is>
      </c>
      <c r="G606" t="n">
        <v>12.1</v>
      </c>
      <c r="H606" t="n">
        <v>0</v>
      </c>
      <c r="I606" t="n">
        <v>0</v>
      </c>
      <c r="J606" t="n">
        <v>0</v>
      </c>
      <c r="K606" t="n">
        <v>0</v>
      </c>
      <c r="L606" t="n">
        <v>0</v>
      </c>
      <c r="M606" t="n">
        <v>0</v>
      </c>
      <c r="N606" t="n">
        <v>0</v>
      </c>
      <c r="O606" t="n">
        <v>0</v>
      </c>
      <c r="P606" t="n">
        <v>0</v>
      </c>
      <c r="Q606" t="n">
        <v>0</v>
      </c>
      <c r="R606" s="2" t="inlineStr"/>
    </row>
    <row r="607" ht="15" customHeight="1">
      <c r="A607" t="inlineStr">
        <is>
          <t>A 6749-2025</t>
        </is>
      </c>
      <c r="B607" s="1" t="n">
        <v>45700</v>
      </c>
      <c r="C607" s="1" t="n">
        <v>46144</v>
      </c>
      <c r="D607" t="inlineStr">
        <is>
          <t>GOTLANDS LÄN</t>
        </is>
      </c>
      <c r="E607" t="inlineStr">
        <is>
          <t>GOTLAND</t>
        </is>
      </c>
      <c r="G607" t="n">
        <v>4.5</v>
      </c>
      <c r="H607" t="n">
        <v>0</v>
      </c>
      <c r="I607" t="n">
        <v>0</v>
      </c>
      <c r="J607" t="n">
        <v>0</v>
      </c>
      <c r="K607" t="n">
        <v>0</v>
      </c>
      <c r="L607" t="n">
        <v>0</v>
      </c>
      <c r="M607" t="n">
        <v>0</v>
      </c>
      <c r="N607" t="n">
        <v>0</v>
      </c>
      <c r="O607" t="n">
        <v>0</v>
      </c>
      <c r="P607" t="n">
        <v>0</v>
      </c>
      <c r="Q607" t="n">
        <v>0</v>
      </c>
      <c r="R607" s="2" t="inlineStr"/>
    </row>
    <row r="608" ht="15" customHeight="1">
      <c r="A608" t="inlineStr">
        <is>
          <t>A 23698-2025</t>
        </is>
      </c>
      <c r="B608" s="1" t="n">
        <v>45793</v>
      </c>
      <c r="C608" s="1" t="n">
        <v>46144</v>
      </c>
      <c r="D608" t="inlineStr">
        <is>
          <t>GOTLANDS LÄN</t>
        </is>
      </c>
      <c r="E608" t="inlineStr">
        <is>
          <t>GOTLAND</t>
        </is>
      </c>
      <c r="G608" t="n">
        <v>0.8</v>
      </c>
      <c r="H608" t="n">
        <v>0</v>
      </c>
      <c r="I608" t="n">
        <v>0</v>
      </c>
      <c r="J608" t="n">
        <v>0</v>
      </c>
      <c r="K608" t="n">
        <v>0</v>
      </c>
      <c r="L608" t="n">
        <v>0</v>
      </c>
      <c r="M608" t="n">
        <v>0</v>
      </c>
      <c r="N608" t="n">
        <v>0</v>
      </c>
      <c r="O608" t="n">
        <v>0</v>
      </c>
      <c r="P608" t="n">
        <v>0</v>
      </c>
      <c r="Q608" t="n">
        <v>0</v>
      </c>
      <c r="R608" s="2" t="inlineStr"/>
    </row>
    <row r="609" ht="15" customHeight="1">
      <c r="A609" t="inlineStr">
        <is>
          <t>A 5462-2025</t>
        </is>
      </c>
      <c r="B609" s="1" t="n">
        <v>45693.29331018519</v>
      </c>
      <c r="C609" s="1" t="n">
        <v>46144</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25796-2025</t>
        </is>
      </c>
      <c r="B610" s="1" t="n">
        <v>45804.39543981481</v>
      </c>
      <c r="C610" s="1" t="n">
        <v>46144</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26457-2025</t>
        </is>
      </c>
      <c r="B611" s="1" t="n">
        <v>45807.42773148148</v>
      </c>
      <c r="C611" s="1" t="n">
        <v>46144</v>
      </c>
      <c r="D611" t="inlineStr">
        <is>
          <t>GOTLANDS LÄN</t>
        </is>
      </c>
      <c r="E611" t="inlineStr">
        <is>
          <t>GOTLAND</t>
        </is>
      </c>
      <c r="G611" t="n">
        <v>5.7</v>
      </c>
      <c r="H611" t="n">
        <v>0</v>
      </c>
      <c r="I611" t="n">
        <v>0</v>
      </c>
      <c r="J611" t="n">
        <v>0</v>
      </c>
      <c r="K611" t="n">
        <v>0</v>
      </c>
      <c r="L611" t="n">
        <v>0</v>
      </c>
      <c r="M611" t="n">
        <v>0</v>
      </c>
      <c r="N611" t="n">
        <v>0</v>
      </c>
      <c r="O611" t="n">
        <v>0</v>
      </c>
      <c r="P611" t="n">
        <v>0</v>
      </c>
      <c r="Q611" t="n">
        <v>0</v>
      </c>
      <c r="R611" s="2" t="inlineStr"/>
    </row>
    <row r="612" ht="15" customHeight="1">
      <c r="A612" t="inlineStr">
        <is>
          <t>A 26467-2025</t>
        </is>
      </c>
      <c r="B612" s="1" t="n">
        <v>45807.44640046296</v>
      </c>
      <c r="C612" s="1" t="n">
        <v>46144</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26465-2025</t>
        </is>
      </c>
      <c r="B613" s="1" t="n">
        <v>45807.44377314814</v>
      </c>
      <c r="C613" s="1" t="n">
        <v>46144</v>
      </c>
      <c r="D613" t="inlineStr">
        <is>
          <t>GOTLANDS LÄN</t>
        </is>
      </c>
      <c r="E613" t="inlineStr">
        <is>
          <t>GOTLAND</t>
        </is>
      </c>
      <c r="G613" t="n">
        <v>4.5</v>
      </c>
      <c r="H613" t="n">
        <v>0</v>
      </c>
      <c r="I613" t="n">
        <v>0</v>
      </c>
      <c r="J613" t="n">
        <v>0</v>
      </c>
      <c r="K613" t="n">
        <v>0</v>
      </c>
      <c r="L613" t="n">
        <v>0</v>
      </c>
      <c r="M613" t="n">
        <v>0</v>
      </c>
      <c r="N613" t="n">
        <v>0</v>
      </c>
      <c r="O613" t="n">
        <v>0</v>
      </c>
      <c r="P613" t="n">
        <v>0</v>
      </c>
      <c r="Q613" t="n">
        <v>0</v>
      </c>
      <c r="R613" s="2" t="inlineStr"/>
    </row>
    <row r="614" ht="15" customHeight="1">
      <c r="A614" t="inlineStr">
        <is>
          <t>A 26660-2025</t>
        </is>
      </c>
      <c r="B614" s="1" t="n">
        <v>45810.39737268518</v>
      </c>
      <c r="C614" s="1" t="n">
        <v>46144</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27371-2025</t>
        </is>
      </c>
      <c r="B615" s="1" t="n">
        <v>45812</v>
      </c>
      <c r="C615" s="1" t="n">
        <v>46144</v>
      </c>
      <c r="D615" t="inlineStr">
        <is>
          <t>GOTLANDS LÄN</t>
        </is>
      </c>
      <c r="E615" t="inlineStr">
        <is>
          <t>GOTLAND</t>
        </is>
      </c>
      <c r="G615" t="n">
        <v>8</v>
      </c>
      <c r="H615" t="n">
        <v>0</v>
      </c>
      <c r="I615" t="n">
        <v>0</v>
      </c>
      <c r="J615" t="n">
        <v>0</v>
      </c>
      <c r="K615" t="n">
        <v>0</v>
      </c>
      <c r="L615" t="n">
        <v>0</v>
      </c>
      <c r="M615" t="n">
        <v>0</v>
      </c>
      <c r="N615" t="n">
        <v>0</v>
      </c>
      <c r="O615" t="n">
        <v>0</v>
      </c>
      <c r="P615" t="n">
        <v>0</v>
      </c>
      <c r="Q615" t="n">
        <v>0</v>
      </c>
      <c r="R615" s="2" t="inlineStr"/>
    </row>
    <row r="616" ht="15" customHeight="1">
      <c r="A616" t="inlineStr">
        <is>
          <t>A 27355-2025</t>
        </is>
      </c>
      <c r="B616" s="1" t="n">
        <v>45812</v>
      </c>
      <c r="C616" s="1" t="n">
        <v>46144</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6739-2025</t>
        </is>
      </c>
      <c r="B617" s="1" t="n">
        <v>45700</v>
      </c>
      <c r="C617" s="1" t="n">
        <v>46144</v>
      </c>
      <c r="D617" t="inlineStr">
        <is>
          <t>GOTLANDS LÄN</t>
        </is>
      </c>
      <c r="E617" t="inlineStr">
        <is>
          <t>GOTLAND</t>
        </is>
      </c>
      <c r="G617" t="n">
        <v>4.5</v>
      </c>
      <c r="H617" t="n">
        <v>0</v>
      </c>
      <c r="I617" t="n">
        <v>0</v>
      </c>
      <c r="J617" t="n">
        <v>0</v>
      </c>
      <c r="K617" t="n">
        <v>0</v>
      </c>
      <c r="L617" t="n">
        <v>0</v>
      </c>
      <c r="M617" t="n">
        <v>0</v>
      </c>
      <c r="N617" t="n">
        <v>0</v>
      </c>
      <c r="O617" t="n">
        <v>0</v>
      </c>
      <c r="P617" t="n">
        <v>0</v>
      </c>
      <c r="Q617" t="n">
        <v>0</v>
      </c>
      <c r="R617" s="2" t="inlineStr"/>
    </row>
    <row r="618" ht="15" customHeight="1">
      <c r="A618" t="inlineStr">
        <is>
          <t>A 7850-2025</t>
        </is>
      </c>
      <c r="B618" s="1" t="n">
        <v>45706</v>
      </c>
      <c r="C618" s="1" t="n">
        <v>46144</v>
      </c>
      <c r="D618" t="inlineStr">
        <is>
          <t>GOTLANDS LÄN</t>
        </is>
      </c>
      <c r="E618" t="inlineStr">
        <is>
          <t>GOTLAND</t>
        </is>
      </c>
      <c r="G618" t="n">
        <v>0.5</v>
      </c>
      <c r="H618" t="n">
        <v>0</v>
      </c>
      <c r="I618" t="n">
        <v>0</v>
      </c>
      <c r="J618" t="n">
        <v>0</v>
      </c>
      <c r="K618" t="n">
        <v>0</v>
      </c>
      <c r="L618" t="n">
        <v>0</v>
      </c>
      <c r="M618" t="n">
        <v>0</v>
      </c>
      <c r="N618" t="n">
        <v>0</v>
      </c>
      <c r="O618" t="n">
        <v>0</v>
      </c>
      <c r="P618" t="n">
        <v>0</v>
      </c>
      <c r="Q618" t="n">
        <v>0</v>
      </c>
      <c r="R618" s="2" t="inlineStr"/>
    </row>
    <row r="619" ht="15" customHeight="1">
      <c r="A619" t="inlineStr">
        <is>
          <t>A 8444-2025</t>
        </is>
      </c>
      <c r="B619" s="1" t="n">
        <v>45709</v>
      </c>
      <c r="C619" s="1" t="n">
        <v>46144</v>
      </c>
      <c r="D619" t="inlineStr">
        <is>
          <t>GOTLANDS LÄN</t>
        </is>
      </c>
      <c r="E619" t="inlineStr">
        <is>
          <t>GOTLAND</t>
        </is>
      </c>
      <c r="G619" t="n">
        <v>5.2</v>
      </c>
      <c r="H619" t="n">
        <v>0</v>
      </c>
      <c r="I619" t="n">
        <v>0</v>
      </c>
      <c r="J619" t="n">
        <v>0</v>
      </c>
      <c r="K619" t="n">
        <v>0</v>
      </c>
      <c r="L619" t="n">
        <v>0</v>
      </c>
      <c r="M619" t="n">
        <v>0</v>
      </c>
      <c r="N619" t="n">
        <v>0</v>
      </c>
      <c r="O619" t="n">
        <v>0</v>
      </c>
      <c r="P619" t="n">
        <v>0</v>
      </c>
      <c r="Q619" t="n">
        <v>0</v>
      </c>
      <c r="R619" s="2" t="inlineStr"/>
    </row>
    <row r="620" ht="15" customHeight="1">
      <c r="A620" t="inlineStr">
        <is>
          <t>A 19905-2025</t>
        </is>
      </c>
      <c r="B620" s="1" t="n">
        <v>45771</v>
      </c>
      <c r="C620" s="1" t="n">
        <v>46144</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29196-2025</t>
        </is>
      </c>
      <c r="B621" s="1" t="n">
        <v>45822</v>
      </c>
      <c r="C621" s="1" t="n">
        <v>46144</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29207-2025</t>
        </is>
      </c>
      <c r="B622" s="1" t="n">
        <v>45823</v>
      </c>
      <c r="C622" s="1" t="n">
        <v>46144</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30061-2025</t>
        </is>
      </c>
      <c r="B623" s="1" t="n">
        <v>45826.61488425926</v>
      </c>
      <c r="C623" s="1" t="n">
        <v>46144</v>
      </c>
      <c r="D623" t="inlineStr">
        <is>
          <t>GOTLANDS LÄN</t>
        </is>
      </c>
      <c r="E623" t="inlineStr">
        <is>
          <t>GOTLAND</t>
        </is>
      </c>
      <c r="G623" t="n">
        <v>4.1</v>
      </c>
      <c r="H623" t="n">
        <v>0</v>
      </c>
      <c r="I623" t="n">
        <v>0</v>
      </c>
      <c r="J623" t="n">
        <v>0</v>
      </c>
      <c r="K623" t="n">
        <v>0</v>
      </c>
      <c r="L623" t="n">
        <v>0</v>
      </c>
      <c r="M623" t="n">
        <v>0</v>
      </c>
      <c r="N623" t="n">
        <v>0</v>
      </c>
      <c r="O623" t="n">
        <v>0</v>
      </c>
      <c r="P623" t="n">
        <v>0</v>
      </c>
      <c r="Q623" t="n">
        <v>0</v>
      </c>
      <c r="R623" s="2" t="inlineStr"/>
    </row>
    <row r="624" ht="15" customHeight="1">
      <c r="A624" t="inlineStr">
        <is>
          <t>A 58160-2024</t>
        </is>
      </c>
      <c r="B624" s="1" t="n">
        <v>45632.44927083333</v>
      </c>
      <c r="C624" s="1" t="n">
        <v>46144</v>
      </c>
      <c r="D624" t="inlineStr">
        <is>
          <t>GOTLANDS LÄN</t>
        </is>
      </c>
      <c r="E624" t="inlineStr">
        <is>
          <t>GOTLAND</t>
        </is>
      </c>
      <c r="G624" t="n">
        <v>5.6</v>
      </c>
      <c r="H624" t="n">
        <v>0</v>
      </c>
      <c r="I624" t="n">
        <v>0</v>
      </c>
      <c r="J624" t="n">
        <v>0</v>
      </c>
      <c r="K624" t="n">
        <v>0</v>
      </c>
      <c r="L624" t="n">
        <v>0</v>
      </c>
      <c r="M624" t="n">
        <v>0</v>
      </c>
      <c r="N624" t="n">
        <v>0</v>
      </c>
      <c r="O624" t="n">
        <v>0</v>
      </c>
      <c r="P624" t="n">
        <v>0</v>
      </c>
      <c r="Q624" t="n">
        <v>0</v>
      </c>
      <c r="R624" s="2" t="inlineStr"/>
    </row>
    <row r="625" ht="15" customHeight="1">
      <c r="A625" t="inlineStr">
        <is>
          <t>A 32379-2025</t>
        </is>
      </c>
      <c r="B625" s="1" t="n">
        <v>45837</v>
      </c>
      <c r="C625" s="1" t="n">
        <v>46144</v>
      </c>
      <c r="D625" t="inlineStr">
        <is>
          <t>GOTLANDS LÄN</t>
        </is>
      </c>
      <c r="E625" t="inlineStr">
        <is>
          <t>GOTLAND</t>
        </is>
      </c>
      <c r="G625" t="n">
        <v>1</v>
      </c>
      <c r="H625" t="n">
        <v>0</v>
      </c>
      <c r="I625" t="n">
        <v>0</v>
      </c>
      <c r="J625" t="n">
        <v>0</v>
      </c>
      <c r="K625" t="n">
        <v>0</v>
      </c>
      <c r="L625" t="n">
        <v>0</v>
      </c>
      <c r="M625" t="n">
        <v>0</v>
      </c>
      <c r="N625" t="n">
        <v>0</v>
      </c>
      <c r="O625" t="n">
        <v>0</v>
      </c>
      <c r="P625" t="n">
        <v>0</v>
      </c>
      <c r="Q625" t="n">
        <v>0</v>
      </c>
      <c r="R625" s="2" t="inlineStr"/>
    </row>
    <row r="626" ht="15" customHeight="1">
      <c r="A626" t="inlineStr">
        <is>
          <t>A 32467-2025</t>
        </is>
      </c>
      <c r="B626" s="1" t="n">
        <v>45838.42111111111</v>
      </c>
      <c r="C626" s="1" t="n">
        <v>46144</v>
      </c>
      <c r="D626" t="inlineStr">
        <is>
          <t>GOTLANDS LÄN</t>
        </is>
      </c>
      <c r="E626" t="inlineStr">
        <is>
          <t>GOTLAND</t>
        </is>
      </c>
      <c r="G626" t="n">
        <v>4.3</v>
      </c>
      <c r="H626" t="n">
        <v>0</v>
      </c>
      <c r="I626" t="n">
        <v>0</v>
      </c>
      <c r="J626" t="n">
        <v>0</v>
      </c>
      <c r="K626" t="n">
        <v>0</v>
      </c>
      <c r="L626" t="n">
        <v>0</v>
      </c>
      <c r="M626" t="n">
        <v>0</v>
      </c>
      <c r="N626" t="n">
        <v>0</v>
      </c>
      <c r="O626" t="n">
        <v>0</v>
      </c>
      <c r="P626" t="n">
        <v>0</v>
      </c>
      <c r="Q626" t="n">
        <v>0</v>
      </c>
      <c r="R626" s="2" t="inlineStr"/>
    </row>
    <row r="627" ht="15" customHeight="1">
      <c r="A627" t="inlineStr">
        <is>
          <t>A 16109-2025</t>
        </is>
      </c>
      <c r="B627" s="1" t="n">
        <v>45750</v>
      </c>
      <c r="C627" s="1" t="n">
        <v>46144</v>
      </c>
      <c r="D627" t="inlineStr">
        <is>
          <t>GOTLANDS LÄN</t>
        </is>
      </c>
      <c r="E627" t="inlineStr">
        <is>
          <t>GOTLAND</t>
        </is>
      </c>
      <c r="G627" t="n">
        <v>4.9</v>
      </c>
      <c r="H627" t="n">
        <v>0</v>
      </c>
      <c r="I627" t="n">
        <v>0</v>
      </c>
      <c r="J627" t="n">
        <v>0</v>
      </c>
      <c r="K627" t="n">
        <v>0</v>
      </c>
      <c r="L627" t="n">
        <v>0</v>
      </c>
      <c r="M627" t="n">
        <v>0</v>
      </c>
      <c r="N627" t="n">
        <v>0</v>
      </c>
      <c r="O627" t="n">
        <v>0</v>
      </c>
      <c r="P627" t="n">
        <v>0</v>
      </c>
      <c r="Q627" t="n">
        <v>0</v>
      </c>
      <c r="R627" s="2" t="inlineStr"/>
    </row>
    <row r="628" ht="15" customHeight="1">
      <c r="A628" t="inlineStr">
        <is>
          <t>A 33007-2025</t>
        </is>
      </c>
      <c r="B628" s="1" t="n">
        <v>45840</v>
      </c>
      <c r="C628" s="1" t="n">
        <v>46144</v>
      </c>
      <c r="D628" t="inlineStr">
        <is>
          <t>GOTLANDS LÄN</t>
        </is>
      </c>
      <c r="E628" t="inlineStr">
        <is>
          <t>GOTLAND</t>
        </is>
      </c>
      <c r="G628" t="n">
        <v>4.9</v>
      </c>
      <c r="H628" t="n">
        <v>0</v>
      </c>
      <c r="I628" t="n">
        <v>0</v>
      </c>
      <c r="J628" t="n">
        <v>0</v>
      </c>
      <c r="K628" t="n">
        <v>0</v>
      </c>
      <c r="L628" t="n">
        <v>0</v>
      </c>
      <c r="M628" t="n">
        <v>0</v>
      </c>
      <c r="N628" t="n">
        <v>0</v>
      </c>
      <c r="O628" t="n">
        <v>0</v>
      </c>
      <c r="P628" t="n">
        <v>0</v>
      </c>
      <c r="Q628" t="n">
        <v>0</v>
      </c>
      <c r="R628" s="2" t="inlineStr"/>
    </row>
    <row r="629" ht="15" customHeight="1">
      <c r="A629" t="inlineStr">
        <is>
          <t>A 15413-2025</t>
        </is>
      </c>
      <c r="B629" s="1" t="n">
        <v>45747.451875</v>
      </c>
      <c r="C629" s="1" t="n">
        <v>46144</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35123-2025</t>
        </is>
      </c>
      <c r="B630" s="1" t="n">
        <v>45852.614375</v>
      </c>
      <c r="C630" s="1" t="n">
        <v>46144</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35096-2025</t>
        </is>
      </c>
      <c r="B631" s="1" t="n">
        <v>45852.54356481481</v>
      </c>
      <c r="C631" s="1" t="n">
        <v>46144</v>
      </c>
      <c r="D631" t="inlineStr">
        <is>
          <t>GOTLANDS LÄN</t>
        </is>
      </c>
      <c r="E631" t="inlineStr">
        <is>
          <t>GOTLAND</t>
        </is>
      </c>
      <c r="F631" t="inlineStr">
        <is>
          <t>Kyrkan</t>
        </is>
      </c>
      <c r="G631" t="n">
        <v>1</v>
      </c>
      <c r="H631" t="n">
        <v>0</v>
      </c>
      <c r="I631" t="n">
        <v>0</v>
      </c>
      <c r="J631" t="n">
        <v>0</v>
      </c>
      <c r="K631" t="n">
        <v>0</v>
      </c>
      <c r="L631" t="n">
        <v>0</v>
      </c>
      <c r="M631" t="n">
        <v>0</v>
      </c>
      <c r="N631" t="n">
        <v>0</v>
      </c>
      <c r="O631" t="n">
        <v>0</v>
      </c>
      <c r="P631" t="n">
        <v>0</v>
      </c>
      <c r="Q631" t="n">
        <v>0</v>
      </c>
      <c r="R631" s="2" t="inlineStr"/>
    </row>
    <row r="632" ht="15" customHeight="1">
      <c r="A632" t="inlineStr">
        <is>
          <t>A 30104-2025</t>
        </is>
      </c>
      <c r="B632" s="1" t="n">
        <v>45826.68806712963</v>
      </c>
      <c r="C632" s="1" t="n">
        <v>46144</v>
      </c>
      <c r="D632" t="inlineStr">
        <is>
          <t>GOTLANDS LÄN</t>
        </is>
      </c>
      <c r="E632" t="inlineStr">
        <is>
          <t>GOTLAND</t>
        </is>
      </c>
      <c r="G632" t="n">
        <v>15.4</v>
      </c>
      <c r="H632" t="n">
        <v>0</v>
      </c>
      <c r="I632" t="n">
        <v>0</v>
      </c>
      <c r="J632" t="n">
        <v>0</v>
      </c>
      <c r="K632" t="n">
        <v>0</v>
      </c>
      <c r="L632" t="n">
        <v>0</v>
      </c>
      <c r="M632" t="n">
        <v>0</v>
      </c>
      <c r="N632" t="n">
        <v>0</v>
      </c>
      <c r="O632" t="n">
        <v>0</v>
      </c>
      <c r="P632" t="n">
        <v>0</v>
      </c>
      <c r="Q632" t="n">
        <v>0</v>
      </c>
      <c r="R632" s="2" t="inlineStr"/>
    </row>
    <row r="633" ht="15" customHeight="1">
      <c r="A633" t="inlineStr">
        <is>
          <t>A 35290-2025</t>
        </is>
      </c>
      <c r="B633" s="1" t="n">
        <v>45854.38502314815</v>
      </c>
      <c r="C633" s="1" t="n">
        <v>46144</v>
      </c>
      <c r="D633" t="inlineStr">
        <is>
          <t>GOTLANDS LÄN</t>
        </is>
      </c>
      <c r="E633" t="inlineStr">
        <is>
          <t>GOTLAND</t>
        </is>
      </c>
      <c r="G633" t="n">
        <v>5.4</v>
      </c>
      <c r="H633" t="n">
        <v>0</v>
      </c>
      <c r="I633" t="n">
        <v>0</v>
      </c>
      <c r="J633" t="n">
        <v>0</v>
      </c>
      <c r="K633" t="n">
        <v>0</v>
      </c>
      <c r="L633" t="n">
        <v>0</v>
      </c>
      <c r="M633" t="n">
        <v>0</v>
      </c>
      <c r="N633" t="n">
        <v>0</v>
      </c>
      <c r="O633" t="n">
        <v>0</v>
      </c>
      <c r="P633" t="n">
        <v>0</v>
      </c>
      <c r="Q633" t="n">
        <v>0</v>
      </c>
      <c r="R633" s="2" t="inlineStr"/>
    </row>
    <row r="634" ht="15" customHeight="1">
      <c r="A634" t="inlineStr">
        <is>
          <t>A 32669-2024</t>
        </is>
      </c>
      <c r="B634" s="1" t="n">
        <v>45514</v>
      </c>
      <c r="C634" s="1" t="n">
        <v>46144</v>
      </c>
      <c r="D634" t="inlineStr">
        <is>
          <t>GOTLANDS LÄN</t>
        </is>
      </c>
      <c r="E634" t="inlineStr">
        <is>
          <t>GOTLAND</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35537-2025</t>
        </is>
      </c>
      <c r="B635" s="1" t="n">
        <v>45856</v>
      </c>
      <c r="C635" s="1" t="n">
        <v>46144</v>
      </c>
      <c r="D635" t="inlineStr">
        <is>
          <t>GOTLANDS LÄN</t>
        </is>
      </c>
      <c r="E635" t="inlineStr">
        <is>
          <t>GOTLAND</t>
        </is>
      </c>
      <c r="G635" t="n">
        <v>16.8</v>
      </c>
      <c r="H635" t="n">
        <v>0</v>
      </c>
      <c r="I635" t="n">
        <v>0</v>
      </c>
      <c r="J635" t="n">
        <v>0</v>
      </c>
      <c r="K635" t="n">
        <v>0</v>
      </c>
      <c r="L635" t="n">
        <v>0</v>
      </c>
      <c r="M635" t="n">
        <v>0</v>
      </c>
      <c r="N635" t="n">
        <v>0</v>
      </c>
      <c r="O635" t="n">
        <v>0</v>
      </c>
      <c r="P635" t="n">
        <v>0</v>
      </c>
      <c r="Q635" t="n">
        <v>0</v>
      </c>
      <c r="R635" s="2" t="inlineStr"/>
    </row>
    <row r="636" ht="15" customHeight="1">
      <c r="A636" t="inlineStr">
        <is>
          <t>A 15216-2025</t>
        </is>
      </c>
      <c r="B636" s="1" t="n">
        <v>45744</v>
      </c>
      <c r="C636" s="1" t="n">
        <v>46144</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43790-2024</t>
        </is>
      </c>
      <c r="B637" s="1" t="n">
        <v>45571</v>
      </c>
      <c r="C637" s="1" t="n">
        <v>46144</v>
      </c>
      <c r="D637" t="inlineStr">
        <is>
          <t>GOTLANDS LÄN</t>
        </is>
      </c>
      <c r="E637" t="inlineStr">
        <is>
          <t>GOTLAND</t>
        </is>
      </c>
      <c r="G637" t="n">
        <v>3.5</v>
      </c>
      <c r="H637" t="n">
        <v>0</v>
      </c>
      <c r="I637" t="n">
        <v>0</v>
      </c>
      <c r="J637" t="n">
        <v>0</v>
      </c>
      <c r="K637" t="n">
        <v>0</v>
      </c>
      <c r="L637" t="n">
        <v>0</v>
      </c>
      <c r="M637" t="n">
        <v>0</v>
      </c>
      <c r="N637" t="n">
        <v>0</v>
      </c>
      <c r="O637" t="n">
        <v>0</v>
      </c>
      <c r="P637" t="n">
        <v>0</v>
      </c>
      <c r="Q637" t="n">
        <v>0</v>
      </c>
      <c r="R637" s="2" t="inlineStr"/>
    </row>
    <row r="638" ht="15" customHeight="1">
      <c r="A638" t="inlineStr">
        <is>
          <t>A 15001-2025</t>
        </is>
      </c>
      <c r="B638" s="1" t="n">
        <v>45743</v>
      </c>
      <c r="C638" s="1" t="n">
        <v>46144</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30488-2025</t>
        </is>
      </c>
      <c r="B639" s="1" t="n">
        <v>45830</v>
      </c>
      <c r="C639" s="1" t="n">
        <v>46144</v>
      </c>
      <c r="D639" t="inlineStr">
        <is>
          <t>GOTLANDS LÄN</t>
        </is>
      </c>
      <c r="E639" t="inlineStr">
        <is>
          <t>GOTLAND</t>
        </is>
      </c>
      <c r="F639" t="inlineStr">
        <is>
          <t>Kyrkan</t>
        </is>
      </c>
      <c r="G639" t="n">
        <v>3.9</v>
      </c>
      <c r="H639" t="n">
        <v>0</v>
      </c>
      <c r="I639" t="n">
        <v>0</v>
      </c>
      <c r="J639" t="n">
        <v>0</v>
      </c>
      <c r="K639" t="n">
        <v>0</v>
      </c>
      <c r="L639" t="n">
        <v>0</v>
      </c>
      <c r="M639" t="n">
        <v>0</v>
      </c>
      <c r="N639" t="n">
        <v>0</v>
      </c>
      <c r="O639" t="n">
        <v>0</v>
      </c>
      <c r="P639" t="n">
        <v>0</v>
      </c>
      <c r="Q639" t="n">
        <v>0</v>
      </c>
      <c r="R639" s="2" t="inlineStr"/>
    </row>
    <row r="640" ht="15" customHeight="1">
      <c r="A640" t="inlineStr">
        <is>
          <t>A 17847-2025</t>
        </is>
      </c>
      <c r="B640" s="1" t="n">
        <v>45758</v>
      </c>
      <c r="C640" s="1" t="n">
        <v>46144</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18742-2025</t>
        </is>
      </c>
      <c r="B641" s="1" t="n">
        <v>45763</v>
      </c>
      <c r="C641" s="1" t="n">
        <v>46144</v>
      </c>
      <c r="D641" t="inlineStr">
        <is>
          <t>GOTLANDS LÄN</t>
        </is>
      </c>
      <c r="E641" t="inlineStr">
        <is>
          <t>GOTLAND</t>
        </is>
      </c>
      <c r="G641" t="n">
        <v>3.4</v>
      </c>
      <c r="H641" t="n">
        <v>0</v>
      </c>
      <c r="I641" t="n">
        <v>0</v>
      </c>
      <c r="J641" t="n">
        <v>0</v>
      </c>
      <c r="K641" t="n">
        <v>0</v>
      </c>
      <c r="L641" t="n">
        <v>0</v>
      </c>
      <c r="M641" t="n">
        <v>0</v>
      </c>
      <c r="N641" t="n">
        <v>0</v>
      </c>
      <c r="O641" t="n">
        <v>0</v>
      </c>
      <c r="P641" t="n">
        <v>0</v>
      </c>
      <c r="Q641" t="n">
        <v>0</v>
      </c>
      <c r="R641" s="2" t="inlineStr"/>
    </row>
    <row r="642">
      <c r="A642" t="inlineStr">
        <is>
          <t>A 35129-2025</t>
        </is>
      </c>
      <c r="B642" s="1" t="n">
        <v>45852.63224537037</v>
      </c>
      <c r="C642" s="1" t="n">
        <v>46144</v>
      </c>
      <c r="D642" t="inlineStr">
        <is>
          <t>GOTLANDS LÄN</t>
        </is>
      </c>
      <c r="E642" t="inlineStr">
        <is>
          <t>GOTLAND</t>
        </is>
      </c>
      <c r="G642" t="n">
        <v>3.2</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2026-05-02T11:12:10Z</dcterms:created>
  <dcterms:modified xmlns:dcterms="http://purl.org/dc/terms/" xmlns:xsi="http://www.w3.org/2001/XMLSchema-instance" xsi:type="dcterms:W3CDTF">2026-05-02T11:12:10Z</dcterms:modified>
</cp:coreProperties>
</file>