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46098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46098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46098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46098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46098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46098</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46098</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40235-2025</t>
        </is>
      </c>
      <c r="B15" s="1" t="n">
        <v>45894</v>
      </c>
      <c r="C15" s="1" t="n">
        <v>46098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922-2023</t>
        </is>
      </c>
      <c r="B16" s="1" t="n">
        <v>44932</v>
      </c>
      <c r="C16" s="1" t="n">
        <v>46098</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445-2023</t>
        </is>
      </c>
      <c r="B17" s="1" t="n">
        <v>44929</v>
      </c>
      <c r="C17" s="1" t="n">
        <v>46098</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46098</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46098</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46098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46098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46098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46098</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24575-2025</t>
        </is>
      </c>
      <c r="B24" s="1" t="n">
        <v>45798</v>
      </c>
      <c r="C24" s="1" t="n">
        <v>46098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6913-2025</t>
        </is>
      </c>
      <c r="B25" s="1" t="n">
        <v>45701.43809027778</v>
      </c>
      <c r="C25" s="1" t="n">
        <v>46098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46098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17762-2024</t>
        </is>
      </c>
      <c r="B27" s="1" t="n">
        <v>45418</v>
      </c>
      <c r="C27" s="1" t="n">
        <v>46098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15629-2024</t>
        </is>
      </c>
      <c r="B28" s="1" t="n">
        <v>45402.78372685185</v>
      </c>
      <c r="C28" s="1" t="n">
        <v>46098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46098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46098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46098</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46098</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46098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44928-2022</t>
        </is>
      </c>
      <c r="B34" s="1" t="n">
        <v>44841</v>
      </c>
      <c r="C34" s="1" t="n">
        <v>46098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46098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46098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46098</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46098</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46098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46098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46098</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46098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46098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46098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46098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46098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46098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584-2023</t>
        </is>
      </c>
      <c r="B48" s="1" t="n">
        <v>44930</v>
      </c>
      <c r="C48" s="1" t="n">
        <v>46098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1719-2025</t>
        </is>
      </c>
      <c r="B49" s="1" t="n">
        <v>45671</v>
      </c>
      <c r="C49" s="1" t="n">
        <v>46098</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46098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46098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46098</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33153-2024</t>
        </is>
      </c>
      <c r="B53" s="1" t="n">
        <v>45518</v>
      </c>
      <c r="C53" s="1" t="n">
        <v>46098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46098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46098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2649-2023</t>
        </is>
      </c>
      <c r="B56" s="1" t="n">
        <v>44943</v>
      </c>
      <c r="C56" s="1" t="n">
        <v>46098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46098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27168-2022</t>
        </is>
      </c>
      <c r="B58" s="1" t="n">
        <v>44741</v>
      </c>
      <c r="C58" s="1" t="n">
        <v>46098</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7039-2023</t>
        </is>
      </c>
      <c r="B59" s="1" t="n">
        <v>44968</v>
      </c>
      <c r="C59" s="1" t="n">
        <v>46098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46098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46098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46098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46098</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46098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46098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46098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46098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46098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25205-2021</t>
        </is>
      </c>
      <c r="B69" s="1" t="n">
        <v>44342</v>
      </c>
      <c r="C69" s="1" t="n">
        <v>46098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46098</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46098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46098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46098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46098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46098</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54527-2023</t>
        </is>
      </c>
      <c r="B77" s="1" t="n">
        <v>45233</v>
      </c>
      <c r="C77" s="1" t="n">
        <v>46098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46098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46098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35293-2025</t>
        </is>
      </c>
      <c r="B80" s="1" t="n">
        <v>45854.39438657407</v>
      </c>
      <c r="C80" s="1" t="n">
        <v>46098</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6839-2026</t>
        </is>
      </c>
      <c r="B81" s="1" t="n">
        <v>46057.41193287037</v>
      </c>
      <c r="C81" s="1" t="n">
        <v>46098</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52245-2025</t>
        </is>
      </c>
      <c r="B82" s="1" t="n">
        <v>45953.47115740741</v>
      </c>
      <c r="C82" s="1" t="n">
        <v>46098</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32326-2024</t>
        </is>
      </c>
      <c r="B83" s="1" t="n">
        <v>45512</v>
      </c>
      <c r="C83" s="1" t="n">
        <v>46098</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39425-2023</t>
        </is>
      </c>
      <c r="B84" s="1" t="n">
        <v>45166</v>
      </c>
      <c r="C84" s="1" t="n">
        <v>46098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46098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46098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46098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46098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46098</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46098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46098</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20833-2024</t>
        </is>
      </c>
      <c r="B92" s="1" t="n">
        <v>45439</v>
      </c>
      <c r="C92" s="1" t="n">
        <v>46098</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6836-2026</t>
        </is>
      </c>
      <c r="B93" s="1" t="n">
        <v>46057.40902777778</v>
      </c>
      <c r="C93" s="1" t="n">
        <v>46098</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56717-2024</t>
        </is>
      </c>
      <c r="B94" s="1" t="n">
        <v>45628.3166550926</v>
      </c>
      <c r="C94" s="1" t="n">
        <v>46098</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57463-2025</t>
        </is>
      </c>
      <c r="B95" s="1" t="n">
        <v>45980.54174768519</v>
      </c>
      <c r="C95" s="1" t="n">
        <v>46098</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52250-2025</t>
        </is>
      </c>
      <c r="B96" s="1" t="n">
        <v>45953.48998842593</v>
      </c>
      <c r="C96" s="1" t="n">
        <v>46098</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13203-2026</t>
        </is>
      </c>
      <c r="B97" s="1" t="n">
        <v>46093</v>
      </c>
      <c r="C97" s="1" t="n">
        <v>46098</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46098</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6159-2023</t>
        </is>
      </c>
      <c r="B99" s="1" t="n">
        <v>44964</v>
      </c>
      <c r="C99" s="1" t="n">
        <v>46098</v>
      </c>
      <c r="D99" t="inlineStr">
        <is>
          <t>GOTLANDS LÄN</t>
        </is>
      </c>
      <c r="E99" t="inlineStr">
        <is>
          <t>GOTLAND</t>
        </is>
      </c>
      <c r="G99" t="n">
        <v>2</v>
      </c>
      <c r="H99" t="n">
        <v>0</v>
      </c>
      <c r="I99" t="n">
        <v>2</v>
      </c>
      <c r="J99" t="n">
        <v>2</v>
      </c>
      <c r="K99" t="n">
        <v>0</v>
      </c>
      <c r="L99" t="n">
        <v>0</v>
      </c>
      <c r="M99" t="n">
        <v>0</v>
      </c>
      <c r="N99" t="n">
        <v>0</v>
      </c>
      <c r="O99" t="n">
        <v>2</v>
      </c>
      <c r="P99" t="n">
        <v>0</v>
      </c>
      <c r="Q99" t="n">
        <v>4</v>
      </c>
      <c r="R99" s="2" t="inlineStr">
        <is>
          <t>Dofttaggsvamp
Odörspindling
Anisspindling
Olivspindling</t>
        </is>
      </c>
      <c r="S99">
        <f>HYPERLINK("https://klasma.github.io/Logging_0980/artfynd/A 6159-2023 artfynd.xlsx", "A 6159-2023")</f>
        <v/>
      </c>
      <c r="T99">
        <f>HYPERLINK("https://klasma.github.io/Logging_0980/kartor/A 6159-2023 karta.png", "A 6159-2023")</f>
        <v/>
      </c>
      <c r="V99">
        <f>HYPERLINK("https://klasma.github.io/Logging_0980/klagomål/A 6159-2023 FSC-klagomål.docx", "A 6159-2023")</f>
        <v/>
      </c>
      <c r="W99">
        <f>HYPERLINK("https://klasma.github.io/Logging_0980/klagomålsmail/A 6159-2023 FSC-klagomål mail.docx", "A 6159-2023")</f>
        <v/>
      </c>
      <c r="X99">
        <f>HYPERLINK("https://klasma.github.io/Logging_0980/tillsyn/A 6159-2023 tillsynsbegäran.docx", "A 6159-2023")</f>
        <v/>
      </c>
      <c r="Y99">
        <f>HYPERLINK("https://klasma.github.io/Logging_0980/tillsynsmail/A 6159-2023 tillsynsbegäran mail.docx", "A 6159-2023")</f>
        <v/>
      </c>
    </row>
    <row r="100" ht="15" customHeight="1">
      <c r="A100" t="inlineStr">
        <is>
          <t>A 43197-2023</t>
        </is>
      </c>
      <c r="B100" s="1" t="n">
        <v>45183</v>
      </c>
      <c r="C100" s="1" t="n">
        <v>46098</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1971-2023</t>
        </is>
      </c>
      <c r="B101" s="1" t="n">
        <v>44939</v>
      </c>
      <c r="C101" s="1" t="n">
        <v>46098</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46098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46098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46098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46098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46098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46098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46098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46098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55334-2024</t>
        </is>
      </c>
      <c r="B110" s="1" t="n">
        <v>45621</v>
      </c>
      <c r="C110" s="1" t="n">
        <v>46098</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46098</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30490-2025</t>
        </is>
      </c>
      <c r="B112" s="1" t="n">
        <v>45830</v>
      </c>
      <c r="C112" s="1" t="n">
        <v>46098</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13499-2022</t>
        </is>
      </c>
      <c r="B113" s="1" t="n">
        <v>44647.79203703703</v>
      </c>
      <c r="C113" s="1" t="n">
        <v>46098</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5235-2025</t>
        </is>
      </c>
      <c r="B114" s="1" t="n">
        <v>45692.26797453704</v>
      </c>
      <c r="C114" s="1" t="n">
        <v>46098</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20831-2024</t>
        </is>
      </c>
      <c r="B115" s="1" t="n">
        <v>45439</v>
      </c>
      <c r="C115" s="1" t="n">
        <v>46098</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1520-2026</t>
        </is>
      </c>
      <c r="B116" s="1" t="n">
        <v>46034.35891203704</v>
      </c>
      <c r="C116" s="1" t="n">
        <v>46098</v>
      </c>
      <c r="D116" t="inlineStr">
        <is>
          <t>GOTLANDS LÄN</t>
        </is>
      </c>
      <c r="E116" t="inlineStr">
        <is>
          <t>GOTLAND</t>
        </is>
      </c>
      <c r="G116" t="n">
        <v>7.4</v>
      </c>
      <c r="H116" t="n">
        <v>0</v>
      </c>
      <c r="I116" t="n">
        <v>1</v>
      </c>
      <c r="J116" t="n">
        <v>0</v>
      </c>
      <c r="K116" t="n">
        <v>2</v>
      </c>
      <c r="L116" t="n">
        <v>0</v>
      </c>
      <c r="M116" t="n">
        <v>0</v>
      </c>
      <c r="N116" t="n">
        <v>0</v>
      </c>
      <c r="O116" t="n">
        <v>2</v>
      </c>
      <c r="P116" t="n">
        <v>2</v>
      </c>
      <c r="Q116" t="n">
        <v>3</v>
      </c>
      <c r="R116" s="2" t="inlineStr">
        <is>
          <t>Granrotspindling
Gulsträngad fagerspindling
Brandmusseron</t>
        </is>
      </c>
      <c r="S116">
        <f>HYPERLINK("https://klasma.github.io/Logging_0980/artfynd/A 1520-2026 artfynd.xlsx", "A 1520-2026")</f>
        <v/>
      </c>
      <c r="T116">
        <f>HYPERLINK("https://klasma.github.io/Logging_0980/kartor/A 1520-2026 karta.png", "A 1520-2026")</f>
        <v/>
      </c>
      <c r="V116">
        <f>HYPERLINK("https://klasma.github.io/Logging_0980/klagomål/A 1520-2026 FSC-klagomål.docx", "A 1520-2026")</f>
        <v/>
      </c>
      <c r="W116">
        <f>HYPERLINK("https://klasma.github.io/Logging_0980/klagomålsmail/A 1520-2026 FSC-klagomål mail.docx", "A 1520-2026")</f>
        <v/>
      </c>
      <c r="X116">
        <f>HYPERLINK("https://klasma.github.io/Logging_0980/tillsyn/A 1520-2026 tillsynsbegäran.docx", "A 1520-2026")</f>
        <v/>
      </c>
      <c r="Y116">
        <f>HYPERLINK("https://klasma.github.io/Logging_0980/tillsynsmail/A 1520-2026 tillsynsbegäran mail.docx", "A 1520-2026")</f>
        <v/>
      </c>
    </row>
    <row r="117" ht="15" customHeight="1">
      <c r="A117" t="inlineStr">
        <is>
          <t>A 48126-2022</t>
        </is>
      </c>
      <c r="B117" s="1" t="n">
        <v>44857</v>
      </c>
      <c r="C117" s="1" t="n">
        <v>46098</v>
      </c>
      <c r="D117" t="inlineStr">
        <is>
          <t>GOTLANDS LÄN</t>
        </is>
      </c>
      <c r="E117" t="inlineStr">
        <is>
          <t>GOTLAND</t>
        </is>
      </c>
      <c r="G117" t="n">
        <v>9.800000000000001</v>
      </c>
      <c r="H117" t="n">
        <v>1</v>
      </c>
      <c r="I117" t="n">
        <v>0</v>
      </c>
      <c r="J117" t="n">
        <v>3</v>
      </c>
      <c r="K117" t="n">
        <v>0</v>
      </c>
      <c r="L117" t="n">
        <v>0</v>
      </c>
      <c r="M117" t="n">
        <v>0</v>
      </c>
      <c r="N117" t="n">
        <v>0</v>
      </c>
      <c r="O117" t="n">
        <v>3</v>
      </c>
      <c r="P117" t="n">
        <v>0</v>
      </c>
      <c r="Q117" t="n">
        <v>3</v>
      </c>
      <c r="R117" s="2" t="inlineStr">
        <is>
          <t>Jordtistel
Spillkråka
Svinrot</t>
        </is>
      </c>
      <c r="S117">
        <f>HYPERLINK("https://klasma.github.io/Logging_0980/artfynd/A 48126-2022 artfynd.xlsx", "A 48126-2022")</f>
        <v/>
      </c>
      <c r="T117">
        <f>HYPERLINK("https://klasma.github.io/Logging_0980/kartor/A 48126-2022 karta.png", "A 48126-2022")</f>
        <v/>
      </c>
      <c r="V117">
        <f>HYPERLINK("https://klasma.github.io/Logging_0980/klagomål/A 48126-2022 FSC-klagomål.docx", "A 48126-2022")</f>
        <v/>
      </c>
      <c r="W117">
        <f>HYPERLINK("https://klasma.github.io/Logging_0980/klagomålsmail/A 48126-2022 FSC-klagomål mail.docx", "A 48126-2022")</f>
        <v/>
      </c>
      <c r="X117">
        <f>HYPERLINK("https://klasma.github.io/Logging_0980/tillsyn/A 48126-2022 tillsynsbegäran.docx", "A 48126-2022")</f>
        <v/>
      </c>
      <c r="Y117">
        <f>HYPERLINK("https://klasma.github.io/Logging_0980/tillsynsmail/A 48126-2022 tillsynsbegäran mail.docx", "A 48126-2022")</f>
        <v/>
      </c>
      <c r="Z117">
        <f>HYPERLINK("https://klasma.github.io/Logging_0980/fåglar/A 48126-2022 prioriterade fågelarter.docx", "A 48126-2022")</f>
        <v/>
      </c>
    </row>
    <row r="118" ht="15" customHeight="1">
      <c r="A118" t="inlineStr">
        <is>
          <t>A 17975-2024</t>
        </is>
      </c>
      <c r="B118" s="1" t="n">
        <v>45419.85546296297</v>
      </c>
      <c r="C118" s="1" t="n">
        <v>46098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46098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46098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46098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46098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46098</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46098</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46098</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46098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46098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46098</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20429-2025</t>
        </is>
      </c>
      <c r="B130" s="1" t="n">
        <v>45775.47728009259</v>
      </c>
      <c r="C130" s="1" t="n">
        <v>46098</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63162-2025</t>
        </is>
      </c>
      <c r="B131" s="1" t="n">
        <v>46010.37629629629</v>
      </c>
      <c r="C131" s="1" t="n">
        <v>46098</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10274-2026</t>
        </is>
      </c>
      <c r="B132" s="1" t="n">
        <v>46076.58261574074</v>
      </c>
      <c r="C132" s="1" t="n">
        <v>46098</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46098</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7070-2022</t>
        </is>
      </c>
      <c r="B134" s="1" t="n">
        <v>44603</v>
      </c>
      <c r="C134" s="1" t="n">
        <v>46098</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12914-2025</t>
        </is>
      </c>
      <c r="B135" s="1" t="n">
        <v>45733</v>
      </c>
      <c r="C135" s="1" t="n">
        <v>46098</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46098</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46098</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46098</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46098</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46098</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46098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63576-2021</t>
        </is>
      </c>
      <c r="B143" s="1" t="n">
        <v>44508</v>
      </c>
      <c r="C143" s="1" t="n">
        <v>46098</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24245-2022</t>
        </is>
      </c>
      <c r="B144" s="1" t="n">
        <v>44725</v>
      </c>
      <c r="C144" s="1" t="n">
        <v>46098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46098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21466-2025</t>
        </is>
      </c>
      <c r="B146" s="1" t="n">
        <v>45782</v>
      </c>
      <c r="C146" s="1" t="n">
        <v>46098</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49726-2025</t>
        </is>
      </c>
      <c r="B147" s="1" t="n">
        <v>45939.84466435185</v>
      </c>
      <c r="C147" s="1" t="n">
        <v>46098</v>
      </c>
      <c r="D147" t="inlineStr">
        <is>
          <t>GOTLANDS LÄN</t>
        </is>
      </c>
      <c r="E147" t="inlineStr">
        <is>
          <t>GOTLAND</t>
        </is>
      </c>
      <c r="F147" t="inlineStr">
        <is>
          <t>Kyrkan</t>
        </is>
      </c>
      <c r="G147" t="n">
        <v>5.4</v>
      </c>
      <c r="H147" t="n">
        <v>0</v>
      </c>
      <c r="I147" t="n">
        <v>0</v>
      </c>
      <c r="J147" t="n">
        <v>1</v>
      </c>
      <c r="K147" t="n">
        <v>0</v>
      </c>
      <c r="L147" t="n">
        <v>0</v>
      </c>
      <c r="M147" t="n">
        <v>0</v>
      </c>
      <c r="N147" t="n">
        <v>0</v>
      </c>
      <c r="O147" t="n">
        <v>1</v>
      </c>
      <c r="P147" t="n">
        <v>0</v>
      </c>
      <c r="Q147" t="n">
        <v>1</v>
      </c>
      <c r="R147" s="2" t="inlineStr">
        <is>
          <t>Odörspindling</t>
        </is>
      </c>
      <c r="S147">
        <f>HYPERLINK("https://klasma.github.io/Logging_0980/artfynd/A 49726-2025 artfynd.xlsx", "A 49726-2025")</f>
        <v/>
      </c>
      <c r="T147">
        <f>HYPERLINK("https://klasma.github.io/Logging_0980/kartor/A 49726-2025 karta.png", "A 49726-2025")</f>
        <v/>
      </c>
      <c r="V147">
        <f>HYPERLINK("https://klasma.github.io/Logging_0980/klagomål/A 49726-2025 FSC-klagomål.docx", "A 49726-2025")</f>
        <v/>
      </c>
      <c r="W147">
        <f>HYPERLINK("https://klasma.github.io/Logging_0980/klagomålsmail/A 49726-2025 FSC-klagomål mail.docx", "A 49726-2025")</f>
        <v/>
      </c>
      <c r="X147">
        <f>HYPERLINK("https://klasma.github.io/Logging_0980/tillsyn/A 49726-2025 tillsynsbegäran.docx", "A 49726-2025")</f>
        <v/>
      </c>
      <c r="Y147">
        <f>HYPERLINK("https://klasma.github.io/Logging_0980/tillsynsmail/A 49726-2025 tillsynsbegäran mail.docx", "A 49726-2025")</f>
        <v/>
      </c>
    </row>
    <row r="148" ht="15" customHeight="1">
      <c r="A148" t="inlineStr">
        <is>
          <t>A 10440-2024</t>
        </is>
      </c>
      <c r="B148" s="1" t="n">
        <v>45366.32818287037</v>
      </c>
      <c r="C148" s="1" t="n">
        <v>46098</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46098</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26461-2025</t>
        </is>
      </c>
      <c r="B150" s="1" t="n">
        <v>45807.43337962963</v>
      </c>
      <c r="C150" s="1" t="n">
        <v>46098</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35467-2021</t>
        </is>
      </c>
      <c r="B151" s="1" t="n">
        <v>44385</v>
      </c>
      <c r="C151" s="1" t="n">
        <v>46098</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44619-2025</t>
        </is>
      </c>
      <c r="B152" s="1" t="n">
        <v>45917</v>
      </c>
      <c r="C152" s="1" t="n">
        <v>46098</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44308-2021</t>
        </is>
      </c>
      <c r="B153" s="1" t="n">
        <v>44434</v>
      </c>
      <c r="C153" s="1" t="n">
        <v>46098</v>
      </c>
      <c r="D153" t="inlineStr">
        <is>
          <t>GOTLANDS LÄN</t>
        </is>
      </c>
      <c r="E153" t="inlineStr">
        <is>
          <t>GOTLAND</t>
        </is>
      </c>
      <c r="G153" t="n">
        <v>5.9</v>
      </c>
      <c r="H153" t="n">
        <v>0</v>
      </c>
      <c r="I153" t="n">
        <v>1</v>
      </c>
      <c r="J153" t="n">
        <v>0</v>
      </c>
      <c r="K153" t="n">
        <v>0</v>
      </c>
      <c r="L153" t="n">
        <v>0</v>
      </c>
      <c r="M153" t="n">
        <v>0</v>
      </c>
      <c r="N153" t="n">
        <v>0</v>
      </c>
      <c r="O153" t="n">
        <v>0</v>
      </c>
      <c r="P153" t="n">
        <v>0</v>
      </c>
      <c r="Q153" t="n">
        <v>1</v>
      </c>
      <c r="R153" s="2" t="inlineStr">
        <is>
          <t>Svavelriska</t>
        </is>
      </c>
      <c r="S153">
        <f>HYPERLINK("https://klasma.github.io/Logging_0980/artfynd/A 44308-2021 artfynd.xlsx", "A 44308-2021")</f>
        <v/>
      </c>
      <c r="T153">
        <f>HYPERLINK("https://klasma.github.io/Logging_0980/kartor/A 44308-2021 karta.png", "A 44308-2021")</f>
        <v/>
      </c>
      <c r="V153">
        <f>HYPERLINK("https://klasma.github.io/Logging_0980/klagomål/A 44308-2021 FSC-klagomål.docx", "A 44308-2021")</f>
        <v/>
      </c>
      <c r="W153">
        <f>HYPERLINK("https://klasma.github.io/Logging_0980/klagomålsmail/A 44308-2021 FSC-klagomål mail.docx", "A 44308-2021")</f>
        <v/>
      </c>
      <c r="X153">
        <f>HYPERLINK("https://klasma.github.io/Logging_0980/tillsyn/A 44308-2021 tillsynsbegäran.docx", "A 44308-2021")</f>
        <v/>
      </c>
      <c r="Y153">
        <f>HYPERLINK("https://klasma.github.io/Logging_0980/tillsynsmail/A 44308-2021 tillsynsbegäran mail.docx", "A 44308-2021")</f>
        <v/>
      </c>
    </row>
    <row r="154" ht="15" customHeight="1">
      <c r="A154" t="inlineStr">
        <is>
          <t>A 9862-2024</t>
        </is>
      </c>
      <c r="B154" s="1" t="n">
        <v>45363</v>
      </c>
      <c r="C154" s="1" t="n">
        <v>46098</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46098</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46527-2023</t>
        </is>
      </c>
      <c r="B156" s="1" t="n">
        <v>45197</v>
      </c>
      <c r="C156" s="1" t="n">
        <v>46098</v>
      </c>
      <c r="D156" t="inlineStr">
        <is>
          <t>GOTLANDS LÄN</t>
        </is>
      </c>
      <c r="E156" t="inlineStr">
        <is>
          <t>GOTLAND</t>
        </is>
      </c>
      <c r="G156" t="n">
        <v>0.9</v>
      </c>
      <c r="H156" t="n">
        <v>0</v>
      </c>
      <c r="I156" t="n">
        <v>0</v>
      </c>
      <c r="J156" t="n">
        <v>1</v>
      </c>
      <c r="K156" t="n">
        <v>0</v>
      </c>
      <c r="L156" t="n">
        <v>0</v>
      </c>
      <c r="M156" t="n">
        <v>0</v>
      </c>
      <c r="N156" t="n">
        <v>0</v>
      </c>
      <c r="O156" t="n">
        <v>1</v>
      </c>
      <c r="P156" t="n">
        <v>0</v>
      </c>
      <c r="Q156" t="n">
        <v>1</v>
      </c>
      <c r="R156" s="2" t="inlineStr">
        <is>
          <t>Guldgräshoppa</t>
        </is>
      </c>
      <c r="S156">
        <f>HYPERLINK("https://klasma.github.io/Logging_0980/artfynd/A 46527-2023 artfynd.xlsx", "A 46527-2023")</f>
        <v/>
      </c>
      <c r="T156">
        <f>HYPERLINK("https://klasma.github.io/Logging_0980/kartor/A 46527-2023 karta.png", "A 46527-2023")</f>
        <v/>
      </c>
      <c r="V156">
        <f>HYPERLINK("https://klasma.github.io/Logging_0980/klagomål/A 46527-2023 FSC-klagomål.docx", "A 46527-2023")</f>
        <v/>
      </c>
      <c r="W156">
        <f>HYPERLINK("https://klasma.github.io/Logging_0980/klagomålsmail/A 46527-2023 FSC-klagomål mail.docx", "A 46527-2023")</f>
        <v/>
      </c>
      <c r="X156">
        <f>HYPERLINK("https://klasma.github.io/Logging_0980/tillsyn/A 46527-2023 tillsynsbegäran.docx", "A 46527-2023")</f>
        <v/>
      </c>
      <c r="Y156">
        <f>HYPERLINK("https://klasma.github.io/Logging_0980/tillsynsmail/A 46527-2023 tillsynsbegäran mail.docx", "A 46527-2023")</f>
        <v/>
      </c>
    </row>
    <row r="157" ht="15" customHeight="1">
      <c r="A157" t="inlineStr">
        <is>
          <t>A 12924-2025</t>
        </is>
      </c>
      <c r="B157" s="1" t="n">
        <v>45734</v>
      </c>
      <c r="C157" s="1" t="n">
        <v>46098</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63149-2025</t>
        </is>
      </c>
      <c r="B158" s="1" t="n">
        <v>46010</v>
      </c>
      <c r="C158" s="1" t="n">
        <v>46098</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Anisspindling</t>
        </is>
      </c>
      <c r="S158">
        <f>HYPERLINK("https://klasma.github.io/Logging_0980/artfynd/A 63149-2025 artfynd.xlsx", "A 63149-2025")</f>
        <v/>
      </c>
      <c r="T158">
        <f>HYPERLINK("https://klasma.github.io/Logging_0980/kartor/A 63149-2025 karta.png", "A 63149-2025")</f>
        <v/>
      </c>
      <c r="V158">
        <f>HYPERLINK("https://klasma.github.io/Logging_0980/klagomål/A 63149-2025 FSC-klagomål.docx", "A 63149-2025")</f>
        <v/>
      </c>
      <c r="W158">
        <f>HYPERLINK("https://klasma.github.io/Logging_0980/klagomålsmail/A 63149-2025 FSC-klagomål mail.docx", "A 63149-2025")</f>
        <v/>
      </c>
      <c r="X158">
        <f>HYPERLINK("https://klasma.github.io/Logging_0980/tillsyn/A 63149-2025 tillsynsbegäran.docx", "A 63149-2025")</f>
        <v/>
      </c>
      <c r="Y158">
        <f>HYPERLINK("https://klasma.github.io/Logging_0980/tillsynsmail/A 63149-2025 tillsynsbegäran mail.docx", "A 63149-2025")</f>
        <v/>
      </c>
    </row>
    <row r="159" ht="15" customHeight="1">
      <c r="A159" t="inlineStr">
        <is>
          <t>A 17723-2021</t>
        </is>
      </c>
      <c r="B159" s="1" t="n">
        <v>44300</v>
      </c>
      <c r="C159" s="1" t="n">
        <v>46098</v>
      </c>
      <c r="D159" t="inlineStr">
        <is>
          <t>GOTLANDS LÄN</t>
        </is>
      </c>
      <c r="E159" t="inlineStr">
        <is>
          <t>GOTLAND</t>
        </is>
      </c>
      <c r="G159" t="n">
        <v>1.5</v>
      </c>
      <c r="H159" t="n">
        <v>1</v>
      </c>
      <c r="I159" t="n">
        <v>1</v>
      </c>
      <c r="J159" t="n">
        <v>0</v>
      </c>
      <c r="K159" t="n">
        <v>0</v>
      </c>
      <c r="L159" t="n">
        <v>0</v>
      </c>
      <c r="M159" t="n">
        <v>0</v>
      </c>
      <c r="N159" t="n">
        <v>0</v>
      </c>
      <c r="O159" t="n">
        <v>0</v>
      </c>
      <c r="P159" t="n">
        <v>0</v>
      </c>
      <c r="Q159" t="n">
        <v>1</v>
      </c>
      <c r="R159" s="2" t="inlineStr">
        <is>
          <t>Vit skogslilja</t>
        </is>
      </c>
      <c r="S159">
        <f>HYPERLINK("https://klasma.github.io/Logging_0980/artfynd/A 17723-2021 artfynd.xlsx", "A 17723-2021")</f>
        <v/>
      </c>
      <c r="T159">
        <f>HYPERLINK("https://klasma.github.io/Logging_0980/kartor/A 17723-2021 karta.png", "A 17723-2021")</f>
        <v/>
      </c>
      <c r="V159">
        <f>HYPERLINK("https://klasma.github.io/Logging_0980/klagomål/A 17723-2021 FSC-klagomål.docx", "A 17723-2021")</f>
        <v/>
      </c>
      <c r="W159">
        <f>HYPERLINK("https://klasma.github.io/Logging_0980/klagomålsmail/A 17723-2021 FSC-klagomål mail.docx", "A 17723-2021")</f>
        <v/>
      </c>
      <c r="X159">
        <f>HYPERLINK("https://klasma.github.io/Logging_0980/tillsyn/A 17723-2021 tillsynsbegäran.docx", "A 17723-2021")</f>
        <v/>
      </c>
      <c r="Y159">
        <f>HYPERLINK("https://klasma.github.io/Logging_0980/tillsynsmail/A 17723-2021 tillsynsbegäran mail.docx", "A 17723-2021")</f>
        <v/>
      </c>
    </row>
    <row r="160" ht="15" customHeight="1">
      <c r="A160" t="inlineStr">
        <is>
          <t>A 13939-2021</t>
        </is>
      </c>
      <c r="B160" s="1" t="n">
        <v>44277</v>
      </c>
      <c r="C160" s="1" t="n">
        <v>46098</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6303-2024</t>
        </is>
      </c>
      <c r="B161" s="1" t="n">
        <v>45338.35376157407</v>
      </c>
      <c r="C161" s="1" t="n">
        <v>46098</v>
      </c>
      <c r="D161" t="inlineStr">
        <is>
          <t>GOTLANDS LÄN</t>
        </is>
      </c>
      <c r="E161" t="inlineStr">
        <is>
          <t>GOTLAND</t>
        </is>
      </c>
      <c r="G161" t="n">
        <v>0.6</v>
      </c>
      <c r="H161" t="n">
        <v>0</v>
      </c>
      <c r="I161" t="n">
        <v>1</v>
      </c>
      <c r="J161" t="n">
        <v>0</v>
      </c>
      <c r="K161" t="n">
        <v>0</v>
      </c>
      <c r="L161" t="n">
        <v>0</v>
      </c>
      <c r="M161" t="n">
        <v>0</v>
      </c>
      <c r="N161" t="n">
        <v>0</v>
      </c>
      <c r="O161" t="n">
        <v>0</v>
      </c>
      <c r="P161" t="n">
        <v>0</v>
      </c>
      <c r="Q161" t="n">
        <v>1</v>
      </c>
      <c r="R161" s="2" t="inlineStr">
        <is>
          <t>Strävlosta</t>
        </is>
      </c>
      <c r="S161">
        <f>HYPERLINK("https://klasma.github.io/Logging_0980/artfynd/A 6303-2024 artfynd.xlsx", "A 6303-2024")</f>
        <v/>
      </c>
      <c r="T161">
        <f>HYPERLINK("https://klasma.github.io/Logging_0980/kartor/A 6303-2024 karta.png", "A 6303-2024")</f>
        <v/>
      </c>
      <c r="V161">
        <f>HYPERLINK("https://klasma.github.io/Logging_0980/klagomål/A 6303-2024 FSC-klagomål.docx", "A 6303-2024")</f>
        <v/>
      </c>
      <c r="W161">
        <f>HYPERLINK("https://klasma.github.io/Logging_0980/klagomålsmail/A 6303-2024 FSC-klagomål mail.docx", "A 6303-2024")</f>
        <v/>
      </c>
      <c r="X161">
        <f>HYPERLINK("https://klasma.github.io/Logging_0980/tillsyn/A 6303-2024 tillsynsbegäran.docx", "A 6303-2024")</f>
        <v/>
      </c>
      <c r="Y161">
        <f>HYPERLINK("https://klasma.github.io/Logging_0980/tillsynsmail/A 6303-2024 tillsynsbegäran mail.docx", "A 6303-2024")</f>
        <v/>
      </c>
    </row>
    <row r="162" ht="15" customHeight="1">
      <c r="A162" t="inlineStr">
        <is>
          <t>A 62552-2022</t>
        </is>
      </c>
      <c r="B162" s="1" t="n">
        <v>44924</v>
      </c>
      <c r="C162" s="1" t="n">
        <v>46098</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25977-2024</t>
        </is>
      </c>
      <c r="B163" s="1" t="n">
        <v>45467.69356481481</v>
      </c>
      <c r="C163" s="1" t="n">
        <v>46098</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11708-2026</t>
        </is>
      </c>
      <c r="B164" s="1" t="n">
        <v>46084</v>
      </c>
      <c r="C164" s="1" t="n">
        <v>46098</v>
      </c>
      <c r="D164" t="inlineStr">
        <is>
          <t>GOTLANDS LÄN</t>
        </is>
      </c>
      <c r="E164" t="inlineStr">
        <is>
          <t>GOTLAND</t>
        </is>
      </c>
      <c r="G164" t="n">
        <v>8.4</v>
      </c>
      <c r="H164" t="n">
        <v>1</v>
      </c>
      <c r="I164" t="n">
        <v>0</v>
      </c>
      <c r="J164" t="n">
        <v>1</v>
      </c>
      <c r="K164" t="n">
        <v>0</v>
      </c>
      <c r="L164" t="n">
        <v>0</v>
      </c>
      <c r="M164" t="n">
        <v>0</v>
      </c>
      <c r="N164" t="n">
        <v>0</v>
      </c>
      <c r="O164" t="n">
        <v>1</v>
      </c>
      <c r="P164" t="n">
        <v>0</v>
      </c>
      <c r="Q164" t="n">
        <v>1</v>
      </c>
      <c r="R164" s="2" t="inlineStr">
        <is>
          <t>Bredarun</t>
        </is>
      </c>
      <c r="S164">
        <f>HYPERLINK("https://klasma.github.io/Logging_0980/artfynd/A 11708-2026 artfynd.xlsx", "A 11708-2026")</f>
        <v/>
      </c>
      <c r="T164">
        <f>HYPERLINK("https://klasma.github.io/Logging_0980/kartor/A 11708-2026 karta.png", "A 11708-2026")</f>
        <v/>
      </c>
      <c r="V164">
        <f>HYPERLINK("https://klasma.github.io/Logging_0980/klagomål/A 11708-2026 FSC-klagomål.docx", "A 11708-2026")</f>
        <v/>
      </c>
      <c r="W164">
        <f>HYPERLINK("https://klasma.github.io/Logging_0980/klagomålsmail/A 11708-2026 FSC-klagomål mail.docx", "A 11708-2026")</f>
        <v/>
      </c>
      <c r="X164">
        <f>HYPERLINK("https://klasma.github.io/Logging_0980/tillsyn/A 11708-2026 tillsynsbegäran.docx", "A 11708-2026")</f>
        <v/>
      </c>
      <c r="Y164">
        <f>HYPERLINK("https://klasma.github.io/Logging_0980/tillsynsmail/A 11708-2026 tillsynsbegäran mail.docx", "A 11708-2026")</f>
        <v/>
      </c>
    </row>
    <row r="165" ht="15" customHeight="1">
      <c r="A165" t="inlineStr">
        <is>
          <t>A 27589-2023</t>
        </is>
      </c>
      <c r="B165" s="1" t="n">
        <v>45097</v>
      </c>
      <c r="C165" s="1" t="n">
        <v>46098</v>
      </c>
      <c r="D165" t="inlineStr">
        <is>
          <t>GOTLANDS LÄN</t>
        </is>
      </c>
      <c r="E165" t="inlineStr">
        <is>
          <t>GOTLAND</t>
        </is>
      </c>
      <c r="G165" t="n">
        <v>5.4</v>
      </c>
      <c r="H165" t="n">
        <v>0</v>
      </c>
      <c r="I165" t="n">
        <v>0</v>
      </c>
      <c r="J165" t="n">
        <v>0</v>
      </c>
      <c r="K165" t="n">
        <v>0</v>
      </c>
      <c r="L165" t="n">
        <v>0</v>
      </c>
      <c r="M165" t="n">
        <v>1</v>
      </c>
      <c r="N165" t="n">
        <v>0</v>
      </c>
      <c r="O165" t="n">
        <v>1</v>
      </c>
      <c r="P165" t="n">
        <v>1</v>
      </c>
      <c r="Q165" t="n">
        <v>1</v>
      </c>
      <c r="R165" s="2" t="inlineStr">
        <is>
          <t>Skogsalm</t>
        </is>
      </c>
      <c r="S165">
        <f>HYPERLINK("https://klasma.github.io/Logging_0980/artfynd/A 27589-2023 artfynd.xlsx", "A 27589-2023")</f>
        <v/>
      </c>
      <c r="T165">
        <f>HYPERLINK("https://klasma.github.io/Logging_0980/kartor/A 27589-2023 karta.png", "A 27589-2023")</f>
        <v/>
      </c>
      <c r="V165">
        <f>HYPERLINK("https://klasma.github.io/Logging_0980/klagomål/A 27589-2023 FSC-klagomål.docx", "A 27589-2023")</f>
        <v/>
      </c>
      <c r="W165">
        <f>HYPERLINK("https://klasma.github.io/Logging_0980/klagomålsmail/A 27589-2023 FSC-klagomål mail.docx", "A 27589-2023")</f>
        <v/>
      </c>
      <c r="X165">
        <f>HYPERLINK("https://klasma.github.io/Logging_0980/tillsyn/A 27589-2023 tillsynsbegäran.docx", "A 27589-2023")</f>
        <v/>
      </c>
      <c r="Y165">
        <f>HYPERLINK("https://klasma.github.io/Logging_0980/tillsynsmail/A 27589-2023 tillsynsbegäran mail.docx", "A 27589-2023")</f>
        <v/>
      </c>
    </row>
    <row r="166" ht="15" customHeight="1">
      <c r="A166" t="inlineStr">
        <is>
          <t>A 10013-2026</t>
        </is>
      </c>
      <c r="B166" s="1" t="n">
        <v>46073</v>
      </c>
      <c r="C166" s="1" t="n">
        <v>46098</v>
      </c>
      <c r="D166" t="inlineStr">
        <is>
          <t>GOTLANDS LÄN</t>
        </is>
      </c>
      <c r="E166" t="inlineStr">
        <is>
          <t>GOTLAND</t>
        </is>
      </c>
      <c r="G166" t="n">
        <v>10.5</v>
      </c>
      <c r="H166" t="n">
        <v>0</v>
      </c>
      <c r="I166" t="n">
        <v>0</v>
      </c>
      <c r="J166" t="n">
        <v>0</v>
      </c>
      <c r="K166" t="n">
        <v>1</v>
      </c>
      <c r="L166" t="n">
        <v>0</v>
      </c>
      <c r="M166" t="n">
        <v>0</v>
      </c>
      <c r="N166" t="n">
        <v>0</v>
      </c>
      <c r="O166" t="n">
        <v>1</v>
      </c>
      <c r="P166" t="n">
        <v>1</v>
      </c>
      <c r="Q166" t="n">
        <v>1</v>
      </c>
      <c r="R166" s="2" t="inlineStr">
        <is>
          <t>Skogskorn</t>
        </is>
      </c>
      <c r="S166">
        <f>HYPERLINK("https://klasma.github.io/Logging_0980/artfynd/A 10013-2026 artfynd.xlsx", "A 10013-2026")</f>
        <v/>
      </c>
      <c r="T166">
        <f>HYPERLINK("https://klasma.github.io/Logging_0980/kartor/A 10013-2026 karta.png", "A 10013-2026")</f>
        <v/>
      </c>
      <c r="V166">
        <f>HYPERLINK("https://klasma.github.io/Logging_0980/klagomål/A 10013-2026 FSC-klagomål.docx", "A 10013-2026")</f>
        <v/>
      </c>
      <c r="W166">
        <f>HYPERLINK("https://klasma.github.io/Logging_0980/klagomålsmail/A 10013-2026 FSC-klagomål mail.docx", "A 10013-2026")</f>
        <v/>
      </c>
      <c r="X166">
        <f>HYPERLINK("https://klasma.github.io/Logging_0980/tillsyn/A 10013-2026 tillsynsbegäran.docx", "A 10013-2026")</f>
        <v/>
      </c>
      <c r="Y166">
        <f>HYPERLINK("https://klasma.github.io/Logging_0980/tillsynsmail/A 10013-2026 tillsynsbegäran mail.docx", "A 10013-2026")</f>
        <v/>
      </c>
    </row>
    <row r="167" ht="15" customHeight="1">
      <c r="A167" t="inlineStr">
        <is>
          <t>A 65927-2021</t>
        </is>
      </c>
      <c r="B167" s="1" t="n">
        <v>44516</v>
      </c>
      <c r="C167" s="1" t="n">
        <v>46098</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46098</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61561-2023</t>
        </is>
      </c>
      <c r="B169" s="1" t="n">
        <v>45265</v>
      </c>
      <c r="C169" s="1" t="n">
        <v>46098</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12324-2025</t>
        </is>
      </c>
      <c r="B170" s="1" t="n">
        <v>45730</v>
      </c>
      <c r="C170" s="1" t="n">
        <v>46098</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2476-2025</t>
        </is>
      </c>
      <c r="B171" s="1" t="n">
        <v>45673</v>
      </c>
      <c r="C171" s="1" t="n">
        <v>46098</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46098</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46098</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34809-2024</t>
        </is>
      </c>
      <c r="B174" s="1" t="n">
        <v>45526</v>
      </c>
      <c r="C174" s="1" t="n">
        <v>46098</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49304-2024</t>
        </is>
      </c>
      <c r="B175" s="1" t="n">
        <v>45595.54996527778</v>
      </c>
      <c r="C175" s="1" t="n">
        <v>46098</v>
      </c>
      <c r="D175" t="inlineStr">
        <is>
          <t>GOTLANDS LÄN</t>
        </is>
      </c>
      <c r="E175" t="inlineStr">
        <is>
          <t>GOTLAND</t>
        </is>
      </c>
      <c r="G175" t="n">
        <v>10.8</v>
      </c>
      <c r="H175" t="n">
        <v>0</v>
      </c>
      <c r="I175" t="n">
        <v>0</v>
      </c>
      <c r="J175" t="n">
        <v>1</v>
      </c>
      <c r="K175" t="n">
        <v>0</v>
      </c>
      <c r="L175" t="n">
        <v>0</v>
      </c>
      <c r="M175" t="n">
        <v>0</v>
      </c>
      <c r="N175" t="n">
        <v>0</v>
      </c>
      <c r="O175" t="n">
        <v>1</v>
      </c>
      <c r="P175" t="n">
        <v>0</v>
      </c>
      <c r="Q175" t="n">
        <v>1</v>
      </c>
      <c r="R175" s="2" t="inlineStr">
        <is>
          <t>Åkerranunkel</t>
        </is>
      </c>
      <c r="S175">
        <f>HYPERLINK("https://klasma.github.io/Logging_0980/artfynd/A 49304-2024 artfynd.xlsx", "A 49304-2024")</f>
        <v/>
      </c>
      <c r="T175">
        <f>HYPERLINK("https://klasma.github.io/Logging_0980/kartor/A 49304-2024 karta.png", "A 49304-2024")</f>
        <v/>
      </c>
      <c r="V175">
        <f>HYPERLINK("https://klasma.github.io/Logging_0980/klagomål/A 49304-2024 FSC-klagomål.docx", "A 49304-2024")</f>
        <v/>
      </c>
      <c r="W175">
        <f>HYPERLINK("https://klasma.github.io/Logging_0980/klagomålsmail/A 49304-2024 FSC-klagomål mail.docx", "A 49304-2024")</f>
        <v/>
      </c>
      <c r="X175">
        <f>HYPERLINK("https://klasma.github.io/Logging_0980/tillsyn/A 49304-2024 tillsynsbegäran.docx", "A 49304-2024")</f>
        <v/>
      </c>
      <c r="Y175">
        <f>HYPERLINK("https://klasma.github.io/Logging_0980/tillsynsmail/A 49304-2024 tillsynsbegäran mail.docx", "A 49304-2024")</f>
        <v/>
      </c>
    </row>
    <row r="176" ht="15" customHeight="1">
      <c r="A176" t="inlineStr">
        <is>
          <t>A 22782-2023</t>
        </is>
      </c>
      <c r="B176" s="1" t="n">
        <v>45072</v>
      </c>
      <c r="C176" s="1" t="n">
        <v>46098</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44088-2022</t>
        </is>
      </c>
      <c r="B177" s="1" t="n">
        <v>44839</v>
      </c>
      <c r="C177" s="1" t="n">
        <v>46098</v>
      </c>
      <c r="D177" t="inlineStr">
        <is>
          <t>GOTLANDS LÄN</t>
        </is>
      </c>
      <c r="E177" t="inlineStr">
        <is>
          <t>GOTLAND</t>
        </is>
      </c>
      <c r="G177" t="n">
        <v>1.5</v>
      </c>
      <c r="H177" t="n">
        <v>0</v>
      </c>
      <c r="I177" t="n">
        <v>1</v>
      </c>
      <c r="J177" t="n">
        <v>0</v>
      </c>
      <c r="K177" t="n">
        <v>0</v>
      </c>
      <c r="L177" t="n">
        <v>0</v>
      </c>
      <c r="M177" t="n">
        <v>0</v>
      </c>
      <c r="N177" t="n">
        <v>0</v>
      </c>
      <c r="O177" t="n">
        <v>0</v>
      </c>
      <c r="P177" t="n">
        <v>0</v>
      </c>
      <c r="Q177" t="n">
        <v>1</v>
      </c>
      <c r="R177" s="2" t="inlineStr">
        <is>
          <t>Strävlosta</t>
        </is>
      </c>
      <c r="S177">
        <f>HYPERLINK("https://klasma.github.io/Logging_0980/artfynd/A 44088-2022 artfynd.xlsx", "A 44088-2022")</f>
        <v/>
      </c>
      <c r="T177">
        <f>HYPERLINK("https://klasma.github.io/Logging_0980/kartor/A 44088-2022 karta.png", "A 44088-2022")</f>
        <v/>
      </c>
      <c r="V177">
        <f>HYPERLINK("https://klasma.github.io/Logging_0980/klagomål/A 44088-2022 FSC-klagomål.docx", "A 44088-2022")</f>
        <v/>
      </c>
      <c r="W177">
        <f>HYPERLINK("https://klasma.github.io/Logging_0980/klagomålsmail/A 44088-2022 FSC-klagomål mail.docx", "A 44088-2022")</f>
        <v/>
      </c>
      <c r="X177">
        <f>HYPERLINK("https://klasma.github.io/Logging_0980/tillsyn/A 44088-2022 tillsynsbegäran.docx", "A 44088-2022")</f>
        <v/>
      </c>
      <c r="Y177">
        <f>HYPERLINK("https://klasma.github.io/Logging_0980/tillsynsmail/A 44088-2022 tillsynsbegäran mail.docx", "A 44088-2022")</f>
        <v/>
      </c>
    </row>
    <row r="178" ht="15" customHeight="1">
      <c r="A178" t="inlineStr">
        <is>
          <t>A 1477-2024</t>
        </is>
      </c>
      <c r="B178" s="1" t="n">
        <v>45305.37987268518</v>
      </c>
      <c r="C178" s="1" t="n">
        <v>46098</v>
      </c>
      <c r="D178" t="inlineStr">
        <is>
          <t>GOTLANDS LÄN</t>
        </is>
      </c>
      <c r="E178" t="inlineStr">
        <is>
          <t>GOTLAND</t>
        </is>
      </c>
      <c r="G178" t="n">
        <v>6.9</v>
      </c>
      <c r="H178" t="n">
        <v>0</v>
      </c>
      <c r="I178" t="n">
        <v>0</v>
      </c>
      <c r="J178" t="n">
        <v>1</v>
      </c>
      <c r="K178" t="n">
        <v>0</v>
      </c>
      <c r="L178" t="n">
        <v>0</v>
      </c>
      <c r="M178" t="n">
        <v>0</v>
      </c>
      <c r="N178" t="n">
        <v>0</v>
      </c>
      <c r="O178" t="n">
        <v>1</v>
      </c>
      <c r="P178" t="n">
        <v>0</v>
      </c>
      <c r="Q178" t="n">
        <v>1</v>
      </c>
      <c r="R178" s="2" t="inlineStr">
        <is>
          <t>Igelkott</t>
        </is>
      </c>
      <c r="S178">
        <f>HYPERLINK("https://klasma.github.io/Logging_0980/artfynd/A 1477-2024 artfynd.xlsx", "A 1477-2024")</f>
        <v/>
      </c>
      <c r="T178">
        <f>HYPERLINK("https://klasma.github.io/Logging_0980/kartor/A 1477-2024 karta.png", "A 1477-2024")</f>
        <v/>
      </c>
      <c r="V178">
        <f>HYPERLINK("https://klasma.github.io/Logging_0980/klagomål/A 1477-2024 FSC-klagomål.docx", "A 1477-2024")</f>
        <v/>
      </c>
      <c r="W178">
        <f>HYPERLINK("https://klasma.github.io/Logging_0980/klagomålsmail/A 1477-2024 FSC-klagomål mail.docx", "A 1477-2024")</f>
        <v/>
      </c>
      <c r="X178">
        <f>HYPERLINK("https://klasma.github.io/Logging_0980/tillsyn/A 1477-2024 tillsynsbegäran.docx", "A 1477-2024")</f>
        <v/>
      </c>
      <c r="Y178">
        <f>HYPERLINK("https://klasma.github.io/Logging_0980/tillsynsmail/A 1477-2024 tillsynsbegäran mail.docx", "A 1477-2024")</f>
        <v/>
      </c>
    </row>
    <row r="179" ht="15" customHeight="1">
      <c r="A179" t="inlineStr">
        <is>
          <t>A 7637-2025</t>
        </is>
      </c>
      <c r="B179" s="1" t="n">
        <v>45705.77181712963</v>
      </c>
      <c r="C179" s="1" t="n">
        <v>46098</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61796-2022</t>
        </is>
      </c>
      <c r="B180" s="1" t="n">
        <v>44917</v>
      </c>
      <c r="C180" s="1" t="n">
        <v>46098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46098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46098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46098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46098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46098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46098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49847-2023</t>
        </is>
      </c>
      <c r="B187" s="1" t="n">
        <v>45212</v>
      </c>
      <c r="C187" s="1" t="n">
        <v>46098</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46098</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19901-2021</t>
        </is>
      </c>
      <c r="B189" s="1" t="n">
        <v>44312</v>
      </c>
      <c r="C189" s="1" t="n">
        <v>46098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46098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46098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46098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46098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46098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46098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46098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46098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46098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46098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46098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46098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46098</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46098</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46098</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46098</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46098</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46098</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46098</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46098</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46098</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46098</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46098</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46098</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46098</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46098</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46098</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46098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46098</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46098</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46098</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46098</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46098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46098</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46098</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46098</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46098</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46098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46098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46098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46098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46098</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46098</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46098</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21164-2024</t>
        </is>
      </c>
      <c r="B235" s="1" t="n">
        <v>45440</v>
      </c>
      <c r="C235" s="1" t="n">
        <v>46098</v>
      </c>
      <c r="D235" t="inlineStr">
        <is>
          <t>GOTLANDS LÄN</t>
        </is>
      </c>
      <c r="E235" t="inlineStr">
        <is>
          <t>GOTLAND</t>
        </is>
      </c>
      <c r="G235" t="n">
        <v>6.3</v>
      </c>
      <c r="H235" t="n">
        <v>0</v>
      </c>
      <c r="I235" t="n">
        <v>0</v>
      </c>
      <c r="J235" t="n">
        <v>0</v>
      </c>
      <c r="K235" t="n">
        <v>0</v>
      </c>
      <c r="L235" t="n">
        <v>0</v>
      </c>
      <c r="M235" t="n">
        <v>0</v>
      </c>
      <c r="N235" t="n">
        <v>0</v>
      </c>
      <c r="O235" t="n">
        <v>0</v>
      </c>
      <c r="P235" t="n">
        <v>0</v>
      </c>
      <c r="Q235" t="n">
        <v>0</v>
      </c>
      <c r="R235" s="2" t="inlineStr"/>
    </row>
    <row r="236" ht="15" customHeight="1">
      <c r="A236" t="inlineStr">
        <is>
          <t>A 17541-2024</t>
        </is>
      </c>
      <c r="B236" s="1" t="n">
        <v>45415</v>
      </c>
      <c r="C236" s="1" t="n">
        <v>46098</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883-2025</t>
        </is>
      </c>
      <c r="B237" s="1" t="n">
        <v>45665</v>
      </c>
      <c r="C237" s="1" t="n">
        <v>46098</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13910-2025</t>
        </is>
      </c>
      <c r="B238" s="1" t="n">
        <v>45737</v>
      </c>
      <c r="C238" s="1" t="n">
        <v>46098</v>
      </c>
      <c r="D238" t="inlineStr">
        <is>
          <t>GOTLANDS LÄN</t>
        </is>
      </c>
      <c r="E238" t="inlineStr">
        <is>
          <t>GOTLAND</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46098</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46098</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20794-2025</t>
        </is>
      </c>
      <c r="B241" s="1" t="n">
        <v>45776</v>
      </c>
      <c r="C241" s="1" t="n">
        <v>46098</v>
      </c>
      <c r="D241" t="inlineStr">
        <is>
          <t>GOTLANDS LÄN</t>
        </is>
      </c>
      <c r="E241" t="inlineStr">
        <is>
          <t>GOTLAND</t>
        </is>
      </c>
      <c r="G241" t="n">
        <v>6</v>
      </c>
      <c r="H241" t="n">
        <v>0</v>
      </c>
      <c r="I241" t="n">
        <v>0</v>
      </c>
      <c r="J241" t="n">
        <v>0</v>
      </c>
      <c r="K241" t="n">
        <v>0</v>
      </c>
      <c r="L241" t="n">
        <v>0</v>
      </c>
      <c r="M241" t="n">
        <v>0</v>
      </c>
      <c r="N241" t="n">
        <v>0</v>
      </c>
      <c r="O241" t="n">
        <v>0</v>
      </c>
      <c r="P241" t="n">
        <v>0</v>
      </c>
      <c r="Q241" t="n">
        <v>0</v>
      </c>
      <c r="R241" s="2" t="inlineStr"/>
    </row>
    <row r="242" ht="15" customHeight="1">
      <c r="A242" t="inlineStr">
        <is>
          <t>A 32378-2025</t>
        </is>
      </c>
      <c r="B242" s="1" t="n">
        <v>45837</v>
      </c>
      <c r="C242" s="1" t="n">
        <v>46098</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46098</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20805-2025</t>
        </is>
      </c>
      <c r="B244" s="1" t="n">
        <v>45776</v>
      </c>
      <c r="C244" s="1" t="n">
        <v>46098</v>
      </c>
      <c r="D244" t="inlineStr">
        <is>
          <t>GOTLANDS LÄN</t>
        </is>
      </c>
      <c r="E244" t="inlineStr">
        <is>
          <t>GOTLAND</t>
        </is>
      </c>
      <c r="G244" t="n">
        <v>3.1</v>
      </c>
      <c r="H244" t="n">
        <v>0</v>
      </c>
      <c r="I244" t="n">
        <v>0</v>
      </c>
      <c r="J244" t="n">
        <v>0</v>
      </c>
      <c r="K244" t="n">
        <v>0</v>
      </c>
      <c r="L244" t="n">
        <v>0</v>
      </c>
      <c r="M244" t="n">
        <v>0</v>
      </c>
      <c r="N244" t="n">
        <v>0</v>
      </c>
      <c r="O244" t="n">
        <v>0</v>
      </c>
      <c r="P244" t="n">
        <v>0</v>
      </c>
      <c r="Q244" t="n">
        <v>0</v>
      </c>
      <c r="R244" s="2" t="inlineStr"/>
    </row>
    <row r="245" ht="15" customHeight="1">
      <c r="A245" t="inlineStr">
        <is>
          <t>A 21389-2025</t>
        </is>
      </c>
      <c r="B245" s="1" t="n">
        <v>45782</v>
      </c>
      <c r="C245" s="1" t="n">
        <v>46098</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46098</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46098</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61386-2023</t>
        </is>
      </c>
      <c r="B248" s="1" t="n">
        <v>45264</v>
      </c>
      <c r="C248" s="1" t="n">
        <v>46098</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35550-2025</t>
        </is>
      </c>
      <c r="B249" s="1" t="n">
        <v>45856.49324074074</v>
      </c>
      <c r="C249" s="1" t="n">
        <v>46098</v>
      </c>
      <c r="D249" t="inlineStr">
        <is>
          <t>GOTLANDS LÄN</t>
        </is>
      </c>
      <c r="E249" t="inlineStr">
        <is>
          <t>GOTLAND</t>
        </is>
      </c>
      <c r="G249" t="n">
        <v>3.2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46098</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46098</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47578-2025</t>
        </is>
      </c>
      <c r="B252" s="1" t="n">
        <v>45931</v>
      </c>
      <c r="C252" s="1" t="n">
        <v>46098</v>
      </c>
      <c r="D252" t="inlineStr">
        <is>
          <t>GOTLANDS LÄN</t>
        </is>
      </c>
      <c r="E252" t="inlineStr">
        <is>
          <t>GOTLAND</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21651-2025</t>
        </is>
      </c>
      <c r="B253" s="1" t="n">
        <v>45783</v>
      </c>
      <c r="C253" s="1" t="n">
        <v>46098</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46098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33011-2025</t>
        </is>
      </c>
      <c r="B255" s="1" t="n">
        <v>45840</v>
      </c>
      <c r="C255" s="1" t="n">
        <v>46098</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49690-2025</t>
        </is>
      </c>
      <c r="B256" s="1" t="n">
        <v>45939.66730324074</v>
      </c>
      <c r="C256" s="1" t="n">
        <v>46098</v>
      </c>
      <c r="D256" t="inlineStr">
        <is>
          <t>GOTLANDS LÄN</t>
        </is>
      </c>
      <c r="E256" t="inlineStr">
        <is>
          <t>GOTLAND</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46098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49724-2025</t>
        </is>
      </c>
      <c r="B258" s="1" t="n">
        <v>45939.83730324074</v>
      </c>
      <c r="C258" s="1" t="n">
        <v>46098</v>
      </c>
      <c r="D258" t="inlineStr">
        <is>
          <t>GOTLANDS LÄN</t>
        </is>
      </c>
      <c r="E258" t="inlineStr">
        <is>
          <t>GOTLAND</t>
        </is>
      </c>
      <c r="F258" t="inlineStr">
        <is>
          <t>Kyrkan</t>
        </is>
      </c>
      <c r="G258" t="n">
        <v>3.1</v>
      </c>
      <c r="H258" t="n">
        <v>0</v>
      </c>
      <c r="I258" t="n">
        <v>0</v>
      </c>
      <c r="J258" t="n">
        <v>0</v>
      </c>
      <c r="K258" t="n">
        <v>0</v>
      </c>
      <c r="L258" t="n">
        <v>0</v>
      </c>
      <c r="M258" t="n">
        <v>0</v>
      </c>
      <c r="N258" t="n">
        <v>0</v>
      </c>
      <c r="O258" t="n">
        <v>0</v>
      </c>
      <c r="P258" t="n">
        <v>0</v>
      </c>
      <c r="Q258" t="n">
        <v>0</v>
      </c>
      <c r="R258" s="2" t="inlineStr"/>
    </row>
    <row r="259" ht="15" customHeight="1">
      <c r="A259" t="inlineStr">
        <is>
          <t>A 49730-2025</t>
        </is>
      </c>
      <c r="B259" s="1" t="n">
        <v>45939.87613425926</v>
      </c>
      <c r="C259" s="1" t="n">
        <v>46098</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50421-2025</t>
        </is>
      </c>
      <c r="B260" s="1" t="n">
        <v>45944.66049768519</v>
      </c>
      <c r="C260" s="1" t="n">
        <v>46098</v>
      </c>
      <c r="D260" t="inlineStr">
        <is>
          <t>GOTLANDS LÄN</t>
        </is>
      </c>
      <c r="E260" t="inlineStr">
        <is>
          <t>GOTLAND</t>
        </is>
      </c>
      <c r="G260" t="n">
        <v>3.9</v>
      </c>
      <c r="H260" t="n">
        <v>0</v>
      </c>
      <c r="I260" t="n">
        <v>0</v>
      </c>
      <c r="J260" t="n">
        <v>0</v>
      </c>
      <c r="K260" t="n">
        <v>0</v>
      </c>
      <c r="L260" t="n">
        <v>0</v>
      </c>
      <c r="M260" t="n">
        <v>0</v>
      </c>
      <c r="N260" t="n">
        <v>0</v>
      </c>
      <c r="O260" t="n">
        <v>0</v>
      </c>
      <c r="P260" t="n">
        <v>0</v>
      </c>
      <c r="Q260" t="n">
        <v>0</v>
      </c>
      <c r="R260" s="2" t="inlineStr"/>
    </row>
    <row r="261" ht="15" customHeight="1">
      <c r="A261" t="inlineStr">
        <is>
          <t>A 21420-2024</t>
        </is>
      </c>
      <c r="B261" s="1" t="n">
        <v>45441.38293981482</v>
      </c>
      <c r="C261" s="1" t="n">
        <v>46098</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10656-2024</t>
        </is>
      </c>
      <c r="B262" s="1" t="n">
        <v>45368</v>
      </c>
      <c r="C262" s="1" t="n">
        <v>46098</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57356-2023</t>
        </is>
      </c>
      <c r="B263" s="1" t="n">
        <v>45240</v>
      </c>
      <c r="C263" s="1" t="n">
        <v>46098</v>
      </c>
      <c r="D263" t="inlineStr">
        <is>
          <t>GOTLANDS LÄN</t>
        </is>
      </c>
      <c r="E263" t="inlineStr">
        <is>
          <t>GOTLAND</t>
        </is>
      </c>
      <c r="G263" t="n">
        <v>6.4</v>
      </c>
      <c r="H263" t="n">
        <v>0</v>
      </c>
      <c r="I263" t="n">
        <v>0</v>
      </c>
      <c r="J263" t="n">
        <v>0</v>
      </c>
      <c r="K263" t="n">
        <v>0</v>
      </c>
      <c r="L263" t="n">
        <v>0</v>
      </c>
      <c r="M263" t="n">
        <v>0</v>
      </c>
      <c r="N263" t="n">
        <v>0</v>
      </c>
      <c r="O263" t="n">
        <v>0</v>
      </c>
      <c r="P263" t="n">
        <v>0</v>
      </c>
      <c r="Q263" t="n">
        <v>0</v>
      </c>
      <c r="R263" s="2" t="inlineStr"/>
    </row>
    <row r="264" ht="15" customHeight="1">
      <c r="A264" t="inlineStr">
        <is>
          <t>A 50431-2025</t>
        </is>
      </c>
      <c r="B264" s="1" t="n">
        <v>45944.68453703704</v>
      </c>
      <c r="C264" s="1" t="n">
        <v>46098</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28506-2023</t>
        </is>
      </c>
      <c r="B265" s="1" t="n">
        <v>45103</v>
      </c>
      <c r="C265" s="1" t="n">
        <v>46098</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46098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23188-2025</t>
        </is>
      </c>
      <c r="B267" s="1" t="n">
        <v>45791</v>
      </c>
      <c r="C267" s="1" t="n">
        <v>46098</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39814-2025</t>
        </is>
      </c>
      <c r="B268" s="1" t="n">
        <v>45891.52694444444</v>
      </c>
      <c r="C268" s="1" t="n">
        <v>46098</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46098</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50928-2025</t>
        </is>
      </c>
      <c r="B270" s="1" t="n">
        <v>45946.67896990741</v>
      </c>
      <c r="C270" s="1" t="n">
        <v>46098</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51262-2025</t>
        </is>
      </c>
      <c r="B271" s="1" t="n">
        <v>45949.49872685185</v>
      </c>
      <c r="C271" s="1" t="n">
        <v>46098</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46098</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46098</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39752-2025</t>
        </is>
      </c>
      <c r="B274" s="1" t="n">
        <v>45891</v>
      </c>
      <c r="C274" s="1" t="n">
        <v>46098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39816-2025</t>
        </is>
      </c>
      <c r="B275" s="1" t="n">
        <v>45891</v>
      </c>
      <c r="C275" s="1" t="n">
        <v>46098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46098</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46098</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15073-2025</t>
        </is>
      </c>
      <c r="B278" s="1" t="n">
        <v>45743</v>
      </c>
      <c r="C278" s="1" t="n">
        <v>46098</v>
      </c>
      <c r="D278" t="inlineStr">
        <is>
          <t>GOTLANDS LÄN</t>
        </is>
      </c>
      <c r="E278" t="inlineStr">
        <is>
          <t>GOTLAND</t>
        </is>
      </c>
      <c r="G278" t="n">
        <v>12.1</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46098</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40103-2025</t>
        </is>
      </c>
      <c r="B280" s="1" t="n">
        <v>45894.4880324074</v>
      </c>
      <c r="C280" s="1" t="n">
        <v>46098</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52249-2025</t>
        </is>
      </c>
      <c r="B281" s="1" t="n">
        <v>45953.48637731482</v>
      </c>
      <c r="C281" s="1" t="n">
        <v>46098</v>
      </c>
      <c r="D281" t="inlineStr">
        <is>
          <t>GOTLANDS LÄN</t>
        </is>
      </c>
      <c r="E281" t="inlineStr">
        <is>
          <t>GOTLAND</t>
        </is>
      </c>
      <c r="F281" t="inlineStr">
        <is>
          <t>Övriga Aktiebolag</t>
        </is>
      </c>
      <c r="G281" t="n">
        <v>1</v>
      </c>
      <c r="H281" t="n">
        <v>0</v>
      </c>
      <c r="I281" t="n">
        <v>0</v>
      </c>
      <c r="J281" t="n">
        <v>0</v>
      </c>
      <c r="K281" t="n">
        <v>0</v>
      </c>
      <c r="L281" t="n">
        <v>0</v>
      </c>
      <c r="M281" t="n">
        <v>0</v>
      </c>
      <c r="N281" t="n">
        <v>0</v>
      </c>
      <c r="O281" t="n">
        <v>0</v>
      </c>
      <c r="P281" t="n">
        <v>0</v>
      </c>
      <c r="Q281" t="n">
        <v>0</v>
      </c>
      <c r="R281" s="2" t="inlineStr"/>
    </row>
    <row r="282" ht="15" customHeight="1">
      <c r="A282" t="inlineStr">
        <is>
          <t>A 6749-2025</t>
        </is>
      </c>
      <c r="B282" s="1" t="n">
        <v>45700</v>
      </c>
      <c r="C282" s="1" t="n">
        <v>46098</v>
      </c>
      <c r="D282" t="inlineStr">
        <is>
          <t>GOTLANDS LÄN</t>
        </is>
      </c>
      <c r="E282" t="inlineStr">
        <is>
          <t>GOTLAND</t>
        </is>
      </c>
      <c r="G282" t="n">
        <v>4.5</v>
      </c>
      <c r="H282" t="n">
        <v>0</v>
      </c>
      <c r="I282" t="n">
        <v>0</v>
      </c>
      <c r="J282" t="n">
        <v>0</v>
      </c>
      <c r="K282" t="n">
        <v>0</v>
      </c>
      <c r="L282" t="n">
        <v>0</v>
      </c>
      <c r="M282" t="n">
        <v>0</v>
      </c>
      <c r="N282" t="n">
        <v>0</v>
      </c>
      <c r="O282" t="n">
        <v>0</v>
      </c>
      <c r="P282" t="n">
        <v>0</v>
      </c>
      <c r="Q282" t="n">
        <v>0</v>
      </c>
      <c r="R282" s="2" t="inlineStr"/>
    </row>
    <row r="283" ht="15" customHeight="1">
      <c r="A283" t="inlineStr">
        <is>
          <t>A 52637-2025</t>
        </is>
      </c>
      <c r="B283" s="1" t="n">
        <v>45954.75099537037</v>
      </c>
      <c r="C283" s="1" t="n">
        <v>46098</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46098</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5462-2025</t>
        </is>
      </c>
      <c r="B285" s="1" t="n">
        <v>45693.29331018519</v>
      </c>
      <c r="C285" s="1" t="n">
        <v>46098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46098</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53577-2025</t>
        </is>
      </c>
      <c r="B287" s="1" t="n">
        <v>45960.42224537037</v>
      </c>
      <c r="C287" s="1" t="n">
        <v>46098</v>
      </c>
      <c r="D287" t="inlineStr">
        <is>
          <t>GOTLANDS LÄN</t>
        </is>
      </c>
      <c r="E287" t="inlineStr">
        <is>
          <t>GOTLAND</t>
        </is>
      </c>
      <c r="F287" t="inlineStr">
        <is>
          <t>Övriga Aktiebolag</t>
        </is>
      </c>
      <c r="G287" t="n">
        <v>3.3</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46098</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53569-2025</t>
        </is>
      </c>
      <c r="B289" s="1" t="n">
        <v>45960.41155092593</v>
      </c>
      <c r="C289" s="1" t="n">
        <v>46098</v>
      </c>
      <c r="D289" t="inlineStr">
        <is>
          <t>GOTLANDS LÄN</t>
        </is>
      </c>
      <c r="E289" t="inlineStr">
        <is>
          <t>GOTLAND</t>
        </is>
      </c>
      <c r="F289" t="inlineStr">
        <is>
          <t>Övriga Aktiebolag</t>
        </is>
      </c>
      <c r="G289" t="n">
        <v>11.3</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46098</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25796-2025</t>
        </is>
      </c>
      <c r="B291" s="1" t="n">
        <v>45804.39543981481</v>
      </c>
      <c r="C291" s="1" t="n">
        <v>46098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42608-2025</t>
        </is>
      </c>
      <c r="B292" s="1" t="n">
        <v>45905</v>
      </c>
      <c r="C292" s="1" t="n">
        <v>46098</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46098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26457-2025</t>
        </is>
      </c>
      <c r="B294" s="1" t="n">
        <v>45807.42773148148</v>
      </c>
      <c r="C294" s="1" t="n">
        <v>46098</v>
      </c>
      <c r="D294" t="inlineStr">
        <is>
          <t>GOTLANDS LÄN</t>
        </is>
      </c>
      <c r="E294" t="inlineStr">
        <is>
          <t>GOTLAND</t>
        </is>
      </c>
      <c r="G294" t="n">
        <v>5.7</v>
      </c>
      <c r="H294" t="n">
        <v>0</v>
      </c>
      <c r="I294" t="n">
        <v>0</v>
      </c>
      <c r="J294" t="n">
        <v>0</v>
      </c>
      <c r="K294" t="n">
        <v>0</v>
      </c>
      <c r="L294" t="n">
        <v>0</v>
      </c>
      <c r="M294" t="n">
        <v>0</v>
      </c>
      <c r="N294" t="n">
        <v>0</v>
      </c>
      <c r="O294" t="n">
        <v>0</v>
      </c>
      <c r="P294" t="n">
        <v>0</v>
      </c>
      <c r="Q294" t="n">
        <v>0</v>
      </c>
      <c r="R294" s="2" t="inlineStr"/>
    </row>
    <row r="295" ht="15" customHeight="1">
      <c r="A295" t="inlineStr">
        <is>
          <t>A 26467-2025</t>
        </is>
      </c>
      <c r="B295" s="1" t="n">
        <v>45807.44640046296</v>
      </c>
      <c r="C295" s="1" t="n">
        <v>46098</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16373-2025</t>
        </is>
      </c>
      <c r="B296" s="1" t="n">
        <v>45751</v>
      </c>
      <c r="C296" s="1" t="n">
        <v>46098</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26660-2025</t>
        </is>
      </c>
      <c r="B297" s="1" t="n">
        <v>45810.39737268518</v>
      </c>
      <c r="C297" s="1" t="n">
        <v>46098</v>
      </c>
      <c r="D297" t="inlineStr">
        <is>
          <t>GOTLANDS LÄN</t>
        </is>
      </c>
      <c r="E297" t="inlineStr">
        <is>
          <t>GOTLAND</t>
        </is>
      </c>
      <c r="G297" t="n">
        <v>1.8</v>
      </c>
      <c r="H297" t="n">
        <v>0</v>
      </c>
      <c r="I297" t="n">
        <v>0</v>
      </c>
      <c r="J297" t="n">
        <v>0</v>
      </c>
      <c r="K297" t="n">
        <v>0</v>
      </c>
      <c r="L297" t="n">
        <v>0</v>
      </c>
      <c r="M297" t="n">
        <v>0</v>
      </c>
      <c r="N297" t="n">
        <v>0</v>
      </c>
      <c r="O297" t="n">
        <v>0</v>
      </c>
      <c r="P297" t="n">
        <v>0</v>
      </c>
      <c r="Q297" t="n">
        <v>0</v>
      </c>
      <c r="R297" s="2" t="inlineStr"/>
    </row>
    <row r="298" ht="15" customHeight="1">
      <c r="A298" t="inlineStr">
        <is>
          <t>A 27355-2025</t>
        </is>
      </c>
      <c r="B298" s="1" t="n">
        <v>45812</v>
      </c>
      <c r="C298" s="1" t="n">
        <v>46098</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56009-2024</t>
        </is>
      </c>
      <c r="B299" s="1" t="n">
        <v>45623.80864583333</v>
      </c>
      <c r="C299" s="1" t="n">
        <v>46098</v>
      </c>
      <c r="D299" t="inlineStr">
        <is>
          <t>GOTLANDS LÄN</t>
        </is>
      </c>
      <c r="E299" t="inlineStr">
        <is>
          <t>GOTLAND</t>
        </is>
      </c>
      <c r="G299" t="n">
        <v>2.8</v>
      </c>
      <c r="H299" t="n">
        <v>0</v>
      </c>
      <c r="I299" t="n">
        <v>0</v>
      </c>
      <c r="J299" t="n">
        <v>0</v>
      </c>
      <c r="K299" t="n">
        <v>0</v>
      </c>
      <c r="L299" t="n">
        <v>0</v>
      </c>
      <c r="M299" t="n">
        <v>0</v>
      </c>
      <c r="N299" t="n">
        <v>0</v>
      </c>
      <c r="O299" t="n">
        <v>0</v>
      </c>
      <c r="P299" t="n">
        <v>0</v>
      </c>
      <c r="Q299" t="n">
        <v>0</v>
      </c>
      <c r="R299" s="2" t="inlineStr"/>
    </row>
    <row r="300" ht="15" customHeight="1">
      <c r="A300" t="inlineStr">
        <is>
          <t>A 54073-2022</t>
        </is>
      </c>
      <c r="B300" s="1" t="n">
        <v>44881.50380787037</v>
      </c>
      <c r="C300" s="1" t="n">
        <v>46098</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27371-2025</t>
        </is>
      </c>
      <c r="B301" s="1" t="n">
        <v>45812</v>
      </c>
      <c r="C301" s="1" t="n">
        <v>46098</v>
      </c>
      <c r="D301" t="inlineStr">
        <is>
          <t>GOTLANDS LÄN</t>
        </is>
      </c>
      <c r="E301" t="inlineStr">
        <is>
          <t>GOTLAND</t>
        </is>
      </c>
      <c r="G301" t="n">
        <v>8</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46098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46098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56688-2025</t>
        </is>
      </c>
      <c r="B304" s="1" t="n">
        <v>45975.84331018518</v>
      </c>
      <c r="C304" s="1" t="n">
        <v>46098</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46098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43911-2025</t>
        </is>
      </c>
      <c r="B306" s="1" t="n">
        <v>45914.3881712963</v>
      </c>
      <c r="C306" s="1" t="n">
        <v>46098</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56799-2025</t>
        </is>
      </c>
      <c r="B307" s="1" t="n">
        <v>45978.43392361111</v>
      </c>
      <c r="C307" s="1" t="n">
        <v>46098</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8444-2025</t>
        </is>
      </c>
      <c r="B308" s="1" t="n">
        <v>45709</v>
      </c>
      <c r="C308" s="1" t="n">
        <v>46098</v>
      </c>
      <c r="D308" t="inlineStr">
        <is>
          <t>GOTLANDS LÄN</t>
        </is>
      </c>
      <c r="E308" t="inlineStr">
        <is>
          <t>GOTLAND</t>
        </is>
      </c>
      <c r="G308" t="n">
        <v>5.2</v>
      </c>
      <c r="H308" t="n">
        <v>0</v>
      </c>
      <c r="I308" t="n">
        <v>0</v>
      </c>
      <c r="J308" t="n">
        <v>0</v>
      </c>
      <c r="K308" t="n">
        <v>0</v>
      </c>
      <c r="L308" t="n">
        <v>0</v>
      </c>
      <c r="M308" t="n">
        <v>0</v>
      </c>
      <c r="N308" t="n">
        <v>0</v>
      </c>
      <c r="O308" t="n">
        <v>0</v>
      </c>
      <c r="P308" t="n">
        <v>0</v>
      </c>
      <c r="Q308" t="n">
        <v>0</v>
      </c>
      <c r="R308" s="2" t="inlineStr"/>
    </row>
    <row r="309" ht="15" customHeight="1">
      <c r="A309" t="inlineStr">
        <is>
          <t>A 19905-2025</t>
        </is>
      </c>
      <c r="B309" s="1" t="n">
        <v>45771</v>
      </c>
      <c r="C309" s="1" t="n">
        <v>46098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46098</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44410-2025</t>
        </is>
      </c>
      <c r="B311" s="1" t="n">
        <v>45916.53699074074</v>
      </c>
      <c r="C311" s="1" t="n">
        <v>46098</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46098</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46098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46098</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3964-2024</t>
        </is>
      </c>
      <c r="B315" s="1" t="n">
        <v>45322</v>
      </c>
      <c r="C315" s="1" t="n">
        <v>46098</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46098</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46098</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30061-2025</t>
        </is>
      </c>
      <c r="B318" s="1" t="n">
        <v>45826.61488425926</v>
      </c>
      <c r="C318" s="1" t="n">
        <v>46098</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7026-2023</t>
        </is>
      </c>
      <c r="B319" s="1" t="n">
        <v>44968.30340277778</v>
      </c>
      <c r="C319" s="1" t="n">
        <v>46098</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52892-2021</t>
        </is>
      </c>
      <c r="B320" s="1" t="n">
        <v>44467.49048611111</v>
      </c>
      <c r="C320" s="1" t="n">
        <v>46098</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1351-2025</t>
        </is>
      </c>
      <c r="B321" s="1" t="n">
        <v>45667.62246527777</v>
      </c>
      <c r="C321" s="1" t="n">
        <v>46098</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59197-2025</t>
        </is>
      </c>
      <c r="B322" s="1" t="n">
        <v>45988.59846064815</v>
      </c>
      <c r="C322" s="1" t="n">
        <v>46098</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58160-2024</t>
        </is>
      </c>
      <c r="B323" s="1" t="n">
        <v>45632.44927083333</v>
      </c>
      <c r="C323" s="1" t="n">
        <v>46098</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36319-2025</t>
        </is>
      </c>
      <c r="B324" s="1" t="n">
        <v>45868</v>
      </c>
      <c r="C324" s="1" t="n">
        <v>46098</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49874-2024</t>
        </is>
      </c>
      <c r="B325" s="1" t="n">
        <v>45597.49274305555</v>
      </c>
      <c r="C325" s="1" t="n">
        <v>46098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51782-2023</t>
        </is>
      </c>
      <c r="B326" s="1" t="n">
        <v>45222.80952546297</v>
      </c>
      <c r="C326" s="1" t="n">
        <v>46098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26391-2025</t>
        </is>
      </c>
      <c r="B327" s="1" t="n">
        <v>45806</v>
      </c>
      <c r="C327" s="1" t="n">
        <v>46098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60675-2021</t>
        </is>
      </c>
      <c r="B328" s="1" t="n">
        <v>44496.64855324074</v>
      </c>
      <c r="C328" s="1" t="n">
        <v>46098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5217-2023</t>
        </is>
      </c>
      <c r="B329" s="1" t="n">
        <v>44959.39582175926</v>
      </c>
      <c r="C329" s="1" t="n">
        <v>46098</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14638-2025</t>
        </is>
      </c>
      <c r="B330" s="1" t="n">
        <v>45742</v>
      </c>
      <c r="C330" s="1" t="n">
        <v>46098</v>
      </c>
      <c r="D330" t="inlineStr">
        <is>
          <t>GOTLANDS LÄN</t>
        </is>
      </c>
      <c r="E330" t="inlineStr">
        <is>
          <t>GOTLAND</t>
        </is>
      </c>
      <c r="G330" t="n">
        <v>13.4</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46098</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16109-2025</t>
        </is>
      </c>
      <c r="B332" s="1" t="n">
        <v>45750</v>
      </c>
      <c r="C332" s="1" t="n">
        <v>46098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20165-2022</t>
        </is>
      </c>
      <c r="B333" s="1" t="n">
        <v>44698.49854166667</v>
      </c>
      <c r="C333" s="1" t="n">
        <v>46098</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31264-2021</t>
        </is>
      </c>
      <c r="B334" s="1" t="n">
        <v>44368</v>
      </c>
      <c r="C334" s="1" t="n">
        <v>46098</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32467-2025</t>
        </is>
      </c>
      <c r="B335" s="1" t="n">
        <v>45838.42111111111</v>
      </c>
      <c r="C335" s="1" t="n">
        <v>46098</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33876-2024</t>
        </is>
      </c>
      <c r="B336" s="1" t="n">
        <v>45521.87988425926</v>
      </c>
      <c r="C336" s="1" t="n">
        <v>46098</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46098</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43223-2023</t>
        </is>
      </c>
      <c r="B338" s="1" t="n">
        <v>45183.45642361111</v>
      </c>
      <c r="C338" s="1" t="n">
        <v>46098</v>
      </c>
      <c r="D338" t="inlineStr">
        <is>
          <t>GOTLANDS LÄN</t>
        </is>
      </c>
      <c r="E338" t="inlineStr">
        <is>
          <t>GOTLAND</t>
        </is>
      </c>
      <c r="G338" t="n">
        <v>1.8</v>
      </c>
      <c r="H338" t="n">
        <v>0</v>
      </c>
      <c r="I338" t="n">
        <v>0</v>
      </c>
      <c r="J338" t="n">
        <v>0</v>
      </c>
      <c r="K338" t="n">
        <v>0</v>
      </c>
      <c r="L338" t="n">
        <v>0</v>
      </c>
      <c r="M338" t="n">
        <v>0</v>
      </c>
      <c r="N338" t="n">
        <v>0</v>
      </c>
      <c r="O338" t="n">
        <v>0</v>
      </c>
      <c r="P338" t="n">
        <v>0</v>
      </c>
      <c r="Q338" t="n">
        <v>0</v>
      </c>
      <c r="R338" s="2" t="inlineStr"/>
    </row>
    <row r="339" ht="15" customHeight="1">
      <c r="A339" t="inlineStr">
        <is>
          <t>A 32379-2025</t>
        </is>
      </c>
      <c r="B339" s="1" t="n">
        <v>45837</v>
      </c>
      <c r="C339" s="1" t="n">
        <v>46098</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46098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46098</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33007-2025</t>
        </is>
      </c>
      <c r="B342" s="1" t="n">
        <v>45840</v>
      </c>
      <c r="C342" s="1" t="n">
        <v>46098</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27930-2021</t>
        </is>
      </c>
      <c r="B343" s="1" t="n">
        <v>44354</v>
      </c>
      <c r="C343" s="1" t="n">
        <v>46098</v>
      </c>
      <c r="D343" t="inlineStr">
        <is>
          <t>GOTLANDS LÄN</t>
        </is>
      </c>
      <c r="E343" t="inlineStr">
        <is>
          <t>GOTLAND</t>
        </is>
      </c>
      <c r="G343" t="n">
        <v>2.5</v>
      </c>
      <c r="H343" t="n">
        <v>0</v>
      </c>
      <c r="I343" t="n">
        <v>0</v>
      </c>
      <c r="J343" t="n">
        <v>0</v>
      </c>
      <c r="K343" t="n">
        <v>0</v>
      </c>
      <c r="L343" t="n">
        <v>0</v>
      </c>
      <c r="M343" t="n">
        <v>0</v>
      </c>
      <c r="N343" t="n">
        <v>0</v>
      </c>
      <c r="O343" t="n">
        <v>0</v>
      </c>
      <c r="P343" t="n">
        <v>0</v>
      </c>
      <c r="Q343" t="n">
        <v>0</v>
      </c>
      <c r="R343" s="2" t="inlineStr"/>
    </row>
    <row r="344" ht="15" customHeight="1">
      <c r="A344" t="inlineStr">
        <is>
          <t>A 59469-2024</t>
        </is>
      </c>
      <c r="B344" s="1" t="n">
        <v>45638</v>
      </c>
      <c r="C344" s="1" t="n">
        <v>46098</v>
      </c>
      <c r="D344" t="inlineStr">
        <is>
          <t>GOTLANDS LÄN</t>
        </is>
      </c>
      <c r="E344" t="inlineStr">
        <is>
          <t>GOTLAND</t>
        </is>
      </c>
      <c r="G344" t="n">
        <v>0.4</v>
      </c>
      <c r="H344" t="n">
        <v>0</v>
      </c>
      <c r="I344" t="n">
        <v>0</v>
      </c>
      <c r="J344" t="n">
        <v>0</v>
      </c>
      <c r="K344" t="n">
        <v>0</v>
      </c>
      <c r="L344" t="n">
        <v>0</v>
      </c>
      <c r="M344" t="n">
        <v>0</v>
      </c>
      <c r="N344" t="n">
        <v>0</v>
      </c>
      <c r="O344" t="n">
        <v>0</v>
      </c>
      <c r="P344" t="n">
        <v>0</v>
      </c>
      <c r="Q344" t="n">
        <v>0</v>
      </c>
      <c r="R344" s="2" t="inlineStr"/>
    </row>
    <row r="345" ht="15" customHeight="1">
      <c r="A345" t="inlineStr">
        <is>
          <t>A 62066-2025</t>
        </is>
      </c>
      <c r="B345" s="1" t="n">
        <v>46006.34738425926</v>
      </c>
      <c r="C345" s="1" t="n">
        <v>46098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62103-2025</t>
        </is>
      </c>
      <c r="B346" s="1" t="n">
        <v>46006</v>
      </c>
      <c r="C346" s="1" t="n">
        <v>46098</v>
      </c>
      <c r="D346" t="inlineStr">
        <is>
          <t>GOTLANDS LÄN</t>
        </is>
      </c>
      <c r="E346" t="inlineStr">
        <is>
          <t>GOTLAND</t>
        </is>
      </c>
      <c r="F346" t="inlineStr">
        <is>
          <t>Övriga Aktiebolag</t>
        </is>
      </c>
      <c r="G346" t="n">
        <v>1.7</v>
      </c>
      <c r="H346" t="n">
        <v>0</v>
      </c>
      <c r="I346" t="n">
        <v>0</v>
      </c>
      <c r="J346" t="n">
        <v>0</v>
      </c>
      <c r="K346" t="n">
        <v>0</v>
      </c>
      <c r="L346" t="n">
        <v>0</v>
      </c>
      <c r="M346" t="n">
        <v>0</v>
      </c>
      <c r="N346" t="n">
        <v>0</v>
      </c>
      <c r="O346" t="n">
        <v>0</v>
      </c>
      <c r="P346" t="n">
        <v>0</v>
      </c>
      <c r="Q346" t="n">
        <v>0</v>
      </c>
      <c r="R346" s="2" t="inlineStr"/>
    </row>
    <row r="347" ht="15" customHeight="1">
      <c r="A347" t="inlineStr">
        <is>
          <t>A 47147-2025</t>
        </is>
      </c>
      <c r="B347" s="1" t="n">
        <v>45929</v>
      </c>
      <c r="C347" s="1" t="n">
        <v>46098</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63002-2025</t>
        </is>
      </c>
      <c r="B348" s="1" t="n">
        <v>46009.56564814815</v>
      </c>
      <c r="C348" s="1" t="n">
        <v>46098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46098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35096-2025</t>
        </is>
      </c>
      <c r="B350" s="1" t="n">
        <v>45852.54356481481</v>
      </c>
      <c r="C350" s="1" t="n">
        <v>46098</v>
      </c>
      <c r="D350" t="inlineStr">
        <is>
          <t>GOTLANDS LÄN</t>
        </is>
      </c>
      <c r="E350" t="inlineStr">
        <is>
          <t>GOTLAND</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46098</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5751-2024</t>
        </is>
      </c>
      <c r="B352" s="1" t="n">
        <v>45335.32702546296</v>
      </c>
      <c r="C352" s="1" t="n">
        <v>46098</v>
      </c>
      <c r="D352" t="inlineStr">
        <is>
          <t>GOTLANDS LÄN</t>
        </is>
      </c>
      <c r="E352" t="inlineStr">
        <is>
          <t>GOTLAND</t>
        </is>
      </c>
      <c r="G352" t="n">
        <v>4.2</v>
      </c>
      <c r="H352" t="n">
        <v>0</v>
      </c>
      <c r="I352" t="n">
        <v>0</v>
      </c>
      <c r="J352" t="n">
        <v>0</v>
      </c>
      <c r="K352" t="n">
        <v>0</v>
      </c>
      <c r="L352" t="n">
        <v>0</v>
      </c>
      <c r="M352" t="n">
        <v>0</v>
      </c>
      <c r="N352" t="n">
        <v>0</v>
      </c>
      <c r="O352" t="n">
        <v>0</v>
      </c>
      <c r="P352" t="n">
        <v>0</v>
      </c>
      <c r="Q352" t="n">
        <v>0</v>
      </c>
      <c r="R352" s="2" t="inlineStr"/>
    </row>
    <row r="353" ht="15" customHeight="1">
      <c r="A353" t="inlineStr">
        <is>
          <t>A 6696-2023</t>
        </is>
      </c>
      <c r="B353" s="1" t="n">
        <v>44966.66425925926</v>
      </c>
      <c r="C353" s="1" t="n">
        <v>46098</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35290-2025</t>
        </is>
      </c>
      <c r="B354" s="1" t="n">
        <v>45854.38502314815</v>
      </c>
      <c r="C354" s="1" t="n">
        <v>46098</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28480-2023</t>
        </is>
      </c>
      <c r="B355" s="1" t="n">
        <v>45103</v>
      </c>
      <c r="C355" s="1" t="n">
        <v>46098</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28485-2023</t>
        </is>
      </c>
      <c r="B356" s="1" t="n">
        <v>45103.43731481482</v>
      </c>
      <c r="C356" s="1" t="n">
        <v>46098</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4990-2025</t>
        </is>
      </c>
      <c r="B357" s="1" t="n">
        <v>45691</v>
      </c>
      <c r="C357" s="1" t="n">
        <v>46098</v>
      </c>
      <c r="D357" t="inlineStr">
        <is>
          <t>GOTLANDS LÄN</t>
        </is>
      </c>
      <c r="E357" t="inlineStr">
        <is>
          <t>GOTLAND</t>
        </is>
      </c>
      <c r="G357" t="n">
        <v>7.7</v>
      </c>
      <c r="H357" t="n">
        <v>0</v>
      </c>
      <c r="I357" t="n">
        <v>0</v>
      </c>
      <c r="J357" t="n">
        <v>0</v>
      </c>
      <c r="K357" t="n">
        <v>0</v>
      </c>
      <c r="L357" t="n">
        <v>0</v>
      </c>
      <c r="M357" t="n">
        <v>0</v>
      </c>
      <c r="N357" t="n">
        <v>0</v>
      </c>
      <c r="O357" t="n">
        <v>0</v>
      </c>
      <c r="P357" t="n">
        <v>0</v>
      </c>
      <c r="Q357" t="n">
        <v>0</v>
      </c>
      <c r="R357" s="2" t="inlineStr"/>
    </row>
    <row r="358" ht="15" customHeight="1">
      <c r="A358" t="inlineStr">
        <is>
          <t>A 30104-2025</t>
        </is>
      </c>
      <c r="B358" s="1" t="n">
        <v>45826.68806712963</v>
      </c>
      <c r="C358" s="1" t="n">
        <v>46098</v>
      </c>
      <c r="D358" t="inlineStr">
        <is>
          <t>GOTLANDS LÄN</t>
        </is>
      </c>
      <c r="E358" t="inlineStr">
        <is>
          <t>GOTLAND</t>
        </is>
      </c>
      <c r="G358" t="n">
        <v>15.4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46098</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6960-2026</t>
        </is>
      </c>
      <c r="B360" s="1" t="n">
        <v>46057.58105324074</v>
      </c>
      <c r="C360" s="1" t="n">
        <v>46098</v>
      </c>
      <c r="D360" t="inlineStr">
        <is>
          <t>GOTLANDS LÄN</t>
        </is>
      </c>
      <c r="E360" t="inlineStr">
        <is>
          <t>GOTLAND</t>
        </is>
      </c>
      <c r="F360" t="inlineStr">
        <is>
          <t>Kyrkan</t>
        </is>
      </c>
      <c r="G360" t="n">
        <v>2.4</v>
      </c>
      <c r="H360" t="n">
        <v>0</v>
      </c>
      <c r="I360" t="n">
        <v>0</v>
      </c>
      <c r="J360" t="n">
        <v>0</v>
      </c>
      <c r="K360" t="n">
        <v>0</v>
      </c>
      <c r="L360" t="n">
        <v>0</v>
      </c>
      <c r="M360" t="n">
        <v>0</v>
      </c>
      <c r="N360" t="n">
        <v>0</v>
      </c>
      <c r="O360" t="n">
        <v>0</v>
      </c>
      <c r="P360" t="n">
        <v>0</v>
      </c>
      <c r="Q360" t="n">
        <v>0</v>
      </c>
      <c r="R360" s="2" t="inlineStr"/>
    </row>
    <row r="361" ht="15" customHeight="1">
      <c r="A361" t="inlineStr">
        <is>
          <t>A 35537-2025</t>
        </is>
      </c>
      <c r="B361" s="1" t="n">
        <v>45856</v>
      </c>
      <c r="C361" s="1" t="n">
        <v>46098</v>
      </c>
      <c r="D361" t="inlineStr">
        <is>
          <t>GOTLANDS LÄN</t>
        </is>
      </c>
      <c r="E361" t="inlineStr">
        <is>
          <t>GOTLAND</t>
        </is>
      </c>
      <c r="G361" t="n">
        <v>16.8</v>
      </c>
      <c r="H361" t="n">
        <v>0</v>
      </c>
      <c r="I361" t="n">
        <v>0</v>
      </c>
      <c r="J361" t="n">
        <v>0</v>
      </c>
      <c r="K361" t="n">
        <v>0</v>
      </c>
      <c r="L361" t="n">
        <v>0</v>
      </c>
      <c r="M361" t="n">
        <v>0</v>
      </c>
      <c r="N361" t="n">
        <v>0</v>
      </c>
      <c r="O361" t="n">
        <v>0</v>
      </c>
      <c r="P361" t="n">
        <v>0</v>
      </c>
      <c r="Q361" t="n">
        <v>0</v>
      </c>
      <c r="R361" s="2" t="inlineStr"/>
    </row>
    <row r="362" ht="15" customHeight="1">
      <c r="A362" t="inlineStr">
        <is>
          <t>A 54584-2025</t>
        </is>
      </c>
      <c r="B362" s="1" t="n">
        <v>45965.71788194445</v>
      </c>
      <c r="C362" s="1" t="n">
        <v>46098</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6959-2026</t>
        </is>
      </c>
      <c r="B363" s="1" t="n">
        <v>46057.580625</v>
      </c>
      <c r="C363" s="1" t="n">
        <v>46098</v>
      </c>
      <c r="D363" t="inlineStr">
        <is>
          <t>GOTLANDS LÄN</t>
        </is>
      </c>
      <c r="E363" t="inlineStr">
        <is>
          <t>GOTLAND</t>
        </is>
      </c>
      <c r="F363" t="inlineStr">
        <is>
          <t>Kyrkan</t>
        </is>
      </c>
      <c r="G363" t="n">
        <v>1.2</v>
      </c>
      <c r="H363" t="n">
        <v>0</v>
      </c>
      <c r="I363" t="n">
        <v>0</v>
      </c>
      <c r="J363" t="n">
        <v>0</v>
      </c>
      <c r="K363" t="n">
        <v>0</v>
      </c>
      <c r="L363" t="n">
        <v>0</v>
      </c>
      <c r="M363" t="n">
        <v>0</v>
      </c>
      <c r="N363" t="n">
        <v>0</v>
      </c>
      <c r="O363" t="n">
        <v>0</v>
      </c>
      <c r="P363" t="n">
        <v>0</v>
      </c>
      <c r="Q363" t="n">
        <v>0</v>
      </c>
      <c r="R363" s="2" t="inlineStr"/>
    </row>
    <row r="364" ht="15" customHeight="1">
      <c r="A364" t="inlineStr">
        <is>
          <t>A 38165-2023</t>
        </is>
      </c>
      <c r="B364" s="1" t="n">
        <v>45161</v>
      </c>
      <c r="C364" s="1" t="n">
        <v>46098</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30488-2025</t>
        </is>
      </c>
      <c r="B365" s="1" t="n">
        <v>45830</v>
      </c>
      <c r="C365" s="1" t="n">
        <v>46098</v>
      </c>
      <c r="D365" t="inlineStr">
        <is>
          <t>GOTLANDS LÄN</t>
        </is>
      </c>
      <c r="E365" t="inlineStr">
        <is>
          <t>GOTLAND</t>
        </is>
      </c>
      <c r="F365" t="inlineStr">
        <is>
          <t>Kyrkan</t>
        </is>
      </c>
      <c r="G365" t="n">
        <v>3.9</v>
      </c>
      <c r="H365" t="n">
        <v>0</v>
      </c>
      <c r="I365" t="n">
        <v>0</v>
      </c>
      <c r="J365" t="n">
        <v>0</v>
      </c>
      <c r="K365" t="n">
        <v>0</v>
      </c>
      <c r="L365" t="n">
        <v>0</v>
      </c>
      <c r="M365" t="n">
        <v>0</v>
      </c>
      <c r="N365" t="n">
        <v>0</v>
      </c>
      <c r="O365" t="n">
        <v>0</v>
      </c>
      <c r="P365" t="n">
        <v>0</v>
      </c>
      <c r="Q365" t="n">
        <v>0</v>
      </c>
      <c r="R365" s="2" t="inlineStr"/>
    </row>
    <row r="366" ht="15" customHeight="1">
      <c r="A366" t="inlineStr">
        <is>
          <t>A 15216-2025</t>
        </is>
      </c>
      <c r="B366" s="1" t="n">
        <v>45744</v>
      </c>
      <c r="C366" s="1" t="n">
        <v>46098</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38649-2025</t>
        </is>
      </c>
      <c r="B367" s="1" t="n">
        <v>45884</v>
      </c>
      <c r="C367" s="1" t="n">
        <v>46098</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46098</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46098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46098</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46098</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46098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46098</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46098</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7625-2026</t>
        </is>
      </c>
      <c r="B375" s="1" t="n">
        <v>46062.35135416667</v>
      </c>
      <c r="C375" s="1" t="n">
        <v>46098</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7627-2026</t>
        </is>
      </c>
      <c r="B376" s="1" t="n">
        <v>46062.35465277778</v>
      </c>
      <c r="C376" s="1" t="n">
        <v>46098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34312-2024</t>
        </is>
      </c>
      <c r="B377" s="1" t="n">
        <v>45524.69703703704</v>
      </c>
      <c r="C377" s="1" t="n">
        <v>46098</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61078-2025</t>
        </is>
      </c>
      <c r="B378" s="1" t="n">
        <v>46000</v>
      </c>
      <c r="C378" s="1" t="n">
        <v>46098</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36-2026</t>
        </is>
      </c>
      <c r="B379" s="1" t="n">
        <v>46024.38886574074</v>
      </c>
      <c r="C379" s="1" t="n">
        <v>46098</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30489-2025</t>
        </is>
      </c>
      <c r="B380" s="1" t="n">
        <v>45830</v>
      </c>
      <c r="C380" s="1" t="n">
        <v>46098</v>
      </c>
      <c r="D380" t="inlineStr">
        <is>
          <t>GOTLANDS LÄN</t>
        </is>
      </c>
      <c r="E380" t="inlineStr">
        <is>
          <t>GOTLAND</t>
        </is>
      </c>
      <c r="G380" t="n">
        <v>4.6</v>
      </c>
      <c r="H380" t="n">
        <v>0</v>
      </c>
      <c r="I380" t="n">
        <v>0</v>
      </c>
      <c r="J380" t="n">
        <v>0</v>
      </c>
      <c r="K380" t="n">
        <v>0</v>
      </c>
      <c r="L380" t="n">
        <v>0</v>
      </c>
      <c r="M380" t="n">
        <v>0</v>
      </c>
      <c r="N380" t="n">
        <v>0</v>
      </c>
      <c r="O380" t="n">
        <v>0</v>
      </c>
      <c r="P380" t="n">
        <v>0</v>
      </c>
      <c r="Q380" t="n">
        <v>0</v>
      </c>
      <c r="R380" s="2" t="inlineStr"/>
    </row>
    <row r="381" ht="15" customHeight="1">
      <c r="A381" t="inlineStr">
        <is>
          <t>A 21142-2025</t>
        </is>
      </c>
      <c r="B381" s="1" t="n">
        <v>45779</v>
      </c>
      <c r="C381" s="1" t="n">
        <v>46098</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6108-2025</t>
        </is>
      </c>
      <c r="B382" s="1" t="n">
        <v>45698.29880787037</v>
      </c>
      <c r="C382" s="1" t="n">
        <v>46098</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48503-2023</t>
        </is>
      </c>
      <c r="B383" s="1" t="n">
        <v>45207</v>
      </c>
      <c r="C383" s="1" t="n">
        <v>46098</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17343-2025</t>
        </is>
      </c>
      <c r="B384" s="1" t="n">
        <v>45756.6687037037</v>
      </c>
      <c r="C384" s="1" t="n">
        <v>46098</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62674-2025</t>
        </is>
      </c>
      <c r="B385" s="1" t="n">
        <v>46008</v>
      </c>
      <c r="C385" s="1" t="n">
        <v>46098</v>
      </c>
      <c r="D385" t="inlineStr">
        <is>
          <t>GOTLANDS LÄN</t>
        </is>
      </c>
      <c r="E385" t="inlineStr">
        <is>
          <t>GOTLAND</t>
        </is>
      </c>
      <c r="G385" t="n">
        <v>5</v>
      </c>
      <c r="H385" t="n">
        <v>0</v>
      </c>
      <c r="I385" t="n">
        <v>0</v>
      </c>
      <c r="J385" t="n">
        <v>0</v>
      </c>
      <c r="K385" t="n">
        <v>0</v>
      </c>
      <c r="L385" t="n">
        <v>0</v>
      </c>
      <c r="M385" t="n">
        <v>0</v>
      </c>
      <c r="N385" t="n">
        <v>0</v>
      </c>
      <c r="O385" t="n">
        <v>0</v>
      </c>
      <c r="P385" t="n">
        <v>0</v>
      </c>
      <c r="Q385" t="n">
        <v>0</v>
      </c>
      <c r="R385" s="2" t="inlineStr"/>
    </row>
    <row r="386" ht="15" customHeight="1">
      <c r="A386" t="inlineStr">
        <is>
          <t>A 18938-2025</t>
        </is>
      </c>
      <c r="B386" s="1" t="n">
        <v>45764.49172453704</v>
      </c>
      <c r="C386" s="1" t="n">
        <v>46098</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20307-2025</t>
        </is>
      </c>
      <c r="B387" s="1" t="n">
        <v>45774.95546296296</v>
      </c>
      <c r="C387" s="1" t="n">
        <v>46098</v>
      </c>
      <c r="D387" t="inlineStr">
        <is>
          <t>GOTLANDS LÄN</t>
        </is>
      </c>
      <c r="E387" t="inlineStr">
        <is>
          <t>GOTLAND</t>
        </is>
      </c>
      <c r="G387" t="n">
        <v>6.8</v>
      </c>
      <c r="H387" t="n">
        <v>0</v>
      </c>
      <c r="I387" t="n">
        <v>0</v>
      </c>
      <c r="J387" t="n">
        <v>0</v>
      </c>
      <c r="K387" t="n">
        <v>0</v>
      </c>
      <c r="L387" t="n">
        <v>0</v>
      </c>
      <c r="M387" t="n">
        <v>0</v>
      </c>
      <c r="N387" t="n">
        <v>0</v>
      </c>
      <c r="O387" t="n">
        <v>0</v>
      </c>
      <c r="P387" t="n">
        <v>0</v>
      </c>
      <c r="Q387" t="n">
        <v>0</v>
      </c>
      <c r="R387" s="2" t="inlineStr"/>
    </row>
    <row r="388" ht="15" customHeight="1">
      <c r="A388" t="inlineStr">
        <is>
          <t>A 9543-2026</t>
        </is>
      </c>
      <c r="B388" s="1" t="n">
        <v>46071.62486111111</v>
      </c>
      <c r="C388" s="1" t="n">
        <v>46098</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9518-2026</t>
        </is>
      </c>
      <c r="B389" s="1" t="n">
        <v>46071.59653935185</v>
      </c>
      <c r="C389" s="1" t="n">
        <v>46098</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9524-2026</t>
        </is>
      </c>
      <c r="B390" s="1" t="n">
        <v>46071.60108796296</v>
      </c>
      <c r="C390" s="1" t="n">
        <v>46098</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63105-2025</t>
        </is>
      </c>
      <c r="B391" s="1" t="n">
        <v>46009</v>
      </c>
      <c r="C391" s="1" t="n">
        <v>46098</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63152-2025</t>
        </is>
      </c>
      <c r="B392" s="1" t="n">
        <v>46010</v>
      </c>
      <c r="C392" s="1" t="n">
        <v>46098</v>
      </c>
      <c r="D392" t="inlineStr">
        <is>
          <t>GOTLANDS LÄN</t>
        </is>
      </c>
      <c r="E392" t="inlineStr">
        <is>
          <t>GOTLAND</t>
        </is>
      </c>
      <c r="G392" t="n">
        <v>1.5</v>
      </c>
      <c r="H392" t="n">
        <v>0</v>
      </c>
      <c r="I392" t="n">
        <v>0</v>
      </c>
      <c r="J392" t="n">
        <v>0</v>
      </c>
      <c r="K392" t="n">
        <v>0</v>
      </c>
      <c r="L392" t="n">
        <v>0</v>
      </c>
      <c r="M392" t="n">
        <v>0</v>
      </c>
      <c r="N392" t="n">
        <v>0</v>
      </c>
      <c r="O392" t="n">
        <v>0</v>
      </c>
      <c r="P392" t="n">
        <v>0</v>
      </c>
      <c r="Q392" t="n">
        <v>0</v>
      </c>
      <c r="R392" s="2" t="inlineStr"/>
    </row>
    <row r="393" ht="15" customHeight="1">
      <c r="A393" t="inlineStr">
        <is>
          <t>A 9519-2026</t>
        </is>
      </c>
      <c r="B393" s="1" t="n">
        <v>46071.59820601852</v>
      </c>
      <c r="C393" s="1" t="n">
        <v>46098</v>
      </c>
      <c r="D393" t="inlineStr">
        <is>
          <t>GOTLANDS LÄN</t>
        </is>
      </c>
      <c r="E393" t="inlineStr">
        <is>
          <t>GOTLAND</t>
        </is>
      </c>
      <c r="G393" t="n">
        <v>4</v>
      </c>
      <c r="H393" t="n">
        <v>0</v>
      </c>
      <c r="I393" t="n">
        <v>0</v>
      </c>
      <c r="J393" t="n">
        <v>0</v>
      </c>
      <c r="K393" t="n">
        <v>0</v>
      </c>
      <c r="L393" t="n">
        <v>0</v>
      </c>
      <c r="M393" t="n">
        <v>0</v>
      </c>
      <c r="N393" t="n">
        <v>0</v>
      </c>
      <c r="O393" t="n">
        <v>0</v>
      </c>
      <c r="P393" t="n">
        <v>0</v>
      </c>
      <c r="Q393" t="n">
        <v>0</v>
      </c>
      <c r="R393" s="2" t="inlineStr"/>
    </row>
    <row r="394" ht="15" customHeight="1">
      <c r="A394" t="inlineStr">
        <is>
          <t>A 9521-2026</t>
        </is>
      </c>
      <c r="B394" s="1" t="n">
        <v>46071.59969907408</v>
      </c>
      <c r="C394" s="1" t="n">
        <v>46098</v>
      </c>
      <c r="D394" t="inlineStr">
        <is>
          <t>GOTLANDS LÄN</t>
        </is>
      </c>
      <c r="E394" t="inlineStr">
        <is>
          <t>GOTLAND</t>
        </is>
      </c>
      <c r="G394" t="n">
        <v>3.9</v>
      </c>
      <c r="H394" t="n">
        <v>0</v>
      </c>
      <c r="I394" t="n">
        <v>0</v>
      </c>
      <c r="J394" t="n">
        <v>0</v>
      </c>
      <c r="K394" t="n">
        <v>0</v>
      </c>
      <c r="L394" t="n">
        <v>0</v>
      </c>
      <c r="M394" t="n">
        <v>0</v>
      </c>
      <c r="N394" t="n">
        <v>0</v>
      </c>
      <c r="O394" t="n">
        <v>0</v>
      </c>
      <c r="P394" t="n">
        <v>0</v>
      </c>
      <c r="Q394" t="n">
        <v>0</v>
      </c>
      <c r="R394" s="2" t="inlineStr"/>
    </row>
    <row r="395" ht="15" customHeight="1">
      <c r="A395" t="inlineStr">
        <is>
          <t>A 9504-2026</t>
        </is>
      </c>
      <c r="B395" s="1" t="n">
        <v>46071.57730324074</v>
      </c>
      <c r="C395" s="1" t="n">
        <v>46098</v>
      </c>
      <c r="D395" t="inlineStr">
        <is>
          <t>GOTLANDS LÄN</t>
        </is>
      </c>
      <c r="E395" t="inlineStr">
        <is>
          <t>GOTLAND</t>
        </is>
      </c>
      <c r="G395" t="n">
        <v>0.6</v>
      </c>
      <c r="H395" t="n">
        <v>0</v>
      </c>
      <c r="I395" t="n">
        <v>0</v>
      </c>
      <c r="J395" t="n">
        <v>0</v>
      </c>
      <c r="K395" t="n">
        <v>0</v>
      </c>
      <c r="L395" t="n">
        <v>0</v>
      </c>
      <c r="M395" t="n">
        <v>0</v>
      </c>
      <c r="N395" t="n">
        <v>0</v>
      </c>
      <c r="O395" t="n">
        <v>0</v>
      </c>
      <c r="P395" t="n">
        <v>0</v>
      </c>
      <c r="Q395" t="n">
        <v>0</v>
      </c>
      <c r="R395" s="2" t="inlineStr"/>
    </row>
    <row r="396" ht="15" customHeight="1">
      <c r="A396" t="inlineStr">
        <is>
          <t>A 9540-2026</t>
        </is>
      </c>
      <c r="B396" s="1" t="n">
        <v>46071.61961805556</v>
      </c>
      <c r="C396" s="1" t="n">
        <v>46098</v>
      </c>
      <c r="D396" t="inlineStr">
        <is>
          <t>GOTLANDS LÄN</t>
        </is>
      </c>
      <c r="E396" t="inlineStr">
        <is>
          <t>GOTLAND</t>
        </is>
      </c>
      <c r="G396" t="n">
        <v>2.8</v>
      </c>
      <c r="H396" t="n">
        <v>0</v>
      </c>
      <c r="I396" t="n">
        <v>0</v>
      </c>
      <c r="J396" t="n">
        <v>0</v>
      </c>
      <c r="K396" t="n">
        <v>0</v>
      </c>
      <c r="L396" t="n">
        <v>0</v>
      </c>
      <c r="M396" t="n">
        <v>0</v>
      </c>
      <c r="N396" t="n">
        <v>0</v>
      </c>
      <c r="O396" t="n">
        <v>0</v>
      </c>
      <c r="P396" t="n">
        <v>0</v>
      </c>
      <c r="Q396" t="n">
        <v>0</v>
      </c>
      <c r="R396" s="2" t="inlineStr"/>
    </row>
    <row r="397" ht="15" customHeight="1">
      <c r="A397" t="inlineStr">
        <is>
          <t>A 24825-2024</t>
        </is>
      </c>
      <c r="B397" s="1" t="n">
        <v>45461</v>
      </c>
      <c r="C397" s="1" t="n">
        <v>46098</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1355-2026</t>
        </is>
      </c>
      <c r="B398" s="1" t="n">
        <v>46031.59909722222</v>
      </c>
      <c r="C398" s="1" t="n">
        <v>46098</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46098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46098</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22031-2024</t>
        </is>
      </c>
      <c r="B401" s="1" t="n">
        <v>45443.60075231481</v>
      </c>
      <c r="C401" s="1" t="n">
        <v>46098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17688-2024</t>
        </is>
      </c>
      <c r="B402" s="1" t="n">
        <v>45418.43575231481</v>
      </c>
      <c r="C402" s="1" t="n">
        <v>46098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9901-2026</t>
        </is>
      </c>
      <c r="B403" s="1" t="n">
        <v>46073.40391203704</v>
      </c>
      <c r="C403" s="1" t="n">
        <v>46098</v>
      </c>
      <c r="D403" t="inlineStr">
        <is>
          <t>GOTLANDS LÄN</t>
        </is>
      </c>
      <c r="E403" t="inlineStr">
        <is>
          <t>GOTLAND</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10486-2026</t>
        </is>
      </c>
      <c r="B404" s="1" t="n">
        <v>46077.51425925926</v>
      </c>
      <c r="C404" s="1" t="n">
        <v>46098</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12599-2025</t>
        </is>
      </c>
      <c r="B405" s="1" t="n">
        <v>45733.29546296296</v>
      </c>
      <c r="C405" s="1" t="n">
        <v>46098</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1898-2026</t>
        </is>
      </c>
      <c r="B406" s="1" t="n">
        <v>46035.52024305556</v>
      </c>
      <c r="C406" s="1" t="n">
        <v>46098</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27694-2024</t>
        </is>
      </c>
      <c r="B407" s="1" t="n">
        <v>45475</v>
      </c>
      <c r="C407" s="1" t="n">
        <v>46098</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39764-2022</t>
        </is>
      </c>
      <c r="B408" s="1" t="n">
        <v>44819</v>
      </c>
      <c r="C408" s="1" t="n">
        <v>46098</v>
      </c>
      <c r="D408" t="inlineStr">
        <is>
          <t>GOTLANDS LÄN</t>
        </is>
      </c>
      <c r="E408" t="inlineStr">
        <is>
          <t>GOTLAND</t>
        </is>
      </c>
      <c r="F408" t="inlineStr">
        <is>
          <t>Kyrkan</t>
        </is>
      </c>
      <c r="G408" t="n">
        <v>3.7</v>
      </c>
      <c r="H408" t="n">
        <v>0</v>
      </c>
      <c r="I408" t="n">
        <v>0</v>
      </c>
      <c r="J408" t="n">
        <v>0</v>
      </c>
      <c r="K408" t="n">
        <v>0</v>
      </c>
      <c r="L408" t="n">
        <v>0</v>
      </c>
      <c r="M408" t="n">
        <v>0</v>
      </c>
      <c r="N408" t="n">
        <v>0</v>
      </c>
      <c r="O408" t="n">
        <v>0</v>
      </c>
      <c r="P408" t="n">
        <v>0</v>
      </c>
      <c r="Q408" t="n">
        <v>0</v>
      </c>
      <c r="R408" s="2" t="inlineStr"/>
    </row>
    <row r="409" ht="15" customHeight="1">
      <c r="A409" t="inlineStr">
        <is>
          <t>A 6099-2024</t>
        </is>
      </c>
      <c r="B409" s="1" t="n">
        <v>45337</v>
      </c>
      <c r="C409" s="1" t="n">
        <v>46098</v>
      </c>
      <c r="D409" t="inlineStr">
        <is>
          <t>GOTLANDS LÄN</t>
        </is>
      </c>
      <c r="E409" t="inlineStr">
        <is>
          <t>GOTLAND</t>
        </is>
      </c>
      <c r="G409" t="n">
        <v>12.6</v>
      </c>
      <c r="H409" t="n">
        <v>0</v>
      </c>
      <c r="I409" t="n">
        <v>0</v>
      </c>
      <c r="J409" t="n">
        <v>0</v>
      </c>
      <c r="K409" t="n">
        <v>0</v>
      </c>
      <c r="L409" t="n">
        <v>0</v>
      </c>
      <c r="M409" t="n">
        <v>0</v>
      </c>
      <c r="N409" t="n">
        <v>0</v>
      </c>
      <c r="O409" t="n">
        <v>0</v>
      </c>
      <c r="P409" t="n">
        <v>0</v>
      </c>
      <c r="Q409" t="n">
        <v>0</v>
      </c>
      <c r="R409" s="2" t="inlineStr"/>
    </row>
    <row r="410" ht="15" customHeight="1">
      <c r="A410" t="inlineStr">
        <is>
          <t>A 10284-2026</t>
        </is>
      </c>
      <c r="B410" s="1" t="n">
        <v>46076</v>
      </c>
      <c r="C410" s="1" t="n">
        <v>46098</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8260-2023</t>
        </is>
      </c>
      <c r="B411" s="1" t="n">
        <v>44974.61608796296</v>
      </c>
      <c r="C411" s="1" t="n">
        <v>46098</v>
      </c>
      <c r="D411" t="inlineStr">
        <is>
          <t>GOTLANDS LÄN</t>
        </is>
      </c>
      <c r="E411" t="inlineStr">
        <is>
          <t>GOTLAND</t>
        </is>
      </c>
      <c r="G411" t="n">
        <v>2.9</v>
      </c>
      <c r="H411" t="n">
        <v>0</v>
      </c>
      <c r="I411" t="n">
        <v>0</v>
      </c>
      <c r="J411" t="n">
        <v>0</v>
      </c>
      <c r="K411" t="n">
        <v>0</v>
      </c>
      <c r="L411" t="n">
        <v>0</v>
      </c>
      <c r="M411" t="n">
        <v>0</v>
      </c>
      <c r="N411" t="n">
        <v>0</v>
      </c>
      <c r="O411" t="n">
        <v>0</v>
      </c>
      <c r="P411" t="n">
        <v>0</v>
      </c>
      <c r="Q411" t="n">
        <v>0</v>
      </c>
      <c r="R411" s="2" t="inlineStr"/>
    </row>
    <row r="412" ht="15" customHeight="1">
      <c r="A412" t="inlineStr">
        <is>
          <t>A 22287-2022</t>
        </is>
      </c>
      <c r="B412" s="1" t="n">
        <v>44712</v>
      </c>
      <c r="C412" s="1" t="n">
        <v>46098</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57534-2022</t>
        </is>
      </c>
      <c r="B413" s="1" t="n">
        <v>44896</v>
      </c>
      <c r="C413" s="1" t="n">
        <v>46098</v>
      </c>
      <c r="D413" t="inlineStr">
        <is>
          <t>GOTLANDS LÄN</t>
        </is>
      </c>
      <c r="E413" t="inlineStr">
        <is>
          <t>GOTLAND</t>
        </is>
      </c>
      <c r="G413" t="n">
        <v>0.6</v>
      </c>
      <c r="H413" t="n">
        <v>0</v>
      </c>
      <c r="I413" t="n">
        <v>0</v>
      </c>
      <c r="J413" t="n">
        <v>0</v>
      </c>
      <c r="K413" t="n">
        <v>0</v>
      </c>
      <c r="L413" t="n">
        <v>0</v>
      </c>
      <c r="M413" t="n">
        <v>0</v>
      </c>
      <c r="N413" t="n">
        <v>0</v>
      </c>
      <c r="O413" t="n">
        <v>0</v>
      </c>
      <c r="P413" t="n">
        <v>0</v>
      </c>
      <c r="Q413" t="n">
        <v>0</v>
      </c>
      <c r="R413" s="2" t="inlineStr"/>
    </row>
    <row r="414" ht="15" customHeight="1">
      <c r="A414" t="inlineStr">
        <is>
          <t>A 2415-2026</t>
        </is>
      </c>
      <c r="B414" s="1" t="n">
        <v>46036.76203703704</v>
      </c>
      <c r="C414" s="1" t="n">
        <v>46098</v>
      </c>
      <c r="D414" t="inlineStr">
        <is>
          <t>GOTLANDS LÄN</t>
        </is>
      </c>
      <c r="E414" t="inlineStr">
        <is>
          <t>GOTLAND</t>
        </is>
      </c>
      <c r="G414" t="n">
        <v>6.9</v>
      </c>
      <c r="H414" t="n">
        <v>0</v>
      </c>
      <c r="I414" t="n">
        <v>0</v>
      </c>
      <c r="J414" t="n">
        <v>0</v>
      </c>
      <c r="K414" t="n">
        <v>0</v>
      </c>
      <c r="L414" t="n">
        <v>0</v>
      </c>
      <c r="M414" t="n">
        <v>0</v>
      </c>
      <c r="N414" t="n">
        <v>0</v>
      </c>
      <c r="O414" t="n">
        <v>0</v>
      </c>
      <c r="P414" t="n">
        <v>0</v>
      </c>
      <c r="Q414" t="n">
        <v>0</v>
      </c>
      <c r="R414" s="2" t="inlineStr"/>
    </row>
    <row r="415" ht="15" customHeight="1">
      <c r="A415" t="inlineStr">
        <is>
          <t>A 62836-2025</t>
        </is>
      </c>
      <c r="B415" s="1" t="n">
        <v>46008</v>
      </c>
      <c r="C415" s="1" t="n">
        <v>46098</v>
      </c>
      <c r="D415" t="inlineStr">
        <is>
          <t>GOTLANDS LÄN</t>
        </is>
      </c>
      <c r="E415" t="inlineStr">
        <is>
          <t>GOTLAND</t>
        </is>
      </c>
      <c r="G415" t="n">
        <v>6.5</v>
      </c>
      <c r="H415" t="n">
        <v>0</v>
      </c>
      <c r="I415" t="n">
        <v>0</v>
      </c>
      <c r="J415" t="n">
        <v>0</v>
      </c>
      <c r="K415" t="n">
        <v>0</v>
      </c>
      <c r="L415" t="n">
        <v>0</v>
      </c>
      <c r="M415" t="n">
        <v>0</v>
      </c>
      <c r="N415" t="n">
        <v>0</v>
      </c>
      <c r="O415" t="n">
        <v>0</v>
      </c>
      <c r="P415" t="n">
        <v>0</v>
      </c>
      <c r="Q415" t="n">
        <v>0</v>
      </c>
      <c r="R415" s="2" t="inlineStr"/>
    </row>
    <row r="416" ht="15" customHeight="1">
      <c r="A416" t="inlineStr">
        <is>
          <t>A 3253-2026</t>
        </is>
      </c>
      <c r="B416" s="1" t="n">
        <v>46041.58902777778</v>
      </c>
      <c r="C416" s="1" t="n">
        <v>46098</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11414-2026</t>
        </is>
      </c>
      <c r="B417" s="1" t="n">
        <v>46083.46336805556</v>
      </c>
      <c r="C417" s="1" t="n">
        <v>46098</v>
      </c>
      <c r="D417" t="inlineStr">
        <is>
          <t>GOTLANDS LÄN</t>
        </is>
      </c>
      <c r="E417" t="inlineStr">
        <is>
          <t>GOTLAND</t>
        </is>
      </c>
      <c r="G417" t="n">
        <v>4.9</v>
      </c>
      <c r="H417" t="n">
        <v>0</v>
      </c>
      <c r="I417" t="n">
        <v>0</v>
      </c>
      <c r="J417" t="n">
        <v>0</v>
      </c>
      <c r="K417" t="n">
        <v>0</v>
      </c>
      <c r="L417" t="n">
        <v>0</v>
      </c>
      <c r="M417" t="n">
        <v>0</v>
      </c>
      <c r="N417" t="n">
        <v>0</v>
      </c>
      <c r="O417" t="n">
        <v>0</v>
      </c>
      <c r="P417" t="n">
        <v>0</v>
      </c>
      <c r="Q417" t="n">
        <v>0</v>
      </c>
      <c r="R417" s="2" t="inlineStr"/>
    </row>
    <row r="418" ht="15" customHeight="1">
      <c r="A418" t="inlineStr">
        <is>
          <t>A 64660-2023</t>
        </is>
      </c>
      <c r="B418" s="1" t="n">
        <v>45281.60122685185</v>
      </c>
      <c r="C418" s="1" t="n">
        <v>46098</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11424-2026</t>
        </is>
      </c>
      <c r="B419" s="1" t="n">
        <v>46083.48068287037</v>
      </c>
      <c r="C419" s="1" t="n">
        <v>46098</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3067-2026</t>
        </is>
      </c>
      <c r="B420" s="1" t="n">
        <v>46040.59025462963</v>
      </c>
      <c r="C420" s="1" t="n">
        <v>46098</v>
      </c>
      <c r="D420" t="inlineStr">
        <is>
          <t>GOTLANDS LÄN</t>
        </is>
      </c>
      <c r="E420" t="inlineStr">
        <is>
          <t>GOTLAND</t>
        </is>
      </c>
      <c r="G420" t="n">
        <v>7.8</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46098</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20855-2023</t>
        </is>
      </c>
      <c r="B422" s="1" t="n">
        <v>45058.82172453704</v>
      </c>
      <c r="C422" s="1" t="n">
        <v>46098</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60709-2023</t>
        </is>
      </c>
      <c r="B423" s="1" t="n">
        <v>45260</v>
      </c>
      <c r="C423" s="1" t="n">
        <v>46098</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11982-2026</t>
        </is>
      </c>
      <c r="B424" s="1" t="n">
        <v>46085.6434375</v>
      </c>
      <c r="C424" s="1" t="n">
        <v>46098</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53561-2025</t>
        </is>
      </c>
      <c r="B425" s="1" t="n">
        <v>45960.4059375</v>
      </c>
      <c r="C425" s="1" t="n">
        <v>46098</v>
      </c>
      <c r="D425" t="inlineStr">
        <is>
          <t>GOTLANDS LÄN</t>
        </is>
      </c>
      <c r="E425" t="inlineStr">
        <is>
          <t>GOTLAND</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1000-2024</t>
        </is>
      </c>
      <c r="B426" s="1" t="n">
        <v>45301.63371527778</v>
      </c>
      <c r="C426" s="1" t="n">
        <v>46098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1010-2024</t>
        </is>
      </c>
      <c r="B427" s="1" t="n">
        <v>45301</v>
      </c>
      <c r="C427" s="1" t="n">
        <v>46098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65249-2023</t>
        </is>
      </c>
      <c r="B428" s="1" t="n">
        <v>45290</v>
      </c>
      <c r="C428" s="1" t="n">
        <v>46098</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12135-2026</t>
        </is>
      </c>
      <c r="B429" s="1" t="n">
        <v>46086</v>
      </c>
      <c r="C429" s="1" t="n">
        <v>46098</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30956-2024</t>
        </is>
      </c>
      <c r="B430" s="1" t="n">
        <v>45499.42527777778</v>
      </c>
      <c r="C430" s="1" t="n">
        <v>46098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46098</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60384-2025</t>
        </is>
      </c>
      <c r="B432" s="1" t="n">
        <v>45995</v>
      </c>
      <c r="C432" s="1" t="n">
        <v>46098</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8045-2022</t>
        </is>
      </c>
      <c r="B433" s="1" t="n">
        <v>44609</v>
      </c>
      <c r="C433" s="1" t="n">
        <v>46098</v>
      </c>
      <c r="D433" t="inlineStr">
        <is>
          <t>GOTLANDS LÄN</t>
        </is>
      </c>
      <c r="E433" t="inlineStr">
        <is>
          <t>GOTLAND</t>
        </is>
      </c>
      <c r="G433" t="n">
        <v>7</v>
      </c>
      <c r="H433" t="n">
        <v>0</v>
      </c>
      <c r="I433" t="n">
        <v>0</v>
      </c>
      <c r="J433" t="n">
        <v>0</v>
      </c>
      <c r="K433" t="n">
        <v>0</v>
      </c>
      <c r="L433" t="n">
        <v>0</v>
      </c>
      <c r="M433" t="n">
        <v>0</v>
      </c>
      <c r="N433" t="n">
        <v>0</v>
      </c>
      <c r="O433" t="n">
        <v>0</v>
      </c>
      <c r="P433" t="n">
        <v>0</v>
      </c>
      <c r="Q433" t="n">
        <v>0</v>
      </c>
      <c r="R433" s="2" t="inlineStr"/>
    </row>
    <row r="434" ht="15" customHeight="1">
      <c r="A434" t="inlineStr">
        <is>
          <t>A 1839-2026</t>
        </is>
      </c>
      <c r="B434" s="1" t="n">
        <v>46035.3942824074</v>
      </c>
      <c r="C434" s="1" t="n">
        <v>46098</v>
      </c>
      <c r="D434" t="inlineStr">
        <is>
          <t>GOTLANDS LÄN</t>
        </is>
      </c>
      <c r="E434" t="inlineStr">
        <is>
          <t>GOTLAND</t>
        </is>
      </c>
      <c r="G434" t="n">
        <v>3.5</v>
      </c>
      <c r="H434" t="n">
        <v>0</v>
      </c>
      <c r="I434" t="n">
        <v>0</v>
      </c>
      <c r="J434" t="n">
        <v>0</v>
      </c>
      <c r="K434" t="n">
        <v>0</v>
      </c>
      <c r="L434" t="n">
        <v>0</v>
      </c>
      <c r="M434" t="n">
        <v>0</v>
      </c>
      <c r="N434" t="n">
        <v>0</v>
      </c>
      <c r="O434" t="n">
        <v>0</v>
      </c>
      <c r="P434" t="n">
        <v>0</v>
      </c>
      <c r="Q434" t="n">
        <v>0</v>
      </c>
      <c r="R434" s="2" t="inlineStr"/>
    </row>
    <row r="435" ht="15" customHeight="1">
      <c r="A435" t="inlineStr">
        <is>
          <t>A 4639-2026</t>
        </is>
      </c>
      <c r="B435" s="1" t="n">
        <v>46048.39880787037</v>
      </c>
      <c r="C435" s="1" t="n">
        <v>46098</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4662-2026</t>
        </is>
      </c>
      <c r="B436" s="1" t="n">
        <v>46048.40949074074</v>
      </c>
      <c r="C436" s="1" t="n">
        <v>46098</v>
      </c>
      <c r="D436" t="inlineStr">
        <is>
          <t>GOTLANDS LÄN</t>
        </is>
      </c>
      <c r="E436" t="inlineStr">
        <is>
          <t>GOTLAND</t>
        </is>
      </c>
      <c r="G436" t="n">
        <v>7.6</v>
      </c>
      <c r="H436" t="n">
        <v>0</v>
      </c>
      <c r="I436" t="n">
        <v>0</v>
      </c>
      <c r="J436" t="n">
        <v>0</v>
      </c>
      <c r="K436" t="n">
        <v>0</v>
      </c>
      <c r="L436" t="n">
        <v>0</v>
      </c>
      <c r="M436" t="n">
        <v>0</v>
      </c>
      <c r="N436" t="n">
        <v>0</v>
      </c>
      <c r="O436" t="n">
        <v>0</v>
      </c>
      <c r="P436" t="n">
        <v>0</v>
      </c>
      <c r="Q436" t="n">
        <v>0</v>
      </c>
      <c r="R436" s="2" t="inlineStr"/>
    </row>
    <row r="437" ht="15" customHeight="1">
      <c r="A437" t="inlineStr">
        <is>
          <t>A 999-2024</t>
        </is>
      </c>
      <c r="B437" s="1" t="n">
        <v>45301</v>
      </c>
      <c r="C437" s="1" t="n">
        <v>46098</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65901-2021</t>
        </is>
      </c>
      <c r="B438" s="1" t="n">
        <v>44516</v>
      </c>
      <c r="C438" s="1" t="n">
        <v>46098</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63000-2025</t>
        </is>
      </c>
      <c r="B439" s="1" t="n">
        <v>46009</v>
      </c>
      <c r="C439" s="1" t="n">
        <v>46098</v>
      </c>
      <c r="D439" t="inlineStr">
        <is>
          <t>GOTLANDS LÄN</t>
        </is>
      </c>
      <c r="E439" t="inlineStr">
        <is>
          <t>GOTLAND</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4646-2026</t>
        </is>
      </c>
      <c r="B440" s="1" t="n">
        <v>46048.40357638889</v>
      </c>
      <c r="C440" s="1" t="n">
        <v>46098</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47762-2023</t>
        </is>
      </c>
      <c r="B441" s="1" t="n">
        <v>45203.86256944444</v>
      </c>
      <c r="C441" s="1" t="n">
        <v>46098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4634-2026</t>
        </is>
      </c>
      <c r="B442" s="1" t="n">
        <v>46048.39304398148</v>
      </c>
      <c r="C442" s="1" t="n">
        <v>46098</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40294-2022</t>
        </is>
      </c>
      <c r="B443" s="1" t="n">
        <v>44821</v>
      </c>
      <c r="C443" s="1" t="n">
        <v>46098</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27602-2023</t>
        </is>
      </c>
      <c r="B444" s="1" t="n">
        <v>45097</v>
      </c>
      <c r="C444" s="1" t="n">
        <v>46098</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4670-2026</t>
        </is>
      </c>
      <c r="B445" s="1" t="n">
        <v>46048.41733796296</v>
      </c>
      <c r="C445" s="1" t="n">
        <v>46098</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58780-2024</t>
        </is>
      </c>
      <c r="B446" s="1" t="n">
        <v>45635.84113425926</v>
      </c>
      <c r="C446" s="1" t="n">
        <v>46098</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62754-2025</t>
        </is>
      </c>
      <c r="B447" s="1" t="n">
        <v>46008</v>
      </c>
      <c r="C447" s="1" t="n">
        <v>46098</v>
      </c>
      <c r="D447" t="inlineStr">
        <is>
          <t>GOTLANDS LÄN</t>
        </is>
      </c>
      <c r="E447" t="inlineStr">
        <is>
          <t>GOTLAND</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12322-2025</t>
        </is>
      </c>
      <c r="B448" s="1" t="n">
        <v>45730</v>
      </c>
      <c r="C448" s="1" t="n">
        <v>46098</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46098</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24192-2023</t>
        </is>
      </c>
      <c r="B450" s="1" t="n">
        <v>45079</v>
      </c>
      <c r="C450" s="1" t="n">
        <v>46098</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30282-2022</t>
        </is>
      </c>
      <c r="B451" s="1" t="n">
        <v>44760</v>
      </c>
      <c r="C451" s="1" t="n">
        <v>46098</v>
      </c>
      <c r="D451" t="inlineStr">
        <is>
          <t>GOTLANDS LÄN</t>
        </is>
      </c>
      <c r="E451" t="inlineStr">
        <is>
          <t>GOTLAND</t>
        </is>
      </c>
      <c r="G451" t="n">
        <v>2.6</v>
      </c>
      <c r="H451" t="n">
        <v>0</v>
      </c>
      <c r="I451" t="n">
        <v>0</v>
      </c>
      <c r="J451" t="n">
        <v>0</v>
      </c>
      <c r="K451" t="n">
        <v>0</v>
      </c>
      <c r="L451" t="n">
        <v>0</v>
      </c>
      <c r="M451" t="n">
        <v>0</v>
      </c>
      <c r="N451" t="n">
        <v>0</v>
      </c>
      <c r="O451" t="n">
        <v>0</v>
      </c>
      <c r="P451" t="n">
        <v>0</v>
      </c>
      <c r="Q451" t="n">
        <v>0</v>
      </c>
      <c r="R451" s="2" t="inlineStr"/>
    </row>
    <row r="452" ht="15" customHeight="1">
      <c r="A452" t="inlineStr">
        <is>
          <t>A 7835-2024</t>
        </is>
      </c>
      <c r="B452" s="1" t="n">
        <v>45349.83138888889</v>
      </c>
      <c r="C452" s="1" t="n">
        <v>46098</v>
      </c>
      <c r="D452" t="inlineStr">
        <is>
          <t>GOTLANDS LÄN</t>
        </is>
      </c>
      <c r="E452" t="inlineStr">
        <is>
          <t>GOTLAND</t>
        </is>
      </c>
      <c r="G452" t="n">
        <v>3.8</v>
      </c>
      <c r="H452" t="n">
        <v>0</v>
      </c>
      <c r="I452" t="n">
        <v>0</v>
      </c>
      <c r="J452" t="n">
        <v>0</v>
      </c>
      <c r="K452" t="n">
        <v>0</v>
      </c>
      <c r="L452" t="n">
        <v>0</v>
      </c>
      <c r="M452" t="n">
        <v>0</v>
      </c>
      <c r="N452" t="n">
        <v>0</v>
      </c>
      <c r="O452" t="n">
        <v>0</v>
      </c>
      <c r="P452" t="n">
        <v>0</v>
      </c>
      <c r="Q452" t="n">
        <v>0</v>
      </c>
      <c r="R452" s="2" t="inlineStr"/>
    </row>
    <row r="453" ht="15" customHeight="1">
      <c r="A453" t="inlineStr">
        <is>
          <t>A 10650-2022</t>
        </is>
      </c>
      <c r="B453" s="1" t="n">
        <v>44624.57945601852</v>
      </c>
      <c r="C453" s="1" t="n">
        <v>46098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26810-2021</t>
        </is>
      </c>
      <c r="B454" s="1" t="n">
        <v>44349.55087962963</v>
      </c>
      <c r="C454" s="1" t="n">
        <v>46098</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46098</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46098</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13482-2026</t>
        </is>
      </c>
      <c r="B457" s="1" t="n">
        <v>46094</v>
      </c>
      <c r="C457" s="1" t="n">
        <v>46098</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46098</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13486-2026</t>
        </is>
      </c>
      <c r="B459" s="1" t="n">
        <v>46094</v>
      </c>
      <c r="C459" s="1" t="n">
        <v>46098</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5863-2026</t>
        </is>
      </c>
      <c r="B460" s="1" t="n">
        <v>46052.36697916667</v>
      </c>
      <c r="C460" s="1" t="n">
        <v>46098</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46098</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2135-2026</t>
        </is>
      </c>
      <c r="B462" s="1" t="n">
        <v>46036</v>
      </c>
      <c r="C462" s="1" t="n">
        <v>46098</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6207-2026</t>
        </is>
      </c>
      <c r="B463" s="1" t="n">
        <v>46055.42083333333</v>
      </c>
      <c r="C463" s="1" t="n">
        <v>46098</v>
      </c>
      <c r="D463" t="inlineStr">
        <is>
          <t>GOTLANDS LÄN</t>
        </is>
      </c>
      <c r="E463" t="inlineStr">
        <is>
          <t>GOTLAND</t>
        </is>
      </c>
      <c r="G463" t="n">
        <v>7.6</v>
      </c>
      <c r="H463" t="n">
        <v>0</v>
      </c>
      <c r="I463" t="n">
        <v>0</v>
      </c>
      <c r="J463" t="n">
        <v>0</v>
      </c>
      <c r="K463" t="n">
        <v>0</v>
      </c>
      <c r="L463" t="n">
        <v>0</v>
      </c>
      <c r="M463" t="n">
        <v>0</v>
      </c>
      <c r="N463" t="n">
        <v>0</v>
      </c>
      <c r="O463" t="n">
        <v>0</v>
      </c>
      <c r="P463" t="n">
        <v>0</v>
      </c>
      <c r="Q463" t="n">
        <v>0</v>
      </c>
      <c r="R463" s="2" t="inlineStr"/>
    </row>
    <row r="464" ht="15" customHeight="1">
      <c r="A464" t="inlineStr">
        <is>
          <t>A 6218-2026</t>
        </is>
      </c>
      <c r="B464" s="1" t="n">
        <v>46055.42859953704</v>
      </c>
      <c r="C464" s="1" t="n">
        <v>46098</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10746-2025</t>
        </is>
      </c>
      <c r="B465" s="1" t="n">
        <v>45722.42766203704</v>
      </c>
      <c r="C465" s="1" t="n">
        <v>46098</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43229-2023</t>
        </is>
      </c>
      <c r="B466" s="1" t="n">
        <v>45183.46704861111</v>
      </c>
      <c r="C466" s="1" t="n">
        <v>46098</v>
      </c>
      <c r="D466" t="inlineStr">
        <is>
          <t>GOTLANDS LÄN</t>
        </is>
      </c>
      <c r="E466" t="inlineStr">
        <is>
          <t>GOTLAND</t>
        </is>
      </c>
      <c r="G466" t="n">
        <v>7.1</v>
      </c>
      <c r="H466" t="n">
        <v>0</v>
      </c>
      <c r="I466" t="n">
        <v>0</v>
      </c>
      <c r="J466" t="n">
        <v>0</v>
      </c>
      <c r="K466" t="n">
        <v>0</v>
      </c>
      <c r="L466" t="n">
        <v>0</v>
      </c>
      <c r="M466" t="n">
        <v>0</v>
      </c>
      <c r="N466" t="n">
        <v>0</v>
      </c>
      <c r="O466" t="n">
        <v>0</v>
      </c>
      <c r="P466" t="n">
        <v>0</v>
      </c>
      <c r="Q466" t="n">
        <v>0</v>
      </c>
      <c r="R466" s="2" t="inlineStr"/>
    </row>
    <row r="467" ht="15" customHeight="1">
      <c r="A467" t="inlineStr">
        <is>
          <t>A 41038-2023</t>
        </is>
      </c>
      <c r="B467" s="1" t="n">
        <v>45173.60959490741</v>
      </c>
      <c r="C467" s="1" t="n">
        <v>46098</v>
      </c>
      <c r="D467" t="inlineStr">
        <is>
          <t>GOTLANDS LÄN</t>
        </is>
      </c>
      <c r="E467" t="inlineStr">
        <is>
          <t>GOTLAND</t>
        </is>
      </c>
      <c r="G467" t="n">
        <v>2.7</v>
      </c>
      <c r="H467" t="n">
        <v>0</v>
      </c>
      <c r="I467" t="n">
        <v>0</v>
      </c>
      <c r="J467" t="n">
        <v>0</v>
      </c>
      <c r="K467" t="n">
        <v>0</v>
      </c>
      <c r="L467" t="n">
        <v>0</v>
      </c>
      <c r="M467" t="n">
        <v>0</v>
      </c>
      <c r="N467" t="n">
        <v>0</v>
      </c>
      <c r="O467" t="n">
        <v>0</v>
      </c>
      <c r="P467" t="n">
        <v>0</v>
      </c>
      <c r="Q467" t="n">
        <v>0</v>
      </c>
      <c r="R467" s="2" t="inlineStr"/>
    </row>
    <row r="468" ht="15" customHeight="1">
      <c r="A468" t="inlineStr">
        <is>
          <t>A 24966-2023</t>
        </is>
      </c>
      <c r="B468" s="1" t="n">
        <v>45085</v>
      </c>
      <c r="C468" s="1" t="n">
        <v>46098</v>
      </c>
      <c r="D468" t="inlineStr">
        <is>
          <t>GOTLANDS LÄN</t>
        </is>
      </c>
      <c r="E468" t="inlineStr">
        <is>
          <t>GOTLAND</t>
        </is>
      </c>
      <c r="G468" t="n">
        <v>7</v>
      </c>
      <c r="H468" t="n">
        <v>0</v>
      </c>
      <c r="I468" t="n">
        <v>0</v>
      </c>
      <c r="J468" t="n">
        <v>0</v>
      </c>
      <c r="K468" t="n">
        <v>0</v>
      </c>
      <c r="L468" t="n">
        <v>0</v>
      </c>
      <c r="M468" t="n">
        <v>0</v>
      </c>
      <c r="N468" t="n">
        <v>0</v>
      </c>
      <c r="O468" t="n">
        <v>0</v>
      </c>
      <c r="P468" t="n">
        <v>0</v>
      </c>
      <c r="Q468" t="n">
        <v>0</v>
      </c>
      <c r="R468" s="2" t="inlineStr"/>
    </row>
    <row r="469" ht="15" customHeight="1">
      <c r="A469" t="inlineStr">
        <is>
          <t>A 57652-2023</t>
        </is>
      </c>
      <c r="B469" s="1" t="n">
        <v>45246</v>
      </c>
      <c r="C469" s="1" t="n">
        <v>46098</v>
      </c>
      <c r="D469" t="inlineStr">
        <is>
          <t>GOTLANDS LÄN</t>
        </is>
      </c>
      <c r="E469" t="inlineStr">
        <is>
          <t>GOTLAND</t>
        </is>
      </c>
      <c r="G469" t="n">
        <v>7.2</v>
      </c>
      <c r="H469" t="n">
        <v>0</v>
      </c>
      <c r="I469" t="n">
        <v>0</v>
      </c>
      <c r="J469" t="n">
        <v>0</v>
      </c>
      <c r="K469" t="n">
        <v>0</v>
      </c>
      <c r="L469" t="n">
        <v>0</v>
      </c>
      <c r="M469" t="n">
        <v>0</v>
      </c>
      <c r="N469" t="n">
        <v>0</v>
      </c>
      <c r="O469" t="n">
        <v>0</v>
      </c>
      <c r="P469" t="n">
        <v>0</v>
      </c>
      <c r="Q469" t="n">
        <v>0</v>
      </c>
      <c r="R469" s="2" t="inlineStr"/>
    </row>
    <row r="470" ht="15" customHeight="1">
      <c r="A470" t="inlineStr">
        <is>
          <t>A 46189-2022</t>
        </is>
      </c>
      <c r="B470" s="1" t="n">
        <v>44847</v>
      </c>
      <c r="C470" s="1" t="n">
        <v>46098</v>
      </c>
      <c r="D470" t="inlineStr">
        <is>
          <t>GOTLANDS LÄN</t>
        </is>
      </c>
      <c r="E470" t="inlineStr">
        <is>
          <t>GOTLAND</t>
        </is>
      </c>
      <c r="G470" t="n">
        <v>0.4</v>
      </c>
      <c r="H470" t="n">
        <v>0</v>
      </c>
      <c r="I470" t="n">
        <v>0</v>
      </c>
      <c r="J470" t="n">
        <v>0</v>
      </c>
      <c r="K470" t="n">
        <v>0</v>
      </c>
      <c r="L470" t="n">
        <v>0</v>
      </c>
      <c r="M470" t="n">
        <v>0</v>
      </c>
      <c r="N470" t="n">
        <v>0</v>
      </c>
      <c r="O470" t="n">
        <v>0</v>
      </c>
      <c r="P470" t="n">
        <v>0</v>
      </c>
      <c r="Q470" t="n">
        <v>0</v>
      </c>
      <c r="R470" s="2" t="inlineStr"/>
    </row>
    <row r="471" ht="15" customHeight="1">
      <c r="A471" t="inlineStr">
        <is>
          <t>A 57522-2022</t>
        </is>
      </c>
      <c r="B471" s="1" t="n">
        <v>44896</v>
      </c>
      <c r="C471" s="1" t="n">
        <v>46098</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14797-2024</t>
        </is>
      </c>
      <c r="B472" s="1" t="n">
        <v>45397.87030092593</v>
      </c>
      <c r="C472" s="1" t="n">
        <v>46098</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7837-2024</t>
        </is>
      </c>
      <c r="B473" s="1" t="n">
        <v>45349.83787037037</v>
      </c>
      <c r="C473" s="1" t="n">
        <v>46098</v>
      </c>
      <c r="D473" t="inlineStr">
        <is>
          <t>GOTLANDS LÄN</t>
        </is>
      </c>
      <c r="E473" t="inlineStr">
        <is>
          <t>GOTLAND</t>
        </is>
      </c>
      <c r="G473" t="n">
        <v>5</v>
      </c>
      <c r="H473" t="n">
        <v>0</v>
      </c>
      <c r="I473" t="n">
        <v>0</v>
      </c>
      <c r="J473" t="n">
        <v>0</v>
      </c>
      <c r="K473" t="n">
        <v>0</v>
      </c>
      <c r="L473" t="n">
        <v>0</v>
      </c>
      <c r="M473" t="n">
        <v>0</v>
      </c>
      <c r="N473" t="n">
        <v>0</v>
      </c>
      <c r="O473" t="n">
        <v>0</v>
      </c>
      <c r="P473" t="n">
        <v>0</v>
      </c>
      <c r="Q473" t="n">
        <v>0</v>
      </c>
      <c r="R473" s="2" t="inlineStr"/>
    </row>
    <row r="474" ht="15" customHeight="1">
      <c r="A474" t="inlineStr">
        <is>
          <t>A 1394-2023</t>
        </is>
      </c>
      <c r="B474" s="1" t="n">
        <v>44936.72997685185</v>
      </c>
      <c r="C474" s="1" t="n">
        <v>46098</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2676-2023</t>
        </is>
      </c>
      <c r="B475" s="1" t="n">
        <v>44944</v>
      </c>
      <c r="C475" s="1" t="n">
        <v>46098</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46098</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49411-2023</t>
        </is>
      </c>
      <c r="B477" s="1" t="n">
        <v>45205</v>
      </c>
      <c r="C477" s="1" t="n">
        <v>46098</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37728-2024</t>
        </is>
      </c>
      <c r="B478" s="1" t="n">
        <v>45541</v>
      </c>
      <c r="C478" s="1" t="n">
        <v>46098</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2241-2025</t>
        </is>
      </c>
      <c r="B479" s="1" t="n">
        <v>45673.48710648148</v>
      </c>
      <c r="C479" s="1" t="n">
        <v>46098</v>
      </c>
      <c r="D479" t="inlineStr">
        <is>
          <t>GOTLANDS LÄN</t>
        </is>
      </c>
      <c r="E479" t="inlineStr">
        <is>
          <t>GOTLAND</t>
        </is>
      </c>
      <c r="G479" t="n">
        <v>1</v>
      </c>
      <c r="H479" t="n">
        <v>0</v>
      </c>
      <c r="I479" t="n">
        <v>0</v>
      </c>
      <c r="J479" t="n">
        <v>0</v>
      </c>
      <c r="K479" t="n">
        <v>0</v>
      </c>
      <c r="L479" t="n">
        <v>0</v>
      </c>
      <c r="M479" t="n">
        <v>0</v>
      </c>
      <c r="N479" t="n">
        <v>0</v>
      </c>
      <c r="O479" t="n">
        <v>0</v>
      </c>
      <c r="P479" t="n">
        <v>0</v>
      </c>
      <c r="Q479" t="n">
        <v>0</v>
      </c>
      <c r="R479" s="2" t="inlineStr"/>
    </row>
    <row r="480" ht="15" customHeight="1">
      <c r="A480" t="inlineStr">
        <is>
          <t>A 22275-2023</t>
        </is>
      </c>
      <c r="B480" s="1" t="n">
        <v>45070.39875</v>
      </c>
      <c r="C480" s="1" t="n">
        <v>46098</v>
      </c>
      <c r="D480" t="inlineStr">
        <is>
          <t>GOTLANDS LÄN</t>
        </is>
      </c>
      <c r="E480" t="inlineStr">
        <is>
          <t>GOTLAND</t>
        </is>
      </c>
      <c r="G480" t="n">
        <v>7.2</v>
      </c>
      <c r="H480" t="n">
        <v>0</v>
      </c>
      <c r="I480" t="n">
        <v>0</v>
      </c>
      <c r="J480" t="n">
        <v>0</v>
      </c>
      <c r="K480" t="n">
        <v>0</v>
      </c>
      <c r="L480" t="n">
        <v>0</v>
      </c>
      <c r="M480" t="n">
        <v>0</v>
      </c>
      <c r="N480" t="n">
        <v>0</v>
      </c>
      <c r="O480" t="n">
        <v>0</v>
      </c>
      <c r="P480" t="n">
        <v>0</v>
      </c>
      <c r="Q480" t="n">
        <v>0</v>
      </c>
      <c r="R480" s="2" t="inlineStr"/>
    </row>
    <row r="481" ht="15" customHeight="1">
      <c r="A481" t="inlineStr">
        <is>
          <t>A 14635-2023</t>
        </is>
      </c>
      <c r="B481" s="1" t="n">
        <v>45013.69365740741</v>
      </c>
      <c r="C481" s="1" t="n">
        <v>46098</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63763-2023</t>
        </is>
      </c>
      <c r="B482" s="1" t="n">
        <v>45278.33944444444</v>
      </c>
      <c r="C482" s="1" t="n">
        <v>46098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7635-2025</t>
        </is>
      </c>
      <c r="B483" s="1" t="n">
        <v>45705</v>
      </c>
      <c r="C483" s="1" t="n">
        <v>46098</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7636-2025</t>
        </is>
      </c>
      <c r="B484" s="1" t="n">
        <v>45705.7687962963</v>
      </c>
      <c r="C484" s="1" t="n">
        <v>46098</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7639-2025</t>
        </is>
      </c>
      <c r="B485" s="1" t="n">
        <v>45705.77465277778</v>
      </c>
      <c r="C485" s="1" t="n">
        <v>46098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61682-2024</t>
        </is>
      </c>
      <c r="B486" s="1" t="n">
        <v>45647.48824074074</v>
      </c>
      <c r="C486" s="1" t="n">
        <v>46098</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15434-2024</t>
        </is>
      </c>
      <c r="B487" s="1" t="n">
        <v>45401.38836805556</v>
      </c>
      <c r="C487" s="1" t="n">
        <v>46098</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7034-2023</t>
        </is>
      </c>
      <c r="B488" s="1" t="n">
        <v>44968.32108796296</v>
      </c>
      <c r="C488" s="1" t="n">
        <v>46098</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7042-2023</t>
        </is>
      </c>
      <c r="B489" s="1" t="n">
        <v>44968</v>
      </c>
      <c r="C489" s="1" t="n">
        <v>46098</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2180-2025</t>
        </is>
      </c>
      <c r="B490" s="1" t="n">
        <v>45673</v>
      </c>
      <c r="C490" s="1" t="n">
        <v>46098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54074-2022</t>
        </is>
      </c>
      <c r="B491" s="1" t="n">
        <v>44881</v>
      </c>
      <c r="C491" s="1" t="n">
        <v>46098</v>
      </c>
      <c r="D491" t="inlineStr">
        <is>
          <t>GOTLANDS LÄN</t>
        </is>
      </c>
      <c r="E491" t="inlineStr">
        <is>
          <t>GOTLAND</t>
        </is>
      </c>
      <c r="G491" t="n">
        <v>0.9</v>
      </c>
      <c r="H491" t="n">
        <v>0</v>
      </c>
      <c r="I491" t="n">
        <v>0</v>
      </c>
      <c r="J491" t="n">
        <v>0</v>
      </c>
      <c r="K491" t="n">
        <v>0</v>
      </c>
      <c r="L491" t="n">
        <v>0</v>
      </c>
      <c r="M491" t="n">
        <v>0</v>
      </c>
      <c r="N491" t="n">
        <v>0</v>
      </c>
      <c r="O491" t="n">
        <v>0</v>
      </c>
      <c r="P491" t="n">
        <v>0</v>
      </c>
      <c r="Q491" t="n">
        <v>0</v>
      </c>
      <c r="R491" s="2" t="inlineStr"/>
    </row>
    <row r="492" ht="15" customHeight="1">
      <c r="A492" t="inlineStr">
        <is>
          <t>A 61694-2023</t>
        </is>
      </c>
      <c r="B492" s="1" t="n">
        <v>45264</v>
      </c>
      <c r="C492" s="1" t="n">
        <v>46098</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64208-2021</t>
        </is>
      </c>
      <c r="B493" s="1" t="n">
        <v>44510</v>
      </c>
      <c r="C493" s="1" t="n">
        <v>46098</v>
      </c>
      <c r="D493" t="inlineStr">
        <is>
          <t>GOTLANDS LÄN</t>
        </is>
      </c>
      <c r="E493" t="inlineStr">
        <is>
          <t>GOTLAND</t>
        </is>
      </c>
      <c r="G493" t="n">
        <v>4.7</v>
      </c>
      <c r="H493" t="n">
        <v>0</v>
      </c>
      <c r="I493" t="n">
        <v>0</v>
      </c>
      <c r="J493" t="n">
        <v>0</v>
      </c>
      <c r="K493" t="n">
        <v>0</v>
      </c>
      <c r="L493" t="n">
        <v>0</v>
      </c>
      <c r="M493" t="n">
        <v>0</v>
      </c>
      <c r="N493" t="n">
        <v>0</v>
      </c>
      <c r="O493" t="n">
        <v>0</v>
      </c>
      <c r="P493" t="n">
        <v>0</v>
      </c>
      <c r="Q493" t="n">
        <v>0</v>
      </c>
      <c r="R493" s="2" t="inlineStr"/>
    </row>
    <row r="494" ht="15" customHeight="1">
      <c r="A494" t="inlineStr">
        <is>
          <t>A 54268-2022</t>
        </is>
      </c>
      <c r="B494" s="1" t="n">
        <v>44882</v>
      </c>
      <c r="C494" s="1" t="n">
        <v>46098</v>
      </c>
      <c r="D494" t="inlineStr">
        <is>
          <t>GOTLANDS LÄN</t>
        </is>
      </c>
      <c r="E494" t="inlineStr">
        <is>
          <t>GOTLAND</t>
        </is>
      </c>
      <c r="G494" t="n">
        <v>2.7</v>
      </c>
      <c r="H494" t="n">
        <v>0</v>
      </c>
      <c r="I494" t="n">
        <v>0</v>
      </c>
      <c r="J494" t="n">
        <v>0</v>
      </c>
      <c r="K494" t="n">
        <v>0</v>
      </c>
      <c r="L494" t="n">
        <v>0</v>
      </c>
      <c r="M494" t="n">
        <v>0</v>
      </c>
      <c r="N494" t="n">
        <v>0</v>
      </c>
      <c r="O494" t="n">
        <v>0</v>
      </c>
      <c r="P494" t="n">
        <v>0</v>
      </c>
      <c r="Q494" t="n">
        <v>0</v>
      </c>
      <c r="R494" s="2" t="inlineStr"/>
    </row>
    <row r="495" ht="15" customHeight="1">
      <c r="A495" t="inlineStr">
        <is>
          <t>A 1446-2025</t>
        </is>
      </c>
      <c r="B495" s="1" t="n">
        <v>45669.86035879629</v>
      </c>
      <c r="C495" s="1" t="n">
        <v>46098</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1462-2025</t>
        </is>
      </c>
      <c r="B496" s="1" t="n">
        <v>45670.36319444444</v>
      </c>
      <c r="C496" s="1" t="n">
        <v>46098</v>
      </c>
      <c r="D496" t="inlineStr">
        <is>
          <t>GOTLANDS LÄN</t>
        </is>
      </c>
      <c r="E496" t="inlineStr">
        <is>
          <t>GOTLAND</t>
        </is>
      </c>
      <c r="G496" t="n">
        <v>2.8</v>
      </c>
      <c r="H496" t="n">
        <v>0</v>
      </c>
      <c r="I496" t="n">
        <v>0</v>
      </c>
      <c r="J496" t="n">
        <v>0</v>
      </c>
      <c r="K496" t="n">
        <v>0</v>
      </c>
      <c r="L496" t="n">
        <v>0</v>
      </c>
      <c r="M496" t="n">
        <v>0</v>
      </c>
      <c r="N496" t="n">
        <v>0</v>
      </c>
      <c r="O496" t="n">
        <v>0</v>
      </c>
      <c r="P496" t="n">
        <v>0</v>
      </c>
      <c r="Q496" t="n">
        <v>0</v>
      </c>
      <c r="R496" s="2" t="inlineStr"/>
    </row>
    <row r="497" ht="15" customHeight="1">
      <c r="A497" t="inlineStr">
        <is>
          <t>A 57685-2022</t>
        </is>
      </c>
      <c r="B497" s="1" t="n">
        <v>44897.4777662037</v>
      </c>
      <c r="C497" s="1" t="n">
        <v>46098</v>
      </c>
      <c r="D497" t="inlineStr">
        <is>
          <t>GOTLANDS LÄN</t>
        </is>
      </c>
      <c r="E497" t="inlineStr">
        <is>
          <t>GOTLAND</t>
        </is>
      </c>
      <c r="G497" t="n">
        <v>3.7</v>
      </c>
      <c r="H497" t="n">
        <v>0</v>
      </c>
      <c r="I497" t="n">
        <v>0</v>
      </c>
      <c r="J497" t="n">
        <v>0</v>
      </c>
      <c r="K497" t="n">
        <v>0</v>
      </c>
      <c r="L497" t="n">
        <v>0</v>
      </c>
      <c r="M497" t="n">
        <v>0</v>
      </c>
      <c r="N497" t="n">
        <v>0</v>
      </c>
      <c r="O497" t="n">
        <v>0</v>
      </c>
      <c r="P497" t="n">
        <v>0</v>
      </c>
      <c r="Q497" t="n">
        <v>0</v>
      </c>
      <c r="R497" s="2" t="inlineStr"/>
    </row>
    <row r="498" ht="15" customHeight="1">
      <c r="A498" t="inlineStr">
        <is>
          <t>A 811-2023</t>
        </is>
      </c>
      <c r="B498" s="1" t="n">
        <v>44931</v>
      </c>
      <c r="C498" s="1" t="n">
        <v>46098</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5905-2024</t>
        </is>
      </c>
      <c r="B499" s="1" t="n">
        <v>45335.88993055555</v>
      </c>
      <c r="C499" s="1" t="n">
        <v>46098</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3431-2025</t>
        </is>
      </c>
      <c r="B500" s="1" t="n">
        <v>45680.42935185185</v>
      </c>
      <c r="C500" s="1" t="n">
        <v>46098</v>
      </c>
      <c r="D500" t="inlineStr">
        <is>
          <t>GOTLANDS LÄN</t>
        </is>
      </c>
      <c r="E500" t="inlineStr">
        <is>
          <t>GOTLAND</t>
        </is>
      </c>
      <c r="G500" t="n">
        <v>4.8</v>
      </c>
      <c r="H500" t="n">
        <v>0</v>
      </c>
      <c r="I500" t="n">
        <v>0</v>
      </c>
      <c r="J500" t="n">
        <v>0</v>
      </c>
      <c r="K500" t="n">
        <v>0</v>
      </c>
      <c r="L500" t="n">
        <v>0</v>
      </c>
      <c r="M500" t="n">
        <v>0</v>
      </c>
      <c r="N500" t="n">
        <v>0</v>
      </c>
      <c r="O500" t="n">
        <v>0</v>
      </c>
      <c r="P500" t="n">
        <v>0</v>
      </c>
      <c r="Q500" t="n">
        <v>0</v>
      </c>
      <c r="R500" s="2" t="inlineStr"/>
    </row>
    <row r="501" ht="15" customHeight="1">
      <c r="A501" t="inlineStr">
        <is>
          <t>A 34407-2023</t>
        </is>
      </c>
      <c r="B501" s="1" t="n">
        <v>45132</v>
      </c>
      <c r="C501" s="1" t="n">
        <v>46098</v>
      </c>
      <c r="D501" t="inlineStr">
        <is>
          <t>GOTLANDS LÄN</t>
        </is>
      </c>
      <c r="E501" t="inlineStr">
        <is>
          <t>GOTLAND</t>
        </is>
      </c>
      <c r="G501" t="n">
        <v>4.4</v>
      </c>
      <c r="H501" t="n">
        <v>0</v>
      </c>
      <c r="I501" t="n">
        <v>0</v>
      </c>
      <c r="J501" t="n">
        <v>0</v>
      </c>
      <c r="K501" t="n">
        <v>0</v>
      </c>
      <c r="L501" t="n">
        <v>0</v>
      </c>
      <c r="M501" t="n">
        <v>0</v>
      </c>
      <c r="N501" t="n">
        <v>0</v>
      </c>
      <c r="O501" t="n">
        <v>0</v>
      </c>
      <c r="P501" t="n">
        <v>0</v>
      </c>
      <c r="Q501" t="n">
        <v>0</v>
      </c>
      <c r="R501" s="2" t="inlineStr"/>
    </row>
    <row r="502" ht="15" customHeight="1">
      <c r="A502" t="inlineStr">
        <is>
          <t>A 30892-2024</t>
        </is>
      </c>
      <c r="B502" s="1" t="n">
        <v>45491</v>
      </c>
      <c r="C502" s="1" t="n">
        <v>46098</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32958-2021</t>
        </is>
      </c>
      <c r="B503" s="1" t="n">
        <v>44376</v>
      </c>
      <c r="C503" s="1" t="n">
        <v>46098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7858-2025</t>
        </is>
      </c>
      <c r="B504" s="1" t="n">
        <v>45706.68633101852</v>
      </c>
      <c r="C504" s="1" t="n">
        <v>46098</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46545-2024</t>
        </is>
      </c>
      <c r="B505" s="1" t="n">
        <v>45582.65831018519</v>
      </c>
      <c r="C505" s="1" t="n">
        <v>46098</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46098</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1364-2025</t>
        </is>
      </c>
      <c r="B507" s="1" t="n">
        <v>45667.63929398148</v>
      </c>
      <c r="C507" s="1" t="n">
        <v>46098</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2125-2025</t>
        </is>
      </c>
      <c r="B508" s="1" t="n">
        <v>45672.64940972222</v>
      </c>
      <c r="C508" s="1" t="n">
        <v>46098</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14141-2024</t>
        </is>
      </c>
      <c r="B509" s="1" t="n">
        <v>45392.85193287037</v>
      </c>
      <c r="C509" s="1" t="n">
        <v>46098</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12155-2023</t>
        </is>
      </c>
      <c r="B510" s="1" t="n">
        <v>44998.49106481481</v>
      </c>
      <c r="C510" s="1" t="n">
        <v>46098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2774-2024</t>
        </is>
      </c>
      <c r="B511" s="1" t="n">
        <v>45314.62375</v>
      </c>
      <c r="C511" s="1" t="n">
        <v>46098</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9947-2024</t>
        </is>
      </c>
      <c r="B512" s="1" t="n">
        <v>45363</v>
      </c>
      <c r="C512" s="1" t="n">
        <v>46098</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42007-2023</t>
        </is>
      </c>
      <c r="B513" s="1" t="n">
        <v>45177</v>
      </c>
      <c r="C513" s="1" t="n">
        <v>46098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15083-2025</t>
        </is>
      </c>
      <c r="B514" s="1" t="n">
        <v>45743</v>
      </c>
      <c r="C514" s="1" t="n">
        <v>46098</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1066-2024</t>
        </is>
      </c>
      <c r="B515" s="1" t="n">
        <v>45302.285</v>
      </c>
      <c r="C515" s="1" t="n">
        <v>46098</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45539.67310185185</v>
      </c>
      <c r="C516" s="1" t="n">
        <v>46098</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30815-2023</t>
        </is>
      </c>
      <c r="B517" s="1" t="n">
        <v>45112</v>
      </c>
      <c r="C517" s="1" t="n">
        <v>46098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46400-2023</t>
        </is>
      </c>
      <c r="B518" s="1" t="n">
        <v>45197.49290509259</v>
      </c>
      <c r="C518" s="1" t="n">
        <v>46098</v>
      </c>
      <c r="D518" t="inlineStr">
        <is>
          <t>GOTLANDS LÄN</t>
        </is>
      </c>
      <c r="E518" t="inlineStr">
        <is>
          <t>GOTLAND</t>
        </is>
      </c>
      <c r="G518" t="n">
        <v>0.8</v>
      </c>
      <c r="H518" t="n">
        <v>0</v>
      </c>
      <c r="I518" t="n">
        <v>0</v>
      </c>
      <c r="J518" t="n">
        <v>0</v>
      </c>
      <c r="K518" t="n">
        <v>0</v>
      </c>
      <c r="L518" t="n">
        <v>0</v>
      </c>
      <c r="M518" t="n">
        <v>0</v>
      </c>
      <c r="N518" t="n">
        <v>0</v>
      </c>
      <c r="O518" t="n">
        <v>0</v>
      </c>
      <c r="P518" t="n">
        <v>0</v>
      </c>
      <c r="Q518" t="n">
        <v>0</v>
      </c>
      <c r="R518" s="2" t="inlineStr"/>
    </row>
    <row r="519" ht="15" customHeight="1">
      <c r="A519" t="inlineStr">
        <is>
          <t>A 10492-2023</t>
        </is>
      </c>
      <c r="B519" s="1" t="n">
        <v>44987</v>
      </c>
      <c r="C519" s="1" t="n">
        <v>46098</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44919-2022</t>
        </is>
      </c>
      <c r="B520" s="1" t="n">
        <v>44841</v>
      </c>
      <c r="C520" s="1" t="n">
        <v>46098</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16501-2023</t>
        </is>
      </c>
      <c r="B521" s="1" t="n">
        <v>45029</v>
      </c>
      <c r="C521" s="1" t="n">
        <v>46098</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27095-2022</t>
        </is>
      </c>
      <c r="B522" s="1" t="n">
        <v>44741</v>
      </c>
      <c r="C522" s="1" t="n">
        <v>46098</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458-2023</t>
        </is>
      </c>
      <c r="B523" s="1" t="n">
        <v>44929</v>
      </c>
      <c r="C523" s="1" t="n">
        <v>46098</v>
      </c>
      <c r="D523" t="inlineStr">
        <is>
          <t>GOTLANDS LÄN</t>
        </is>
      </c>
      <c r="E523" t="inlineStr">
        <is>
          <t>GOTLAND</t>
        </is>
      </c>
      <c r="G523" t="n">
        <v>3.6</v>
      </c>
      <c r="H523" t="n">
        <v>0</v>
      </c>
      <c r="I523" t="n">
        <v>0</v>
      </c>
      <c r="J523" t="n">
        <v>0</v>
      </c>
      <c r="K523" t="n">
        <v>0</v>
      </c>
      <c r="L523" t="n">
        <v>0</v>
      </c>
      <c r="M523" t="n">
        <v>0</v>
      </c>
      <c r="N523" t="n">
        <v>0</v>
      </c>
      <c r="O523" t="n">
        <v>0</v>
      </c>
      <c r="P523" t="n">
        <v>0</v>
      </c>
      <c r="Q523" t="n">
        <v>0</v>
      </c>
      <c r="R523" s="2" t="inlineStr"/>
    </row>
    <row r="524" ht="15" customHeight="1">
      <c r="A524" t="inlineStr">
        <is>
          <t>A 1291-2023</t>
        </is>
      </c>
      <c r="B524" s="1" t="n">
        <v>44936.47561342592</v>
      </c>
      <c r="C524" s="1" t="n">
        <v>46098</v>
      </c>
      <c r="D524" t="inlineStr">
        <is>
          <t>GOTLANDS LÄN</t>
        </is>
      </c>
      <c r="E524" t="inlineStr">
        <is>
          <t>GOTLAND</t>
        </is>
      </c>
      <c r="G524" t="n">
        <v>7.4</v>
      </c>
      <c r="H524" t="n">
        <v>0</v>
      </c>
      <c r="I524" t="n">
        <v>0</v>
      </c>
      <c r="J524" t="n">
        <v>0</v>
      </c>
      <c r="K524" t="n">
        <v>0</v>
      </c>
      <c r="L524" t="n">
        <v>0</v>
      </c>
      <c r="M524" t="n">
        <v>0</v>
      </c>
      <c r="N524" t="n">
        <v>0</v>
      </c>
      <c r="O524" t="n">
        <v>0</v>
      </c>
      <c r="P524" t="n">
        <v>0</v>
      </c>
      <c r="Q524" t="n">
        <v>0</v>
      </c>
      <c r="R524" s="2" t="inlineStr"/>
    </row>
    <row r="525" ht="15" customHeight="1">
      <c r="A525" t="inlineStr">
        <is>
          <t>A 32330-2024</t>
        </is>
      </c>
      <c r="B525" s="1" t="n">
        <v>45512</v>
      </c>
      <c r="C525" s="1" t="n">
        <v>46098</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5891-2025</t>
        </is>
      </c>
      <c r="B526" s="1" t="n">
        <v>45695.38327546296</v>
      </c>
      <c r="C526" s="1" t="n">
        <v>46098</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14804-2021</t>
        </is>
      </c>
      <c r="B527" s="1" t="n">
        <v>44280</v>
      </c>
      <c r="C527" s="1" t="n">
        <v>46098</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2719-2023</t>
        </is>
      </c>
      <c r="B528" s="1" t="n">
        <v>44944.55361111111</v>
      </c>
      <c r="C528" s="1" t="n">
        <v>46098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17144-2025</t>
        </is>
      </c>
      <c r="B529" s="1" t="n">
        <v>45755.9499537037</v>
      </c>
      <c r="C529" s="1" t="n">
        <v>46098</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49314-2024</t>
        </is>
      </c>
      <c r="B530" s="1" t="n">
        <v>45595.55893518519</v>
      </c>
      <c r="C530" s="1" t="n">
        <v>46098</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9875-2025</t>
        </is>
      </c>
      <c r="B531" s="1" t="n">
        <v>45716</v>
      </c>
      <c r="C531" s="1" t="n">
        <v>46098</v>
      </c>
      <c r="D531" t="inlineStr">
        <is>
          <t>GOTLANDS LÄN</t>
        </is>
      </c>
      <c r="E531" t="inlineStr">
        <is>
          <t>GOTLAND</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29809-2022</t>
        </is>
      </c>
      <c r="B532" s="1" t="n">
        <v>44755.8713425926</v>
      </c>
      <c r="C532" s="1" t="n">
        <v>46098</v>
      </c>
      <c r="D532" t="inlineStr">
        <is>
          <t>GOTLANDS LÄN</t>
        </is>
      </c>
      <c r="E532" t="inlineStr">
        <is>
          <t>GOTLAND</t>
        </is>
      </c>
      <c r="G532" t="n">
        <v>11.5</v>
      </c>
      <c r="H532" t="n">
        <v>0</v>
      </c>
      <c r="I532" t="n">
        <v>0</v>
      </c>
      <c r="J532" t="n">
        <v>0</v>
      </c>
      <c r="K532" t="n">
        <v>0</v>
      </c>
      <c r="L532" t="n">
        <v>0</v>
      </c>
      <c r="M532" t="n">
        <v>0</v>
      </c>
      <c r="N532" t="n">
        <v>0</v>
      </c>
      <c r="O532" t="n">
        <v>0</v>
      </c>
      <c r="P532" t="n">
        <v>0</v>
      </c>
      <c r="Q532" t="n">
        <v>0</v>
      </c>
      <c r="R532" s="2" t="inlineStr"/>
    </row>
    <row r="533" ht="15" customHeight="1">
      <c r="A533" t="inlineStr">
        <is>
          <t>A 16361-2024</t>
        </is>
      </c>
      <c r="B533" s="1" t="n">
        <v>45407</v>
      </c>
      <c r="C533" s="1" t="n">
        <v>46098</v>
      </c>
      <c r="D533" t="inlineStr">
        <is>
          <t>GOTLANDS LÄN</t>
        </is>
      </c>
      <c r="E533" t="inlineStr">
        <is>
          <t>GOTLAND</t>
        </is>
      </c>
      <c r="G533" t="n">
        <v>6</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46098</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1175-2025</t>
        </is>
      </c>
      <c r="B535" s="1" t="n">
        <v>45667.34449074074</v>
      </c>
      <c r="C535" s="1" t="n">
        <v>46098</v>
      </c>
      <c r="D535" t="inlineStr">
        <is>
          <t>GOTLANDS LÄN</t>
        </is>
      </c>
      <c r="E535" t="inlineStr">
        <is>
          <t>GOTLAND</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42201-2023</t>
        </is>
      </c>
      <c r="B536" s="1" t="n">
        <v>45179</v>
      </c>
      <c r="C536" s="1" t="n">
        <v>46098</v>
      </c>
      <c r="D536" t="inlineStr">
        <is>
          <t>GOTLANDS LÄN</t>
        </is>
      </c>
      <c r="E536" t="inlineStr">
        <is>
          <t>GOTLAND</t>
        </is>
      </c>
      <c r="G536" t="n">
        <v>11.9</v>
      </c>
      <c r="H536" t="n">
        <v>0</v>
      </c>
      <c r="I536" t="n">
        <v>0</v>
      </c>
      <c r="J536" t="n">
        <v>0</v>
      </c>
      <c r="K536" t="n">
        <v>0</v>
      </c>
      <c r="L536" t="n">
        <v>0</v>
      </c>
      <c r="M536" t="n">
        <v>0</v>
      </c>
      <c r="N536" t="n">
        <v>0</v>
      </c>
      <c r="O536" t="n">
        <v>0</v>
      </c>
      <c r="P536" t="n">
        <v>0</v>
      </c>
      <c r="Q536" t="n">
        <v>0</v>
      </c>
      <c r="R536" s="2" t="inlineStr"/>
    </row>
    <row r="537" ht="15" customHeight="1">
      <c r="A537" t="inlineStr">
        <is>
          <t>A 3150-2025</t>
        </is>
      </c>
      <c r="B537" s="1" t="n">
        <v>45679.28974537037</v>
      </c>
      <c r="C537" s="1" t="n">
        <v>46098</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42041-2024</t>
        </is>
      </c>
      <c r="B538" s="1" t="n">
        <v>45561</v>
      </c>
      <c r="C538" s="1" t="n">
        <v>46098</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15436-2025</t>
        </is>
      </c>
      <c r="B539" s="1" t="n">
        <v>45747.47462962963</v>
      </c>
      <c r="C539" s="1" t="n">
        <v>46098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21247-2022</t>
        </is>
      </c>
      <c r="B540" s="1" t="n">
        <v>44705.38832175926</v>
      </c>
      <c r="C540" s="1" t="n">
        <v>46098</v>
      </c>
      <c r="D540" t="inlineStr">
        <is>
          <t>GOTLANDS LÄN</t>
        </is>
      </c>
      <c r="E540" t="inlineStr">
        <is>
          <t>GOTLAND</t>
        </is>
      </c>
      <c r="G540" t="n">
        <v>16.2</v>
      </c>
      <c r="H540" t="n">
        <v>0</v>
      </c>
      <c r="I540" t="n">
        <v>0</v>
      </c>
      <c r="J540" t="n">
        <v>0</v>
      </c>
      <c r="K540" t="n">
        <v>0</v>
      </c>
      <c r="L540" t="n">
        <v>0</v>
      </c>
      <c r="M540" t="n">
        <v>0</v>
      </c>
      <c r="N540" t="n">
        <v>0</v>
      </c>
      <c r="O540" t="n">
        <v>0</v>
      </c>
      <c r="P540" t="n">
        <v>0</v>
      </c>
      <c r="Q540" t="n">
        <v>0</v>
      </c>
      <c r="R540" s="2" t="inlineStr"/>
    </row>
    <row r="541" ht="15" customHeight="1">
      <c r="A541" t="inlineStr">
        <is>
          <t>A 17780-2022</t>
        </is>
      </c>
      <c r="B541" s="1" t="n">
        <v>44682.82622685185</v>
      </c>
      <c r="C541" s="1" t="n">
        <v>46098</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63516-2023</t>
        </is>
      </c>
      <c r="B542" s="1" t="n">
        <v>45274</v>
      </c>
      <c r="C542" s="1" t="n">
        <v>46098</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53935-2024</t>
        </is>
      </c>
      <c r="B543" s="1" t="n">
        <v>45615</v>
      </c>
      <c r="C543" s="1" t="n">
        <v>46098</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69112-2021</t>
        </is>
      </c>
      <c r="B544" s="1" t="n">
        <v>44530</v>
      </c>
      <c r="C544" s="1" t="n">
        <v>46098</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46098</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23516-2023</t>
        </is>
      </c>
      <c r="B546" s="1" t="n">
        <v>45076.93391203704</v>
      </c>
      <c r="C546" s="1" t="n">
        <v>46098</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43231-2023</t>
        </is>
      </c>
      <c r="B547" s="1" t="n">
        <v>45183.47025462963</v>
      </c>
      <c r="C547" s="1" t="n">
        <v>46098</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58230-2024</t>
        </is>
      </c>
      <c r="B548" s="1" t="n">
        <v>45632.51625</v>
      </c>
      <c r="C548" s="1" t="n">
        <v>46098</v>
      </c>
      <c r="D548" t="inlineStr">
        <is>
          <t>GOTLANDS LÄN</t>
        </is>
      </c>
      <c r="E548" t="inlineStr">
        <is>
          <t>GOTLAND</t>
        </is>
      </c>
      <c r="G548" t="n">
        <v>7.3</v>
      </c>
      <c r="H548" t="n">
        <v>0</v>
      </c>
      <c r="I548" t="n">
        <v>0</v>
      </c>
      <c r="J548" t="n">
        <v>0</v>
      </c>
      <c r="K548" t="n">
        <v>0</v>
      </c>
      <c r="L548" t="n">
        <v>0</v>
      </c>
      <c r="M548" t="n">
        <v>0</v>
      </c>
      <c r="N548" t="n">
        <v>0</v>
      </c>
      <c r="O548" t="n">
        <v>0</v>
      </c>
      <c r="P548" t="n">
        <v>0</v>
      </c>
      <c r="Q548" t="n">
        <v>0</v>
      </c>
      <c r="R548" s="2" t="inlineStr"/>
    </row>
    <row r="549" ht="15" customHeight="1">
      <c r="A549" t="inlineStr">
        <is>
          <t>A 64555-2023</t>
        </is>
      </c>
      <c r="B549" s="1" t="n">
        <v>45281</v>
      </c>
      <c r="C549" s="1" t="n">
        <v>46098</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457-2023</t>
        </is>
      </c>
      <c r="B550" s="1" t="n">
        <v>44929.87238425926</v>
      </c>
      <c r="C550" s="1" t="n">
        <v>46098</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459-2023</t>
        </is>
      </c>
      <c r="B551" s="1" t="n">
        <v>44929.87423611111</v>
      </c>
      <c r="C551" s="1" t="n">
        <v>46098</v>
      </c>
      <c r="D551" t="inlineStr">
        <is>
          <t>GOTLANDS LÄN</t>
        </is>
      </c>
      <c r="E551" t="inlineStr">
        <is>
          <t>GOTLAND</t>
        </is>
      </c>
      <c r="G551" t="n">
        <v>4.2</v>
      </c>
      <c r="H551" t="n">
        <v>0</v>
      </c>
      <c r="I551" t="n">
        <v>0</v>
      </c>
      <c r="J551" t="n">
        <v>0</v>
      </c>
      <c r="K551" t="n">
        <v>0</v>
      </c>
      <c r="L551" t="n">
        <v>0</v>
      </c>
      <c r="M551" t="n">
        <v>0</v>
      </c>
      <c r="N551" t="n">
        <v>0</v>
      </c>
      <c r="O551" t="n">
        <v>0</v>
      </c>
      <c r="P551" t="n">
        <v>0</v>
      </c>
      <c r="Q551" t="n">
        <v>0</v>
      </c>
      <c r="R551" s="2" t="inlineStr"/>
    </row>
    <row r="552" ht="15" customHeight="1">
      <c r="A552" t="inlineStr">
        <is>
          <t>A 876-2024</t>
        </is>
      </c>
      <c r="B552" s="1" t="n">
        <v>45301</v>
      </c>
      <c r="C552" s="1" t="n">
        <v>46098</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46098</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14536-2021</t>
        </is>
      </c>
      <c r="B554" s="1" t="n">
        <v>44279.66168981481</v>
      </c>
      <c r="C554" s="1" t="n">
        <v>46098</v>
      </c>
      <c r="D554" t="inlineStr">
        <is>
          <t>GOTLANDS LÄN</t>
        </is>
      </c>
      <c r="E554" t="inlineStr">
        <is>
          <t>GOTLAND</t>
        </is>
      </c>
      <c r="G554" t="n">
        <v>8.5</v>
      </c>
      <c r="H554" t="n">
        <v>0</v>
      </c>
      <c r="I554" t="n">
        <v>0</v>
      </c>
      <c r="J554" t="n">
        <v>0</v>
      </c>
      <c r="K554" t="n">
        <v>0</v>
      </c>
      <c r="L554" t="n">
        <v>0</v>
      </c>
      <c r="M554" t="n">
        <v>0</v>
      </c>
      <c r="N554" t="n">
        <v>0</v>
      </c>
      <c r="O554" t="n">
        <v>0</v>
      </c>
      <c r="P554" t="n">
        <v>0</v>
      </c>
      <c r="Q554" t="n">
        <v>0</v>
      </c>
      <c r="R554" s="2" t="inlineStr"/>
    </row>
    <row r="555" ht="15" customHeight="1">
      <c r="A555" t="inlineStr">
        <is>
          <t>A 5923-2023</t>
        </is>
      </c>
      <c r="B555" s="1" t="n">
        <v>44963.69503472222</v>
      </c>
      <c r="C555" s="1" t="n">
        <v>46098</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50482-2024</t>
        </is>
      </c>
      <c r="B556" s="1" t="n">
        <v>45601.48114583334</v>
      </c>
      <c r="C556" s="1" t="n">
        <v>46098</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5943-2024</t>
        </is>
      </c>
      <c r="B557" s="1" t="n">
        <v>45336</v>
      </c>
      <c r="C557" s="1" t="n">
        <v>46098</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38234-2023</t>
        </is>
      </c>
      <c r="B558" s="1" t="n">
        <v>45161.56663194444</v>
      </c>
      <c r="C558" s="1" t="n">
        <v>46098</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1273-2023</t>
        </is>
      </c>
      <c r="B559" s="1" t="n">
        <v>44936</v>
      </c>
      <c r="C559" s="1" t="n">
        <v>46098</v>
      </c>
      <c r="D559" t="inlineStr">
        <is>
          <t>GOTLANDS LÄN</t>
        </is>
      </c>
      <c r="E559" t="inlineStr">
        <is>
          <t>GOTLAND</t>
        </is>
      </c>
      <c r="G559" t="n">
        <v>4.5</v>
      </c>
      <c r="H559" t="n">
        <v>0</v>
      </c>
      <c r="I559" t="n">
        <v>0</v>
      </c>
      <c r="J559" t="n">
        <v>0</v>
      </c>
      <c r="K559" t="n">
        <v>0</v>
      </c>
      <c r="L559" t="n">
        <v>0</v>
      </c>
      <c r="M559" t="n">
        <v>0</v>
      </c>
      <c r="N559" t="n">
        <v>0</v>
      </c>
      <c r="O559" t="n">
        <v>0</v>
      </c>
      <c r="P559" t="n">
        <v>0</v>
      </c>
      <c r="Q559" t="n">
        <v>0</v>
      </c>
      <c r="R559" s="2" t="inlineStr"/>
    </row>
    <row r="560" ht="15" customHeight="1">
      <c r="A560" t="inlineStr">
        <is>
          <t>A 17724-2024</t>
        </is>
      </c>
      <c r="B560" s="1" t="n">
        <v>45418.55096064815</v>
      </c>
      <c r="C560" s="1" t="n">
        <v>46098</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23978-2023</t>
        </is>
      </c>
      <c r="B561" s="1" t="n">
        <v>45078</v>
      </c>
      <c r="C561" s="1" t="n">
        <v>46098</v>
      </c>
      <c r="D561" t="inlineStr">
        <is>
          <t>GOTLANDS LÄN</t>
        </is>
      </c>
      <c r="E561" t="inlineStr">
        <is>
          <t>GOTLAND</t>
        </is>
      </c>
      <c r="F561" t="inlineStr">
        <is>
          <t>Naturvårdsverket</t>
        </is>
      </c>
      <c r="G561" t="n">
        <v>1.7</v>
      </c>
      <c r="H561" t="n">
        <v>0</v>
      </c>
      <c r="I561" t="n">
        <v>0</v>
      </c>
      <c r="J561" t="n">
        <v>0</v>
      </c>
      <c r="K561" t="n">
        <v>0</v>
      </c>
      <c r="L561" t="n">
        <v>0</v>
      </c>
      <c r="M561" t="n">
        <v>0</v>
      </c>
      <c r="N561" t="n">
        <v>0</v>
      </c>
      <c r="O561" t="n">
        <v>0</v>
      </c>
      <c r="P561" t="n">
        <v>0</v>
      </c>
      <c r="Q561" t="n">
        <v>0</v>
      </c>
      <c r="R561" s="2" t="inlineStr"/>
    </row>
    <row r="562" ht="15" customHeight="1">
      <c r="A562" t="inlineStr">
        <is>
          <t>A 49884-2023</t>
        </is>
      </c>
      <c r="B562" s="1" t="n">
        <v>45213</v>
      </c>
      <c r="C562" s="1" t="n">
        <v>46098</v>
      </c>
      <c r="D562" t="inlineStr">
        <is>
          <t>GOTLANDS LÄN</t>
        </is>
      </c>
      <c r="E562" t="inlineStr">
        <is>
          <t>GOTLAND</t>
        </is>
      </c>
      <c r="G562" t="n">
        <v>8.9</v>
      </c>
      <c r="H562" t="n">
        <v>0</v>
      </c>
      <c r="I562" t="n">
        <v>0</v>
      </c>
      <c r="J562" t="n">
        <v>0</v>
      </c>
      <c r="K562" t="n">
        <v>0</v>
      </c>
      <c r="L562" t="n">
        <v>0</v>
      </c>
      <c r="M562" t="n">
        <v>0</v>
      </c>
      <c r="N562" t="n">
        <v>0</v>
      </c>
      <c r="O562" t="n">
        <v>0</v>
      </c>
      <c r="P562" t="n">
        <v>0</v>
      </c>
      <c r="Q562" t="n">
        <v>0</v>
      </c>
      <c r="R562" s="2" t="inlineStr"/>
    </row>
    <row r="563" ht="15" customHeight="1">
      <c r="A563" t="inlineStr">
        <is>
          <t>A 12846-2025</t>
        </is>
      </c>
      <c r="B563" s="1" t="n">
        <v>45733.65049768519</v>
      </c>
      <c r="C563" s="1" t="n">
        <v>46098</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43200-2023</t>
        </is>
      </c>
      <c r="B564" s="1" t="n">
        <v>45183</v>
      </c>
      <c r="C564" s="1" t="n">
        <v>46098</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3935-2025</t>
        </is>
      </c>
      <c r="B565" s="1" t="n">
        <v>45684.46070601852</v>
      </c>
      <c r="C565" s="1" t="n">
        <v>46098</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21792-2024</t>
        </is>
      </c>
      <c r="B566" s="1" t="n">
        <v>45442.64326388889</v>
      </c>
      <c r="C566" s="1" t="n">
        <v>46098</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48843-2024</t>
        </is>
      </c>
      <c r="B567" s="1" t="n">
        <v>45593</v>
      </c>
      <c r="C567" s="1" t="n">
        <v>46098</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10653-2023</t>
        </is>
      </c>
      <c r="B568" s="1" t="n">
        <v>44988.48859953704</v>
      </c>
      <c r="C568" s="1" t="n">
        <v>46098</v>
      </c>
      <c r="D568" t="inlineStr">
        <is>
          <t>GOTLANDS LÄN</t>
        </is>
      </c>
      <c r="E568" t="inlineStr">
        <is>
          <t>GOTLAND</t>
        </is>
      </c>
      <c r="F568" t="inlineStr">
        <is>
          <t>Kyrkan</t>
        </is>
      </c>
      <c r="G568" t="n">
        <v>3</v>
      </c>
      <c r="H568" t="n">
        <v>0</v>
      </c>
      <c r="I568" t="n">
        <v>0</v>
      </c>
      <c r="J568" t="n">
        <v>0</v>
      </c>
      <c r="K568" t="n">
        <v>0</v>
      </c>
      <c r="L568" t="n">
        <v>0</v>
      </c>
      <c r="M568" t="n">
        <v>0</v>
      </c>
      <c r="N568" t="n">
        <v>0</v>
      </c>
      <c r="O568" t="n">
        <v>0</v>
      </c>
      <c r="P568" t="n">
        <v>0</v>
      </c>
      <c r="Q568" t="n">
        <v>0</v>
      </c>
      <c r="R568" s="2" t="inlineStr"/>
    </row>
    <row r="569" ht="15" customHeight="1">
      <c r="A569" t="inlineStr">
        <is>
          <t>A 35512-2023</t>
        </is>
      </c>
      <c r="B569" s="1" t="n">
        <v>45147.25623842593</v>
      </c>
      <c r="C569" s="1" t="n">
        <v>46098</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11874-2024</t>
        </is>
      </c>
      <c r="B570" s="1" t="n">
        <v>45376.46956018519</v>
      </c>
      <c r="C570" s="1" t="n">
        <v>46098</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20225-2025</t>
        </is>
      </c>
      <c r="B571" s="1" t="n">
        <v>45772.65802083333</v>
      </c>
      <c r="C571" s="1" t="n">
        <v>46098</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46098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64831-2023</t>
        </is>
      </c>
      <c r="B573" s="1" t="n">
        <v>45282.44924768519</v>
      </c>
      <c r="C573" s="1" t="n">
        <v>46098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8036-2022</t>
        </is>
      </c>
      <c r="B574" s="1" t="n">
        <v>44609.44362268518</v>
      </c>
      <c r="C574" s="1" t="n">
        <v>46098</v>
      </c>
      <c r="D574" t="inlineStr">
        <is>
          <t>GOTLANDS LÄN</t>
        </is>
      </c>
      <c r="E574" t="inlineStr">
        <is>
          <t>GOTLAND</t>
        </is>
      </c>
      <c r="G574" t="n">
        <v>6.1</v>
      </c>
      <c r="H574" t="n">
        <v>0</v>
      </c>
      <c r="I574" t="n">
        <v>0</v>
      </c>
      <c r="J574" t="n">
        <v>0</v>
      </c>
      <c r="K574" t="n">
        <v>0</v>
      </c>
      <c r="L574" t="n">
        <v>0</v>
      </c>
      <c r="M574" t="n">
        <v>0</v>
      </c>
      <c r="N574" t="n">
        <v>0</v>
      </c>
      <c r="O574" t="n">
        <v>0</v>
      </c>
      <c r="P574" t="n">
        <v>0</v>
      </c>
      <c r="Q574" t="n">
        <v>0</v>
      </c>
      <c r="R574" s="2" t="inlineStr"/>
    </row>
    <row r="575" ht="15" customHeight="1">
      <c r="A575" t="inlineStr">
        <is>
          <t>A 46375-2024</t>
        </is>
      </c>
      <c r="B575" s="1" t="n">
        <v>45582</v>
      </c>
      <c r="C575" s="1" t="n">
        <v>46098</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62915-2021</t>
        </is>
      </c>
      <c r="B576" s="1" t="n">
        <v>44504</v>
      </c>
      <c r="C576" s="1" t="n">
        <v>46098</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7638-2025</t>
        </is>
      </c>
      <c r="B577" s="1" t="n">
        <v>45705.77306712963</v>
      </c>
      <c r="C577" s="1" t="n">
        <v>46098</v>
      </c>
      <c r="D577" t="inlineStr">
        <is>
          <t>GOTLANDS LÄN</t>
        </is>
      </c>
      <c r="E577" t="inlineStr">
        <is>
          <t>GOTLAND</t>
        </is>
      </c>
      <c r="G577" t="n">
        <v>2.2</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44955.5502662037</v>
      </c>
      <c r="C578" s="1" t="n">
        <v>46098</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43901-2023</t>
        </is>
      </c>
      <c r="B579" s="1" t="n">
        <v>45187</v>
      </c>
      <c r="C579" s="1" t="n">
        <v>46098</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17532-2024</t>
        </is>
      </c>
      <c r="B580" s="1" t="n">
        <v>45415</v>
      </c>
      <c r="C580" s="1" t="n">
        <v>46098</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45692-2023</t>
        </is>
      </c>
      <c r="B581" s="1" t="n">
        <v>45195</v>
      </c>
      <c r="C581" s="1" t="n">
        <v>46098</v>
      </c>
      <c r="D581" t="inlineStr">
        <is>
          <t>GOTLANDS LÄN</t>
        </is>
      </c>
      <c r="E581" t="inlineStr">
        <is>
          <t>GOTLAND</t>
        </is>
      </c>
      <c r="G581" t="n">
        <v>5.3</v>
      </c>
      <c r="H581" t="n">
        <v>0</v>
      </c>
      <c r="I581" t="n">
        <v>0</v>
      </c>
      <c r="J581" t="n">
        <v>0</v>
      </c>
      <c r="K581" t="n">
        <v>0</v>
      </c>
      <c r="L581" t="n">
        <v>0</v>
      </c>
      <c r="M581" t="n">
        <v>0</v>
      </c>
      <c r="N581" t="n">
        <v>0</v>
      </c>
      <c r="O581" t="n">
        <v>0</v>
      </c>
      <c r="P581" t="n">
        <v>0</v>
      </c>
      <c r="Q581" t="n">
        <v>0</v>
      </c>
      <c r="R581" s="2" t="inlineStr"/>
    </row>
    <row r="582" ht="15" customHeight="1">
      <c r="A582" t="inlineStr">
        <is>
          <t>A 37222-2021</t>
        </is>
      </c>
      <c r="B582" s="1" t="n">
        <v>44396</v>
      </c>
      <c r="C582" s="1" t="n">
        <v>46098</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46396-2023</t>
        </is>
      </c>
      <c r="B583" s="1" t="n">
        <v>45197</v>
      </c>
      <c r="C583" s="1" t="n">
        <v>46098</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58388-2022</t>
        </is>
      </c>
      <c r="B584" s="1" t="n">
        <v>44894</v>
      </c>
      <c r="C584" s="1" t="n">
        <v>46098</v>
      </c>
      <c r="D584" t="inlineStr">
        <is>
          <t>GOTLANDS LÄN</t>
        </is>
      </c>
      <c r="E584" t="inlineStr">
        <is>
          <t>GOTLAND</t>
        </is>
      </c>
      <c r="F584" t="inlineStr">
        <is>
          <t>Övriga statliga verk och myndigheter</t>
        </is>
      </c>
      <c r="G584" t="n">
        <v>3.1</v>
      </c>
      <c r="H584" t="n">
        <v>0</v>
      </c>
      <c r="I584" t="n">
        <v>0</v>
      </c>
      <c r="J584" t="n">
        <v>0</v>
      </c>
      <c r="K584" t="n">
        <v>0</v>
      </c>
      <c r="L584" t="n">
        <v>0</v>
      </c>
      <c r="M584" t="n">
        <v>0</v>
      </c>
      <c r="N584" t="n">
        <v>0</v>
      </c>
      <c r="O584" t="n">
        <v>0</v>
      </c>
      <c r="P584" t="n">
        <v>0</v>
      </c>
      <c r="Q584" t="n">
        <v>0</v>
      </c>
      <c r="R584" s="2" t="inlineStr"/>
    </row>
    <row r="585" ht="15" customHeight="1">
      <c r="A585" t="inlineStr">
        <is>
          <t>A 53934-2024</t>
        </is>
      </c>
      <c r="B585" s="1" t="n">
        <v>45615</v>
      </c>
      <c r="C585" s="1" t="n">
        <v>46098</v>
      </c>
      <c r="D585" t="inlineStr">
        <is>
          <t>GOTLANDS LÄN</t>
        </is>
      </c>
      <c r="E585" t="inlineStr">
        <is>
          <t>GOTLAND</t>
        </is>
      </c>
      <c r="G585" t="n">
        <v>5</v>
      </c>
      <c r="H585" t="n">
        <v>0</v>
      </c>
      <c r="I585" t="n">
        <v>0</v>
      </c>
      <c r="J585" t="n">
        <v>0</v>
      </c>
      <c r="K585" t="n">
        <v>0</v>
      </c>
      <c r="L585" t="n">
        <v>0</v>
      </c>
      <c r="M585" t="n">
        <v>0</v>
      </c>
      <c r="N585" t="n">
        <v>0</v>
      </c>
      <c r="O585" t="n">
        <v>0</v>
      </c>
      <c r="P585" t="n">
        <v>0</v>
      </c>
      <c r="Q585" t="n">
        <v>0</v>
      </c>
      <c r="R585" s="2" t="inlineStr"/>
    </row>
    <row r="586" ht="15" customHeight="1">
      <c r="A586" t="inlineStr">
        <is>
          <t>A 58132-2023</t>
        </is>
      </c>
      <c r="B586" s="1" t="n">
        <v>45250</v>
      </c>
      <c r="C586" s="1" t="n">
        <v>46098</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22899-2023</t>
        </is>
      </c>
      <c r="B587" s="1" t="n">
        <v>45072</v>
      </c>
      <c r="C587" s="1" t="n">
        <v>46098</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28285-2024</t>
        </is>
      </c>
      <c r="B588" s="1" t="n">
        <v>45477</v>
      </c>
      <c r="C588" s="1" t="n">
        <v>46098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51963-2024</t>
        </is>
      </c>
      <c r="B589" s="1" t="n">
        <v>45607.64833333333</v>
      </c>
      <c r="C589" s="1" t="n">
        <v>46098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1734-2025</t>
        </is>
      </c>
      <c r="B590" s="1" t="n">
        <v>45671.3840625</v>
      </c>
      <c r="C590" s="1" t="n">
        <v>46098</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30365-2024</t>
        </is>
      </c>
      <c r="B591" s="1" t="n">
        <v>45491.3716087963</v>
      </c>
      <c r="C591" s="1" t="n">
        <v>46098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46098</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61100-2022</t>
        </is>
      </c>
      <c r="B593" s="1" t="n">
        <v>44915</v>
      </c>
      <c r="C593" s="1" t="n">
        <v>46098</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581-2023</t>
        </is>
      </c>
      <c r="B594" s="1" t="n">
        <v>44930</v>
      </c>
      <c r="C594" s="1" t="n">
        <v>46098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46098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44649-2021</t>
        </is>
      </c>
      <c r="B596" s="1" t="n">
        <v>44437</v>
      </c>
      <c r="C596" s="1" t="n">
        <v>46098</v>
      </c>
      <c r="D596" t="inlineStr">
        <is>
          <t>GOTLANDS LÄN</t>
        </is>
      </c>
      <c r="E596" t="inlineStr">
        <is>
          <t>GOTLAND</t>
        </is>
      </c>
      <c r="G596" t="n">
        <v>8.1</v>
      </c>
      <c r="H596" t="n">
        <v>0</v>
      </c>
      <c r="I596" t="n">
        <v>0</v>
      </c>
      <c r="J596" t="n">
        <v>0</v>
      </c>
      <c r="K596" t="n">
        <v>0</v>
      </c>
      <c r="L596" t="n">
        <v>0</v>
      </c>
      <c r="M596" t="n">
        <v>0</v>
      </c>
      <c r="N596" t="n">
        <v>0</v>
      </c>
      <c r="O596" t="n">
        <v>0</v>
      </c>
      <c r="P596" t="n">
        <v>0</v>
      </c>
      <c r="Q596" t="n">
        <v>0</v>
      </c>
      <c r="R596" s="2" t="inlineStr"/>
    </row>
    <row r="597" ht="15" customHeight="1">
      <c r="A597" t="inlineStr">
        <is>
          <t>A 8484-2025</t>
        </is>
      </c>
      <c r="B597" s="1" t="n">
        <v>45709</v>
      </c>
      <c r="C597" s="1" t="n">
        <v>46098</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49962-2023</t>
        </is>
      </c>
      <c r="B598" s="1" t="n">
        <v>45215.38775462963</v>
      </c>
      <c r="C598" s="1" t="n">
        <v>46098</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50744-2024</t>
        </is>
      </c>
      <c r="B599" s="1" t="n">
        <v>45602.4187037037</v>
      </c>
      <c r="C599" s="1" t="n">
        <v>46098</v>
      </c>
      <c r="D599" t="inlineStr">
        <is>
          <t>GOTLANDS LÄN</t>
        </is>
      </c>
      <c r="E599" t="inlineStr">
        <is>
          <t>GOTLAND</t>
        </is>
      </c>
      <c r="G599" t="n">
        <v>3.2</v>
      </c>
      <c r="H599" t="n">
        <v>0</v>
      </c>
      <c r="I599" t="n">
        <v>0</v>
      </c>
      <c r="J599" t="n">
        <v>0</v>
      </c>
      <c r="K599" t="n">
        <v>0</v>
      </c>
      <c r="L599" t="n">
        <v>0</v>
      </c>
      <c r="M599" t="n">
        <v>0</v>
      </c>
      <c r="N599" t="n">
        <v>0</v>
      </c>
      <c r="O599" t="n">
        <v>0</v>
      </c>
      <c r="P599" t="n">
        <v>0</v>
      </c>
      <c r="Q599" t="n">
        <v>0</v>
      </c>
      <c r="R599" s="2" t="inlineStr"/>
    </row>
    <row r="600" ht="15" customHeight="1">
      <c r="A600" t="inlineStr">
        <is>
          <t>A 45244-2024</t>
        </is>
      </c>
      <c r="B600" s="1" t="n">
        <v>45576</v>
      </c>
      <c r="C600" s="1" t="n">
        <v>46098</v>
      </c>
      <c r="D600" t="inlineStr">
        <is>
          <t>GOTLANDS LÄN</t>
        </is>
      </c>
      <c r="E600" t="inlineStr">
        <is>
          <t>GOTLAND</t>
        </is>
      </c>
      <c r="G600" t="n">
        <v>2.4</v>
      </c>
      <c r="H600" t="n">
        <v>0</v>
      </c>
      <c r="I600" t="n">
        <v>0</v>
      </c>
      <c r="J600" t="n">
        <v>0</v>
      </c>
      <c r="K600" t="n">
        <v>0</v>
      </c>
      <c r="L600" t="n">
        <v>0</v>
      </c>
      <c r="M600" t="n">
        <v>0</v>
      </c>
      <c r="N600" t="n">
        <v>0</v>
      </c>
      <c r="O600" t="n">
        <v>0</v>
      </c>
      <c r="P600" t="n">
        <v>0</v>
      </c>
      <c r="Q600" t="n">
        <v>0</v>
      </c>
      <c r="R600" s="2" t="inlineStr"/>
    </row>
    <row r="601" ht="15" customHeight="1">
      <c r="A601" t="inlineStr">
        <is>
          <t>A 38787-2023</t>
        </is>
      </c>
      <c r="B601" s="1" t="n">
        <v>45163</v>
      </c>
      <c r="C601" s="1" t="n">
        <v>46098</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2714-2023</t>
        </is>
      </c>
      <c r="B602" s="1" t="n">
        <v>44944.54896990741</v>
      </c>
      <c r="C602" s="1" t="n">
        <v>46098</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22897-2023</t>
        </is>
      </c>
      <c r="B603" s="1" t="n">
        <v>45072.55239583334</v>
      </c>
      <c r="C603" s="1" t="n">
        <v>46098</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4568-2025</t>
        </is>
      </c>
      <c r="B604" s="1" t="n">
        <v>45687</v>
      </c>
      <c r="C604" s="1" t="n">
        <v>46098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1681-2023</t>
        </is>
      </c>
      <c r="B605" s="1" t="n">
        <v>44938.39715277778</v>
      </c>
      <c r="C605" s="1" t="n">
        <v>46098</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42338-2023</t>
        </is>
      </c>
      <c r="B606" s="1" t="n">
        <v>45180</v>
      </c>
      <c r="C606" s="1" t="n">
        <v>46098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18918-2025</t>
        </is>
      </c>
      <c r="B607" s="1" t="n">
        <v>45764</v>
      </c>
      <c r="C607" s="1" t="n">
        <v>46098</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11013-2024</t>
        </is>
      </c>
      <c r="B608" s="1" t="n">
        <v>45370</v>
      </c>
      <c r="C608" s="1" t="n">
        <v>46098</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45084-2024</t>
        </is>
      </c>
      <c r="B609" s="1" t="n">
        <v>45575</v>
      </c>
      <c r="C609" s="1" t="n">
        <v>46098</v>
      </c>
      <c r="D609" t="inlineStr">
        <is>
          <t>GOTLANDS LÄN</t>
        </is>
      </c>
      <c r="E609" t="inlineStr">
        <is>
          <t>GOTLAND</t>
        </is>
      </c>
      <c r="G609" t="n">
        <v>6.8</v>
      </c>
      <c r="H609" t="n">
        <v>0</v>
      </c>
      <c r="I609" t="n">
        <v>0</v>
      </c>
      <c r="J609" t="n">
        <v>0</v>
      </c>
      <c r="K609" t="n">
        <v>0</v>
      </c>
      <c r="L609" t="n">
        <v>0</v>
      </c>
      <c r="M609" t="n">
        <v>0</v>
      </c>
      <c r="N609" t="n">
        <v>0</v>
      </c>
      <c r="O609" t="n">
        <v>0</v>
      </c>
      <c r="P609" t="n">
        <v>0</v>
      </c>
      <c r="Q609" t="n">
        <v>0</v>
      </c>
      <c r="R609" s="2" t="inlineStr"/>
    </row>
    <row r="610" ht="15" customHeight="1">
      <c r="A610" t="inlineStr">
        <is>
          <t>A 20356-2022</t>
        </is>
      </c>
      <c r="B610" s="1" t="n">
        <v>44699</v>
      </c>
      <c r="C610" s="1" t="n">
        <v>46098</v>
      </c>
      <c r="D610" t="inlineStr">
        <is>
          <t>GOTLANDS LÄN</t>
        </is>
      </c>
      <c r="E610" t="inlineStr">
        <is>
          <t>GOTLAND</t>
        </is>
      </c>
      <c r="F610" t="inlineStr">
        <is>
          <t>Övriga Aktiebolag</t>
        </is>
      </c>
      <c r="G610" t="n">
        <v>4.4</v>
      </c>
      <c r="H610" t="n">
        <v>0</v>
      </c>
      <c r="I610" t="n">
        <v>0</v>
      </c>
      <c r="J610" t="n">
        <v>0</v>
      </c>
      <c r="K610" t="n">
        <v>0</v>
      </c>
      <c r="L610" t="n">
        <v>0</v>
      </c>
      <c r="M610" t="n">
        <v>0</v>
      </c>
      <c r="N610" t="n">
        <v>0</v>
      </c>
      <c r="O610" t="n">
        <v>0</v>
      </c>
      <c r="P610" t="n">
        <v>0</v>
      </c>
      <c r="Q610" t="n">
        <v>0</v>
      </c>
      <c r="R610" s="2" t="inlineStr"/>
    </row>
    <row r="611" ht="15" customHeight="1">
      <c r="A611" t="inlineStr">
        <is>
          <t>A 4868-2024</t>
        </is>
      </c>
      <c r="B611" s="1" t="n">
        <v>45329</v>
      </c>
      <c r="C611" s="1" t="n">
        <v>46098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9613-2025</t>
        </is>
      </c>
      <c r="B612" s="1" t="n">
        <v>45715</v>
      </c>
      <c r="C612" s="1" t="n">
        <v>46098</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5386-2023</t>
        </is>
      </c>
      <c r="B613" s="1" t="n">
        <v>44959</v>
      </c>
      <c r="C613" s="1" t="n">
        <v>46098</v>
      </c>
      <c r="D613" t="inlineStr">
        <is>
          <t>GOTLANDS LÄN</t>
        </is>
      </c>
      <c r="E613" t="inlineStr">
        <is>
          <t>GOTLAND</t>
        </is>
      </c>
      <c r="G613" t="n">
        <v>5.4</v>
      </c>
      <c r="H613" t="n">
        <v>0</v>
      </c>
      <c r="I613" t="n">
        <v>0</v>
      </c>
      <c r="J613" t="n">
        <v>0</v>
      </c>
      <c r="K613" t="n">
        <v>0</v>
      </c>
      <c r="L613" t="n">
        <v>0</v>
      </c>
      <c r="M613" t="n">
        <v>0</v>
      </c>
      <c r="N613" t="n">
        <v>0</v>
      </c>
      <c r="O613" t="n">
        <v>0</v>
      </c>
      <c r="P613" t="n">
        <v>0</v>
      </c>
      <c r="Q613" t="n">
        <v>0</v>
      </c>
      <c r="R613" s="2" t="inlineStr"/>
    </row>
    <row r="614" ht="15" customHeight="1">
      <c r="A614" t="inlineStr">
        <is>
          <t>A 58211-2024</t>
        </is>
      </c>
      <c r="B614" s="1" t="n">
        <v>45632.49292824074</v>
      </c>
      <c r="C614" s="1" t="n">
        <v>46098</v>
      </c>
      <c r="D614" t="inlineStr">
        <is>
          <t>GOTLANDS LÄN</t>
        </is>
      </c>
      <c r="E614" t="inlineStr">
        <is>
          <t>GOTLAND</t>
        </is>
      </c>
      <c r="G614" t="n">
        <v>5.4</v>
      </c>
      <c r="H614" t="n">
        <v>0</v>
      </c>
      <c r="I614" t="n">
        <v>0</v>
      </c>
      <c r="J614" t="n">
        <v>0</v>
      </c>
      <c r="K614" t="n">
        <v>0</v>
      </c>
      <c r="L614" t="n">
        <v>0</v>
      </c>
      <c r="M614" t="n">
        <v>0</v>
      </c>
      <c r="N614" t="n">
        <v>0</v>
      </c>
      <c r="O614" t="n">
        <v>0</v>
      </c>
      <c r="P614" t="n">
        <v>0</v>
      </c>
      <c r="Q614" t="n">
        <v>0</v>
      </c>
      <c r="R614" s="2" t="inlineStr"/>
    </row>
    <row r="615" ht="15" customHeight="1">
      <c r="A615" t="inlineStr">
        <is>
          <t>A 11634-2024</t>
        </is>
      </c>
      <c r="B615" s="1" t="n">
        <v>45373</v>
      </c>
      <c r="C615" s="1" t="n">
        <v>46098</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5884-2025</t>
        </is>
      </c>
      <c r="B616" s="1" t="n">
        <v>45695.37482638889</v>
      </c>
      <c r="C616" s="1" t="n">
        <v>46098</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5897-2025</t>
        </is>
      </c>
      <c r="B617" s="1" t="n">
        <v>45695.39273148148</v>
      </c>
      <c r="C617" s="1" t="n">
        <v>46098</v>
      </c>
      <c r="D617" t="inlineStr">
        <is>
          <t>GOTLANDS LÄN</t>
        </is>
      </c>
      <c r="E617" t="inlineStr">
        <is>
          <t>GOTLAND</t>
        </is>
      </c>
      <c r="G617" t="n">
        <v>3.7</v>
      </c>
      <c r="H617" t="n">
        <v>0</v>
      </c>
      <c r="I617" t="n">
        <v>0</v>
      </c>
      <c r="J617" t="n">
        <v>0</v>
      </c>
      <c r="K617" t="n">
        <v>0</v>
      </c>
      <c r="L617" t="n">
        <v>0</v>
      </c>
      <c r="M617" t="n">
        <v>0</v>
      </c>
      <c r="N617" t="n">
        <v>0</v>
      </c>
      <c r="O617" t="n">
        <v>0</v>
      </c>
      <c r="P617" t="n">
        <v>0</v>
      </c>
      <c r="Q617" t="n">
        <v>0</v>
      </c>
      <c r="R617" s="2" t="inlineStr"/>
    </row>
    <row r="618" ht="15" customHeight="1">
      <c r="A618" t="inlineStr">
        <is>
          <t>A 5909-2025</t>
        </is>
      </c>
      <c r="B618" s="1" t="n">
        <v>45695.40634259259</v>
      </c>
      <c r="C618" s="1" t="n">
        <v>46098</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60086-2022</t>
        </is>
      </c>
      <c r="B619" s="1" t="n">
        <v>44909</v>
      </c>
      <c r="C619" s="1" t="n">
        <v>46098</v>
      </c>
      <c r="D619" t="inlineStr">
        <is>
          <t>GOTLANDS LÄN</t>
        </is>
      </c>
      <c r="E619" t="inlineStr">
        <is>
          <t>GOTLAND</t>
        </is>
      </c>
      <c r="G619" t="n">
        <v>2.1</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46098</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25866-2022</t>
        </is>
      </c>
      <c r="B621" s="1" t="n">
        <v>44733</v>
      </c>
      <c r="C621" s="1" t="n">
        <v>46098</v>
      </c>
      <c r="D621" t="inlineStr">
        <is>
          <t>GOTLANDS LÄN</t>
        </is>
      </c>
      <c r="E621" t="inlineStr">
        <is>
          <t>GOTLAND</t>
        </is>
      </c>
      <c r="G621" t="n">
        <v>2.9</v>
      </c>
      <c r="H621" t="n">
        <v>0</v>
      </c>
      <c r="I621" t="n">
        <v>0</v>
      </c>
      <c r="J621" t="n">
        <v>0</v>
      </c>
      <c r="K621" t="n">
        <v>0</v>
      </c>
      <c r="L621" t="n">
        <v>0</v>
      </c>
      <c r="M621" t="n">
        <v>0</v>
      </c>
      <c r="N621" t="n">
        <v>0</v>
      </c>
      <c r="O621" t="n">
        <v>0</v>
      </c>
      <c r="P621" t="n">
        <v>0</v>
      </c>
      <c r="Q621" t="n">
        <v>0</v>
      </c>
      <c r="R621" s="2" t="inlineStr"/>
    </row>
    <row r="622" ht="15" customHeight="1">
      <c r="A622" t="inlineStr">
        <is>
          <t>A 9887-2025</t>
        </is>
      </c>
      <c r="B622" s="1" t="n">
        <v>45716</v>
      </c>
      <c r="C622" s="1" t="n">
        <v>46098</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12209-2024</t>
        </is>
      </c>
      <c r="B623" s="1" t="n">
        <v>45378</v>
      </c>
      <c r="C623" s="1" t="n">
        <v>46098</v>
      </c>
      <c r="D623" t="inlineStr">
        <is>
          <t>GOTLANDS LÄN</t>
        </is>
      </c>
      <c r="E623" t="inlineStr">
        <is>
          <t>GOTLAND</t>
        </is>
      </c>
      <c r="G623" t="n">
        <v>5.3</v>
      </c>
      <c r="H623" t="n">
        <v>0</v>
      </c>
      <c r="I623" t="n">
        <v>0</v>
      </c>
      <c r="J623" t="n">
        <v>0</v>
      </c>
      <c r="K623" t="n">
        <v>0</v>
      </c>
      <c r="L623" t="n">
        <v>0</v>
      </c>
      <c r="M623" t="n">
        <v>0</v>
      </c>
      <c r="N623" t="n">
        <v>0</v>
      </c>
      <c r="O623" t="n">
        <v>0</v>
      </c>
      <c r="P623" t="n">
        <v>0</v>
      </c>
      <c r="Q623" t="n">
        <v>0</v>
      </c>
      <c r="R623" s="2" t="inlineStr"/>
    </row>
    <row r="624" ht="15" customHeight="1">
      <c r="A624" t="inlineStr">
        <is>
          <t>A 12210-2024</t>
        </is>
      </c>
      <c r="B624" s="1" t="n">
        <v>45378</v>
      </c>
      <c r="C624" s="1" t="n">
        <v>46098</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59986-2022</t>
        </is>
      </c>
      <c r="B625" s="1" t="n">
        <v>44909</v>
      </c>
      <c r="C625" s="1" t="n">
        <v>46098</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31802-2024</t>
        </is>
      </c>
      <c r="B626" s="1" t="n">
        <v>45509</v>
      </c>
      <c r="C626" s="1" t="n">
        <v>46098</v>
      </c>
      <c r="D626" t="inlineStr">
        <is>
          <t>GOTLANDS LÄN</t>
        </is>
      </c>
      <c r="E626" t="inlineStr">
        <is>
          <t>GOTLAND</t>
        </is>
      </c>
      <c r="G626" t="n">
        <v>2.8</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46098</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15042-2025</t>
        </is>
      </c>
      <c r="B628" s="1" t="n">
        <v>45743</v>
      </c>
      <c r="C628" s="1" t="n">
        <v>46098</v>
      </c>
      <c r="D628" t="inlineStr">
        <is>
          <t>GOTLANDS LÄN</t>
        </is>
      </c>
      <c r="E628" t="inlineStr">
        <is>
          <t>GOTLAND</t>
        </is>
      </c>
      <c r="G628" t="n">
        <v>8.5</v>
      </c>
      <c r="H628" t="n">
        <v>0</v>
      </c>
      <c r="I628" t="n">
        <v>0</v>
      </c>
      <c r="J628" t="n">
        <v>0</v>
      </c>
      <c r="K628" t="n">
        <v>0</v>
      </c>
      <c r="L628" t="n">
        <v>0</v>
      </c>
      <c r="M628" t="n">
        <v>0</v>
      </c>
      <c r="N628" t="n">
        <v>0</v>
      </c>
      <c r="O628" t="n">
        <v>0</v>
      </c>
      <c r="P628" t="n">
        <v>0</v>
      </c>
      <c r="Q628" t="n">
        <v>0</v>
      </c>
      <c r="R628" s="2" t="inlineStr"/>
    </row>
    <row r="629" ht="15" customHeight="1">
      <c r="A629" t="inlineStr">
        <is>
          <t>A 12327-2025</t>
        </is>
      </c>
      <c r="B629" s="1" t="n">
        <v>45730</v>
      </c>
      <c r="C629" s="1" t="n">
        <v>46098</v>
      </c>
      <c r="D629" t="inlineStr">
        <is>
          <t>GOTLANDS LÄN</t>
        </is>
      </c>
      <c r="E629" t="inlineStr">
        <is>
          <t>GOTLAND</t>
        </is>
      </c>
      <c r="G629" t="n">
        <v>1.8</v>
      </c>
      <c r="H629" t="n">
        <v>0</v>
      </c>
      <c r="I629" t="n">
        <v>0</v>
      </c>
      <c r="J629" t="n">
        <v>0</v>
      </c>
      <c r="K629" t="n">
        <v>0</v>
      </c>
      <c r="L629" t="n">
        <v>0</v>
      </c>
      <c r="M629" t="n">
        <v>0</v>
      </c>
      <c r="N629" t="n">
        <v>0</v>
      </c>
      <c r="O629" t="n">
        <v>0</v>
      </c>
      <c r="P629" t="n">
        <v>0</v>
      </c>
      <c r="Q629" t="n">
        <v>0</v>
      </c>
      <c r="R629" s="2" t="inlineStr"/>
    </row>
    <row r="630" ht="15" customHeight="1">
      <c r="A630" t="inlineStr">
        <is>
          <t>A 4420-2025</t>
        </is>
      </c>
      <c r="B630" s="1" t="n">
        <v>45686.47157407407</v>
      </c>
      <c r="C630" s="1" t="n">
        <v>46098</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14427-2024</t>
        </is>
      </c>
      <c r="B631" s="1" t="n">
        <v>45394</v>
      </c>
      <c r="C631" s="1" t="n">
        <v>46098</v>
      </c>
      <c r="D631" t="inlineStr">
        <is>
          <t>GOTLANDS LÄN</t>
        </is>
      </c>
      <c r="E631" t="inlineStr">
        <is>
          <t>GOTLAND</t>
        </is>
      </c>
      <c r="G631" t="n">
        <v>1.3</v>
      </c>
      <c r="H631" t="n">
        <v>0</v>
      </c>
      <c r="I631" t="n">
        <v>0</v>
      </c>
      <c r="J631" t="n">
        <v>0</v>
      </c>
      <c r="K631" t="n">
        <v>0</v>
      </c>
      <c r="L631" t="n">
        <v>0</v>
      </c>
      <c r="M631" t="n">
        <v>0</v>
      </c>
      <c r="N631" t="n">
        <v>0</v>
      </c>
      <c r="O631" t="n">
        <v>0</v>
      </c>
      <c r="P631" t="n">
        <v>0</v>
      </c>
      <c r="Q631" t="n">
        <v>0</v>
      </c>
      <c r="R631" s="2" t="inlineStr"/>
    </row>
    <row r="632" ht="15" customHeight="1">
      <c r="A632" t="inlineStr">
        <is>
          <t>A 49257-2024</t>
        </is>
      </c>
      <c r="B632" s="1" t="n">
        <v>45595.47627314815</v>
      </c>
      <c r="C632" s="1" t="n">
        <v>46098</v>
      </c>
      <c r="D632" t="inlineStr">
        <is>
          <t>GOTLANDS LÄN</t>
        </is>
      </c>
      <c r="E632" t="inlineStr">
        <is>
          <t>GOTLAND</t>
        </is>
      </c>
      <c r="G632" t="n">
        <v>6.3</v>
      </c>
      <c r="H632" t="n">
        <v>0</v>
      </c>
      <c r="I632" t="n">
        <v>0</v>
      </c>
      <c r="J632" t="n">
        <v>0</v>
      </c>
      <c r="K632" t="n">
        <v>0</v>
      </c>
      <c r="L632" t="n">
        <v>0</v>
      </c>
      <c r="M632" t="n">
        <v>0</v>
      </c>
      <c r="N632" t="n">
        <v>0</v>
      </c>
      <c r="O632" t="n">
        <v>0</v>
      </c>
      <c r="P632" t="n">
        <v>0</v>
      </c>
      <c r="Q632" t="n">
        <v>0</v>
      </c>
      <c r="R632" s="2" t="inlineStr"/>
    </row>
    <row r="633" ht="15" customHeight="1">
      <c r="A633" t="inlineStr">
        <is>
          <t>A 49315-2024</t>
        </is>
      </c>
      <c r="B633" s="1" t="n">
        <v>45595</v>
      </c>
      <c r="C633" s="1" t="n">
        <v>46098</v>
      </c>
      <c r="D633" t="inlineStr">
        <is>
          <t>GOTLANDS LÄN</t>
        </is>
      </c>
      <c r="E633" t="inlineStr">
        <is>
          <t>GOTLAND</t>
        </is>
      </c>
      <c r="G633" t="n">
        <v>1.5</v>
      </c>
      <c r="H633" t="n">
        <v>0</v>
      </c>
      <c r="I633" t="n">
        <v>0</v>
      </c>
      <c r="J633" t="n">
        <v>0</v>
      </c>
      <c r="K633" t="n">
        <v>0</v>
      </c>
      <c r="L633" t="n">
        <v>0</v>
      </c>
      <c r="M633" t="n">
        <v>0</v>
      </c>
      <c r="N633" t="n">
        <v>0</v>
      </c>
      <c r="O633" t="n">
        <v>0</v>
      </c>
      <c r="P633" t="n">
        <v>0</v>
      </c>
      <c r="Q633" t="n">
        <v>0</v>
      </c>
      <c r="R633" s="2" t="inlineStr"/>
    </row>
    <row r="634" ht="15" customHeight="1">
      <c r="A634" t="inlineStr">
        <is>
          <t>A 27596-2023</t>
        </is>
      </c>
      <c r="B634" s="1" t="n">
        <v>45097</v>
      </c>
      <c r="C634" s="1" t="n">
        <v>46098</v>
      </c>
      <c r="D634" t="inlineStr">
        <is>
          <t>GOTLANDS LÄN</t>
        </is>
      </c>
      <c r="E634" t="inlineStr">
        <is>
          <t>GOTLAND</t>
        </is>
      </c>
      <c r="G634" t="n">
        <v>3.6</v>
      </c>
      <c r="H634" t="n">
        <v>0</v>
      </c>
      <c r="I634" t="n">
        <v>0</v>
      </c>
      <c r="J634" t="n">
        <v>0</v>
      </c>
      <c r="K634" t="n">
        <v>0</v>
      </c>
      <c r="L634" t="n">
        <v>0</v>
      </c>
      <c r="M634" t="n">
        <v>0</v>
      </c>
      <c r="N634" t="n">
        <v>0</v>
      </c>
      <c r="O634" t="n">
        <v>0</v>
      </c>
      <c r="P634" t="n">
        <v>0</v>
      </c>
      <c r="Q634" t="n">
        <v>0</v>
      </c>
      <c r="R634" s="2" t="inlineStr"/>
    </row>
    <row r="635" ht="15" customHeight="1">
      <c r="A635" t="inlineStr">
        <is>
          <t>A 56115-2023</t>
        </is>
      </c>
      <c r="B635" s="1" t="n">
        <v>45236</v>
      </c>
      <c r="C635" s="1" t="n">
        <v>46098</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64969-2023</t>
        </is>
      </c>
      <c r="B636" s="1" t="n">
        <v>45284.54009259259</v>
      </c>
      <c r="C636" s="1" t="n">
        <v>46098</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33853-2024</t>
        </is>
      </c>
      <c r="B637" s="1" t="n">
        <v>45520.64298611111</v>
      </c>
      <c r="C637" s="1" t="n">
        <v>46098</v>
      </c>
      <c r="D637" t="inlineStr">
        <is>
          <t>GOTLANDS LÄN</t>
        </is>
      </c>
      <c r="E637" t="inlineStr">
        <is>
          <t>GOTLAND</t>
        </is>
      </c>
      <c r="G637" t="n">
        <v>3.9</v>
      </c>
      <c r="H637" t="n">
        <v>0</v>
      </c>
      <c r="I637" t="n">
        <v>0</v>
      </c>
      <c r="J637" t="n">
        <v>0</v>
      </c>
      <c r="K637" t="n">
        <v>0</v>
      </c>
      <c r="L637" t="n">
        <v>0</v>
      </c>
      <c r="M637" t="n">
        <v>0</v>
      </c>
      <c r="N637" t="n">
        <v>0</v>
      </c>
      <c r="O637" t="n">
        <v>0</v>
      </c>
      <c r="P637" t="n">
        <v>0</v>
      </c>
      <c r="Q637" t="n">
        <v>0</v>
      </c>
      <c r="R637" s="2" t="inlineStr"/>
    </row>
    <row r="638" ht="15" customHeight="1">
      <c r="A638" t="inlineStr">
        <is>
          <t>A 18223-2025</t>
        </is>
      </c>
      <c r="B638" s="1" t="n">
        <v>45761</v>
      </c>
      <c r="C638" s="1" t="n">
        <v>46098</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46949-2024</t>
        </is>
      </c>
      <c r="B639" s="1" t="n">
        <v>45585</v>
      </c>
      <c r="C639" s="1" t="n">
        <v>46098</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24001-2021</t>
        </is>
      </c>
      <c r="B640" s="1" t="n">
        <v>44335</v>
      </c>
      <c r="C640" s="1" t="n">
        <v>46098</v>
      </c>
      <c r="D640" t="inlineStr">
        <is>
          <t>GOTLANDS LÄN</t>
        </is>
      </c>
      <c r="E640" t="inlineStr">
        <is>
          <t>GOTLAND</t>
        </is>
      </c>
      <c r="G640" t="n">
        <v>3.4</v>
      </c>
      <c r="H640" t="n">
        <v>0</v>
      </c>
      <c r="I640" t="n">
        <v>0</v>
      </c>
      <c r="J640" t="n">
        <v>0</v>
      </c>
      <c r="K640" t="n">
        <v>0</v>
      </c>
      <c r="L640" t="n">
        <v>0</v>
      </c>
      <c r="M640" t="n">
        <v>0</v>
      </c>
      <c r="N640" t="n">
        <v>0</v>
      </c>
      <c r="O640" t="n">
        <v>0</v>
      </c>
      <c r="P640" t="n">
        <v>0</v>
      </c>
      <c r="Q640" t="n">
        <v>0</v>
      </c>
      <c r="R640" s="2" t="inlineStr"/>
    </row>
    <row r="641" ht="15" customHeight="1">
      <c r="A641" t="inlineStr">
        <is>
          <t>A 39479-2022</t>
        </is>
      </c>
      <c r="B641" s="1" t="n">
        <v>44818</v>
      </c>
      <c r="C641" s="1" t="n">
        <v>46098</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39496-2022</t>
        </is>
      </c>
      <c r="B642" s="1" t="n">
        <v>44818</v>
      </c>
      <c r="C642" s="1" t="n">
        <v>46098</v>
      </c>
      <c r="D642" t="inlineStr">
        <is>
          <t>GOTLANDS LÄN</t>
        </is>
      </c>
      <c r="E642" t="inlineStr">
        <is>
          <t>GOTLAND</t>
        </is>
      </c>
      <c r="G642" t="n">
        <v>2.4</v>
      </c>
      <c r="H642" t="n">
        <v>0</v>
      </c>
      <c r="I642" t="n">
        <v>0</v>
      </c>
      <c r="J642" t="n">
        <v>0</v>
      </c>
      <c r="K642" t="n">
        <v>0</v>
      </c>
      <c r="L642" t="n">
        <v>0</v>
      </c>
      <c r="M642" t="n">
        <v>0</v>
      </c>
      <c r="N642" t="n">
        <v>0</v>
      </c>
      <c r="O642" t="n">
        <v>0</v>
      </c>
      <c r="P642" t="n">
        <v>0</v>
      </c>
      <c r="Q642" t="n">
        <v>0</v>
      </c>
      <c r="R642" s="2" t="inlineStr"/>
    </row>
    <row r="643" ht="15" customHeight="1">
      <c r="A643" t="inlineStr">
        <is>
          <t>A 46389-2021</t>
        </is>
      </c>
      <c r="B643" s="1" t="n">
        <v>44443</v>
      </c>
      <c r="C643" s="1" t="n">
        <v>46098</v>
      </c>
      <c r="D643" t="inlineStr">
        <is>
          <t>GOTLANDS LÄN</t>
        </is>
      </c>
      <c r="E643" t="inlineStr">
        <is>
          <t>GOTLAND</t>
        </is>
      </c>
      <c r="F643" t="inlineStr">
        <is>
          <t>Kyrkan</t>
        </is>
      </c>
      <c r="G643" t="n">
        <v>2.1</v>
      </c>
      <c r="H643" t="n">
        <v>0</v>
      </c>
      <c r="I643" t="n">
        <v>0</v>
      </c>
      <c r="J643" t="n">
        <v>0</v>
      </c>
      <c r="K643" t="n">
        <v>0</v>
      </c>
      <c r="L643" t="n">
        <v>0</v>
      </c>
      <c r="M643" t="n">
        <v>0</v>
      </c>
      <c r="N643" t="n">
        <v>0</v>
      </c>
      <c r="O643" t="n">
        <v>0</v>
      </c>
      <c r="P643" t="n">
        <v>0</v>
      </c>
      <c r="Q643" t="n">
        <v>0</v>
      </c>
      <c r="R643" s="2" t="inlineStr"/>
    </row>
    <row r="644" ht="15" customHeight="1">
      <c r="A644" t="inlineStr">
        <is>
          <t>A 44949-2023</t>
        </is>
      </c>
      <c r="B644" s="1" t="n">
        <v>45190.69520833333</v>
      </c>
      <c r="C644" s="1" t="n">
        <v>46098</v>
      </c>
      <c r="D644" t="inlineStr">
        <is>
          <t>GOTLANDS LÄN</t>
        </is>
      </c>
      <c r="E644" t="inlineStr">
        <is>
          <t>GOTLAND</t>
        </is>
      </c>
      <c r="G644" t="n">
        <v>1.4</v>
      </c>
      <c r="H644" t="n">
        <v>0</v>
      </c>
      <c r="I644" t="n">
        <v>0</v>
      </c>
      <c r="J644" t="n">
        <v>0</v>
      </c>
      <c r="K644" t="n">
        <v>0</v>
      </c>
      <c r="L644" t="n">
        <v>0</v>
      </c>
      <c r="M644" t="n">
        <v>0</v>
      </c>
      <c r="N644" t="n">
        <v>0</v>
      </c>
      <c r="O644" t="n">
        <v>0</v>
      </c>
      <c r="P644" t="n">
        <v>0</v>
      </c>
      <c r="Q644" t="n">
        <v>0</v>
      </c>
      <c r="R644" s="2" t="inlineStr"/>
    </row>
    <row r="645" ht="15" customHeight="1">
      <c r="A645" t="inlineStr">
        <is>
          <t>A 17682-2024</t>
        </is>
      </c>
      <c r="B645" s="1" t="n">
        <v>45418.42966435185</v>
      </c>
      <c r="C645" s="1" t="n">
        <v>46098</v>
      </c>
      <c r="D645" t="inlineStr">
        <is>
          <t>GOTLANDS LÄN</t>
        </is>
      </c>
      <c r="E645" t="inlineStr">
        <is>
          <t>GOTLAND</t>
        </is>
      </c>
      <c r="G645" t="n">
        <v>2.9</v>
      </c>
      <c r="H645" t="n">
        <v>0</v>
      </c>
      <c r="I645" t="n">
        <v>0</v>
      </c>
      <c r="J645" t="n">
        <v>0</v>
      </c>
      <c r="K645" t="n">
        <v>0</v>
      </c>
      <c r="L645" t="n">
        <v>0</v>
      </c>
      <c r="M645" t="n">
        <v>0</v>
      </c>
      <c r="N645" t="n">
        <v>0</v>
      </c>
      <c r="O645" t="n">
        <v>0</v>
      </c>
      <c r="P645" t="n">
        <v>0</v>
      </c>
      <c r="Q645" t="n">
        <v>0</v>
      </c>
      <c r="R645" s="2" t="inlineStr"/>
    </row>
    <row r="646" ht="15" customHeight="1">
      <c r="A646" t="inlineStr">
        <is>
          <t>A 61897-2024</t>
        </is>
      </c>
      <c r="B646" s="1" t="n">
        <v>45652.75685185185</v>
      </c>
      <c r="C646" s="1" t="n">
        <v>46098</v>
      </c>
      <c r="D646" t="inlineStr">
        <is>
          <t>GOTLANDS LÄN</t>
        </is>
      </c>
      <c r="E646" t="inlineStr">
        <is>
          <t>GOTLAND</t>
        </is>
      </c>
      <c r="G646" t="n">
        <v>6.4</v>
      </c>
      <c r="H646" t="n">
        <v>0</v>
      </c>
      <c r="I646" t="n">
        <v>0</v>
      </c>
      <c r="J646" t="n">
        <v>0</v>
      </c>
      <c r="K646" t="n">
        <v>0</v>
      </c>
      <c r="L646" t="n">
        <v>0</v>
      </c>
      <c r="M646" t="n">
        <v>0</v>
      </c>
      <c r="N646" t="n">
        <v>0</v>
      </c>
      <c r="O646" t="n">
        <v>0</v>
      </c>
      <c r="P646" t="n">
        <v>0</v>
      </c>
      <c r="Q646" t="n">
        <v>0</v>
      </c>
      <c r="R646" s="2" t="inlineStr"/>
    </row>
    <row r="647" ht="15" customHeight="1">
      <c r="A647" t="inlineStr">
        <is>
          <t>A 12032-2025</t>
        </is>
      </c>
      <c r="B647" s="1" t="n">
        <v>45728.64472222222</v>
      </c>
      <c r="C647" s="1" t="n">
        <v>46098</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c r="A648" t="inlineStr">
        <is>
          <t>A 15595-2024</t>
        </is>
      </c>
      <c r="B648" s="1" t="n">
        <v>45401.81480324074</v>
      </c>
      <c r="C648" s="1" t="n">
        <v>46098</v>
      </c>
      <c r="D648" t="inlineStr">
        <is>
          <t>GOTLANDS LÄN</t>
        </is>
      </c>
      <c r="E648" t="inlineStr">
        <is>
          <t>GOTLAND</t>
        </is>
      </c>
      <c r="G648" t="n">
        <v>6.4</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2026-03-17T11:22:22Z</dcterms:created>
  <dcterms:modified xmlns:dcterms="http://purl.org/dc/terms/" xmlns:xsi="http://www.w3.org/2001/XMLSchema-instance" xsi:type="dcterms:W3CDTF">2026-03-17T11:22:23Z</dcterms:modified>
</cp:coreProperties>
</file>