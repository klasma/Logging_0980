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45927</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45927</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15075-2025</t>
        </is>
      </c>
      <c r="B8" s="1" t="n">
        <v>45743</v>
      </c>
      <c r="C8" s="1" t="n">
        <v>45927</v>
      </c>
      <c r="D8" t="inlineStr">
        <is>
          <t>GOTLANDS LÄN</t>
        </is>
      </c>
      <c r="E8" t="inlineStr">
        <is>
          <t>GOTLAND</t>
        </is>
      </c>
      <c r="G8" t="n">
        <v>20.9</v>
      </c>
      <c r="H8" t="n">
        <v>4</v>
      </c>
      <c r="I8" t="n">
        <v>14</v>
      </c>
      <c r="J8" t="n">
        <v>4</v>
      </c>
      <c r="K8" t="n">
        <v>9</v>
      </c>
      <c r="L8" t="n">
        <v>0</v>
      </c>
      <c r="M8" t="n">
        <v>0</v>
      </c>
      <c r="N8" t="n">
        <v>0</v>
      </c>
      <c r="O8" t="n">
        <v>15</v>
      </c>
      <c r="P8" t="n">
        <v>9</v>
      </c>
      <c r="Q8" t="n">
        <v>31</v>
      </c>
      <c r="R8" s="2" t="inlineStr">
        <is>
          <t>Bananspindling
Granrotsspindling
Läderdoftande fingersvamp
Narrspindling
Svartgrön spindling
Taggfingersvamp
Tallpraktspindling
Violettfläckig spindling
Violgubbe
Barrviolspindling
Odörspindling
Spillkråka
Äggspindling
Grynspindling
Trollspindling
Anisspindling
Blå slemspindling
Blåmossa
Fjällig taggsvamp s.str.
Grönpyrola
Kalktallört
Kattfotslav
Kryddspindling
Olivspindling
Rödgul trumpetsvamp
Skogsknipprot
Svavelriska
Sårläka
Toppvaxing
Kungsfågel
Nattviol</t>
        </is>
      </c>
      <c r="S8">
        <f>HYPERLINK("https://klasma.github.io/Logging_0980/artfynd/A 15075-2025 artfynd.xlsx", "A 15075-2025")</f>
        <v/>
      </c>
      <c r="T8">
        <f>HYPERLINK("https://klasma.github.io/Logging_0980/kartor/A 15075-2025 karta.png", "A 15075-2025")</f>
        <v/>
      </c>
      <c r="V8">
        <f>HYPERLINK("https://klasma.github.io/Logging_0980/klagomål/A 15075-2025 FSC-klagomål.docx", "A 15075-2025")</f>
        <v/>
      </c>
      <c r="W8">
        <f>HYPERLINK("https://klasma.github.io/Logging_0980/klagomålsmail/A 15075-2025 FSC-klagomål mail.docx", "A 15075-2025")</f>
        <v/>
      </c>
      <c r="X8">
        <f>HYPERLINK("https://klasma.github.io/Logging_0980/tillsyn/A 15075-2025 tillsynsbegäran.docx", "A 15075-2025")</f>
        <v/>
      </c>
      <c r="Y8">
        <f>HYPERLINK("https://klasma.github.io/Logging_0980/tillsynsmail/A 15075-2025 tillsynsbegäran mail.docx", "A 15075-2025")</f>
        <v/>
      </c>
      <c r="Z8">
        <f>HYPERLINK("https://klasma.github.io/Logging_0980/fåglar/A 15075-2025 prioriterade fågelarter.docx", "A 15075-2025")</f>
        <v/>
      </c>
    </row>
    <row r="9" ht="15" customHeight="1">
      <c r="A9" t="inlineStr">
        <is>
          <t>A 61664-2023</t>
        </is>
      </c>
      <c r="B9" s="1" t="n">
        <v>45265</v>
      </c>
      <c r="C9" s="1" t="n">
        <v>45927</v>
      </c>
      <c r="D9" t="inlineStr">
        <is>
          <t>GOTLANDS LÄN</t>
        </is>
      </c>
      <c r="E9" t="inlineStr">
        <is>
          <t>GOTLAND</t>
        </is>
      </c>
      <c r="G9" t="n">
        <v>13.3</v>
      </c>
      <c r="H9" t="n">
        <v>9</v>
      </c>
      <c r="I9" t="n">
        <v>11</v>
      </c>
      <c r="J9" t="n">
        <v>7</v>
      </c>
      <c r="K9" t="n">
        <v>7</v>
      </c>
      <c r="L9" t="n">
        <v>0</v>
      </c>
      <c r="M9" t="n">
        <v>0</v>
      </c>
      <c r="N9" t="n">
        <v>0</v>
      </c>
      <c r="O9" t="n">
        <v>14</v>
      </c>
      <c r="P9" t="n">
        <v>7</v>
      </c>
      <c r="Q9" t="n">
        <v>30</v>
      </c>
      <c r="R9"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c r="Z9">
        <f>HYPERLINK("https://klasma.github.io/Logging_0980/fåglar/A 61664-2023 prioriterade fågelarter.docx", "A 61664-2023")</f>
        <v/>
      </c>
    </row>
    <row r="10" ht="15" customHeight="1">
      <c r="A10" t="inlineStr">
        <is>
          <t>A 922-2023</t>
        </is>
      </c>
      <c r="B10" s="1" t="n">
        <v>44932</v>
      </c>
      <c r="C10" s="1" t="n">
        <v>45927</v>
      </c>
      <c r="D10" t="inlineStr">
        <is>
          <t>GOTLANDS LÄN</t>
        </is>
      </c>
      <c r="E10" t="inlineStr">
        <is>
          <t>GOTLAND</t>
        </is>
      </c>
      <c r="G10" t="n">
        <v>6.9</v>
      </c>
      <c r="H10" t="n">
        <v>3</v>
      </c>
      <c r="I10" t="n">
        <v>8</v>
      </c>
      <c r="J10" t="n">
        <v>7</v>
      </c>
      <c r="K10" t="n">
        <v>6</v>
      </c>
      <c r="L10" t="n">
        <v>0</v>
      </c>
      <c r="M10" t="n">
        <v>0</v>
      </c>
      <c r="N10" t="n">
        <v>0</v>
      </c>
      <c r="O10" t="n">
        <v>13</v>
      </c>
      <c r="P10" t="n">
        <v>6</v>
      </c>
      <c r="Q10" t="n">
        <v>21</v>
      </c>
      <c r="R10"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0">
        <f>HYPERLINK("https://klasma.github.io/Logging_0980/artfynd/A 922-2023 artfynd.xlsx", "A 922-2023")</f>
        <v/>
      </c>
      <c r="T10">
        <f>HYPERLINK("https://klasma.github.io/Logging_0980/kartor/A 922-2023 karta.png", "A 922-2023")</f>
        <v/>
      </c>
      <c r="V10">
        <f>HYPERLINK("https://klasma.github.io/Logging_0980/klagomål/A 922-2023 FSC-klagomål.docx", "A 922-2023")</f>
        <v/>
      </c>
      <c r="W10">
        <f>HYPERLINK("https://klasma.github.io/Logging_0980/klagomålsmail/A 922-2023 FSC-klagomål mail.docx", "A 922-2023")</f>
        <v/>
      </c>
      <c r="X10">
        <f>HYPERLINK("https://klasma.github.io/Logging_0980/tillsyn/A 922-2023 tillsynsbegäran.docx", "A 922-2023")</f>
        <v/>
      </c>
      <c r="Y10">
        <f>HYPERLINK("https://klasma.github.io/Logging_0980/tillsynsmail/A 922-2023 tillsynsbegäran mail.docx", "A 922-2023")</f>
        <v/>
      </c>
    </row>
    <row r="11" ht="15" customHeight="1">
      <c r="A11" t="inlineStr">
        <is>
          <t>A 10780-2025</t>
        </is>
      </c>
      <c r="B11" s="1" t="n">
        <v>45722.48222222222</v>
      </c>
      <c r="C11" s="1" t="n">
        <v>45927</v>
      </c>
      <c r="D11" t="inlineStr">
        <is>
          <t>GOTLANDS LÄN</t>
        </is>
      </c>
      <c r="E11" t="inlineStr">
        <is>
          <t>GOTLAND</t>
        </is>
      </c>
      <c r="G11" t="n">
        <v>6.1</v>
      </c>
      <c r="H11" t="n">
        <v>11</v>
      </c>
      <c r="I11" t="n">
        <v>8</v>
      </c>
      <c r="J11" t="n">
        <v>6</v>
      </c>
      <c r="K11" t="n">
        <v>1</v>
      </c>
      <c r="L11" t="n">
        <v>1</v>
      </c>
      <c r="M11" t="n">
        <v>0</v>
      </c>
      <c r="N11" t="n">
        <v>0</v>
      </c>
      <c r="O11" t="n">
        <v>8</v>
      </c>
      <c r="P11" t="n">
        <v>2</v>
      </c>
      <c r="Q11" t="n">
        <v>21</v>
      </c>
      <c r="R11"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1">
        <f>HYPERLINK("https://klasma.github.io/Logging_0980/artfynd/A 10780-2025 artfynd.xlsx", "A 10780-2025")</f>
        <v/>
      </c>
      <c r="T11">
        <f>HYPERLINK("https://klasma.github.io/Logging_0980/kartor/A 10780-2025 karta.png", "A 10780-2025")</f>
        <v/>
      </c>
      <c r="U11">
        <f>HYPERLINK("https://klasma.github.io/Logging_0980/knärot/A 10780-2025 karta knärot.png", "A 10780-2025")</f>
        <v/>
      </c>
      <c r="V11">
        <f>HYPERLINK("https://klasma.github.io/Logging_0980/klagomål/A 10780-2025 FSC-klagomål.docx", "A 10780-2025")</f>
        <v/>
      </c>
      <c r="W11">
        <f>HYPERLINK("https://klasma.github.io/Logging_0980/klagomålsmail/A 10780-2025 FSC-klagomål mail.docx", "A 10780-2025")</f>
        <v/>
      </c>
      <c r="X11">
        <f>HYPERLINK("https://klasma.github.io/Logging_0980/tillsyn/A 10780-2025 tillsynsbegäran.docx", "A 10780-2025")</f>
        <v/>
      </c>
      <c r="Y11">
        <f>HYPERLINK("https://klasma.github.io/Logging_0980/tillsynsmail/A 10780-2025 tillsynsbegäran mail.docx", "A 10780-2025")</f>
        <v/>
      </c>
    </row>
    <row r="12" ht="15" customHeight="1">
      <c r="A12" t="inlineStr">
        <is>
          <t>A 569-2023</t>
        </is>
      </c>
      <c r="B12" s="1" t="n">
        <v>44930</v>
      </c>
      <c r="C12" s="1" t="n">
        <v>45927</v>
      </c>
      <c r="D12" t="inlineStr">
        <is>
          <t>GOTLANDS LÄN</t>
        </is>
      </c>
      <c r="E12" t="inlineStr">
        <is>
          <t>GOTLAND</t>
        </is>
      </c>
      <c r="G12" t="n">
        <v>12.8</v>
      </c>
      <c r="H12" t="n">
        <v>2</v>
      </c>
      <c r="I12" t="n">
        <v>5</v>
      </c>
      <c r="J12" t="n">
        <v>8</v>
      </c>
      <c r="K12" t="n">
        <v>5</v>
      </c>
      <c r="L12" t="n">
        <v>0</v>
      </c>
      <c r="M12" t="n">
        <v>0</v>
      </c>
      <c r="N12" t="n">
        <v>0</v>
      </c>
      <c r="O12" t="n">
        <v>13</v>
      </c>
      <c r="P12" t="n">
        <v>5</v>
      </c>
      <c r="Q12" t="n">
        <v>19</v>
      </c>
      <c r="R12"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2">
        <f>HYPERLINK("https://klasma.github.io/Logging_0980/artfynd/A 569-2023 artfynd.xlsx", "A 569-2023")</f>
        <v/>
      </c>
      <c r="T12">
        <f>HYPERLINK("https://klasma.github.io/Logging_0980/kartor/A 569-2023 karta.png", "A 569-2023")</f>
        <v/>
      </c>
      <c r="V12">
        <f>HYPERLINK("https://klasma.github.io/Logging_0980/klagomål/A 569-2023 FSC-klagomål.docx", "A 569-2023")</f>
        <v/>
      </c>
      <c r="W12">
        <f>HYPERLINK("https://klasma.github.io/Logging_0980/klagomålsmail/A 569-2023 FSC-klagomål mail.docx", "A 569-2023")</f>
        <v/>
      </c>
      <c r="X12">
        <f>HYPERLINK("https://klasma.github.io/Logging_0980/tillsyn/A 569-2023 tillsynsbegäran.docx", "A 569-2023")</f>
        <v/>
      </c>
      <c r="Y12">
        <f>HYPERLINK("https://klasma.github.io/Logging_0980/tillsynsmail/A 569-2023 tillsynsbegäran mail.docx", "A 569-2023")</f>
        <v/>
      </c>
    </row>
    <row r="13" ht="15" customHeight="1">
      <c r="A13" t="inlineStr">
        <is>
          <t>A 15068-2025</t>
        </is>
      </c>
      <c r="B13" s="1" t="n">
        <v>45743</v>
      </c>
      <c r="C13" s="1" t="n">
        <v>45927</v>
      </c>
      <c r="D13" t="inlineStr">
        <is>
          <t>GOTLANDS LÄN</t>
        </is>
      </c>
      <c r="E13" t="inlineStr">
        <is>
          <t>GOTLAND</t>
        </is>
      </c>
      <c r="G13" t="n">
        <v>37.3</v>
      </c>
      <c r="H13" t="n">
        <v>5</v>
      </c>
      <c r="I13" t="n">
        <v>4</v>
      </c>
      <c r="J13" t="n">
        <v>4</v>
      </c>
      <c r="K13" t="n">
        <v>4</v>
      </c>
      <c r="L13" t="n">
        <v>0</v>
      </c>
      <c r="M13" t="n">
        <v>0</v>
      </c>
      <c r="N13" t="n">
        <v>0</v>
      </c>
      <c r="O13" t="n">
        <v>9</v>
      </c>
      <c r="P13" t="n">
        <v>4</v>
      </c>
      <c r="Q13" t="n">
        <v>18</v>
      </c>
      <c r="R13"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3">
        <f>HYPERLINK("https://klasma.github.io/Logging_0980/artfynd/A 15068-2025 artfynd.xlsx", "A 15068-2025")</f>
        <v/>
      </c>
      <c r="T13">
        <f>HYPERLINK("https://klasma.github.io/Logging_0980/kartor/A 15068-2025 karta.png", "A 15068-2025")</f>
        <v/>
      </c>
      <c r="V13">
        <f>HYPERLINK("https://klasma.github.io/Logging_0980/klagomål/A 15068-2025 FSC-klagomål.docx", "A 15068-2025")</f>
        <v/>
      </c>
      <c r="W13">
        <f>HYPERLINK("https://klasma.github.io/Logging_0980/klagomålsmail/A 15068-2025 FSC-klagomål mail.docx", "A 15068-2025")</f>
        <v/>
      </c>
      <c r="X13">
        <f>HYPERLINK("https://klasma.github.io/Logging_0980/tillsyn/A 15068-2025 tillsynsbegäran.docx", "A 15068-2025")</f>
        <v/>
      </c>
      <c r="Y13">
        <f>HYPERLINK("https://klasma.github.io/Logging_0980/tillsynsmail/A 15068-2025 tillsynsbegäran mail.docx", "A 15068-2025")</f>
        <v/>
      </c>
    </row>
    <row r="14" ht="15" customHeight="1">
      <c r="A14" t="inlineStr">
        <is>
          <t>A 530-2024</t>
        </is>
      </c>
      <c r="B14" s="1" t="n">
        <v>45299</v>
      </c>
      <c r="C14" s="1" t="n">
        <v>45927</v>
      </c>
      <c r="D14" t="inlineStr">
        <is>
          <t>GOTLANDS LÄN</t>
        </is>
      </c>
      <c r="E14" t="inlineStr">
        <is>
          <t>GOTLAND</t>
        </is>
      </c>
      <c r="G14" t="n">
        <v>6.5</v>
      </c>
      <c r="H14" t="n">
        <v>7</v>
      </c>
      <c r="I14" t="n">
        <v>6</v>
      </c>
      <c r="J14" t="n">
        <v>3</v>
      </c>
      <c r="K14" t="n">
        <v>3</v>
      </c>
      <c r="L14" t="n">
        <v>1</v>
      </c>
      <c r="M14" t="n">
        <v>0</v>
      </c>
      <c r="N14" t="n">
        <v>0</v>
      </c>
      <c r="O14" t="n">
        <v>7</v>
      </c>
      <c r="P14" t="n">
        <v>4</v>
      </c>
      <c r="Q14" t="n">
        <v>18</v>
      </c>
      <c r="R14"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62551-2022</t>
        </is>
      </c>
      <c r="B15" s="1" t="n">
        <v>44924</v>
      </c>
      <c r="C15" s="1" t="n">
        <v>45927</v>
      </c>
      <c r="D15" t="inlineStr">
        <is>
          <t>GOTLANDS LÄN</t>
        </is>
      </c>
      <c r="E15" t="inlineStr">
        <is>
          <t>GOTLAND</t>
        </is>
      </c>
      <c r="G15" t="n">
        <v>7.9</v>
      </c>
      <c r="H15" t="n">
        <v>2</v>
      </c>
      <c r="I15" t="n">
        <v>9</v>
      </c>
      <c r="J15" t="n">
        <v>5</v>
      </c>
      <c r="K15" t="n">
        <v>2</v>
      </c>
      <c r="L15" t="n">
        <v>0</v>
      </c>
      <c r="M15" t="n">
        <v>0</v>
      </c>
      <c r="N15" t="n">
        <v>0</v>
      </c>
      <c r="O15" t="n">
        <v>7</v>
      </c>
      <c r="P15" t="n">
        <v>2</v>
      </c>
      <c r="Q15" t="n">
        <v>17</v>
      </c>
      <c r="R15"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5">
        <f>HYPERLINK("https://klasma.github.io/Logging_0980/artfynd/A 62551-2022 artfynd.xlsx", "A 62551-2022")</f>
        <v/>
      </c>
      <c r="T15">
        <f>HYPERLINK("https://klasma.github.io/Logging_0980/kartor/A 62551-2022 karta.png", "A 62551-2022")</f>
        <v/>
      </c>
      <c r="V15">
        <f>HYPERLINK("https://klasma.github.io/Logging_0980/klagomål/A 62551-2022 FSC-klagomål.docx", "A 62551-2022")</f>
        <v/>
      </c>
      <c r="W15">
        <f>HYPERLINK("https://klasma.github.io/Logging_0980/klagomålsmail/A 62551-2022 FSC-klagomål mail.docx", "A 62551-2022")</f>
        <v/>
      </c>
      <c r="X15">
        <f>HYPERLINK("https://klasma.github.io/Logging_0980/tillsyn/A 62551-2022 tillsynsbegäran.docx", "A 62551-2022")</f>
        <v/>
      </c>
      <c r="Y15">
        <f>HYPERLINK("https://klasma.github.io/Logging_0980/tillsynsmail/A 62551-2022 tillsynsbegäran mail.docx", "A 62551-2022")</f>
        <v/>
      </c>
    </row>
    <row r="16" ht="15" customHeight="1">
      <c r="A16" t="inlineStr">
        <is>
          <t>A 8645-2025</t>
        </is>
      </c>
      <c r="B16" s="1" t="n">
        <v>45712</v>
      </c>
      <c r="C16" s="1" t="n">
        <v>45927</v>
      </c>
      <c r="D16" t="inlineStr">
        <is>
          <t>GOTLANDS LÄN</t>
        </is>
      </c>
      <c r="E16" t="inlineStr">
        <is>
          <t>GOTLAND</t>
        </is>
      </c>
      <c r="G16" t="n">
        <v>21.9</v>
      </c>
      <c r="H16" t="n">
        <v>9</v>
      </c>
      <c r="I16" t="n">
        <v>7</v>
      </c>
      <c r="J16" t="n">
        <v>5</v>
      </c>
      <c r="K16" t="n">
        <v>0</v>
      </c>
      <c r="L16" t="n">
        <v>1</v>
      </c>
      <c r="M16" t="n">
        <v>0</v>
      </c>
      <c r="N16" t="n">
        <v>0</v>
      </c>
      <c r="O16" t="n">
        <v>6</v>
      </c>
      <c r="P16" t="n">
        <v>1</v>
      </c>
      <c r="Q16" t="n">
        <v>17</v>
      </c>
      <c r="R16" s="2" t="inlineStr">
        <is>
          <t>Ask
Dårgräsfjäril
Loppstarr
Solvända
Spillkråka
Svinrot
Blåmossa
Grönpyrola
Kalktallört
Nästrot
Skogsknipprot
Strävlosta
Tvåblad
Grönsiska
Fläcknycklar
Grönvit nattviol
Nattviol</t>
        </is>
      </c>
      <c r="S16">
        <f>HYPERLINK("https://klasma.github.io/Logging_0980/artfynd/A 8645-2025 artfynd.xlsx", "A 8645-2025")</f>
        <v/>
      </c>
      <c r="T16">
        <f>HYPERLINK("https://klasma.github.io/Logging_0980/kartor/A 8645-2025 karta.png", "A 8645-2025")</f>
        <v/>
      </c>
      <c r="V16">
        <f>HYPERLINK("https://klasma.github.io/Logging_0980/klagomål/A 8645-2025 FSC-klagomål.docx", "A 8645-2025")</f>
        <v/>
      </c>
      <c r="W16">
        <f>HYPERLINK("https://klasma.github.io/Logging_0980/klagomålsmail/A 8645-2025 FSC-klagomål mail.docx", "A 8645-2025")</f>
        <v/>
      </c>
      <c r="X16">
        <f>HYPERLINK("https://klasma.github.io/Logging_0980/tillsyn/A 8645-2025 tillsynsbegäran.docx", "A 8645-2025")</f>
        <v/>
      </c>
      <c r="Y16">
        <f>HYPERLINK("https://klasma.github.io/Logging_0980/tillsynsmail/A 8645-2025 tillsynsbegäran mail.docx", "A 8645-2025")</f>
        <v/>
      </c>
      <c r="Z16">
        <f>HYPERLINK("https://klasma.github.io/Logging_0980/fåglar/A 8645-2025 prioriterade fågelarter.docx", "A 8645-2025")</f>
        <v/>
      </c>
    </row>
    <row r="17" ht="15" customHeight="1">
      <c r="A17" t="inlineStr">
        <is>
          <t>A 34100-2024</t>
        </is>
      </c>
      <c r="B17" s="1" t="n">
        <v>45523</v>
      </c>
      <c r="C17" s="1" t="n">
        <v>45927</v>
      </c>
      <c r="D17" t="inlineStr">
        <is>
          <t>GOTLANDS LÄN</t>
        </is>
      </c>
      <c r="E17" t="inlineStr">
        <is>
          <t>GOTLAND</t>
        </is>
      </c>
      <c r="F17" t="inlineStr">
        <is>
          <t>Övriga statliga verk och myndigheter</t>
        </is>
      </c>
      <c r="G17" t="n">
        <v>8.5</v>
      </c>
      <c r="H17" t="n">
        <v>3</v>
      </c>
      <c r="I17" t="n">
        <v>7</v>
      </c>
      <c r="J17" t="n">
        <v>3</v>
      </c>
      <c r="K17" t="n">
        <v>2</v>
      </c>
      <c r="L17" t="n">
        <v>0</v>
      </c>
      <c r="M17" t="n">
        <v>0</v>
      </c>
      <c r="N17" t="n">
        <v>0</v>
      </c>
      <c r="O17" t="n">
        <v>6</v>
      </c>
      <c r="P17" t="n">
        <v>2</v>
      </c>
      <c r="Q17" t="n">
        <v>16</v>
      </c>
      <c r="R1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7">
        <f>HYPERLINK("https://klasma.github.io/Logging_0980/artfynd/A 34100-2024 artfynd.xlsx", "A 34100-2024")</f>
        <v/>
      </c>
      <c r="T17">
        <f>HYPERLINK("https://klasma.github.io/Logging_0980/kartor/A 34100-2024 karta.png", "A 34100-2024")</f>
        <v/>
      </c>
      <c r="V17">
        <f>HYPERLINK("https://klasma.github.io/Logging_0980/klagomål/A 34100-2024 FSC-klagomål.docx", "A 34100-2024")</f>
        <v/>
      </c>
      <c r="W17">
        <f>HYPERLINK("https://klasma.github.io/Logging_0980/klagomålsmail/A 34100-2024 FSC-klagomål mail.docx", "A 34100-2024")</f>
        <v/>
      </c>
      <c r="X17">
        <f>HYPERLINK("https://klasma.github.io/Logging_0980/tillsyn/A 34100-2024 tillsynsbegäran.docx", "A 34100-2024")</f>
        <v/>
      </c>
      <c r="Y17">
        <f>HYPERLINK("https://klasma.github.io/Logging_0980/tillsynsmail/A 34100-2024 tillsynsbegäran mail.docx", "A 34100-2024")</f>
        <v/>
      </c>
      <c r="Z17">
        <f>HYPERLINK("https://klasma.github.io/Logging_0980/fåglar/A 34100-2024 prioriterade fågelarter.docx", "A 34100-2024")</f>
        <v/>
      </c>
    </row>
    <row r="18" ht="15" customHeight="1">
      <c r="A18" t="inlineStr">
        <is>
          <t>A 24575-2025</t>
        </is>
      </c>
      <c r="B18" s="1" t="n">
        <v>45798</v>
      </c>
      <c r="C18" s="1" t="n">
        <v>45927</v>
      </c>
      <c r="D18" t="inlineStr">
        <is>
          <t>GOTLANDS LÄN</t>
        </is>
      </c>
      <c r="E18" t="inlineStr">
        <is>
          <t>GOTLAND</t>
        </is>
      </c>
      <c r="G18" t="n">
        <v>6.7</v>
      </c>
      <c r="H18" t="n">
        <v>9</v>
      </c>
      <c r="I18" t="n">
        <v>6</v>
      </c>
      <c r="J18" t="n">
        <v>6</v>
      </c>
      <c r="K18" t="n">
        <v>1</v>
      </c>
      <c r="L18" t="n">
        <v>0</v>
      </c>
      <c r="M18" t="n">
        <v>0</v>
      </c>
      <c r="N18" t="n">
        <v>0</v>
      </c>
      <c r="O18" t="n">
        <v>7</v>
      </c>
      <c r="P18" t="n">
        <v>1</v>
      </c>
      <c r="Q18" t="n">
        <v>16</v>
      </c>
      <c r="R18" s="2" t="inlineStr">
        <is>
          <t>Knärot
Jordtistel
Reliktbock
Solvända
Spillkråka
Svinrot
Ängsstarr
Blåmossa
Nästrot
Skogsknipprot
Sårläka
Tvåblad
Vit skogslilja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15629-2024</t>
        </is>
      </c>
      <c r="B19" s="1" t="n">
        <v>45402.78372685185</v>
      </c>
      <c r="C19" s="1" t="n">
        <v>45927</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45927</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17762-2024</t>
        </is>
      </c>
      <c r="B21" s="1" t="n">
        <v>45418</v>
      </c>
      <c r="C21" s="1" t="n">
        <v>45927</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62132-2023</t>
        </is>
      </c>
      <c r="B22" s="1" t="n">
        <v>45267</v>
      </c>
      <c r="C22" s="1" t="n">
        <v>45927</v>
      </c>
      <c r="D22" t="inlineStr">
        <is>
          <t>GOTLANDS LÄN</t>
        </is>
      </c>
      <c r="E22" t="inlineStr">
        <is>
          <t>GOTLAND</t>
        </is>
      </c>
      <c r="G22" t="n">
        <v>13.9</v>
      </c>
      <c r="H22" t="n">
        <v>5</v>
      </c>
      <c r="I22" t="n">
        <v>5</v>
      </c>
      <c r="J22" t="n">
        <v>7</v>
      </c>
      <c r="K22" t="n">
        <v>2</v>
      </c>
      <c r="L22" t="n">
        <v>0</v>
      </c>
      <c r="M22" t="n">
        <v>0</v>
      </c>
      <c r="N22" t="n">
        <v>0</v>
      </c>
      <c r="O22" t="n">
        <v>9</v>
      </c>
      <c r="P22" t="n">
        <v>2</v>
      </c>
      <c r="Q22" t="n">
        <v>15</v>
      </c>
      <c r="R22" s="2" t="inlineStr">
        <is>
          <t>Gulsträngad fagerspindling
Vit taggsvamp
Backtimjan
Dårgräsfjäril
Jordtistel
Odörspindling
Solvända
Spillkråka
Äggspindling
Blå slemspindling
Blåmossa
Mindre märgborre
Nästrot
Skogsknipprot
Sankt pers nycklar</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61697-2023</t>
        </is>
      </c>
      <c r="B23" s="1" t="n">
        <v>45265</v>
      </c>
      <c r="C23" s="1" t="n">
        <v>45927</v>
      </c>
      <c r="D23" t="inlineStr">
        <is>
          <t>GOTLANDS LÄN</t>
        </is>
      </c>
      <c r="E23" t="inlineStr">
        <is>
          <t>GOTLAND</t>
        </is>
      </c>
      <c r="G23" t="n">
        <v>8.699999999999999</v>
      </c>
      <c r="H23" t="n">
        <v>2</v>
      </c>
      <c r="I23" t="n">
        <v>3</v>
      </c>
      <c r="J23" t="n">
        <v>4</v>
      </c>
      <c r="K23" t="n">
        <v>7</v>
      </c>
      <c r="L23" t="n">
        <v>1</v>
      </c>
      <c r="M23" t="n">
        <v>0</v>
      </c>
      <c r="N23" t="n">
        <v>0</v>
      </c>
      <c r="O23" t="n">
        <v>12</v>
      </c>
      <c r="P23" t="n">
        <v>8</v>
      </c>
      <c r="Q23" t="n">
        <v>15</v>
      </c>
      <c r="R23" s="2" t="inlineStr">
        <is>
          <t>Ryl
Duvspindling
Granrotsspindling
Gulsträngad fagerspindling
Läderdoftande fingersvamp
Svartgrön spindling
Tallkejsarspindling
Violettrandad spindling
Denisespindling
Odörspindling
Röd skogslilja
Säfferot
Anisspindling
Murgröna
Nästrot</t>
        </is>
      </c>
      <c r="S23">
        <f>HYPERLINK("https://klasma.github.io/Logging_0980/artfynd/A 61697-2023 artfynd.xlsx", "A 61697-2023")</f>
        <v/>
      </c>
      <c r="T23">
        <f>HYPERLINK("https://klasma.github.io/Logging_0980/kartor/A 61697-2023 karta.png", "A 61697-2023")</f>
        <v/>
      </c>
      <c r="V23">
        <f>HYPERLINK("https://klasma.github.io/Logging_0980/klagomål/A 61697-2023 FSC-klagomål.docx", "A 61697-2023")</f>
        <v/>
      </c>
      <c r="W23">
        <f>HYPERLINK("https://klasma.github.io/Logging_0980/klagomålsmail/A 61697-2023 FSC-klagomål mail.docx", "A 61697-2023")</f>
        <v/>
      </c>
      <c r="X23">
        <f>HYPERLINK("https://klasma.github.io/Logging_0980/tillsyn/A 61697-2023 tillsynsbegäran.docx", "A 61697-2023")</f>
        <v/>
      </c>
      <c r="Y23">
        <f>HYPERLINK("https://klasma.github.io/Logging_0980/tillsynsmail/A 61697-2023 tillsynsbegäran mail.docx", "A 61697-2023")</f>
        <v/>
      </c>
    </row>
    <row r="24" ht="15" customHeight="1">
      <c r="A24" t="inlineStr">
        <is>
          <t>A 25779-2022</t>
        </is>
      </c>
      <c r="B24" s="1" t="n">
        <v>44733</v>
      </c>
      <c r="C24" s="1" t="n">
        <v>45927</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24309-2025</t>
        </is>
      </c>
      <c r="B25" s="1" t="n">
        <v>45797</v>
      </c>
      <c r="C25" s="1" t="n">
        <v>45927</v>
      </c>
      <c r="D25" t="inlineStr">
        <is>
          <t>GOTLANDS LÄN</t>
        </is>
      </c>
      <c r="E25" t="inlineStr">
        <is>
          <t>GOTLAND</t>
        </is>
      </c>
      <c r="F25" t="inlineStr">
        <is>
          <t>Kyrkan</t>
        </is>
      </c>
      <c r="G25" t="n">
        <v>7.8</v>
      </c>
      <c r="H25" t="n">
        <v>11</v>
      </c>
      <c r="I25" t="n">
        <v>6</v>
      </c>
      <c r="J25" t="n">
        <v>3</v>
      </c>
      <c r="K25" t="n">
        <v>1</v>
      </c>
      <c r="L25" t="n">
        <v>1</v>
      </c>
      <c r="M25" t="n">
        <v>0</v>
      </c>
      <c r="N25" t="n">
        <v>0</v>
      </c>
      <c r="O25" t="n">
        <v>5</v>
      </c>
      <c r="P25" t="n">
        <v>2</v>
      </c>
      <c r="Q25" t="n">
        <v>14</v>
      </c>
      <c r="R25" s="2" t="inlineStr">
        <is>
          <t>Grönfink
Garderönn
Dårgräsfjäril
Spillkråka
Svinrot
Grönpyrola
Purpurknipprot
Skogsknipprot
Strävlosta
Tvåblad
Vit skogslilja
Halsbandsflugsnappare
Nattviol
Blåsippa</t>
        </is>
      </c>
      <c r="S25">
        <f>HYPERLINK("https://klasma.github.io/Logging_0980/artfynd/A 24309-2025 artfynd.xlsx", "A 24309-2025")</f>
        <v/>
      </c>
      <c r="T25">
        <f>HYPERLINK("https://klasma.github.io/Logging_0980/kartor/A 24309-2025 karta.png", "A 24309-2025")</f>
        <v/>
      </c>
      <c r="V25">
        <f>HYPERLINK("https://klasma.github.io/Logging_0980/klagomål/A 24309-2025 FSC-klagomål.docx", "A 24309-2025")</f>
        <v/>
      </c>
      <c r="W25">
        <f>HYPERLINK("https://klasma.github.io/Logging_0980/klagomålsmail/A 24309-2025 FSC-klagomål mail.docx", "A 24309-2025")</f>
        <v/>
      </c>
      <c r="X25">
        <f>HYPERLINK("https://klasma.github.io/Logging_0980/tillsyn/A 24309-2025 tillsynsbegäran.docx", "A 24309-2025")</f>
        <v/>
      </c>
      <c r="Y25">
        <f>HYPERLINK("https://klasma.github.io/Logging_0980/tillsynsmail/A 24309-2025 tillsynsbegäran mail.docx", "A 24309-2025")</f>
        <v/>
      </c>
      <c r="Z25">
        <f>HYPERLINK("https://klasma.github.io/Logging_0980/fåglar/A 24309-2025 prioriterade fågelarter.docx", "A 24309-2025")</f>
        <v/>
      </c>
    </row>
    <row r="26" ht="15" customHeight="1">
      <c r="A26" t="inlineStr">
        <is>
          <t>A 2222-2024</t>
        </is>
      </c>
      <c r="B26" s="1" t="n">
        <v>45309</v>
      </c>
      <c r="C26" s="1" t="n">
        <v>45927</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33728-2025</t>
        </is>
      </c>
      <c r="B27" s="1" t="n">
        <v>45842.29344907407</v>
      </c>
      <c r="C27" s="1" t="n">
        <v>45927</v>
      </c>
      <c r="D27" t="inlineStr">
        <is>
          <t>GOTLANDS LÄN</t>
        </is>
      </c>
      <c r="E27" t="inlineStr">
        <is>
          <t>GOTLAND</t>
        </is>
      </c>
      <c r="G27" t="n">
        <v>9.5</v>
      </c>
      <c r="H27" t="n">
        <v>3</v>
      </c>
      <c r="I27" t="n">
        <v>3</v>
      </c>
      <c r="J27" t="n">
        <v>6</v>
      </c>
      <c r="K27" t="n">
        <v>3</v>
      </c>
      <c r="L27" t="n">
        <v>2</v>
      </c>
      <c r="M27" t="n">
        <v>0</v>
      </c>
      <c r="N27" t="n">
        <v>0</v>
      </c>
      <c r="O27" t="n">
        <v>11</v>
      </c>
      <c r="P27" t="n">
        <v>5</v>
      </c>
      <c r="Q27" t="n">
        <v>14</v>
      </c>
      <c r="R27" s="2" t="inlineStr">
        <is>
          <t>Ask
Sienamusseron
Gotlandsmåra
Läderdoftande fingersvamp
Mörkfjällig olivspindling
Axveronika
Backtimjan
Duvhök
Jordtistel
Svartfläckig blåvinge
Svinrot
Olivspindling
Skogsknipprot
Svavelriska</t>
        </is>
      </c>
      <c r="S27">
        <f>HYPERLINK("https://klasma.github.io/Logging_0980/artfynd/A 33728-2025 artfynd.xlsx", "A 33728-2025")</f>
        <v/>
      </c>
      <c r="T27">
        <f>HYPERLINK("https://klasma.github.io/Logging_0980/kartor/A 33728-2025 karta.png", "A 33728-2025")</f>
        <v/>
      </c>
      <c r="V27">
        <f>HYPERLINK("https://klasma.github.io/Logging_0980/klagomål/A 33728-2025 FSC-klagomål.docx", "A 33728-2025")</f>
        <v/>
      </c>
      <c r="W27">
        <f>HYPERLINK("https://klasma.github.io/Logging_0980/klagomålsmail/A 33728-2025 FSC-klagomål mail.docx", "A 33728-2025")</f>
        <v/>
      </c>
      <c r="X27">
        <f>HYPERLINK("https://klasma.github.io/Logging_0980/tillsyn/A 33728-2025 tillsynsbegäran.docx", "A 33728-2025")</f>
        <v/>
      </c>
      <c r="Y27">
        <f>HYPERLINK("https://klasma.github.io/Logging_0980/tillsynsmail/A 33728-2025 tillsynsbegäran mail.docx", "A 33728-2025")</f>
        <v/>
      </c>
      <c r="Z27">
        <f>HYPERLINK("https://klasma.github.io/Logging_0980/fåglar/A 33728-2025 prioriterade fågelarter.docx", "A 33728-2025")</f>
        <v/>
      </c>
    </row>
    <row r="28" ht="15" customHeight="1">
      <c r="A28" t="inlineStr">
        <is>
          <t>A 35141-2022</t>
        </is>
      </c>
      <c r="B28" s="1" t="n">
        <v>44797.53318287037</v>
      </c>
      <c r="C28" s="1" t="n">
        <v>45927</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45927</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2804-2023</t>
        </is>
      </c>
      <c r="B30" s="1" t="n">
        <v>44944</v>
      </c>
      <c r="C30" s="1" t="n">
        <v>45927</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30236-2025</t>
        </is>
      </c>
      <c r="B31" s="1" t="n">
        <v>45827</v>
      </c>
      <c r="C31" s="1" t="n">
        <v>45927</v>
      </c>
      <c r="D31" t="inlineStr">
        <is>
          <t>GOTLANDS LÄN</t>
        </is>
      </c>
      <c r="E31" t="inlineStr">
        <is>
          <t>GOTLAND</t>
        </is>
      </c>
      <c r="G31" t="n">
        <v>13.6</v>
      </c>
      <c r="H31" t="n">
        <v>8</v>
      </c>
      <c r="I31" t="n">
        <v>6</v>
      </c>
      <c r="J31" t="n">
        <v>4</v>
      </c>
      <c r="K31" t="n">
        <v>0</v>
      </c>
      <c r="L31" t="n">
        <v>0</v>
      </c>
      <c r="M31" t="n">
        <v>0</v>
      </c>
      <c r="N31" t="n">
        <v>0</v>
      </c>
      <c r="O31" t="n">
        <v>4</v>
      </c>
      <c r="P31" t="n">
        <v>0</v>
      </c>
      <c r="Q31" t="n">
        <v>13</v>
      </c>
      <c r="R31" s="2" t="inlineStr">
        <is>
          <t>Jordtistel
Reliktbock
Spillkråka
Svinrot
Blåmossa
Grönpyrola
Nästrot
Purpurknipprot
Tvåblad
Vit skogslilja
Grönvit nattviol
Nattviol
Sankt pers nycklar</t>
        </is>
      </c>
      <c r="S31">
        <f>HYPERLINK("https://klasma.github.io/Logging_0980/artfynd/A 30236-2025 artfynd.xlsx", "A 30236-2025")</f>
        <v/>
      </c>
      <c r="T31">
        <f>HYPERLINK("https://klasma.github.io/Logging_0980/kartor/A 30236-2025 karta.png", "A 30236-2025")</f>
        <v/>
      </c>
      <c r="V31">
        <f>HYPERLINK("https://klasma.github.io/Logging_0980/klagomål/A 30236-2025 FSC-klagomål.docx", "A 30236-2025")</f>
        <v/>
      </c>
      <c r="W31">
        <f>HYPERLINK("https://klasma.github.io/Logging_0980/klagomålsmail/A 30236-2025 FSC-klagomål mail.docx", "A 30236-2025")</f>
        <v/>
      </c>
      <c r="X31">
        <f>HYPERLINK("https://klasma.github.io/Logging_0980/tillsyn/A 30236-2025 tillsynsbegäran.docx", "A 30236-2025")</f>
        <v/>
      </c>
      <c r="Y31">
        <f>HYPERLINK("https://klasma.github.io/Logging_0980/tillsynsmail/A 30236-2025 tillsynsbegäran mail.docx", "A 30236-2025")</f>
        <v/>
      </c>
      <c r="Z31">
        <f>HYPERLINK("https://klasma.github.io/Logging_0980/fåglar/A 30236-2025 prioriterade fågelarter.docx", "A 30236-2025")</f>
        <v/>
      </c>
    </row>
    <row r="32" ht="15" customHeight="1">
      <c r="A32" t="inlineStr">
        <is>
          <t>A 445-2023</t>
        </is>
      </c>
      <c r="B32" s="1" t="n">
        <v>44929</v>
      </c>
      <c r="C32" s="1" t="n">
        <v>45927</v>
      </c>
      <c r="D32" t="inlineStr">
        <is>
          <t>GOTLANDS LÄN</t>
        </is>
      </c>
      <c r="E32" t="inlineStr">
        <is>
          <t>GOTLAND</t>
        </is>
      </c>
      <c r="G32" t="n">
        <v>4.9</v>
      </c>
      <c r="H32" t="n">
        <v>3</v>
      </c>
      <c r="I32" t="n">
        <v>3</v>
      </c>
      <c r="J32" t="n">
        <v>5</v>
      </c>
      <c r="K32" t="n">
        <v>4</v>
      </c>
      <c r="L32" t="n">
        <v>0</v>
      </c>
      <c r="M32" t="n">
        <v>0</v>
      </c>
      <c r="N32" t="n">
        <v>0</v>
      </c>
      <c r="O32" t="n">
        <v>10</v>
      </c>
      <c r="P32" t="n">
        <v>4</v>
      </c>
      <c r="Q32" t="n">
        <v>13</v>
      </c>
      <c r="R32" s="2" t="inlineStr">
        <is>
          <t>Garderönn
Granrotsspindling
Gulsträngad fagerspindling
Taggfingersvamp
Duvhök
Jordtistel
Odörspindling
Spillkråka
Svinrot
Trollspindling
Besk kastanjemusseron
Rödgul trumpetsvamp
Vårärt</t>
        </is>
      </c>
      <c r="S32">
        <f>HYPERLINK("https://klasma.github.io/Logging_0980/artfynd/A 445-2023 artfynd.xlsx", "A 445-2023")</f>
        <v/>
      </c>
      <c r="T32">
        <f>HYPERLINK("https://klasma.github.io/Logging_0980/kartor/A 445-2023 karta.png", "A 445-2023")</f>
        <v/>
      </c>
      <c r="V32">
        <f>HYPERLINK("https://klasma.github.io/Logging_0980/klagomål/A 445-2023 FSC-klagomål.docx", "A 445-2023")</f>
        <v/>
      </c>
      <c r="W32">
        <f>HYPERLINK("https://klasma.github.io/Logging_0980/klagomålsmail/A 445-2023 FSC-klagomål mail.docx", "A 445-2023")</f>
        <v/>
      </c>
      <c r="X32">
        <f>HYPERLINK("https://klasma.github.io/Logging_0980/tillsyn/A 445-2023 tillsynsbegäran.docx", "A 445-2023")</f>
        <v/>
      </c>
      <c r="Y32">
        <f>HYPERLINK("https://klasma.github.io/Logging_0980/tillsynsmail/A 445-2023 tillsynsbegäran mail.docx", "A 445-2023")</f>
        <v/>
      </c>
      <c r="Z32">
        <f>HYPERLINK("https://klasma.github.io/Logging_0980/fåglar/A 445-2023 prioriterade fågelarter.docx", "A 445-2023")</f>
        <v/>
      </c>
    </row>
    <row r="33" ht="15" customHeight="1">
      <c r="A33" t="inlineStr">
        <is>
          <t>A 3324-2023</t>
        </is>
      </c>
      <c r="B33" s="1" t="n">
        <v>44949</v>
      </c>
      <c r="C33" s="1" t="n">
        <v>45927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63872-2021</t>
        </is>
      </c>
      <c r="B34" s="1" t="n">
        <v>44509</v>
      </c>
      <c r="C34" s="1" t="n">
        <v>45927</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45927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30542-2025</t>
        </is>
      </c>
      <c r="B36" s="1" t="n">
        <v>45831</v>
      </c>
      <c r="C36" s="1" t="n">
        <v>45927</v>
      </c>
      <c r="D36" t="inlineStr">
        <is>
          <t>GOTLANDS LÄN</t>
        </is>
      </c>
      <c r="E36" t="inlineStr">
        <is>
          <t>GOTLAND</t>
        </is>
      </c>
      <c r="G36" t="n">
        <v>8.300000000000001</v>
      </c>
      <c r="H36" t="n">
        <v>5</v>
      </c>
      <c r="I36" t="n">
        <v>3</v>
      </c>
      <c r="J36" t="n">
        <v>6</v>
      </c>
      <c r="K36" t="n">
        <v>0</v>
      </c>
      <c r="L36" t="n">
        <v>1</v>
      </c>
      <c r="M36" t="n">
        <v>0</v>
      </c>
      <c r="N36" t="n">
        <v>0</v>
      </c>
      <c r="O36" t="n">
        <v>7</v>
      </c>
      <c r="P36" t="n">
        <v>1</v>
      </c>
      <c r="Q36" t="n">
        <v>12</v>
      </c>
      <c r="R36" s="2" t="inlineStr">
        <is>
          <t>Ask
Backtimjan
Dårgräsfjäril
Jordtistel
Solvända
Svinrot
Ängsstarr
Blåmossa
Skogsknipprot
Tvåblad
Brudsporre
Fläcknycklar</t>
        </is>
      </c>
      <c r="S36">
        <f>HYPERLINK("https://klasma.github.io/Logging_0980/artfynd/A 30542-2025 artfynd.xlsx", "A 30542-2025")</f>
        <v/>
      </c>
      <c r="T36">
        <f>HYPERLINK("https://klasma.github.io/Logging_0980/kartor/A 30542-2025 karta.png", "A 30542-2025")</f>
        <v/>
      </c>
      <c r="V36">
        <f>HYPERLINK("https://klasma.github.io/Logging_0980/klagomål/A 30542-2025 FSC-klagomål.docx", "A 30542-2025")</f>
        <v/>
      </c>
      <c r="W36">
        <f>HYPERLINK("https://klasma.github.io/Logging_0980/klagomålsmail/A 30542-2025 FSC-klagomål mail.docx", "A 30542-2025")</f>
        <v/>
      </c>
      <c r="X36">
        <f>HYPERLINK("https://klasma.github.io/Logging_0980/tillsyn/A 30542-2025 tillsynsbegäran.docx", "A 30542-2025")</f>
        <v/>
      </c>
      <c r="Y36">
        <f>HYPERLINK("https://klasma.github.io/Logging_0980/tillsynsmail/A 30542-2025 tillsynsbegäran mail.docx", "A 30542-2025")</f>
        <v/>
      </c>
    </row>
    <row r="37" ht="15" customHeight="1">
      <c r="A37" t="inlineStr">
        <is>
          <t>A 15850-2025</t>
        </is>
      </c>
      <c r="B37" s="1" t="n">
        <v>45748</v>
      </c>
      <c r="C37" s="1" t="n">
        <v>45927</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6052-2024</t>
        </is>
      </c>
      <c r="B38" s="1" t="n">
        <v>45336</v>
      </c>
      <c r="C38" s="1" t="n">
        <v>45927</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43201-2023</t>
        </is>
      </c>
      <c r="B39" s="1" t="n">
        <v>45183</v>
      </c>
      <c r="C39" s="1" t="n">
        <v>45927</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11176-2024</t>
        </is>
      </c>
      <c r="B40" s="1" t="n">
        <v>45371</v>
      </c>
      <c r="C40" s="1" t="n">
        <v>45927</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22404-2024</t>
        </is>
      </c>
      <c r="B41" s="1" t="n">
        <v>45446</v>
      </c>
      <c r="C41" s="1" t="n">
        <v>45927</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584-2023</t>
        </is>
      </c>
      <c r="B42" s="1" t="n">
        <v>44930</v>
      </c>
      <c r="C42" s="1" t="n">
        <v>45927</v>
      </c>
      <c r="D42" t="inlineStr">
        <is>
          <t>GOTLANDS LÄN</t>
        </is>
      </c>
      <c r="E42" t="inlineStr">
        <is>
          <t>GOTLAND</t>
        </is>
      </c>
      <c r="G42" t="n">
        <v>27.2</v>
      </c>
      <c r="H42" t="n">
        <v>3</v>
      </c>
      <c r="I42" t="n">
        <v>2</v>
      </c>
      <c r="J42" t="n">
        <v>5</v>
      </c>
      <c r="K42" t="n">
        <v>2</v>
      </c>
      <c r="L42" t="n">
        <v>0</v>
      </c>
      <c r="M42" t="n">
        <v>0</v>
      </c>
      <c r="N42" t="n">
        <v>0</v>
      </c>
      <c r="O42" t="n">
        <v>7</v>
      </c>
      <c r="P42" t="n">
        <v>2</v>
      </c>
      <c r="Q42" t="n">
        <v>10</v>
      </c>
      <c r="R42" s="2" t="inlineStr">
        <is>
          <t>Garderönn
Granrotsspindling
Backtimjan
Denisespindling
Dårgräsfjäril
Solvända
Vippärt
Rödgul trumpetsvamp
Vågbandad barkbock
Sankt pers nycklar</t>
        </is>
      </c>
      <c r="S42">
        <f>HYPERLINK("https://klasma.github.io/Logging_0980/artfynd/A 584-2023 artfynd.xlsx", "A 584-2023")</f>
        <v/>
      </c>
      <c r="T42">
        <f>HYPERLINK("https://klasma.github.io/Logging_0980/kartor/A 584-2023 karta.png", "A 584-2023")</f>
        <v/>
      </c>
      <c r="V42">
        <f>HYPERLINK("https://klasma.github.io/Logging_0980/klagomål/A 584-2023 FSC-klagomål.docx", "A 584-2023")</f>
        <v/>
      </c>
      <c r="W42">
        <f>HYPERLINK("https://klasma.github.io/Logging_0980/klagomålsmail/A 584-2023 FSC-klagomål mail.docx", "A 584-2023")</f>
        <v/>
      </c>
      <c r="X42">
        <f>HYPERLINK("https://klasma.github.io/Logging_0980/tillsyn/A 584-2023 tillsynsbegäran.docx", "A 584-2023")</f>
        <v/>
      </c>
      <c r="Y42">
        <f>HYPERLINK("https://klasma.github.io/Logging_0980/tillsynsmail/A 584-2023 tillsynsbegäran mail.docx", "A 584-2023")</f>
        <v/>
      </c>
    </row>
    <row r="43" ht="15" customHeight="1">
      <c r="A43" t="inlineStr">
        <is>
          <t>A 33153-2024</t>
        </is>
      </c>
      <c r="B43" s="1" t="n">
        <v>45518</v>
      </c>
      <c r="C43" s="1" t="n">
        <v>45927</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14354-2024</t>
        </is>
      </c>
      <c r="B44" s="1" t="n">
        <v>45393</v>
      </c>
      <c r="C44" s="1" t="n">
        <v>45927</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17766-2024</t>
        </is>
      </c>
      <c r="B45" s="1" t="n">
        <v>45418</v>
      </c>
      <c r="C45" s="1" t="n">
        <v>45927</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1719-2025</t>
        </is>
      </c>
      <c r="B46" s="1" t="n">
        <v>45671</v>
      </c>
      <c r="C46" s="1" t="n">
        <v>45927</v>
      </c>
      <c r="D46" t="inlineStr">
        <is>
          <t>GOTLANDS LÄN</t>
        </is>
      </c>
      <c r="E46" t="inlineStr">
        <is>
          <t>GOTLAND</t>
        </is>
      </c>
      <c r="G46" t="n">
        <v>6</v>
      </c>
      <c r="H46" t="n">
        <v>3</v>
      </c>
      <c r="I46" t="n">
        <v>2</v>
      </c>
      <c r="J46" t="n">
        <v>3</v>
      </c>
      <c r="K46" t="n">
        <v>3</v>
      </c>
      <c r="L46" t="n">
        <v>1</v>
      </c>
      <c r="M46" t="n">
        <v>0</v>
      </c>
      <c r="N46" t="n">
        <v>0</v>
      </c>
      <c r="O46" t="n">
        <v>7</v>
      </c>
      <c r="P46" t="n">
        <v>4</v>
      </c>
      <c r="Q46" t="n">
        <v>10</v>
      </c>
      <c r="R46" s="2" t="inlineStr">
        <is>
          <t>Ask
Gulsträngad fagerspindling
Skogskorn
Vit taggsvamp
Backtimjan
Doftskinn
Spillkråka
Besk kastanjemusseron
Skogsknipprot
Blåsippa</t>
        </is>
      </c>
      <c r="S46">
        <f>HYPERLINK("https://klasma.github.io/Logging_0980/artfynd/A 1719-2025 artfynd.xlsx", "A 1719-2025")</f>
        <v/>
      </c>
      <c r="T46">
        <f>HYPERLINK("https://klasma.github.io/Logging_0980/kartor/A 1719-2025 karta.png", "A 1719-2025")</f>
        <v/>
      </c>
      <c r="V46">
        <f>HYPERLINK("https://klasma.github.io/Logging_0980/klagomål/A 1719-2025 FSC-klagomål.docx", "A 1719-2025")</f>
        <v/>
      </c>
      <c r="W46">
        <f>HYPERLINK("https://klasma.github.io/Logging_0980/klagomålsmail/A 1719-2025 FSC-klagomål mail.docx", "A 1719-2025")</f>
        <v/>
      </c>
      <c r="X46">
        <f>HYPERLINK("https://klasma.github.io/Logging_0980/tillsyn/A 1719-2025 tillsynsbegäran.docx", "A 1719-2025")</f>
        <v/>
      </c>
      <c r="Y46">
        <f>HYPERLINK("https://klasma.github.io/Logging_0980/tillsynsmail/A 1719-2025 tillsynsbegäran mail.docx", "A 1719-2025")</f>
        <v/>
      </c>
      <c r="Z46">
        <f>HYPERLINK("https://klasma.github.io/Logging_0980/fåglar/A 1719-2025 prioriterade fågelarter.docx", "A 1719-2025")</f>
        <v/>
      </c>
    </row>
    <row r="47" ht="15" customHeight="1">
      <c r="A47" t="inlineStr">
        <is>
          <t>A 59132-2024</t>
        </is>
      </c>
      <c r="B47" s="1" t="n">
        <v>45637</v>
      </c>
      <c r="C47" s="1" t="n">
        <v>45927</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39376-2023</t>
        </is>
      </c>
      <c r="B48" s="1" t="n">
        <v>45166</v>
      </c>
      <c r="C48" s="1" t="n">
        <v>45927</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2649-2023</t>
        </is>
      </c>
      <c r="B49" s="1" t="n">
        <v>44943</v>
      </c>
      <c r="C49" s="1" t="n">
        <v>45927</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45927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45927</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21467-2024</t>
        </is>
      </c>
      <c r="B52" s="1" t="n">
        <v>45441</v>
      </c>
      <c r="C52" s="1" t="n">
        <v>45927</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10419-2025</t>
        </is>
      </c>
      <c r="B53" s="1" t="n">
        <v>45720</v>
      </c>
      <c r="C53" s="1" t="n">
        <v>45927</v>
      </c>
      <c r="D53" t="inlineStr">
        <is>
          <t>GOTLANDS LÄN</t>
        </is>
      </c>
      <c r="E53" t="inlineStr">
        <is>
          <t>GOTLAND</t>
        </is>
      </c>
      <c r="G53" t="n">
        <v>1.2</v>
      </c>
      <c r="H53" t="n">
        <v>0</v>
      </c>
      <c r="I53" t="n">
        <v>5</v>
      </c>
      <c r="J53" t="n">
        <v>0</v>
      </c>
      <c r="K53" t="n">
        <v>2</v>
      </c>
      <c r="L53" t="n">
        <v>0</v>
      </c>
      <c r="M53" t="n">
        <v>0</v>
      </c>
      <c r="N53" t="n">
        <v>0</v>
      </c>
      <c r="O53" t="n">
        <v>2</v>
      </c>
      <c r="P53" t="n">
        <v>2</v>
      </c>
      <c r="Q53" t="n">
        <v>7</v>
      </c>
      <c r="R53" s="2" t="inlineStr">
        <is>
          <t>Mörkfjällig olivspindling
Violettfläckig spindling
Anisspindling
Blå slemspindling
Fjällig taggsvamp s.str.
Kryddspindling
Olivspindling</t>
        </is>
      </c>
      <c r="S53">
        <f>HYPERLINK("https://klasma.github.io/Logging_0980/artfynd/A 10419-2025 artfynd.xlsx", "A 10419-2025")</f>
        <v/>
      </c>
      <c r="T53">
        <f>HYPERLINK("https://klasma.github.io/Logging_0980/kartor/A 10419-2025 karta.png", "A 10419-2025")</f>
        <v/>
      </c>
      <c r="V53">
        <f>HYPERLINK("https://klasma.github.io/Logging_0980/klagomål/A 10419-2025 FSC-klagomål.docx", "A 10419-2025")</f>
        <v/>
      </c>
      <c r="W53">
        <f>HYPERLINK("https://klasma.github.io/Logging_0980/klagomålsmail/A 10419-2025 FSC-klagomål mail.docx", "A 10419-2025")</f>
        <v/>
      </c>
      <c r="X53">
        <f>HYPERLINK("https://klasma.github.io/Logging_0980/tillsyn/A 10419-2025 tillsynsbegäran.docx", "A 10419-2025")</f>
        <v/>
      </c>
      <c r="Y53">
        <f>HYPERLINK("https://klasma.github.io/Logging_0980/tillsynsmail/A 10419-2025 tillsynsbegäran mail.docx", "A 10419-2025")</f>
        <v/>
      </c>
    </row>
    <row r="54" ht="15" customHeight="1">
      <c r="A54" t="inlineStr">
        <is>
          <t>A 6960-2025</t>
        </is>
      </c>
      <c r="B54" s="1" t="n">
        <v>45701.49409722222</v>
      </c>
      <c r="C54" s="1" t="n">
        <v>45927</v>
      </c>
      <c r="D54" t="inlineStr">
        <is>
          <t>GOTLANDS LÄN</t>
        </is>
      </c>
      <c r="E54" t="inlineStr">
        <is>
          <t>GOTLAND</t>
        </is>
      </c>
      <c r="G54" t="n">
        <v>4</v>
      </c>
      <c r="H54" t="n">
        <v>4</v>
      </c>
      <c r="I54" t="n">
        <v>1</v>
      </c>
      <c r="J54" t="n">
        <v>4</v>
      </c>
      <c r="K54" t="n">
        <v>0</v>
      </c>
      <c r="L54" t="n">
        <v>0</v>
      </c>
      <c r="M54" t="n">
        <v>0</v>
      </c>
      <c r="N54" t="n">
        <v>0</v>
      </c>
      <c r="O54" t="n">
        <v>4</v>
      </c>
      <c r="P54" t="n">
        <v>0</v>
      </c>
      <c r="Q54" t="n">
        <v>7</v>
      </c>
      <c r="R54" s="2" t="inlineStr">
        <is>
          <t>Majviva
Spillkråka
Svinrot
Ängsstarr
Skogsknipprot
Dactylorhiza incarnata subsp. incarnata
Nattviol</t>
        </is>
      </c>
      <c r="S54">
        <f>HYPERLINK("https://klasma.github.io/Logging_0980/artfynd/A 6960-2025 artfynd.xlsx", "A 6960-2025")</f>
        <v/>
      </c>
      <c r="T54">
        <f>HYPERLINK("https://klasma.github.io/Logging_0980/kartor/A 6960-2025 karta.png", "A 6960-2025")</f>
        <v/>
      </c>
      <c r="U54">
        <f>HYPERLINK("https://klasma.github.io/Logging_0980/knärot/A 6960-2025 karta knärot.png", "A 6960-2025")</f>
        <v/>
      </c>
      <c r="V54">
        <f>HYPERLINK("https://klasma.github.io/Logging_0980/klagomål/A 6960-2025 FSC-klagomål.docx", "A 6960-2025")</f>
        <v/>
      </c>
      <c r="W54">
        <f>HYPERLINK("https://klasma.github.io/Logging_0980/klagomålsmail/A 6960-2025 FSC-klagomål mail.docx", "A 6960-2025")</f>
        <v/>
      </c>
      <c r="X54">
        <f>HYPERLINK("https://klasma.github.io/Logging_0980/tillsyn/A 6960-2025 tillsynsbegäran.docx", "A 6960-2025")</f>
        <v/>
      </c>
      <c r="Y54">
        <f>HYPERLINK("https://klasma.github.io/Logging_0980/tillsynsmail/A 6960-2025 tillsynsbegäran mail.docx", "A 6960-2025")</f>
        <v/>
      </c>
      <c r="Z54">
        <f>HYPERLINK("https://klasma.github.io/Logging_0980/fåglar/A 6960-2025 prioriterade fågelarter.docx", "A 6960-2025")</f>
        <v/>
      </c>
    </row>
    <row r="55" ht="15" customHeight="1">
      <c r="A55" t="inlineStr">
        <is>
          <t>A 45248-2024</t>
        </is>
      </c>
      <c r="B55" s="1" t="n">
        <v>45576</v>
      </c>
      <c r="C55" s="1" t="n">
        <v>45927</v>
      </c>
      <c r="D55" t="inlineStr">
        <is>
          <t>GOTLANDS LÄN</t>
        </is>
      </c>
      <c r="E55" t="inlineStr">
        <is>
          <t>GOTLAND</t>
        </is>
      </c>
      <c r="G55" t="n">
        <v>9.4</v>
      </c>
      <c r="H55" t="n">
        <v>0</v>
      </c>
      <c r="I55" t="n">
        <v>3</v>
      </c>
      <c r="J55" t="n">
        <v>1</v>
      </c>
      <c r="K55" t="n">
        <v>1</v>
      </c>
      <c r="L55" t="n">
        <v>1</v>
      </c>
      <c r="M55" t="n">
        <v>1</v>
      </c>
      <c r="N55" t="n">
        <v>0</v>
      </c>
      <c r="O55" t="n">
        <v>4</v>
      </c>
      <c r="P55" t="n">
        <v>3</v>
      </c>
      <c r="Q55" t="n">
        <v>7</v>
      </c>
      <c r="R55" s="2" t="inlineStr">
        <is>
          <t>Lundalm
Ask
Mjölspindling
Oxtungssvamp
Myskmadra
Stinkbrosking
Underviol</t>
        </is>
      </c>
      <c r="S55">
        <f>HYPERLINK("https://klasma.github.io/Logging_0980/artfynd/A 45248-2024 artfynd.xlsx", "A 45248-2024")</f>
        <v/>
      </c>
      <c r="T55">
        <f>HYPERLINK("https://klasma.github.io/Logging_0980/kartor/A 45248-2024 karta.png", "A 45248-2024")</f>
        <v/>
      </c>
      <c r="V55">
        <f>HYPERLINK("https://klasma.github.io/Logging_0980/klagomål/A 45248-2024 FSC-klagomål.docx", "A 45248-2024")</f>
        <v/>
      </c>
      <c r="W55">
        <f>HYPERLINK("https://klasma.github.io/Logging_0980/klagomålsmail/A 45248-2024 FSC-klagomål mail.docx", "A 45248-2024")</f>
        <v/>
      </c>
      <c r="X55">
        <f>HYPERLINK("https://klasma.github.io/Logging_0980/tillsyn/A 45248-2024 tillsynsbegäran.docx", "A 45248-2024")</f>
        <v/>
      </c>
      <c r="Y55">
        <f>HYPERLINK("https://klasma.github.io/Logging_0980/tillsynsmail/A 45248-2024 tillsynsbegäran mail.docx", "A 45248-2024")</f>
        <v/>
      </c>
    </row>
    <row r="56" ht="15" customHeight="1">
      <c r="A56" t="inlineStr">
        <is>
          <t>A 27280-2023</t>
        </is>
      </c>
      <c r="B56" s="1" t="n">
        <v>45096</v>
      </c>
      <c r="C56" s="1" t="n">
        <v>45927</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18541-2024</t>
        </is>
      </c>
      <c r="B57" s="1" t="n">
        <v>45425</v>
      </c>
      <c r="C57" s="1" t="n">
        <v>45927</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4984-2025</t>
        </is>
      </c>
      <c r="B58" s="1" t="n">
        <v>45691.29891203704</v>
      </c>
      <c r="C58" s="1" t="n">
        <v>45927</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25205-2021</t>
        </is>
      </c>
      <c r="B59" s="1" t="n">
        <v>44342</v>
      </c>
      <c r="C59" s="1" t="n">
        <v>45927</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2085-2023</t>
        </is>
      </c>
      <c r="B60" s="1" t="n">
        <v>44939</v>
      </c>
      <c r="C60" s="1" t="n">
        <v>45927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45927</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65819-2020</t>
        </is>
      </c>
      <c r="B62" s="1" t="n">
        <v>44174</v>
      </c>
      <c r="C62" s="1" t="n">
        <v>45927</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45927</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16823-2024</t>
        </is>
      </c>
      <c r="B64" s="1" t="n">
        <v>45411</v>
      </c>
      <c r="C64" s="1" t="n">
        <v>45927</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446-2023</t>
        </is>
      </c>
      <c r="B65" s="1" t="n">
        <v>44929</v>
      </c>
      <c r="C65" s="1" t="n">
        <v>45927</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66091-2021</t>
        </is>
      </c>
      <c r="B66" s="1" t="n">
        <v>44517</v>
      </c>
      <c r="C66" s="1" t="n">
        <v>45927</v>
      </c>
      <c r="D66" t="inlineStr">
        <is>
          <t>GOTLANDS LÄN</t>
        </is>
      </c>
      <c r="E66" t="inlineStr">
        <is>
          <t>GOTLAND</t>
        </is>
      </c>
      <c r="G66" t="n">
        <v>11.7</v>
      </c>
      <c r="H66" t="n">
        <v>2</v>
      </c>
      <c r="I66" t="n">
        <v>0</v>
      </c>
      <c r="J66" t="n">
        <v>3</v>
      </c>
      <c r="K66" t="n">
        <v>0</v>
      </c>
      <c r="L66" t="n">
        <v>0</v>
      </c>
      <c r="M66" t="n">
        <v>0</v>
      </c>
      <c r="N66" t="n">
        <v>0</v>
      </c>
      <c r="O66" t="n">
        <v>3</v>
      </c>
      <c r="P66" t="n">
        <v>0</v>
      </c>
      <c r="Q66" t="n">
        <v>5</v>
      </c>
      <c r="R66" s="2" t="inlineStr">
        <is>
          <t>Axveronika
Solvända
Säfferot
Pärluggla
Salepsrot</t>
        </is>
      </c>
      <c r="S66">
        <f>HYPERLINK("https://klasma.github.io/Logging_0980/artfynd/A 66091-2021 artfynd.xlsx", "A 66091-2021")</f>
        <v/>
      </c>
      <c r="T66">
        <f>HYPERLINK("https://klasma.github.io/Logging_0980/kartor/A 66091-2021 karta.png", "A 66091-2021")</f>
        <v/>
      </c>
      <c r="V66">
        <f>HYPERLINK("https://klasma.github.io/Logging_0980/klagomål/A 66091-2021 FSC-klagomål.docx", "A 66091-2021")</f>
        <v/>
      </c>
      <c r="W66">
        <f>HYPERLINK("https://klasma.github.io/Logging_0980/klagomålsmail/A 66091-2021 FSC-klagomål mail.docx", "A 66091-2021")</f>
        <v/>
      </c>
      <c r="X66">
        <f>HYPERLINK("https://klasma.github.io/Logging_0980/tillsyn/A 66091-2021 tillsynsbegäran.docx", "A 66091-2021")</f>
        <v/>
      </c>
      <c r="Y66">
        <f>HYPERLINK("https://klasma.github.io/Logging_0980/tillsynsmail/A 66091-2021 tillsynsbegäran mail.docx", "A 66091-2021")</f>
        <v/>
      </c>
      <c r="Z66">
        <f>HYPERLINK("https://klasma.github.io/Logging_0980/fåglar/A 66091-2021 prioriterade fågelarter.docx", "A 66091-2021")</f>
        <v/>
      </c>
    </row>
    <row r="67" ht="15" customHeight="1">
      <c r="A67" t="inlineStr">
        <is>
          <t>A 39425-2023</t>
        </is>
      </c>
      <c r="B67" s="1" t="n">
        <v>45166</v>
      </c>
      <c r="C67" s="1" t="n">
        <v>45927</v>
      </c>
      <c r="D67" t="inlineStr">
        <is>
          <t>GOTLANDS LÄN</t>
        </is>
      </c>
      <c r="E67" t="inlineStr">
        <is>
          <t>GOTLAND</t>
        </is>
      </c>
      <c r="G67" t="n">
        <v>3.9</v>
      </c>
      <c r="H67" t="n">
        <v>1</v>
      </c>
      <c r="I67" t="n">
        <v>3</v>
      </c>
      <c r="J67" t="n">
        <v>0</v>
      </c>
      <c r="K67" t="n">
        <v>2</v>
      </c>
      <c r="L67" t="n">
        <v>0</v>
      </c>
      <c r="M67" t="n">
        <v>0</v>
      </c>
      <c r="N67" t="n">
        <v>0</v>
      </c>
      <c r="O67" t="n">
        <v>2</v>
      </c>
      <c r="P67" t="n">
        <v>2</v>
      </c>
      <c r="Q67" t="n">
        <v>5</v>
      </c>
      <c r="R67" s="2" t="inlineStr">
        <is>
          <t>Knärot
Violgubbe
Anisspindling
Rödgul trumpetsvamp
Svavelriska</t>
        </is>
      </c>
      <c r="S67">
        <f>HYPERLINK("https://klasma.github.io/Logging_0980/artfynd/A 39425-2023 artfynd.xlsx", "A 39425-2023")</f>
        <v/>
      </c>
      <c r="T67">
        <f>HYPERLINK("https://klasma.github.io/Logging_0980/kartor/A 39425-2023 karta.png", "A 39425-2023")</f>
        <v/>
      </c>
      <c r="U67">
        <f>HYPERLINK("https://klasma.github.io/Logging_0980/knärot/A 39425-2023 karta knärot.png", "A 39425-2023")</f>
        <v/>
      </c>
      <c r="V67">
        <f>HYPERLINK("https://klasma.github.io/Logging_0980/klagomål/A 39425-2023 FSC-klagomål.docx", "A 39425-2023")</f>
        <v/>
      </c>
      <c r="W67">
        <f>HYPERLINK("https://klasma.github.io/Logging_0980/klagomålsmail/A 39425-2023 FSC-klagomål mail.docx", "A 39425-2023")</f>
        <v/>
      </c>
      <c r="X67">
        <f>HYPERLINK("https://klasma.github.io/Logging_0980/tillsyn/A 39425-2023 tillsynsbegäran.docx", "A 39425-2023")</f>
        <v/>
      </c>
      <c r="Y67">
        <f>HYPERLINK("https://klasma.github.io/Logging_0980/tillsynsmail/A 39425-2023 tillsynsbegäran mail.docx", "A 39425-2023")</f>
        <v/>
      </c>
    </row>
    <row r="68" ht="15" customHeight="1">
      <c r="A68" t="inlineStr">
        <is>
          <t>A 44944-2022</t>
        </is>
      </c>
      <c r="B68" s="1" t="n">
        <v>44841</v>
      </c>
      <c r="C68" s="1" t="n">
        <v>45927</v>
      </c>
      <c r="D68" t="inlineStr">
        <is>
          <t>GOTLANDS LÄN</t>
        </is>
      </c>
      <c r="E68" t="inlineStr">
        <is>
          <t>GOTLAND</t>
        </is>
      </c>
      <c r="G68" t="n">
        <v>2.8</v>
      </c>
      <c r="H68" t="n">
        <v>0</v>
      </c>
      <c r="I68" t="n">
        <v>3</v>
      </c>
      <c r="J68" t="n">
        <v>2</v>
      </c>
      <c r="K68" t="n">
        <v>0</v>
      </c>
      <c r="L68" t="n">
        <v>0</v>
      </c>
      <c r="M68" t="n">
        <v>0</v>
      </c>
      <c r="N68" t="n">
        <v>0</v>
      </c>
      <c r="O68" t="n">
        <v>2</v>
      </c>
      <c r="P68" t="n">
        <v>0</v>
      </c>
      <c r="Q68" t="n">
        <v>5</v>
      </c>
      <c r="R68" s="2" t="inlineStr">
        <is>
          <t>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2213-2023</t>
        </is>
      </c>
      <c r="B69" s="1" t="n">
        <v>44942</v>
      </c>
      <c r="C69" s="1" t="n">
        <v>45927</v>
      </c>
      <c r="D69" t="inlineStr">
        <is>
          <t>GOTLANDS LÄN</t>
        </is>
      </c>
      <c r="E69" t="inlineStr">
        <is>
          <t>GOTLAND</t>
        </is>
      </c>
      <c r="G69" t="n">
        <v>2.7</v>
      </c>
      <c r="H69" t="n">
        <v>1</v>
      </c>
      <c r="I69" t="n">
        <v>0</v>
      </c>
      <c r="J69" t="n">
        <v>4</v>
      </c>
      <c r="K69" t="n">
        <v>1</v>
      </c>
      <c r="L69" t="n">
        <v>0</v>
      </c>
      <c r="M69" t="n">
        <v>0</v>
      </c>
      <c r="N69" t="n">
        <v>0</v>
      </c>
      <c r="O69" t="n">
        <v>5</v>
      </c>
      <c r="P69" t="n">
        <v>1</v>
      </c>
      <c r="Q69" t="n">
        <v>5</v>
      </c>
      <c r="R69" s="2" t="inlineStr">
        <is>
          <t>Garderönn
Backtimjan
Odörspindling
Smedbock
Svinrot</t>
        </is>
      </c>
      <c r="S69">
        <f>HYPERLINK("https://klasma.github.io/Logging_0980/artfynd/A 2213-2023 artfynd.xlsx", "A 2213-2023")</f>
        <v/>
      </c>
      <c r="T69">
        <f>HYPERLINK("https://klasma.github.io/Logging_0980/kartor/A 2213-2023 karta.png", "A 2213-2023")</f>
        <v/>
      </c>
      <c r="V69">
        <f>HYPERLINK("https://klasma.github.io/Logging_0980/klagomål/A 2213-2023 FSC-klagomål.docx", "A 2213-2023")</f>
        <v/>
      </c>
      <c r="W69">
        <f>HYPERLINK("https://klasma.github.io/Logging_0980/klagomålsmail/A 2213-2023 FSC-klagomål mail.docx", "A 2213-2023")</f>
        <v/>
      </c>
      <c r="X69">
        <f>HYPERLINK("https://klasma.github.io/Logging_0980/tillsyn/A 2213-2023 tillsynsbegäran.docx", "A 2213-2023")</f>
        <v/>
      </c>
      <c r="Y69">
        <f>HYPERLINK("https://klasma.github.io/Logging_0980/tillsynsmail/A 2213-2023 tillsynsbegäran mail.docx", "A 2213-2023")</f>
        <v/>
      </c>
    </row>
    <row r="70" ht="15" customHeight="1">
      <c r="A70" t="inlineStr">
        <is>
          <t>A 16375-2025</t>
        </is>
      </c>
      <c r="B70" s="1" t="n">
        <v>45751.41064814815</v>
      </c>
      <c r="C70" s="1" t="n">
        <v>45927</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42936-2024</t>
        </is>
      </c>
      <c r="B71" s="1" t="n">
        <v>45567</v>
      </c>
      <c r="C71" s="1" t="n">
        <v>45927</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54055-2022</t>
        </is>
      </c>
      <c r="B72" s="1" t="n">
        <v>44881</v>
      </c>
      <c r="C72" s="1" t="n">
        <v>45927</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32326-2024</t>
        </is>
      </c>
      <c r="B73" s="1" t="n">
        <v>45512</v>
      </c>
      <c r="C73" s="1" t="n">
        <v>45927</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35293-2025</t>
        </is>
      </c>
      <c r="B74" s="1" t="n">
        <v>45854.39438657407</v>
      </c>
      <c r="C74" s="1" t="n">
        <v>45927</v>
      </c>
      <c r="D74" t="inlineStr">
        <is>
          <t>GOTLANDS LÄN</t>
        </is>
      </c>
      <c r="E74" t="inlineStr">
        <is>
          <t>GOTLAND</t>
        </is>
      </c>
      <c r="G74" t="n">
        <v>9.199999999999999</v>
      </c>
      <c r="H74" t="n">
        <v>1</v>
      </c>
      <c r="I74" t="n">
        <v>1</v>
      </c>
      <c r="J74" t="n">
        <v>4</v>
      </c>
      <c r="K74" t="n">
        <v>0</v>
      </c>
      <c r="L74" t="n">
        <v>0</v>
      </c>
      <c r="M74" t="n">
        <v>0</v>
      </c>
      <c r="N74" t="n">
        <v>0</v>
      </c>
      <c r="O74" t="n">
        <v>4</v>
      </c>
      <c r="P74" t="n">
        <v>0</v>
      </c>
      <c r="Q74" t="n">
        <v>5</v>
      </c>
      <c r="R74" s="2" t="inlineStr">
        <is>
          <t>Krusfrö
Loppstarr
Svinrot
Ängsstarr
Skogsknipprot</t>
        </is>
      </c>
      <c r="S74">
        <f>HYPERLINK("https://klasma.github.io/Logging_0980/artfynd/A 35293-2025 artfynd.xlsx", "A 35293-2025")</f>
        <v/>
      </c>
      <c r="T74">
        <f>HYPERLINK("https://klasma.github.io/Logging_0980/kartor/A 35293-2025 karta.png", "A 35293-2025")</f>
        <v/>
      </c>
      <c r="V74">
        <f>HYPERLINK("https://klasma.github.io/Logging_0980/klagomål/A 35293-2025 FSC-klagomål.docx", "A 35293-2025")</f>
        <v/>
      </c>
      <c r="W74">
        <f>HYPERLINK("https://klasma.github.io/Logging_0980/klagomålsmail/A 35293-2025 FSC-klagomål mail.docx", "A 35293-2025")</f>
        <v/>
      </c>
      <c r="X74">
        <f>HYPERLINK("https://klasma.github.io/Logging_0980/tillsyn/A 35293-2025 tillsynsbegäran.docx", "A 35293-2025")</f>
        <v/>
      </c>
      <c r="Y74">
        <f>HYPERLINK("https://klasma.github.io/Logging_0980/tillsynsmail/A 35293-2025 tillsynsbegäran mail.docx", "A 35293-2025")</f>
        <v/>
      </c>
    </row>
    <row r="75" ht="15" customHeight="1">
      <c r="A75" t="inlineStr">
        <is>
          <t>A 29331-2021</t>
        </is>
      </c>
      <c r="B75" s="1" t="n">
        <v>44361</v>
      </c>
      <c r="C75" s="1" t="n">
        <v>45927</v>
      </c>
      <c r="D75" t="inlineStr">
        <is>
          <t>GOTLANDS LÄN</t>
        </is>
      </c>
      <c r="E75" t="inlineStr">
        <is>
          <t>GOTLAND</t>
        </is>
      </c>
      <c r="G75" t="n">
        <v>3.7</v>
      </c>
      <c r="H75" t="n">
        <v>1</v>
      </c>
      <c r="I75" t="n">
        <v>4</v>
      </c>
      <c r="J75" t="n">
        <v>0</v>
      </c>
      <c r="K75" t="n">
        <v>0</v>
      </c>
      <c r="L75" t="n">
        <v>0</v>
      </c>
      <c r="M75" t="n">
        <v>0</v>
      </c>
      <c r="N75" t="n">
        <v>0</v>
      </c>
      <c r="O75" t="n">
        <v>0</v>
      </c>
      <c r="P75" t="n">
        <v>0</v>
      </c>
      <c r="Q75" t="n">
        <v>4</v>
      </c>
      <c r="R75" s="2" t="inlineStr">
        <is>
          <t>Blåmossa
Granbarkgnagare
Kattfotslav
Tvåblad</t>
        </is>
      </c>
      <c r="S75">
        <f>HYPERLINK("https://klasma.github.io/Logging_0980/artfynd/A 29331-2021 artfynd.xlsx", "A 29331-2021")</f>
        <v/>
      </c>
      <c r="T75">
        <f>HYPERLINK("https://klasma.github.io/Logging_0980/kartor/A 29331-2021 karta.png", "A 29331-2021")</f>
        <v/>
      </c>
      <c r="V75">
        <f>HYPERLINK("https://klasma.github.io/Logging_0980/klagomål/A 29331-2021 FSC-klagomål.docx", "A 29331-2021")</f>
        <v/>
      </c>
      <c r="W75">
        <f>HYPERLINK("https://klasma.github.io/Logging_0980/klagomålsmail/A 29331-2021 FSC-klagomål mail.docx", "A 29331-2021")</f>
        <v/>
      </c>
      <c r="X75">
        <f>HYPERLINK("https://klasma.github.io/Logging_0980/tillsyn/A 29331-2021 tillsynsbegäran.docx", "A 29331-2021")</f>
        <v/>
      </c>
      <c r="Y75">
        <f>HYPERLINK("https://klasma.github.io/Logging_0980/tillsynsmail/A 29331-2021 tillsynsbegäran mail.docx", "A 29331-2021")</f>
        <v/>
      </c>
    </row>
    <row r="76" ht="15" customHeight="1">
      <c r="A76" t="inlineStr">
        <is>
          <t>A 1971-2023</t>
        </is>
      </c>
      <c r="B76" s="1" t="n">
        <v>44939</v>
      </c>
      <c r="C76" s="1" t="n">
        <v>45927</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45927</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45927</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45927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45927</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45927</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45927</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45927</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40099-2025</t>
        </is>
      </c>
      <c r="B84" s="1" t="n">
        <v>45894.48462962963</v>
      </c>
      <c r="C84" s="1" t="n">
        <v>45927</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5904-2024</t>
        </is>
      </c>
      <c r="B85" s="1" t="n">
        <v>45335</v>
      </c>
      <c r="C85" s="1" t="n">
        <v>45927</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44933-2022</t>
        </is>
      </c>
      <c r="B86" s="1" t="n">
        <v>44841</v>
      </c>
      <c r="C86" s="1" t="n">
        <v>45927</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20833-2024</t>
        </is>
      </c>
      <c r="B87" s="1" t="n">
        <v>45439</v>
      </c>
      <c r="C87" s="1" t="n">
        <v>45927</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64378-2020</t>
        </is>
      </c>
      <c r="B88" s="1" t="n">
        <v>44168</v>
      </c>
      <c r="C88" s="1" t="n">
        <v>45927</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55029-2020</t>
        </is>
      </c>
      <c r="B89" s="1" t="n">
        <v>44130</v>
      </c>
      <c r="C89" s="1" t="n">
        <v>45927</v>
      </c>
      <c r="D89" t="inlineStr">
        <is>
          <t>GOTLANDS LÄN</t>
        </is>
      </c>
      <c r="E89" t="inlineStr">
        <is>
          <t>GOTLAND</t>
        </is>
      </c>
      <c r="G89" t="n">
        <v>6.9</v>
      </c>
      <c r="H89" t="n">
        <v>1</v>
      </c>
      <c r="I89" t="n">
        <v>2</v>
      </c>
      <c r="J89" t="n">
        <v>1</v>
      </c>
      <c r="K89" t="n">
        <v>0</v>
      </c>
      <c r="L89" t="n">
        <v>0</v>
      </c>
      <c r="M89" t="n">
        <v>0</v>
      </c>
      <c r="N89" t="n">
        <v>0</v>
      </c>
      <c r="O89" t="n">
        <v>1</v>
      </c>
      <c r="P89" t="n">
        <v>0</v>
      </c>
      <c r="Q89" t="n">
        <v>3</v>
      </c>
      <c r="R89" s="2" t="inlineStr">
        <is>
          <t>Dårgräsfjäril
Anisspindling
Granbarkgnagare</t>
        </is>
      </c>
      <c r="S89">
        <f>HYPERLINK("https://klasma.github.io/Logging_0980/artfynd/A 55029-2020 artfynd.xlsx", "A 55029-2020")</f>
        <v/>
      </c>
      <c r="T89">
        <f>HYPERLINK("https://klasma.github.io/Logging_0980/kartor/A 55029-2020 karta.png", "A 55029-2020")</f>
        <v/>
      </c>
      <c r="V89">
        <f>HYPERLINK("https://klasma.github.io/Logging_0980/klagomål/A 55029-2020 FSC-klagomål.docx", "A 55029-2020")</f>
        <v/>
      </c>
      <c r="W89">
        <f>HYPERLINK("https://klasma.github.io/Logging_0980/klagomålsmail/A 55029-2020 FSC-klagomål mail.docx", "A 55029-2020")</f>
        <v/>
      </c>
      <c r="X89">
        <f>HYPERLINK("https://klasma.github.io/Logging_0980/tillsyn/A 55029-2020 tillsynsbegäran.docx", "A 55029-2020")</f>
        <v/>
      </c>
      <c r="Y89">
        <f>HYPERLINK("https://klasma.github.io/Logging_0980/tillsynsmail/A 55029-2020 tillsynsbegäran mail.docx", "A 55029-2020")</f>
        <v/>
      </c>
    </row>
    <row r="90" ht="15" customHeight="1">
      <c r="A90" t="inlineStr">
        <is>
          <t>A 65537-2020</t>
        </is>
      </c>
      <c r="B90" s="1" t="n">
        <v>44173</v>
      </c>
      <c r="C90" s="1" t="n">
        <v>45927</v>
      </c>
      <c r="D90" t="inlineStr">
        <is>
          <t>GOTLANDS LÄN</t>
        </is>
      </c>
      <c r="E90" t="inlineStr">
        <is>
          <t>GOTLAND</t>
        </is>
      </c>
      <c r="G90" t="n">
        <v>1.6</v>
      </c>
      <c r="H90" t="n">
        <v>0</v>
      </c>
      <c r="I90" t="n">
        <v>0</v>
      </c>
      <c r="J90" t="n">
        <v>3</v>
      </c>
      <c r="K90" t="n">
        <v>0</v>
      </c>
      <c r="L90" t="n">
        <v>0</v>
      </c>
      <c r="M90" t="n">
        <v>0</v>
      </c>
      <c r="N90" t="n">
        <v>0</v>
      </c>
      <c r="O90" t="n">
        <v>3</v>
      </c>
      <c r="P90" t="n">
        <v>0</v>
      </c>
      <c r="Q90" t="n">
        <v>3</v>
      </c>
      <c r="R90" s="2" t="inlineStr">
        <is>
          <t>Axveronika
Backtimjan
Solvända</t>
        </is>
      </c>
      <c r="S90">
        <f>HYPERLINK("https://klasma.github.io/Logging_0980/artfynd/A 65537-2020 artfynd.xlsx", "A 65537-2020")</f>
        <v/>
      </c>
      <c r="T90">
        <f>HYPERLINK("https://klasma.github.io/Logging_0980/kartor/A 65537-2020 karta.png", "A 65537-2020")</f>
        <v/>
      </c>
      <c r="V90">
        <f>HYPERLINK("https://klasma.github.io/Logging_0980/klagomål/A 65537-2020 FSC-klagomål.docx", "A 65537-2020")</f>
        <v/>
      </c>
      <c r="W90">
        <f>HYPERLINK("https://klasma.github.io/Logging_0980/klagomålsmail/A 65537-2020 FSC-klagomål mail.docx", "A 65537-2020")</f>
        <v/>
      </c>
      <c r="X90">
        <f>HYPERLINK("https://klasma.github.io/Logging_0980/tillsyn/A 65537-2020 tillsynsbegäran.docx", "A 65537-2020")</f>
        <v/>
      </c>
      <c r="Y90">
        <f>HYPERLINK("https://klasma.github.io/Logging_0980/tillsynsmail/A 65537-2020 tillsynsbegäran mail.docx", "A 65537-2020")</f>
        <v/>
      </c>
    </row>
    <row r="91" ht="15" customHeight="1">
      <c r="A91" t="inlineStr">
        <is>
          <t>A 44323-2021</t>
        </is>
      </c>
      <c r="B91" s="1" t="n">
        <v>44434</v>
      </c>
      <c r="C91" s="1" t="n">
        <v>45927</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45927</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12519-2021</t>
        </is>
      </c>
      <c r="B93" s="1" t="n">
        <v>44269</v>
      </c>
      <c r="C93" s="1" t="n">
        <v>45927</v>
      </c>
      <c r="D93" t="inlineStr">
        <is>
          <t>GOTLANDS LÄN</t>
        </is>
      </c>
      <c r="E93" t="inlineStr">
        <is>
          <t>GOTLAND</t>
        </is>
      </c>
      <c r="F93" t="inlineStr">
        <is>
          <t>Kyrkan</t>
        </is>
      </c>
      <c r="G93" t="n">
        <v>3.4</v>
      </c>
      <c r="H93" t="n">
        <v>0</v>
      </c>
      <c r="I93" t="n">
        <v>2</v>
      </c>
      <c r="J93" t="n">
        <v>1</v>
      </c>
      <c r="K93" t="n">
        <v>0</v>
      </c>
      <c r="L93" t="n">
        <v>0</v>
      </c>
      <c r="M93" t="n">
        <v>0</v>
      </c>
      <c r="N93" t="n">
        <v>0</v>
      </c>
      <c r="O93" t="n">
        <v>1</v>
      </c>
      <c r="P93" t="n">
        <v>0</v>
      </c>
      <c r="Q93" t="n">
        <v>3</v>
      </c>
      <c r="R93" s="2" t="inlineStr">
        <is>
          <t>Loppstarr
Rödgul trumpetsvamp
Vågbandad barkbock</t>
        </is>
      </c>
      <c r="S93">
        <f>HYPERLINK("https://klasma.github.io/Logging_0980/artfynd/A 12519-2021 artfynd.xlsx", "A 12519-2021")</f>
        <v/>
      </c>
      <c r="T93">
        <f>HYPERLINK("https://klasma.github.io/Logging_0980/kartor/A 12519-2021 karta.png", "A 12519-2021")</f>
        <v/>
      </c>
      <c r="V93">
        <f>HYPERLINK("https://klasma.github.io/Logging_0980/klagomål/A 12519-2021 FSC-klagomål.docx", "A 12519-2021")</f>
        <v/>
      </c>
      <c r="W93">
        <f>HYPERLINK("https://klasma.github.io/Logging_0980/klagomålsmail/A 12519-2021 FSC-klagomål mail.docx", "A 12519-2021")</f>
        <v/>
      </c>
      <c r="X93">
        <f>HYPERLINK("https://klasma.github.io/Logging_0980/tillsyn/A 12519-2021 tillsynsbegäran.docx", "A 12519-2021")</f>
        <v/>
      </c>
      <c r="Y93">
        <f>HYPERLINK("https://klasma.github.io/Logging_0980/tillsynsmail/A 12519-2021 tillsynsbegäran mail.docx", "A 12519-2021")</f>
        <v/>
      </c>
    </row>
    <row r="94" ht="15" customHeight="1">
      <c r="A94" t="inlineStr">
        <is>
          <t>A 32718-2021</t>
        </is>
      </c>
      <c r="B94" s="1" t="n">
        <v>44375</v>
      </c>
      <c r="C94" s="1" t="n">
        <v>45927</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73144-2021</t>
        </is>
      </c>
      <c r="B95" s="1" t="n">
        <v>44550</v>
      </c>
      <c r="C95" s="1" t="n">
        <v>45927</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17982-2023</t>
        </is>
      </c>
      <c r="B96" s="1" t="n">
        <v>45040</v>
      </c>
      <c r="C96" s="1" t="n">
        <v>45927</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2332-2021</t>
        </is>
      </c>
      <c r="B97" s="1" t="n">
        <v>44214</v>
      </c>
      <c r="C97" s="1" t="n">
        <v>45927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13499-2022</t>
        </is>
      </c>
      <c r="B98" s="1" t="n">
        <v>44647.79203703703</v>
      </c>
      <c r="C98" s="1" t="n">
        <v>45927</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5235-2025</t>
        </is>
      </c>
      <c r="B99" s="1" t="n">
        <v>45692.26797453704</v>
      </c>
      <c r="C99" s="1" t="n">
        <v>45927</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43013-2022</t>
        </is>
      </c>
      <c r="B100" s="1" t="n">
        <v>44833</v>
      </c>
      <c r="C100" s="1" t="n">
        <v>45927</v>
      </c>
      <c r="D100" t="inlineStr">
        <is>
          <t>GOTLANDS LÄN</t>
        </is>
      </c>
      <c r="E100" t="inlineStr">
        <is>
          <t>GOTLAND</t>
        </is>
      </c>
      <c r="G100" t="n">
        <v>9.300000000000001</v>
      </c>
      <c r="H100" t="n">
        <v>0</v>
      </c>
      <c r="I100" t="n">
        <v>2</v>
      </c>
      <c r="J100" t="n">
        <v>0</v>
      </c>
      <c r="K100" t="n">
        <v>1</v>
      </c>
      <c r="L100" t="n">
        <v>0</v>
      </c>
      <c r="M100" t="n">
        <v>0</v>
      </c>
      <c r="N100" t="n">
        <v>0</v>
      </c>
      <c r="O100" t="n">
        <v>1</v>
      </c>
      <c r="P100" t="n">
        <v>1</v>
      </c>
      <c r="Q100" t="n">
        <v>3</v>
      </c>
      <c r="R100" s="2" t="inlineStr">
        <is>
          <t>Violettfläckig spindling
Anisspindling
Blå slemspindling</t>
        </is>
      </c>
      <c r="S100">
        <f>HYPERLINK("https://klasma.github.io/Logging_0980/artfynd/A 43013-2022 artfynd.xlsx", "A 43013-2022")</f>
        <v/>
      </c>
      <c r="T100">
        <f>HYPERLINK("https://klasma.github.io/Logging_0980/kartor/A 43013-2022 karta.png", "A 43013-2022")</f>
        <v/>
      </c>
      <c r="V100">
        <f>HYPERLINK("https://klasma.github.io/Logging_0980/klagomål/A 43013-2022 FSC-klagomål.docx", "A 43013-2022")</f>
        <v/>
      </c>
      <c r="W100">
        <f>HYPERLINK("https://klasma.github.io/Logging_0980/klagomålsmail/A 43013-2022 FSC-klagomål mail.docx", "A 43013-2022")</f>
        <v/>
      </c>
      <c r="X100">
        <f>HYPERLINK("https://klasma.github.io/Logging_0980/tillsyn/A 43013-2022 tillsynsbegäran.docx", "A 43013-2022")</f>
        <v/>
      </c>
      <c r="Y100">
        <f>HYPERLINK("https://klasma.github.io/Logging_0980/tillsynsmail/A 43013-2022 tillsynsbegäran mail.docx", "A 43013-2022")</f>
        <v/>
      </c>
    </row>
    <row r="101" ht="15" customHeight="1">
      <c r="A101" t="inlineStr">
        <is>
          <t>A 53552-2021</t>
        </is>
      </c>
      <c r="B101" s="1" t="n">
        <v>44468</v>
      </c>
      <c r="C101" s="1" t="n">
        <v>45927</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12315-2024</t>
        </is>
      </c>
      <c r="B102" s="1" t="n">
        <v>45378.6434837963</v>
      </c>
      <c r="C102" s="1" t="n">
        <v>45927</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48126-2022</t>
        </is>
      </c>
      <c r="B103" s="1" t="n">
        <v>44857</v>
      </c>
      <c r="C103" s="1" t="n">
        <v>45927</v>
      </c>
      <c r="D103" t="inlineStr">
        <is>
          <t>GOTLANDS LÄN</t>
        </is>
      </c>
      <c r="E103" t="inlineStr">
        <is>
          <t>GOTLAND</t>
        </is>
      </c>
      <c r="G103" t="n">
        <v>9.800000000000001</v>
      </c>
      <c r="H103" t="n">
        <v>1</v>
      </c>
      <c r="I103" t="n">
        <v>0</v>
      </c>
      <c r="J103" t="n">
        <v>3</v>
      </c>
      <c r="K103" t="n">
        <v>0</v>
      </c>
      <c r="L103" t="n">
        <v>0</v>
      </c>
      <c r="M103" t="n">
        <v>0</v>
      </c>
      <c r="N103" t="n">
        <v>0</v>
      </c>
      <c r="O103" t="n">
        <v>3</v>
      </c>
      <c r="P103" t="n">
        <v>0</v>
      </c>
      <c r="Q103" t="n">
        <v>3</v>
      </c>
      <c r="R103" s="2" t="inlineStr">
        <is>
          <t>Jordtistel
Spillkråka
Svinrot</t>
        </is>
      </c>
      <c r="S103">
        <f>HYPERLINK("https://klasma.github.io/Logging_0980/artfynd/A 48126-2022 artfynd.xlsx", "A 48126-2022")</f>
        <v/>
      </c>
      <c r="T103">
        <f>HYPERLINK("https://klasma.github.io/Logging_0980/kartor/A 48126-2022 karta.png", "A 48126-2022")</f>
        <v/>
      </c>
      <c r="V103">
        <f>HYPERLINK("https://klasma.github.io/Logging_0980/klagomål/A 48126-2022 FSC-klagomål.docx", "A 48126-2022")</f>
        <v/>
      </c>
      <c r="W103">
        <f>HYPERLINK("https://klasma.github.io/Logging_0980/klagomålsmail/A 48126-2022 FSC-klagomål mail.docx", "A 48126-2022")</f>
        <v/>
      </c>
      <c r="X103">
        <f>HYPERLINK("https://klasma.github.io/Logging_0980/tillsyn/A 48126-2022 tillsynsbegäran.docx", "A 48126-2022")</f>
        <v/>
      </c>
      <c r="Y103">
        <f>HYPERLINK("https://klasma.github.io/Logging_0980/tillsynsmail/A 48126-2022 tillsynsbegäran mail.docx", "A 48126-2022")</f>
        <v/>
      </c>
      <c r="Z103">
        <f>HYPERLINK("https://klasma.github.io/Logging_0980/fåglar/A 48126-2022 prioriterade fågelarter.docx", "A 48126-2022")</f>
        <v/>
      </c>
    </row>
    <row r="104" ht="15" customHeight="1">
      <c r="A104" t="inlineStr">
        <is>
          <t>A 30490-2025</t>
        </is>
      </c>
      <c r="B104" s="1" t="n">
        <v>45830</v>
      </c>
      <c r="C104" s="1" t="n">
        <v>45927</v>
      </c>
      <c r="D104" t="inlineStr">
        <is>
          <t>GOTLANDS LÄN</t>
        </is>
      </c>
      <c r="E104" t="inlineStr">
        <is>
          <t>GOTLAND</t>
        </is>
      </c>
      <c r="G104" t="n">
        <v>7.9</v>
      </c>
      <c r="H104" t="n">
        <v>1</v>
      </c>
      <c r="I104" t="n">
        <v>0</v>
      </c>
      <c r="J104" t="n">
        <v>2</v>
      </c>
      <c r="K104" t="n">
        <v>0</v>
      </c>
      <c r="L104" t="n">
        <v>0</v>
      </c>
      <c r="M104" t="n">
        <v>0</v>
      </c>
      <c r="N104" t="n">
        <v>0</v>
      </c>
      <c r="O104" t="n">
        <v>2</v>
      </c>
      <c r="P104" t="n">
        <v>0</v>
      </c>
      <c r="Q104" t="n">
        <v>3</v>
      </c>
      <c r="R104" s="2" t="inlineStr">
        <is>
          <t>Klasefibbla
Majviva
Nattviol</t>
        </is>
      </c>
      <c r="S104">
        <f>HYPERLINK("https://klasma.github.io/Logging_0980/artfynd/A 30490-2025 artfynd.xlsx", "A 30490-2025")</f>
        <v/>
      </c>
      <c r="T104">
        <f>HYPERLINK("https://klasma.github.io/Logging_0980/kartor/A 30490-2025 karta.png", "A 30490-2025")</f>
        <v/>
      </c>
      <c r="V104">
        <f>HYPERLINK("https://klasma.github.io/Logging_0980/klagomål/A 30490-2025 FSC-klagomål.docx", "A 30490-2025")</f>
        <v/>
      </c>
      <c r="W104">
        <f>HYPERLINK("https://klasma.github.io/Logging_0980/klagomålsmail/A 30490-2025 FSC-klagomål mail.docx", "A 30490-2025")</f>
        <v/>
      </c>
      <c r="X104">
        <f>HYPERLINK("https://klasma.github.io/Logging_0980/tillsyn/A 30490-2025 tillsynsbegäran.docx", "A 30490-2025")</f>
        <v/>
      </c>
      <c r="Y104">
        <f>HYPERLINK("https://klasma.github.io/Logging_0980/tillsynsmail/A 30490-2025 tillsynsbegäran mail.docx", "A 30490-2025")</f>
        <v/>
      </c>
    </row>
    <row r="105" ht="15" customHeight="1">
      <c r="A105" t="inlineStr">
        <is>
          <t>A 17975-2024</t>
        </is>
      </c>
      <c r="B105" s="1" t="n">
        <v>45419.85546296297</v>
      </c>
      <c r="C105" s="1" t="n">
        <v>45927</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62326-2020</t>
        </is>
      </c>
      <c r="B106" s="1" t="n">
        <v>44160</v>
      </c>
      <c r="C106" s="1" t="n">
        <v>45927</v>
      </c>
      <c r="D106" t="inlineStr">
        <is>
          <t>GOTLANDS LÄN</t>
        </is>
      </c>
      <c r="E106" t="inlineStr">
        <is>
          <t>GOTLAND</t>
        </is>
      </c>
      <c r="G106" t="n">
        <v>7.4</v>
      </c>
      <c r="H106" t="n">
        <v>1</v>
      </c>
      <c r="I106" t="n">
        <v>3</v>
      </c>
      <c r="J106" t="n">
        <v>0</v>
      </c>
      <c r="K106" t="n">
        <v>0</v>
      </c>
      <c r="L106" t="n">
        <v>0</v>
      </c>
      <c r="M106" t="n">
        <v>0</v>
      </c>
      <c r="N106" t="n">
        <v>0</v>
      </c>
      <c r="O106" t="n">
        <v>0</v>
      </c>
      <c r="P106" t="n">
        <v>0</v>
      </c>
      <c r="Q106" t="n">
        <v>3</v>
      </c>
      <c r="R106" s="2" t="inlineStr">
        <is>
          <t>Anisspindling
Blåmossa
Skogsknipprot</t>
        </is>
      </c>
      <c r="S106">
        <f>HYPERLINK("https://klasma.github.io/Logging_0980/artfynd/A 62326-2020 artfynd.xlsx", "A 62326-2020")</f>
        <v/>
      </c>
      <c r="T106">
        <f>HYPERLINK("https://klasma.github.io/Logging_0980/kartor/A 62326-2020 karta.png", "A 62326-2020")</f>
        <v/>
      </c>
      <c r="V106">
        <f>HYPERLINK("https://klasma.github.io/Logging_0980/klagomål/A 62326-2020 FSC-klagomål.docx", "A 62326-2020")</f>
        <v/>
      </c>
      <c r="W106">
        <f>HYPERLINK("https://klasma.github.io/Logging_0980/klagomålsmail/A 62326-2020 FSC-klagomål mail.docx", "A 62326-2020")</f>
        <v/>
      </c>
      <c r="X106">
        <f>HYPERLINK("https://klasma.github.io/Logging_0980/tillsyn/A 62326-2020 tillsynsbegäran.docx", "A 62326-2020")</f>
        <v/>
      </c>
      <c r="Y106">
        <f>HYPERLINK("https://klasma.github.io/Logging_0980/tillsynsmail/A 62326-2020 tillsynsbegäran mail.docx", "A 62326-2020")</f>
        <v/>
      </c>
    </row>
    <row r="107" ht="15" customHeight="1">
      <c r="A107" t="inlineStr">
        <is>
          <t>A 55334-2024</t>
        </is>
      </c>
      <c r="B107" s="1" t="n">
        <v>45621</v>
      </c>
      <c r="C107" s="1" t="n">
        <v>45927</v>
      </c>
      <c r="D107" t="inlineStr">
        <is>
          <t>GOTLANDS LÄN</t>
        </is>
      </c>
      <c r="E107" t="inlineStr">
        <is>
          <t>GOTLAND</t>
        </is>
      </c>
      <c r="G107" t="n">
        <v>21.7</v>
      </c>
      <c r="H107" t="n">
        <v>0</v>
      </c>
      <c r="I107" t="n">
        <v>3</v>
      </c>
      <c r="J107" t="n">
        <v>0</v>
      </c>
      <c r="K107" t="n">
        <v>0</v>
      </c>
      <c r="L107" t="n">
        <v>0</v>
      </c>
      <c r="M107" t="n">
        <v>0</v>
      </c>
      <c r="N107" t="n">
        <v>0</v>
      </c>
      <c r="O107" t="n">
        <v>0</v>
      </c>
      <c r="P107" t="n">
        <v>0</v>
      </c>
      <c r="Q107" t="n">
        <v>3</v>
      </c>
      <c r="R107" s="2" t="inlineStr">
        <is>
          <t>Anisspindling
Besk kastanjemusseron
Svavelriska</t>
        </is>
      </c>
      <c r="S107">
        <f>HYPERLINK("https://klasma.github.io/Logging_0980/artfynd/A 55334-2024 artfynd.xlsx", "A 55334-2024")</f>
        <v/>
      </c>
      <c r="T107">
        <f>HYPERLINK("https://klasma.github.io/Logging_0980/kartor/A 55334-2024 karta.png", "A 55334-2024")</f>
        <v/>
      </c>
      <c r="V107">
        <f>HYPERLINK("https://klasma.github.io/Logging_0980/klagomål/A 55334-2024 FSC-klagomål.docx", "A 55334-2024")</f>
        <v/>
      </c>
      <c r="W107">
        <f>HYPERLINK("https://klasma.github.io/Logging_0980/klagomålsmail/A 55334-2024 FSC-klagomål mail.docx", "A 55334-2024")</f>
        <v/>
      </c>
      <c r="X107">
        <f>HYPERLINK("https://klasma.github.io/Logging_0980/tillsyn/A 55334-2024 tillsynsbegäran.docx", "A 55334-2024")</f>
        <v/>
      </c>
      <c r="Y107">
        <f>HYPERLINK("https://klasma.github.io/Logging_0980/tillsynsmail/A 55334-2024 tillsynsbegäran mail.docx", "A 55334-2024")</f>
        <v/>
      </c>
    </row>
    <row r="108" ht="15" customHeight="1">
      <c r="A108" t="inlineStr">
        <is>
          <t>A 20831-2024</t>
        </is>
      </c>
      <c r="B108" s="1" t="n">
        <v>45439</v>
      </c>
      <c r="C108" s="1" t="n">
        <v>45927</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29870-2021</t>
        </is>
      </c>
      <c r="B109" s="1" t="n">
        <v>44362</v>
      </c>
      <c r="C109" s="1" t="n">
        <v>45927</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26857-2021</t>
        </is>
      </c>
      <c r="B110" s="1" t="n">
        <v>44349.60091435185</v>
      </c>
      <c r="C110" s="1" t="n">
        <v>45927</v>
      </c>
      <c r="D110" t="inlineStr">
        <is>
          <t>GOTLANDS LÄN</t>
        </is>
      </c>
      <c r="E110" t="inlineStr">
        <is>
          <t>GOTLAND</t>
        </is>
      </c>
      <c r="G110" t="n">
        <v>1.9</v>
      </c>
      <c r="H110" t="n">
        <v>0</v>
      </c>
      <c r="I110" t="n">
        <v>0</v>
      </c>
      <c r="J110" t="n">
        <v>2</v>
      </c>
      <c r="K110" t="n">
        <v>0</v>
      </c>
      <c r="L110" t="n">
        <v>0</v>
      </c>
      <c r="M110" t="n">
        <v>0</v>
      </c>
      <c r="N110" t="n">
        <v>0</v>
      </c>
      <c r="O110" t="n">
        <v>2</v>
      </c>
      <c r="P110" t="n">
        <v>0</v>
      </c>
      <c r="Q110" t="n">
        <v>2</v>
      </c>
      <c r="R110" s="2" t="inlineStr">
        <is>
          <t>Jordtistel
Solvända</t>
        </is>
      </c>
      <c r="S110">
        <f>HYPERLINK("https://klasma.github.io/Logging_0980/artfynd/A 26857-2021 artfynd.xlsx", "A 26857-2021")</f>
        <v/>
      </c>
      <c r="T110">
        <f>HYPERLINK("https://klasma.github.io/Logging_0980/kartor/A 26857-2021 karta.png", "A 26857-2021")</f>
        <v/>
      </c>
      <c r="V110">
        <f>HYPERLINK("https://klasma.github.io/Logging_0980/klagomål/A 26857-2021 FSC-klagomål.docx", "A 26857-2021")</f>
        <v/>
      </c>
      <c r="W110">
        <f>HYPERLINK("https://klasma.github.io/Logging_0980/klagomålsmail/A 26857-2021 FSC-klagomål mail.docx", "A 26857-2021")</f>
        <v/>
      </c>
      <c r="X110">
        <f>HYPERLINK("https://klasma.github.io/Logging_0980/tillsyn/A 26857-2021 tillsynsbegäran.docx", "A 26857-2021")</f>
        <v/>
      </c>
      <c r="Y110">
        <f>HYPERLINK("https://klasma.github.io/Logging_0980/tillsynsmail/A 26857-2021 tillsynsbegäran mail.docx", "A 26857-2021")</f>
        <v/>
      </c>
    </row>
    <row r="111" ht="15" customHeight="1">
      <c r="A111" t="inlineStr">
        <is>
          <t>A 51737-2021</t>
        </is>
      </c>
      <c r="B111" s="1" t="n">
        <v>44462.57368055556</v>
      </c>
      <c r="C111" s="1" t="n">
        <v>45927</v>
      </c>
      <c r="D111" t="inlineStr">
        <is>
          <t>GOTLANDS LÄN</t>
        </is>
      </c>
      <c r="E111" t="inlineStr">
        <is>
          <t>GOTLAND</t>
        </is>
      </c>
      <c r="G111" t="n">
        <v>8.6</v>
      </c>
      <c r="H111" t="n">
        <v>0</v>
      </c>
      <c r="I111" t="n">
        <v>1</v>
      </c>
      <c r="J111" t="n">
        <v>1</v>
      </c>
      <c r="K111" t="n">
        <v>0</v>
      </c>
      <c r="L111" t="n">
        <v>0</v>
      </c>
      <c r="M111" t="n">
        <v>0</v>
      </c>
      <c r="N111" t="n">
        <v>0</v>
      </c>
      <c r="O111" t="n">
        <v>1</v>
      </c>
      <c r="P111" t="n">
        <v>0</v>
      </c>
      <c r="Q111" t="n">
        <v>2</v>
      </c>
      <c r="R111" s="2" t="inlineStr">
        <is>
          <t>Igelkott
Kambräken</t>
        </is>
      </c>
      <c r="S111">
        <f>HYPERLINK("https://klasma.github.io/Logging_0980/artfynd/A 51737-2021 artfynd.xlsx", "A 51737-2021")</f>
        <v/>
      </c>
      <c r="T111">
        <f>HYPERLINK("https://klasma.github.io/Logging_0980/kartor/A 51737-2021 karta.png", "A 51737-2021")</f>
        <v/>
      </c>
      <c r="V111">
        <f>HYPERLINK("https://klasma.github.io/Logging_0980/klagomål/A 51737-2021 FSC-klagomål.docx", "A 51737-2021")</f>
        <v/>
      </c>
      <c r="W111">
        <f>HYPERLINK("https://klasma.github.io/Logging_0980/klagomålsmail/A 51737-2021 FSC-klagomål mail.docx", "A 51737-2021")</f>
        <v/>
      </c>
      <c r="X111">
        <f>HYPERLINK("https://klasma.github.io/Logging_0980/tillsyn/A 51737-2021 tillsynsbegäran.docx", "A 51737-2021")</f>
        <v/>
      </c>
      <c r="Y111">
        <f>HYPERLINK("https://klasma.github.io/Logging_0980/tillsynsmail/A 51737-2021 tillsynsbegäran mail.docx", "A 51737-2021")</f>
        <v/>
      </c>
    </row>
    <row r="112" ht="15" customHeight="1">
      <c r="A112" t="inlineStr">
        <is>
          <t>A 16429-2021</t>
        </is>
      </c>
      <c r="B112" s="1" t="n">
        <v>44293</v>
      </c>
      <c r="C112" s="1" t="n">
        <v>45927</v>
      </c>
      <c r="D112" t="inlineStr">
        <is>
          <t>GOTLANDS LÄN</t>
        </is>
      </c>
      <c r="E112" t="inlineStr">
        <is>
          <t>GOTLAND</t>
        </is>
      </c>
      <c r="G112" t="n">
        <v>3.4</v>
      </c>
      <c r="H112" t="n">
        <v>0</v>
      </c>
      <c r="I112" t="n">
        <v>0</v>
      </c>
      <c r="J112" t="n">
        <v>1</v>
      </c>
      <c r="K112" t="n">
        <v>1</v>
      </c>
      <c r="L112" t="n">
        <v>0</v>
      </c>
      <c r="M112" t="n">
        <v>0</v>
      </c>
      <c r="N112" t="n">
        <v>0</v>
      </c>
      <c r="O112" t="n">
        <v>2</v>
      </c>
      <c r="P112" t="n">
        <v>1</v>
      </c>
      <c r="Q112" t="n">
        <v>2</v>
      </c>
      <c r="R112" s="2" t="inlineStr">
        <is>
          <t>Gotlandsmåra
Barrviolspindling</t>
        </is>
      </c>
      <c r="S112">
        <f>HYPERLINK("https://klasma.github.io/Logging_0980/artfynd/A 16429-2021 artfynd.xlsx", "A 16429-2021")</f>
        <v/>
      </c>
      <c r="T112">
        <f>HYPERLINK("https://klasma.github.io/Logging_0980/kartor/A 16429-2021 karta.png", "A 16429-2021")</f>
        <v/>
      </c>
      <c r="V112">
        <f>HYPERLINK("https://klasma.github.io/Logging_0980/klagomål/A 16429-2021 FSC-klagomål.docx", "A 16429-2021")</f>
        <v/>
      </c>
      <c r="W112">
        <f>HYPERLINK("https://klasma.github.io/Logging_0980/klagomålsmail/A 16429-2021 FSC-klagomål mail.docx", "A 16429-2021")</f>
        <v/>
      </c>
      <c r="X112">
        <f>HYPERLINK("https://klasma.github.io/Logging_0980/tillsyn/A 16429-2021 tillsynsbegäran.docx", "A 16429-2021")</f>
        <v/>
      </c>
      <c r="Y112">
        <f>HYPERLINK("https://klasma.github.io/Logging_0980/tillsynsmail/A 16429-2021 tillsynsbegäran mail.docx", "A 16429-2021")</f>
        <v/>
      </c>
    </row>
    <row r="113" ht="15" customHeight="1">
      <c r="A113" t="inlineStr">
        <is>
          <t>A 9930-2021</t>
        </is>
      </c>
      <c r="B113" s="1" t="n">
        <v>44252</v>
      </c>
      <c r="C113" s="1" t="n">
        <v>45927</v>
      </c>
      <c r="D113" t="inlineStr">
        <is>
          <t>GOTLANDS LÄN</t>
        </is>
      </c>
      <c r="E113" t="inlineStr">
        <is>
          <t>GOTLAND</t>
        </is>
      </c>
      <c r="G113" t="n">
        <v>1.9</v>
      </c>
      <c r="H113" t="n">
        <v>0</v>
      </c>
      <c r="I113" t="n">
        <v>0</v>
      </c>
      <c r="J113" t="n">
        <v>0</v>
      </c>
      <c r="K113" t="n">
        <v>0</v>
      </c>
      <c r="L113" t="n">
        <v>1</v>
      </c>
      <c r="M113" t="n">
        <v>1</v>
      </c>
      <c r="N113" t="n">
        <v>0</v>
      </c>
      <c r="O113" t="n">
        <v>2</v>
      </c>
      <c r="P113" t="n">
        <v>2</v>
      </c>
      <c r="Q113" t="n">
        <v>2</v>
      </c>
      <c r="R113" s="2" t="inlineStr">
        <is>
          <t>Lundalm
Ask</t>
        </is>
      </c>
      <c r="S113">
        <f>HYPERLINK("https://klasma.github.io/Logging_0980/artfynd/A 9930-2021 artfynd.xlsx", "A 9930-2021")</f>
        <v/>
      </c>
      <c r="T113">
        <f>HYPERLINK("https://klasma.github.io/Logging_0980/kartor/A 9930-2021 karta.png", "A 9930-2021")</f>
        <v/>
      </c>
      <c r="V113">
        <f>HYPERLINK("https://klasma.github.io/Logging_0980/klagomål/A 9930-2021 FSC-klagomål.docx", "A 9930-2021")</f>
        <v/>
      </c>
      <c r="W113">
        <f>HYPERLINK("https://klasma.github.io/Logging_0980/klagomålsmail/A 9930-2021 FSC-klagomål mail.docx", "A 9930-2021")</f>
        <v/>
      </c>
      <c r="X113">
        <f>HYPERLINK("https://klasma.github.io/Logging_0980/tillsyn/A 9930-2021 tillsynsbegäran.docx", "A 9930-2021")</f>
        <v/>
      </c>
      <c r="Y113">
        <f>HYPERLINK("https://klasma.github.io/Logging_0980/tillsynsmail/A 9930-2021 tillsynsbegäran mail.docx", "A 9930-2021")</f>
        <v/>
      </c>
    </row>
    <row r="114" ht="15" customHeight="1">
      <c r="A114" t="inlineStr">
        <is>
          <t>A 60665-2021</t>
        </is>
      </c>
      <c r="B114" s="1" t="n">
        <v>44496</v>
      </c>
      <c r="C114" s="1" t="n">
        <v>45927</v>
      </c>
      <c r="D114" t="inlineStr">
        <is>
          <t>GOTLANDS LÄN</t>
        </is>
      </c>
      <c r="E114" t="inlineStr">
        <is>
          <t>GOTLAND</t>
        </is>
      </c>
      <c r="G114" t="n">
        <v>1.6</v>
      </c>
      <c r="H114" t="n">
        <v>0</v>
      </c>
      <c r="I114" t="n">
        <v>0</v>
      </c>
      <c r="J114" t="n">
        <v>0</v>
      </c>
      <c r="K114" t="n">
        <v>1</v>
      </c>
      <c r="L114" t="n">
        <v>1</v>
      </c>
      <c r="M114" t="n">
        <v>0</v>
      </c>
      <c r="N114" t="n">
        <v>0</v>
      </c>
      <c r="O114" t="n">
        <v>2</v>
      </c>
      <c r="P114" t="n">
        <v>2</v>
      </c>
      <c r="Q114" t="n">
        <v>2</v>
      </c>
      <c r="R114" s="2" t="inlineStr">
        <is>
          <t>Ädellav
Skogskorn</t>
        </is>
      </c>
      <c r="S114">
        <f>HYPERLINK("https://klasma.github.io/Logging_0980/artfynd/A 60665-2021 artfynd.xlsx", "A 60665-2021")</f>
        <v/>
      </c>
      <c r="T114">
        <f>HYPERLINK("https://klasma.github.io/Logging_0980/kartor/A 60665-2021 karta.png", "A 60665-2021")</f>
        <v/>
      </c>
      <c r="V114">
        <f>HYPERLINK("https://klasma.github.io/Logging_0980/klagomål/A 60665-2021 FSC-klagomål.docx", "A 60665-2021")</f>
        <v/>
      </c>
      <c r="W114">
        <f>HYPERLINK("https://klasma.github.io/Logging_0980/klagomålsmail/A 60665-2021 FSC-klagomål mail.docx", "A 60665-2021")</f>
        <v/>
      </c>
      <c r="X114">
        <f>HYPERLINK("https://klasma.github.io/Logging_0980/tillsyn/A 60665-2021 tillsynsbegäran.docx", "A 60665-2021")</f>
        <v/>
      </c>
      <c r="Y114">
        <f>HYPERLINK("https://klasma.github.io/Logging_0980/tillsynsmail/A 60665-2021 tillsynsbegäran mail.docx", "A 60665-2021")</f>
        <v/>
      </c>
    </row>
    <row r="115" ht="15" customHeight="1">
      <c r="A115" t="inlineStr">
        <is>
          <t>A 55649-2024</t>
        </is>
      </c>
      <c r="B115" s="1" t="n">
        <v>45622.63053240741</v>
      </c>
      <c r="C115" s="1" t="n">
        <v>45927</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21879-2025</t>
        </is>
      </c>
      <c r="B116" s="1" t="n">
        <v>45784.40533564815</v>
      </c>
      <c r="C116" s="1" t="n">
        <v>45927</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20218-2022</t>
        </is>
      </c>
      <c r="B117" s="1" t="n">
        <v>44698</v>
      </c>
      <c r="C117" s="1" t="n">
        <v>45927</v>
      </c>
      <c r="D117" t="inlineStr">
        <is>
          <t>GOTLANDS LÄN</t>
        </is>
      </c>
      <c r="E117" t="inlineStr">
        <is>
          <t>GOTLAND</t>
        </is>
      </c>
      <c r="G117" t="n">
        <v>4.3</v>
      </c>
      <c r="H117" t="n">
        <v>0</v>
      </c>
      <c r="I117" t="n">
        <v>1</v>
      </c>
      <c r="J117" t="n">
        <v>1</v>
      </c>
      <c r="K117" t="n">
        <v>0</v>
      </c>
      <c r="L117" t="n">
        <v>0</v>
      </c>
      <c r="M117" t="n">
        <v>0</v>
      </c>
      <c r="N117" t="n">
        <v>0</v>
      </c>
      <c r="O117" t="n">
        <v>1</v>
      </c>
      <c r="P117" t="n">
        <v>0</v>
      </c>
      <c r="Q117" t="n">
        <v>2</v>
      </c>
      <c r="R117" s="2" t="inlineStr">
        <is>
          <t>Flattoppad klubbsvamp
Rödgul trumpetsvamp</t>
        </is>
      </c>
      <c r="S117">
        <f>HYPERLINK("https://klasma.github.io/Logging_0980/artfynd/A 20218-2022 artfynd.xlsx", "A 20218-2022")</f>
        <v/>
      </c>
      <c r="T117">
        <f>HYPERLINK("https://klasma.github.io/Logging_0980/kartor/A 20218-2022 karta.png", "A 20218-2022")</f>
        <v/>
      </c>
      <c r="V117">
        <f>HYPERLINK("https://klasma.github.io/Logging_0980/klagomål/A 20218-2022 FSC-klagomål.docx", "A 20218-2022")</f>
        <v/>
      </c>
      <c r="W117">
        <f>HYPERLINK("https://klasma.github.io/Logging_0980/klagomålsmail/A 20218-2022 FSC-klagomål mail.docx", "A 20218-2022")</f>
        <v/>
      </c>
      <c r="X117">
        <f>HYPERLINK("https://klasma.github.io/Logging_0980/tillsyn/A 20218-2022 tillsynsbegäran.docx", "A 20218-2022")</f>
        <v/>
      </c>
      <c r="Y117">
        <f>HYPERLINK("https://klasma.github.io/Logging_0980/tillsynsmail/A 20218-2022 tillsynsbegäran mail.docx", "A 20218-2022")</f>
        <v/>
      </c>
    </row>
    <row r="118" ht="15" customHeight="1">
      <c r="A118" t="inlineStr">
        <is>
          <t>A 26077-2024</t>
        </is>
      </c>
      <c r="B118" s="1" t="n">
        <v>45467</v>
      </c>
      <c r="C118" s="1" t="n">
        <v>45927</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58701-2020</t>
        </is>
      </c>
      <c r="B119" s="1" t="n">
        <v>44146</v>
      </c>
      <c r="C119" s="1" t="n">
        <v>45927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28261-2024</t>
        </is>
      </c>
      <c r="B120" s="1" t="n">
        <v>45477</v>
      </c>
      <c r="C120" s="1" t="n">
        <v>45927</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7070-2022</t>
        </is>
      </c>
      <c r="B121" s="1" t="n">
        <v>44603</v>
      </c>
      <c r="C121" s="1" t="n">
        <v>45927</v>
      </c>
      <c r="D121" t="inlineStr">
        <is>
          <t>GOTLANDS LÄN</t>
        </is>
      </c>
      <c r="E121" t="inlineStr">
        <is>
          <t>GOTLAND</t>
        </is>
      </c>
      <c r="G121" t="n">
        <v>2.6</v>
      </c>
      <c r="H121" t="n">
        <v>0</v>
      </c>
      <c r="I121" t="n">
        <v>2</v>
      </c>
      <c r="J121" t="n">
        <v>0</v>
      </c>
      <c r="K121" t="n">
        <v>0</v>
      </c>
      <c r="L121" t="n">
        <v>0</v>
      </c>
      <c r="M121" t="n">
        <v>0</v>
      </c>
      <c r="N121" t="n">
        <v>0</v>
      </c>
      <c r="O121" t="n">
        <v>0</v>
      </c>
      <c r="P121" t="n">
        <v>0</v>
      </c>
      <c r="Q121" t="n">
        <v>2</v>
      </c>
      <c r="R121" s="2" t="inlineStr">
        <is>
          <t>Blåmossa
Kattfotslav</t>
        </is>
      </c>
      <c r="S121">
        <f>HYPERLINK("https://klasma.github.io/Logging_0980/artfynd/A 7070-2022 artfynd.xlsx", "A 7070-2022")</f>
        <v/>
      </c>
      <c r="T121">
        <f>HYPERLINK("https://klasma.github.io/Logging_0980/kartor/A 7070-2022 karta.png", "A 7070-2022")</f>
        <v/>
      </c>
      <c r="V121">
        <f>HYPERLINK("https://klasma.github.io/Logging_0980/klagomål/A 7070-2022 FSC-klagomål.docx", "A 7070-2022")</f>
        <v/>
      </c>
      <c r="W121">
        <f>HYPERLINK("https://klasma.github.io/Logging_0980/klagomålsmail/A 7070-2022 FSC-klagomål mail.docx", "A 7070-2022")</f>
        <v/>
      </c>
      <c r="X121">
        <f>HYPERLINK("https://klasma.github.io/Logging_0980/tillsyn/A 7070-2022 tillsynsbegäran.docx", "A 7070-2022")</f>
        <v/>
      </c>
      <c r="Y121">
        <f>HYPERLINK("https://klasma.github.io/Logging_0980/tillsynsmail/A 7070-2022 tillsynsbegäran mail.docx", "A 7070-2022")</f>
        <v/>
      </c>
    </row>
    <row r="122" ht="15" customHeight="1">
      <c r="A122" t="inlineStr">
        <is>
          <t>A 64263-2020</t>
        </is>
      </c>
      <c r="B122" s="1" t="n">
        <v>44168</v>
      </c>
      <c r="C122" s="1" t="n">
        <v>45927</v>
      </c>
      <c r="D122" t="inlineStr">
        <is>
          <t>GOTLANDS LÄN</t>
        </is>
      </c>
      <c r="E122" t="inlineStr">
        <is>
          <t>GOTLAND</t>
        </is>
      </c>
      <c r="G122" t="n">
        <v>10.9</v>
      </c>
      <c r="H122" t="n">
        <v>1</v>
      </c>
      <c r="I122" t="n">
        <v>0</v>
      </c>
      <c r="J122" t="n">
        <v>2</v>
      </c>
      <c r="K122" t="n">
        <v>0</v>
      </c>
      <c r="L122" t="n">
        <v>0</v>
      </c>
      <c r="M122" t="n">
        <v>0</v>
      </c>
      <c r="N122" t="n">
        <v>0</v>
      </c>
      <c r="O122" t="n">
        <v>2</v>
      </c>
      <c r="P122" t="n">
        <v>0</v>
      </c>
      <c r="Q122" t="n">
        <v>2</v>
      </c>
      <c r="R122" s="2" t="inlineStr">
        <is>
          <t>Mindre hackspett
Ullticka</t>
        </is>
      </c>
      <c r="S122">
        <f>HYPERLINK("https://klasma.github.io/Logging_0980/artfynd/A 64263-2020 artfynd.xlsx", "A 64263-2020")</f>
        <v/>
      </c>
      <c r="T122">
        <f>HYPERLINK("https://klasma.github.io/Logging_0980/kartor/A 64263-2020 karta.png", "A 64263-2020")</f>
        <v/>
      </c>
      <c r="V122">
        <f>HYPERLINK("https://klasma.github.io/Logging_0980/klagomål/A 64263-2020 FSC-klagomål.docx", "A 64263-2020")</f>
        <v/>
      </c>
      <c r="W122">
        <f>HYPERLINK("https://klasma.github.io/Logging_0980/klagomålsmail/A 64263-2020 FSC-klagomål mail.docx", "A 64263-2020")</f>
        <v/>
      </c>
      <c r="X122">
        <f>HYPERLINK("https://klasma.github.io/Logging_0980/tillsyn/A 64263-2020 tillsynsbegäran.docx", "A 64263-2020")</f>
        <v/>
      </c>
      <c r="Y122">
        <f>HYPERLINK("https://klasma.github.io/Logging_0980/tillsynsmail/A 64263-2020 tillsynsbegäran mail.docx", "A 64263-2020")</f>
        <v/>
      </c>
      <c r="Z122">
        <f>HYPERLINK("https://klasma.github.io/Logging_0980/fåglar/A 64263-2020 prioriterade fågelarter.docx", "A 64263-2020")</f>
        <v/>
      </c>
    </row>
    <row r="123" ht="15" customHeight="1">
      <c r="A123" t="inlineStr">
        <is>
          <t>A 12914-2025</t>
        </is>
      </c>
      <c r="B123" s="1" t="n">
        <v>45733</v>
      </c>
      <c r="C123" s="1" t="n">
        <v>45927</v>
      </c>
      <c r="D123" t="inlineStr">
        <is>
          <t>GOTLANDS LÄN</t>
        </is>
      </c>
      <c r="E123" t="inlineStr">
        <is>
          <t>GOTLAND</t>
        </is>
      </c>
      <c r="G123" t="n">
        <v>24.8</v>
      </c>
      <c r="H123" t="n">
        <v>2</v>
      </c>
      <c r="I123" t="n">
        <v>1</v>
      </c>
      <c r="J123" t="n">
        <v>0</v>
      </c>
      <c r="K123" t="n">
        <v>0</v>
      </c>
      <c r="L123" t="n">
        <v>0</v>
      </c>
      <c r="M123" t="n">
        <v>0</v>
      </c>
      <c r="N123" t="n">
        <v>0</v>
      </c>
      <c r="O123" t="n">
        <v>0</v>
      </c>
      <c r="P123" t="n">
        <v>0</v>
      </c>
      <c r="Q123" t="n">
        <v>2</v>
      </c>
      <c r="R123" s="2" t="inlineStr">
        <is>
          <t>Purpurknipprot
Brudsporre</t>
        </is>
      </c>
      <c r="S123">
        <f>HYPERLINK("https://klasma.github.io/Logging_0980/artfynd/A 12914-2025 artfynd.xlsx", "A 12914-2025")</f>
        <v/>
      </c>
      <c r="T123">
        <f>HYPERLINK("https://klasma.github.io/Logging_0980/kartor/A 12914-2025 karta.png", "A 12914-2025")</f>
        <v/>
      </c>
      <c r="V123">
        <f>HYPERLINK("https://klasma.github.io/Logging_0980/klagomål/A 12914-2025 FSC-klagomål.docx", "A 12914-2025")</f>
        <v/>
      </c>
      <c r="W123">
        <f>HYPERLINK("https://klasma.github.io/Logging_0980/klagomålsmail/A 12914-2025 FSC-klagomål mail.docx", "A 12914-2025")</f>
        <v/>
      </c>
      <c r="X123">
        <f>HYPERLINK("https://klasma.github.io/Logging_0980/tillsyn/A 12914-2025 tillsynsbegäran.docx", "A 12914-2025")</f>
        <v/>
      </c>
      <c r="Y123">
        <f>HYPERLINK("https://klasma.github.io/Logging_0980/tillsynsmail/A 12914-2025 tillsynsbegäran mail.docx", "A 12914-2025")</f>
        <v/>
      </c>
    </row>
    <row r="124" ht="15" customHeight="1">
      <c r="A124" t="inlineStr">
        <is>
          <t>A 43219-2023</t>
        </is>
      </c>
      <c r="B124" s="1" t="n">
        <v>45183</v>
      </c>
      <c r="C124" s="1" t="n">
        <v>45927</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13627-2023</t>
        </is>
      </c>
      <c r="B125" s="1" t="n">
        <v>45006</v>
      </c>
      <c r="C125" s="1" t="n">
        <v>45927</v>
      </c>
      <c r="D125" t="inlineStr">
        <is>
          <t>GOTLANDS LÄN</t>
        </is>
      </c>
      <c r="E125" t="inlineStr">
        <is>
          <t>GOTLAND</t>
        </is>
      </c>
      <c r="G125" t="n">
        <v>10.7</v>
      </c>
      <c r="H125" t="n">
        <v>0</v>
      </c>
      <c r="I125" t="n">
        <v>0</v>
      </c>
      <c r="J125" t="n">
        <v>1</v>
      </c>
      <c r="K125" t="n">
        <v>1</v>
      </c>
      <c r="L125" t="n">
        <v>0</v>
      </c>
      <c r="M125" t="n">
        <v>0</v>
      </c>
      <c r="N125" t="n">
        <v>0</v>
      </c>
      <c r="O125" t="n">
        <v>2</v>
      </c>
      <c r="P125" t="n">
        <v>1</v>
      </c>
      <c r="Q125" t="n">
        <v>2</v>
      </c>
      <c r="R125" s="2" t="inlineStr">
        <is>
          <t>Sammetsbockrot
Igelkott</t>
        </is>
      </c>
      <c r="S125">
        <f>HYPERLINK("https://klasma.github.io/Logging_0980/artfynd/A 13627-2023 artfynd.xlsx", "A 13627-2023")</f>
        <v/>
      </c>
      <c r="T125">
        <f>HYPERLINK("https://klasma.github.io/Logging_0980/kartor/A 13627-2023 karta.png", "A 13627-2023")</f>
        <v/>
      </c>
      <c r="V125">
        <f>HYPERLINK("https://klasma.github.io/Logging_0980/klagomål/A 13627-2023 FSC-klagomål.docx", "A 13627-2023")</f>
        <v/>
      </c>
      <c r="W125">
        <f>HYPERLINK("https://klasma.github.io/Logging_0980/klagomålsmail/A 13627-2023 FSC-klagomål mail.docx", "A 13627-2023")</f>
        <v/>
      </c>
      <c r="X125">
        <f>HYPERLINK("https://klasma.github.io/Logging_0980/tillsyn/A 13627-2023 tillsynsbegäran.docx", "A 13627-2023")</f>
        <v/>
      </c>
      <c r="Y125">
        <f>HYPERLINK("https://klasma.github.io/Logging_0980/tillsynsmail/A 13627-2023 tillsynsbegäran mail.docx", "A 13627-2023")</f>
        <v/>
      </c>
    </row>
    <row r="126" ht="15" customHeight="1">
      <c r="A126" t="inlineStr">
        <is>
          <t>A 54357-2024</t>
        </is>
      </c>
      <c r="B126" s="1" t="n">
        <v>45617.40662037037</v>
      </c>
      <c r="C126" s="1" t="n">
        <v>45927</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28276-2024</t>
        </is>
      </c>
      <c r="B127" s="1" t="n">
        <v>45477</v>
      </c>
      <c r="C127" s="1" t="n">
        <v>45927</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28276-2024 artfynd.xlsx", "A 28276-2024")</f>
        <v/>
      </c>
      <c r="T127">
        <f>HYPERLINK("https://klasma.github.io/Logging_0980/kartor/A 28276-2024 karta.png", "A 28276-2024")</f>
        <v/>
      </c>
      <c r="V127">
        <f>HYPERLINK("https://klasma.github.io/Logging_0980/klagomål/A 28276-2024 FSC-klagomål.docx", "A 28276-2024")</f>
        <v/>
      </c>
      <c r="W127">
        <f>HYPERLINK("https://klasma.github.io/Logging_0980/klagomålsmail/A 28276-2024 FSC-klagomål mail.docx", "A 28276-2024")</f>
        <v/>
      </c>
      <c r="X127">
        <f>HYPERLINK("https://klasma.github.io/Logging_0980/tillsyn/A 28276-2024 tillsynsbegäran.docx", "A 28276-2024")</f>
        <v/>
      </c>
      <c r="Y127">
        <f>HYPERLINK("https://klasma.github.io/Logging_0980/tillsynsmail/A 28276-2024 tillsynsbegäran mail.docx", "A 28276-2024")</f>
        <v/>
      </c>
    </row>
    <row r="128" ht="15" customHeight="1">
      <c r="A128" t="inlineStr">
        <is>
          <t>A 41238-2025</t>
        </is>
      </c>
      <c r="B128" s="1" t="n">
        <v>45898</v>
      </c>
      <c r="C128" s="1" t="n">
        <v>45927</v>
      </c>
      <c r="D128" t="inlineStr">
        <is>
          <t>GOTLANDS LÄN</t>
        </is>
      </c>
      <c r="E128" t="inlineStr">
        <is>
          <t>GOTLAND</t>
        </is>
      </c>
      <c r="G128" t="n">
        <v>7.1</v>
      </c>
      <c r="H128" t="n">
        <v>1</v>
      </c>
      <c r="I128" t="n">
        <v>2</v>
      </c>
      <c r="J128" t="n">
        <v>0</v>
      </c>
      <c r="K128" t="n">
        <v>0</v>
      </c>
      <c r="L128" t="n">
        <v>0</v>
      </c>
      <c r="M128" t="n">
        <v>0</v>
      </c>
      <c r="N128" t="n">
        <v>0</v>
      </c>
      <c r="O128" t="n">
        <v>0</v>
      </c>
      <c r="P128" t="n">
        <v>0</v>
      </c>
      <c r="Q128" t="n">
        <v>2</v>
      </c>
      <c r="R128" s="2" t="inlineStr">
        <is>
          <t>Granbarkgnagare
Skogsknipprot</t>
        </is>
      </c>
      <c r="S128">
        <f>HYPERLINK("https://klasma.github.io/Logging_0980/artfynd/A 41238-2025 artfynd.xlsx", "A 41238-2025")</f>
        <v/>
      </c>
      <c r="T128">
        <f>HYPERLINK("https://klasma.github.io/Logging_0980/kartor/A 41238-2025 karta.png", "A 41238-2025")</f>
        <v/>
      </c>
      <c r="V128">
        <f>HYPERLINK("https://klasma.github.io/Logging_0980/klagomål/A 41238-2025 FSC-klagomål.docx", "A 41238-2025")</f>
        <v/>
      </c>
      <c r="W128">
        <f>HYPERLINK("https://klasma.github.io/Logging_0980/klagomålsmail/A 41238-2025 FSC-klagomål mail.docx", "A 41238-2025")</f>
        <v/>
      </c>
      <c r="X128">
        <f>HYPERLINK("https://klasma.github.io/Logging_0980/tillsyn/A 41238-2025 tillsynsbegäran.docx", "A 41238-2025")</f>
        <v/>
      </c>
      <c r="Y128">
        <f>HYPERLINK("https://klasma.github.io/Logging_0980/tillsynsmail/A 41238-2025 tillsynsbegäran mail.docx", "A 41238-2025")</f>
        <v/>
      </c>
    </row>
    <row r="129" ht="15" customHeight="1">
      <c r="A129" t="inlineStr">
        <is>
          <t>A 20838-2024</t>
        </is>
      </c>
      <c r="B129" s="1" t="n">
        <v>45439</v>
      </c>
      <c r="C129" s="1" t="n">
        <v>45927</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24-2021</t>
        </is>
      </c>
      <c r="B130" s="1" t="n">
        <v>44197</v>
      </c>
      <c r="C130" s="1" t="n">
        <v>45927</v>
      </c>
      <c r="D130" t="inlineStr">
        <is>
          <t>GOTLANDS LÄN</t>
        </is>
      </c>
      <c r="E130" t="inlineStr">
        <is>
          <t>GOTLAND</t>
        </is>
      </c>
      <c r="F130" t="inlineStr">
        <is>
          <t>Kyrkan</t>
        </is>
      </c>
      <c r="G130" t="n">
        <v>1.7</v>
      </c>
      <c r="H130" t="n">
        <v>0</v>
      </c>
      <c r="I130" t="n">
        <v>1</v>
      </c>
      <c r="J130" t="n">
        <v>0</v>
      </c>
      <c r="K130" t="n">
        <v>0</v>
      </c>
      <c r="L130" t="n">
        <v>0</v>
      </c>
      <c r="M130" t="n">
        <v>0</v>
      </c>
      <c r="N130" t="n">
        <v>0</v>
      </c>
      <c r="O130" t="n">
        <v>0</v>
      </c>
      <c r="P130" t="n">
        <v>0</v>
      </c>
      <c r="Q130" t="n">
        <v>1</v>
      </c>
      <c r="R130" s="2" t="inlineStr">
        <is>
          <t>Svavelriska</t>
        </is>
      </c>
      <c r="S130">
        <f>HYPERLINK("https://klasma.github.io/Logging_0980/artfynd/A 24-2021 artfynd.xlsx", "A 24-2021")</f>
        <v/>
      </c>
      <c r="T130">
        <f>HYPERLINK("https://klasma.github.io/Logging_0980/kartor/A 24-2021 karta.png", "A 24-2021")</f>
        <v/>
      </c>
      <c r="V130">
        <f>HYPERLINK("https://klasma.github.io/Logging_0980/klagomål/A 24-2021 FSC-klagomål.docx", "A 24-2021")</f>
        <v/>
      </c>
      <c r="W130">
        <f>HYPERLINK("https://klasma.github.io/Logging_0980/klagomålsmail/A 24-2021 FSC-klagomål mail.docx", "A 24-2021")</f>
        <v/>
      </c>
      <c r="X130">
        <f>HYPERLINK("https://klasma.github.io/Logging_0980/tillsyn/A 24-2021 tillsynsbegäran.docx", "A 24-2021")</f>
        <v/>
      </c>
      <c r="Y130">
        <f>HYPERLINK("https://klasma.github.io/Logging_0980/tillsynsmail/A 24-2021 tillsynsbegäran mail.docx", "A 24-2021")</f>
        <v/>
      </c>
    </row>
    <row r="131" ht="15" customHeight="1">
      <c r="A131" t="inlineStr">
        <is>
          <t>A 46362-2021</t>
        </is>
      </c>
      <c r="B131" s="1" t="n">
        <v>44442</v>
      </c>
      <c r="C131" s="1" t="n">
        <v>45927</v>
      </c>
      <c r="D131" t="inlineStr">
        <is>
          <t>GOTLANDS LÄN</t>
        </is>
      </c>
      <c r="E131" t="inlineStr">
        <is>
          <t>GOTLAND</t>
        </is>
      </c>
      <c r="G131" t="n">
        <v>2.1</v>
      </c>
      <c r="H131" t="n">
        <v>0</v>
      </c>
      <c r="I131" t="n">
        <v>0</v>
      </c>
      <c r="J131" t="n">
        <v>1</v>
      </c>
      <c r="K131" t="n">
        <v>0</v>
      </c>
      <c r="L131" t="n">
        <v>0</v>
      </c>
      <c r="M131" t="n">
        <v>0</v>
      </c>
      <c r="N131" t="n">
        <v>0</v>
      </c>
      <c r="O131" t="n">
        <v>1</v>
      </c>
      <c r="P131" t="n">
        <v>0</v>
      </c>
      <c r="Q131" t="n">
        <v>1</v>
      </c>
      <c r="R131" s="2" t="inlineStr">
        <is>
          <t>Igelkott</t>
        </is>
      </c>
      <c r="S131">
        <f>HYPERLINK("https://klasma.github.io/Logging_0980/artfynd/A 46362-2021 artfynd.xlsx", "A 46362-2021")</f>
        <v/>
      </c>
      <c r="T131">
        <f>HYPERLINK("https://klasma.github.io/Logging_0980/kartor/A 46362-2021 karta.png", "A 46362-2021")</f>
        <v/>
      </c>
      <c r="V131">
        <f>HYPERLINK("https://klasma.github.io/Logging_0980/klagomål/A 46362-2021 FSC-klagomål.docx", "A 46362-2021")</f>
        <v/>
      </c>
      <c r="W131">
        <f>HYPERLINK("https://klasma.github.io/Logging_0980/klagomålsmail/A 46362-2021 FSC-klagomål mail.docx", "A 46362-2021")</f>
        <v/>
      </c>
      <c r="X131">
        <f>HYPERLINK("https://klasma.github.io/Logging_0980/tillsyn/A 46362-2021 tillsynsbegäran.docx", "A 46362-2021")</f>
        <v/>
      </c>
      <c r="Y131">
        <f>HYPERLINK("https://klasma.github.io/Logging_0980/tillsynsmail/A 46362-2021 tillsynsbegäran mail.docx", "A 46362-2021")</f>
        <v/>
      </c>
    </row>
    <row r="132" ht="15" customHeight="1">
      <c r="A132" t="inlineStr">
        <is>
          <t>A 35467-2021</t>
        </is>
      </c>
      <c r="B132" s="1" t="n">
        <v>44385</v>
      </c>
      <c r="C132" s="1" t="n">
        <v>45927</v>
      </c>
      <c r="D132" t="inlineStr">
        <is>
          <t>GOTLANDS LÄN</t>
        </is>
      </c>
      <c r="E132" t="inlineStr">
        <is>
          <t>GOTLAND</t>
        </is>
      </c>
      <c r="G132" t="n">
        <v>12.7</v>
      </c>
      <c r="H132" t="n">
        <v>0</v>
      </c>
      <c r="I132" t="n">
        <v>0</v>
      </c>
      <c r="J132" t="n">
        <v>1</v>
      </c>
      <c r="K132" t="n">
        <v>0</v>
      </c>
      <c r="L132" t="n">
        <v>0</v>
      </c>
      <c r="M132" t="n">
        <v>0</v>
      </c>
      <c r="N132" t="n">
        <v>0</v>
      </c>
      <c r="O132" t="n">
        <v>1</v>
      </c>
      <c r="P132" t="n">
        <v>0</v>
      </c>
      <c r="Q132" t="n">
        <v>1</v>
      </c>
      <c r="R132" s="2" t="inlineStr">
        <is>
          <t>Loppstarr</t>
        </is>
      </c>
      <c r="S132">
        <f>HYPERLINK("https://klasma.github.io/Logging_0980/artfynd/A 35467-2021 artfynd.xlsx", "A 35467-2021")</f>
        <v/>
      </c>
      <c r="T132">
        <f>HYPERLINK("https://klasma.github.io/Logging_0980/kartor/A 35467-2021 karta.png", "A 35467-2021")</f>
        <v/>
      </c>
      <c r="V132">
        <f>HYPERLINK("https://klasma.github.io/Logging_0980/klagomål/A 35467-2021 FSC-klagomål.docx", "A 35467-2021")</f>
        <v/>
      </c>
      <c r="W132">
        <f>HYPERLINK("https://klasma.github.io/Logging_0980/klagomålsmail/A 35467-2021 FSC-klagomål mail.docx", "A 35467-2021")</f>
        <v/>
      </c>
      <c r="X132">
        <f>HYPERLINK("https://klasma.github.io/Logging_0980/tillsyn/A 35467-2021 tillsynsbegäran.docx", "A 35467-2021")</f>
        <v/>
      </c>
      <c r="Y132">
        <f>HYPERLINK("https://klasma.github.io/Logging_0980/tillsynsmail/A 35467-2021 tillsynsbegäran mail.docx", "A 35467-2021")</f>
        <v/>
      </c>
    </row>
    <row r="133" ht="15" customHeight="1">
      <c r="A133" t="inlineStr">
        <is>
          <t>A 7485-2021</t>
        </is>
      </c>
      <c r="B133" s="1" t="n">
        <v>44238</v>
      </c>
      <c r="C133" s="1" t="n">
        <v>45927</v>
      </c>
      <c r="D133" t="inlineStr">
        <is>
          <t>GOTLANDS LÄN</t>
        </is>
      </c>
      <c r="E133" t="inlineStr">
        <is>
          <t>GOTLAND</t>
        </is>
      </c>
      <c r="G133" t="n">
        <v>2.9</v>
      </c>
      <c r="H133" t="n">
        <v>1</v>
      </c>
      <c r="I133" t="n">
        <v>0</v>
      </c>
      <c r="J133" t="n">
        <v>1</v>
      </c>
      <c r="K133" t="n">
        <v>0</v>
      </c>
      <c r="L133" t="n">
        <v>0</v>
      </c>
      <c r="M133" t="n">
        <v>0</v>
      </c>
      <c r="N133" t="n">
        <v>0</v>
      </c>
      <c r="O133" t="n">
        <v>1</v>
      </c>
      <c r="P133" t="n">
        <v>0</v>
      </c>
      <c r="Q133" t="n">
        <v>1</v>
      </c>
      <c r="R133" s="2" t="inlineStr">
        <is>
          <t>Spillkråka</t>
        </is>
      </c>
      <c r="S133">
        <f>HYPERLINK("https://klasma.github.io/Logging_0980/artfynd/A 7485-2021 artfynd.xlsx", "A 7485-2021")</f>
        <v/>
      </c>
      <c r="T133">
        <f>HYPERLINK("https://klasma.github.io/Logging_0980/kartor/A 7485-2021 karta.png", "A 7485-2021")</f>
        <v/>
      </c>
      <c r="V133">
        <f>HYPERLINK("https://klasma.github.io/Logging_0980/klagomål/A 7485-2021 FSC-klagomål.docx", "A 7485-2021")</f>
        <v/>
      </c>
      <c r="W133">
        <f>HYPERLINK("https://klasma.github.io/Logging_0980/klagomålsmail/A 7485-2021 FSC-klagomål mail.docx", "A 7485-2021")</f>
        <v/>
      </c>
      <c r="X133">
        <f>HYPERLINK("https://klasma.github.io/Logging_0980/tillsyn/A 7485-2021 tillsynsbegäran.docx", "A 7485-2021")</f>
        <v/>
      </c>
      <c r="Y133">
        <f>HYPERLINK("https://klasma.github.io/Logging_0980/tillsynsmail/A 7485-2021 tillsynsbegäran mail.docx", "A 7485-2021")</f>
        <v/>
      </c>
      <c r="Z133">
        <f>HYPERLINK("https://klasma.github.io/Logging_0980/fåglar/A 7485-2021 prioriterade fågelarter.docx", "A 7485-2021")</f>
        <v/>
      </c>
    </row>
    <row r="134" ht="15" customHeight="1">
      <c r="A134" t="inlineStr">
        <is>
          <t>A 13939-2021</t>
        </is>
      </c>
      <c r="B134" s="1" t="n">
        <v>44277</v>
      </c>
      <c r="C134" s="1" t="n">
        <v>45927</v>
      </c>
      <c r="D134" t="inlineStr">
        <is>
          <t>GOTLANDS LÄN</t>
        </is>
      </c>
      <c r="E134" t="inlineStr">
        <is>
          <t>GOTLAND</t>
        </is>
      </c>
      <c r="G134" t="n">
        <v>1</v>
      </c>
      <c r="H134" t="n">
        <v>0</v>
      </c>
      <c r="I134" t="n">
        <v>0</v>
      </c>
      <c r="J134" t="n">
        <v>1</v>
      </c>
      <c r="K134" t="n">
        <v>0</v>
      </c>
      <c r="L134" t="n">
        <v>0</v>
      </c>
      <c r="M134" t="n">
        <v>0</v>
      </c>
      <c r="N134" t="n">
        <v>0</v>
      </c>
      <c r="O134" t="n">
        <v>1</v>
      </c>
      <c r="P134" t="n">
        <v>0</v>
      </c>
      <c r="Q134" t="n">
        <v>1</v>
      </c>
      <c r="R134" s="2" t="inlineStr">
        <is>
          <t>Axveronika</t>
        </is>
      </c>
      <c r="S134">
        <f>HYPERLINK("https://klasma.github.io/Logging_0980/artfynd/A 13939-2021 artfynd.xlsx", "A 13939-2021")</f>
        <v/>
      </c>
      <c r="T134">
        <f>HYPERLINK("https://klasma.github.io/Logging_0980/kartor/A 13939-2021 karta.png", "A 13939-2021")</f>
        <v/>
      </c>
      <c r="V134">
        <f>HYPERLINK("https://klasma.github.io/Logging_0980/klagomål/A 13939-2021 FSC-klagomål.docx", "A 13939-2021")</f>
        <v/>
      </c>
      <c r="W134">
        <f>HYPERLINK("https://klasma.github.io/Logging_0980/klagomålsmail/A 13939-2021 FSC-klagomål mail.docx", "A 13939-2021")</f>
        <v/>
      </c>
      <c r="X134">
        <f>HYPERLINK("https://klasma.github.io/Logging_0980/tillsyn/A 13939-2021 tillsynsbegäran.docx", "A 13939-2021")</f>
        <v/>
      </c>
      <c r="Y134">
        <f>HYPERLINK("https://klasma.github.io/Logging_0980/tillsynsmail/A 13939-2021 tillsynsbegäran mail.docx", "A 13939-2021")</f>
        <v/>
      </c>
    </row>
    <row r="135" ht="15" customHeight="1">
      <c r="A135" t="inlineStr">
        <is>
          <t>A 63576-2021</t>
        </is>
      </c>
      <c r="B135" s="1" t="n">
        <v>44508</v>
      </c>
      <c r="C135" s="1" t="n">
        <v>45927</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24245-2022</t>
        </is>
      </c>
      <c r="B136" s="1" t="n">
        <v>44725</v>
      </c>
      <c r="C136" s="1" t="n">
        <v>45927</v>
      </c>
      <c r="D136" t="inlineStr">
        <is>
          <t>GOTLANDS LÄN</t>
        </is>
      </c>
      <c r="E136" t="inlineStr">
        <is>
          <t>GOTLAND</t>
        </is>
      </c>
      <c r="G136" t="n">
        <v>4.9</v>
      </c>
      <c r="H136" t="n">
        <v>0</v>
      </c>
      <c r="I136" t="n">
        <v>0</v>
      </c>
      <c r="J136" t="n">
        <v>0</v>
      </c>
      <c r="K136" t="n">
        <v>0</v>
      </c>
      <c r="L136" t="n">
        <v>1</v>
      </c>
      <c r="M136" t="n">
        <v>0</v>
      </c>
      <c r="N136" t="n">
        <v>0</v>
      </c>
      <c r="O136" t="n">
        <v>1</v>
      </c>
      <c r="P136" t="n">
        <v>1</v>
      </c>
      <c r="Q136" t="n">
        <v>1</v>
      </c>
      <c r="R136" s="2" t="inlineStr">
        <is>
          <t>Slät taggsvamp</t>
        </is>
      </c>
      <c r="S136">
        <f>HYPERLINK("https://klasma.github.io/Logging_0980/artfynd/A 24245-2022 artfynd.xlsx", "A 24245-2022")</f>
        <v/>
      </c>
      <c r="T136">
        <f>HYPERLINK("https://klasma.github.io/Logging_0980/kartor/A 24245-2022 karta.png", "A 24245-2022")</f>
        <v/>
      </c>
      <c r="V136">
        <f>HYPERLINK("https://klasma.github.io/Logging_0980/klagomål/A 24245-2022 FSC-klagomål.docx", "A 24245-2022")</f>
        <v/>
      </c>
      <c r="W136">
        <f>HYPERLINK("https://klasma.github.io/Logging_0980/klagomålsmail/A 24245-2022 FSC-klagomål mail.docx", "A 24245-2022")</f>
        <v/>
      </c>
      <c r="X136">
        <f>HYPERLINK("https://klasma.github.io/Logging_0980/tillsyn/A 24245-2022 tillsynsbegäran.docx", "A 24245-2022")</f>
        <v/>
      </c>
      <c r="Y136">
        <f>HYPERLINK("https://klasma.github.io/Logging_0980/tillsynsmail/A 24245-2022 tillsynsbegäran mail.docx", "A 24245-2022")</f>
        <v/>
      </c>
    </row>
    <row r="137" ht="15" customHeight="1">
      <c r="A137" t="inlineStr">
        <is>
          <t>A 21466-2025</t>
        </is>
      </c>
      <c r="B137" s="1" t="n">
        <v>45782</v>
      </c>
      <c r="C137" s="1" t="n">
        <v>45927</v>
      </c>
      <c r="D137" t="inlineStr">
        <is>
          <t>GOTLANDS LÄN</t>
        </is>
      </c>
      <c r="E137" t="inlineStr">
        <is>
          <t>GOTLAND</t>
        </is>
      </c>
      <c r="F137" t="inlineStr">
        <is>
          <t>Övriga statliga verk och myndigheter</t>
        </is>
      </c>
      <c r="G137" t="n">
        <v>1.7</v>
      </c>
      <c r="H137" t="n">
        <v>1</v>
      </c>
      <c r="I137" t="n">
        <v>0</v>
      </c>
      <c r="J137" t="n">
        <v>0</v>
      </c>
      <c r="K137" t="n">
        <v>0</v>
      </c>
      <c r="L137" t="n">
        <v>0</v>
      </c>
      <c r="M137" t="n">
        <v>0</v>
      </c>
      <c r="N137" t="n">
        <v>0</v>
      </c>
      <c r="O137" t="n">
        <v>0</v>
      </c>
      <c r="P137" t="n">
        <v>0</v>
      </c>
      <c r="Q137" t="n">
        <v>1</v>
      </c>
      <c r="R137" s="2" t="inlineStr">
        <is>
          <t>Blåsippa</t>
        </is>
      </c>
      <c r="S137">
        <f>HYPERLINK("https://klasma.github.io/Logging_0980/artfynd/A 21466-2025 artfynd.xlsx", "A 21466-2025")</f>
        <v/>
      </c>
      <c r="T137">
        <f>HYPERLINK("https://klasma.github.io/Logging_0980/kartor/A 21466-2025 karta.png", "A 21466-2025")</f>
        <v/>
      </c>
      <c r="V137">
        <f>HYPERLINK("https://klasma.github.io/Logging_0980/klagomål/A 21466-2025 FSC-klagomål.docx", "A 21466-2025")</f>
        <v/>
      </c>
      <c r="W137">
        <f>HYPERLINK("https://klasma.github.io/Logging_0980/klagomålsmail/A 21466-2025 FSC-klagomål mail.docx", "A 21466-2025")</f>
        <v/>
      </c>
      <c r="X137">
        <f>HYPERLINK("https://klasma.github.io/Logging_0980/tillsyn/A 21466-2025 tillsynsbegäran.docx", "A 21466-2025")</f>
        <v/>
      </c>
      <c r="Y137">
        <f>HYPERLINK("https://klasma.github.io/Logging_0980/tillsynsmail/A 21466-2025 tillsynsbegäran mail.docx", "A 21466-2025")</f>
        <v/>
      </c>
    </row>
    <row r="138" ht="15" customHeight="1">
      <c r="A138" t="inlineStr">
        <is>
          <t>A 49304-2024</t>
        </is>
      </c>
      <c r="B138" s="1" t="n">
        <v>45595.54996527778</v>
      </c>
      <c r="C138" s="1" t="n">
        <v>45927</v>
      </c>
      <c r="D138" t="inlineStr">
        <is>
          <t>GOTLANDS LÄN</t>
        </is>
      </c>
      <c r="E138" t="inlineStr">
        <is>
          <t>GOTLAND</t>
        </is>
      </c>
      <c r="G138" t="n">
        <v>10.8</v>
      </c>
      <c r="H138" t="n">
        <v>0</v>
      </c>
      <c r="I138" t="n">
        <v>0</v>
      </c>
      <c r="J138" t="n">
        <v>1</v>
      </c>
      <c r="K138" t="n">
        <v>0</v>
      </c>
      <c r="L138" t="n">
        <v>0</v>
      </c>
      <c r="M138" t="n">
        <v>0</v>
      </c>
      <c r="N138" t="n">
        <v>0</v>
      </c>
      <c r="O138" t="n">
        <v>1</v>
      </c>
      <c r="P138" t="n">
        <v>0</v>
      </c>
      <c r="Q138" t="n">
        <v>1</v>
      </c>
      <c r="R138" s="2" t="inlineStr">
        <is>
          <t>Åkerranunkel</t>
        </is>
      </c>
      <c r="S138">
        <f>HYPERLINK("https://klasma.github.io/Logging_0980/artfynd/A 49304-2024 artfynd.xlsx", "A 49304-2024")</f>
        <v/>
      </c>
      <c r="T138">
        <f>HYPERLINK("https://klasma.github.io/Logging_0980/kartor/A 49304-2024 karta.png", "A 49304-2024")</f>
        <v/>
      </c>
      <c r="V138">
        <f>HYPERLINK("https://klasma.github.io/Logging_0980/klagomål/A 49304-2024 FSC-klagomål.docx", "A 49304-2024")</f>
        <v/>
      </c>
      <c r="W138">
        <f>HYPERLINK("https://klasma.github.io/Logging_0980/klagomålsmail/A 49304-2024 FSC-klagomål mail.docx", "A 49304-2024")</f>
        <v/>
      </c>
      <c r="X138">
        <f>HYPERLINK("https://klasma.github.io/Logging_0980/tillsyn/A 49304-2024 tillsynsbegäran.docx", "A 49304-2024")</f>
        <v/>
      </c>
      <c r="Y138">
        <f>HYPERLINK("https://klasma.github.io/Logging_0980/tillsynsmail/A 49304-2024 tillsynsbegäran mail.docx", "A 49304-2024")</f>
        <v/>
      </c>
    </row>
    <row r="139" ht="15" customHeight="1">
      <c r="A139" t="inlineStr">
        <is>
          <t>A 22782-2023</t>
        </is>
      </c>
      <c r="B139" s="1" t="n">
        <v>45072</v>
      </c>
      <c r="C139" s="1" t="n">
        <v>45927</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44088-2022</t>
        </is>
      </c>
      <c r="B140" s="1" t="n">
        <v>44839</v>
      </c>
      <c r="C140" s="1" t="n">
        <v>45927</v>
      </c>
      <c r="D140" t="inlineStr">
        <is>
          <t>GOTLANDS LÄN</t>
        </is>
      </c>
      <c r="E140" t="inlineStr">
        <is>
          <t>GOTLAND</t>
        </is>
      </c>
      <c r="G140" t="n">
        <v>1.5</v>
      </c>
      <c r="H140" t="n">
        <v>0</v>
      </c>
      <c r="I140" t="n">
        <v>1</v>
      </c>
      <c r="J140" t="n">
        <v>0</v>
      </c>
      <c r="K140" t="n">
        <v>0</v>
      </c>
      <c r="L140" t="n">
        <v>0</v>
      </c>
      <c r="M140" t="n">
        <v>0</v>
      </c>
      <c r="N140" t="n">
        <v>0</v>
      </c>
      <c r="O140" t="n">
        <v>0</v>
      </c>
      <c r="P140" t="n">
        <v>0</v>
      </c>
      <c r="Q140" t="n">
        <v>1</v>
      </c>
      <c r="R140" s="2" t="inlineStr">
        <is>
          <t>Strävlosta</t>
        </is>
      </c>
      <c r="S140">
        <f>HYPERLINK("https://klasma.github.io/Logging_0980/artfynd/A 44088-2022 artfynd.xlsx", "A 44088-2022")</f>
        <v/>
      </c>
      <c r="T140">
        <f>HYPERLINK("https://klasma.github.io/Logging_0980/kartor/A 44088-2022 karta.png", "A 44088-2022")</f>
        <v/>
      </c>
      <c r="V140">
        <f>HYPERLINK("https://klasma.github.io/Logging_0980/klagomål/A 44088-2022 FSC-klagomål.docx", "A 44088-2022")</f>
        <v/>
      </c>
      <c r="W140">
        <f>HYPERLINK("https://klasma.github.io/Logging_0980/klagomålsmail/A 44088-2022 FSC-klagomål mail.docx", "A 44088-2022")</f>
        <v/>
      </c>
      <c r="X140">
        <f>HYPERLINK("https://klasma.github.io/Logging_0980/tillsyn/A 44088-2022 tillsynsbegäran.docx", "A 44088-2022")</f>
        <v/>
      </c>
      <c r="Y140">
        <f>HYPERLINK("https://klasma.github.io/Logging_0980/tillsynsmail/A 44088-2022 tillsynsbegäran mail.docx", "A 44088-2022")</f>
        <v/>
      </c>
    </row>
    <row r="141" ht="15" customHeight="1">
      <c r="A141" t="inlineStr">
        <is>
          <t>A 10440-2024</t>
        </is>
      </c>
      <c r="B141" s="1" t="n">
        <v>45366.32818287037</v>
      </c>
      <c r="C141" s="1" t="n">
        <v>45927</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8725-2025</t>
        </is>
      </c>
      <c r="B142" s="1" t="n">
        <v>45712</v>
      </c>
      <c r="C142" s="1" t="n">
        <v>45927</v>
      </c>
      <c r="D142" t="inlineStr">
        <is>
          <t>GOTLANDS LÄN</t>
        </is>
      </c>
      <c r="E142" t="inlineStr">
        <is>
          <t>GOTLAND</t>
        </is>
      </c>
      <c r="G142" t="n">
        <v>4.4</v>
      </c>
      <c r="H142" t="n">
        <v>1</v>
      </c>
      <c r="I142" t="n">
        <v>0</v>
      </c>
      <c r="J142" t="n">
        <v>1</v>
      </c>
      <c r="K142" t="n">
        <v>0</v>
      </c>
      <c r="L142" t="n">
        <v>0</v>
      </c>
      <c r="M142" t="n">
        <v>0</v>
      </c>
      <c r="N142" t="n">
        <v>0</v>
      </c>
      <c r="O142" t="n">
        <v>1</v>
      </c>
      <c r="P142" t="n">
        <v>0</v>
      </c>
      <c r="Q142" t="n">
        <v>1</v>
      </c>
      <c r="R142" s="2" t="inlineStr">
        <is>
          <t>Spillkråka</t>
        </is>
      </c>
      <c r="S142">
        <f>HYPERLINK("https://klasma.github.io/Logging_0980/artfynd/A 8725-2025 artfynd.xlsx", "A 8725-2025")</f>
        <v/>
      </c>
      <c r="T142">
        <f>HYPERLINK("https://klasma.github.io/Logging_0980/kartor/A 8725-2025 karta.png", "A 8725-2025")</f>
        <v/>
      </c>
      <c r="V142">
        <f>HYPERLINK("https://klasma.github.io/Logging_0980/klagomål/A 8725-2025 FSC-klagomål.docx", "A 8725-2025")</f>
        <v/>
      </c>
      <c r="W142">
        <f>HYPERLINK("https://klasma.github.io/Logging_0980/klagomålsmail/A 8725-2025 FSC-klagomål mail.docx", "A 8725-2025")</f>
        <v/>
      </c>
      <c r="X142">
        <f>HYPERLINK("https://klasma.github.io/Logging_0980/tillsyn/A 8725-2025 tillsynsbegäran.docx", "A 8725-2025")</f>
        <v/>
      </c>
      <c r="Y142">
        <f>HYPERLINK("https://klasma.github.io/Logging_0980/tillsynsmail/A 8725-2025 tillsynsbegäran mail.docx", "A 8725-2025")</f>
        <v/>
      </c>
      <c r="Z142">
        <f>HYPERLINK("https://klasma.github.io/Logging_0980/fåglar/A 8725-2025 prioriterade fågelarter.docx", "A 8725-2025")</f>
        <v/>
      </c>
    </row>
    <row r="143" ht="15" customHeight="1">
      <c r="A143" t="inlineStr">
        <is>
          <t>A 44308-2021</t>
        </is>
      </c>
      <c r="B143" s="1" t="n">
        <v>44434</v>
      </c>
      <c r="C143" s="1" t="n">
        <v>45927</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1477-2024</t>
        </is>
      </c>
      <c r="B144" s="1" t="n">
        <v>45305.37987268518</v>
      </c>
      <c r="C144" s="1" t="n">
        <v>45927</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46527-2023</t>
        </is>
      </c>
      <c r="B145" s="1" t="n">
        <v>45197</v>
      </c>
      <c r="C145" s="1" t="n">
        <v>45927</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26461-2025</t>
        </is>
      </c>
      <c r="B146" s="1" t="n">
        <v>45807.43337962963</v>
      </c>
      <c r="C146" s="1" t="n">
        <v>45927</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17723-2021</t>
        </is>
      </c>
      <c r="B147" s="1" t="n">
        <v>44300</v>
      </c>
      <c r="C147" s="1" t="n">
        <v>45927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7637-2025</t>
        </is>
      </c>
      <c r="B148" s="1" t="n">
        <v>45705.77181712963</v>
      </c>
      <c r="C148" s="1" t="n">
        <v>45927</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6303-2024</t>
        </is>
      </c>
      <c r="B149" s="1" t="n">
        <v>45338.35376157407</v>
      </c>
      <c r="C149" s="1" t="n">
        <v>45927</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45927</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27168-2022</t>
        </is>
      </c>
      <c r="B151" s="1" t="n">
        <v>44741</v>
      </c>
      <c r="C151" s="1" t="n">
        <v>45927</v>
      </c>
      <c r="D151" t="inlineStr">
        <is>
          <t>GOTLANDS LÄN</t>
        </is>
      </c>
      <c r="E151" t="inlineStr">
        <is>
          <t>GOTLAND</t>
        </is>
      </c>
      <c r="G151" t="n">
        <v>2.2</v>
      </c>
      <c r="H151" t="n">
        <v>1</v>
      </c>
      <c r="I151" t="n">
        <v>1</v>
      </c>
      <c r="J151" t="n">
        <v>0</v>
      </c>
      <c r="K151" t="n">
        <v>0</v>
      </c>
      <c r="L151" t="n">
        <v>0</v>
      </c>
      <c r="M151" t="n">
        <v>0</v>
      </c>
      <c r="N151" t="n">
        <v>0</v>
      </c>
      <c r="O151" t="n">
        <v>0</v>
      </c>
      <c r="P151" t="n">
        <v>0</v>
      </c>
      <c r="Q151" t="n">
        <v>1</v>
      </c>
      <c r="R151" s="2" t="inlineStr">
        <is>
          <t>Purpurknipprot</t>
        </is>
      </c>
      <c r="S151">
        <f>HYPERLINK("https://klasma.github.io/Logging_0980/artfynd/A 27168-2022 artfynd.xlsx", "A 27168-2022")</f>
        <v/>
      </c>
      <c r="T151">
        <f>HYPERLINK("https://klasma.github.io/Logging_0980/kartor/A 27168-2022 karta.png", "A 27168-2022")</f>
        <v/>
      </c>
      <c r="V151">
        <f>HYPERLINK("https://klasma.github.io/Logging_0980/klagomål/A 27168-2022 FSC-klagomål.docx", "A 27168-2022")</f>
        <v/>
      </c>
      <c r="W151">
        <f>HYPERLINK("https://klasma.github.io/Logging_0980/klagomålsmail/A 27168-2022 FSC-klagomål mail.docx", "A 27168-2022")</f>
        <v/>
      </c>
      <c r="X151">
        <f>HYPERLINK("https://klasma.github.io/Logging_0980/tillsyn/A 27168-2022 tillsynsbegäran.docx", "A 27168-2022")</f>
        <v/>
      </c>
      <c r="Y151">
        <f>HYPERLINK("https://klasma.github.io/Logging_0980/tillsynsmail/A 27168-2022 tillsynsbegäran mail.docx", "A 27168-2022")</f>
        <v/>
      </c>
    </row>
    <row r="152" ht="15" customHeight="1">
      <c r="A152" t="inlineStr">
        <is>
          <t>A 25977-2024</t>
        </is>
      </c>
      <c r="B152" s="1" t="n">
        <v>45467.69356481481</v>
      </c>
      <c r="C152" s="1" t="n">
        <v>45927</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45927</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61796-2022</t>
        </is>
      </c>
      <c r="B154" s="1" t="n">
        <v>44917</v>
      </c>
      <c r="C154" s="1" t="n">
        <v>45927</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14915-2025</t>
        </is>
      </c>
      <c r="B155" s="1" t="n">
        <v>45743.53121527778</v>
      </c>
      <c r="C155" s="1" t="n">
        <v>45927</v>
      </c>
      <c r="D155" t="inlineStr">
        <is>
          <t>GOTLANDS LÄN</t>
        </is>
      </c>
      <c r="E155" t="inlineStr">
        <is>
          <t>GOTLAND</t>
        </is>
      </c>
      <c r="G155" t="n">
        <v>5.9</v>
      </c>
      <c r="H155" t="n">
        <v>0</v>
      </c>
      <c r="I155" t="n">
        <v>0</v>
      </c>
      <c r="J155" t="n">
        <v>1</v>
      </c>
      <c r="K155" t="n">
        <v>0</v>
      </c>
      <c r="L155" t="n">
        <v>0</v>
      </c>
      <c r="M155" t="n">
        <v>0</v>
      </c>
      <c r="N155" t="n">
        <v>0</v>
      </c>
      <c r="O155" t="n">
        <v>1</v>
      </c>
      <c r="P155" t="n">
        <v>0</v>
      </c>
      <c r="Q155" t="n">
        <v>1</v>
      </c>
      <c r="R155" s="2" t="inlineStr">
        <is>
          <t>Igelkott</t>
        </is>
      </c>
      <c r="S155">
        <f>HYPERLINK("https://klasma.github.io/Logging_0980/artfynd/A 14915-2025 artfynd.xlsx", "A 14915-2025")</f>
        <v/>
      </c>
      <c r="T155">
        <f>HYPERLINK("https://klasma.github.io/Logging_0980/kartor/A 14915-2025 karta.png", "A 14915-2025")</f>
        <v/>
      </c>
      <c r="V155">
        <f>HYPERLINK("https://klasma.github.io/Logging_0980/klagomål/A 14915-2025 FSC-klagomål.docx", "A 14915-2025")</f>
        <v/>
      </c>
      <c r="W155">
        <f>HYPERLINK("https://klasma.github.io/Logging_0980/klagomålsmail/A 14915-2025 FSC-klagomål mail.docx", "A 14915-2025")</f>
        <v/>
      </c>
      <c r="X155">
        <f>HYPERLINK("https://klasma.github.io/Logging_0980/tillsyn/A 14915-2025 tillsynsbegäran.docx", "A 14915-2025")</f>
        <v/>
      </c>
      <c r="Y155">
        <f>HYPERLINK("https://klasma.github.io/Logging_0980/tillsynsmail/A 14915-2025 tillsynsbegäran mail.docx", "A 14915-2025")</f>
        <v/>
      </c>
    </row>
    <row r="156" ht="15" customHeight="1">
      <c r="A156" t="inlineStr">
        <is>
          <t>A 10218-2025</t>
        </is>
      </c>
      <c r="B156" s="1" t="n">
        <v>45720</v>
      </c>
      <c r="C156" s="1" t="n">
        <v>45927</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65927-2021</t>
        </is>
      </c>
      <c r="B157" s="1" t="n">
        <v>44516</v>
      </c>
      <c r="C157" s="1" t="n">
        <v>45927</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12379-2024</t>
        </is>
      </c>
      <c r="B158" s="1" t="n">
        <v>45379.28155092592</v>
      </c>
      <c r="C158" s="1" t="n">
        <v>45927</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947-2023</t>
        </is>
      </c>
      <c r="B159" s="1" t="n">
        <v>44934</v>
      </c>
      <c r="C159" s="1" t="n">
        <v>45927</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64700-2021</t>
        </is>
      </c>
      <c r="B160" s="1" t="n">
        <v>44511</v>
      </c>
      <c r="C160" s="1" t="n">
        <v>45927</v>
      </c>
      <c r="D160" t="inlineStr">
        <is>
          <t>GOTLANDS LÄN</t>
        </is>
      </c>
      <c r="E160" t="inlineStr">
        <is>
          <t>GOTLAND</t>
        </is>
      </c>
      <c r="F160" t="inlineStr">
        <is>
          <t>Naturvårdsverket</t>
        </is>
      </c>
      <c r="G160" t="n">
        <v>2.4</v>
      </c>
      <c r="H160" t="n">
        <v>1</v>
      </c>
      <c r="I160" t="n">
        <v>0</v>
      </c>
      <c r="J160" t="n">
        <v>0</v>
      </c>
      <c r="K160" t="n">
        <v>1</v>
      </c>
      <c r="L160" t="n">
        <v>0</v>
      </c>
      <c r="M160" t="n">
        <v>0</v>
      </c>
      <c r="N160" t="n">
        <v>0</v>
      </c>
      <c r="O160" t="n">
        <v>1</v>
      </c>
      <c r="P160" t="n">
        <v>1</v>
      </c>
      <c r="Q160" t="n">
        <v>1</v>
      </c>
      <c r="R160" s="2" t="inlineStr">
        <is>
          <t>Kalkdån</t>
        </is>
      </c>
      <c r="S160">
        <f>HYPERLINK("https://klasma.github.io/Logging_0980/artfynd/A 64700-2021 artfynd.xlsx", "A 64700-2021")</f>
        <v/>
      </c>
      <c r="T160">
        <f>HYPERLINK("https://klasma.github.io/Logging_0980/kartor/A 64700-2021 karta.png", "A 64700-2021")</f>
        <v/>
      </c>
      <c r="V160">
        <f>HYPERLINK("https://klasma.github.io/Logging_0980/klagomål/A 64700-2021 FSC-klagomål.docx", "A 64700-2021")</f>
        <v/>
      </c>
      <c r="W160">
        <f>HYPERLINK("https://klasma.github.io/Logging_0980/klagomålsmail/A 64700-2021 FSC-klagomål mail.docx", "A 64700-2021")</f>
        <v/>
      </c>
      <c r="X160">
        <f>HYPERLINK("https://klasma.github.io/Logging_0980/tillsyn/A 64700-2021 tillsynsbegäran.docx", "A 64700-2021")</f>
        <v/>
      </c>
      <c r="Y160">
        <f>HYPERLINK("https://klasma.github.io/Logging_0980/tillsynsmail/A 64700-2021 tillsynsbegäran mail.docx", "A 64700-2021")</f>
        <v/>
      </c>
    </row>
    <row r="161" ht="15" customHeight="1">
      <c r="A161" t="inlineStr">
        <is>
          <t>A 35574-2024</t>
        </is>
      </c>
      <c r="B161" s="1" t="n">
        <v>45531</v>
      </c>
      <c r="C161" s="1" t="n">
        <v>45927</v>
      </c>
      <c r="D161" t="inlineStr">
        <is>
          <t>GOTLANDS LÄN</t>
        </is>
      </c>
      <c r="E161" t="inlineStr">
        <is>
          <t>GOTLAND</t>
        </is>
      </c>
      <c r="G161" t="n">
        <v>5.7</v>
      </c>
      <c r="H161" t="n">
        <v>0</v>
      </c>
      <c r="I161" t="n">
        <v>1</v>
      </c>
      <c r="J161" t="n">
        <v>0</v>
      </c>
      <c r="K161" t="n">
        <v>0</v>
      </c>
      <c r="L161" t="n">
        <v>0</v>
      </c>
      <c r="M161" t="n">
        <v>0</v>
      </c>
      <c r="N161" t="n">
        <v>0</v>
      </c>
      <c r="O161" t="n">
        <v>0</v>
      </c>
      <c r="P161" t="n">
        <v>0</v>
      </c>
      <c r="Q161" t="n">
        <v>1</v>
      </c>
      <c r="R161" s="2" t="inlineStr">
        <is>
          <t>Murgröna</t>
        </is>
      </c>
      <c r="S161">
        <f>HYPERLINK("https://klasma.github.io/Logging_0980/artfynd/A 35574-2024 artfynd.xlsx", "A 35574-2024")</f>
        <v/>
      </c>
      <c r="T161">
        <f>HYPERLINK("https://klasma.github.io/Logging_0980/kartor/A 35574-2024 karta.png", "A 35574-2024")</f>
        <v/>
      </c>
      <c r="V161">
        <f>HYPERLINK("https://klasma.github.io/Logging_0980/klagomål/A 35574-2024 FSC-klagomål.docx", "A 35574-2024")</f>
        <v/>
      </c>
      <c r="W161">
        <f>HYPERLINK("https://klasma.github.io/Logging_0980/klagomålsmail/A 35574-2024 FSC-klagomål mail.docx", "A 35574-2024")</f>
        <v/>
      </c>
      <c r="X161">
        <f>HYPERLINK("https://klasma.github.io/Logging_0980/tillsyn/A 35574-2024 tillsynsbegäran.docx", "A 35574-2024")</f>
        <v/>
      </c>
      <c r="Y161">
        <f>HYPERLINK("https://klasma.github.io/Logging_0980/tillsynsmail/A 35574-2024 tillsynsbegäran mail.docx", "A 35574-2024")</f>
        <v/>
      </c>
    </row>
    <row r="162" ht="15" customHeight="1">
      <c r="A162" t="inlineStr">
        <is>
          <t>A 37591-2023</t>
        </is>
      </c>
      <c r="B162" s="1" t="n">
        <v>45159</v>
      </c>
      <c r="C162" s="1" t="n">
        <v>45927</v>
      </c>
      <c r="D162" t="inlineStr">
        <is>
          <t>GOTLANDS LÄN</t>
        </is>
      </c>
      <c r="E162" t="inlineStr">
        <is>
          <t>GOTLAND</t>
        </is>
      </c>
      <c r="G162" t="n">
        <v>8.300000000000001</v>
      </c>
      <c r="H162" t="n">
        <v>0</v>
      </c>
      <c r="I162" t="n">
        <v>0</v>
      </c>
      <c r="J162" t="n">
        <v>1</v>
      </c>
      <c r="K162" t="n">
        <v>0</v>
      </c>
      <c r="L162" t="n">
        <v>0</v>
      </c>
      <c r="M162" t="n">
        <v>0</v>
      </c>
      <c r="N162" t="n">
        <v>0</v>
      </c>
      <c r="O162" t="n">
        <v>1</v>
      </c>
      <c r="P162" t="n">
        <v>0</v>
      </c>
      <c r="Q162" t="n">
        <v>1</v>
      </c>
      <c r="R162" s="2" t="inlineStr">
        <is>
          <t>Ängsstarr</t>
        </is>
      </c>
      <c r="S162">
        <f>HYPERLINK("https://klasma.github.io/Logging_0980/artfynd/A 37591-2023 artfynd.xlsx", "A 37591-2023")</f>
        <v/>
      </c>
      <c r="T162">
        <f>HYPERLINK("https://klasma.github.io/Logging_0980/kartor/A 37591-2023 karta.png", "A 37591-2023")</f>
        <v/>
      </c>
      <c r="V162">
        <f>HYPERLINK("https://klasma.github.io/Logging_0980/klagomål/A 37591-2023 FSC-klagomål.docx", "A 37591-2023")</f>
        <v/>
      </c>
      <c r="W162">
        <f>HYPERLINK("https://klasma.github.io/Logging_0980/klagomålsmail/A 37591-2023 FSC-klagomål mail.docx", "A 37591-2023")</f>
        <v/>
      </c>
      <c r="X162">
        <f>HYPERLINK("https://klasma.github.io/Logging_0980/tillsyn/A 37591-2023 tillsynsbegäran.docx", "A 37591-2023")</f>
        <v/>
      </c>
      <c r="Y162">
        <f>HYPERLINK("https://klasma.github.io/Logging_0980/tillsynsmail/A 37591-2023 tillsynsbegäran mail.docx", "A 37591-2023")</f>
        <v/>
      </c>
    </row>
    <row r="163" ht="15" customHeight="1">
      <c r="A163" t="inlineStr">
        <is>
          <t>A 15637-2024</t>
        </is>
      </c>
      <c r="B163" s="1" t="n">
        <v>45403.6684837963</v>
      </c>
      <c r="C163" s="1" t="n">
        <v>45927</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61561-2023</t>
        </is>
      </c>
      <c r="B164" s="1" t="n">
        <v>45265</v>
      </c>
      <c r="C164" s="1" t="n">
        <v>45927</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34142-2024</t>
        </is>
      </c>
      <c r="B165" s="1" t="n">
        <v>45524.36521990741</v>
      </c>
      <c r="C165" s="1" t="n">
        <v>45927</v>
      </c>
      <c r="D165" t="inlineStr">
        <is>
          <t>GOTLANDS LÄN</t>
        </is>
      </c>
      <c r="E165" t="inlineStr">
        <is>
          <t>GOTLAND</t>
        </is>
      </c>
      <c r="G165" t="n">
        <v>6</v>
      </c>
      <c r="H165" t="n">
        <v>0</v>
      </c>
      <c r="I165" t="n">
        <v>0</v>
      </c>
      <c r="J165" t="n">
        <v>1</v>
      </c>
      <c r="K165" t="n">
        <v>0</v>
      </c>
      <c r="L165" t="n">
        <v>0</v>
      </c>
      <c r="M165" t="n">
        <v>0</v>
      </c>
      <c r="N165" t="n">
        <v>0</v>
      </c>
      <c r="O165" t="n">
        <v>1</v>
      </c>
      <c r="P165" t="n">
        <v>0</v>
      </c>
      <c r="Q165" t="n">
        <v>1</v>
      </c>
      <c r="R165" s="2" t="inlineStr">
        <is>
          <t>Igelkott</t>
        </is>
      </c>
      <c r="S165">
        <f>HYPERLINK("https://klasma.github.io/Logging_0980/artfynd/A 34142-2024 artfynd.xlsx", "A 34142-2024")</f>
        <v/>
      </c>
      <c r="T165">
        <f>HYPERLINK("https://klasma.github.io/Logging_0980/kartor/A 34142-2024 karta.png", "A 34142-2024")</f>
        <v/>
      </c>
      <c r="V165">
        <f>HYPERLINK("https://klasma.github.io/Logging_0980/klagomål/A 34142-2024 FSC-klagomål.docx", "A 34142-2024")</f>
        <v/>
      </c>
      <c r="W165">
        <f>HYPERLINK("https://klasma.github.io/Logging_0980/klagomålsmail/A 34142-2024 FSC-klagomål mail.docx", "A 34142-2024")</f>
        <v/>
      </c>
      <c r="X165">
        <f>HYPERLINK("https://klasma.github.io/Logging_0980/tillsyn/A 34142-2024 tillsynsbegäran.docx", "A 34142-2024")</f>
        <v/>
      </c>
      <c r="Y165">
        <f>HYPERLINK("https://klasma.github.io/Logging_0980/tillsynsmail/A 34142-2024 tillsynsbegäran mail.docx", "A 34142-2024")</f>
        <v/>
      </c>
    </row>
    <row r="166" ht="15" customHeight="1">
      <c r="A166" t="inlineStr">
        <is>
          <t>A 9862-2024</t>
        </is>
      </c>
      <c r="B166" s="1" t="n">
        <v>45363</v>
      </c>
      <c r="C166" s="1" t="n">
        <v>45927</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34141-2024</t>
        </is>
      </c>
      <c r="B167" s="1" t="n">
        <v>45524.36229166666</v>
      </c>
      <c r="C167" s="1" t="n">
        <v>45927</v>
      </c>
      <c r="D167" t="inlineStr">
        <is>
          <t>GOTLANDS LÄN</t>
        </is>
      </c>
      <c r="E167" t="inlineStr">
        <is>
          <t>GOTLAND</t>
        </is>
      </c>
      <c r="G167" t="n">
        <v>0.9</v>
      </c>
      <c r="H167" t="n">
        <v>0</v>
      </c>
      <c r="I167" t="n">
        <v>1</v>
      </c>
      <c r="J167" t="n">
        <v>0</v>
      </c>
      <c r="K167" t="n">
        <v>0</v>
      </c>
      <c r="L167" t="n">
        <v>0</v>
      </c>
      <c r="M167" t="n">
        <v>0</v>
      </c>
      <c r="N167" t="n">
        <v>0</v>
      </c>
      <c r="O167" t="n">
        <v>0</v>
      </c>
      <c r="P167" t="n">
        <v>0</v>
      </c>
      <c r="Q167" t="n">
        <v>1</v>
      </c>
      <c r="R167" s="2" t="inlineStr">
        <is>
          <t>Strävlosta</t>
        </is>
      </c>
      <c r="S167">
        <f>HYPERLINK("https://klasma.github.io/Logging_0980/artfynd/A 34141-2024 artfynd.xlsx", "A 34141-2024")</f>
        <v/>
      </c>
      <c r="T167">
        <f>HYPERLINK("https://klasma.github.io/Logging_0980/kartor/A 34141-2024 karta.png", "A 34141-2024")</f>
        <v/>
      </c>
      <c r="V167">
        <f>HYPERLINK("https://klasma.github.io/Logging_0980/klagomål/A 34141-2024 FSC-klagomål.docx", "A 34141-2024")</f>
        <v/>
      </c>
      <c r="W167">
        <f>HYPERLINK("https://klasma.github.io/Logging_0980/klagomålsmail/A 34141-2024 FSC-klagomål mail.docx", "A 34141-2024")</f>
        <v/>
      </c>
      <c r="X167">
        <f>HYPERLINK("https://klasma.github.io/Logging_0980/tillsyn/A 34141-2024 tillsynsbegäran.docx", "A 34141-2024")</f>
        <v/>
      </c>
      <c r="Y167">
        <f>HYPERLINK("https://klasma.github.io/Logging_0980/tillsynsmail/A 34141-2024 tillsynsbegäran mail.docx", "A 34141-2024")</f>
        <v/>
      </c>
    </row>
    <row r="168" ht="15" customHeight="1">
      <c r="A168" t="inlineStr">
        <is>
          <t>A 12324-2025</t>
        </is>
      </c>
      <c r="B168" s="1" t="n">
        <v>45730</v>
      </c>
      <c r="C168" s="1" t="n">
        <v>45927</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63299-2020</t>
        </is>
      </c>
      <c r="B169" s="1" t="n">
        <v>44165</v>
      </c>
      <c r="C169" s="1" t="n">
        <v>45927</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39812-2025</t>
        </is>
      </c>
      <c r="B170" s="1" t="n">
        <v>45891</v>
      </c>
      <c r="C170" s="1" t="n">
        <v>45927</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49847-2023</t>
        </is>
      </c>
      <c r="B171" s="1" t="n">
        <v>45212</v>
      </c>
      <c r="C171" s="1" t="n">
        <v>45927</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2476-2025</t>
        </is>
      </c>
      <c r="B172" s="1" t="n">
        <v>45673</v>
      </c>
      <c r="C172" s="1" t="n">
        <v>45927</v>
      </c>
      <c r="D172" t="inlineStr">
        <is>
          <t>GOTLANDS LÄN</t>
        </is>
      </c>
      <c r="E172" t="inlineStr">
        <is>
          <t>GOTLAND</t>
        </is>
      </c>
      <c r="G172" t="n">
        <v>3.1</v>
      </c>
      <c r="H172" t="n">
        <v>0</v>
      </c>
      <c r="I172" t="n">
        <v>1</v>
      </c>
      <c r="J172" t="n">
        <v>0</v>
      </c>
      <c r="K172" t="n">
        <v>0</v>
      </c>
      <c r="L172" t="n">
        <v>0</v>
      </c>
      <c r="M172" t="n">
        <v>0</v>
      </c>
      <c r="N172" t="n">
        <v>0</v>
      </c>
      <c r="O172" t="n">
        <v>0</v>
      </c>
      <c r="P172" t="n">
        <v>0</v>
      </c>
      <c r="Q172" t="n">
        <v>1</v>
      </c>
      <c r="R172" s="2" t="inlineStr">
        <is>
          <t>Kryddspindling</t>
        </is>
      </c>
      <c r="S172">
        <f>HYPERLINK("https://klasma.github.io/Logging_0980/artfynd/A 2476-2025 artfynd.xlsx", "A 2476-2025")</f>
        <v/>
      </c>
      <c r="T172">
        <f>HYPERLINK("https://klasma.github.io/Logging_0980/kartor/A 2476-2025 karta.png", "A 2476-2025")</f>
        <v/>
      </c>
      <c r="V172">
        <f>HYPERLINK("https://klasma.github.io/Logging_0980/klagomål/A 2476-2025 FSC-klagomål.docx", "A 2476-2025")</f>
        <v/>
      </c>
      <c r="W172">
        <f>HYPERLINK("https://klasma.github.io/Logging_0980/klagomålsmail/A 2476-2025 FSC-klagomål mail.docx", "A 2476-2025")</f>
        <v/>
      </c>
      <c r="X172">
        <f>HYPERLINK("https://klasma.github.io/Logging_0980/tillsyn/A 2476-2025 tillsynsbegäran.docx", "A 2476-2025")</f>
        <v/>
      </c>
      <c r="Y172">
        <f>HYPERLINK("https://klasma.github.io/Logging_0980/tillsynsmail/A 2476-2025 tillsynsbegäran mail.docx", "A 2476-2025")</f>
        <v/>
      </c>
    </row>
    <row r="173" ht="15" customHeight="1">
      <c r="A173" t="inlineStr">
        <is>
          <t>A 20429-2025</t>
        </is>
      </c>
      <c r="B173" s="1" t="n">
        <v>45775.47728009259</v>
      </c>
      <c r="C173" s="1" t="n">
        <v>45927</v>
      </c>
      <c r="D173" t="inlineStr">
        <is>
          <t>GOTLANDS LÄN</t>
        </is>
      </c>
      <c r="E173" t="inlineStr">
        <is>
          <t>GOTLAND</t>
        </is>
      </c>
      <c r="G173" t="n">
        <v>1.4</v>
      </c>
      <c r="H173" t="n">
        <v>1</v>
      </c>
      <c r="I173" t="n">
        <v>0</v>
      </c>
      <c r="J173" t="n">
        <v>0</v>
      </c>
      <c r="K173" t="n">
        <v>0</v>
      </c>
      <c r="L173" t="n">
        <v>0</v>
      </c>
      <c r="M173" t="n">
        <v>0</v>
      </c>
      <c r="N173" t="n">
        <v>0</v>
      </c>
      <c r="O173" t="n">
        <v>0</v>
      </c>
      <c r="P173" t="n">
        <v>0</v>
      </c>
      <c r="Q173" t="n">
        <v>1</v>
      </c>
      <c r="R173" s="2" t="inlineStr">
        <is>
          <t>Äkta lopplummer</t>
        </is>
      </c>
      <c r="S173">
        <f>HYPERLINK("https://klasma.github.io/Logging_0980/artfynd/A 20429-2025 artfynd.xlsx", "A 20429-2025")</f>
        <v/>
      </c>
      <c r="T173">
        <f>HYPERLINK("https://klasma.github.io/Logging_0980/kartor/A 20429-2025 karta.png", "A 20429-2025")</f>
        <v/>
      </c>
      <c r="V173">
        <f>HYPERLINK("https://klasma.github.io/Logging_0980/klagomål/A 20429-2025 FSC-klagomål.docx", "A 20429-2025")</f>
        <v/>
      </c>
      <c r="W173">
        <f>HYPERLINK("https://klasma.github.io/Logging_0980/klagomålsmail/A 20429-2025 FSC-klagomål mail.docx", "A 20429-2025")</f>
        <v/>
      </c>
      <c r="X173">
        <f>HYPERLINK("https://klasma.github.io/Logging_0980/tillsyn/A 20429-2025 tillsynsbegäran.docx", "A 20429-2025")</f>
        <v/>
      </c>
      <c r="Y173">
        <f>HYPERLINK("https://klasma.github.io/Logging_0980/tillsynsmail/A 20429-2025 tillsynsbegäran mail.docx", "A 20429-2025")</f>
        <v/>
      </c>
    </row>
    <row r="174" ht="15" customHeight="1">
      <c r="A174" t="inlineStr">
        <is>
          <t>A 447-2023</t>
        </is>
      </c>
      <c r="B174" s="1" t="n">
        <v>44929</v>
      </c>
      <c r="C174" s="1" t="n">
        <v>45927</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44619-2025</t>
        </is>
      </c>
      <c r="B175" s="1" t="n">
        <v>45917</v>
      </c>
      <c r="C175" s="1" t="n">
        <v>45927</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34809-2024</t>
        </is>
      </c>
      <c r="B176" s="1" t="n">
        <v>45526</v>
      </c>
      <c r="C176" s="1" t="n">
        <v>45927</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10995-2023</t>
        </is>
      </c>
      <c r="B177" s="1" t="n">
        <v>44986</v>
      </c>
      <c r="C177" s="1" t="n">
        <v>45927</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12924-2025</t>
        </is>
      </c>
      <c r="B178" s="1" t="n">
        <v>45734</v>
      </c>
      <c r="C178" s="1" t="n">
        <v>45927</v>
      </c>
      <c r="D178" t="inlineStr">
        <is>
          <t>GOTLANDS LÄN</t>
        </is>
      </c>
      <c r="E178" t="inlineStr">
        <is>
          <t>GOTLAND</t>
        </is>
      </c>
      <c r="G178" t="n">
        <v>11.7</v>
      </c>
      <c r="H178" t="n">
        <v>0</v>
      </c>
      <c r="I178" t="n">
        <v>0</v>
      </c>
      <c r="J178" t="n">
        <v>0</v>
      </c>
      <c r="K178" t="n">
        <v>1</v>
      </c>
      <c r="L178" t="n">
        <v>0</v>
      </c>
      <c r="M178" t="n">
        <v>0</v>
      </c>
      <c r="N178" t="n">
        <v>0</v>
      </c>
      <c r="O178" t="n">
        <v>1</v>
      </c>
      <c r="P178" t="n">
        <v>1</v>
      </c>
      <c r="Q178" t="n">
        <v>1</v>
      </c>
      <c r="R178" s="2" t="inlineStr">
        <is>
          <t>Gotlandsmåra</t>
        </is>
      </c>
      <c r="S178">
        <f>HYPERLINK("https://klasma.github.io/Logging_0980/artfynd/A 12924-2025 artfynd.xlsx", "A 12924-2025")</f>
        <v/>
      </c>
      <c r="T178">
        <f>HYPERLINK("https://klasma.github.io/Logging_0980/kartor/A 12924-2025 karta.png", "A 12924-2025")</f>
        <v/>
      </c>
      <c r="V178">
        <f>HYPERLINK("https://klasma.github.io/Logging_0980/klagomål/A 12924-2025 FSC-klagomål.docx", "A 12924-2025")</f>
        <v/>
      </c>
      <c r="W178">
        <f>HYPERLINK("https://klasma.github.io/Logging_0980/klagomålsmail/A 12924-2025 FSC-klagomål mail.docx", "A 12924-2025")</f>
        <v/>
      </c>
      <c r="X178">
        <f>HYPERLINK("https://klasma.github.io/Logging_0980/tillsyn/A 12924-2025 tillsynsbegäran.docx", "A 12924-2025")</f>
        <v/>
      </c>
      <c r="Y178">
        <f>HYPERLINK("https://klasma.github.io/Logging_0980/tillsynsmail/A 12924-2025 tillsynsbegäran mail.docx", "A 12924-2025")</f>
        <v/>
      </c>
    </row>
    <row r="179" ht="15" customHeight="1">
      <c r="A179" t="inlineStr">
        <is>
          <t>A 19901-2021</t>
        </is>
      </c>
      <c r="B179" s="1" t="n">
        <v>44312</v>
      </c>
      <c r="C179" s="1" t="n">
        <v>45927</v>
      </c>
      <c r="D179" t="inlineStr">
        <is>
          <t>GOTLANDS LÄN</t>
        </is>
      </c>
      <c r="E179" t="inlineStr">
        <is>
          <t>GOTLAND</t>
        </is>
      </c>
      <c r="G179" t="n">
        <v>4.5</v>
      </c>
      <c r="H179" t="n">
        <v>0</v>
      </c>
      <c r="I179" t="n">
        <v>0</v>
      </c>
      <c r="J179" t="n">
        <v>0</v>
      </c>
      <c r="K179" t="n">
        <v>0</v>
      </c>
      <c r="L179" t="n">
        <v>0</v>
      </c>
      <c r="M179" t="n">
        <v>0</v>
      </c>
      <c r="N179" t="n">
        <v>0</v>
      </c>
      <c r="O179" t="n">
        <v>0</v>
      </c>
      <c r="P179" t="n">
        <v>0</v>
      </c>
      <c r="Q179" t="n">
        <v>0</v>
      </c>
      <c r="R179" s="2" t="inlineStr"/>
    </row>
    <row r="180" ht="15" customHeight="1">
      <c r="A180" t="inlineStr">
        <is>
          <t>A 36313-2021</t>
        </is>
      </c>
      <c r="B180" s="1" t="n">
        <v>44390</v>
      </c>
      <c r="C180" s="1" t="n">
        <v>45927</v>
      </c>
      <c r="D180" t="inlineStr">
        <is>
          <t>GOTLANDS LÄN</t>
        </is>
      </c>
      <c r="E180" t="inlineStr">
        <is>
          <t>GOTLAND</t>
        </is>
      </c>
      <c r="G180" t="n">
        <v>2.2</v>
      </c>
      <c r="H180" t="n">
        <v>0</v>
      </c>
      <c r="I180" t="n">
        <v>0</v>
      </c>
      <c r="J180" t="n">
        <v>0</v>
      </c>
      <c r="K180" t="n">
        <v>0</v>
      </c>
      <c r="L180" t="n">
        <v>0</v>
      </c>
      <c r="M180" t="n">
        <v>0</v>
      </c>
      <c r="N180" t="n">
        <v>0</v>
      </c>
      <c r="O180" t="n">
        <v>0</v>
      </c>
      <c r="P180" t="n">
        <v>0</v>
      </c>
      <c r="Q180" t="n">
        <v>0</v>
      </c>
      <c r="R180" s="2" t="inlineStr"/>
    </row>
    <row r="181" ht="15" customHeight="1">
      <c r="A181" t="inlineStr">
        <is>
          <t>A 31981-2021</t>
        </is>
      </c>
      <c r="B181" s="1" t="n">
        <v>44370</v>
      </c>
      <c r="C181" s="1" t="n">
        <v>45927</v>
      </c>
      <c r="D181" t="inlineStr">
        <is>
          <t>GOTLANDS LÄN</t>
        </is>
      </c>
      <c r="E181" t="inlineStr">
        <is>
          <t>GOTLAND</t>
        </is>
      </c>
      <c r="G181" t="n">
        <v>6.1</v>
      </c>
      <c r="H181" t="n">
        <v>0</v>
      </c>
      <c r="I181" t="n">
        <v>0</v>
      </c>
      <c r="J181" t="n">
        <v>0</v>
      </c>
      <c r="K181" t="n">
        <v>0</v>
      </c>
      <c r="L181" t="n">
        <v>0</v>
      </c>
      <c r="M181" t="n">
        <v>0</v>
      </c>
      <c r="N181" t="n">
        <v>0</v>
      </c>
      <c r="O181" t="n">
        <v>0</v>
      </c>
      <c r="P181" t="n">
        <v>0</v>
      </c>
      <c r="Q181" t="n">
        <v>0</v>
      </c>
      <c r="R181" s="2" t="inlineStr"/>
    </row>
    <row r="182" ht="15" customHeight="1">
      <c r="A182" t="inlineStr">
        <is>
          <t>A 18038-2021</t>
        </is>
      </c>
      <c r="B182" s="1" t="n">
        <v>44302</v>
      </c>
      <c r="C182" s="1" t="n">
        <v>45927</v>
      </c>
      <c r="D182" t="inlineStr">
        <is>
          <t>GOTLANDS LÄN</t>
        </is>
      </c>
      <c r="E182" t="inlineStr">
        <is>
          <t>GOTLAND</t>
        </is>
      </c>
      <c r="G182" t="n">
        <v>1.7</v>
      </c>
      <c r="H182" t="n">
        <v>0</v>
      </c>
      <c r="I182" t="n">
        <v>0</v>
      </c>
      <c r="J182" t="n">
        <v>0</v>
      </c>
      <c r="K182" t="n">
        <v>0</v>
      </c>
      <c r="L182" t="n">
        <v>0</v>
      </c>
      <c r="M182" t="n">
        <v>0</v>
      </c>
      <c r="N182" t="n">
        <v>0</v>
      </c>
      <c r="O182" t="n">
        <v>0</v>
      </c>
      <c r="P182" t="n">
        <v>0</v>
      </c>
      <c r="Q182" t="n">
        <v>0</v>
      </c>
      <c r="R182" s="2" t="inlineStr"/>
    </row>
    <row r="183" ht="15" customHeight="1">
      <c r="A183" t="inlineStr">
        <is>
          <t>A 50892-2021</t>
        </is>
      </c>
      <c r="B183" s="1" t="n">
        <v>44459</v>
      </c>
      <c r="C183" s="1" t="n">
        <v>45927</v>
      </c>
      <c r="D183" t="inlineStr">
        <is>
          <t>GOTLANDS LÄN</t>
        </is>
      </c>
      <c r="E183" t="inlineStr">
        <is>
          <t>GOTLAND</t>
        </is>
      </c>
      <c r="G183" t="n">
        <v>0.8</v>
      </c>
      <c r="H183" t="n">
        <v>0</v>
      </c>
      <c r="I183" t="n">
        <v>0</v>
      </c>
      <c r="J183" t="n">
        <v>0</v>
      </c>
      <c r="K183" t="n">
        <v>0</v>
      </c>
      <c r="L183" t="n">
        <v>0</v>
      </c>
      <c r="M183" t="n">
        <v>0</v>
      </c>
      <c r="N183" t="n">
        <v>0</v>
      </c>
      <c r="O183" t="n">
        <v>0</v>
      </c>
      <c r="P183" t="n">
        <v>0</v>
      </c>
      <c r="Q183" t="n">
        <v>0</v>
      </c>
      <c r="R183" s="2" t="inlineStr"/>
    </row>
    <row r="184" ht="15" customHeight="1">
      <c r="A184" t="inlineStr">
        <is>
          <t>A 17585-2021</t>
        </is>
      </c>
      <c r="B184" s="1" t="n">
        <v>44299</v>
      </c>
      <c r="C184" s="1" t="n">
        <v>45927</v>
      </c>
      <c r="D184" t="inlineStr">
        <is>
          <t>GOTLANDS LÄN</t>
        </is>
      </c>
      <c r="E184" t="inlineStr">
        <is>
          <t>GOTLAND</t>
        </is>
      </c>
      <c r="G184" t="n">
        <v>5.4</v>
      </c>
      <c r="H184" t="n">
        <v>0</v>
      </c>
      <c r="I184" t="n">
        <v>0</v>
      </c>
      <c r="J184" t="n">
        <v>0</v>
      </c>
      <c r="K184" t="n">
        <v>0</v>
      </c>
      <c r="L184" t="n">
        <v>0</v>
      </c>
      <c r="M184" t="n">
        <v>0</v>
      </c>
      <c r="N184" t="n">
        <v>0</v>
      </c>
      <c r="O184" t="n">
        <v>0</v>
      </c>
      <c r="P184" t="n">
        <v>0</v>
      </c>
      <c r="Q184" t="n">
        <v>0</v>
      </c>
      <c r="R184" s="2" t="inlineStr"/>
    </row>
    <row r="185" ht="15" customHeight="1">
      <c r="A185" t="inlineStr">
        <is>
          <t>A 59052-2020</t>
        </is>
      </c>
      <c r="B185" s="1" t="n">
        <v>44147</v>
      </c>
      <c r="C185" s="1" t="n">
        <v>45927</v>
      </c>
      <c r="D185" t="inlineStr">
        <is>
          <t>GOTLANDS LÄN</t>
        </is>
      </c>
      <c r="E185" t="inlineStr">
        <is>
          <t>GOTLAND</t>
        </is>
      </c>
      <c r="G185" t="n">
        <v>3.4</v>
      </c>
      <c r="H185" t="n">
        <v>0</v>
      </c>
      <c r="I185" t="n">
        <v>0</v>
      </c>
      <c r="J185" t="n">
        <v>0</v>
      </c>
      <c r="K185" t="n">
        <v>0</v>
      </c>
      <c r="L185" t="n">
        <v>0</v>
      </c>
      <c r="M185" t="n">
        <v>0</v>
      </c>
      <c r="N185" t="n">
        <v>0</v>
      </c>
      <c r="O185" t="n">
        <v>0</v>
      </c>
      <c r="P185" t="n">
        <v>0</v>
      </c>
      <c r="Q185" t="n">
        <v>0</v>
      </c>
      <c r="R185" s="2" t="inlineStr"/>
    </row>
    <row r="186" ht="15" customHeight="1">
      <c r="A186" t="inlineStr">
        <is>
          <t>A 17199-2021</t>
        </is>
      </c>
      <c r="B186" s="1" t="n">
        <v>44298</v>
      </c>
      <c r="C186" s="1" t="n">
        <v>45927</v>
      </c>
      <c r="D186" t="inlineStr">
        <is>
          <t>GOTLANDS LÄN</t>
        </is>
      </c>
      <c r="E186" t="inlineStr">
        <is>
          <t>GOTLAND</t>
        </is>
      </c>
      <c r="G186" t="n">
        <v>9.6</v>
      </c>
      <c r="H186" t="n">
        <v>0</v>
      </c>
      <c r="I186" t="n">
        <v>0</v>
      </c>
      <c r="J186" t="n">
        <v>0</v>
      </c>
      <c r="K186" t="n">
        <v>0</v>
      </c>
      <c r="L186" t="n">
        <v>0</v>
      </c>
      <c r="M186" t="n">
        <v>0</v>
      </c>
      <c r="N186" t="n">
        <v>0</v>
      </c>
      <c r="O186" t="n">
        <v>0</v>
      </c>
      <c r="P186" t="n">
        <v>0</v>
      </c>
      <c r="Q186" t="n">
        <v>0</v>
      </c>
      <c r="R186" s="2" t="inlineStr"/>
    </row>
    <row r="187" ht="15" customHeight="1">
      <c r="A187" t="inlineStr">
        <is>
          <t>A 11400-2021</t>
        </is>
      </c>
      <c r="B187" s="1" t="n">
        <v>44263</v>
      </c>
      <c r="C187" s="1" t="n">
        <v>45927</v>
      </c>
      <c r="D187" t="inlineStr">
        <is>
          <t>GOTLANDS LÄN</t>
        </is>
      </c>
      <c r="E187" t="inlineStr">
        <is>
          <t>GOTLAND</t>
        </is>
      </c>
      <c r="G187" t="n">
        <v>5.6</v>
      </c>
      <c r="H187" t="n">
        <v>0</v>
      </c>
      <c r="I187" t="n">
        <v>0</v>
      </c>
      <c r="J187" t="n">
        <v>0</v>
      </c>
      <c r="K187" t="n">
        <v>0</v>
      </c>
      <c r="L187" t="n">
        <v>0</v>
      </c>
      <c r="M187" t="n">
        <v>0</v>
      </c>
      <c r="N187" t="n">
        <v>0</v>
      </c>
      <c r="O187" t="n">
        <v>0</v>
      </c>
      <c r="P187" t="n">
        <v>0</v>
      </c>
      <c r="Q187" t="n">
        <v>0</v>
      </c>
      <c r="R187" s="2" t="inlineStr"/>
    </row>
    <row r="188" ht="15" customHeight="1">
      <c r="A188" t="inlineStr">
        <is>
          <t>A 8329-2021</t>
        </is>
      </c>
      <c r="B188" s="1" t="n">
        <v>44244</v>
      </c>
      <c r="C188" s="1" t="n">
        <v>45927</v>
      </c>
      <c r="D188" t="inlineStr">
        <is>
          <t>GOTLANDS LÄN</t>
        </is>
      </c>
      <c r="E188" t="inlineStr">
        <is>
          <t>GOTLAND</t>
        </is>
      </c>
      <c r="F188" t="inlineStr">
        <is>
          <t>Kyrkan</t>
        </is>
      </c>
      <c r="G188" t="n">
        <v>4.5</v>
      </c>
      <c r="H188" t="n">
        <v>0</v>
      </c>
      <c r="I188" t="n">
        <v>0</v>
      </c>
      <c r="J188" t="n">
        <v>0</v>
      </c>
      <c r="K188" t="n">
        <v>0</v>
      </c>
      <c r="L188" t="n">
        <v>0</v>
      </c>
      <c r="M188" t="n">
        <v>0</v>
      </c>
      <c r="N188" t="n">
        <v>0</v>
      </c>
      <c r="O188" t="n">
        <v>0</v>
      </c>
      <c r="P188" t="n">
        <v>0</v>
      </c>
      <c r="Q188" t="n">
        <v>0</v>
      </c>
      <c r="R188" s="2" t="inlineStr"/>
    </row>
    <row r="189" ht="15" customHeight="1">
      <c r="A189" t="inlineStr">
        <is>
          <t>A 53665-2020</t>
        </is>
      </c>
      <c r="B189" s="1" t="n">
        <v>44124.55001157407</v>
      </c>
      <c r="C189" s="1" t="n">
        <v>45927</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45927</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45927</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45927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45927</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45927</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59630-2020</t>
        </is>
      </c>
      <c r="B195" s="1" t="n">
        <v>44150</v>
      </c>
      <c r="C195" s="1" t="n">
        <v>45927</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45927</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45927</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45927</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60356-2020</t>
        </is>
      </c>
      <c r="B199" s="1" t="n">
        <v>44152.71583333334</v>
      </c>
      <c r="C199" s="1" t="n">
        <v>45927</v>
      </c>
      <c r="D199" t="inlineStr">
        <is>
          <t>GOTLANDS LÄN</t>
        </is>
      </c>
      <c r="E199" t="inlineStr">
        <is>
          <t>GOTLAND</t>
        </is>
      </c>
      <c r="G199" t="n">
        <v>2</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45927</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45927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8700-2021</t>
        </is>
      </c>
      <c r="B202" s="1" t="n">
        <v>44246</v>
      </c>
      <c r="C202" s="1" t="n">
        <v>45927</v>
      </c>
      <c r="D202" t="inlineStr">
        <is>
          <t>GOTLANDS LÄN</t>
        </is>
      </c>
      <c r="E202" t="inlineStr">
        <is>
          <t>GOTLAND</t>
        </is>
      </c>
      <c r="G202" t="n">
        <v>0.1</v>
      </c>
      <c r="H202" t="n">
        <v>0</v>
      </c>
      <c r="I202" t="n">
        <v>0</v>
      </c>
      <c r="J202" t="n">
        <v>0</v>
      </c>
      <c r="K202" t="n">
        <v>0</v>
      </c>
      <c r="L202" t="n">
        <v>0</v>
      </c>
      <c r="M202" t="n">
        <v>0</v>
      </c>
      <c r="N202" t="n">
        <v>0</v>
      </c>
      <c r="O202" t="n">
        <v>0</v>
      </c>
      <c r="P202" t="n">
        <v>0</v>
      </c>
      <c r="Q202" t="n">
        <v>0</v>
      </c>
      <c r="R202" s="2" t="inlineStr"/>
    </row>
    <row r="203" ht="15" customHeight="1">
      <c r="A203" t="inlineStr">
        <is>
          <t>A 12318-2021</t>
        </is>
      </c>
      <c r="B203" s="1" t="n">
        <v>44266</v>
      </c>
      <c r="C203" s="1" t="n">
        <v>45927</v>
      </c>
      <c r="D203" t="inlineStr">
        <is>
          <t>GOTLANDS LÄN</t>
        </is>
      </c>
      <c r="E203" t="inlineStr">
        <is>
          <t>GOTLAND</t>
        </is>
      </c>
      <c r="G203" t="n">
        <v>1</v>
      </c>
      <c r="H203" t="n">
        <v>0</v>
      </c>
      <c r="I203" t="n">
        <v>0</v>
      </c>
      <c r="J203" t="n">
        <v>0</v>
      </c>
      <c r="K203" t="n">
        <v>0</v>
      </c>
      <c r="L203" t="n">
        <v>0</v>
      </c>
      <c r="M203" t="n">
        <v>0</v>
      </c>
      <c r="N203" t="n">
        <v>0</v>
      </c>
      <c r="O203" t="n">
        <v>0</v>
      </c>
      <c r="P203" t="n">
        <v>0</v>
      </c>
      <c r="Q203" t="n">
        <v>0</v>
      </c>
      <c r="R203" s="2" t="inlineStr"/>
    </row>
    <row r="204" ht="15" customHeight="1">
      <c r="A204" t="inlineStr">
        <is>
          <t>A 15127-2021</t>
        </is>
      </c>
      <c r="B204" s="1" t="n">
        <v>44283</v>
      </c>
      <c r="C204" s="1" t="n">
        <v>45927</v>
      </c>
      <c r="D204" t="inlineStr">
        <is>
          <t>GOTLANDS LÄN</t>
        </is>
      </c>
      <c r="E204" t="inlineStr">
        <is>
          <t>GOTLAND</t>
        </is>
      </c>
      <c r="G204" t="n">
        <v>0.4</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45927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24123-2022</t>
        </is>
      </c>
      <c r="B206" s="1" t="n">
        <v>44725.4384375</v>
      </c>
      <c r="C206" s="1" t="n">
        <v>45927</v>
      </c>
      <c r="D206" t="inlineStr">
        <is>
          <t>GOTLANDS LÄN</t>
        </is>
      </c>
      <c r="E206" t="inlineStr">
        <is>
          <t>GOTLAND</t>
        </is>
      </c>
      <c r="G206" t="n">
        <v>6</v>
      </c>
      <c r="H206" t="n">
        <v>0</v>
      </c>
      <c r="I206" t="n">
        <v>0</v>
      </c>
      <c r="J206" t="n">
        <v>0</v>
      </c>
      <c r="K206" t="n">
        <v>0</v>
      </c>
      <c r="L206" t="n">
        <v>0</v>
      </c>
      <c r="M206" t="n">
        <v>0</v>
      </c>
      <c r="N206" t="n">
        <v>0</v>
      </c>
      <c r="O206" t="n">
        <v>0</v>
      </c>
      <c r="P206" t="n">
        <v>0</v>
      </c>
      <c r="Q206" t="n">
        <v>0</v>
      </c>
      <c r="R206" s="2" t="inlineStr"/>
    </row>
    <row r="207" ht="15" customHeight="1">
      <c r="A207" t="inlineStr">
        <is>
          <t>A 44207-2022</t>
        </is>
      </c>
      <c r="B207" s="1" t="n">
        <v>44839</v>
      </c>
      <c r="C207" s="1" t="n">
        <v>45927</v>
      </c>
      <c r="D207" t="inlineStr">
        <is>
          <t>GOTLANDS LÄN</t>
        </is>
      </c>
      <c r="E207" t="inlineStr">
        <is>
          <t>GOTLAND</t>
        </is>
      </c>
      <c r="G207" t="n">
        <v>3.8</v>
      </c>
      <c r="H207" t="n">
        <v>0</v>
      </c>
      <c r="I207" t="n">
        <v>0</v>
      </c>
      <c r="J207" t="n">
        <v>0</v>
      </c>
      <c r="K207" t="n">
        <v>0</v>
      </c>
      <c r="L207" t="n">
        <v>0</v>
      </c>
      <c r="M207" t="n">
        <v>0</v>
      </c>
      <c r="N207" t="n">
        <v>0</v>
      </c>
      <c r="O207" t="n">
        <v>0</v>
      </c>
      <c r="P207" t="n">
        <v>0</v>
      </c>
      <c r="Q207" t="n">
        <v>0</v>
      </c>
      <c r="R207" s="2" t="inlineStr"/>
    </row>
    <row r="208" ht="15" customHeight="1">
      <c r="A208" t="inlineStr">
        <is>
          <t>A 19447-2021</t>
        </is>
      </c>
      <c r="B208" s="1" t="n">
        <v>44310.72780092592</v>
      </c>
      <c r="C208" s="1" t="n">
        <v>45927</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32691-2021</t>
        </is>
      </c>
      <c r="B209" s="1" t="n">
        <v>44375</v>
      </c>
      <c r="C209" s="1" t="n">
        <v>45927</v>
      </c>
      <c r="D209" t="inlineStr">
        <is>
          <t>GOTLANDS LÄN</t>
        </is>
      </c>
      <c r="E209" t="inlineStr">
        <is>
          <t>GOTLAND</t>
        </is>
      </c>
      <c r="G209" t="n">
        <v>0.8</v>
      </c>
      <c r="H209" t="n">
        <v>0</v>
      </c>
      <c r="I209" t="n">
        <v>0</v>
      </c>
      <c r="J209" t="n">
        <v>0</v>
      </c>
      <c r="K209" t="n">
        <v>0</v>
      </c>
      <c r="L209" t="n">
        <v>0</v>
      </c>
      <c r="M209" t="n">
        <v>0</v>
      </c>
      <c r="N209" t="n">
        <v>0</v>
      </c>
      <c r="O209" t="n">
        <v>0</v>
      </c>
      <c r="P209" t="n">
        <v>0</v>
      </c>
      <c r="Q209" t="n">
        <v>0</v>
      </c>
      <c r="R209" s="2" t="inlineStr"/>
    </row>
    <row r="210" ht="15" customHeight="1">
      <c r="A210" t="inlineStr">
        <is>
          <t>A 60607-2021</t>
        </is>
      </c>
      <c r="B210" s="1" t="n">
        <v>44496.58627314815</v>
      </c>
      <c r="C210" s="1" t="n">
        <v>45927</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47369-2021</t>
        </is>
      </c>
      <c r="B211" s="1" t="n">
        <v>44447</v>
      </c>
      <c r="C211" s="1" t="n">
        <v>45927</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45927</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45927</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45927</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45927</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45927</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45927</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45927</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45927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45927</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45927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45927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45927</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45927</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45927</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45927</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45927</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45927</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45927</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37037-2021</t>
        </is>
      </c>
      <c r="B230" s="1" t="n">
        <v>44393.84688657407</v>
      </c>
      <c r="C230" s="1" t="n">
        <v>45927</v>
      </c>
      <c r="D230" t="inlineStr">
        <is>
          <t>GOTLANDS LÄN</t>
        </is>
      </c>
      <c r="E230" t="inlineStr">
        <is>
          <t>GOTLAND</t>
        </is>
      </c>
      <c r="G230" t="n">
        <v>10.2</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45927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44942-2022</t>
        </is>
      </c>
      <c r="B232" s="1" t="n">
        <v>44841</v>
      </c>
      <c r="C232" s="1" t="n">
        <v>45927</v>
      </c>
      <c r="D232" t="inlineStr">
        <is>
          <t>GOTLANDS LÄN</t>
        </is>
      </c>
      <c r="E232" t="inlineStr">
        <is>
          <t>GOTLAND</t>
        </is>
      </c>
      <c r="G232" t="n">
        <v>2</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45927</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27095-2022</t>
        </is>
      </c>
      <c r="B234" s="1" t="n">
        <v>44741</v>
      </c>
      <c r="C234" s="1" t="n">
        <v>45927</v>
      </c>
      <c r="D234" t="inlineStr">
        <is>
          <t>GOTLANDS LÄN</t>
        </is>
      </c>
      <c r="E234" t="inlineStr">
        <is>
          <t>GOTLAND</t>
        </is>
      </c>
      <c r="F234" t="inlineStr">
        <is>
          <t>Övriga Aktiebolag</t>
        </is>
      </c>
      <c r="G234" t="n">
        <v>2.9</v>
      </c>
      <c r="H234" t="n">
        <v>0</v>
      </c>
      <c r="I234" t="n">
        <v>0</v>
      </c>
      <c r="J234" t="n">
        <v>0</v>
      </c>
      <c r="K234" t="n">
        <v>0</v>
      </c>
      <c r="L234" t="n">
        <v>0</v>
      </c>
      <c r="M234" t="n">
        <v>0</v>
      </c>
      <c r="N234" t="n">
        <v>0</v>
      </c>
      <c r="O234" t="n">
        <v>0</v>
      </c>
      <c r="P234" t="n">
        <v>0</v>
      </c>
      <c r="Q234" t="n">
        <v>0</v>
      </c>
      <c r="R234" s="2" t="inlineStr"/>
    </row>
    <row r="235" ht="15" customHeight="1">
      <c r="A235" t="inlineStr">
        <is>
          <t>A 458-2023</t>
        </is>
      </c>
      <c r="B235" s="1" t="n">
        <v>44929</v>
      </c>
      <c r="C235" s="1" t="n">
        <v>45927</v>
      </c>
      <c r="D235" t="inlineStr">
        <is>
          <t>GOTLANDS LÄN</t>
        </is>
      </c>
      <c r="E235" t="inlineStr">
        <is>
          <t>GOTLAND</t>
        </is>
      </c>
      <c r="G235" t="n">
        <v>3.6</v>
      </c>
      <c r="H235" t="n">
        <v>0</v>
      </c>
      <c r="I235" t="n">
        <v>0</v>
      </c>
      <c r="J235" t="n">
        <v>0</v>
      </c>
      <c r="K235" t="n">
        <v>0</v>
      </c>
      <c r="L235" t="n">
        <v>0</v>
      </c>
      <c r="M235" t="n">
        <v>0</v>
      </c>
      <c r="N235" t="n">
        <v>0</v>
      </c>
      <c r="O235" t="n">
        <v>0</v>
      </c>
      <c r="P235" t="n">
        <v>0</v>
      </c>
      <c r="Q235" t="n">
        <v>0</v>
      </c>
      <c r="R235" s="2" t="inlineStr"/>
    </row>
    <row r="236" ht="15" customHeight="1">
      <c r="A236" t="inlineStr">
        <is>
          <t>A 1291-2023</t>
        </is>
      </c>
      <c r="B236" s="1" t="n">
        <v>44936.47561342592</v>
      </c>
      <c r="C236" s="1" t="n">
        <v>45927</v>
      </c>
      <c r="D236" t="inlineStr">
        <is>
          <t>GOTLANDS LÄN</t>
        </is>
      </c>
      <c r="E236" t="inlineStr">
        <is>
          <t>GOTLAND</t>
        </is>
      </c>
      <c r="G236" t="n">
        <v>7.4</v>
      </c>
      <c r="H236" t="n">
        <v>0</v>
      </c>
      <c r="I236" t="n">
        <v>0</v>
      </c>
      <c r="J236" t="n">
        <v>0</v>
      </c>
      <c r="K236" t="n">
        <v>0</v>
      </c>
      <c r="L236" t="n">
        <v>0</v>
      </c>
      <c r="M236" t="n">
        <v>0</v>
      </c>
      <c r="N236" t="n">
        <v>0</v>
      </c>
      <c r="O236" t="n">
        <v>0</v>
      </c>
      <c r="P236" t="n">
        <v>0</v>
      </c>
      <c r="Q236" t="n">
        <v>0</v>
      </c>
      <c r="R236" s="2" t="inlineStr"/>
    </row>
    <row r="237" ht="15" customHeight="1">
      <c r="A237" t="inlineStr">
        <is>
          <t>A 21164-2024</t>
        </is>
      </c>
      <c r="B237" s="1" t="n">
        <v>45440</v>
      </c>
      <c r="C237" s="1" t="n">
        <v>45927</v>
      </c>
      <c r="D237" t="inlineStr">
        <is>
          <t>GOTLANDS LÄN</t>
        </is>
      </c>
      <c r="E237" t="inlineStr">
        <is>
          <t>GOTLAND</t>
        </is>
      </c>
      <c r="G237" t="n">
        <v>6.3</v>
      </c>
      <c r="H237" t="n">
        <v>0</v>
      </c>
      <c r="I237" t="n">
        <v>0</v>
      </c>
      <c r="J237" t="n">
        <v>0</v>
      </c>
      <c r="K237" t="n">
        <v>0</v>
      </c>
      <c r="L237" t="n">
        <v>0</v>
      </c>
      <c r="M237" t="n">
        <v>0</v>
      </c>
      <c r="N237" t="n">
        <v>0</v>
      </c>
      <c r="O237" t="n">
        <v>0</v>
      </c>
      <c r="P237" t="n">
        <v>0</v>
      </c>
      <c r="Q237" t="n">
        <v>0</v>
      </c>
      <c r="R237" s="2" t="inlineStr"/>
    </row>
    <row r="238" ht="15" customHeight="1">
      <c r="A238" t="inlineStr">
        <is>
          <t>A 17541-2024</t>
        </is>
      </c>
      <c r="B238" s="1" t="n">
        <v>45415</v>
      </c>
      <c r="C238" s="1" t="n">
        <v>45927</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883-2025</t>
        </is>
      </c>
      <c r="B239" s="1" t="n">
        <v>45665</v>
      </c>
      <c r="C239" s="1" t="n">
        <v>45927</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13910-2025</t>
        </is>
      </c>
      <c r="B240" s="1" t="n">
        <v>45737</v>
      </c>
      <c r="C240" s="1" t="n">
        <v>45927</v>
      </c>
      <c r="D240" t="inlineStr">
        <is>
          <t>GOTLANDS LÄN</t>
        </is>
      </c>
      <c r="E240" t="inlineStr">
        <is>
          <t>GOTLAND</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20794-2025</t>
        </is>
      </c>
      <c r="B241" s="1" t="n">
        <v>45776</v>
      </c>
      <c r="C241" s="1" t="n">
        <v>45927</v>
      </c>
      <c r="D241" t="inlineStr">
        <is>
          <t>GOTLANDS LÄN</t>
        </is>
      </c>
      <c r="E241" t="inlineStr">
        <is>
          <t>GOTLAND</t>
        </is>
      </c>
      <c r="G241" t="n">
        <v>6</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45927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45927</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45927</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12599-2025</t>
        </is>
      </c>
      <c r="B245" s="1" t="n">
        <v>45733.29546296296</v>
      </c>
      <c r="C245" s="1" t="n">
        <v>45927</v>
      </c>
      <c r="D245" t="inlineStr">
        <is>
          <t>GOTLANDS LÄN</t>
        </is>
      </c>
      <c r="E245" t="inlineStr">
        <is>
          <t>GOTLAND</t>
        </is>
      </c>
      <c r="G245" t="n">
        <v>4.7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45927</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5891-2025</t>
        </is>
      </c>
      <c r="B247" s="1" t="n">
        <v>45695.38327546296</v>
      </c>
      <c r="C247" s="1" t="n">
        <v>45927</v>
      </c>
      <c r="D247" t="inlineStr">
        <is>
          <t>GOTLANDS LÄN</t>
        </is>
      </c>
      <c r="E247" t="inlineStr">
        <is>
          <t>GOTLAND</t>
        </is>
      </c>
      <c r="G247" t="n">
        <v>0.8</v>
      </c>
      <c r="H247" t="n">
        <v>0</v>
      </c>
      <c r="I247" t="n">
        <v>0</v>
      </c>
      <c r="J247" t="n">
        <v>0</v>
      </c>
      <c r="K247" t="n">
        <v>0</v>
      </c>
      <c r="L247" t="n">
        <v>0</v>
      </c>
      <c r="M247" t="n">
        <v>0</v>
      </c>
      <c r="N247" t="n">
        <v>0</v>
      </c>
      <c r="O247" t="n">
        <v>0</v>
      </c>
      <c r="P247" t="n">
        <v>0</v>
      </c>
      <c r="Q247" t="n">
        <v>0</v>
      </c>
      <c r="R247" s="2" t="inlineStr"/>
    </row>
    <row r="248" ht="15" customHeight="1">
      <c r="A248" t="inlineStr">
        <is>
          <t>A 44228-2022</t>
        </is>
      </c>
      <c r="B248" s="1" t="n">
        <v>44839.51599537037</v>
      </c>
      <c r="C248" s="1" t="n">
        <v>45927</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20805-2025</t>
        </is>
      </c>
      <c r="B249" s="1" t="n">
        <v>45776</v>
      </c>
      <c r="C249" s="1" t="n">
        <v>45927</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61386-2023</t>
        </is>
      </c>
      <c r="B250" s="1" t="n">
        <v>45264</v>
      </c>
      <c r="C250" s="1" t="n">
        <v>45927</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21389-2025</t>
        </is>
      </c>
      <c r="B251" s="1" t="n">
        <v>45782</v>
      </c>
      <c r="C251" s="1" t="n">
        <v>45927</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22883-2024</t>
        </is>
      </c>
      <c r="B252" s="1" t="n">
        <v>45448.66368055555</v>
      </c>
      <c r="C252" s="1" t="n">
        <v>45927</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14804-2021</t>
        </is>
      </c>
      <c r="B253" s="1" t="n">
        <v>44280</v>
      </c>
      <c r="C253" s="1" t="n">
        <v>45927</v>
      </c>
      <c r="D253" t="inlineStr">
        <is>
          <t>GOTLANDS LÄN</t>
        </is>
      </c>
      <c r="E253" t="inlineStr">
        <is>
          <t>GOTLAND</t>
        </is>
      </c>
      <c r="G253" t="n">
        <v>2.2</v>
      </c>
      <c r="H253" t="n">
        <v>0</v>
      </c>
      <c r="I253" t="n">
        <v>0</v>
      </c>
      <c r="J253" t="n">
        <v>0</v>
      </c>
      <c r="K253" t="n">
        <v>0</v>
      </c>
      <c r="L253" t="n">
        <v>0</v>
      </c>
      <c r="M253" t="n">
        <v>0</v>
      </c>
      <c r="N253" t="n">
        <v>0</v>
      </c>
      <c r="O253" t="n">
        <v>0</v>
      </c>
      <c r="P253" t="n">
        <v>0</v>
      </c>
      <c r="Q253" t="n">
        <v>0</v>
      </c>
      <c r="R253" s="2" t="inlineStr"/>
    </row>
    <row r="254" ht="15" customHeight="1">
      <c r="A254" t="inlineStr">
        <is>
          <t>A 19002-2025</t>
        </is>
      </c>
      <c r="B254" s="1" t="n">
        <v>45764</v>
      </c>
      <c r="C254" s="1" t="n">
        <v>45927</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2719-2023</t>
        </is>
      </c>
      <c r="B255" s="1" t="n">
        <v>44944.55361111111</v>
      </c>
      <c r="C255" s="1" t="n">
        <v>45927</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17144-2025</t>
        </is>
      </c>
      <c r="B256" s="1" t="n">
        <v>45755.9499537037</v>
      </c>
      <c r="C256" s="1" t="n">
        <v>45927</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27593-2023</t>
        </is>
      </c>
      <c r="B257" s="1" t="n">
        <v>45097</v>
      </c>
      <c r="C257" s="1" t="n">
        <v>45927</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49314-2024</t>
        </is>
      </c>
      <c r="B258" s="1" t="n">
        <v>45595.55893518519</v>
      </c>
      <c r="C258" s="1" t="n">
        <v>45927</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25129-2023</t>
        </is>
      </c>
      <c r="B259" s="1" t="n">
        <v>45086.44261574074</v>
      </c>
      <c r="C259" s="1" t="n">
        <v>45927</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9875-2025</t>
        </is>
      </c>
      <c r="B260" s="1" t="n">
        <v>45716</v>
      </c>
      <c r="C260" s="1" t="n">
        <v>45927</v>
      </c>
      <c r="D260" t="inlineStr">
        <is>
          <t>GOTLANDS LÄN</t>
        </is>
      </c>
      <c r="E260" t="inlineStr">
        <is>
          <t>GOTLAND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29809-2022</t>
        </is>
      </c>
      <c r="B261" s="1" t="n">
        <v>44755.8713425926</v>
      </c>
      <c r="C261" s="1" t="n">
        <v>45927</v>
      </c>
      <c r="D261" t="inlineStr">
        <is>
          <t>GOTLANDS LÄN</t>
        </is>
      </c>
      <c r="E261" t="inlineStr">
        <is>
          <t>GOTLAND</t>
        </is>
      </c>
      <c r="G261" t="n">
        <v>11.5</v>
      </c>
      <c r="H261" t="n">
        <v>0</v>
      </c>
      <c r="I261" t="n">
        <v>0</v>
      </c>
      <c r="J261" t="n">
        <v>0</v>
      </c>
      <c r="K261" t="n">
        <v>0</v>
      </c>
      <c r="L261" t="n">
        <v>0</v>
      </c>
      <c r="M261" t="n">
        <v>0</v>
      </c>
      <c r="N261" t="n">
        <v>0</v>
      </c>
      <c r="O261" t="n">
        <v>0</v>
      </c>
      <c r="P261" t="n">
        <v>0</v>
      </c>
      <c r="Q261" t="n">
        <v>0</v>
      </c>
      <c r="R261" s="2" t="inlineStr"/>
    </row>
    <row r="262" ht="15" customHeight="1">
      <c r="A262" t="inlineStr">
        <is>
          <t>A 21651-2025</t>
        </is>
      </c>
      <c r="B262" s="1" t="n">
        <v>45783</v>
      </c>
      <c r="C262" s="1" t="n">
        <v>45927</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44204-2022</t>
        </is>
      </c>
      <c r="B263" s="1" t="n">
        <v>44839</v>
      </c>
      <c r="C263" s="1" t="n">
        <v>45927</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16361-2024</t>
        </is>
      </c>
      <c r="B264" s="1" t="n">
        <v>45407</v>
      </c>
      <c r="C264" s="1" t="n">
        <v>45927</v>
      </c>
      <c r="D264" t="inlineStr">
        <is>
          <t>GOTLANDS LÄN</t>
        </is>
      </c>
      <c r="E264" t="inlineStr">
        <is>
          <t>GOTLAND</t>
        </is>
      </c>
      <c r="G264" t="n">
        <v>6</v>
      </c>
      <c r="H264" t="n">
        <v>0</v>
      </c>
      <c r="I264" t="n">
        <v>0</v>
      </c>
      <c r="J264" t="n">
        <v>0</v>
      </c>
      <c r="K264" t="n">
        <v>0</v>
      </c>
      <c r="L264" t="n">
        <v>0</v>
      </c>
      <c r="M264" t="n">
        <v>0</v>
      </c>
      <c r="N264" t="n">
        <v>0</v>
      </c>
      <c r="O264" t="n">
        <v>0</v>
      </c>
      <c r="P264" t="n">
        <v>0</v>
      </c>
      <c r="Q264" t="n">
        <v>0</v>
      </c>
      <c r="R264" s="2" t="inlineStr"/>
    </row>
    <row r="265" ht="15" customHeight="1">
      <c r="A265" t="inlineStr">
        <is>
          <t>A 2035-2025</t>
        </is>
      </c>
      <c r="B265" s="1" t="n">
        <v>45672</v>
      </c>
      <c r="C265" s="1" t="n">
        <v>45927</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43081-2022</t>
        </is>
      </c>
      <c r="B266" s="1" t="n">
        <v>44833</v>
      </c>
      <c r="C266" s="1" t="n">
        <v>45927</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1175-2025</t>
        </is>
      </c>
      <c r="B267" s="1" t="n">
        <v>45667.34449074074</v>
      </c>
      <c r="C267" s="1" t="n">
        <v>45927</v>
      </c>
      <c r="D267" t="inlineStr">
        <is>
          <t>GOTLANDS LÄN</t>
        </is>
      </c>
      <c r="E267" t="inlineStr">
        <is>
          <t>GOTLAND</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42201-2023</t>
        </is>
      </c>
      <c r="B268" s="1" t="n">
        <v>45179</v>
      </c>
      <c r="C268" s="1" t="n">
        <v>45927</v>
      </c>
      <c r="D268" t="inlineStr">
        <is>
          <t>GOTLANDS LÄN</t>
        </is>
      </c>
      <c r="E268" t="inlineStr">
        <is>
          <t>GOTLAND</t>
        </is>
      </c>
      <c r="G268" t="n">
        <v>11.9</v>
      </c>
      <c r="H268" t="n">
        <v>0</v>
      </c>
      <c r="I268" t="n">
        <v>0</v>
      </c>
      <c r="J268" t="n">
        <v>0</v>
      </c>
      <c r="K268" t="n">
        <v>0</v>
      </c>
      <c r="L268" t="n">
        <v>0</v>
      </c>
      <c r="M268" t="n">
        <v>0</v>
      </c>
      <c r="N268" t="n">
        <v>0</v>
      </c>
      <c r="O268" t="n">
        <v>0</v>
      </c>
      <c r="P268" t="n">
        <v>0</v>
      </c>
      <c r="Q268" t="n">
        <v>0</v>
      </c>
      <c r="R268" s="2" t="inlineStr"/>
    </row>
    <row r="269" ht="15" customHeight="1">
      <c r="A269" t="inlineStr">
        <is>
          <t>A 3150-2025</t>
        </is>
      </c>
      <c r="B269" s="1" t="n">
        <v>45679.28974537037</v>
      </c>
      <c r="C269" s="1" t="n">
        <v>45927</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42041-2024</t>
        </is>
      </c>
      <c r="B270" s="1" t="n">
        <v>45561</v>
      </c>
      <c r="C270" s="1" t="n">
        <v>45927</v>
      </c>
      <c r="D270" t="inlineStr">
        <is>
          <t>GOTLANDS LÄN</t>
        </is>
      </c>
      <c r="E270" t="inlineStr">
        <is>
          <t>GOTLAND</t>
        </is>
      </c>
      <c r="G270" t="n">
        <v>3.2</v>
      </c>
      <c r="H270" t="n">
        <v>0</v>
      </c>
      <c r="I270" t="n">
        <v>0</v>
      </c>
      <c r="J270" t="n">
        <v>0</v>
      </c>
      <c r="K270" t="n">
        <v>0</v>
      </c>
      <c r="L270" t="n">
        <v>0</v>
      </c>
      <c r="M270" t="n">
        <v>0</v>
      </c>
      <c r="N270" t="n">
        <v>0</v>
      </c>
      <c r="O270" t="n">
        <v>0</v>
      </c>
      <c r="P270" t="n">
        <v>0</v>
      </c>
      <c r="Q270" t="n">
        <v>0</v>
      </c>
      <c r="R270" s="2" t="inlineStr"/>
    </row>
    <row r="271" ht="15" customHeight="1">
      <c r="A271" t="inlineStr">
        <is>
          <t>A 56009-2024</t>
        </is>
      </c>
      <c r="B271" s="1" t="n">
        <v>45623.80864583333</v>
      </c>
      <c r="C271" s="1" t="n">
        <v>45927</v>
      </c>
      <c r="D271" t="inlineStr">
        <is>
          <t>GOTLANDS LÄN</t>
        </is>
      </c>
      <c r="E271" t="inlineStr">
        <is>
          <t>GOTLAND</t>
        </is>
      </c>
      <c r="G271" t="n">
        <v>2.8</v>
      </c>
      <c r="H271" t="n">
        <v>0</v>
      </c>
      <c r="I271" t="n">
        <v>0</v>
      </c>
      <c r="J271" t="n">
        <v>0</v>
      </c>
      <c r="K271" t="n">
        <v>0</v>
      </c>
      <c r="L271" t="n">
        <v>0</v>
      </c>
      <c r="M271" t="n">
        <v>0</v>
      </c>
      <c r="N271" t="n">
        <v>0</v>
      </c>
      <c r="O271" t="n">
        <v>0</v>
      </c>
      <c r="P271" t="n">
        <v>0</v>
      </c>
      <c r="Q271" t="n">
        <v>0</v>
      </c>
      <c r="R271" s="2" t="inlineStr"/>
    </row>
    <row r="272" ht="15" customHeight="1">
      <c r="A272" t="inlineStr">
        <is>
          <t>A 54073-2022</t>
        </is>
      </c>
      <c r="B272" s="1" t="n">
        <v>44881.50380787037</v>
      </c>
      <c r="C272" s="1" t="n">
        <v>45927</v>
      </c>
      <c r="D272" t="inlineStr">
        <is>
          <t>GOTLANDS LÄN</t>
        </is>
      </c>
      <c r="E272" t="inlineStr">
        <is>
          <t>GOTLAND</t>
        </is>
      </c>
      <c r="G272" t="n">
        <v>3.8</v>
      </c>
      <c r="H272" t="n">
        <v>0</v>
      </c>
      <c r="I272" t="n">
        <v>0</v>
      </c>
      <c r="J272" t="n">
        <v>0</v>
      </c>
      <c r="K272" t="n">
        <v>0</v>
      </c>
      <c r="L272" t="n">
        <v>0</v>
      </c>
      <c r="M272" t="n">
        <v>0</v>
      </c>
      <c r="N272" t="n">
        <v>0</v>
      </c>
      <c r="O272" t="n">
        <v>0</v>
      </c>
      <c r="P272" t="n">
        <v>0</v>
      </c>
      <c r="Q272" t="n">
        <v>0</v>
      </c>
      <c r="R272" s="2" t="inlineStr"/>
    </row>
    <row r="273" ht="15" customHeight="1">
      <c r="A273" t="inlineStr">
        <is>
          <t>A 3964-2024</t>
        </is>
      </c>
      <c r="B273" s="1" t="n">
        <v>45322</v>
      </c>
      <c r="C273" s="1" t="n">
        <v>45927</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45927</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45106-2024</t>
        </is>
      </c>
      <c r="B275" s="1" t="n">
        <v>45575</v>
      </c>
      <c r="C275" s="1" t="n">
        <v>45927</v>
      </c>
      <c r="D275" t="inlineStr">
        <is>
          <t>GOTLANDS LÄN</t>
        </is>
      </c>
      <c r="E275" t="inlineStr">
        <is>
          <t>GOTLAND</t>
        </is>
      </c>
      <c r="G275" t="n">
        <v>10</v>
      </c>
      <c r="H275" t="n">
        <v>0</v>
      </c>
      <c r="I275" t="n">
        <v>0</v>
      </c>
      <c r="J275" t="n">
        <v>0</v>
      </c>
      <c r="K275" t="n">
        <v>0</v>
      </c>
      <c r="L275" t="n">
        <v>0</v>
      </c>
      <c r="M275" t="n">
        <v>0</v>
      </c>
      <c r="N275" t="n">
        <v>0</v>
      </c>
      <c r="O275" t="n">
        <v>0</v>
      </c>
      <c r="P275" t="n">
        <v>0</v>
      </c>
      <c r="Q275" t="n">
        <v>0</v>
      </c>
      <c r="R275" s="2" t="inlineStr"/>
    </row>
    <row r="276" ht="15" customHeight="1">
      <c r="A276" t="inlineStr">
        <is>
          <t>A 45112-2024</t>
        </is>
      </c>
      <c r="B276" s="1" t="n">
        <v>45575</v>
      </c>
      <c r="C276" s="1" t="n">
        <v>45927</v>
      </c>
      <c r="D276" t="inlineStr">
        <is>
          <t>GOTLANDS LÄN</t>
        </is>
      </c>
      <c r="E276" t="inlineStr">
        <is>
          <t>GOTLAND</t>
        </is>
      </c>
      <c r="G276" t="n">
        <v>5.1</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45927</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10656-2024</t>
        </is>
      </c>
      <c r="B278" s="1" t="n">
        <v>45368</v>
      </c>
      <c r="C278" s="1" t="n">
        <v>45927</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57356-2023</t>
        </is>
      </c>
      <c r="B279" s="1" t="n">
        <v>45240</v>
      </c>
      <c r="C279" s="1" t="n">
        <v>45927</v>
      </c>
      <c r="D279" t="inlineStr">
        <is>
          <t>GOTLANDS LÄN</t>
        </is>
      </c>
      <c r="E279" t="inlineStr">
        <is>
          <t>GOTLAND</t>
        </is>
      </c>
      <c r="G279" t="n">
        <v>6.4</v>
      </c>
      <c r="H279" t="n">
        <v>0</v>
      </c>
      <c r="I279" t="n">
        <v>0</v>
      </c>
      <c r="J279" t="n">
        <v>0</v>
      </c>
      <c r="K279" t="n">
        <v>0</v>
      </c>
      <c r="L279" t="n">
        <v>0</v>
      </c>
      <c r="M279" t="n">
        <v>0</v>
      </c>
      <c r="N279" t="n">
        <v>0</v>
      </c>
      <c r="O279" t="n">
        <v>0</v>
      </c>
      <c r="P279" t="n">
        <v>0</v>
      </c>
      <c r="Q279" t="n">
        <v>0</v>
      </c>
      <c r="R279" s="2" t="inlineStr"/>
    </row>
    <row r="280" ht="15" customHeight="1">
      <c r="A280" t="inlineStr">
        <is>
          <t>A 28506-2023</t>
        </is>
      </c>
      <c r="B280" s="1" t="n">
        <v>45103</v>
      </c>
      <c r="C280" s="1" t="n">
        <v>45927</v>
      </c>
      <c r="D280" t="inlineStr">
        <is>
          <t>GOTLANDS LÄN</t>
        </is>
      </c>
      <c r="E280" t="inlineStr">
        <is>
          <t>GOTLAND</t>
        </is>
      </c>
      <c r="G280" t="n">
        <v>3.2</v>
      </c>
      <c r="H280" t="n">
        <v>0</v>
      </c>
      <c r="I280" t="n">
        <v>0</v>
      </c>
      <c r="J280" t="n">
        <v>0</v>
      </c>
      <c r="K280" t="n">
        <v>0</v>
      </c>
      <c r="L280" t="n">
        <v>0</v>
      </c>
      <c r="M280" t="n">
        <v>0</v>
      </c>
      <c r="N280" t="n">
        <v>0</v>
      </c>
      <c r="O280" t="n">
        <v>0</v>
      </c>
      <c r="P280" t="n">
        <v>0</v>
      </c>
      <c r="Q280" t="n">
        <v>0</v>
      </c>
      <c r="R280" s="2" t="inlineStr"/>
    </row>
    <row r="281" ht="15" customHeight="1">
      <c r="A281" t="inlineStr">
        <is>
          <t>A 15436-2025</t>
        </is>
      </c>
      <c r="B281" s="1" t="n">
        <v>45747.47462962963</v>
      </c>
      <c r="C281" s="1" t="n">
        <v>45927</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13498-2022</t>
        </is>
      </c>
      <c r="B282" s="1" t="n">
        <v>44647.78866898148</v>
      </c>
      <c r="C282" s="1" t="n">
        <v>45927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13500-2022</t>
        </is>
      </c>
      <c r="B283" s="1" t="n">
        <v>44647.79513888889</v>
      </c>
      <c r="C283" s="1" t="n">
        <v>45927</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7026-2023</t>
        </is>
      </c>
      <c r="B284" s="1" t="n">
        <v>44968.30340277778</v>
      </c>
      <c r="C284" s="1" t="n">
        <v>45927</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23188-2025</t>
        </is>
      </c>
      <c r="B285" s="1" t="n">
        <v>45791</v>
      </c>
      <c r="C285" s="1" t="n">
        <v>45927</v>
      </c>
      <c r="D285" t="inlineStr">
        <is>
          <t>GOTLANDS LÄN</t>
        </is>
      </c>
      <c r="E285" t="inlineStr">
        <is>
          <t>GOTLAND</t>
        </is>
      </c>
      <c r="G285" t="n">
        <v>6.2</v>
      </c>
      <c r="H285" t="n">
        <v>0</v>
      </c>
      <c r="I285" t="n">
        <v>0</v>
      </c>
      <c r="J285" t="n">
        <v>0</v>
      </c>
      <c r="K285" t="n">
        <v>0</v>
      </c>
      <c r="L285" t="n">
        <v>0</v>
      </c>
      <c r="M285" t="n">
        <v>0</v>
      </c>
      <c r="N285" t="n">
        <v>0</v>
      </c>
      <c r="O285" t="n">
        <v>0</v>
      </c>
      <c r="P285" t="n">
        <v>0</v>
      </c>
      <c r="Q285" t="n">
        <v>0</v>
      </c>
      <c r="R285" s="2" t="inlineStr"/>
    </row>
    <row r="286" ht="15" customHeight="1">
      <c r="A286" t="inlineStr">
        <is>
          <t>A 21247-2022</t>
        </is>
      </c>
      <c r="B286" s="1" t="n">
        <v>44705.38832175926</v>
      </c>
      <c r="C286" s="1" t="n">
        <v>45927</v>
      </c>
      <c r="D286" t="inlineStr">
        <is>
          <t>GOTLANDS LÄN</t>
        </is>
      </c>
      <c r="E286" t="inlineStr">
        <is>
          <t>GOTLAND</t>
        </is>
      </c>
      <c r="G286" t="n">
        <v>16.2</v>
      </c>
      <c r="H286" t="n">
        <v>0</v>
      </c>
      <c r="I286" t="n">
        <v>0</v>
      </c>
      <c r="J286" t="n">
        <v>0</v>
      </c>
      <c r="K286" t="n">
        <v>0</v>
      </c>
      <c r="L286" t="n">
        <v>0</v>
      </c>
      <c r="M286" t="n">
        <v>0</v>
      </c>
      <c r="N286" t="n">
        <v>0</v>
      </c>
      <c r="O286" t="n">
        <v>0</v>
      </c>
      <c r="P286" t="n">
        <v>0</v>
      </c>
      <c r="Q286" t="n">
        <v>0</v>
      </c>
      <c r="R286" s="2" t="inlineStr"/>
    </row>
    <row r="287" ht="15" customHeight="1">
      <c r="A287" t="inlineStr">
        <is>
          <t>A 52892-2021</t>
        </is>
      </c>
      <c r="B287" s="1" t="n">
        <v>44467.49048611111</v>
      </c>
      <c r="C287" s="1" t="n">
        <v>45927</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1351-2025</t>
        </is>
      </c>
      <c r="B288" s="1" t="n">
        <v>45667.62246527777</v>
      </c>
      <c r="C288" s="1" t="n">
        <v>45927</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49874-2024</t>
        </is>
      </c>
      <c r="B289" s="1" t="n">
        <v>45597.49274305555</v>
      </c>
      <c r="C289" s="1" t="n">
        <v>45927</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17780-2022</t>
        </is>
      </c>
      <c r="B290" s="1" t="n">
        <v>44682.82622685185</v>
      </c>
      <c r="C290" s="1" t="n">
        <v>45927</v>
      </c>
      <c r="D290" t="inlineStr">
        <is>
          <t>GOTLANDS LÄN</t>
        </is>
      </c>
      <c r="E290" t="inlineStr">
        <is>
          <t>GOTLAND</t>
        </is>
      </c>
      <c r="G290" t="n">
        <v>2.2</v>
      </c>
      <c r="H290" t="n">
        <v>0</v>
      </c>
      <c r="I290" t="n">
        <v>0</v>
      </c>
      <c r="J290" t="n">
        <v>0</v>
      </c>
      <c r="K290" t="n">
        <v>0</v>
      </c>
      <c r="L290" t="n">
        <v>0</v>
      </c>
      <c r="M290" t="n">
        <v>0</v>
      </c>
      <c r="N290" t="n">
        <v>0</v>
      </c>
      <c r="O290" t="n">
        <v>0</v>
      </c>
      <c r="P290" t="n">
        <v>0</v>
      </c>
      <c r="Q290" t="n">
        <v>0</v>
      </c>
      <c r="R290" s="2" t="inlineStr"/>
    </row>
    <row r="291" ht="15" customHeight="1">
      <c r="A291" t="inlineStr">
        <is>
          <t>A 63516-2023</t>
        </is>
      </c>
      <c r="B291" s="1" t="n">
        <v>45274</v>
      </c>
      <c r="C291" s="1" t="n">
        <v>45927</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23856-2025</t>
        </is>
      </c>
      <c r="B292" s="1" t="n">
        <v>45793</v>
      </c>
      <c r="C292" s="1" t="n">
        <v>45927</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23473-2025</t>
        </is>
      </c>
      <c r="B293" s="1" t="n">
        <v>45792</v>
      </c>
      <c r="C293" s="1" t="n">
        <v>45927</v>
      </c>
      <c r="D293" t="inlineStr">
        <is>
          <t>GOTLANDS LÄN</t>
        </is>
      </c>
      <c r="E293" t="inlineStr">
        <is>
          <t>GOTLAND</t>
        </is>
      </c>
      <c r="G293" t="n">
        <v>3.6</v>
      </c>
      <c r="H293" t="n">
        <v>0</v>
      </c>
      <c r="I293" t="n">
        <v>0</v>
      </c>
      <c r="J293" t="n">
        <v>0</v>
      </c>
      <c r="K293" t="n">
        <v>0</v>
      </c>
      <c r="L293" t="n">
        <v>0</v>
      </c>
      <c r="M293" t="n">
        <v>0</v>
      </c>
      <c r="N293" t="n">
        <v>0</v>
      </c>
      <c r="O293" t="n">
        <v>0</v>
      </c>
      <c r="P293" t="n">
        <v>0</v>
      </c>
      <c r="Q293" t="n">
        <v>0</v>
      </c>
      <c r="R293" s="2" t="inlineStr"/>
    </row>
    <row r="294" ht="15" customHeight="1">
      <c r="A294" t="inlineStr">
        <is>
          <t>A 53935-2024</t>
        </is>
      </c>
      <c r="B294" s="1" t="n">
        <v>45615</v>
      </c>
      <c r="C294" s="1" t="n">
        <v>45927</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23698-2025</t>
        </is>
      </c>
      <c r="B295" s="1" t="n">
        <v>45793</v>
      </c>
      <c r="C295" s="1" t="n">
        <v>45927</v>
      </c>
      <c r="D295" t="inlineStr">
        <is>
          <t>GOTLANDS LÄN</t>
        </is>
      </c>
      <c r="E295" t="inlineStr">
        <is>
          <t>GOTLAND</t>
        </is>
      </c>
      <c r="G295" t="n">
        <v>0.8</v>
      </c>
      <c r="H295" t="n">
        <v>0</v>
      </c>
      <c r="I295" t="n">
        <v>0</v>
      </c>
      <c r="J295" t="n">
        <v>0</v>
      </c>
      <c r="K295" t="n">
        <v>0</v>
      </c>
      <c r="L295" t="n">
        <v>0</v>
      </c>
      <c r="M295" t="n">
        <v>0</v>
      </c>
      <c r="N295" t="n">
        <v>0</v>
      </c>
      <c r="O295" t="n">
        <v>0</v>
      </c>
      <c r="P295" t="n">
        <v>0</v>
      </c>
      <c r="Q295" t="n">
        <v>0</v>
      </c>
      <c r="R295" s="2" t="inlineStr"/>
    </row>
    <row r="296" ht="15" customHeight="1">
      <c r="A296" t="inlineStr">
        <is>
          <t>A 15073-2025</t>
        </is>
      </c>
      <c r="B296" s="1" t="n">
        <v>45743</v>
      </c>
      <c r="C296" s="1" t="n">
        <v>45927</v>
      </c>
      <c r="D296" t="inlineStr">
        <is>
          <t>GOTLANDS LÄN</t>
        </is>
      </c>
      <c r="E296" t="inlineStr">
        <is>
          <t>GOTLAND</t>
        </is>
      </c>
      <c r="G296" t="n">
        <v>12.1</v>
      </c>
      <c r="H296" t="n">
        <v>0</v>
      </c>
      <c r="I296" t="n">
        <v>0</v>
      </c>
      <c r="J296" t="n">
        <v>0</v>
      </c>
      <c r="K296" t="n">
        <v>0</v>
      </c>
      <c r="L296" t="n">
        <v>0</v>
      </c>
      <c r="M296" t="n">
        <v>0</v>
      </c>
      <c r="N296" t="n">
        <v>0</v>
      </c>
      <c r="O296" t="n">
        <v>0</v>
      </c>
      <c r="P296" t="n">
        <v>0</v>
      </c>
      <c r="Q296" t="n">
        <v>0</v>
      </c>
      <c r="R296" s="2" t="inlineStr"/>
    </row>
    <row r="297" ht="15" customHeight="1">
      <c r="A297" t="inlineStr">
        <is>
          <t>A 69112-2021</t>
        </is>
      </c>
      <c r="B297" s="1" t="n">
        <v>44530</v>
      </c>
      <c r="C297" s="1" t="n">
        <v>45927</v>
      </c>
      <c r="D297" t="inlineStr">
        <is>
          <t>GOTLANDS LÄN</t>
        </is>
      </c>
      <c r="E297" t="inlineStr">
        <is>
          <t>GOTLAND</t>
        </is>
      </c>
      <c r="G297" t="n">
        <v>4.2</v>
      </c>
      <c r="H297" t="n">
        <v>0</v>
      </c>
      <c r="I297" t="n">
        <v>0</v>
      </c>
      <c r="J297" t="n">
        <v>0</v>
      </c>
      <c r="K297" t="n">
        <v>0</v>
      </c>
      <c r="L297" t="n">
        <v>0</v>
      </c>
      <c r="M297" t="n">
        <v>0</v>
      </c>
      <c r="N297" t="n">
        <v>0</v>
      </c>
      <c r="O297" t="n">
        <v>0</v>
      </c>
      <c r="P297" t="n">
        <v>0</v>
      </c>
      <c r="Q297" t="n">
        <v>0</v>
      </c>
      <c r="R297" s="2" t="inlineStr"/>
    </row>
    <row r="298" ht="15" customHeight="1">
      <c r="A298" t="inlineStr">
        <is>
          <t>A 21507-2021</t>
        </is>
      </c>
      <c r="B298" s="1" t="n">
        <v>44321</v>
      </c>
      <c r="C298" s="1" t="n">
        <v>45927</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48734-2022</t>
        </is>
      </c>
      <c r="B299" s="1" t="n">
        <v>44855</v>
      </c>
      <c r="C299" s="1" t="n">
        <v>45927</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23516-2023</t>
        </is>
      </c>
      <c r="B300" s="1" t="n">
        <v>45076.93391203704</v>
      </c>
      <c r="C300" s="1" t="n">
        <v>45927</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43231-2023</t>
        </is>
      </c>
      <c r="B301" s="1" t="n">
        <v>45183.47025462963</v>
      </c>
      <c r="C301" s="1" t="n">
        <v>45927</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45927</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45927</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58230-2024</t>
        </is>
      </c>
      <c r="B304" s="1" t="n">
        <v>45632.51625</v>
      </c>
      <c r="C304" s="1" t="n">
        <v>45927</v>
      </c>
      <c r="D304" t="inlineStr">
        <is>
          <t>GOTLANDS LÄN</t>
        </is>
      </c>
      <c r="E304" t="inlineStr">
        <is>
          <t>GOTLAND</t>
        </is>
      </c>
      <c r="G304" t="n">
        <v>7.3</v>
      </c>
      <c r="H304" t="n">
        <v>0</v>
      </c>
      <c r="I304" t="n">
        <v>0</v>
      </c>
      <c r="J304" t="n">
        <v>0</v>
      </c>
      <c r="K304" t="n">
        <v>0</v>
      </c>
      <c r="L304" t="n">
        <v>0</v>
      </c>
      <c r="M304" t="n">
        <v>0</v>
      </c>
      <c r="N304" t="n">
        <v>0</v>
      </c>
      <c r="O304" t="n">
        <v>0</v>
      </c>
      <c r="P304" t="n">
        <v>0</v>
      </c>
      <c r="Q304" t="n">
        <v>0</v>
      </c>
      <c r="R304" s="2" t="inlineStr"/>
    </row>
    <row r="305" ht="15" customHeight="1">
      <c r="A305" t="inlineStr">
        <is>
          <t>A 64555-2023</t>
        </is>
      </c>
      <c r="B305" s="1" t="n">
        <v>45281</v>
      </c>
      <c r="C305" s="1" t="n">
        <v>45927</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457-2023</t>
        </is>
      </c>
      <c r="B306" s="1" t="n">
        <v>44929.87238425926</v>
      </c>
      <c r="C306" s="1" t="n">
        <v>45927</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459-2023</t>
        </is>
      </c>
      <c r="B307" s="1" t="n">
        <v>44929.87423611111</v>
      </c>
      <c r="C307" s="1" t="n">
        <v>45927</v>
      </c>
      <c r="D307" t="inlineStr">
        <is>
          <t>GOTLANDS LÄN</t>
        </is>
      </c>
      <c r="E307" t="inlineStr">
        <is>
          <t>GOTLAND</t>
        </is>
      </c>
      <c r="G307" t="n">
        <v>4.2</v>
      </c>
      <c r="H307" t="n">
        <v>0</v>
      </c>
      <c r="I307" t="n">
        <v>0</v>
      </c>
      <c r="J307" t="n">
        <v>0</v>
      </c>
      <c r="K307" t="n">
        <v>0</v>
      </c>
      <c r="L307" t="n">
        <v>0</v>
      </c>
      <c r="M307" t="n">
        <v>0</v>
      </c>
      <c r="N307" t="n">
        <v>0</v>
      </c>
      <c r="O307" t="n">
        <v>0</v>
      </c>
      <c r="P307" t="n">
        <v>0</v>
      </c>
      <c r="Q307" t="n">
        <v>0</v>
      </c>
      <c r="R307" s="2" t="inlineStr"/>
    </row>
    <row r="308" ht="15" customHeight="1">
      <c r="A308" t="inlineStr">
        <is>
          <t>A 57219-2021</t>
        </is>
      </c>
      <c r="B308" s="1" t="n">
        <v>44483</v>
      </c>
      <c r="C308" s="1" t="n">
        <v>45927</v>
      </c>
      <c r="D308" t="inlineStr">
        <is>
          <t>GOTLANDS LÄN</t>
        </is>
      </c>
      <c r="E308" t="inlineStr">
        <is>
          <t>GOTLAND</t>
        </is>
      </c>
      <c r="F308" t="inlineStr">
        <is>
          <t>Kyrkan</t>
        </is>
      </c>
      <c r="G308" t="n">
        <v>4</v>
      </c>
      <c r="H308" t="n">
        <v>0</v>
      </c>
      <c r="I308" t="n">
        <v>0</v>
      </c>
      <c r="J308" t="n">
        <v>0</v>
      </c>
      <c r="K308" t="n">
        <v>0</v>
      </c>
      <c r="L308" t="n">
        <v>0</v>
      </c>
      <c r="M308" t="n">
        <v>0</v>
      </c>
      <c r="N308" t="n">
        <v>0</v>
      </c>
      <c r="O308" t="n">
        <v>0</v>
      </c>
      <c r="P308" t="n">
        <v>0</v>
      </c>
      <c r="Q308" t="n">
        <v>0</v>
      </c>
      <c r="R308" s="2" t="inlineStr"/>
    </row>
    <row r="309" ht="15" customHeight="1">
      <c r="A309" t="inlineStr">
        <is>
          <t>A 5217-2023</t>
        </is>
      </c>
      <c r="B309" s="1" t="n">
        <v>44959.39582175926</v>
      </c>
      <c r="C309" s="1" t="n">
        <v>45927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6796-2025</t>
        </is>
      </c>
      <c r="B310" s="1" t="n">
        <v>45700.66559027778</v>
      </c>
      <c r="C310" s="1" t="n">
        <v>45927</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876-2024</t>
        </is>
      </c>
      <c r="B311" s="1" t="n">
        <v>45301</v>
      </c>
      <c r="C311" s="1" t="n">
        <v>45927</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26891-2024</t>
        </is>
      </c>
      <c r="B312" s="1" t="n">
        <v>45470.65540509259</v>
      </c>
      <c r="C312" s="1" t="n">
        <v>45927</v>
      </c>
      <c r="D312" t="inlineStr">
        <is>
          <t>GOTLANDS LÄN</t>
        </is>
      </c>
      <c r="E312" t="inlineStr">
        <is>
          <t>GOTLAND</t>
        </is>
      </c>
      <c r="G312" t="n">
        <v>0.8</v>
      </c>
      <c r="H312" t="n">
        <v>0</v>
      </c>
      <c r="I312" t="n">
        <v>0</v>
      </c>
      <c r="J312" t="n">
        <v>0</v>
      </c>
      <c r="K312" t="n">
        <v>0</v>
      </c>
      <c r="L312" t="n">
        <v>0</v>
      </c>
      <c r="M312" t="n">
        <v>0</v>
      </c>
      <c r="N312" t="n">
        <v>0</v>
      </c>
      <c r="O312" t="n">
        <v>0</v>
      </c>
      <c r="P312" t="n">
        <v>0</v>
      </c>
      <c r="Q312" t="n">
        <v>0</v>
      </c>
      <c r="R312" s="2" t="inlineStr"/>
    </row>
    <row r="313" ht="15" customHeight="1">
      <c r="A313" t="inlineStr">
        <is>
          <t>A 14536-2021</t>
        </is>
      </c>
      <c r="B313" s="1" t="n">
        <v>44279.66168981481</v>
      </c>
      <c r="C313" s="1" t="n">
        <v>45927</v>
      </c>
      <c r="D313" t="inlineStr">
        <is>
          <t>GOTLANDS LÄN</t>
        </is>
      </c>
      <c r="E313" t="inlineStr">
        <is>
          <t>GOTLAND</t>
        </is>
      </c>
      <c r="G313" t="n">
        <v>8.5</v>
      </c>
      <c r="H313" t="n">
        <v>0</v>
      </c>
      <c r="I313" t="n">
        <v>0</v>
      </c>
      <c r="J313" t="n">
        <v>0</v>
      </c>
      <c r="K313" t="n">
        <v>0</v>
      </c>
      <c r="L313" t="n">
        <v>0</v>
      </c>
      <c r="M313" t="n">
        <v>0</v>
      </c>
      <c r="N313" t="n">
        <v>0</v>
      </c>
      <c r="O313" t="n">
        <v>0</v>
      </c>
      <c r="P313" t="n">
        <v>0</v>
      </c>
      <c r="Q313" t="n">
        <v>0</v>
      </c>
      <c r="R313" s="2" t="inlineStr"/>
    </row>
    <row r="314" ht="15" customHeight="1">
      <c r="A314" t="inlineStr">
        <is>
          <t>A 5923-2023</t>
        </is>
      </c>
      <c r="B314" s="1" t="n">
        <v>44963.69503472222</v>
      </c>
      <c r="C314" s="1" t="n">
        <v>45927</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50482-2024</t>
        </is>
      </c>
      <c r="B315" s="1" t="n">
        <v>45601.48114583334</v>
      </c>
      <c r="C315" s="1" t="n">
        <v>45927</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14638-2025</t>
        </is>
      </c>
      <c r="B316" s="1" t="n">
        <v>45742</v>
      </c>
      <c r="C316" s="1" t="n">
        <v>45927</v>
      </c>
      <c r="D316" t="inlineStr">
        <is>
          <t>GOTLANDS LÄN</t>
        </is>
      </c>
      <c r="E316" t="inlineStr">
        <is>
          <t>GOTLAND</t>
        </is>
      </c>
      <c r="G316" t="n">
        <v>13.4</v>
      </c>
      <c r="H316" t="n">
        <v>0</v>
      </c>
      <c r="I316" t="n">
        <v>0</v>
      </c>
      <c r="J316" t="n">
        <v>0</v>
      </c>
      <c r="K316" t="n">
        <v>0</v>
      </c>
      <c r="L316" t="n">
        <v>0</v>
      </c>
      <c r="M316" t="n">
        <v>0</v>
      </c>
      <c r="N316" t="n">
        <v>0</v>
      </c>
      <c r="O316" t="n">
        <v>0</v>
      </c>
      <c r="P316" t="n">
        <v>0</v>
      </c>
      <c r="Q316" t="n">
        <v>0</v>
      </c>
      <c r="R316" s="2" t="inlineStr"/>
    </row>
    <row r="317" ht="15" customHeight="1">
      <c r="A317" t="inlineStr">
        <is>
          <t>A 6749-2025</t>
        </is>
      </c>
      <c r="B317" s="1" t="n">
        <v>45700</v>
      </c>
      <c r="C317" s="1" t="n">
        <v>45927</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5943-2024</t>
        </is>
      </c>
      <c r="B318" s="1" t="n">
        <v>45336</v>
      </c>
      <c r="C318" s="1" t="n">
        <v>45927</v>
      </c>
      <c r="D318" t="inlineStr">
        <is>
          <t>GOTLANDS LÄN</t>
        </is>
      </c>
      <c r="E318" t="inlineStr">
        <is>
          <t>GOTLAND</t>
        </is>
      </c>
      <c r="G318" t="n">
        <v>4.3</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45927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4421-2024</t>
        </is>
      </c>
      <c r="B320" s="1" t="n">
        <v>45327.45173611111</v>
      </c>
      <c r="C320" s="1" t="n">
        <v>45927</v>
      </c>
      <c r="D320" t="inlineStr">
        <is>
          <t>GOTLANDS LÄN</t>
        </is>
      </c>
      <c r="E320" t="inlineStr">
        <is>
          <t>GOTLAND</t>
        </is>
      </c>
      <c r="G320" t="n">
        <v>5.1</v>
      </c>
      <c r="H320" t="n">
        <v>0</v>
      </c>
      <c r="I320" t="n">
        <v>0</v>
      </c>
      <c r="J320" t="n">
        <v>0</v>
      </c>
      <c r="K320" t="n">
        <v>0</v>
      </c>
      <c r="L320" t="n">
        <v>0</v>
      </c>
      <c r="M320" t="n">
        <v>0</v>
      </c>
      <c r="N320" t="n">
        <v>0</v>
      </c>
      <c r="O320" t="n">
        <v>0</v>
      </c>
      <c r="P320" t="n">
        <v>0</v>
      </c>
      <c r="Q320" t="n">
        <v>0</v>
      </c>
      <c r="R320" s="2" t="inlineStr"/>
    </row>
    <row r="321" ht="15" customHeight="1">
      <c r="A321" t="inlineStr">
        <is>
          <t>A 1273-2023</t>
        </is>
      </c>
      <c r="B321" s="1" t="n">
        <v>44936</v>
      </c>
      <c r="C321" s="1" t="n">
        <v>45927</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20165-2022</t>
        </is>
      </c>
      <c r="B322" s="1" t="n">
        <v>44698.49854166667</v>
      </c>
      <c r="C322" s="1" t="n">
        <v>45927</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45927</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45927</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5462-2025</t>
        </is>
      </c>
      <c r="B325" s="1" t="n">
        <v>45693.29331018519</v>
      </c>
      <c r="C325" s="1" t="n">
        <v>45927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17724-2024</t>
        </is>
      </c>
      <c r="B326" s="1" t="n">
        <v>45418.55096064815</v>
      </c>
      <c r="C326" s="1" t="n">
        <v>45927</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43223-2023</t>
        </is>
      </c>
      <c r="B327" s="1" t="n">
        <v>45183.45642361111</v>
      </c>
      <c r="C327" s="1" t="n">
        <v>45927</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61962-2024</t>
        </is>
      </c>
      <c r="B328" s="1" t="n">
        <v>45653.54340277778</v>
      </c>
      <c r="C328" s="1" t="n">
        <v>45927</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27930-2021</t>
        </is>
      </c>
      <c r="B329" s="1" t="n">
        <v>44354</v>
      </c>
      <c r="C329" s="1" t="n">
        <v>45927</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23978-2023</t>
        </is>
      </c>
      <c r="B330" s="1" t="n">
        <v>45078</v>
      </c>
      <c r="C330" s="1" t="n">
        <v>45927</v>
      </c>
      <c r="D330" t="inlineStr">
        <is>
          <t>GOTLANDS LÄN</t>
        </is>
      </c>
      <c r="E330" t="inlineStr">
        <is>
          <t>GOTLAND</t>
        </is>
      </c>
      <c r="F330" t="inlineStr">
        <is>
          <t>Naturvårdsverket</t>
        </is>
      </c>
      <c r="G330" t="n">
        <v>1.7</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45927</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59469-2024</t>
        </is>
      </c>
      <c r="B332" s="1" t="n">
        <v>45638</v>
      </c>
      <c r="C332" s="1" t="n">
        <v>45927</v>
      </c>
      <c r="D332" t="inlineStr">
        <is>
          <t>GOTLANDS LÄN</t>
        </is>
      </c>
      <c r="E332" t="inlineStr">
        <is>
          <t>GOTLAND</t>
        </is>
      </c>
      <c r="G332" t="n">
        <v>0.4</v>
      </c>
      <c r="H332" t="n">
        <v>0</v>
      </c>
      <c r="I332" t="n">
        <v>0</v>
      </c>
      <c r="J332" t="n">
        <v>0</v>
      </c>
      <c r="K332" t="n">
        <v>0</v>
      </c>
      <c r="L332" t="n">
        <v>0</v>
      </c>
      <c r="M332" t="n">
        <v>0</v>
      </c>
      <c r="N332" t="n">
        <v>0</v>
      </c>
      <c r="O332" t="n">
        <v>0</v>
      </c>
      <c r="P332" t="n">
        <v>0</v>
      </c>
      <c r="Q332" t="n">
        <v>0</v>
      </c>
      <c r="R332" s="2" t="inlineStr"/>
    </row>
    <row r="333" ht="15" customHeight="1">
      <c r="A333" t="inlineStr">
        <is>
          <t>A 12846-2025</t>
        </is>
      </c>
      <c r="B333" s="1" t="n">
        <v>45733.65049768519</v>
      </c>
      <c r="C333" s="1" t="n">
        <v>45927</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43200-2023</t>
        </is>
      </c>
      <c r="B334" s="1" t="n">
        <v>45183</v>
      </c>
      <c r="C334" s="1" t="n">
        <v>45927</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3935-2025</t>
        </is>
      </c>
      <c r="B335" s="1" t="n">
        <v>45684.46070601852</v>
      </c>
      <c r="C335" s="1" t="n">
        <v>45927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53641-2020</t>
        </is>
      </c>
      <c r="B336" s="1" t="n">
        <v>44124</v>
      </c>
      <c r="C336" s="1" t="n">
        <v>45927</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5751-2024</t>
        </is>
      </c>
      <c r="B337" s="1" t="n">
        <v>45335.32702546296</v>
      </c>
      <c r="C337" s="1" t="n">
        <v>45927</v>
      </c>
      <c r="D337" t="inlineStr">
        <is>
          <t>GOTLANDS LÄN</t>
        </is>
      </c>
      <c r="E337" t="inlineStr">
        <is>
          <t>GOTLAND</t>
        </is>
      </c>
      <c r="G337" t="n">
        <v>4.2</v>
      </c>
      <c r="H337" t="n">
        <v>0</v>
      </c>
      <c r="I337" t="n">
        <v>0</v>
      </c>
      <c r="J337" t="n">
        <v>0</v>
      </c>
      <c r="K337" t="n">
        <v>0</v>
      </c>
      <c r="L337" t="n">
        <v>0</v>
      </c>
      <c r="M337" t="n">
        <v>0</v>
      </c>
      <c r="N337" t="n">
        <v>0</v>
      </c>
      <c r="O337" t="n">
        <v>0</v>
      </c>
      <c r="P337" t="n">
        <v>0</v>
      </c>
      <c r="Q337" t="n">
        <v>0</v>
      </c>
      <c r="R337" s="2" t="inlineStr"/>
    </row>
    <row r="338" ht="15" customHeight="1">
      <c r="A338" t="inlineStr">
        <is>
          <t>A 6696-2023</t>
        </is>
      </c>
      <c r="B338" s="1" t="n">
        <v>44966.66425925926</v>
      </c>
      <c r="C338" s="1" t="n">
        <v>45927</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25796-2025</t>
        </is>
      </c>
      <c r="B339" s="1" t="n">
        <v>45804.39543981481</v>
      </c>
      <c r="C339" s="1" t="n">
        <v>45927</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45927</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45927</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4990-2025</t>
        </is>
      </c>
      <c r="B342" s="1" t="n">
        <v>45691</v>
      </c>
      <c r="C342" s="1" t="n">
        <v>45927</v>
      </c>
      <c r="D342" t="inlineStr">
        <is>
          <t>GOTLANDS LÄN</t>
        </is>
      </c>
      <c r="E342" t="inlineStr">
        <is>
          <t>GOTLAND</t>
        </is>
      </c>
      <c r="G342" t="n">
        <v>7.7</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45927</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38165-2023</t>
        </is>
      </c>
      <c r="B344" s="1" t="n">
        <v>45161</v>
      </c>
      <c r="C344" s="1" t="n">
        <v>45927</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17901-2023</t>
        </is>
      </c>
      <c r="B345" s="1" t="n">
        <v>45039</v>
      </c>
      <c r="C345" s="1" t="n">
        <v>45927</v>
      </c>
      <c r="D345" t="inlineStr">
        <is>
          <t>GOTLANDS LÄN</t>
        </is>
      </c>
      <c r="E345" t="inlineStr">
        <is>
          <t>GOTLAND</t>
        </is>
      </c>
      <c r="F345" t="inlineStr">
        <is>
          <t>Kyrkan</t>
        </is>
      </c>
      <c r="G345" t="n">
        <v>0.6</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45927</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26465-2025</t>
        </is>
      </c>
      <c r="B347" s="1" t="n">
        <v>45807.44377314814</v>
      </c>
      <c r="C347" s="1" t="n">
        <v>45927</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48843-2024</t>
        </is>
      </c>
      <c r="B348" s="1" t="n">
        <v>45593</v>
      </c>
      <c r="C348" s="1" t="n">
        <v>45927</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26457-2025</t>
        </is>
      </c>
      <c r="B349" s="1" t="n">
        <v>45807.42773148148</v>
      </c>
      <c r="C349" s="1" t="n">
        <v>45927</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26467-2025</t>
        </is>
      </c>
      <c r="B350" s="1" t="n">
        <v>45807.44640046296</v>
      </c>
      <c r="C350" s="1" t="n">
        <v>45927</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45927</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45927</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10653-2023</t>
        </is>
      </c>
      <c r="B353" s="1" t="n">
        <v>44988.48859953704</v>
      </c>
      <c r="C353" s="1" t="n">
        <v>45927</v>
      </c>
      <c r="D353" t="inlineStr">
        <is>
          <t>GOTLANDS LÄN</t>
        </is>
      </c>
      <c r="E353" t="inlineStr">
        <is>
          <t>GOTLAND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45927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45927</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48503-2023</t>
        </is>
      </c>
      <c r="B356" s="1" t="n">
        <v>45207</v>
      </c>
      <c r="C356" s="1" t="n">
        <v>45927</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35512-2023</t>
        </is>
      </c>
      <c r="B357" s="1" t="n">
        <v>45147.25623842593</v>
      </c>
      <c r="C357" s="1" t="n">
        <v>45927</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27355-2025</t>
        </is>
      </c>
      <c r="B358" s="1" t="n">
        <v>45812</v>
      </c>
      <c r="C358" s="1" t="n">
        <v>45927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27348-2025</t>
        </is>
      </c>
      <c r="B359" s="1" t="n">
        <v>45812.62451388889</v>
      </c>
      <c r="C359" s="1" t="n">
        <v>45927</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24825-2024</t>
        </is>
      </c>
      <c r="B360" s="1" t="n">
        <v>45461</v>
      </c>
      <c r="C360" s="1" t="n">
        <v>45927</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11874-2024</t>
        </is>
      </c>
      <c r="B361" s="1" t="n">
        <v>45376.46956018519</v>
      </c>
      <c r="C361" s="1" t="n">
        <v>45927</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27371-2025</t>
        </is>
      </c>
      <c r="B362" s="1" t="n">
        <v>45812</v>
      </c>
      <c r="C362" s="1" t="n">
        <v>45927</v>
      </c>
      <c r="D362" t="inlineStr">
        <is>
          <t>GOTLANDS LÄN</t>
        </is>
      </c>
      <c r="E362" t="inlineStr">
        <is>
          <t>GOTLAND</t>
        </is>
      </c>
      <c r="G362" t="n">
        <v>8</v>
      </c>
      <c r="H362" t="n">
        <v>0</v>
      </c>
      <c r="I362" t="n">
        <v>0</v>
      </c>
      <c r="J362" t="n">
        <v>0</v>
      </c>
      <c r="K362" t="n">
        <v>0</v>
      </c>
      <c r="L362" t="n">
        <v>0</v>
      </c>
      <c r="M362" t="n">
        <v>0</v>
      </c>
      <c r="N362" t="n">
        <v>0</v>
      </c>
      <c r="O362" t="n">
        <v>0</v>
      </c>
      <c r="P362" t="n">
        <v>0</v>
      </c>
      <c r="Q362" t="n">
        <v>0</v>
      </c>
      <c r="R362" s="2" t="inlineStr"/>
    </row>
    <row r="363" ht="15" customHeight="1">
      <c r="A363" t="inlineStr">
        <is>
          <t>A 20225-2025</t>
        </is>
      </c>
      <c r="B363" s="1" t="n">
        <v>45772.65802083333</v>
      </c>
      <c r="C363" s="1" t="n">
        <v>45927</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22031-2024</t>
        </is>
      </c>
      <c r="B364" s="1" t="n">
        <v>45443.60075231481</v>
      </c>
      <c r="C364" s="1" t="n">
        <v>45927</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17688-2024</t>
        </is>
      </c>
      <c r="B365" s="1" t="n">
        <v>45418.43575231481</v>
      </c>
      <c r="C365" s="1" t="n">
        <v>45927</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1677-2023</t>
        </is>
      </c>
      <c r="B366" s="1" t="n">
        <v>44938</v>
      </c>
      <c r="C366" s="1" t="n">
        <v>45927</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7850-2025</t>
        </is>
      </c>
      <c r="B367" s="1" t="n">
        <v>45706</v>
      </c>
      <c r="C367" s="1" t="n">
        <v>45927</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6739-2025</t>
        </is>
      </c>
      <c r="B368" s="1" t="n">
        <v>45700</v>
      </c>
      <c r="C368" s="1" t="n">
        <v>45927</v>
      </c>
      <c r="D368" t="inlineStr">
        <is>
          <t>GOTLANDS LÄN</t>
        </is>
      </c>
      <c r="E368" t="inlineStr">
        <is>
          <t>GOTLAND</t>
        </is>
      </c>
      <c r="G368" t="n">
        <v>4.5</v>
      </c>
      <c r="H368" t="n">
        <v>0</v>
      </c>
      <c r="I368" t="n">
        <v>0</v>
      </c>
      <c r="J368" t="n">
        <v>0</v>
      </c>
      <c r="K368" t="n">
        <v>0</v>
      </c>
      <c r="L368" t="n">
        <v>0</v>
      </c>
      <c r="M368" t="n">
        <v>0</v>
      </c>
      <c r="N368" t="n">
        <v>0</v>
      </c>
      <c r="O368" t="n">
        <v>0</v>
      </c>
      <c r="P368" t="n">
        <v>0</v>
      </c>
      <c r="Q368" t="n">
        <v>0</v>
      </c>
      <c r="R368" s="2" t="inlineStr"/>
    </row>
    <row r="369" ht="15" customHeight="1">
      <c r="A369" t="inlineStr">
        <is>
          <t>A 64831-2023</t>
        </is>
      </c>
      <c r="B369" s="1" t="n">
        <v>45282.44924768519</v>
      </c>
      <c r="C369" s="1" t="n">
        <v>45927</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27694-2024</t>
        </is>
      </c>
      <c r="B370" s="1" t="n">
        <v>45475</v>
      </c>
      <c r="C370" s="1" t="n">
        <v>45927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456-2023</t>
        </is>
      </c>
      <c r="B371" s="1" t="n">
        <v>44929.87122685185</v>
      </c>
      <c r="C371" s="1" t="n">
        <v>45927</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45927</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19905-2025</t>
        </is>
      </c>
      <c r="B373" s="1" t="n">
        <v>45771</v>
      </c>
      <c r="C373" s="1" t="n">
        <v>45927</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45927</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45927</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45927</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8036-2022</t>
        </is>
      </c>
      <c r="B377" s="1" t="n">
        <v>44609.44362268518</v>
      </c>
      <c r="C377" s="1" t="n">
        <v>45927</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46375-2024</t>
        </is>
      </c>
      <c r="B378" s="1" t="n">
        <v>45582</v>
      </c>
      <c r="C378" s="1" t="n">
        <v>45927</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62915-2021</t>
        </is>
      </c>
      <c r="B379" s="1" t="n">
        <v>44504</v>
      </c>
      <c r="C379" s="1" t="n">
        <v>45927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22287-2022</t>
        </is>
      </c>
      <c r="B380" s="1" t="n">
        <v>44712</v>
      </c>
      <c r="C380" s="1" t="n">
        <v>45927</v>
      </c>
      <c r="D380" t="inlineStr">
        <is>
          <t>GOTLANDS LÄN</t>
        </is>
      </c>
      <c r="E380" t="inlineStr">
        <is>
          <t>GOTLAND</t>
        </is>
      </c>
      <c r="G380" t="n">
        <v>6.1</v>
      </c>
      <c r="H380" t="n">
        <v>0</v>
      </c>
      <c r="I380" t="n">
        <v>0</v>
      </c>
      <c r="J380" t="n">
        <v>0</v>
      </c>
      <c r="K380" t="n">
        <v>0</v>
      </c>
      <c r="L380" t="n">
        <v>0</v>
      </c>
      <c r="M380" t="n">
        <v>0</v>
      </c>
      <c r="N380" t="n">
        <v>0</v>
      </c>
      <c r="O380" t="n">
        <v>0</v>
      </c>
      <c r="P380" t="n">
        <v>0</v>
      </c>
      <c r="Q380" t="n">
        <v>0</v>
      </c>
      <c r="R380" s="2" t="inlineStr"/>
    </row>
    <row r="381" ht="15" customHeight="1">
      <c r="A381" t="inlineStr">
        <is>
          <t>A 6153-2024</t>
        </is>
      </c>
      <c r="B381" s="1" t="n">
        <v>45337</v>
      </c>
      <c r="C381" s="1" t="n">
        <v>45927</v>
      </c>
      <c r="D381" t="inlineStr">
        <is>
          <t>GOTLANDS LÄN</t>
        </is>
      </c>
      <c r="E381" t="inlineStr">
        <is>
          <t>GOTLAND</t>
        </is>
      </c>
      <c r="G381" t="n">
        <v>14.2</v>
      </c>
      <c r="H381" t="n">
        <v>0</v>
      </c>
      <c r="I381" t="n">
        <v>0</v>
      </c>
      <c r="J381" t="n">
        <v>0</v>
      </c>
      <c r="K381" t="n">
        <v>0</v>
      </c>
      <c r="L381" t="n">
        <v>0</v>
      </c>
      <c r="M381" t="n">
        <v>0</v>
      </c>
      <c r="N381" t="n">
        <v>0</v>
      </c>
      <c r="O381" t="n">
        <v>0</v>
      </c>
      <c r="P381" t="n">
        <v>0</v>
      </c>
      <c r="Q381" t="n">
        <v>0</v>
      </c>
      <c r="R381" s="2" t="inlineStr"/>
    </row>
    <row r="382" ht="15" customHeight="1">
      <c r="A382" t="inlineStr">
        <is>
          <t>A 57534-2022</t>
        </is>
      </c>
      <c r="B382" s="1" t="n">
        <v>44896</v>
      </c>
      <c r="C382" s="1" t="n">
        <v>45927</v>
      </c>
      <c r="D382" t="inlineStr">
        <is>
          <t>GOTLANDS LÄN</t>
        </is>
      </c>
      <c r="E382" t="inlineStr">
        <is>
          <t>GOTLAND</t>
        </is>
      </c>
      <c r="G382" t="n">
        <v>0.6</v>
      </c>
      <c r="H382" t="n">
        <v>0</v>
      </c>
      <c r="I382" t="n">
        <v>0</v>
      </c>
      <c r="J382" t="n">
        <v>0</v>
      </c>
      <c r="K382" t="n">
        <v>0</v>
      </c>
      <c r="L382" t="n">
        <v>0</v>
      </c>
      <c r="M382" t="n">
        <v>0</v>
      </c>
      <c r="N382" t="n">
        <v>0</v>
      </c>
      <c r="O382" t="n">
        <v>0</v>
      </c>
      <c r="P382" t="n">
        <v>0</v>
      </c>
      <c r="Q382" t="n">
        <v>0</v>
      </c>
      <c r="R382" s="2" t="inlineStr"/>
    </row>
    <row r="383" ht="15" customHeight="1">
      <c r="A383" t="inlineStr">
        <is>
          <t>A 7638-2025</t>
        </is>
      </c>
      <c r="B383" s="1" t="n">
        <v>45705.77306712963</v>
      </c>
      <c r="C383" s="1" t="n">
        <v>45927</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4377-2023</t>
        </is>
      </c>
      <c r="B384" s="1" t="n">
        <v>44955.5502662037</v>
      </c>
      <c r="C384" s="1" t="n">
        <v>45927</v>
      </c>
      <c r="D384" t="inlineStr">
        <is>
          <t>GOTLANDS LÄN</t>
        </is>
      </c>
      <c r="E384" t="inlineStr">
        <is>
          <t>GOTLAND</t>
        </is>
      </c>
      <c r="F384" t="inlineStr">
        <is>
          <t>Kyrkan</t>
        </is>
      </c>
      <c r="G384" t="n">
        <v>0.6</v>
      </c>
      <c r="H384" t="n">
        <v>0</v>
      </c>
      <c r="I384" t="n">
        <v>0</v>
      </c>
      <c r="J384" t="n">
        <v>0</v>
      </c>
      <c r="K384" t="n">
        <v>0</v>
      </c>
      <c r="L384" t="n">
        <v>0</v>
      </c>
      <c r="M384" t="n">
        <v>0</v>
      </c>
      <c r="N384" t="n">
        <v>0</v>
      </c>
      <c r="O384" t="n">
        <v>0</v>
      </c>
      <c r="P384" t="n">
        <v>0</v>
      </c>
      <c r="Q384" t="n">
        <v>0</v>
      </c>
      <c r="R384" s="2" t="inlineStr"/>
    </row>
    <row r="385" ht="15" customHeight="1">
      <c r="A385" t="inlineStr">
        <is>
          <t>A 43901-2023</t>
        </is>
      </c>
      <c r="B385" s="1" t="n">
        <v>45187</v>
      </c>
      <c r="C385" s="1" t="n">
        <v>45927</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17532-2024</t>
        </is>
      </c>
      <c r="B386" s="1" t="n">
        <v>45415</v>
      </c>
      <c r="C386" s="1" t="n">
        <v>45927</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45692-2023</t>
        </is>
      </c>
      <c r="B387" s="1" t="n">
        <v>45195</v>
      </c>
      <c r="C387" s="1" t="n">
        <v>45927</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37222-2021</t>
        </is>
      </c>
      <c r="B388" s="1" t="n">
        <v>44396</v>
      </c>
      <c r="C388" s="1" t="n">
        <v>45927</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64660-2023</t>
        </is>
      </c>
      <c r="B389" s="1" t="n">
        <v>45281.60122685185</v>
      </c>
      <c r="C389" s="1" t="n">
        <v>45927</v>
      </c>
      <c r="D389" t="inlineStr">
        <is>
          <t>GOTLANDS LÄN</t>
        </is>
      </c>
      <c r="E389" t="inlineStr">
        <is>
          <t>GOTLAND</t>
        </is>
      </c>
      <c r="G389" t="n">
        <v>6.3</v>
      </c>
      <c r="H389" t="n">
        <v>0</v>
      </c>
      <c r="I389" t="n">
        <v>0</v>
      </c>
      <c r="J389" t="n">
        <v>0</v>
      </c>
      <c r="K389" t="n">
        <v>0</v>
      </c>
      <c r="L389" t="n">
        <v>0</v>
      </c>
      <c r="M389" t="n">
        <v>0</v>
      </c>
      <c r="N389" t="n">
        <v>0</v>
      </c>
      <c r="O389" t="n">
        <v>0</v>
      </c>
      <c r="P389" t="n">
        <v>0</v>
      </c>
      <c r="Q389" t="n">
        <v>0</v>
      </c>
      <c r="R389" s="2" t="inlineStr"/>
    </row>
    <row r="390" ht="15" customHeight="1">
      <c r="A390" t="inlineStr">
        <is>
          <t>A 46396-2023</t>
        </is>
      </c>
      <c r="B390" s="1" t="n">
        <v>45197</v>
      </c>
      <c r="C390" s="1" t="n">
        <v>45927</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58388-2022</t>
        </is>
      </c>
      <c r="B391" s="1" t="n">
        <v>44894</v>
      </c>
      <c r="C391" s="1" t="n">
        <v>45927</v>
      </c>
      <c r="D391" t="inlineStr">
        <is>
          <t>GOTLANDS LÄN</t>
        </is>
      </c>
      <c r="E391" t="inlineStr">
        <is>
          <t>GOTLAND</t>
        </is>
      </c>
      <c r="F391" t="inlineStr">
        <is>
          <t>Övriga statliga verk och myndigheter</t>
        </is>
      </c>
      <c r="G391" t="n">
        <v>3.1</v>
      </c>
      <c r="H391" t="n">
        <v>0</v>
      </c>
      <c r="I391" t="n">
        <v>0</v>
      </c>
      <c r="J391" t="n">
        <v>0</v>
      </c>
      <c r="K391" t="n">
        <v>0</v>
      </c>
      <c r="L391" t="n">
        <v>0</v>
      </c>
      <c r="M391" t="n">
        <v>0</v>
      </c>
      <c r="N391" t="n">
        <v>0</v>
      </c>
      <c r="O391" t="n">
        <v>0</v>
      </c>
      <c r="P391" t="n">
        <v>0</v>
      </c>
      <c r="Q391" t="n">
        <v>0</v>
      </c>
      <c r="R391" s="2" t="inlineStr"/>
    </row>
    <row r="392" ht="15" customHeight="1">
      <c r="A392" t="inlineStr">
        <is>
          <t>A 20855-2023</t>
        </is>
      </c>
      <c r="B392" s="1" t="n">
        <v>45058.82172453704</v>
      </c>
      <c r="C392" s="1" t="n">
        <v>45927</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60709-2023</t>
        </is>
      </c>
      <c r="B393" s="1" t="n">
        <v>45260</v>
      </c>
      <c r="C393" s="1" t="n">
        <v>45927</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45927</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45927</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65249-2023</t>
        </is>
      </c>
      <c r="B396" s="1" t="n">
        <v>45290</v>
      </c>
      <c r="C396" s="1" t="n">
        <v>45927</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30956-2024</t>
        </is>
      </c>
      <c r="B397" s="1" t="n">
        <v>45499.42527777778</v>
      </c>
      <c r="C397" s="1" t="n">
        <v>45927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12596-2023</t>
        </is>
      </c>
      <c r="B398" s="1" t="n">
        <v>45000.43310185185</v>
      </c>
      <c r="C398" s="1" t="n">
        <v>45927</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8045-2022</t>
        </is>
      </c>
      <c r="B399" s="1" t="n">
        <v>44609</v>
      </c>
      <c r="C399" s="1" t="n">
        <v>45927</v>
      </c>
      <c r="D399" t="inlineStr">
        <is>
          <t>GOTLANDS LÄN</t>
        </is>
      </c>
      <c r="E399" t="inlineStr">
        <is>
          <t>GOTLAND</t>
        </is>
      </c>
      <c r="G399" t="n">
        <v>7</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45927</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58132-2023</t>
        </is>
      </c>
      <c r="B401" s="1" t="n">
        <v>45250</v>
      </c>
      <c r="C401" s="1" t="n">
        <v>45927</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22899-2023</t>
        </is>
      </c>
      <c r="B402" s="1" t="n">
        <v>45072</v>
      </c>
      <c r="C402" s="1" t="n">
        <v>45927</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29207-2025</t>
        </is>
      </c>
      <c r="B403" s="1" t="n">
        <v>45823</v>
      </c>
      <c r="C403" s="1" t="n">
        <v>45927</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28285-2024</t>
        </is>
      </c>
      <c r="B404" s="1" t="n">
        <v>45477</v>
      </c>
      <c r="C404" s="1" t="n">
        <v>45927</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51963-2024</t>
        </is>
      </c>
      <c r="B405" s="1" t="n">
        <v>45607.64833333333</v>
      </c>
      <c r="C405" s="1" t="n">
        <v>45927</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999-2024</t>
        </is>
      </c>
      <c r="B406" s="1" t="n">
        <v>45301</v>
      </c>
      <c r="C406" s="1" t="n">
        <v>45927</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65901-2021</t>
        </is>
      </c>
      <c r="B407" s="1" t="n">
        <v>44516</v>
      </c>
      <c r="C407" s="1" t="n">
        <v>45927</v>
      </c>
      <c r="D407" t="inlineStr">
        <is>
          <t>GOTLANDS LÄN</t>
        </is>
      </c>
      <c r="E407" t="inlineStr">
        <is>
          <t>GOTLAND</t>
        </is>
      </c>
      <c r="G407" t="n">
        <v>4.9</v>
      </c>
      <c r="H407" t="n">
        <v>0</v>
      </c>
      <c r="I407" t="n">
        <v>0</v>
      </c>
      <c r="J407" t="n">
        <v>0</v>
      </c>
      <c r="K407" t="n">
        <v>0</v>
      </c>
      <c r="L407" t="n">
        <v>0</v>
      </c>
      <c r="M407" t="n">
        <v>0</v>
      </c>
      <c r="N407" t="n">
        <v>0</v>
      </c>
      <c r="O407" t="n">
        <v>0</v>
      </c>
      <c r="P407" t="n">
        <v>0</v>
      </c>
      <c r="Q407" t="n">
        <v>0</v>
      </c>
      <c r="R407" s="2" t="inlineStr"/>
    </row>
    <row r="408" ht="15" customHeight="1">
      <c r="A408" t="inlineStr">
        <is>
          <t>A 47762-2023</t>
        </is>
      </c>
      <c r="B408" s="1" t="n">
        <v>45203.86256944444</v>
      </c>
      <c r="C408" s="1" t="n">
        <v>45927</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29196-2025</t>
        </is>
      </c>
      <c r="B409" s="1" t="n">
        <v>45822</v>
      </c>
      <c r="C409" s="1" t="n">
        <v>45927</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40294-2022</t>
        </is>
      </c>
      <c r="B410" s="1" t="n">
        <v>44821</v>
      </c>
      <c r="C410" s="1" t="n">
        <v>45927</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27602-2023</t>
        </is>
      </c>
      <c r="B411" s="1" t="n">
        <v>45097</v>
      </c>
      <c r="C411" s="1" t="n">
        <v>45927</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58780-2024</t>
        </is>
      </c>
      <c r="B412" s="1" t="n">
        <v>45635.84113425926</v>
      </c>
      <c r="C412" s="1" t="n">
        <v>45927</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12322-2025</t>
        </is>
      </c>
      <c r="B413" s="1" t="n">
        <v>45730</v>
      </c>
      <c r="C413" s="1" t="n">
        <v>45927</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1734-2025</t>
        </is>
      </c>
      <c r="B414" s="1" t="n">
        <v>45671.3840625</v>
      </c>
      <c r="C414" s="1" t="n">
        <v>45927</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30365-2024</t>
        </is>
      </c>
      <c r="B415" s="1" t="n">
        <v>45491.3716087963</v>
      </c>
      <c r="C415" s="1" t="n">
        <v>45927</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2674-2023</t>
        </is>
      </c>
      <c r="B416" s="1" t="n">
        <v>44944</v>
      </c>
      <c r="C416" s="1" t="n">
        <v>45927</v>
      </c>
      <c r="D416" t="inlineStr">
        <is>
          <t>GOTLANDS LÄN</t>
        </is>
      </c>
      <c r="E416" t="inlineStr">
        <is>
          <t>GOTLAND</t>
        </is>
      </c>
      <c r="G416" t="n">
        <v>2.5</v>
      </c>
      <c r="H416" t="n">
        <v>0</v>
      </c>
      <c r="I416" t="n">
        <v>0</v>
      </c>
      <c r="J416" t="n">
        <v>0</v>
      </c>
      <c r="K416" t="n">
        <v>0</v>
      </c>
      <c r="L416" t="n">
        <v>0</v>
      </c>
      <c r="M416" t="n">
        <v>0</v>
      </c>
      <c r="N416" t="n">
        <v>0</v>
      </c>
      <c r="O416" t="n">
        <v>0</v>
      </c>
      <c r="P416" t="n">
        <v>0</v>
      </c>
      <c r="Q416" t="n">
        <v>0</v>
      </c>
      <c r="R416" s="2" t="inlineStr"/>
    </row>
    <row r="417" ht="15" customHeight="1">
      <c r="A417" t="inlineStr">
        <is>
          <t>A 24192-2023</t>
        </is>
      </c>
      <c r="B417" s="1" t="n">
        <v>45079</v>
      </c>
      <c r="C417" s="1" t="n">
        <v>45927</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30282-2022</t>
        </is>
      </c>
      <c r="B418" s="1" t="n">
        <v>44760</v>
      </c>
      <c r="C418" s="1" t="n">
        <v>45927</v>
      </c>
      <c r="D418" t="inlineStr">
        <is>
          <t>GOTLANDS LÄN</t>
        </is>
      </c>
      <c r="E418" t="inlineStr">
        <is>
          <t>GOTLAND</t>
        </is>
      </c>
      <c r="G418" t="n">
        <v>2.6</v>
      </c>
      <c r="H418" t="n">
        <v>0</v>
      </c>
      <c r="I418" t="n">
        <v>0</v>
      </c>
      <c r="J418" t="n">
        <v>0</v>
      </c>
      <c r="K418" t="n">
        <v>0</v>
      </c>
      <c r="L418" t="n">
        <v>0</v>
      </c>
      <c r="M418" t="n">
        <v>0</v>
      </c>
      <c r="N418" t="n">
        <v>0</v>
      </c>
      <c r="O418" t="n">
        <v>0</v>
      </c>
      <c r="P418" t="n">
        <v>0</v>
      </c>
      <c r="Q418" t="n">
        <v>0</v>
      </c>
      <c r="R418" s="2" t="inlineStr"/>
    </row>
    <row r="419" ht="15" customHeight="1">
      <c r="A419" t="inlineStr">
        <is>
          <t>A 7835-2024</t>
        </is>
      </c>
      <c r="B419" s="1" t="n">
        <v>45349.83138888889</v>
      </c>
      <c r="C419" s="1" t="n">
        <v>45927</v>
      </c>
      <c r="D419" t="inlineStr">
        <is>
          <t>GOTLANDS LÄN</t>
        </is>
      </c>
      <c r="E419" t="inlineStr">
        <is>
          <t>GOTLAND</t>
        </is>
      </c>
      <c r="G419" t="n">
        <v>3.8</v>
      </c>
      <c r="H419" t="n">
        <v>0</v>
      </c>
      <c r="I419" t="n">
        <v>0</v>
      </c>
      <c r="J419" t="n">
        <v>0</v>
      </c>
      <c r="K419" t="n">
        <v>0</v>
      </c>
      <c r="L419" t="n">
        <v>0</v>
      </c>
      <c r="M419" t="n">
        <v>0</v>
      </c>
      <c r="N419" t="n">
        <v>0</v>
      </c>
      <c r="O419" t="n">
        <v>0</v>
      </c>
      <c r="P419" t="n">
        <v>0</v>
      </c>
      <c r="Q419" t="n">
        <v>0</v>
      </c>
      <c r="R419" s="2" t="inlineStr"/>
    </row>
    <row r="420" ht="15" customHeight="1">
      <c r="A420" t="inlineStr">
        <is>
          <t>A 61100-2022</t>
        </is>
      </c>
      <c r="B420" s="1" t="n">
        <v>44915</v>
      </c>
      <c r="C420" s="1" t="n">
        <v>45927</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10650-2022</t>
        </is>
      </c>
      <c r="B421" s="1" t="n">
        <v>44624.57945601852</v>
      </c>
      <c r="C421" s="1" t="n">
        <v>45927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43785-2024</t>
        </is>
      </c>
      <c r="B422" s="1" t="n">
        <v>45570</v>
      </c>
      <c r="C422" s="1" t="n">
        <v>45927</v>
      </c>
      <c r="D422" t="inlineStr">
        <is>
          <t>GOTLANDS LÄN</t>
        </is>
      </c>
      <c r="E422" t="inlineStr">
        <is>
          <t>GOTLAND</t>
        </is>
      </c>
      <c r="G422" t="n">
        <v>12.6</v>
      </c>
      <c r="H422" t="n">
        <v>0</v>
      </c>
      <c r="I422" t="n">
        <v>0</v>
      </c>
      <c r="J422" t="n">
        <v>0</v>
      </c>
      <c r="K422" t="n">
        <v>0</v>
      </c>
      <c r="L422" t="n">
        <v>0</v>
      </c>
      <c r="M422" t="n">
        <v>0</v>
      </c>
      <c r="N422" t="n">
        <v>0</v>
      </c>
      <c r="O422" t="n">
        <v>0</v>
      </c>
      <c r="P422" t="n">
        <v>0</v>
      </c>
      <c r="Q422" t="n">
        <v>0</v>
      </c>
      <c r="R422" s="2" t="inlineStr"/>
    </row>
    <row r="423" ht="15" customHeight="1">
      <c r="A423" t="inlineStr">
        <is>
          <t>A 26810-2021</t>
        </is>
      </c>
      <c r="B423" s="1" t="n">
        <v>44349.55087962963</v>
      </c>
      <c r="C423" s="1" t="n">
        <v>45927</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581-2023</t>
        </is>
      </c>
      <c r="B424" s="1" t="n">
        <v>44930</v>
      </c>
      <c r="C424" s="1" t="n">
        <v>45927</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10655-2023</t>
        </is>
      </c>
      <c r="B425" s="1" t="n">
        <v>44988.49543981482</v>
      </c>
      <c r="C425" s="1" t="n">
        <v>45927</v>
      </c>
      <c r="D425" t="inlineStr">
        <is>
          <t>GOTLANDS LÄN</t>
        </is>
      </c>
      <c r="E425" t="inlineStr">
        <is>
          <t>GOTLAND</t>
        </is>
      </c>
      <c r="F425" t="inlineStr">
        <is>
          <t>Kyrkan</t>
        </is>
      </c>
      <c r="G425" t="n">
        <v>2</v>
      </c>
      <c r="H425" t="n">
        <v>0</v>
      </c>
      <c r="I425" t="n">
        <v>0</v>
      </c>
      <c r="J425" t="n">
        <v>0</v>
      </c>
      <c r="K425" t="n">
        <v>0</v>
      </c>
      <c r="L425" t="n">
        <v>0</v>
      </c>
      <c r="M425" t="n">
        <v>0</v>
      </c>
      <c r="N425" t="n">
        <v>0</v>
      </c>
      <c r="O425" t="n">
        <v>0</v>
      </c>
      <c r="P425" t="n">
        <v>0</v>
      </c>
      <c r="Q425" t="n">
        <v>0</v>
      </c>
      <c r="R425" s="2" t="inlineStr"/>
    </row>
    <row r="426" ht="15" customHeight="1">
      <c r="A426" t="inlineStr">
        <is>
          <t>A 28425-2023</t>
        </is>
      </c>
      <c r="B426" s="1" t="n">
        <v>45102</v>
      </c>
      <c r="C426" s="1" t="n">
        <v>45927</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44649-2021</t>
        </is>
      </c>
      <c r="B427" s="1" t="n">
        <v>44437</v>
      </c>
      <c r="C427" s="1" t="n">
        <v>45927</v>
      </c>
      <c r="D427" t="inlineStr">
        <is>
          <t>GOTLANDS LÄN</t>
        </is>
      </c>
      <c r="E427" t="inlineStr">
        <is>
          <t>GOTLAND</t>
        </is>
      </c>
      <c r="G427" t="n">
        <v>8.1</v>
      </c>
      <c r="H427" t="n">
        <v>0</v>
      </c>
      <c r="I427" t="n">
        <v>0</v>
      </c>
      <c r="J427" t="n">
        <v>0</v>
      </c>
      <c r="K427" t="n">
        <v>0</v>
      </c>
      <c r="L427" t="n">
        <v>0</v>
      </c>
      <c r="M427" t="n">
        <v>0</v>
      </c>
      <c r="N427" t="n">
        <v>0</v>
      </c>
      <c r="O427" t="n">
        <v>0</v>
      </c>
      <c r="P427" t="n">
        <v>0</v>
      </c>
      <c r="Q427" t="n">
        <v>0</v>
      </c>
      <c r="R427" s="2" t="inlineStr"/>
    </row>
    <row r="428" ht="15" customHeight="1">
      <c r="A428" t="inlineStr">
        <is>
          <t>A 13037-2025</t>
        </is>
      </c>
      <c r="B428" s="1" t="n">
        <v>45734</v>
      </c>
      <c r="C428" s="1" t="n">
        <v>45927</v>
      </c>
      <c r="D428" t="inlineStr">
        <is>
          <t>GOTLANDS LÄN</t>
        </is>
      </c>
      <c r="E428" t="inlineStr">
        <is>
          <t>GOTLAND</t>
        </is>
      </c>
      <c r="G428" t="n">
        <v>9.5</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45927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10746-2025</t>
        </is>
      </c>
      <c r="B430" s="1" t="n">
        <v>45722.42766203704</v>
      </c>
      <c r="C430" s="1" t="n">
        <v>45927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49962-2023</t>
        </is>
      </c>
      <c r="B431" s="1" t="n">
        <v>45215.38775462963</v>
      </c>
      <c r="C431" s="1" t="n">
        <v>45927</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50744-2024</t>
        </is>
      </c>
      <c r="B432" s="1" t="n">
        <v>45602.4187037037</v>
      </c>
      <c r="C432" s="1" t="n">
        <v>45927</v>
      </c>
      <c r="D432" t="inlineStr">
        <is>
          <t>GOTLANDS LÄN</t>
        </is>
      </c>
      <c r="E432" t="inlineStr">
        <is>
          <t>GOTLAND</t>
        </is>
      </c>
      <c r="G432" t="n">
        <v>3.2</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45927</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38787-2023</t>
        </is>
      </c>
      <c r="B434" s="1" t="n">
        <v>45163</v>
      </c>
      <c r="C434" s="1" t="n">
        <v>45927</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43229-2023</t>
        </is>
      </c>
      <c r="B435" s="1" t="n">
        <v>45183.46704861111</v>
      </c>
      <c r="C435" s="1" t="n">
        <v>45927</v>
      </c>
      <c r="D435" t="inlineStr">
        <is>
          <t>GOTLANDS LÄN</t>
        </is>
      </c>
      <c r="E435" t="inlineStr">
        <is>
          <t>GOTLAND</t>
        </is>
      </c>
      <c r="G435" t="n">
        <v>7.1</v>
      </c>
      <c r="H435" t="n">
        <v>0</v>
      </c>
      <c r="I435" t="n">
        <v>0</v>
      </c>
      <c r="J435" t="n">
        <v>0</v>
      </c>
      <c r="K435" t="n">
        <v>0</v>
      </c>
      <c r="L435" t="n">
        <v>0</v>
      </c>
      <c r="M435" t="n">
        <v>0</v>
      </c>
      <c r="N435" t="n">
        <v>0</v>
      </c>
      <c r="O435" t="n">
        <v>0</v>
      </c>
      <c r="P435" t="n">
        <v>0</v>
      </c>
      <c r="Q435" t="n">
        <v>0</v>
      </c>
      <c r="R435" s="2" t="inlineStr"/>
    </row>
    <row r="436" ht="15" customHeight="1">
      <c r="A436" t="inlineStr">
        <is>
          <t>A 30061-2025</t>
        </is>
      </c>
      <c r="B436" s="1" t="n">
        <v>45826.61488425926</v>
      </c>
      <c r="C436" s="1" t="n">
        <v>45927</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41038-2023</t>
        </is>
      </c>
      <c r="B437" s="1" t="n">
        <v>45173.60959490741</v>
      </c>
      <c r="C437" s="1" t="n">
        <v>45927</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30157-2025</t>
        </is>
      </c>
      <c r="B438" s="1" t="n">
        <v>45826</v>
      </c>
      <c r="C438" s="1" t="n">
        <v>45927</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2714-2023</t>
        </is>
      </c>
      <c r="B439" s="1" t="n">
        <v>44944.54896990741</v>
      </c>
      <c r="C439" s="1" t="n">
        <v>45927</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45927</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45927</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45927</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45927</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45927</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45927</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45084-2024</t>
        </is>
      </c>
      <c r="B446" s="1" t="n">
        <v>45575</v>
      </c>
      <c r="C446" s="1" t="n">
        <v>45927</v>
      </c>
      <c r="D446" t="inlineStr">
        <is>
          <t>GOTLANDS LÄN</t>
        </is>
      </c>
      <c r="E446" t="inlineStr">
        <is>
          <t>GOTLAND</t>
        </is>
      </c>
      <c r="G446" t="n">
        <v>6.8</v>
      </c>
      <c r="H446" t="n">
        <v>0</v>
      </c>
      <c r="I446" t="n">
        <v>0</v>
      </c>
      <c r="J446" t="n">
        <v>0</v>
      </c>
      <c r="K446" t="n">
        <v>0</v>
      </c>
      <c r="L446" t="n">
        <v>0</v>
      </c>
      <c r="M446" t="n">
        <v>0</v>
      </c>
      <c r="N446" t="n">
        <v>0</v>
      </c>
      <c r="O446" t="n">
        <v>0</v>
      </c>
      <c r="P446" t="n">
        <v>0</v>
      </c>
      <c r="Q446" t="n">
        <v>0</v>
      </c>
      <c r="R446" s="2" t="inlineStr"/>
    </row>
    <row r="447" ht="15" customHeight="1">
      <c r="A447" t="inlineStr">
        <is>
          <t>A 24966-2023</t>
        </is>
      </c>
      <c r="B447" s="1" t="n">
        <v>45085</v>
      </c>
      <c r="C447" s="1" t="n">
        <v>45927</v>
      </c>
      <c r="D447" t="inlineStr">
        <is>
          <t>GOTLANDS LÄN</t>
        </is>
      </c>
      <c r="E447" t="inlineStr">
        <is>
          <t>GOTLAND</t>
        </is>
      </c>
      <c r="G447" t="n">
        <v>7</v>
      </c>
      <c r="H447" t="n">
        <v>0</v>
      </c>
      <c r="I447" t="n">
        <v>0</v>
      </c>
      <c r="J447" t="n">
        <v>0</v>
      </c>
      <c r="K447" t="n">
        <v>0</v>
      </c>
      <c r="L447" t="n">
        <v>0</v>
      </c>
      <c r="M447" t="n">
        <v>0</v>
      </c>
      <c r="N447" t="n">
        <v>0</v>
      </c>
      <c r="O447" t="n">
        <v>0</v>
      </c>
      <c r="P447" t="n">
        <v>0</v>
      </c>
      <c r="Q447" t="n">
        <v>0</v>
      </c>
      <c r="R447" s="2" t="inlineStr"/>
    </row>
    <row r="448" ht="15" customHeight="1">
      <c r="A448" t="inlineStr">
        <is>
          <t>A 20356-2022</t>
        </is>
      </c>
      <c r="B448" s="1" t="n">
        <v>44699</v>
      </c>
      <c r="C448" s="1" t="n">
        <v>45927</v>
      </c>
      <c r="D448" t="inlineStr">
        <is>
          <t>GOTLANDS LÄN</t>
        </is>
      </c>
      <c r="E448" t="inlineStr">
        <is>
          <t>GOTLAND</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58160-2024</t>
        </is>
      </c>
      <c r="B449" s="1" t="n">
        <v>45632.44927083333</v>
      </c>
      <c r="C449" s="1" t="n">
        <v>45927</v>
      </c>
      <c r="D449" t="inlineStr">
        <is>
          <t>GOTLANDS LÄN</t>
        </is>
      </c>
      <c r="E449" t="inlineStr">
        <is>
          <t>GOTLAND</t>
        </is>
      </c>
      <c r="G449" t="n">
        <v>5.6</v>
      </c>
      <c r="H449" t="n">
        <v>0</v>
      </c>
      <c r="I449" t="n">
        <v>0</v>
      </c>
      <c r="J449" t="n">
        <v>0</v>
      </c>
      <c r="K449" t="n">
        <v>0</v>
      </c>
      <c r="L449" t="n">
        <v>0</v>
      </c>
      <c r="M449" t="n">
        <v>0</v>
      </c>
      <c r="N449" t="n">
        <v>0</v>
      </c>
      <c r="O449" t="n">
        <v>0</v>
      </c>
      <c r="P449" t="n">
        <v>0</v>
      </c>
      <c r="Q449" t="n">
        <v>0</v>
      </c>
      <c r="R449" s="2" t="inlineStr"/>
    </row>
    <row r="450" ht="15" customHeight="1">
      <c r="A450" t="inlineStr">
        <is>
          <t>A 57652-2023</t>
        </is>
      </c>
      <c r="B450" s="1" t="n">
        <v>45246</v>
      </c>
      <c r="C450" s="1" t="n">
        <v>45927</v>
      </c>
      <c r="D450" t="inlineStr">
        <is>
          <t>GOTLANDS LÄN</t>
        </is>
      </c>
      <c r="E450" t="inlineStr">
        <is>
          <t>GOTLAND</t>
        </is>
      </c>
      <c r="G450" t="n">
        <v>7.2</v>
      </c>
      <c r="H450" t="n">
        <v>0</v>
      </c>
      <c r="I450" t="n">
        <v>0</v>
      </c>
      <c r="J450" t="n">
        <v>0</v>
      </c>
      <c r="K450" t="n">
        <v>0</v>
      </c>
      <c r="L450" t="n">
        <v>0</v>
      </c>
      <c r="M450" t="n">
        <v>0</v>
      </c>
      <c r="N450" t="n">
        <v>0</v>
      </c>
      <c r="O450" t="n">
        <v>0</v>
      </c>
      <c r="P450" t="n">
        <v>0</v>
      </c>
      <c r="Q450" t="n">
        <v>0</v>
      </c>
      <c r="R450" s="2" t="inlineStr"/>
    </row>
    <row r="451" ht="15" customHeight="1">
      <c r="A451" t="inlineStr">
        <is>
          <t>A 4868-2024</t>
        </is>
      </c>
      <c r="B451" s="1" t="n">
        <v>45329</v>
      </c>
      <c r="C451" s="1" t="n">
        <v>45927</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46189-2022</t>
        </is>
      </c>
      <c r="B452" s="1" t="n">
        <v>44847</v>
      </c>
      <c r="C452" s="1" t="n">
        <v>45927</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9613-2025</t>
        </is>
      </c>
      <c r="B453" s="1" t="n">
        <v>45715</v>
      </c>
      <c r="C453" s="1" t="n">
        <v>45927</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57522-2022</t>
        </is>
      </c>
      <c r="B454" s="1" t="n">
        <v>44896</v>
      </c>
      <c r="C454" s="1" t="n">
        <v>45927</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14797-2024</t>
        </is>
      </c>
      <c r="B455" s="1" t="n">
        <v>45397.87030092593</v>
      </c>
      <c r="C455" s="1" t="n">
        <v>45927</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5386-2023</t>
        </is>
      </c>
      <c r="B456" s="1" t="n">
        <v>44959</v>
      </c>
      <c r="C456" s="1" t="n">
        <v>45927</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30135-2025</t>
        </is>
      </c>
      <c r="B457" s="1" t="n">
        <v>45826</v>
      </c>
      <c r="C457" s="1" t="n">
        <v>45927</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7837-2024</t>
        </is>
      </c>
      <c r="B458" s="1" t="n">
        <v>45349.83787037037</v>
      </c>
      <c r="C458" s="1" t="n">
        <v>45927</v>
      </c>
      <c r="D458" t="inlineStr">
        <is>
          <t>GOTLANDS LÄN</t>
        </is>
      </c>
      <c r="E458" t="inlineStr">
        <is>
          <t>GOTLAND</t>
        </is>
      </c>
      <c r="G458" t="n">
        <v>5</v>
      </c>
      <c r="H458" t="n">
        <v>0</v>
      </c>
      <c r="I458" t="n">
        <v>0</v>
      </c>
      <c r="J458" t="n">
        <v>0</v>
      </c>
      <c r="K458" t="n">
        <v>0</v>
      </c>
      <c r="L458" t="n">
        <v>0</v>
      </c>
      <c r="M458" t="n">
        <v>0</v>
      </c>
      <c r="N458" t="n">
        <v>0</v>
      </c>
      <c r="O458" t="n">
        <v>0</v>
      </c>
      <c r="P458" t="n">
        <v>0</v>
      </c>
      <c r="Q458" t="n">
        <v>0</v>
      </c>
      <c r="R458" s="2" t="inlineStr"/>
    </row>
    <row r="459" ht="15" customHeight="1">
      <c r="A459" t="inlineStr">
        <is>
          <t>A 58211-2024</t>
        </is>
      </c>
      <c r="B459" s="1" t="n">
        <v>45632.49292824074</v>
      </c>
      <c r="C459" s="1" t="n">
        <v>45927</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16109-2025</t>
        </is>
      </c>
      <c r="B460" s="1" t="n">
        <v>45750</v>
      </c>
      <c r="C460" s="1" t="n">
        <v>45927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32467-2025</t>
        </is>
      </c>
      <c r="B461" s="1" t="n">
        <v>45838.42111111111</v>
      </c>
      <c r="C461" s="1" t="n">
        <v>45927</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1394-2023</t>
        </is>
      </c>
      <c r="B462" s="1" t="n">
        <v>44936.72997685185</v>
      </c>
      <c r="C462" s="1" t="n">
        <v>45927</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2676-2023</t>
        </is>
      </c>
      <c r="B463" s="1" t="n">
        <v>44944</v>
      </c>
      <c r="C463" s="1" t="n">
        <v>45927</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4387-2023</t>
        </is>
      </c>
      <c r="B464" s="1" t="n">
        <v>44955.73359953704</v>
      </c>
      <c r="C464" s="1" t="n">
        <v>45927</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32378-2025</t>
        </is>
      </c>
      <c r="B465" s="1" t="n">
        <v>45837</v>
      </c>
      <c r="C465" s="1" t="n">
        <v>45927</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32686-2025</t>
        </is>
      </c>
      <c r="B466" s="1" t="n">
        <v>45838</v>
      </c>
      <c r="C466" s="1" t="n">
        <v>45927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11634-2024</t>
        </is>
      </c>
      <c r="B467" s="1" t="n">
        <v>45373</v>
      </c>
      <c r="C467" s="1" t="n">
        <v>45927</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32379-2025</t>
        </is>
      </c>
      <c r="B468" s="1" t="n">
        <v>45837</v>
      </c>
      <c r="C468" s="1" t="n">
        <v>45927</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5884-2025</t>
        </is>
      </c>
      <c r="B469" s="1" t="n">
        <v>45695.37482638889</v>
      </c>
      <c r="C469" s="1" t="n">
        <v>45927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49411-2023</t>
        </is>
      </c>
      <c r="B470" s="1" t="n">
        <v>45205</v>
      </c>
      <c r="C470" s="1" t="n">
        <v>45927</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5897-2025</t>
        </is>
      </c>
      <c r="B471" s="1" t="n">
        <v>45695.39273148148</v>
      </c>
      <c r="C471" s="1" t="n">
        <v>45927</v>
      </c>
      <c r="D471" t="inlineStr">
        <is>
          <t>GOTLANDS LÄN</t>
        </is>
      </c>
      <c r="E471" t="inlineStr">
        <is>
          <t>GOTLAND</t>
        </is>
      </c>
      <c r="G471" t="n">
        <v>3.7</v>
      </c>
      <c r="H471" t="n">
        <v>0</v>
      </c>
      <c r="I471" t="n">
        <v>0</v>
      </c>
      <c r="J471" t="n">
        <v>0</v>
      </c>
      <c r="K471" t="n">
        <v>0</v>
      </c>
      <c r="L471" t="n">
        <v>0</v>
      </c>
      <c r="M471" t="n">
        <v>0</v>
      </c>
      <c r="N471" t="n">
        <v>0</v>
      </c>
      <c r="O471" t="n">
        <v>0</v>
      </c>
      <c r="P471" t="n">
        <v>0</v>
      </c>
      <c r="Q471" t="n">
        <v>0</v>
      </c>
      <c r="R471" s="2" t="inlineStr"/>
    </row>
    <row r="472" ht="15" customHeight="1">
      <c r="A472" t="inlineStr">
        <is>
          <t>A 5909-2025</t>
        </is>
      </c>
      <c r="B472" s="1" t="n">
        <v>45695.40634259259</v>
      </c>
      <c r="C472" s="1" t="n">
        <v>45927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37728-2024</t>
        </is>
      </c>
      <c r="B473" s="1" t="n">
        <v>45541</v>
      </c>
      <c r="C473" s="1" t="n">
        <v>45927</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33078-2025</t>
        </is>
      </c>
      <c r="B474" s="1" t="n">
        <v>45840</v>
      </c>
      <c r="C474" s="1" t="n">
        <v>45927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60086-2022</t>
        </is>
      </c>
      <c r="B475" s="1" t="n">
        <v>44909</v>
      </c>
      <c r="C475" s="1" t="n">
        <v>45927</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2241-2025</t>
        </is>
      </c>
      <c r="B476" s="1" t="n">
        <v>45673.48710648148</v>
      </c>
      <c r="C476" s="1" t="n">
        <v>45927</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16373-2025</t>
        </is>
      </c>
      <c r="B477" s="1" t="n">
        <v>45751</v>
      </c>
      <c r="C477" s="1" t="n">
        <v>45927</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22704-2023</t>
        </is>
      </c>
      <c r="B478" s="1" t="n">
        <v>45071</v>
      </c>
      <c r="C478" s="1" t="n">
        <v>45927</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33007-2025</t>
        </is>
      </c>
      <c r="B479" s="1" t="n">
        <v>45840</v>
      </c>
      <c r="C479" s="1" t="n">
        <v>45927</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33011-2025</t>
        </is>
      </c>
      <c r="B480" s="1" t="n">
        <v>45840</v>
      </c>
      <c r="C480" s="1" t="n">
        <v>45927</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38649-2025</t>
        </is>
      </c>
      <c r="B481" s="1" t="n">
        <v>45884</v>
      </c>
      <c r="C481" s="1" t="n">
        <v>45927</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22275-2023</t>
        </is>
      </c>
      <c r="B482" s="1" t="n">
        <v>45070.39875</v>
      </c>
      <c r="C482" s="1" t="n">
        <v>45927</v>
      </c>
      <c r="D482" t="inlineStr">
        <is>
          <t>GOTLANDS LÄN</t>
        </is>
      </c>
      <c r="E482" t="inlineStr">
        <is>
          <t>GOTLAND</t>
        </is>
      </c>
      <c r="G482" t="n">
        <v>7.2</v>
      </c>
      <c r="H482" t="n">
        <v>0</v>
      </c>
      <c r="I482" t="n">
        <v>0</v>
      </c>
      <c r="J482" t="n">
        <v>0</v>
      </c>
      <c r="K482" t="n">
        <v>0</v>
      </c>
      <c r="L482" t="n">
        <v>0</v>
      </c>
      <c r="M482" t="n">
        <v>0</v>
      </c>
      <c r="N482" t="n">
        <v>0</v>
      </c>
      <c r="O482" t="n">
        <v>0</v>
      </c>
      <c r="P482" t="n">
        <v>0</v>
      </c>
      <c r="Q482" t="n">
        <v>0</v>
      </c>
      <c r="R482" s="2" t="inlineStr"/>
    </row>
    <row r="483" ht="15" customHeight="1">
      <c r="A483" t="inlineStr">
        <is>
          <t>A 25866-2022</t>
        </is>
      </c>
      <c r="B483" s="1" t="n">
        <v>44733</v>
      </c>
      <c r="C483" s="1" t="n">
        <v>45927</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14635-2023</t>
        </is>
      </c>
      <c r="B484" s="1" t="n">
        <v>45013.69365740741</v>
      </c>
      <c r="C484" s="1" t="n">
        <v>45927</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63763-2023</t>
        </is>
      </c>
      <c r="B485" s="1" t="n">
        <v>45278.33944444444</v>
      </c>
      <c r="C485" s="1" t="n">
        <v>45927</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7635-2025</t>
        </is>
      </c>
      <c r="B486" s="1" t="n">
        <v>45705</v>
      </c>
      <c r="C486" s="1" t="n">
        <v>45927</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7636-2025</t>
        </is>
      </c>
      <c r="B487" s="1" t="n">
        <v>45705.7687962963</v>
      </c>
      <c r="C487" s="1" t="n">
        <v>45927</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7639-2025</t>
        </is>
      </c>
      <c r="B488" s="1" t="n">
        <v>45705.77465277778</v>
      </c>
      <c r="C488" s="1" t="n">
        <v>45927</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61682-2024</t>
        </is>
      </c>
      <c r="B489" s="1" t="n">
        <v>45647.48824074074</v>
      </c>
      <c r="C489" s="1" t="n">
        <v>45927</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15434-2024</t>
        </is>
      </c>
      <c r="B490" s="1" t="n">
        <v>45401.38836805556</v>
      </c>
      <c r="C490" s="1" t="n">
        <v>45927</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7034-2023</t>
        </is>
      </c>
      <c r="B491" s="1" t="n">
        <v>44968.32108796296</v>
      </c>
      <c r="C491" s="1" t="n">
        <v>45927</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7042-2023</t>
        </is>
      </c>
      <c r="B492" s="1" t="n">
        <v>44968</v>
      </c>
      <c r="C492" s="1" t="n">
        <v>45927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2180-2025</t>
        </is>
      </c>
      <c r="B493" s="1" t="n">
        <v>45673</v>
      </c>
      <c r="C493" s="1" t="n">
        <v>45927</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39278-2025</t>
        </is>
      </c>
      <c r="B494" s="1" t="n">
        <v>45889</v>
      </c>
      <c r="C494" s="1" t="n">
        <v>45927</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39814-2025</t>
        </is>
      </c>
      <c r="B495" s="1" t="n">
        <v>45891.52694444444</v>
      </c>
      <c r="C495" s="1" t="n">
        <v>45927</v>
      </c>
      <c r="D495" t="inlineStr">
        <is>
          <t>GOTLANDS LÄN</t>
        </is>
      </c>
      <c r="E495" t="inlineStr">
        <is>
          <t>GOTLAND</t>
        </is>
      </c>
      <c r="G495" t="n">
        <v>4.5</v>
      </c>
      <c r="H495" t="n">
        <v>0</v>
      </c>
      <c r="I495" t="n">
        <v>0</v>
      </c>
      <c r="J495" t="n">
        <v>0</v>
      </c>
      <c r="K495" t="n">
        <v>0</v>
      </c>
      <c r="L495" t="n">
        <v>0</v>
      </c>
      <c r="M495" t="n">
        <v>0</v>
      </c>
      <c r="N495" t="n">
        <v>0</v>
      </c>
      <c r="O495" t="n">
        <v>0</v>
      </c>
      <c r="P495" t="n">
        <v>0</v>
      </c>
      <c r="Q495" t="n">
        <v>0</v>
      </c>
      <c r="R495" s="2" t="inlineStr"/>
    </row>
    <row r="496" ht="15" customHeight="1">
      <c r="A496" t="inlineStr">
        <is>
          <t>A 39849-2025</t>
        </is>
      </c>
      <c r="B496" s="1" t="n">
        <v>45891.58502314815</v>
      </c>
      <c r="C496" s="1" t="n">
        <v>45927</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9887-2025</t>
        </is>
      </c>
      <c r="B497" s="1" t="n">
        <v>45716</v>
      </c>
      <c r="C497" s="1" t="n">
        <v>45927</v>
      </c>
      <c r="D497" t="inlineStr">
        <is>
          <t>GOTLANDS LÄN</t>
        </is>
      </c>
      <c r="E497" t="inlineStr">
        <is>
          <t>GOTLAND</t>
        </is>
      </c>
      <c r="G497" t="n">
        <v>7.5</v>
      </c>
      <c r="H497" t="n">
        <v>0</v>
      </c>
      <c r="I497" t="n">
        <v>0</v>
      </c>
      <c r="J497" t="n">
        <v>0</v>
      </c>
      <c r="K497" t="n">
        <v>0</v>
      </c>
      <c r="L497" t="n">
        <v>0</v>
      </c>
      <c r="M497" t="n">
        <v>0</v>
      </c>
      <c r="N497" t="n">
        <v>0</v>
      </c>
      <c r="O497" t="n">
        <v>0</v>
      </c>
      <c r="P497" t="n">
        <v>0</v>
      </c>
      <c r="Q497" t="n">
        <v>0</v>
      </c>
      <c r="R497" s="2" t="inlineStr"/>
    </row>
    <row r="498" ht="15" customHeight="1">
      <c r="A498" t="inlineStr">
        <is>
          <t>A 12209-2024</t>
        </is>
      </c>
      <c r="B498" s="1" t="n">
        <v>45378</v>
      </c>
      <c r="C498" s="1" t="n">
        <v>45927</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12210-2024</t>
        </is>
      </c>
      <c r="B499" s="1" t="n">
        <v>45378</v>
      </c>
      <c r="C499" s="1" t="n">
        <v>45927</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54074-2022</t>
        </is>
      </c>
      <c r="B500" s="1" t="n">
        <v>44881</v>
      </c>
      <c r="C500" s="1" t="n">
        <v>45927</v>
      </c>
      <c r="D500" t="inlineStr">
        <is>
          <t>GOTLANDS LÄN</t>
        </is>
      </c>
      <c r="E500" t="inlineStr">
        <is>
          <t>GOTLAND</t>
        </is>
      </c>
      <c r="G500" t="n">
        <v>0.9</v>
      </c>
      <c r="H500" t="n">
        <v>0</v>
      </c>
      <c r="I500" t="n">
        <v>0</v>
      </c>
      <c r="J500" t="n">
        <v>0</v>
      </c>
      <c r="K500" t="n">
        <v>0</v>
      </c>
      <c r="L500" t="n">
        <v>0</v>
      </c>
      <c r="M500" t="n">
        <v>0</v>
      </c>
      <c r="N500" t="n">
        <v>0</v>
      </c>
      <c r="O500" t="n">
        <v>0</v>
      </c>
      <c r="P500" t="n">
        <v>0</v>
      </c>
      <c r="Q500" t="n">
        <v>0</v>
      </c>
      <c r="R500" s="2" t="inlineStr"/>
    </row>
    <row r="501" ht="15" customHeight="1">
      <c r="A501" t="inlineStr">
        <is>
          <t>A 61694-2023</t>
        </is>
      </c>
      <c r="B501" s="1" t="n">
        <v>45264</v>
      </c>
      <c r="C501" s="1" t="n">
        <v>45927</v>
      </c>
      <c r="D501" t="inlineStr">
        <is>
          <t>GOTLANDS LÄN</t>
        </is>
      </c>
      <c r="E501" t="inlineStr">
        <is>
          <t>GOTLAND</t>
        </is>
      </c>
      <c r="G501" t="n">
        <v>4.6</v>
      </c>
      <c r="H501" t="n">
        <v>0</v>
      </c>
      <c r="I501" t="n">
        <v>0</v>
      </c>
      <c r="J501" t="n">
        <v>0</v>
      </c>
      <c r="K501" t="n">
        <v>0</v>
      </c>
      <c r="L501" t="n">
        <v>0</v>
      </c>
      <c r="M501" t="n">
        <v>0</v>
      </c>
      <c r="N501" t="n">
        <v>0</v>
      </c>
      <c r="O501" t="n">
        <v>0</v>
      </c>
      <c r="P501" t="n">
        <v>0</v>
      </c>
      <c r="Q501" t="n">
        <v>0</v>
      </c>
      <c r="R501" s="2" t="inlineStr"/>
    </row>
    <row r="502" ht="15" customHeight="1">
      <c r="A502" t="inlineStr">
        <is>
          <t>A 59986-2022</t>
        </is>
      </c>
      <c r="B502" s="1" t="n">
        <v>44909</v>
      </c>
      <c r="C502" s="1" t="n">
        <v>45927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15413-2025</t>
        </is>
      </c>
      <c r="B503" s="1" t="n">
        <v>45747.451875</v>
      </c>
      <c r="C503" s="1" t="n">
        <v>45927</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39819-2025</t>
        </is>
      </c>
      <c r="B504" s="1" t="n">
        <v>45891.53418981482</v>
      </c>
      <c r="C504" s="1" t="n">
        <v>45927</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64208-2021</t>
        </is>
      </c>
      <c r="B505" s="1" t="n">
        <v>44510</v>
      </c>
      <c r="C505" s="1" t="n">
        <v>45927</v>
      </c>
      <c r="D505" t="inlineStr">
        <is>
          <t>GOTLANDS LÄN</t>
        </is>
      </c>
      <c r="E505" t="inlineStr">
        <is>
          <t>GOTLAND</t>
        </is>
      </c>
      <c r="G505" t="n">
        <v>4.7</v>
      </c>
      <c r="H505" t="n">
        <v>0</v>
      </c>
      <c r="I505" t="n">
        <v>0</v>
      </c>
      <c r="J505" t="n">
        <v>0</v>
      </c>
      <c r="K505" t="n">
        <v>0</v>
      </c>
      <c r="L505" t="n">
        <v>0</v>
      </c>
      <c r="M505" t="n">
        <v>0</v>
      </c>
      <c r="N505" t="n">
        <v>0</v>
      </c>
      <c r="O505" t="n">
        <v>0</v>
      </c>
      <c r="P505" t="n">
        <v>0</v>
      </c>
      <c r="Q505" t="n">
        <v>0</v>
      </c>
      <c r="R505" s="2" t="inlineStr"/>
    </row>
    <row r="506" ht="15" customHeight="1">
      <c r="A506" t="inlineStr">
        <is>
          <t>A 35096-2025</t>
        </is>
      </c>
      <c r="B506" s="1" t="n">
        <v>45852.54356481481</v>
      </c>
      <c r="C506" s="1" t="n">
        <v>45927</v>
      </c>
      <c r="D506" t="inlineStr">
        <is>
          <t>GOTLANDS LÄN</t>
        </is>
      </c>
      <c r="E506" t="inlineStr">
        <is>
          <t>GOTLAND</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39752-2025</t>
        </is>
      </c>
      <c r="B507" s="1" t="n">
        <v>45891</v>
      </c>
      <c r="C507" s="1" t="n">
        <v>45927</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35123-2025</t>
        </is>
      </c>
      <c r="B508" s="1" t="n">
        <v>45852.614375</v>
      </c>
      <c r="C508" s="1" t="n">
        <v>45927</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35142-2025</t>
        </is>
      </c>
      <c r="B509" s="1" t="n">
        <v>45852.65532407408</v>
      </c>
      <c r="C509" s="1" t="n">
        <v>45927</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45927</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35141-2025</t>
        </is>
      </c>
      <c r="B511" s="1" t="n">
        <v>45852.65206018519</v>
      </c>
      <c r="C511" s="1" t="n">
        <v>45927</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1446-2025</t>
        </is>
      </c>
      <c r="B512" s="1" t="n">
        <v>45669.86035879629</v>
      </c>
      <c r="C512" s="1" t="n">
        <v>45927</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1462-2025</t>
        </is>
      </c>
      <c r="B513" s="1" t="n">
        <v>45670.36319444444</v>
      </c>
      <c r="C513" s="1" t="n">
        <v>45927</v>
      </c>
      <c r="D513" t="inlineStr">
        <is>
          <t>GOTLANDS LÄN</t>
        </is>
      </c>
      <c r="E513" t="inlineStr">
        <is>
          <t>GOTLAND</t>
        </is>
      </c>
      <c r="G513" t="n">
        <v>2.8</v>
      </c>
      <c r="H513" t="n">
        <v>0</v>
      </c>
      <c r="I513" t="n">
        <v>0</v>
      </c>
      <c r="J513" t="n">
        <v>0</v>
      </c>
      <c r="K513" t="n">
        <v>0</v>
      </c>
      <c r="L513" t="n">
        <v>0</v>
      </c>
      <c r="M513" t="n">
        <v>0</v>
      </c>
      <c r="N513" t="n">
        <v>0</v>
      </c>
      <c r="O513" t="n">
        <v>0</v>
      </c>
      <c r="P513" t="n">
        <v>0</v>
      </c>
      <c r="Q513" t="n">
        <v>0</v>
      </c>
      <c r="R513" s="2" t="inlineStr"/>
    </row>
    <row r="514" ht="15" customHeight="1">
      <c r="A514" t="inlineStr">
        <is>
          <t>A 40372-2025</t>
        </is>
      </c>
      <c r="B514" s="1" t="n">
        <v>45895.5162037037</v>
      </c>
      <c r="C514" s="1" t="n">
        <v>45927</v>
      </c>
      <c r="D514" t="inlineStr">
        <is>
          <t>GOTLANDS LÄN</t>
        </is>
      </c>
      <c r="E514" t="inlineStr">
        <is>
          <t>GOTLAND</t>
        </is>
      </c>
      <c r="G514" t="n">
        <v>3.3</v>
      </c>
      <c r="H514" t="n">
        <v>0</v>
      </c>
      <c r="I514" t="n">
        <v>0</v>
      </c>
      <c r="J514" t="n">
        <v>0</v>
      </c>
      <c r="K514" t="n">
        <v>0</v>
      </c>
      <c r="L514" t="n">
        <v>0</v>
      </c>
      <c r="M514" t="n">
        <v>0</v>
      </c>
      <c r="N514" t="n">
        <v>0</v>
      </c>
      <c r="O514" t="n">
        <v>0</v>
      </c>
      <c r="P514" t="n">
        <v>0</v>
      </c>
      <c r="Q514" t="n">
        <v>0</v>
      </c>
      <c r="R514" s="2" t="inlineStr"/>
    </row>
    <row r="515" ht="15" customHeight="1">
      <c r="A515" t="inlineStr">
        <is>
          <t>A 40373-2025</t>
        </is>
      </c>
      <c r="B515" s="1" t="n">
        <v>45895.51821759259</v>
      </c>
      <c r="C515" s="1" t="n">
        <v>45927</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40103-2025</t>
        </is>
      </c>
      <c r="B516" s="1" t="n">
        <v>45894.4880324074</v>
      </c>
      <c r="C516" s="1" t="n">
        <v>45927</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57685-2022</t>
        </is>
      </c>
      <c r="B517" s="1" t="n">
        <v>44897.4777662037</v>
      </c>
      <c r="C517" s="1" t="n">
        <v>45927</v>
      </c>
      <c r="D517" t="inlineStr">
        <is>
          <t>GOTLANDS LÄN</t>
        </is>
      </c>
      <c r="E517" t="inlineStr">
        <is>
          <t>GOTLAND</t>
        </is>
      </c>
      <c r="G517" t="n">
        <v>3.7</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45927</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31802-2024</t>
        </is>
      </c>
      <c r="B519" s="1" t="n">
        <v>45509</v>
      </c>
      <c r="C519" s="1" t="n">
        <v>45927</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45927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35290-2025</t>
        </is>
      </c>
      <c r="B521" s="1" t="n">
        <v>45854.38502314815</v>
      </c>
      <c r="C521" s="1" t="n">
        <v>45927</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20993-2023</t>
        </is>
      </c>
      <c r="B522" s="1" t="n">
        <v>45056</v>
      </c>
      <c r="C522" s="1" t="n">
        <v>45927</v>
      </c>
      <c r="D522" t="inlineStr">
        <is>
          <t>GOTLANDS LÄN</t>
        </is>
      </c>
      <c r="E522" t="inlineStr">
        <is>
          <t>GOTLAND</t>
        </is>
      </c>
      <c r="G522" t="n">
        <v>7.1</v>
      </c>
      <c r="H522" t="n">
        <v>0</v>
      </c>
      <c r="I522" t="n">
        <v>0</v>
      </c>
      <c r="J522" t="n">
        <v>0</v>
      </c>
      <c r="K522" t="n">
        <v>0</v>
      </c>
      <c r="L522" t="n">
        <v>0</v>
      </c>
      <c r="M522" t="n">
        <v>0</v>
      </c>
      <c r="N522" t="n">
        <v>0</v>
      </c>
      <c r="O522" t="n">
        <v>0</v>
      </c>
      <c r="P522" t="n">
        <v>0</v>
      </c>
      <c r="Q522" t="n">
        <v>0</v>
      </c>
      <c r="R522" s="2" t="inlineStr"/>
    </row>
    <row r="523" ht="15" customHeight="1">
      <c r="A523" t="inlineStr">
        <is>
          <t>A 15042-2025</t>
        </is>
      </c>
      <c r="B523" s="1" t="n">
        <v>45743</v>
      </c>
      <c r="C523" s="1" t="n">
        <v>45927</v>
      </c>
      <c r="D523" t="inlineStr">
        <is>
          <t>GOTLANDS LÄN</t>
        </is>
      </c>
      <c r="E523" t="inlineStr">
        <is>
          <t>GOTLAND</t>
        </is>
      </c>
      <c r="G523" t="n">
        <v>8.5</v>
      </c>
      <c r="H523" t="n">
        <v>0</v>
      </c>
      <c r="I523" t="n">
        <v>0</v>
      </c>
      <c r="J523" t="n">
        <v>0</v>
      </c>
      <c r="K523" t="n">
        <v>0</v>
      </c>
      <c r="L523" t="n">
        <v>0</v>
      </c>
      <c r="M523" t="n">
        <v>0</v>
      </c>
      <c r="N523" t="n">
        <v>0</v>
      </c>
      <c r="O523" t="n">
        <v>0</v>
      </c>
      <c r="P523" t="n">
        <v>0</v>
      </c>
      <c r="Q523" t="n">
        <v>0</v>
      </c>
      <c r="R523" s="2" t="inlineStr"/>
    </row>
    <row r="524" ht="15" customHeight="1">
      <c r="A524" t="inlineStr">
        <is>
          <t>A 30104-2025</t>
        </is>
      </c>
      <c r="B524" s="1" t="n">
        <v>45826.68806712963</v>
      </c>
      <c r="C524" s="1" t="n">
        <v>45927</v>
      </c>
      <c r="D524" t="inlineStr">
        <is>
          <t>GOTLANDS LÄN</t>
        </is>
      </c>
      <c r="E524" t="inlineStr">
        <is>
          <t>GOTLAND</t>
        </is>
      </c>
      <c r="G524" t="n">
        <v>15.4</v>
      </c>
      <c r="H524" t="n">
        <v>0</v>
      </c>
      <c r="I524" t="n">
        <v>0</v>
      </c>
      <c r="J524" t="n">
        <v>0</v>
      </c>
      <c r="K524" t="n">
        <v>0</v>
      </c>
      <c r="L524" t="n">
        <v>0</v>
      </c>
      <c r="M524" t="n">
        <v>0</v>
      </c>
      <c r="N524" t="n">
        <v>0</v>
      </c>
      <c r="O524" t="n">
        <v>0</v>
      </c>
      <c r="P524" t="n">
        <v>0</v>
      </c>
      <c r="Q524" t="n">
        <v>0</v>
      </c>
      <c r="R524" s="2" t="inlineStr"/>
    </row>
    <row r="525" ht="15" customHeight="1">
      <c r="A525" t="inlineStr">
        <is>
          <t>A 5905-2024</t>
        </is>
      </c>
      <c r="B525" s="1" t="n">
        <v>45335.88993055555</v>
      </c>
      <c r="C525" s="1" t="n">
        <v>45927</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40499-2025</t>
        </is>
      </c>
      <c r="B526" s="1" t="n">
        <v>45896.32517361111</v>
      </c>
      <c r="C526" s="1" t="n">
        <v>45927</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3431-2025</t>
        </is>
      </c>
      <c r="B527" s="1" t="n">
        <v>45680.42935185185</v>
      </c>
      <c r="C527" s="1" t="n">
        <v>45927</v>
      </c>
      <c r="D527" t="inlineStr">
        <is>
          <t>GOTLANDS LÄN</t>
        </is>
      </c>
      <c r="E527" t="inlineStr">
        <is>
          <t>GOTLAND</t>
        </is>
      </c>
      <c r="G527" t="n">
        <v>4.8</v>
      </c>
      <c r="H527" t="n">
        <v>0</v>
      </c>
      <c r="I527" t="n">
        <v>0</v>
      </c>
      <c r="J527" t="n">
        <v>0</v>
      </c>
      <c r="K527" t="n">
        <v>0</v>
      </c>
      <c r="L527" t="n">
        <v>0</v>
      </c>
      <c r="M527" t="n">
        <v>0</v>
      </c>
      <c r="N527" t="n">
        <v>0</v>
      </c>
      <c r="O527" t="n">
        <v>0</v>
      </c>
      <c r="P527" t="n">
        <v>0</v>
      </c>
      <c r="Q527" t="n">
        <v>0</v>
      </c>
      <c r="R527" s="2" t="inlineStr"/>
    </row>
    <row r="528" ht="15" customHeight="1">
      <c r="A528" t="inlineStr">
        <is>
          <t>A 32669-2024</t>
        </is>
      </c>
      <c r="B528" s="1" t="n">
        <v>45514</v>
      </c>
      <c r="C528" s="1" t="n">
        <v>45927</v>
      </c>
      <c r="D528" t="inlineStr">
        <is>
          <t>GOTLANDS LÄN</t>
        </is>
      </c>
      <c r="E528" t="inlineStr">
        <is>
          <t>GOTLAND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34407-2023</t>
        </is>
      </c>
      <c r="B529" s="1" t="n">
        <v>45132</v>
      </c>
      <c r="C529" s="1" t="n">
        <v>45927</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45927</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41551-2025</t>
        </is>
      </c>
      <c r="B531" s="1" t="n">
        <v>45901.58854166666</v>
      </c>
      <c r="C531" s="1" t="n">
        <v>45927</v>
      </c>
      <c r="D531" t="inlineStr">
        <is>
          <t>GOTLANDS LÄN</t>
        </is>
      </c>
      <c r="E531" t="inlineStr">
        <is>
          <t>GOTLAND</t>
        </is>
      </c>
      <c r="G531" t="n">
        <v>5.6</v>
      </c>
      <c r="H531" t="n">
        <v>0</v>
      </c>
      <c r="I531" t="n">
        <v>0</v>
      </c>
      <c r="J531" t="n">
        <v>0</v>
      </c>
      <c r="K531" t="n">
        <v>0</v>
      </c>
      <c r="L531" t="n">
        <v>0</v>
      </c>
      <c r="M531" t="n">
        <v>0</v>
      </c>
      <c r="N531" t="n">
        <v>0</v>
      </c>
      <c r="O531" t="n">
        <v>0</v>
      </c>
      <c r="P531" t="n">
        <v>0</v>
      </c>
      <c r="Q531" t="n">
        <v>0</v>
      </c>
      <c r="R531" s="2" t="inlineStr"/>
    </row>
    <row r="532" ht="15" customHeight="1">
      <c r="A532" t="inlineStr">
        <is>
          <t>A 32958-2021</t>
        </is>
      </c>
      <c r="B532" s="1" t="n">
        <v>44376</v>
      </c>
      <c r="C532" s="1" t="n">
        <v>45927</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35550-2025</t>
        </is>
      </c>
      <c r="B533" s="1" t="n">
        <v>45856.49324074074</v>
      </c>
      <c r="C533" s="1" t="n">
        <v>45927</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12327-2025</t>
        </is>
      </c>
      <c r="B534" s="1" t="n">
        <v>45730</v>
      </c>
      <c r="C534" s="1" t="n">
        <v>45927</v>
      </c>
      <c r="D534" t="inlineStr">
        <is>
          <t>GOTLANDS LÄN</t>
        </is>
      </c>
      <c r="E534" t="inlineStr">
        <is>
          <t>GOTLAND</t>
        </is>
      </c>
      <c r="G534" t="n">
        <v>1.8</v>
      </c>
      <c r="H534" t="n">
        <v>0</v>
      </c>
      <c r="I534" t="n">
        <v>0</v>
      </c>
      <c r="J534" t="n">
        <v>0</v>
      </c>
      <c r="K534" t="n">
        <v>0</v>
      </c>
      <c r="L534" t="n">
        <v>0</v>
      </c>
      <c r="M534" t="n">
        <v>0</v>
      </c>
      <c r="N534" t="n">
        <v>0</v>
      </c>
      <c r="O534" t="n">
        <v>0</v>
      </c>
      <c r="P534" t="n">
        <v>0</v>
      </c>
      <c r="Q534" t="n">
        <v>0</v>
      </c>
      <c r="R534" s="2" t="inlineStr"/>
    </row>
    <row r="535" ht="15" customHeight="1">
      <c r="A535" t="inlineStr">
        <is>
          <t>A 4420-2025</t>
        </is>
      </c>
      <c r="B535" s="1" t="n">
        <v>45686.47157407407</v>
      </c>
      <c r="C535" s="1" t="n">
        <v>45927</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40235-2025</t>
        </is>
      </c>
      <c r="B536" s="1" t="n">
        <v>45894.74005787037</v>
      </c>
      <c r="C536" s="1" t="n">
        <v>45927</v>
      </c>
      <c r="D536" t="inlineStr">
        <is>
          <t>GOTLANDS LÄN</t>
        </is>
      </c>
      <c r="E536" t="inlineStr">
        <is>
          <t>GOTLAND</t>
        </is>
      </c>
      <c r="G536" t="n">
        <v>10.6</v>
      </c>
      <c r="H536" t="n">
        <v>0</v>
      </c>
      <c r="I536" t="n">
        <v>0</v>
      </c>
      <c r="J536" t="n">
        <v>0</v>
      </c>
      <c r="K536" t="n">
        <v>0</v>
      </c>
      <c r="L536" t="n">
        <v>0</v>
      </c>
      <c r="M536" t="n">
        <v>0</v>
      </c>
      <c r="N536" t="n">
        <v>0</v>
      </c>
      <c r="O536" t="n">
        <v>0</v>
      </c>
      <c r="P536" t="n">
        <v>0</v>
      </c>
      <c r="Q536" t="n">
        <v>0</v>
      </c>
      <c r="R536" s="2" t="inlineStr"/>
    </row>
    <row r="537" ht="15" customHeight="1">
      <c r="A537" t="inlineStr">
        <is>
          <t>A 35537-2025</t>
        </is>
      </c>
      <c r="B537" s="1" t="n">
        <v>45856</v>
      </c>
      <c r="C537" s="1" t="n">
        <v>45927</v>
      </c>
      <c r="D537" t="inlineStr">
        <is>
          <t>GOTLANDS LÄN</t>
        </is>
      </c>
      <c r="E537" t="inlineStr">
        <is>
          <t>GOTLAND</t>
        </is>
      </c>
      <c r="G537" t="n">
        <v>16.8</v>
      </c>
      <c r="H537" t="n">
        <v>0</v>
      </c>
      <c r="I537" t="n">
        <v>0</v>
      </c>
      <c r="J537" t="n">
        <v>0</v>
      </c>
      <c r="K537" t="n">
        <v>0</v>
      </c>
      <c r="L537" t="n">
        <v>0</v>
      </c>
      <c r="M537" t="n">
        <v>0</v>
      </c>
      <c r="N537" t="n">
        <v>0</v>
      </c>
      <c r="O537" t="n">
        <v>0</v>
      </c>
      <c r="P537" t="n">
        <v>0</v>
      </c>
      <c r="Q537" t="n">
        <v>0</v>
      </c>
      <c r="R537" s="2" t="inlineStr"/>
    </row>
    <row r="538" ht="15" customHeight="1">
      <c r="A538" t="inlineStr">
        <is>
          <t>A 41435-2025</t>
        </is>
      </c>
      <c r="B538" s="1" t="n">
        <v>45901.39974537037</v>
      </c>
      <c r="C538" s="1" t="n">
        <v>45927</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7858-2025</t>
        </is>
      </c>
      <c r="B539" s="1" t="n">
        <v>45706.68633101852</v>
      </c>
      <c r="C539" s="1" t="n">
        <v>45927</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46545-2024</t>
        </is>
      </c>
      <c r="B540" s="1" t="n">
        <v>45582.65831018519</v>
      </c>
      <c r="C540" s="1" t="n">
        <v>45927</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14427-2024</t>
        </is>
      </c>
      <c r="B541" s="1" t="n">
        <v>45394</v>
      </c>
      <c r="C541" s="1" t="n">
        <v>45927</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999-2023</t>
        </is>
      </c>
      <c r="B542" s="1" t="n">
        <v>44935</v>
      </c>
      <c r="C542" s="1" t="n">
        <v>45927</v>
      </c>
      <c r="D542" t="inlineStr">
        <is>
          <t>GOTLANDS LÄN</t>
        </is>
      </c>
      <c r="E542" t="inlineStr">
        <is>
          <t>GOTLAND</t>
        </is>
      </c>
      <c r="G542" t="n">
        <v>4.7</v>
      </c>
      <c r="H542" t="n">
        <v>0</v>
      </c>
      <c r="I542" t="n">
        <v>0</v>
      </c>
      <c r="J542" t="n">
        <v>0</v>
      </c>
      <c r="K542" t="n">
        <v>0</v>
      </c>
      <c r="L542" t="n">
        <v>0</v>
      </c>
      <c r="M542" t="n">
        <v>0</v>
      </c>
      <c r="N542" t="n">
        <v>0</v>
      </c>
      <c r="O542" t="n">
        <v>0</v>
      </c>
      <c r="P542" t="n">
        <v>0</v>
      </c>
      <c r="Q542" t="n">
        <v>0</v>
      </c>
      <c r="R542" s="2" t="inlineStr"/>
    </row>
    <row r="543" ht="15" customHeight="1">
      <c r="A543" t="inlineStr">
        <is>
          <t>A 1364-2025</t>
        </is>
      </c>
      <c r="B543" s="1" t="n">
        <v>45667.63929398148</v>
      </c>
      <c r="C543" s="1" t="n">
        <v>45927</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2125-2025</t>
        </is>
      </c>
      <c r="B544" s="1" t="n">
        <v>45672.64940972222</v>
      </c>
      <c r="C544" s="1" t="n">
        <v>45927</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45927</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14141-2024</t>
        </is>
      </c>
      <c r="B546" s="1" t="n">
        <v>45392.85193287037</v>
      </c>
      <c r="C546" s="1" t="n">
        <v>45927</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12155-2023</t>
        </is>
      </c>
      <c r="B547" s="1" t="n">
        <v>44998.49106481481</v>
      </c>
      <c r="C547" s="1" t="n">
        <v>45927</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42608-2025</t>
        </is>
      </c>
      <c r="B548" s="1" t="n">
        <v>45905</v>
      </c>
      <c r="C548" s="1" t="n">
        <v>45927</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49257-2024</t>
        </is>
      </c>
      <c r="B549" s="1" t="n">
        <v>45595.47627314815</v>
      </c>
      <c r="C549" s="1" t="n">
        <v>45927</v>
      </c>
      <c r="D549" t="inlineStr">
        <is>
          <t>GOTLANDS LÄN</t>
        </is>
      </c>
      <c r="E549" t="inlineStr">
        <is>
          <t>GOTLAND</t>
        </is>
      </c>
      <c r="G549" t="n">
        <v>6.3</v>
      </c>
      <c r="H549" t="n">
        <v>0</v>
      </c>
      <c r="I549" t="n">
        <v>0</v>
      </c>
      <c r="J549" t="n">
        <v>0</v>
      </c>
      <c r="K549" t="n">
        <v>0</v>
      </c>
      <c r="L549" t="n">
        <v>0</v>
      </c>
      <c r="M549" t="n">
        <v>0</v>
      </c>
      <c r="N549" t="n">
        <v>0</v>
      </c>
      <c r="O549" t="n">
        <v>0</v>
      </c>
      <c r="P549" t="n">
        <v>0</v>
      </c>
      <c r="Q549" t="n">
        <v>0</v>
      </c>
      <c r="R549" s="2" t="inlineStr"/>
    </row>
    <row r="550" ht="15" customHeight="1">
      <c r="A550" t="inlineStr">
        <is>
          <t>A 49315-2024</t>
        </is>
      </c>
      <c r="B550" s="1" t="n">
        <v>45595</v>
      </c>
      <c r="C550" s="1" t="n">
        <v>45927</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2774-2024</t>
        </is>
      </c>
      <c r="B551" s="1" t="n">
        <v>45314.62375</v>
      </c>
      <c r="C551" s="1" t="n">
        <v>45927</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9947-2024</t>
        </is>
      </c>
      <c r="B552" s="1" t="n">
        <v>45363</v>
      </c>
      <c r="C552" s="1" t="n">
        <v>45927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45927</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2292-2021</t>
        </is>
      </c>
      <c r="B554" s="1" t="n">
        <v>44212</v>
      </c>
      <c r="C554" s="1" t="n">
        <v>45927</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30488-2025</t>
        </is>
      </c>
      <c r="B555" s="1" t="n">
        <v>45830</v>
      </c>
      <c r="C555" s="1" t="n">
        <v>45927</v>
      </c>
      <c r="D555" t="inlineStr">
        <is>
          <t>GOTLANDS LÄN</t>
        </is>
      </c>
      <c r="E555" t="inlineStr">
        <is>
          <t>GOTLAND</t>
        </is>
      </c>
      <c r="F555" t="inlineStr">
        <is>
          <t>Kyrkan</t>
        </is>
      </c>
      <c r="G555" t="n">
        <v>3.9</v>
      </c>
      <c r="H555" t="n">
        <v>0</v>
      </c>
      <c r="I555" t="n">
        <v>0</v>
      </c>
      <c r="J555" t="n">
        <v>0</v>
      </c>
      <c r="K555" t="n">
        <v>0</v>
      </c>
      <c r="L555" t="n">
        <v>0</v>
      </c>
      <c r="M555" t="n">
        <v>0</v>
      </c>
      <c r="N555" t="n">
        <v>0</v>
      </c>
      <c r="O555" t="n">
        <v>0</v>
      </c>
      <c r="P555" t="n">
        <v>0</v>
      </c>
      <c r="Q555" t="n">
        <v>0</v>
      </c>
      <c r="R555" s="2" t="inlineStr"/>
    </row>
    <row r="556" ht="15" customHeight="1">
      <c r="A556" t="inlineStr">
        <is>
          <t>A 15216-2025</t>
        </is>
      </c>
      <c r="B556" s="1" t="n">
        <v>45744</v>
      </c>
      <c r="C556" s="1" t="n">
        <v>45927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15001-2025</t>
        </is>
      </c>
      <c r="B557" s="1" t="n">
        <v>45743</v>
      </c>
      <c r="C557" s="1" t="n">
        <v>45927</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43790-2024</t>
        </is>
      </c>
      <c r="B558" s="1" t="n">
        <v>45571</v>
      </c>
      <c r="C558" s="1" t="n">
        <v>45927</v>
      </c>
      <c r="D558" t="inlineStr">
        <is>
          <t>GOTLANDS LÄN</t>
        </is>
      </c>
      <c r="E558" t="inlineStr">
        <is>
          <t>GOTLAND</t>
        </is>
      </c>
      <c r="G558" t="n">
        <v>3.5</v>
      </c>
      <c r="H558" t="n">
        <v>0</v>
      </c>
      <c r="I558" t="n">
        <v>0</v>
      </c>
      <c r="J558" t="n">
        <v>0</v>
      </c>
      <c r="K558" t="n">
        <v>0</v>
      </c>
      <c r="L558" t="n">
        <v>0</v>
      </c>
      <c r="M558" t="n">
        <v>0</v>
      </c>
      <c r="N558" t="n">
        <v>0</v>
      </c>
      <c r="O558" t="n">
        <v>0</v>
      </c>
      <c r="P558" t="n">
        <v>0</v>
      </c>
      <c r="Q558" t="n">
        <v>0</v>
      </c>
      <c r="R558" s="2" t="inlineStr"/>
    </row>
    <row r="559" ht="15" customHeight="1">
      <c r="A559" t="inlineStr">
        <is>
          <t>A 17847-2025</t>
        </is>
      </c>
      <c r="B559" s="1" t="n">
        <v>45758</v>
      </c>
      <c r="C559" s="1" t="n">
        <v>45927</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36319-2025</t>
        </is>
      </c>
      <c r="B560" s="1" t="n">
        <v>45868</v>
      </c>
      <c r="C560" s="1" t="n">
        <v>45927</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42607-2025</t>
        </is>
      </c>
      <c r="B561" s="1" t="n">
        <v>45905</v>
      </c>
      <c r="C561" s="1" t="n">
        <v>45927</v>
      </c>
      <c r="D561" t="inlineStr">
        <is>
          <t>GOTLANDS LÄN</t>
        </is>
      </c>
      <c r="E561" t="inlineStr">
        <is>
          <t>GOTLAND</t>
        </is>
      </c>
      <c r="G561" t="n">
        <v>15.8</v>
      </c>
      <c r="H561" t="n">
        <v>0</v>
      </c>
      <c r="I561" t="n">
        <v>0</v>
      </c>
      <c r="J561" t="n">
        <v>0</v>
      </c>
      <c r="K561" t="n">
        <v>0</v>
      </c>
      <c r="L561" t="n">
        <v>0</v>
      </c>
      <c r="M561" t="n">
        <v>0</v>
      </c>
      <c r="N561" t="n">
        <v>0</v>
      </c>
      <c r="O561" t="n">
        <v>0</v>
      </c>
      <c r="P561" t="n">
        <v>0</v>
      </c>
      <c r="Q561" t="n">
        <v>0</v>
      </c>
      <c r="R561" s="2" t="inlineStr"/>
    </row>
    <row r="562" ht="15" customHeight="1">
      <c r="A562" t="inlineStr">
        <is>
          <t>A 18742-2025</t>
        </is>
      </c>
      <c r="B562" s="1" t="n">
        <v>45763</v>
      </c>
      <c r="C562" s="1" t="n">
        <v>45927</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35129-2025</t>
        </is>
      </c>
      <c r="B563" s="1" t="n">
        <v>45852.63224537037</v>
      </c>
      <c r="C563" s="1" t="n">
        <v>45927</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44304-2021</t>
        </is>
      </c>
      <c r="B564" s="1" t="n">
        <v>44434</v>
      </c>
      <c r="C564" s="1" t="n">
        <v>45927</v>
      </c>
      <c r="D564" t="inlineStr">
        <is>
          <t>GOTLANDS LÄN</t>
        </is>
      </c>
      <c r="E564" t="inlineStr">
        <is>
          <t>GOTLAND</t>
        </is>
      </c>
      <c r="G564" t="n">
        <v>5.8</v>
      </c>
      <c r="H564" t="n">
        <v>0</v>
      </c>
      <c r="I564" t="n">
        <v>0</v>
      </c>
      <c r="J564" t="n">
        <v>0</v>
      </c>
      <c r="K564" t="n">
        <v>0</v>
      </c>
      <c r="L564" t="n">
        <v>0</v>
      </c>
      <c r="M564" t="n">
        <v>0</v>
      </c>
      <c r="N564" t="n">
        <v>0</v>
      </c>
      <c r="O564" t="n">
        <v>0</v>
      </c>
      <c r="P564" t="n">
        <v>0</v>
      </c>
      <c r="Q564" t="n">
        <v>0</v>
      </c>
      <c r="R564" s="2" t="inlineStr"/>
    </row>
    <row r="565" ht="15" customHeight="1">
      <c r="A565" t="inlineStr">
        <is>
          <t>A 27596-2023</t>
        </is>
      </c>
      <c r="B565" s="1" t="n">
        <v>45097</v>
      </c>
      <c r="C565" s="1" t="n">
        <v>45927</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56115-2023</t>
        </is>
      </c>
      <c r="B566" s="1" t="n">
        <v>45236</v>
      </c>
      <c r="C566" s="1" t="n">
        <v>45927</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64969-2023</t>
        </is>
      </c>
      <c r="B567" s="1" t="n">
        <v>45284.54009259259</v>
      </c>
      <c r="C567" s="1" t="n">
        <v>45927</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33853-2024</t>
        </is>
      </c>
      <c r="B568" s="1" t="n">
        <v>45520.64298611111</v>
      </c>
      <c r="C568" s="1" t="n">
        <v>45927</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45927</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18223-2025</t>
        </is>
      </c>
      <c r="B570" s="1" t="n">
        <v>45761</v>
      </c>
      <c r="C570" s="1" t="n">
        <v>45927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46949-2024</t>
        </is>
      </c>
      <c r="B571" s="1" t="n">
        <v>45585</v>
      </c>
      <c r="C571" s="1" t="n">
        <v>45927</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24001-2021</t>
        </is>
      </c>
      <c r="B572" s="1" t="n">
        <v>44335</v>
      </c>
      <c r="C572" s="1" t="n">
        <v>45927</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43951-2025</t>
        </is>
      </c>
      <c r="B573" s="1" t="n">
        <v>45915.38119212963</v>
      </c>
      <c r="C573" s="1" t="n">
        <v>45927</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39479-2022</t>
        </is>
      </c>
      <c r="B574" s="1" t="n">
        <v>44818</v>
      </c>
      <c r="C574" s="1" t="n">
        <v>45927</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39496-2022</t>
        </is>
      </c>
      <c r="B575" s="1" t="n">
        <v>44818</v>
      </c>
      <c r="C575" s="1" t="n">
        <v>45927</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10652-2025</t>
        </is>
      </c>
      <c r="B576" s="1" t="n">
        <v>45721.68640046296</v>
      </c>
      <c r="C576" s="1" t="n">
        <v>45927</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43911-2025</t>
        </is>
      </c>
      <c r="B577" s="1" t="n">
        <v>45914.3881712963</v>
      </c>
      <c r="C577" s="1" t="n">
        <v>45927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10813-2025</t>
        </is>
      </c>
      <c r="B578" s="1" t="n">
        <v>45722.54163194444</v>
      </c>
      <c r="C578" s="1" t="n">
        <v>45927</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1066-2024</t>
        </is>
      </c>
      <c r="B579" s="1" t="n">
        <v>45302.285</v>
      </c>
      <c r="C579" s="1" t="n">
        <v>45927</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45927</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44405-2025</t>
        </is>
      </c>
      <c r="B581" s="1" t="n">
        <v>45916.52405092592</v>
      </c>
      <c r="C581" s="1" t="n">
        <v>45927</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46389-2021</t>
        </is>
      </c>
      <c r="B582" s="1" t="n">
        <v>44443</v>
      </c>
      <c r="C582" s="1" t="n">
        <v>45927</v>
      </c>
      <c r="D582" t="inlineStr">
        <is>
          <t>GOTLANDS LÄN</t>
        </is>
      </c>
      <c r="E582" t="inlineStr">
        <is>
          <t>GOTLAND</t>
        </is>
      </c>
      <c r="F582" t="inlineStr">
        <is>
          <t>Kyrkan</t>
        </is>
      </c>
      <c r="G582" t="n">
        <v>2.1</v>
      </c>
      <c r="H582" t="n">
        <v>0</v>
      </c>
      <c r="I582" t="n">
        <v>0</v>
      </c>
      <c r="J582" t="n">
        <v>0</v>
      </c>
      <c r="K582" t="n">
        <v>0</v>
      </c>
      <c r="L582" t="n">
        <v>0</v>
      </c>
      <c r="M582" t="n">
        <v>0</v>
      </c>
      <c r="N582" t="n">
        <v>0</v>
      </c>
      <c r="O582" t="n">
        <v>0</v>
      </c>
      <c r="P582" t="n">
        <v>0</v>
      </c>
      <c r="Q582" t="n">
        <v>0</v>
      </c>
      <c r="R582" s="2" t="inlineStr"/>
    </row>
    <row r="583" ht="15" customHeight="1">
      <c r="A583" t="inlineStr">
        <is>
          <t>A 30815-2023</t>
        </is>
      </c>
      <c r="B583" s="1" t="n">
        <v>45112</v>
      </c>
      <c r="C583" s="1" t="n">
        <v>45927</v>
      </c>
      <c r="D583" t="inlineStr">
        <is>
          <t>GOTLANDS LÄN</t>
        </is>
      </c>
      <c r="E583" t="inlineStr">
        <is>
          <t>GOTLAND</t>
        </is>
      </c>
      <c r="G583" t="n">
        <v>6</v>
      </c>
      <c r="H583" t="n">
        <v>0</v>
      </c>
      <c r="I583" t="n">
        <v>0</v>
      </c>
      <c r="J583" t="n">
        <v>0</v>
      </c>
      <c r="K583" t="n">
        <v>0</v>
      </c>
      <c r="L583" t="n">
        <v>0</v>
      </c>
      <c r="M583" t="n">
        <v>0</v>
      </c>
      <c r="N583" t="n">
        <v>0</v>
      </c>
      <c r="O583" t="n">
        <v>0</v>
      </c>
      <c r="P583" t="n">
        <v>0</v>
      </c>
      <c r="Q583" t="n">
        <v>0</v>
      </c>
      <c r="R583" s="2" t="inlineStr"/>
    </row>
    <row r="584" ht="15" customHeight="1">
      <c r="A584" t="inlineStr">
        <is>
          <t>A 46400-2023</t>
        </is>
      </c>
      <c r="B584" s="1" t="n">
        <v>45197.49290509259</v>
      </c>
      <c r="C584" s="1" t="n">
        <v>45927</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44410-2025</t>
        </is>
      </c>
      <c r="B585" s="1" t="n">
        <v>45916.53699074074</v>
      </c>
      <c r="C585" s="1" t="n">
        <v>45927</v>
      </c>
      <c r="D585" t="inlineStr">
        <is>
          <t>GOTLANDS LÄN</t>
        </is>
      </c>
      <c r="E585" t="inlineStr">
        <is>
          <t>GOTLAND</t>
        </is>
      </c>
      <c r="G585" t="n">
        <v>2.3</v>
      </c>
      <c r="H585" t="n">
        <v>0</v>
      </c>
      <c r="I585" t="n">
        <v>0</v>
      </c>
      <c r="J585" t="n">
        <v>0</v>
      </c>
      <c r="K585" t="n">
        <v>0</v>
      </c>
      <c r="L585" t="n">
        <v>0</v>
      </c>
      <c r="M585" t="n">
        <v>0</v>
      </c>
      <c r="N585" t="n">
        <v>0</v>
      </c>
      <c r="O585" t="n">
        <v>0</v>
      </c>
      <c r="P585" t="n">
        <v>0</v>
      </c>
      <c r="Q585" t="n">
        <v>0</v>
      </c>
      <c r="R585" s="2" t="inlineStr"/>
    </row>
    <row r="586" ht="15" customHeight="1">
      <c r="A586" t="inlineStr">
        <is>
          <t>A 10492-2023</t>
        </is>
      </c>
      <c r="B586" s="1" t="n">
        <v>44987</v>
      </c>
      <c r="C586" s="1" t="n">
        <v>45927</v>
      </c>
      <c r="D586" t="inlineStr">
        <is>
          <t>GOTLANDS LÄN</t>
        </is>
      </c>
      <c r="E586" t="inlineStr">
        <is>
          <t>GOTLAND</t>
        </is>
      </c>
      <c r="G586" t="n">
        <v>1</v>
      </c>
      <c r="H586" t="n">
        <v>0</v>
      </c>
      <c r="I586" t="n">
        <v>0</v>
      </c>
      <c r="J586" t="n">
        <v>0</v>
      </c>
      <c r="K586" t="n">
        <v>0</v>
      </c>
      <c r="L586" t="n">
        <v>0</v>
      </c>
      <c r="M586" t="n">
        <v>0</v>
      </c>
      <c r="N586" t="n">
        <v>0</v>
      </c>
      <c r="O586" t="n">
        <v>0</v>
      </c>
      <c r="P586" t="n">
        <v>0</v>
      </c>
      <c r="Q586" t="n">
        <v>0</v>
      </c>
      <c r="R586" s="2" t="inlineStr"/>
    </row>
    <row r="587" ht="15" customHeight="1">
      <c r="A587" t="inlineStr">
        <is>
          <t>A 44949-2023</t>
        </is>
      </c>
      <c r="B587" s="1" t="n">
        <v>45190.69520833333</v>
      </c>
      <c r="C587" s="1" t="n">
        <v>45927</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17682-2024</t>
        </is>
      </c>
      <c r="B588" s="1" t="n">
        <v>45418.42966435185</v>
      </c>
      <c r="C588" s="1" t="n">
        <v>45927</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61897-2024</t>
        </is>
      </c>
      <c r="B589" s="1" t="n">
        <v>45652.75685185185</v>
      </c>
      <c r="C589" s="1" t="n">
        <v>45927</v>
      </c>
      <c r="D589" t="inlineStr">
        <is>
          <t>GOTLANDS LÄN</t>
        </is>
      </c>
      <c r="E589" t="inlineStr">
        <is>
          <t>GOTLAND</t>
        </is>
      </c>
      <c r="G589" t="n">
        <v>6.4</v>
      </c>
      <c r="H589" t="n">
        <v>0</v>
      </c>
      <c r="I589" t="n">
        <v>0</v>
      </c>
      <c r="J589" t="n">
        <v>0</v>
      </c>
      <c r="K589" t="n">
        <v>0</v>
      </c>
      <c r="L589" t="n">
        <v>0</v>
      </c>
      <c r="M589" t="n">
        <v>0</v>
      </c>
      <c r="N589" t="n">
        <v>0</v>
      </c>
      <c r="O589" t="n">
        <v>0</v>
      </c>
      <c r="P589" t="n">
        <v>0</v>
      </c>
      <c r="Q589" t="n">
        <v>0</v>
      </c>
      <c r="R589" s="2" t="inlineStr"/>
    </row>
    <row r="590" ht="15" customHeight="1">
      <c r="A590" t="inlineStr">
        <is>
          <t>A 44919-2022</t>
        </is>
      </c>
      <c r="B590" s="1" t="n">
        <v>44841</v>
      </c>
      <c r="C590" s="1" t="n">
        <v>45927</v>
      </c>
      <c r="D590" t="inlineStr">
        <is>
          <t>GOTLANDS LÄN</t>
        </is>
      </c>
      <c r="E590" t="inlineStr">
        <is>
          <t>GOTLAND</t>
        </is>
      </c>
      <c r="G590" t="n">
        <v>2.2</v>
      </c>
      <c r="H590" t="n">
        <v>0</v>
      </c>
      <c r="I590" t="n">
        <v>0</v>
      </c>
      <c r="J590" t="n">
        <v>0</v>
      </c>
      <c r="K590" t="n">
        <v>0</v>
      </c>
      <c r="L590" t="n">
        <v>0</v>
      </c>
      <c r="M590" t="n">
        <v>0</v>
      </c>
      <c r="N590" t="n">
        <v>0</v>
      </c>
      <c r="O590" t="n">
        <v>0</v>
      </c>
      <c r="P590" t="n">
        <v>0</v>
      </c>
      <c r="Q590" t="n">
        <v>0</v>
      </c>
      <c r="R590" s="2" t="inlineStr"/>
    </row>
    <row r="591" ht="15" customHeight="1">
      <c r="A591" t="inlineStr">
        <is>
          <t>A 12032-2025</t>
        </is>
      </c>
      <c r="B591" s="1" t="n">
        <v>45728.64472222222</v>
      </c>
      <c r="C591" s="1" t="n">
        <v>45927</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10158-2025</t>
        </is>
      </c>
      <c r="B592" s="1" t="n">
        <v>45719</v>
      </c>
      <c r="C592" s="1" t="n">
        <v>45927</v>
      </c>
      <c r="D592" t="inlineStr">
        <is>
          <t>GOTLANDS LÄN</t>
        </is>
      </c>
      <c r="E592" t="inlineStr">
        <is>
          <t>GOTLAND</t>
        </is>
      </c>
      <c r="G592" t="n">
        <v>3.5</v>
      </c>
      <c r="H592" t="n">
        <v>0</v>
      </c>
      <c r="I592" t="n">
        <v>0</v>
      </c>
      <c r="J592" t="n">
        <v>0</v>
      </c>
      <c r="K592" t="n">
        <v>0</v>
      </c>
      <c r="L592" t="n">
        <v>0</v>
      </c>
      <c r="M592" t="n">
        <v>0</v>
      </c>
      <c r="N592" t="n">
        <v>0</v>
      </c>
      <c r="O592" t="n">
        <v>0</v>
      </c>
      <c r="P592" t="n">
        <v>0</v>
      </c>
      <c r="Q592" t="n">
        <v>0</v>
      </c>
      <c r="R592" s="2" t="inlineStr"/>
    </row>
    <row r="593" ht="15" customHeight="1">
      <c r="A593" t="inlineStr">
        <is>
          <t>A 16501-2023</t>
        </is>
      </c>
      <c r="B593" s="1" t="n">
        <v>45029</v>
      </c>
      <c r="C593" s="1" t="n">
        <v>45927</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15595-2024</t>
        </is>
      </c>
      <c r="B594" s="1" t="n">
        <v>45401.81480324074</v>
      </c>
      <c r="C594" s="1" t="n">
        <v>45927</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30489-2025</t>
        </is>
      </c>
      <c r="B595" s="1" t="n">
        <v>45830</v>
      </c>
      <c r="C595" s="1" t="n">
        <v>45927</v>
      </c>
      <c r="D595" t="inlineStr">
        <is>
          <t>GOTLANDS LÄN</t>
        </is>
      </c>
      <c r="E595" t="inlineStr">
        <is>
          <t>GOTLAND</t>
        </is>
      </c>
      <c r="G595" t="n">
        <v>4.6</v>
      </c>
      <c r="H595" t="n">
        <v>0</v>
      </c>
      <c r="I595" t="n">
        <v>0</v>
      </c>
      <c r="J595" t="n">
        <v>0</v>
      </c>
      <c r="K595" t="n">
        <v>0</v>
      </c>
      <c r="L595" t="n">
        <v>0</v>
      </c>
      <c r="M595" t="n">
        <v>0</v>
      </c>
      <c r="N595" t="n">
        <v>0</v>
      </c>
      <c r="O595" t="n">
        <v>0</v>
      </c>
      <c r="P595" t="n">
        <v>0</v>
      </c>
      <c r="Q595" t="n">
        <v>0</v>
      </c>
      <c r="R595" s="2" t="inlineStr"/>
    </row>
    <row r="596" ht="15" customHeight="1">
      <c r="A596" t="inlineStr">
        <is>
          <t>A 21142-2025</t>
        </is>
      </c>
      <c r="B596" s="1" t="n">
        <v>45779</v>
      </c>
      <c r="C596" s="1" t="n">
        <v>45927</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6108-2025</t>
        </is>
      </c>
      <c r="B597" s="1" t="n">
        <v>45698.29880787037</v>
      </c>
      <c r="C597" s="1" t="n">
        <v>45927</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45536-2025</t>
        </is>
      </c>
      <c r="B598" s="1" t="n">
        <v>45922</v>
      </c>
      <c r="C598" s="1" t="n">
        <v>45927</v>
      </c>
      <c r="D598" t="inlineStr">
        <is>
          <t>GOTLANDS LÄN</t>
        </is>
      </c>
      <c r="E598" t="inlineStr">
        <is>
          <t>GOTLAND</t>
        </is>
      </c>
      <c r="G598" t="n">
        <v>10.4</v>
      </c>
      <c r="H598" t="n">
        <v>0</v>
      </c>
      <c r="I598" t="n">
        <v>0</v>
      </c>
      <c r="J598" t="n">
        <v>0</v>
      </c>
      <c r="K598" t="n">
        <v>0</v>
      </c>
      <c r="L598" t="n">
        <v>0</v>
      </c>
      <c r="M598" t="n">
        <v>0</v>
      </c>
      <c r="N598" t="n">
        <v>0</v>
      </c>
      <c r="O598" t="n">
        <v>0</v>
      </c>
      <c r="P598" t="n">
        <v>0</v>
      </c>
      <c r="Q598" t="n">
        <v>0</v>
      </c>
      <c r="R598" s="2" t="inlineStr"/>
    </row>
    <row r="599" ht="15" customHeight="1">
      <c r="A599" t="inlineStr">
        <is>
          <t>A 17343-2025</t>
        </is>
      </c>
      <c r="B599" s="1" t="n">
        <v>45756.6687037037</v>
      </c>
      <c r="C599" s="1" t="n">
        <v>45927</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18938-2025</t>
        </is>
      </c>
      <c r="B600" s="1" t="n">
        <v>45764.49172453704</v>
      </c>
      <c r="C600" s="1" t="n">
        <v>45927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c r="A601" t="inlineStr">
        <is>
          <t>A 20307-2025</t>
        </is>
      </c>
      <c r="B601" s="1" t="n">
        <v>45774.95546296296</v>
      </c>
      <c r="C601" s="1" t="n">
        <v>45927</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2025-09-27T12:01:36Z</dcterms:created>
  <dcterms:modified xmlns:dcterms="http://purl.org/dc/terms/" xmlns:xsi="http://www.w3.org/2001/XMLSchema-instance" xsi:type="dcterms:W3CDTF">2025-09-27T12:01:37Z</dcterms:modified>
</cp:coreProperties>
</file>