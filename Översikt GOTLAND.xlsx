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46066</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46066</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46066</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46066</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46066</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46066</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46066</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46066</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46066</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30236-2025</t>
        </is>
      </c>
      <c r="B12" s="1" t="n">
        <v>45827</v>
      </c>
      <c r="C12" s="1" t="n">
        <v>46066</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46066</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46066</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46066</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46066</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445-2023</t>
        </is>
      </c>
      <c r="B17" s="1" t="n">
        <v>44929</v>
      </c>
      <c r="C17" s="1" t="n">
        <v>46066</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922-2023</t>
        </is>
      </c>
      <c r="B18" s="1" t="n">
        <v>44932</v>
      </c>
      <c r="C18" s="1" t="n">
        <v>46066</v>
      </c>
      <c r="D18" t="inlineStr">
        <is>
          <t>GOTLANDS LÄN</t>
        </is>
      </c>
      <c r="E18" t="inlineStr">
        <is>
          <t>GOTLAND</t>
        </is>
      </c>
      <c r="G18" t="n">
        <v>6.9</v>
      </c>
      <c r="H18" t="n">
        <v>3</v>
      </c>
      <c r="I18" t="n">
        <v>8</v>
      </c>
      <c r="J18" t="n">
        <v>7</v>
      </c>
      <c r="K18" t="n">
        <v>6</v>
      </c>
      <c r="L18" t="n">
        <v>0</v>
      </c>
      <c r="M18" t="n">
        <v>0</v>
      </c>
      <c r="N18" t="n">
        <v>0</v>
      </c>
      <c r="O18" t="n">
        <v>13</v>
      </c>
      <c r="P18" t="n">
        <v>6</v>
      </c>
      <c r="Q18" t="n">
        <v>21</v>
      </c>
      <c r="R1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8">
        <f>HYPERLINK("https://klasma.github.io/Logging_0980/artfynd/A 922-2023 artfynd.xlsx", "A 922-2023")</f>
        <v/>
      </c>
      <c r="T18">
        <f>HYPERLINK("https://klasma.github.io/Logging_0980/kartor/A 922-2023 karta.png", "A 922-2023")</f>
        <v/>
      </c>
      <c r="V18">
        <f>HYPERLINK("https://klasma.github.io/Logging_0980/klagomål/A 922-2023 FSC-klagomål.docx", "A 922-2023")</f>
        <v/>
      </c>
      <c r="W18">
        <f>HYPERLINK("https://klasma.github.io/Logging_0980/klagomålsmail/A 922-2023 FSC-klagomål mail.docx", "A 922-2023")</f>
        <v/>
      </c>
      <c r="X18">
        <f>HYPERLINK("https://klasma.github.io/Logging_0980/tillsyn/A 922-2023 tillsynsbegäran.docx", "A 922-2023")</f>
        <v/>
      </c>
      <c r="Y18">
        <f>HYPERLINK("https://klasma.github.io/Logging_0980/tillsynsmail/A 922-2023 tillsynsbegäran mail.docx", "A 922-2023")</f>
        <v/>
      </c>
    </row>
    <row r="19" ht="15" customHeight="1">
      <c r="A19" t="inlineStr">
        <is>
          <t>A 40235-2025</t>
        </is>
      </c>
      <c r="B19" s="1" t="n">
        <v>45894</v>
      </c>
      <c r="C19" s="1" t="n">
        <v>46066</v>
      </c>
      <c r="D19" t="inlineStr">
        <is>
          <t>GOTLANDS LÄN</t>
        </is>
      </c>
      <c r="E19" t="inlineStr">
        <is>
          <t>GOTLAND</t>
        </is>
      </c>
      <c r="G19" t="n">
        <v>10.6</v>
      </c>
      <c r="H19" t="n">
        <v>1</v>
      </c>
      <c r="I19" t="n">
        <v>8</v>
      </c>
      <c r="J19" t="n">
        <v>6</v>
      </c>
      <c r="K19" t="n">
        <v>6</v>
      </c>
      <c r="L19" t="n">
        <v>0</v>
      </c>
      <c r="M19" t="n">
        <v>0</v>
      </c>
      <c r="N19" t="n">
        <v>0</v>
      </c>
      <c r="O19" t="n">
        <v>12</v>
      </c>
      <c r="P19" t="n">
        <v>6</v>
      </c>
      <c r="Q19" t="n">
        <v>21</v>
      </c>
      <c r="R19"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9">
        <f>HYPERLINK("https://klasma.github.io/Logging_0980/artfynd/A 40235-2025 artfynd.xlsx", "A 40235-2025")</f>
        <v/>
      </c>
      <c r="T19">
        <f>HYPERLINK("https://klasma.github.io/Logging_0980/kartor/A 40235-2025 karta.png", "A 40235-2025")</f>
        <v/>
      </c>
      <c r="V19">
        <f>HYPERLINK("https://klasma.github.io/Logging_0980/klagomål/A 40235-2025 FSC-klagomål.docx", "A 40235-2025")</f>
        <v/>
      </c>
      <c r="W19">
        <f>HYPERLINK("https://klasma.github.io/Logging_0980/klagomålsmail/A 40235-2025 FSC-klagomål mail.docx", "A 40235-2025")</f>
        <v/>
      </c>
      <c r="X19">
        <f>HYPERLINK("https://klasma.github.io/Logging_0980/tillsyn/A 40235-2025 tillsynsbegäran.docx", "A 40235-2025")</f>
        <v/>
      </c>
      <c r="Y19">
        <f>HYPERLINK("https://klasma.github.io/Logging_0980/tillsynsmail/A 40235-2025 tillsynsbegäran mail.docx", "A 40235-2025")</f>
        <v/>
      </c>
    </row>
    <row r="20" ht="15" customHeight="1">
      <c r="A20" t="inlineStr">
        <is>
          <t>A 569-2023</t>
        </is>
      </c>
      <c r="B20" s="1" t="n">
        <v>44930</v>
      </c>
      <c r="C20" s="1" t="n">
        <v>46066</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46066</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46066</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46066</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46066</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46066</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46066</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46066</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46066</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46066</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46066</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46066</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46066</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25779-2022</t>
        </is>
      </c>
      <c r="B33" s="1" t="n">
        <v>44733</v>
      </c>
      <c r="C33" s="1" t="n">
        <v>46066</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46066</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44204-2022</t>
        </is>
      </c>
      <c r="B35" s="1" t="n">
        <v>44839</v>
      </c>
      <c r="C35" s="1" t="n">
        <v>46066</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44928-2022</t>
        </is>
      </c>
      <c r="B36" s="1" t="n">
        <v>44841</v>
      </c>
      <c r="C36" s="1" t="n">
        <v>46066</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2804-2023</t>
        </is>
      </c>
      <c r="B37" s="1" t="n">
        <v>44944</v>
      </c>
      <c r="C37" s="1" t="n">
        <v>46066</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46066</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46066</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46066</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46066</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46066</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46066</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52223-2025</t>
        </is>
      </c>
      <c r="B44" s="1" t="n">
        <v>45953.44509259259</v>
      </c>
      <c r="C44" s="1" t="n">
        <v>46066</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11176-2024</t>
        </is>
      </c>
      <c r="B45" s="1" t="n">
        <v>45371</v>
      </c>
      <c r="C45" s="1" t="n">
        <v>46066</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6052-2024</t>
        </is>
      </c>
      <c r="B46" s="1" t="n">
        <v>45336</v>
      </c>
      <c r="C46" s="1" t="n">
        <v>46066</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46066</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46066</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46066</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46066</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46066</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46066</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46066</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46066</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46066</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46066</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46066</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46066</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46066</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46066</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46066</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46066</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44944-2022</t>
        </is>
      </c>
      <c r="B63" s="1" t="n">
        <v>44841</v>
      </c>
      <c r="C63" s="1" t="n">
        <v>46066</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56687-2025</t>
        </is>
      </c>
      <c r="B64" s="1" t="n">
        <v>45975.84065972222</v>
      </c>
      <c r="C64" s="1" t="n">
        <v>46066</v>
      </c>
      <c r="D64" t="inlineStr">
        <is>
          <t>GOTLANDS LÄN</t>
        </is>
      </c>
      <c r="E64" t="inlineStr">
        <is>
          <t>GOTLAND</t>
        </is>
      </c>
      <c r="G64" t="n">
        <v>2.4</v>
      </c>
      <c r="H64" t="n">
        <v>4</v>
      </c>
      <c r="I64" t="n">
        <v>2</v>
      </c>
      <c r="J64" t="n">
        <v>3</v>
      </c>
      <c r="K64" t="n">
        <v>0</v>
      </c>
      <c r="L64" t="n">
        <v>0</v>
      </c>
      <c r="M64" t="n">
        <v>0</v>
      </c>
      <c r="N64" t="n">
        <v>0</v>
      </c>
      <c r="O64" t="n">
        <v>3</v>
      </c>
      <c r="P64" t="n">
        <v>0</v>
      </c>
      <c r="Q64" t="n">
        <v>7</v>
      </c>
      <c r="R64" s="2" t="inlineStr">
        <is>
          <t>Backtimjan
Dårgräsfjäril
Solvända
Blåmossa
Skogsknipprot
Brudsporre
Nattviol</t>
        </is>
      </c>
      <c r="S64">
        <f>HYPERLINK("https://klasma.github.io/Logging_0980/artfynd/A 56687-2025 artfynd.xlsx", "A 56687-2025")</f>
        <v/>
      </c>
      <c r="T64">
        <f>HYPERLINK("https://klasma.github.io/Logging_0980/kartor/A 56687-2025 karta.png", "A 56687-2025")</f>
        <v/>
      </c>
      <c r="V64">
        <f>HYPERLINK("https://klasma.github.io/Logging_0980/klagomål/A 56687-2025 FSC-klagomål.docx", "A 56687-2025")</f>
        <v/>
      </c>
      <c r="W64">
        <f>HYPERLINK("https://klasma.github.io/Logging_0980/klagomålsmail/A 56687-2025 FSC-klagomål mail.docx", "A 56687-2025")</f>
        <v/>
      </c>
      <c r="X64">
        <f>HYPERLINK("https://klasma.github.io/Logging_0980/tillsyn/A 56687-2025 tillsynsbegäran.docx", "A 56687-2025")</f>
        <v/>
      </c>
      <c r="Y64">
        <f>HYPERLINK("https://klasma.github.io/Logging_0980/tillsynsmail/A 56687-2025 tillsynsbegäran mail.docx", "A 56687-2025")</f>
        <v/>
      </c>
    </row>
    <row r="65" ht="15" customHeight="1">
      <c r="A65" t="inlineStr">
        <is>
          <t>A 27280-2023</t>
        </is>
      </c>
      <c r="B65" s="1" t="n">
        <v>45096</v>
      </c>
      <c r="C65" s="1" t="n">
        <v>46066</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46066</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46066</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46066</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46066</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46066</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46066</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57773-2025</t>
        </is>
      </c>
      <c r="B72" s="1" t="n">
        <v>45981.56349537037</v>
      </c>
      <c r="C72" s="1" t="n">
        <v>46066</v>
      </c>
      <c r="D72" t="inlineStr">
        <is>
          <t>GOTLANDS LÄN</t>
        </is>
      </c>
      <c r="E72" t="inlineStr">
        <is>
          <t>GOTLAND</t>
        </is>
      </c>
      <c r="G72" t="n">
        <v>4.4</v>
      </c>
      <c r="H72" t="n">
        <v>0</v>
      </c>
      <c r="I72" t="n">
        <v>4</v>
      </c>
      <c r="J72" t="n">
        <v>0</v>
      </c>
      <c r="K72" t="n">
        <v>2</v>
      </c>
      <c r="L72" t="n">
        <v>0</v>
      </c>
      <c r="M72" t="n">
        <v>0</v>
      </c>
      <c r="N72" t="n">
        <v>0</v>
      </c>
      <c r="O72" t="n">
        <v>2</v>
      </c>
      <c r="P72" t="n">
        <v>2</v>
      </c>
      <c r="Q72" t="n">
        <v>6</v>
      </c>
      <c r="R72" s="2" t="inlineStr">
        <is>
          <t>Duvspindling
Mörkfjällig olivspindling
Besk kastanjemusseron
Olivspindling
Rödgul trumpetsvamp
Strimspindling</t>
        </is>
      </c>
      <c r="S72">
        <f>HYPERLINK("https://klasma.github.io/Logging_0980/artfynd/A 57773-2025 artfynd.xlsx", "A 57773-2025")</f>
        <v/>
      </c>
      <c r="T72">
        <f>HYPERLINK("https://klasma.github.io/Logging_0980/kartor/A 57773-2025 karta.png", "A 57773-2025")</f>
        <v/>
      </c>
      <c r="V72">
        <f>HYPERLINK("https://klasma.github.io/Logging_0980/klagomål/A 57773-2025 FSC-klagomål.docx", "A 57773-2025")</f>
        <v/>
      </c>
      <c r="W72">
        <f>HYPERLINK("https://klasma.github.io/Logging_0980/klagomålsmail/A 57773-2025 FSC-klagomål mail.docx", "A 57773-2025")</f>
        <v/>
      </c>
      <c r="X72">
        <f>HYPERLINK("https://klasma.github.io/Logging_0980/tillsyn/A 57773-2025 tillsynsbegäran.docx", "A 57773-2025")</f>
        <v/>
      </c>
      <c r="Y72">
        <f>HYPERLINK("https://klasma.github.io/Logging_0980/tillsynsmail/A 57773-2025 tillsynsbegäran mail.docx", "A 57773-2025")</f>
        <v/>
      </c>
    </row>
    <row r="73" ht="15" customHeight="1">
      <c r="A73" t="inlineStr">
        <is>
          <t>A 16823-2024</t>
        </is>
      </c>
      <c r="B73" s="1" t="n">
        <v>45411</v>
      </c>
      <c r="C73" s="1" t="n">
        <v>46066</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46066</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46066</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46066</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46066</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54527-2023</t>
        </is>
      </c>
      <c r="B78" s="1" t="n">
        <v>45233</v>
      </c>
      <c r="C78" s="1" t="n">
        <v>46066</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46066</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52245-2025</t>
        </is>
      </c>
      <c r="B80" s="1" t="n">
        <v>45953.47115740741</v>
      </c>
      <c r="C80" s="1" t="n">
        <v>46066</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16375-2025</t>
        </is>
      </c>
      <c r="B81" s="1" t="n">
        <v>45751.41064814815</v>
      </c>
      <c r="C81" s="1" t="n">
        <v>46066</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6839-2026</t>
        </is>
      </c>
      <c r="B82" s="1" t="n">
        <v>46057.41193287037</v>
      </c>
      <c r="C82" s="1" t="n">
        <v>46066</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32326-2024</t>
        </is>
      </c>
      <c r="B83" s="1" t="n">
        <v>45512</v>
      </c>
      <c r="C83" s="1" t="n">
        <v>46066</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35293-2025</t>
        </is>
      </c>
      <c r="B84" s="1" t="n">
        <v>45854.39438657407</v>
      </c>
      <c r="C84" s="1" t="n">
        <v>46066</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39425-2023</t>
        </is>
      </c>
      <c r="B85" s="1" t="n">
        <v>45166</v>
      </c>
      <c r="C85" s="1" t="n">
        <v>46066</v>
      </c>
      <c r="D85" t="inlineStr">
        <is>
          <t>GOTLANDS LÄN</t>
        </is>
      </c>
      <c r="E85" t="inlineStr">
        <is>
          <t>GOTLAND</t>
        </is>
      </c>
      <c r="G85" t="n">
        <v>3.9</v>
      </c>
      <c r="H85" t="n">
        <v>1</v>
      </c>
      <c r="I85" t="n">
        <v>3</v>
      </c>
      <c r="J85" t="n">
        <v>0</v>
      </c>
      <c r="K85" t="n">
        <v>2</v>
      </c>
      <c r="L85" t="n">
        <v>0</v>
      </c>
      <c r="M85" t="n">
        <v>0</v>
      </c>
      <c r="N85" t="n">
        <v>0</v>
      </c>
      <c r="O85" t="n">
        <v>2</v>
      </c>
      <c r="P85" t="n">
        <v>2</v>
      </c>
      <c r="Q85" t="n">
        <v>5</v>
      </c>
      <c r="R85" s="2" t="inlineStr">
        <is>
          <t>Knärot
Violgubbe
Anisspindling
Rödgul trumpetsvamp
Svavelriska</t>
        </is>
      </c>
      <c r="S85">
        <f>HYPERLINK("https://klasma.github.io/Logging_0980/artfynd/A 39425-2023 artfynd.xlsx", "A 39425-2023")</f>
        <v/>
      </c>
      <c r="T85">
        <f>HYPERLINK("https://klasma.github.io/Logging_0980/kartor/A 39425-2023 karta.png", "A 39425-2023")</f>
        <v/>
      </c>
      <c r="U85">
        <f>HYPERLINK("https://klasma.github.io/Logging_0980/knärot/A 39425-2023 karta knärot.png", "A 39425-2023")</f>
        <v/>
      </c>
      <c r="V85">
        <f>HYPERLINK("https://klasma.github.io/Logging_0980/klagomål/A 39425-2023 FSC-klagomål.docx", "A 39425-2023")</f>
        <v/>
      </c>
      <c r="W85">
        <f>HYPERLINK("https://klasma.github.io/Logging_0980/klagomålsmail/A 39425-2023 FSC-klagomål mail.docx", "A 39425-2023")</f>
        <v/>
      </c>
      <c r="X85">
        <f>HYPERLINK("https://klasma.github.io/Logging_0980/tillsyn/A 39425-2023 tillsynsbegäran.docx", "A 39425-2023")</f>
        <v/>
      </c>
      <c r="Y85">
        <f>HYPERLINK("https://klasma.github.io/Logging_0980/tillsynsmail/A 39425-2023 tillsynsbegäran mail.docx", "A 39425-2023")</f>
        <v/>
      </c>
    </row>
    <row r="86" ht="15" customHeight="1">
      <c r="A86" t="inlineStr">
        <is>
          <t>A 2213-2023</t>
        </is>
      </c>
      <c r="B86" s="1" t="n">
        <v>44942</v>
      </c>
      <c r="C86" s="1" t="n">
        <v>46066</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42936-2024</t>
        </is>
      </c>
      <c r="B87" s="1" t="n">
        <v>45567</v>
      </c>
      <c r="C87" s="1" t="n">
        <v>46066</v>
      </c>
      <c r="D87" t="inlineStr">
        <is>
          <t>GOTLANDS LÄN</t>
        </is>
      </c>
      <c r="E87" t="inlineStr">
        <is>
          <t>GOTLAND</t>
        </is>
      </c>
      <c r="G87" t="n">
        <v>3.4</v>
      </c>
      <c r="H87" t="n">
        <v>0</v>
      </c>
      <c r="I87" t="n">
        <v>3</v>
      </c>
      <c r="J87" t="n">
        <v>1</v>
      </c>
      <c r="K87" t="n">
        <v>1</v>
      </c>
      <c r="L87" t="n">
        <v>0</v>
      </c>
      <c r="M87" t="n">
        <v>0</v>
      </c>
      <c r="N87" t="n">
        <v>0</v>
      </c>
      <c r="O87" t="n">
        <v>2</v>
      </c>
      <c r="P87" t="n">
        <v>1</v>
      </c>
      <c r="Q87" t="n">
        <v>5</v>
      </c>
      <c r="R87" s="2" t="inlineStr">
        <is>
          <t>Vit taggsvamp
Äggspindling
Barrfagerspindling
Blå slemspindling
Svavelriska</t>
        </is>
      </c>
      <c r="S87">
        <f>HYPERLINK("https://klasma.github.io/Logging_0980/artfynd/A 42936-2024 artfynd.xlsx", "A 42936-2024")</f>
        <v/>
      </c>
      <c r="T87">
        <f>HYPERLINK("https://klasma.github.io/Logging_0980/kartor/A 42936-2024 karta.png", "A 42936-2024")</f>
        <v/>
      </c>
      <c r="V87">
        <f>HYPERLINK("https://klasma.github.io/Logging_0980/klagomål/A 42936-2024 FSC-klagomål.docx", "A 42936-2024")</f>
        <v/>
      </c>
      <c r="W87">
        <f>HYPERLINK("https://klasma.github.io/Logging_0980/klagomålsmail/A 42936-2024 FSC-klagomål mail.docx", "A 42936-2024")</f>
        <v/>
      </c>
      <c r="X87">
        <f>HYPERLINK("https://klasma.github.io/Logging_0980/tillsyn/A 42936-2024 tillsynsbegäran.docx", "A 42936-2024")</f>
        <v/>
      </c>
      <c r="Y87">
        <f>HYPERLINK("https://klasma.github.io/Logging_0980/tillsynsmail/A 42936-2024 tillsynsbegäran mail.docx", "A 42936-2024")</f>
        <v/>
      </c>
    </row>
    <row r="88" ht="15" customHeight="1">
      <c r="A88" t="inlineStr">
        <is>
          <t>A 54055-2022</t>
        </is>
      </c>
      <c r="B88" s="1" t="n">
        <v>44881</v>
      </c>
      <c r="C88" s="1" t="n">
        <v>46066</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29331-2021</t>
        </is>
      </c>
      <c r="B89" s="1" t="n">
        <v>44361</v>
      </c>
      <c r="C89" s="1" t="n">
        <v>46066</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52250-2025</t>
        </is>
      </c>
      <c r="B90" s="1" t="n">
        <v>45953.48998842593</v>
      </c>
      <c r="C90" s="1" t="n">
        <v>46066</v>
      </c>
      <c r="D90" t="inlineStr">
        <is>
          <t>GOTLANDS LÄN</t>
        </is>
      </c>
      <c r="E90" t="inlineStr">
        <is>
          <t>GOTLAND</t>
        </is>
      </c>
      <c r="F90" t="inlineStr">
        <is>
          <t>Övriga Aktiebolag</t>
        </is>
      </c>
      <c r="G90" t="n">
        <v>1.2</v>
      </c>
      <c r="H90" t="n">
        <v>2</v>
      </c>
      <c r="I90" t="n">
        <v>1</v>
      </c>
      <c r="J90" t="n">
        <v>2</v>
      </c>
      <c r="K90" t="n">
        <v>0</v>
      </c>
      <c r="L90" t="n">
        <v>0</v>
      </c>
      <c r="M90" t="n">
        <v>0</v>
      </c>
      <c r="N90" t="n">
        <v>0</v>
      </c>
      <c r="O90" t="n">
        <v>2</v>
      </c>
      <c r="P90" t="n">
        <v>0</v>
      </c>
      <c r="Q90" t="n">
        <v>4</v>
      </c>
      <c r="R90" s="2" t="inlineStr">
        <is>
          <t>Backtimjan
Spillkråka
Anisspindling
Nattviol</t>
        </is>
      </c>
      <c r="S90">
        <f>HYPERLINK("https://klasma.github.io/Logging_0980/artfynd/A 52250-2025 artfynd.xlsx", "A 52250-2025")</f>
        <v/>
      </c>
      <c r="T90">
        <f>HYPERLINK("https://klasma.github.io/Logging_0980/kartor/A 52250-2025 karta.png", "A 52250-2025")</f>
        <v/>
      </c>
      <c r="V90">
        <f>HYPERLINK("https://klasma.github.io/Logging_0980/klagomål/A 52250-2025 FSC-klagomål.docx", "A 52250-2025")</f>
        <v/>
      </c>
      <c r="W90">
        <f>HYPERLINK("https://klasma.github.io/Logging_0980/klagomålsmail/A 52250-2025 FSC-klagomål mail.docx", "A 52250-2025")</f>
        <v/>
      </c>
      <c r="X90">
        <f>HYPERLINK("https://klasma.github.io/Logging_0980/tillsyn/A 52250-2025 tillsynsbegäran.docx", "A 52250-2025")</f>
        <v/>
      </c>
      <c r="Y90">
        <f>HYPERLINK("https://klasma.github.io/Logging_0980/tillsynsmail/A 52250-2025 tillsynsbegäran mail.docx", "A 52250-2025")</f>
        <v/>
      </c>
      <c r="Z90">
        <f>HYPERLINK("https://klasma.github.io/Logging_0980/fåglar/A 52250-2025 prioriterade fågelarter.docx", "A 52250-2025")</f>
        <v/>
      </c>
    </row>
    <row r="91" ht="15" customHeight="1">
      <c r="A91" t="inlineStr">
        <is>
          <t>A 57463-2025</t>
        </is>
      </c>
      <c r="B91" s="1" t="n">
        <v>45980.54174768519</v>
      </c>
      <c r="C91" s="1" t="n">
        <v>46066</v>
      </c>
      <c r="D91" t="inlineStr">
        <is>
          <t>GOTLANDS LÄN</t>
        </is>
      </c>
      <c r="E91" t="inlineStr">
        <is>
          <t>GOTLAND</t>
        </is>
      </c>
      <c r="G91" t="n">
        <v>3.8</v>
      </c>
      <c r="H91" t="n">
        <v>0</v>
      </c>
      <c r="I91" t="n">
        <v>1</v>
      </c>
      <c r="J91" t="n">
        <v>1</v>
      </c>
      <c r="K91" t="n">
        <v>2</v>
      </c>
      <c r="L91" t="n">
        <v>0</v>
      </c>
      <c r="M91" t="n">
        <v>0</v>
      </c>
      <c r="N91" t="n">
        <v>0</v>
      </c>
      <c r="O91" t="n">
        <v>3</v>
      </c>
      <c r="P91" t="n">
        <v>2</v>
      </c>
      <c r="Q91" t="n">
        <v>4</v>
      </c>
      <c r="R91" s="2" t="inlineStr">
        <is>
          <t>Gulsträngad fagerspindling
Tvillingspindling
Odörspindling
Blå slemspindling</t>
        </is>
      </c>
      <c r="S91">
        <f>HYPERLINK("https://klasma.github.io/Logging_0980/artfynd/A 57463-2025 artfynd.xlsx", "A 57463-2025")</f>
        <v/>
      </c>
      <c r="T91">
        <f>HYPERLINK("https://klasma.github.io/Logging_0980/kartor/A 57463-2025 karta.png", "A 57463-2025")</f>
        <v/>
      </c>
      <c r="V91">
        <f>HYPERLINK("https://klasma.github.io/Logging_0980/klagomål/A 57463-2025 FSC-klagomål.docx", "A 57463-2025")</f>
        <v/>
      </c>
      <c r="W91">
        <f>HYPERLINK("https://klasma.github.io/Logging_0980/klagomålsmail/A 57463-2025 FSC-klagomål mail.docx", "A 57463-2025")</f>
        <v/>
      </c>
      <c r="X91">
        <f>HYPERLINK("https://klasma.github.io/Logging_0980/tillsyn/A 57463-2025 tillsynsbegäran.docx", "A 57463-2025")</f>
        <v/>
      </c>
      <c r="Y91">
        <f>HYPERLINK("https://klasma.github.io/Logging_0980/tillsynsmail/A 57463-2025 tillsynsbegäran mail.docx", "A 57463-2025")</f>
        <v/>
      </c>
    </row>
    <row r="92" ht="15" customHeight="1">
      <c r="A92" t="inlineStr">
        <is>
          <t>A 6836-2026</t>
        </is>
      </c>
      <c r="B92" s="1" t="n">
        <v>46057.40902777778</v>
      </c>
      <c r="C92" s="1" t="n">
        <v>46066</v>
      </c>
      <c r="D92" t="inlineStr">
        <is>
          <t>GOTLANDS LÄN</t>
        </is>
      </c>
      <c r="E92" t="inlineStr">
        <is>
          <t>GOTLAND</t>
        </is>
      </c>
      <c r="G92" t="n">
        <v>3.8</v>
      </c>
      <c r="H92" t="n">
        <v>1</v>
      </c>
      <c r="I92" t="n">
        <v>3</v>
      </c>
      <c r="J92" t="n">
        <v>0</v>
      </c>
      <c r="K92" t="n">
        <v>1</v>
      </c>
      <c r="L92" t="n">
        <v>0</v>
      </c>
      <c r="M92" t="n">
        <v>0</v>
      </c>
      <c r="N92" t="n">
        <v>0</v>
      </c>
      <c r="O92" t="n">
        <v>1</v>
      </c>
      <c r="P92" t="n">
        <v>1</v>
      </c>
      <c r="Q92" t="n">
        <v>4</v>
      </c>
      <c r="R92" s="2" t="inlineStr">
        <is>
          <t>Knärot
Fransig jordstjärna
Rödgul trumpetsvamp
Svavelriska</t>
        </is>
      </c>
      <c r="S92">
        <f>HYPERLINK("https://klasma.github.io/Logging_0980/artfynd/A 6836-2026 artfynd.xlsx", "A 6836-2026")</f>
        <v/>
      </c>
      <c r="T92">
        <f>HYPERLINK("https://klasma.github.io/Logging_0980/kartor/A 6836-2026 karta.png", "A 6836-2026")</f>
        <v/>
      </c>
      <c r="U92">
        <f>HYPERLINK("https://klasma.github.io/Logging_0980/knärot/A 6836-2026 karta knärot.png", "A 6836-2026")</f>
        <v/>
      </c>
      <c r="V92">
        <f>HYPERLINK("https://klasma.github.io/Logging_0980/klagomål/A 6836-2026 FSC-klagomål.docx", "A 6836-2026")</f>
        <v/>
      </c>
      <c r="W92">
        <f>HYPERLINK("https://klasma.github.io/Logging_0980/klagomålsmail/A 6836-2026 FSC-klagomål mail.docx", "A 6836-2026")</f>
        <v/>
      </c>
      <c r="X92">
        <f>HYPERLINK("https://klasma.github.io/Logging_0980/tillsyn/A 6836-2026 tillsynsbegäran.docx", "A 6836-2026")</f>
        <v/>
      </c>
      <c r="Y92">
        <f>HYPERLINK("https://klasma.github.io/Logging_0980/tillsynsmail/A 6836-2026 tillsynsbegäran mail.docx", "A 6836-2026")</f>
        <v/>
      </c>
    </row>
    <row r="93" ht="15" customHeight="1">
      <c r="A93" t="inlineStr">
        <is>
          <t>A 56717-2024</t>
        </is>
      </c>
      <c r="B93" s="1" t="n">
        <v>45628.3166550926</v>
      </c>
      <c r="C93" s="1" t="n">
        <v>46066</v>
      </c>
      <c r="D93" t="inlineStr">
        <is>
          <t>GOTLANDS LÄN</t>
        </is>
      </c>
      <c r="E93" t="inlineStr">
        <is>
          <t>GOTLAND</t>
        </is>
      </c>
      <c r="G93" t="n">
        <v>9.699999999999999</v>
      </c>
      <c r="H93" t="n">
        <v>0</v>
      </c>
      <c r="I93" t="n">
        <v>2</v>
      </c>
      <c r="J93" t="n">
        <v>2</v>
      </c>
      <c r="K93" t="n">
        <v>0</v>
      </c>
      <c r="L93" t="n">
        <v>0</v>
      </c>
      <c r="M93" t="n">
        <v>0</v>
      </c>
      <c r="N93" t="n">
        <v>0</v>
      </c>
      <c r="O93" t="n">
        <v>2</v>
      </c>
      <c r="P93" t="n">
        <v>0</v>
      </c>
      <c r="Q93" t="n">
        <v>4</v>
      </c>
      <c r="R93" s="2" t="inlineStr">
        <is>
          <t>Ekvaxskivling
Odörspindling
Fjällig taggsvamp s.str.
Kattfotslav</t>
        </is>
      </c>
      <c r="S93">
        <f>HYPERLINK("https://klasma.github.io/Logging_0980/artfynd/A 56717-2024 artfynd.xlsx", "A 56717-2024")</f>
        <v/>
      </c>
      <c r="T93">
        <f>HYPERLINK("https://klasma.github.io/Logging_0980/kartor/A 56717-2024 karta.png", "A 56717-2024")</f>
        <v/>
      </c>
      <c r="V93">
        <f>HYPERLINK("https://klasma.github.io/Logging_0980/klagomål/A 56717-2024 FSC-klagomål.docx", "A 56717-2024")</f>
        <v/>
      </c>
      <c r="W93">
        <f>HYPERLINK("https://klasma.github.io/Logging_0980/klagomålsmail/A 56717-2024 FSC-klagomål mail.docx", "A 56717-2024")</f>
        <v/>
      </c>
      <c r="X93">
        <f>HYPERLINK("https://klasma.github.io/Logging_0980/tillsyn/A 56717-2024 tillsynsbegäran.docx", "A 56717-2024")</f>
        <v/>
      </c>
      <c r="Y93">
        <f>HYPERLINK("https://klasma.github.io/Logging_0980/tillsynsmail/A 56717-2024 tillsynsbegäran mail.docx", "A 56717-2024")</f>
        <v/>
      </c>
    </row>
    <row r="94" ht="15" customHeight="1">
      <c r="A94" t="inlineStr">
        <is>
          <t>A 40099-2025</t>
        </is>
      </c>
      <c r="B94" s="1" t="n">
        <v>45894.48462962963</v>
      </c>
      <c r="C94" s="1" t="n">
        <v>46066</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46066</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2485-2025</t>
        </is>
      </c>
      <c r="B96" s="1" t="n">
        <v>45673</v>
      </c>
      <c r="C96" s="1" t="n">
        <v>46066</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5904-2024</t>
        </is>
      </c>
      <c r="B97" s="1" t="n">
        <v>45335</v>
      </c>
      <c r="C97" s="1" t="n">
        <v>46066</v>
      </c>
      <c r="D97" t="inlineStr">
        <is>
          <t>GOTLANDS LÄN</t>
        </is>
      </c>
      <c r="E97" t="inlineStr">
        <is>
          <t>GOTLAND</t>
        </is>
      </c>
      <c r="G97" t="n">
        <v>6.4</v>
      </c>
      <c r="H97" t="n">
        <v>1</v>
      </c>
      <c r="I97" t="n">
        <v>2</v>
      </c>
      <c r="J97" t="n">
        <v>1</v>
      </c>
      <c r="K97" t="n">
        <v>0</v>
      </c>
      <c r="L97" t="n">
        <v>0</v>
      </c>
      <c r="M97" t="n">
        <v>0</v>
      </c>
      <c r="N97" t="n">
        <v>0</v>
      </c>
      <c r="O97" t="n">
        <v>1</v>
      </c>
      <c r="P97" t="n">
        <v>0</v>
      </c>
      <c r="Q97" t="n">
        <v>4</v>
      </c>
      <c r="R97" s="2" t="inlineStr">
        <is>
          <t>Backstarr
Blåmossa
Kattfotslav
Sankt pers nycklar</t>
        </is>
      </c>
      <c r="S97">
        <f>HYPERLINK("https://klasma.github.io/Logging_0980/artfynd/A 5904-2024 artfynd.xlsx", "A 5904-2024")</f>
        <v/>
      </c>
      <c r="T97">
        <f>HYPERLINK("https://klasma.github.io/Logging_0980/kartor/A 5904-2024 karta.png", "A 5904-2024")</f>
        <v/>
      </c>
      <c r="V97">
        <f>HYPERLINK("https://klasma.github.io/Logging_0980/klagomål/A 5904-2024 FSC-klagomål.docx", "A 5904-2024")</f>
        <v/>
      </c>
      <c r="W97">
        <f>HYPERLINK("https://klasma.github.io/Logging_0980/klagomålsmail/A 5904-2024 FSC-klagomål mail.docx", "A 5904-2024")</f>
        <v/>
      </c>
      <c r="X97">
        <f>HYPERLINK("https://klasma.github.io/Logging_0980/tillsyn/A 5904-2024 tillsynsbegäran.docx", "A 5904-2024")</f>
        <v/>
      </c>
      <c r="Y97">
        <f>HYPERLINK("https://klasma.github.io/Logging_0980/tillsynsmail/A 5904-2024 tillsynsbegäran mail.docx", "A 5904-2024")</f>
        <v/>
      </c>
    </row>
    <row r="98" ht="15" customHeight="1">
      <c r="A98" t="inlineStr">
        <is>
          <t>A 6159-2023</t>
        </is>
      </c>
      <c r="B98" s="1" t="n">
        <v>44964</v>
      </c>
      <c r="C98" s="1" t="n">
        <v>46066</v>
      </c>
      <c r="D98" t="inlineStr">
        <is>
          <t>GOTLANDS LÄN</t>
        </is>
      </c>
      <c r="E98" t="inlineStr">
        <is>
          <t>GOTLAND</t>
        </is>
      </c>
      <c r="G98" t="n">
        <v>2</v>
      </c>
      <c r="H98" t="n">
        <v>0</v>
      </c>
      <c r="I98" t="n">
        <v>2</v>
      </c>
      <c r="J98" t="n">
        <v>2</v>
      </c>
      <c r="K98" t="n">
        <v>0</v>
      </c>
      <c r="L98" t="n">
        <v>0</v>
      </c>
      <c r="M98" t="n">
        <v>0</v>
      </c>
      <c r="N98" t="n">
        <v>0</v>
      </c>
      <c r="O98" t="n">
        <v>2</v>
      </c>
      <c r="P98" t="n">
        <v>0</v>
      </c>
      <c r="Q98" t="n">
        <v>4</v>
      </c>
      <c r="R98" s="2" t="inlineStr">
        <is>
          <t>Dofttaggsvamp
Odörspindling
Anisspindling
Olivspindling</t>
        </is>
      </c>
      <c r="S98">
        <f>HYPERLINK("https://klasma.github.io/Logging_0980/artfynd/A 6159-2023 artfynd.xlsx", "A 6159-2023")</f>
        <v/>
      </c>
      <c r="T98">
        <f>HYPERLINK("https://klasma.github.io/Logging_0980/kartor/A 6159-2023 karta.png", "A 6159-2023")</f>
        <v/>
      </c>
      <c r="V98">
        <f>HYPERLINK("https://klasma.github.io/Logging_0980/klagomål/A 6159-2023 FSC-klagomål.docx", "A 6159-2023")</f>
        <v/>
      </c>
      <c r="W98">
        <f>HYPERLINK("https://klasma.github.io/Logging_0980/klagomålsmail/A 6159-2023 FSC-klagomål mail.docx", "A 6159-2023")</f>
        <v/>
      </c>
      <c r="X98">
        <f>HYPERLINK("https://klasma.github.io/Logging_0980/tillsyn/A 6159-2023 tillsynsbegäran.docx", "A 6159-2023")</f>
        <v/>
      </c>
      <c r="Y98">
        <f>HYPERLINK("https://klasma.github.io/Logging_0980/tillsynsmail/A 6159-2023 tillsynsbegäran mail.docx", "A 6159-2023")</f>
        <v/>
      </c>
    </row>
    <row r="99" ht="15" customHeight="1">
      <c r="A99" t="inlineStr">
        <is>
          <t>A 43197-2023</t>
        </is>
      </c>
      <c r="B99" s="1" t="n">
        <v>45183</v>
      </c>
      <c r="C99" s="1" t="n">
        <v>46066</v>
      </c>
      <c r="D99" t="inlineStr">
        <is>
          <t>GOTLANDS LÄN</t>
        </is>
      </c>
      <c r="E99" t="inlineStr">
        <is>
          <t>GOTLAND</t>
        </is>
      </c>
      <c r="G99" t="n">
        <v>3.7</v>
      </c>
      <c r="H99" t="n">
        <v>2</v>
      </c>
      <c r="I99" t="n">
        <v>1</v>
      </c>
      <c r="J99" t="n">
        <v>1</v>
      </c>
      <c r="K99" t="n">
        <v>1</v>
      </c>
      <c r="L99" t="n">
        <v>0</v>
      </c>
      <c r="M99" t="n">
        <v>0</v>
      </c>
      <c r="N99" t="n">
        <v>0</v>
      </c>
      <c r="O99" t="n">
        <v>2</v>
      </c>
      <c r="P99" t="n">
        <v>1</v>
      </c>
      <c r="Q99" t="n">
        <v>4</v>
      </c>
      <c r="R99" s="2" t="inlineStr">
        <is>
          <t>Allékantlav
Svinrot
Skogsknipprot
Revlummer</t>
        </is>
      </c>
      <c r="S99">
        <f>HYPERLINK("https://klasma.github.io/Logging_0980/artfynd/A 43197-2023 artfynd.xlsx", "A 43197-2023")</f>
        <v/>
      </c>
      <c r="T99">
        <f>HYPERLINK("https://klasma.github.io/Logging_0980/kartor/A 43197-2023 karta.png", "A 43197-2023")</f>
        <v/>
      </c>
      <c r="V99">
        <f>HYPERLINK("https://klasma.github.io/Logging_0980/klagomål/A 43197-2023 FSC-klagomål.docx", "A 43197-2023")</f>
        <v/>
      </c>
      <c r="W99">
        <f>HYPERLINK("https://klasma.github.io/Logging_0980/klagomålsmail/A 43197-2023 FSC-klagomål mail.docx", "A 43197-2023")</f>
        <v/>
      </c>
      <c r="X99">
        <f>HYPERLINK("https://klasma.github.io/Logging_0980/tillsyn/A 43197-2023 tillsynsbegäran.docx", "A 43197-2023")</f>
        <v/>
      </c>
      <c r="Y99">
        <f>HYPERLINK("https://klasma.github.io/Logging_0980/tillsynsmail/A 43197-2023 tillsynsbegäran mail.docx", "A 43197-2023")</f>
        <v/>
      </c>
    </row>
    <row r="100" ht="15" customHeight="1">
      <c r="A100" t="inlineStr">
        <is>
          <t>A 1971-2023</t>
        </is>
      </c>
      <c r="B100" s="1" t="n">
        <v>44939</v>
      </c>
      <c r="C100" s="1" t="n">
        <v>46066</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46066</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54523-2023</t>
        </is>
      </c>
      <c r="B102" s="1" t="n">
        <v>45233</v>
      </c>
      <c r="C102" s="1" t="n">
        <v>46066</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8265-2023</t>
        </is>
      </c>
      <c r="B103" s="1" t="n">
        <v>44974</v>
      </c>
      <c r="C103" s="1" t="n">
        <v>46066</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46066</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46066</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46066</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46066</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46066</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46066</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46066</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46066</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46066</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46066</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48126-2022</t>
        </is>
      </c>
      <c r="B114" s="1" t="n">
        <v>44857</v>
      </c>
      <c r="C114" s="1" t="n">
        <v>46066</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20831-2024</t>
        </is>
      </c>
      <c r="B115" s="1" t="n">
        <v>45439</v>
      </c>
      <c r="C115" s="1" t="n">
        <v>46066</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17975-2024</t>
        </is>
      </c>
      <c r="B116" s="1" t="n">
        <v>45419.85546296297</v>
      </c>
      <c r="C116" s="1" t="n">
        <v>46066</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55334-2024</t>
        </is>
      </c>
      <c r="B117" s="1" t="n">
        <v>45621</v>
      </c>
      <c r="C117" s="1" t="n">
        <v>46066</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49709-2025</t>
        </is>
      </c>
      <c r="B118" s="1" t="n">
        <v>45939.68228009259</v>
      </c>
      <c r="C118" s="1" t="n">
        <v>46066</v>
      </c>
      <c r="D118" t="inlineStr">
        <is>
          <t>GOTLANDS LÄN</t>
        </is>
      </c>
      <c r="E118" t="inlineStr">
        <is>
          <t>GOTLAND</t>
        </is>
      </c>
      <c r="G118" t="n">
        <v>10.2</v>
      </c>
      <c r="H118" t="n">
        <v>0</v>
      </c>
      <c r="I118" t="n">
        <v>2</v>
      </c>
      <c r="J118" t="n">
        <v>1</v>
      </c>
      <c r="K118" t="n">
        <v>0</v>
      </c>
      <c r="L118" t="n">
        <v>0</v>
      </c>
      <c r="M118" t="n">
        <v>0</v>
      </c>
      <c r="N118" t="n">
        <v>0</v>
      </c>
      <c r="O118" t="n">
        <v>1</v>
      </c>
      <c r="P118" t="n">
        <v>0</v>
      </c>
      <c r="Q118" t="n">
        <v>3</v>
      </c>
      <c r="R118" s="2" t="inlineStr">
        <is>
          <t>Tallticka
Blåmossa
Grovticka</t>
        </is>
      </c>
      <c r="S118">
        <f>HYPERLINK("https://klasma.github.io/Logging_0980/artfynd/A 49709-2025 artfynd.xlsx", "A 49709-2025")</f>
        <v/>
      </c>
      <c r="T118">
        <f>HYPERLINK("https://klasma.github.io/Logging_0980/kartor/A 49709-2025 karta.png", "A 49709-2025")</f>
        <v/>
      </c>
      <c r="V118">
        <f>HYPERLINK("https://klasma.github.io/Logging_0980/klagomål/A 49709-2025 FSC-klagomål.docx", "A 49709-2025")</f>
        <v/>
      </c>
      <c r="W118">
        <f>HYPERLINK("https://klasma.github.io/Logging_0980/klagomålsmail/A 49709-2025 FSC-klagomål mail.docx", "A 49709-2025")</f>
        <v/>
      </c>
      <c r="X118">
        <f>HYPERLINK("https://klasma.github.io/Logging_0980/tillsyn/A 49709-2025 tillsynsbegäran.docx", "A 49709-2025")</f>
        <v/>
      </c>
      <c r="Y118">
        <f>HYPERLINK("https://klasma.github.io/Logging_0980/tillsynsmail/A 49709-2025 tillsynsbegäran mail.docx", "A 49709-2025")</f>
        <v/>
      </c>
    </row>
    <row r="119" ht="15" customHeight="1">
      <c r="A119" t="inlineStr">
        <is>
          <t>A 17982-2023</t>
        </is>
      </c>
      <c r="B119" s="1" t="n">
        <v>45040</v>
      </c>
      <c r="C119" s="1" t="n">
        <v>46066</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1520-2026</t>
        </is>
      </c>
      <c r="B120" s="1" t="n">
        <v>46034.35891203704</v>
      </c>
      <c r="C120" s="1" t="n">
        <v>46066</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53552-2021</t>
        </is>
      </c>
      <c r="B121" s="1" t="n">
        <v>44468</v>
      </c>
      <c r="C121" s="1" t="n">
        <v>46066</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46066</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46066</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46066</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46066</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46066</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46066</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46066</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46066</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46066</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62760-2025</t>
        </is>
      </c>
      <c r="B131" s="1" t="n">
        <v>46008</v>
      </c>
      <c r="C131" s="1" t="n">
        <v>46066</v>
      </c>
      <c r="D131" t="inlineStr">
        <is>
          <t>GOTLANDS LÄN</t>
        </is>
      </c>
      <c r="E131" t="inlineStr">
        <is>
          <t>GOTLAND</t>
        </is>
      </c>
      <c r="F131" t="inlineStr">
        <is>
          <t>Övriga Aktiebolag</t>
        </is>
      </c>
      <c r="G131" t="n">
        <v>4.6</v>
      </c>
      <c r="H131" t="n">
        <v>1</v>
      </c>
      <c r="I131" t="n">
        <v>2</v>
      </c>
      <c r="J131" t="n">
        <v>0</v>
      </c>
      <c r="K131" t="n">
        <v>0</v>
      </c>
      <c r="L131" t="n">
        <v>0</v>
      </c>
      <c r="M131" t="n">
        <v>0</v>
      </c>
      <c r="N131" t="n">
        <v>0</v>
      </c>
      <c r="O131" t="n">
        <v>0</v>
      </c>
      <c r="P131" t="n">
        <v>0</v>
      </c>
      <c r="Q131" t="n">
        <v>2</v>
      </c>
      <c r="R131" s="2" t="inlineStr">
        <is>
          <t>Nästrot
Vårärt</t>
        </is>
      </c>
      <c r="S131">
        <f>HYPERLINK("https://klasma.github.io/Logging_0980/artfynd/A 62760-2025 artfynd.xlsx", "A 62760-2025")</f>
        <v/>
      </c>
      <c r="T131">
        <f>HYPERLINK("https://klasma.github.io/Logging_0980/kartor/A 62760-2025 karta.png", "A 62760-2025")</f>
        <v/>
      </c>
      <c r="V131">
        <f>HYPERLINK("https://klasma.github.io/Logging_0980/klagomål/A 62760-2025 FSC-klagomål.docx", "A 62760-2025")</f>
        <v/>
      </c>
      <c r="W131">
        <f>HYPERLINK("https://klasma.github.io/Logging_0980/klagomålsmail/A 62760-2025 FSC-klagomål mail.docx", "A 62760-2025")</f>
        <v/>
      </c>
      <c r="X131">
        <f>HYPERLINK("https://klasma.github.io/Logging_0980/tillsyn/A 62760-2025 tillsynsbegäran.docx", "A 62760-2025")</f>
        <v/>
      </c>
      <c r="Y131">
        <f>HYPERLINK("https://klasma.github.io/Logging_0980/tillsynsmail/A 62760-2025 tillsynsbegäran mail.docx", "A 62760-2025")</f>
        <v/>
      </c>
    </row>
    <row r="132" ht="15" customHeight="1">
      <c r="A132" t="inlineStr">
        <is>
          <t>A 7070-2022</t>
        </is>
      </c>
      <c r="B132" s="1" t="n">
        <v>44603</v>
      </c>
      <c r="C132" s="1" t="n">
        <v>46066</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46066</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54357-2024</t>
        </is>
      </c>
      <c r="B134" s="1" t="n">
        <v>45617.40662037037</v>
      </c>
      <c r="C134" s="1" t="n">
        <v>46066</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20838-2024</t>
        </is>
      </c>
      <c r="B135" s="1" t="n">
        <v>45439</v>
      </c>
      <c r="C135" s="1" t="n">
        <v>46066</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26077-2024</t>
        </is>
      </c>
      <c r="B136" s="1" t="n">
        <v>45467</v>
      </c>
      <c r="C136" s="1" t="n">
        <v>46066</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63162-2025</t>
        </is>
      </c>
      <c r="B137" s="1" t="n">
        <v>46010.37629629629</v>
      </c>
      <c r="C137" s="1" t="n">
        <v>46066</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43219-2023</t>
        </is>
      </c>
      <c r="B138" s="1" t="n">
        <v>45183</v>
      </c>
      <c r="C138" s="1" t="n">
        <v>46066</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46066</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46066</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46066</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46066</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46066</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46066</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46066</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63149-2025</t>
        </is>
      </c>
      <c r="B146" s="1" t="n">
        <v>46010</v>
      </c>
      <c r="C146" s="1" t="n">
        <v>46066</v>
      </c>
      <c r="D146" t="inlineStr">
        <is>
          <t>GOTLANDS LÄN</t>
        </is>
      </c>
      <c r="E146" t="inlineStr">
        <is>
          <t>GOTLAND</t>
        </is>
      </c>
      <c r="G146" t="n">
        <v>4.3</v>
      </c>
      <c r="H146" t="n">
        <v>0</v>
      </c>
      <c r="I146" t="n">
        <v>1</v>
      </c>
      <c r="J146" t="n">
        <v>0</v>
      </c>
      <c r="K146" t="n">
        <v>0</v>
      </c>
      <c r="L146" t="n">
        <v>0</v>
      </c>
      <c r="M146" t="n">
        <v>0</v>
      </c>
      <c r="N146" t="n">
        <v>0</v>
      </c>
      <c r="O146" t="n">
        <v>0</v>
      </c>
      <c r="P146" t="n">
        <v>0</v>
      </c>
      <c r="Q146" t="n">
        <v>1</v>
      </c>
      <c r="R146" s="2" t="inlineStr">
        <is>
          <t>Anisspindling</t>
        </is>
      </c>
      <c r="S146">
        <f>HYPERLINK("https://klasma.github.io/Logging_0980/artfynd/A 63149-2025 artfynd.xlsx", "A 63149-2025")</f>
        <v/>
      </c>
      <c r="T146">
        <f>HYPERLINK("https://klasma.github.io/Logging_0980/kartor/A 63149-2025 karta.png", "A 63149-2025")</f>
        <v/>
      </c>
      <c r="V146">
        <f>HYPERLINK("https://klasma.github.io/Logging_0980/klagomål/A 63149-2025 FSC-klagomål.docx", "A 63149-2025")</f>
        <v/>
      </c>
      <c r="W146">
        <f>HYPERLINK("https://klasma.github.io/Logging_0980/klagomålsmail/A 63149-2025 FSC-klagomål mail.docx", "A 63149-2025")</f>
        <v/>
      </c>
      <c r="X146">
        <f>HYPERLINK("https://klasma.github.io/Logging_0980/tillsyn/A 63149-2025 tillsynsbegäran.docx", "A 63149-2025")</f>
        <v/>
      </c>
      <c r="Y146">
        <f>HYPERLINK("https://klasma.github.io/Logging_0980/tillsynsmail/A 63149-2025 tillsynsbegäran mail.docx", "A 63149-2025")</f>
        <v/>
      </c>
    </row>
    <row r="147" ht="15" customHeight="1">
      <c r="A147" t="inlineStr">
        <is>
          <t>A 46527-2023</t>
        </is>
      </c>
      <c r="B147" s="1" t="n">
        <v>45197</v>
      </c>
      <c r="C147" s="1" t="n">
        <v>46066</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26461-2025</t>
        </is>
      </c>
      <c r="B148" s="1" t="n">
        <v>45807.43337962963</v>
      </c>
      <c r="C148" s="1" t="n">
        <v>46066</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46066</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6303-2024</t>
        </is>
      </c>
      <c r="B150" s="1" t="n">
        <v>45338.35376157407</v>
      </c>
      <c r="C150" s="1" t="n">
        <v>46066</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46066</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39812-2025</t>
        </is>
      </c>
      <c r="B152" s="1" t="n">
        <v>45891</v>
      </c>
      <c r="C152" s="1" t="n">
        <v>46066</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25977-2024</t>
        </is>
      </c>
      <c r="B153" s="1" t="n">
        <v>45467.69356481481</v>
      </c>
      <c r="C153" s="1" t="n">
        <v>46066</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27589-2023</t>
        </is>
      </c>
      <c r="B154" s="1" t="n">
        <v>45097</v>
      </c>
      <c r="C154" s="1" t="n">
        <v>46066</v>
      </c>
      <c r="D154" t="inlineStr">
        <is>
          <t>GOTLANDS LÄN</t>
        </is>
      </c>
      <c r="E154" t="inlineStr">
        <is>
          <t>GOTLAND</t>
        </is>
      </c>
      <c r="G154" t="n">
        <v>5.4</v>
      </c>
      <c r="H154" t="n">
        <v>0</v>
      </c>
      <c r="I154" t="n">
        <v>0</v>
      </c>
      <c r="J154" t="n">
        <v>0</v>
      </c>
      <c r="K154" t="n">
        <v>0</v>
      </c>
      <c r="L154" t="n">
        <v>0</v>
      </c>
      <c r="M154" t="n">
        <v>1</v>
      </c>
      <c r="N154" t="n">
        <v>0</v>
      </c>
      <c r="O154" t="n">
        <v>1</v>
      </c>
      <c r="P154" t="n">
        <v>1</v>
      </c>
      <c r="Q154" t="n">
        <v>1</v>
      </c>
      <c r="R154" s="2" t="inlineStr">
        <is>
          <t>Skogsalm</t>
        </is>
      </c>
      <c r="S154">
        <f>HYPERLINK("https://klasma.github.io/Logging_0980/artfynd/A 27589-2023 artfynd.xlsx", "A 27589-2023")</f>
        <v/>
      </c>
      <c r="T154">
        <f>HYPERLINK("https://klasma.github.io/Logging_0980/kartor/A 27589-2023 karta.png", "A 27589-2023")</f>
        <v/>
      </c>
      <c r="V154">
        <f>HYPERLINK("https://klasma.github.io/Logging_0980/klagomål/A 27589-2023 FSC-klagomål.docx", "A 27589-2023")</f>
        <v/>
      </c>
      <c r="W154">
        <f>HYPERLINK("https://klasma.github.io/Logging_0980/klagomålsmail/A 27589-2023 FSC-klagomål mail.docx", "A 27589-2023")</f>
        <v/>
      </c>
      <c r="X154">
        <f>HYPERLINK("https://klasma.github.io/Logging_0980/tillsyn/A 27589-2023 tillsynsbegäran.docx", "A 27589-2023")</f>
        <v/>
      </c>
      <c r="Y154">
        <f>HYPERLINK("https://klasma.github.io/Logging_0980/tillsynsmail/A 27589-2023 tillsynsbegäran mail.docx", "A 27589-2023")</f>
        <v/>
      </c>
    </row>
    <row r="155" ht="15" customHeight="1">
      <c r="A155" t="inlineStr">
        <is>
          <t>A 9862-2024</t>
        </is>
      </c>
      <c r="B155" s="1" t="n">
        <v>45363</v>
      </c>
      <c r="C155" s="1" t="n">
        <v>46066</v>
      </c>
      <c r="D155" t="inlineStr">
        <is>
          <t>GOTLANDS LÄN</t>
        </is>
      </c>
      <c r="E155" t="inlineStr">
        <is>
          <t>GOTLAND</t>
        </is>
      </c>
      <c r="G155" t="n">
        <v>3.5</v>
      </c>
      <c r="H155" t="n">
        <v>1</v>
      </c>
      <c r="I155" t="n">
        <v>0</v>
      </c>
      <c r="J155" t="n">
        <v>0</v>
      </c>
      <c r="K155" t="n">
        <v>0</v>
      </c>
      <c r="L155" t="n">
        <v>0</v>
      </c>
      <c r="M155" t="n">
        <v>0</v>
      </c>
      <c r="N155" t="n">
        <v>0</v>
      </c>
      <c r="O155" t="n">
        <v>0</v>
      </c>
      <c r="P155" t="n">
        <v>0</v>
      </c>
      <c r="Q155" t="n">
        <v>1</v>
      </c>
      <c r="R155" s="2" t="inlineStr">
        <is>
          <t>Nattviol</t>
        </is>
      </c>
      <c r="S155">
        <f>HYPERLINK("https://klasma.github.io/Logging_0980/artfynd/A 9862-2024 artfynd.xlsx", "A 9862-2024")</f>
        <v/>
      </c>
      <c r="T155">
        <f>HYPERLINK("https://klasma.github.io/Logging_0980/kartor/A 9862-2024 karta.png", "A 9862-2024")</f>
        <v/>
      </c>
      <c r="V155">
        <f>HYPERLINK("https://klasma.github.io/Logging_0980/klagomål/A 9862-2024 FSC-klagomål.docx", "A 9862-2024")</f>
        <v/>
      </c>
      <c r="W155">
        <f>HYPERLINK("https://klasma.github.io/Logging_0980/klagomålsmail/A 9862-2024 FSC-klagomål mail.docx", "A 9862-2024")</f>
        <v/>
      </c>
      <c r="X155">
        <f>HYPERLINK("https://klasma.github.io/Logging_0980/tillsyn/A 9862-2024 tillsynsbegäran.docx", "A 9862-2024")</f>
        <v/>
      </c>
      <c r="Y155">
        <f>HYPERLINK("https://klasma.github.io/Logging_0980/tillsynsmail/A 9862-2024 tillsynsbegäran mail.docx", "A 9862-2024")</f>
        <v/>
      </c>
    </row>
    <row r="156" ht="15" customHeight="1">
      <c r="A156" t="inlineStr">
        <is>
          <t>A 34141-2024</t>
        </is>
      </c>
      <c r="B156" s="1" t="n">
        <v>45524.36229166666</v>
      </c>
      <c r="C156" s="1" t="n">
        <v>46066</v>
      </c>
      <c r="D156" t="inlineStr">
        <is>
          <t>GOTLANDS LÄN</t>
        </is>
      </c>
      <c r="E156" t="inlineStr">
        <is>
          <t>GOTLAND</t>
        </is>
      </c>
      <c r="G156" t="n">
        <v>0.9</v>
      </c>
      <c r="H156" t="n">
        <v>0</v>
      </c>
      <c r="I156" t="n">
        <v>1</v>
      </c>
      <c r="J156" t="n">
        <v>0</v>
      </c>
      <c r="K156" t="n">
        <v>0</v>
      </c>
      <c r="L156" t="n">
        <v>0</v>
      </c>
      <c r="M156" t="n">
        <v>0</v>
      </c>
      <c r="N156" t="n">
        <v>0</v>
      </c>
      <c r="O156" t="n">
        <v>0</v>
      </c>
      <c r="P156" t="n">
        <v>0</v>
      </c>
      <c r="Q156" t="n">
        <v>1</v>
      </c>
      <c r="R156" s="2" t="inlineStr">
        <is>
          <t>Strävlosta</t>
        </is>
      </c>
      <c r="S156">
        <f>HYPERLINK("https://klasma.github.io/Logging_0980/artfynd/A 34141-2024 artfynd.xlsx", "A 34141-2024")</f>
        <v/>
      </c>
      <c r="T156">
        <f>HYPERLINK("https://klasma.github.io/Logging_0980/kartor/A 34141-2024 karta.png", "A 34141-2024")</f>
        <v/>
      </c>
      <c r="V156">
        <f>HYPERLINK("https://klasma.github.io/Logging_0980/klagomål/A 34141-2024 FSC-klagomål.docx", "A 34141-2024")</f>
        <v/>
      </c>
      <c r="W156">
        <f>HYPERLINK("https://klasma.github.io/Logging_0980/klagomålsmail/A 34141-2024 FSC-klagomål mail.docx", "A 34141-2024")</f>
        <v/>
      </c>
      <c r="X156">
        <f>HYPERLINK("https://klasma.github.io/Logging_0980/tillsyn/A 34141-2024 tillsynsbegäran.docx", "A 34141-2024")</f>
        <v/>
      </c>
      <c r="Y156">
        <f>HYPERLINK("https://klasma.github.io/Logging_0980/tillsynsmail/A 34141-2024 tillsynsbegäran mail.docx", "A 34141-2024")</f>
        <v/>
      </c>
    </row>
    <row r="157" ht="15" customHeight="1">
      <c r="A157" t="inlineStr">
        <is>
          <t>A 65927-2021</t>
        </is>
      </c>
      <c r="B157" s="1" t="n">
        <v>44516</v>
      </c>
      <c r="C157" s="1" t="n">
        <v>46066</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46066</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61561-2023</t>
        </is>
      </c>
      <c r="B159" s="1" t="n">
        <v>45265</v>
      </c>
      <c r="C159" s="1" t="n">
        <v>46066</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12924-2025</t>
        </is>
      </c>
      <c r="B160" s="1" t="n">
        <v>45734</v>
      </c>
      <c r="C160" s="1" t="n">
        <v>46066</v>
      </c>
      <c r="D160" t="inlineStr">
        <is>
          <t>GOTLANDS LÄN</t>
        </is>
      </c>
      <c r="E160" t="inlineStr">
        <is>
          <t>GOTLAND</t>
        </is>
      </c>
      <c r="G160" t="n">
        <v>11.7</v>
      </c>
      <c r="H160" t="n">
        <v>0</v>
      </c>
      <c r="I160" t="n">
        <v>0</v>
      </c>
      <c r="J160" t="n">
        <v>0</v>
      </c>
      <c r="K160" t="n">
        <v>1</v>
      </c>
      <c r="L160" t="n">
        <v>0</v>
      </c>
      <c r="M160" t="n">
        <v>0</v>
      </c>
      <c r="N160" t="n">
        <v>0</v>
      </c>
      <c r="O160" t="n">
        <v>1</v>
      </c>
      <c r="P160" t="n">
        <v>1</v>
      </c>
      <c r="Q160" t="n">
        <v>1</v>
      </c>
      <c r="R160" s="2" t="inlineStr">
        <is>
          <t>Gotlandsmåra</t>
        </is>
      </c>
      <c r="S160">
        <f>HYPERLINK("https://klasma.github.io/Logging_0980/artfynd/A 12924-2025 artfynd.xlsx", "A 12924-2025")</f>
        <v/>
      </c>
      <c r="T160">
        <f>HYPERLINK("https://klasma.github.io/Logging_0980/kartor/A 12924-2025 karta.png", "A 12924-2025")</f>
        <v/>
      </c>
      <c r="V160">
        <f>HYPERLINK("https://klasma.github.io/Logging_0980/klagomål/A 12924-2025 FSC-klagomål.docx", "A 12924-2025")</f>
        <v/>
      </c>
      <c r="W160">
        <f>HYPERLINK("https://klasma.github.io/Logging_0980/klagomålsmail/A 12924-2025 FSC-klagomål mail.docx", "A 12924-2025")</f>
        <v/>
      </c>
      <c r="X160">
        <f>HYPERLINK("https://klasma.github.io/Logging_0980/tillsyn/A 12924-2025 tillsynsbegäran.docx", "A 12924-2025")</f>
        <v/>
      </c>
      <c r="Y160">
        <f>HYPERLINK("https://klasma.github.io/Logging_0980/tillsynsmail/A 12924-2025 tillsynsbegäran mail.docx", "A 12924-2025")</f>
        <v/>
      </c>
    </row>
    <row r="161" ht="15" customHeight="1">
      <c r="A161" t="inlineStr">
        <is>
          <t>A 35467-2021</t>
        </is>
      </c>
      <c r="B161" s="1" t="n">
        <v>44385</v>
      </c>
      <c r="C161" s="1" t="n">
        <v>46066</v>
      </c>
      <c r="D161" t="inlineStr">
        <is>
          <t>GOTLANDS LÄN</t>
        </is>
      </c>
      <c r="E161" t="inlineStr">
        <is>
          <t>GOTLAND</t>
        </is>
      </c>
      <c r="G161" t="n">
        <v>12.7</v>
      </c>
      <c r="H161" t="n">
        <v>0</v>
      </c>
      <c r="I161" t="n">
        <v>0</v>
      </c>
      <c r="J161" t="n">
        <v>1</v>
      </c>
      <c r="K161" t="n">
        <v>0</v>
      </c>
      <c r="L161" t="n">
        <v>0</v>
      </c>
      <c r="M161" t="n">
        <v>0</v>
      </c>
      <c r="N161" t="n">
        <v>0</v>
      </c>
      <c r="O161" t="n">
        <v>1</v>
      </c>
      <c r="P161" t="n">
        <v>0</v>
      </c>
      <c r="Q161" t="n">
        <v>1</v>
      </c>
      <c r="R161" s="2" t="inlineStr">
        <is>
          <t>Loppstarr</t>
        </is>
      </c>
      <c r="S161">
        <f>HYPERLINK("https://klasma.github.io/Logging_0980/artfynd/A 35467-2021 artfynd.xlsx", "A 35467-2021")</f>
        <v/>
      </c>
      <c r="T161">
        <f>HYPERLINK("https://klasma.github.io/Logging_0980/kartor/A 35467-2021 karta.png", "A 35467-2021")</f>
        <v/>
      </c>
      <c r="V161">
        <f>HYPERLINK("https://klasma.github.io/Logging_0980/klagomål/A 35467-2021 FSC-klagomål.docx", "A 35467-2021")</f>
        <v/>
      </c>
      <c r="W161">
        <f>HYPERLINK("https://klasma.github.io/Logging_0980/klagomålsmail/A 35467-2021 FSC-klagomål mail.docx", "A 35467-2021")</f>
        <v/>
      </c>
      <c r="X161">
        <f>HYPERLINK("https://klasma.github.io/Logging_0980/tillsyn/A 35467-2021 tillsynsbegäran.docx", "A 35467-2021")</f>
        <v/>
      </c>
      <c r="Y161">
        <f>HYPERLINK("https://klasma.github.io/Logging_0980/tillsynsmail/A 35467-2021 tillsynsbegäran mail.docx", "A 35467-2021")</f>
        <v/>
      </c>
    </row>
    <row r="162" ht="15" customHeight="1">
      <c r="A162" t="inlineStr">
        <is>
          <t>A 44619-2025</t>
        </is>
      </c>
      <c r="B162" s="1" t="n">
        <v>45917</v>
      </c>
      <c r="C162" s="1" t="n">
        <v>46066</v>
      </c>
      <c r="D162" t="inlineStr">
        <is>
          <t>GOTLANDS LÄN</t>
        </is>
      </c>
      <c r="E162" t="inlineStr">
        <is>
          <t>GOTLAND</t>
        </is>
      </c>
      <c r="G162" t="n">
        <v>4.3</v>
      </c>
      <c r="H162" t="n">
        <v>0</v>
      </c>
      <c r="I162" t="n">
        <v>1</v>
      </c>
      <c r="J162" t="n">
        <v>0</v>
      </c>
      <c r="K162" t="n">
        <v>0</v>
      </c>
      <c r="L162" t="n">
        <v>0</v>
      </c>
      <c r="M162" t="n">
        <v>0</v>
      </c>
      <c r="N162" t="n">
        <v>0</v>
      </c>
      <c r="O162" t="n">
        <v>0</v>
      </c>
      <c r="P162" t="n">
        <v>0</v>
      </c>
      <c r="Q162" t="n">
        <v>1</v>
      </c>
      <c r="R162" s="2" t="inlineStr">
        <is>
          <t>Ögonpyrola</t>
        </is>
      </c>
      <c r="S162">
        <f>HYPERLINK("https://klasma.github.io/Logging_0980/artfynd/A 44619-2025 artfynd.xlsx", "A 44619-2025")</f>
        <v/>
      </c>
      <c r="T162">
        <f>HYPERLINK("https://klasma.github.io/Logging_0980/kartor/A 44619-2025 karta.png", "A 44619-2025")</f>
        <v/>
      </c>
      <c r="V162">
        <f>HYPERLINK("https://klasma.github.io/Logging_0980/klagomål/A 44619-2025 FSC-klagomål.docx", "A 44619-2025")</f>
        <v/>
      </c>
      <c r="W162">
        <f>HYPERLINK("https://klasma.github.io/Logging_0980/klagomålsmail/A 44619-2025 FSC-klagomål mail.docx", "A 44619-2025")</f>
        <v/>
      </c>
      <c r="X162">
        <f>HYPERLINK("https://klasma.github.io/Logging_0980/tillsyn/A 44619-2025 tillsynsbegäran.docx", "A 44619-2025")</f>
        <v/>
      </c>
      <c r="Y162">
        <f>HYPERLINK("https://klasma.github.io/Logging_0980/tillsynsmail/A 44619-2025 tillsynsbegäran mail.docx", "A 44619-2025")</f>
        <v/>
      </c>
    </row>
    <row r="163" ht="15" customHeight="1">
      <c r="A163" t="inlineStr">
        <is>
          <t>A 13939-2021</t>
        </is>
      </c>
      <c r="B163" s="1" t="n">
        <v>44277</v>
      </c>
      <c r="C163" s="1" t="n">
        <v>46066</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12324-2025</t>
        </is>
      </c>
      <c r="B164" s="1" t="n">
        <v>45730</v>
      </c>
      <c r="C164" s="1" t="n">
        <v>46066</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46066</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20429-2025</t>
        </is>
      </c>
      <c r="B166" s="1" t="n">
        <v>45775.47728009259</v>
      </c>
      <c r="C166" s="1" t="n">
        <v>46066</v>
      </c>
      <c r="D166" t="inlineStr">
        <is>
          <t>GOTLANDS LÄN</t>
        </is>
      </c>
      <c r="E166" t="inlineStr">
        <is>
          <t>GOTLAND</t>
        </is>
      </c>
      <c r="G166" t="n">
        <v>1.4</v>
      </c>
      <c r="H166" t="n">
        <v>1</v>
      </c>
      <c r="I166" t="n">
        <v>0</v>
      </c>
      <c r="J166" t="n">
        <v>0</v>
      </c>
      <c r="K166" t="n">
        <v>0</v>
      </c>
      <c r="L166" t="n">
        <v>0</v>
      </c>
      <c r="M166" t="n">
        <v>0</v>
      </c>
      <c r="N166" t="n">
        <v>0</v>
      </c>
      <c r="O166" t="n">
        <v>0</v>
      </c>
      <c r="P166" t="n">
        <v>0</v>
      </c>
      <c r="Q166" t="n">
        <v>1</v>
      </c>
      <c r="R166" s="2" t="inlineStr">
        <is>
          <t>Äkta lopplummer</t>
        </is>
      </c>
      <c r="S166">
        <f>HYPERLINK("https://klasma.github.io/Logging_0980/artfynd/A 20429-2025 artfynd.xlsx", "A 20429-2025")</f>
        <v/>
      </c>
      <c r="T166">
        <f>HYPERLINK("https://klasma.github.io/Logging_0980/kartor/A 20429-2025 karta.png", "A 20429-2025")</f>
        <v/>
      </c>
      <c r="V166">
        <f>HYPERLINK("https://klasma.github.io/Logging_0980/klagomål/A 20429-2025 FSC-klagomål.docx", "A 20429-2025")</f>
        <v/>
      </c>
      <c r="W166">
        <f>HYPERLINK("https://klasma.github.io/Logging_0980/klagomålsmail/A 20429-2025 FSC-klagomål mail.docx", "A 20429-2025")</f>
        <v/>
      </c>
      <c r="X166">
        <f>HYPERLINK("https://klasma.github.io/Logging_0980/tillsyn/A 20429-2025 tillsynsbegäran.docx", "A 20429-2025")</f>
        <v/>
      </c>
      <c r="Y166">
        <f>HYPERLINK("https://klasma.github.io/Logging_0980/tillsynsmail/A 20429-2025 tillsynsbegäran mail.docx", "A 20429-2025")</f>
        <v/>
      </c>
    </row>
    <row r="167" ht="15" customHeight="1">
      <c r="A167" t="inlineStr">
        <is>
          <t>A 49726-2025</t>
        </is>
      </c>
      <c r="B167" s="1" t="n">
        <v>45939.84466435185</v>
      </c>
      <c r="C167" s="1" t="n">
        <v>46066</v>
      </c>
      <c r="D167" t="inlineStr">
        <is>
          <t>GOTLANDS LÄN</t>
        </is>
      </c>
      <c r="E167" t="inlineStr">
        <is>
          <t>GOTLAND</t>
        </is>
      </c>
      <c r="F167" t="inlineStr">
        <is>
          <t>Kyrkan</t>
        </is>
      </c>
      <c r="G167" t="n">
        <v>5.4</v>
      </c>
      <c r="H167" t="n">
        <v>0</v>
      </c>
      <c r="I167" t="n">
        <v>0</v>
      </c>
      <c r="J167" t="n">
        <v>1</v>
      </c>
      <c r="K167" t="n">
        <v>0</v>
      </c>
      <c r="L167" t="n">
        <v>0</v>
      </c>
      <c r="M167" t="n">
        <v>0</v>
      </c>
      <c r="N167" t="n">
        <v>0</v>
      </c>
      <c r="O167" t="n">
        <v>1</v>
      </c>
      <c r="P167" t="n">
        <v>0</v>
      </c>
      <c r="Q167" t="n">
        <v>1</v>
      </c>
      <c r="R167" s="2" t="inlineStr">
        <is>
          <t>Odörspindling</t>
        </is>
      </c>
      <c r="S167">
        <f>HYPERLINK("https://klasma.github.io/Logging_0980/artfynd/A 49726-2025 artfynd.xlsx", "A 49726-2025")</f>
        <v/>
      </c>
      <c r="T167">
        <f>HYPERLINK("https://klasma.github.io/Logging_0980/kartor/A 49726-2025 karta.png", "A 49726-2025")</f>
        <v/>
      </c>
      <c r="V167">
        <f>HYPERLINK("https://klasma.github.io/Logging_0980/klagomål/A 49726-2025 FSC-klagomål.docx", "A 49726-2025")</f>
        <v/>
      </c>
      <c r="W167">
        <f>HYPERLINK("https://klasma.github.io/Logging_0980/klagomålsmail/A 49726-2025 FSC-klagomål mail.docx", "A 49726-2025")</f>
        <v/>
      </c>
      <c r="X167">
        <f>HYPERLINK("https://klasma.github.io/Logging_0980/tillsyn/A 49726-2025 tillsynsbegäran.docx", "A 49726-2025")</f>
        <v/>
      </c>
      <c r="Y167">
        <f>HYPERLINK("https://klasma.github.io/Logging_0980/tillsynsmail/A 49726-2025 tillsynsbegäran mail.docx", "A 49726-2025")</f>
        <v/>
      </c>
    </row>
    <row r="168" ht="15" customHeight="1">
      <c r="A168" t="inlineStr">
        <is>
          <t>A 44304-2021</t>
        </is>
      </c>
      <c r="B168" s="1" t="n">
        <v>44434</v>
      </c>
      <c r="C168" s="1" t="n">
        <v>46066</v>
      </c>
      <c r="D168" t="inlineStr">
        <is>
          <t>GOTLANDS LÄN</t>
        </is>
      </c>
      <c r="E168" t="inlineStr">
        <is>
          <t>GOTLAND</t>
        </is>
      </c>
      <c r="G168" t="n">
        <v>5.8</v>
      </c>
      <c r="H168" t="n">
        <v>0</v>
      </c>
      <c r="I168" t="n">
        <v>0</v>
      </c>
      <c r="J168" t="n">
        <v>1</v>
      </c>
      <c r="K168" t="n">
        <v>0</v>
      </c>
      <c r="L168" t="n">
        <v>0</v>
      </c>
      <c r="M168" t="n">
        <v>0</v>
      </c>
      <c r="N168" t="n">
        <v>0</v>
      </c>
      <c r="O168" t="n">
        <v>1</v>
      </c>
      <c r="P168" t="n">
        <v>0</v>
      </c>
      <c r="Q168" t="n">
        <v>1</v>
      </c>
      <c r="R168" s="2" t="inlineStr">
        <is>
          <t>Svinrot</t>
        </is>
      </c>
      <c r="S168">
        <f>HYPERLINK("https://klasma.github.io/Logging_0980/artfynd/A 44304-2021 artfynd.xlsx", "A 44304-2021")</f>
        <v/>
      </c>
      <c r="T168">
        <f>HYPERLINK("https://klasma.github.io/Logging_0980/kartor/A 44304-2021 karta.png", "A 44304-2021")</f>
        <v/>
      </c>
      <c r="V168">
        <f>HYPERLINK("https://klasma.github.io/Logging_0980/klagomål/A 44304-2021 FSC-klagomål.docx", "A 44304-2021")</f>
        <v/>
      </c>
      <c r="W168">
        <f>HYPERLINK("https://klasma.github.io/Logging_0980/klagomålsmail/A 44304-2021 FSC-klagomål mail.docx", "A 44304-2021")</f>
        <v/>
      </c>
      <c r="X168">
        <f>HYPERLINK("https://klasma.github.io/Logging_0980/tillsyn/A 44304-2021 tillsynsbegäran.docx", "A 44304-2021")</f>
        <v/>
      </c>
      <c r="Y168">
        <f>HYPERLINK("https://klasma.github.io/Logging_0980/tillsynsmail/A 44304-2021 tillsynsbegäran mail.docx", "A 44304-2021")</f>
        <v/>
      </c>
    </row>
    <row r="169" ht="15" customHeight="1">
      <c r="A169" t="inlineStr">
        <is>
          <t>A 447-2023</t>
        </is>
      </c>
      <c r="B169" s="1" t="n">
        <v>44929</v>
      </c>
      <c r="C169" s="1" t="n">
        <v>46066</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34809-2024</t>
        </is>
      </c>
      <c r="B170" s="1" t="n">
        <v>45526</v>
      </c>
      <c r="C170" s="1" t="n">
        <v>46066</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46066</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46066</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46066</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1477-2024</t>
        </is>
      </c>
      <c r="B174" s="1" t="n">
        <v>45305.37987268518</v>
      </c>
      <c r="C174" s="1" t="n">
        <v>46066</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46066</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46066</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46066</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46066</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46066</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46066</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46066</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46066</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46066</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46066</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46066</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46066</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46066</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46066</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46066</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46066</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46066</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46066</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46066</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46066</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46066</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46066</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46066</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46066</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46066</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46066</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46066</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46066</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46066</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46066</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46066</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46066</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46066</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15127-2021</t>
        </is>
      </c>
      <c r="B208" s="1" t="n">
        <v>44283</v>
      </c>
      <c r="C208" s="1" t="n">
        <v>46066</v>
      </c>
      <c r="D208" t="inlineStr">
        <is>
          <t>GOTLANDS LÄN</t>
        </is>
      </c>
      <c r="E208" t="inlineStr">
        <is>
          <t>GOTLAND</t>
        </is>
      </c>
      <c r="G208" t="n">
        <v>0.4</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46066</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46066</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46066</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46066</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46066</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46066</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46066</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46066</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11029-2022</t>
        </is>
      </c>
      <c r="B217" s="1" t="n">
        <v>44628</v>
      </c>
      <c r="C217" s="1" t="n">
        <v>46066</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31239-2022</t>
        </is>
      </c>
      <c r="B218" s="1" t="n">
        <v>44771.49383101852</v>
      </c>
      <c r="C218" s="1" t="n">
        <v>46066</v>
      </c>
      <c r="D218" t="inlineStr">
        <is>
          <t>GOTLANDS LÄN</t>
        </is>
      </c>
      <c r="E218" t="inlineStr">
        <is>
          <t>GOTLAND</t>
        </is>
      </c>
      <c r="G218" t="n">
        <v>1.9</v>
      </c>
      <c r="H218" t="n">
        <v>0</v>
      </c>
      <c r="I218" t="n">
        <v>0</v>
      </c>
      <c r="J218" t="n">
        <v>0</v>
      </c>
      <c r="K218" t="n">
        <v>0</v>
      </c>
      <c r="L218" t="n">
        <v>0</v>
      </c>
      <c r="M218" t="n">
        <v>0</v>
      </c>
      <c r="N218" t="n">
        <v>0</v>
      </c>
      <c r="O218" t="n">
        <v>0</v>
      </c>
      <c r="P218" t="n">
        <v>0</v>
      </c>
      <c r="Q218" t="n">
        <v>0</v>
      </c>
      <c r="R218" s="2" t="inlineStr"/>
    </row>
    <row r="219" ht="15" customHeight="1">
      <c r="A219" t="inlineStr">
        <is>
          <t>A 58224-2021</t>
        </is>
      </c>
      <c r="B219" s="1" t="n">
        <v>44487</v>
      </c>
      <c r="C219" s="1" t="n">
        <v>46066</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46066</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46066</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46066</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46066</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46066</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46066</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46066</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46066</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46066</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46066</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46066</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46066</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46066</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46066</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21507-2021</t>
        </is>
      </c>
      <c r="B234" s="1" t="n">
        <v>44321</v>
      </c>
      <c r="C234" s="1" t="n">
        <v>46066</v>
      </c>
      <c r="D234" t="inlineStr">
        <is>
          <t>GOTLANDS LÄN</t>
        </is>
      </c>
      <c r="E234" t="inlineStr">
        <is>
          <t>GOTLAND</t>
        </is>
      </c>
      <c r="G234" t="n">
        <v>1.1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46066</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456-2023</t>
        </is>
      </c>
      <c r="B236" s="1" t="n">
        <v>44929.87122685185</v>
      </c>
      <c r="C236" s="1" t="n">
        <v>46066</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58476-2022</t>
        </is>
      </c>
      <c r="B237" s="1" t="n">
        <v>44902</v>
      </c>
      <c r="C237" s="1" t="n">
        <v>46066</v>
      </c>
      <c r="D237" t="inlineStr">
        <is>
          <t>GOTLANDS LÄN</t>
        </is>
      </c>
      <c r="E237" t="inlineStr">
        <is>
          <t>GOTLAND</t>
        </is>
      </c>
      <c r="G237" t="n">
        <v>0.9</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46066</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46066</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873-2024</t>
        </is>
      </c>
      <c r="B240" s="1" t="n">
        <v>45301</v>
      </c>
      <c r="C240" s="1" t="n">
        <v>46066</v>
      </c>
      <c r="D240" t="inlineStr">
        <is>
          <t>GOTLANDS LÄN</t>
        </is>
      </c>
      <c r="E240" t="inlineStr">
        <is>
          <t>GOTLAND</t>
        </is>
      </c>
      <c r="G240" t="n">
        <v>2.7</v>
      </c>
      <c r="H240" t="n">
        <v>0</v>
      </c>
      <c r="I240" t="n">
        <v>0</v>
      </c>
      <c r="J240" t="n">
        <v>0</v>
      </c>
      <c r="K240" t="n">
        <v>0</v>
      </c>
      <c r="L240" t="n">
        <v>0</v>
      </c>
      <c r="M240" t="n">
        <v>0</v>
      </c>
      <c r="N240" t="n">
        <v>0</v>
      </c>
      <c r="O240" t="n">
        <v>0</v>
      </c>
      <c r="P240" t="n">
        <v>0</v>
      </c>
      <c r="Q240" t="n">
        <v>0</v>
      </c>
      <c r="R240" s="2" t="inlineStr"/>
    </row>
    <row r="241" ht="15" customHeight="1">
      <c r="A241" t="inlineStr">
        <is>
          <t>A 44228-2022</t>
        </is>
      </c>
      <c r="B241" s="1" t="n">
        <v>44839.51599537037</v>
      </c>
      <c r="C241" s="1" t="n">
        <v>46066</v>
      </c>
      <c r="D241" t="inlineStr">
        <is>
          <t>GOTLANDS LÄN</t>
        </is>
      </c>
      <c r="E241" t="inlineStr">
        <is>
          <t>GOTLAND</t>
        </is>
      </c>
      <c r="G241" t="n">
        <v>2.1</v>
      </c>
      <c r="H241" t="n">
        <v>0</v>
      </c>
      <c r="I241" t="n">
        <v>0</v>
      </c>
      <c r="J241" t="n">
        <v>0</v>
      </c>
      <c r="K241" t="n">
        <v>0</v>
      </c>
      <c r="L241" t="n">
        <v>0</v>
      </c>
      <c r="M241" t="n">
        <v>0</v>
      </c>
      <c r="N241" t="n">
        <v>0</v>
      </c>
      <c r="O241" t="n">
        <v>0</v>
      </c>
      <c r="P241" t="n">
        <v>0</v>
      </c>
      <c r="Q241" t="n">
        <v>0</v>
      </c>
      <c r="R241" s="2" t="inlineStr"/>
    </row>
    <row r="242" ht="15" customHeight="1">
      <c r="A242" t="inlineStr">
        <is>
          <t>A 61386-2023</t>
        </is>
      </c>
      <c r="B242" s="1" t="n">
        <v>45264</v>
      </c>
      <c r="C242" s="1" t="n">
        <v>46066</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27593-2023</t>
        </is>
      </c>
      <c r="B243" s="1" t="n">
        <v>45097</v>
      </c>
      <c r="C243" s="1" t="n">
        <v>46066</v>
      </c>
      <c r="D243" t="inlineStr">
        <is>
          <t>GOTLANDS LÄN</t>
        </is>
      </c>
      <c r="E243" t="inlineStr">
        <is>
          <t>GOTLAND</t>
        </is>
      </c>
      <c r="G243" t="n">
        <v>3.1</v>
      </c>
      <c r="H243" t="n">
        <v>0</v>
      </c>
      <c r="I243" t="n">
        <v>0</v>
      </c>
      <c r="J243" t="n">
        <v>0</v>
      </c>
      <c r="K243" t="n">
        <v>0</v>
      </c>
      <c r="L243" t="n">
        <v>0</v>
      </c>
      <c r="M243" t="n">
        <v>0</v>
      </c>
      <c r="N243" t="n">
        <v>0</v>
      </c>
      <c r="O243" t="n">
        <v>0</v>
      </c>
      <c r="P243" t="n">
        <v>0</v>
      </c>
      <c r="Q243" t="n">
        <v>0</v>
      </c>
      <c r="R243" s="2" t="inlineStr"/>
    </row>
    <row r="244" ht="15" customHeight="1">
      <c r="A244" t="inlineStr">
        <is>
          <t>A 63229-2021</t>
        </is>
      </c>
      <c r="B244" s="1" t="n">
        <v>44508.34518518519</v>
      </c>
      <c r="C244" s="1" t="n">
        <v>46066</v>
      </c>
      <c r="D244" t="inlineStr">
        <is>
          <t>GOTLANDS LÄN</t>
        </is>
      </c>
      <c r="E244" t="inlineStr">
        <is>
          <t>GOTLAND</t>
        </is>
      </c>
      <c r="F244" t="inlineStr">
        <is>
          <t>Kyrkan</t>
        </is>
      </c>
      <c r="G244" t="n">
        <v>3.8</v>
      </c>
      <c r="H244" t="n">
        <v>0</v>
      </c>
      <c r="I244" t="n">
        <v>0</v>
      </c>
      <c r="J244" t="n">
        <v>0</v>
      </c>
      <c r="K244" t="n">
        <v>0</v>
      </c>
      <c r="L244" t="n">
        <v>0</v>
      </c>
      <c r="M244" t="n">
        <v>0</v>
      </c>
      <c r="N244" t="n">
        <v>0</v>
      </c>
      <c r="O244" t="n">
        <v>0</v>
      </c>
      <c r="P244" t="n">
        <v>0</v>
      </c>
      <c r="Q244" t="n">
        <v>0</v>
      </c>
      <c r="R244" s="2" t="inlineStr"/>
    </row>
    <row r="245" ht="15" customHeight="1">
      <c r="A245" t="inlineStr">
        <is>
          <t>A 25129-2023</t>
        </is>
      </c>
      <c r="B245" s="1" t="n">
        <v>45086.44261574074</v>
      </c>
      <c r="C245" s="1" t="n">
        <v>46066</v>
      </c>
      <c r="D245" t="inlineStr">
        <is>
          <t>GOTLANDS LÄN</t>
        </is>
      </c>
      <c r="E245" t="inlineStr">
        <is>
          <t>GOTLAND</t>
        </is>
      </c>
      <c r="G245" t="n">
        <v>1.5</v>
      </c>
      <c r="H245" t="n">
        <v>0</v>
      </c>
      <c r="I245" t="n">
        <v>0</v>
      </c>
      <c r="J245" t="n">
        <v>0</v>
      </c>
      <c r="K245" t="n">
        <v>0</v>
      </c>
      <c r="L245" t="n">
        <v>0</v>
      </c>
      <c r="M245" t="n">
        <v>0</v>
      </c>
      <c r="N245" t="n">
        <v>0</v>
      </c>
      <c r="O245" t="n">
        <v>0</v>
      </c>
      <c r="P245" t="n">
        <v>0</v>
      </c>
      <c r="Q245" t="n">
        <v>0</v>
      </c>
      <c r="R245" s="2" t="inlineStr"/>
    </row>
    <row r="246" ht="15" customHeight="1">
      <c r="A246" t="inlineStr">
        <is>
          <t>A 45106-2024</t>
        </is>
      </c>
      <c r="B246" s="1" t="n">
        <v>45575</v>
      </c>
      <c r="C246" s="1" t="n">
        <v>46066</v>
      </c>
      <c r="D246" t="inlineStr">
        <is>
          <t>GOTLANDS LÄN</t>
        </is>
      </c>
      <c r="E246" t="inlineStr">
        <is>
          <t>GOTLAND</t>
        </is>
      </c>
      <c r="G246" t="n">
        <v>10</v>
      </c>
      <c r="H246" t="n">
        <v>0</v>
      </c>
      <c r="I246" t="n">
        <v>0</v>
      </c>
      <c r="J246" t="n">
        <v>0</v>
      </c>
      <c r="K246" t="n">
        <v>0</v>
      </c>
      <c r="L246" t="n">
        <v>0</v>
      </c>
      <c r="M246" t="n">
        <v>0</v>
      </c>
      <c r="N246" t="n">
        <v>0</v>
      </c>
      <c r="O246" t="n">
        <v>0</v>
      </c>
      <c r="P246" t="n">
        <v>0</v>
      </c>
      <c r="Q246" t="n">
        <v>0</v>
      </c>
      <c r="R246" s="2" t="inlineStr"/>
    </row>
    <row r="247" ht="15" customHeight="1">
      <c r="A247" t="inlineStr">
        <is>
          <t>A 45112-2024</t>
        </is>
      </c>
      <c r="B247" s="1" t="n">
        <v>45575</v>
      </c>
      <c r="C247" s="1" t="n">
        <v>46066</v>
      </c>
      <c r="D247" t="inlineStr">
        <is>
          <t>GOTLANDS LÄN</t>
        </is>
      </c>
      <c r="E247" t="inlineStr">
        <is>
          <t>GOTLAND</t>
        </is>
      </c>
      <c r="G247" t="n">
        <v>5.1</v>
      </c>
      <c r="H247" t="n">
        <v>0</v>
      </c>
      <c r="I247" t="n">
        <v>0</v>
      </c>
      <c r="J247" t="n">
        <v>0</v>
      </c>
      <c r="K247" t="n">
        <v>0</v>
      </c>
      <c r="L247" t="n">
        <v>0</v>
      </c>
      <c r="M247" t="n">
        <v>0</v>
      </c>
      <c r="N247" t="n">
        <v>0</v>
      </c>
      <c r="O247" t="n">
        <v>0</v>
      </c>
      <c r="P247" t="n">
        <v>0</v>
      </c>
      <c r="Q247" t="n">
        <v>0</v>
      </c>
      <c r="R247" s="2" t="inlineStr"/>
    </row>
    <row r="248" ht="15" customHeight="1">
      <c r="A248" t="inlineStr">
        <is>
          <t>A 56009-2024</t>
        </is>
      </c>
      <c r="B248" s="1" t="n">
        <v>45623.80864583333</v>
      </c>
      <c r="C248" s="1" t="n">
        <v>46066</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54073-2022</t>
        </is>
      </c>
      <c r="B249" s="1" t="n">
        <v>44881.50380787037</v>
      </c>
      <c r="C249" s="1" t="n">
        <v>46066</v>
      </c>
      <c r="D249" t="inlineStr">
        <is>
          <t>GOTLANDS LÄN</t>
        </is>
      </c>
      <c r="E249" t="inlineStr">
        <is>
          <t>GOTLAND</t>
        </is>
      </c>
      <c r="G249" t="n">
        <v>3.8</v>
      </c>
      <c r="H249" t="n">
        <v>0</v>
      </c>
      <c r="I249" t="n">
        <v>0</v>
      </c>
      <c r="J249" t="n">
        <v>0</v>
      </c>
      <c r="K249" t="n">
        <v>0</v>
      </c>
      <c r="L249" t="n">
        <v>0</v>
      </c>
      <c r="M249" t="n">
        <v>0</v>
      </c>
      <c r="N249" t="n">
        <v>0</v>
      </c>
      <c r="O249" t="n">
        <v>0</v>
      </c>
      <c r="P249" t="n">
        <v>0</v>
      </c>
      <c r="Q249" t="n">
        <v>0</v>
      </c>
      <c r="R249" s="2" t="inlineStr"/>
    </row>
    <row r="250" ht="15" customHeight="1">
      <c r="A250" t="inlineStr">
        <is>
          <t>A 3964-2024</t>
        </is>
      </c>
      <c r="B250" s="1" t="n">
        <v>45322</v>
      </c>
      <c r="C250" s="1" t="n">
        <v>46066</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7026-2023</t>
        </is>
      </c>
      <c r="B251" s="1" t="n">
        <v>44968.30340277778</v>
      </c>
      <c r="C251" s="1" t="n">
        <v>46066</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49874-2024</t>
        </is>
      </c>
      <c r="B252" s="1" t="n">
        <v>45597.49274305555</v>
      </c>
      <c r="C252" s="1" t="n">
        <v>46066</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52892-2021</t>
        </is>
      </c>
      <c r="B253" s="1" t="n">
        <v>44467.49048611111</v>
      </c>
      <c r="C253" s="1" t="n">
        <v>46066</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1351-2025</t>
        </is>
      </c>
      <c r="B254" s="1" t="n">
        <v>45667.62246527777</v>
      </c>
      <c r="C254" s="1" t="n">
        <v>46066</v>
      </c>
      <c r="D254" t="inlineStr">
        <is>
          <t>GOTLANDS LÄN</t>
        </is>
      </c>
      <c r="E254" t="inlineStr">
        <is>
          <t>GOTLAND</t>
        </is>
      </c>
      <c r="G254" t="n">
        <v>1.3</v>
      </c>
      <c r="H254" t="n">
        <v>0</v>
      </c>
      <c r="I254" t="n">
        <v>0</v>
      </c>
      <c r="J254" t="n">
        <v>0</v>
      </c>
      <c r="K254" t="n">
        <v>0</v>
      </c>
      <c r="L254" t="n">
        <v>0</v>
      </c>
      <c r="M254" t="n">
        <v>0</v>
      </c>
      <c r="N254" t="n">
        <v>0</v>
      </c>
      <c r="O254" t="n">
        <v>0</v>
      </c>
      <c r="P254" t="n">
        <v>0</v>
      </c>
      <c r="Q254" t="n">
        <v>0</v>
      </c>
      <c r="R254" s="2" t="inlineStr"/>
    </row>
    <row r="255" ht="15" customHeight="1">
      <c r="A255" t="inlineStr">
        <is>
          <t>A 60675-2021</t>
        </is>
      </c>
      <c r="B255" s="1" t="n">
        <v>44496.64855324074</v>
      </c>
      <c r="C255" s="1" t="n">
        <v>46066</v>
      </c>
      <c r="D255" t="inlineStr">
        <is>
          <t>GOTLANDS LÄN</t>
        </is>
      </c>
      <c r="E255" t="inlineStr">
        <is>
          <t>GOTLAND</t>
        </is>
      </c>
      <c r="G255" t="n">
        <v>4.6</v>
      </c>
      <c r="H255" t="n">
        <v>0</v>
      </c>
      <c r="I255" t="n">
        <v>0</v>
      </c>
      <c r="J255" t="n">
        <v>0</v>
      </c>
      <c r="K255" t="n">
        <v>0</v>
      </c>
      <c r="L255" t="n">
        <v>0</v>
      </c>
      <c r="M255" t="n">
        <v>0</v>
      </c>
      <c r="N255" t="n">
        <v>0</v>
      </c>
      <c r="O255" t="n">
        <v>0</v>
      </c>
      <c r="P255" t="n">
        <v>0</v>
      </c>
      <c r="Q255" t="n">
        <v>0</v>
      </c>
      <c r="R255" s="2" t="inlineStr"/>
    </row>
    <row r="256" ht="15" customHeight="1">
      <c r="A256" t="inlineStr">
        <is>
          <t>A 51782-2023</t>
        </is>
      </c>
      <c r="B256" s="1" t="n">
        <v>45222.80952546297</v>
      </c>
      <c r="C256" s="1" t="n">
        <v>46066</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15073-2025</t>
        </is>
      </c>
      <c r="B257" s="1" t="n">
        <v>45743</v>
      </c>
      <c r="C257" s="1" t="n">
        <v>46066</v>
      </c>
      <c r="D257" t="inlineStr">
        <is>
          <t>GOTLANDS LÄN</t>
        </is>
      </c>
      <c r="E257" t="inlineStr">
        <is>
          <t>GOTLAND</t>
        </is>
      </c>
      <c r="G257" t="n">
        <v>12.1</v>
      </c>
      <c r="H257" t="n">
        <v>0</v>
      </c>
      <c r="I257" t="n">
        <v>0</v>
      </c>
      <c r="J257" t="n">
        <v>0</v>
      </c>
      <c r="K257" t="n">
        <v>0</v>
      </c>
      <c r="L257" t="n">
        <v>0</v>
      </c>
      <c r="M257" t="n">
        <v>0</v>
      </c>
      <c r="N257" t="n">
        <v>0</v>
      </c>
      <c r="O257" t="n">
        <v>0</v>
      </c>
      <c r="P257" t="n">
        <v>0</v>
      </c>
      <c r="Q257" t="n">
        <v>0</v>
      </c>
      <c r="R257" s="2" t="inlineStr"/>
    </row>
    <row r="258" ht="15" customHeight="1">
      <c r="A258" t="inlineStr">
        <is>
          <t>A 4421-2024</t>
        </is>
      </c>
      <c r="B258" s="1" t="n">
        <v>45327.45173611111</v>
      </c>
      <c r="C258" s="1" t="n">
        <v>46066</v>
      </c>
      <c r="D258" t="inlineStr">
        <is>
          <t>GOTLANDS LÄN</t>
        </is>
      </c>
      <c r="E258" t="inlineStr">
        <is>
          <t>GOTLAND</t>
        </is>
      </c>
      <c r="G258" t="n">
        <v>5.1</v>
      </c>
      <c r="H258" t="n">
        <v>0</v>
      </c>
      <c r="I258" t="n">
        <v>0</v>
      </c>
      <c r="J258" t="n">
        <v>0</v>
      </c>
      <c r="K258" t="n">
        <v>0</v>
      </c>
      <c r="L258" t="n">
        <v>0</v>
      </c>
      <c r="M258" t="n">
        <v>0</v>
      </c>
      <c r="N258" t="n">
        <v>0</v>
      </c>
      <c r="O258" t="n">
        <v>0</v>
      </c>
      <c r="P258" t="n">
        <v>0</v>
      </c>
      <c r="Q258" t="n">
        <v>0</v>
      </c>
      <c r="R258" s="2" t="inlineStr"/>
    </row>
    <row r="259" ht="15" customHeight="1">
      <c r="A259" t="inlineStr">
        <is>
          <t>A 5217-2023</t>
        </is>
      </c>
      <c r="B259" s="1" t="n">
        <v>44959.39582175926</v>
      </c>
      <c r="C259" s="1" t="n">
        <v>46066</v>
      </c>
      <c r="D259" t="inlineStr">
        <is>
          <t>GOTLANDS LÄN</t>
        </is>
      </c>
      <c r="E259" t="inlineStr">
        <is>
          <t>GOTLAND</t>
        </is>
      </c>
      <c r="G259" t="n">
        <v>1.9</v>
      </c>
      <c r="H259" t="n">
        <v>0</v>
      </c>
      <c r="I259" t="n">
        <v>0</v>
      </c>
      <c r="J259" t="n">
        <v>0</v>
      </c>
      <c r="K259" t="n">
        <v>0</v>
      </c>
      <c r="L259" t="n">
        <v>0</v>
      </c>
      <c r="M259" t="n">
        <v>0</v>
      </c>
      <c r="N259" t="n">
        <v>0</v>
      </c>
      <c r="O259" t="n">
        <v>0</v>
      </c>
      <c r="P259" t="n">
        <v>0</v>
      </c>
      <c r="Q259" t="n">
        <v>0</v>
      </c>
      <c r="R259" s="2" t="inlineStr"/>
    </row>
    <row r="260" ht="15" customHeight="1">
      <c r="A260" t="inlineStr">
        <is>
          <t>A 14638-2025</t>
        </is>
      </c>
      <c r="B260" s="1" t="n">
        <v>45742</v>
      </c>
      <c r="C260" s="1" t="n">
        <v>46066</v>
      </c>
      <c r="D260" t="inlineStr">
        <is>
          <t>GOTLANDS LÄN</t>
        </is>
      </c>
      <c r="E260" t="inlineStr">
        <is>
          <t>GOTLAND</t>
        </is>
      </c>
      <c r="G260" t="n">
        <v>13.4</v>
      </c>
      <c r="H260" t="n">
        <v>0</v>
      </c>
      <c r="I260" t="n">
        <v>0</v>
      </c>
      <c r="J260" t="n">
        <v>0</v>
      </c>
      <c r="K260" t="n">
        <v>0</v>
      </c>
      <c r="L260" t="n">
        <v>0</v>
      </c>
      <c r="M260" t="n">
        <v>0</v>
      </c>
      <c r="N260" t="n">
        <v>0</v>
      </c>
      <c r="O260" t="n">
        <v>0</v>
      </c>
      <c r="P260" t="n">
        <v>0</v>
      </c>
      <c r="Q260" t="n">
        <v>0</v>
      </c>
      <c r="R260" s="2" t="inlineStr"/>
    </row>
    <row r="261" ht="15" customHeight="1">
      <c r="A261" t="inlineStr">
        <is>
          <t>A 20165-2022</t>
        </is>
      </c>
      <c r="B261" s="1" t="n">
        <v>44698.49854166667</v>
      </c>
      <c r="C261" s="1" t="n">
        <v>46066</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31264-2021</t>
        </is>
      </c>
      <c r="B262" s="1" t="n">
        <v>44368</v>
      </c>
      <c r="C262" s="1" t="n">
        <v>46066</v>
      </c>
      <c r="D262" t="inlineStr">
        <is>
          <t>GOTLANDS LÄN</t>
        </is>
      </c>
      <c r="E262" t="inlineStr">
        <is>
          <t>GOTLAND</t>
        </is>
      </c>
      <c r="G262" t="n">
        <v>1.2</v>
      </c>
      <c r="H262" t="n">
        <v>0</v>
      </c>
      <c r="I262" t="n">
        <v>0</v>
      </c>
      <c r="J262" t="n">
        <v>0</v>
      </c>
      <c r="K262" t="n">
        <v>0</v>
      </c>
      <c r="L262" t="n">
        <v>0</v>
      </c>
      <c r="M262" t="n">
        <v>0</v>
      </c>
      <c r="N262" t="n">
        <v>0</v>
      </c>
      <c r="O262" t="n">
        <v>0</v>
      </c>
      <c r="P262" t="n">
        <v>0</v>
      </c>
      <c r="Q262" t="n">
        <v>0</v>
      </c>
      <c r="R262" s="2" t="inlineStr"/>
    </row>
    <row r="263" ht="15" customHeight="1">
      <c r="A263" t="inlineStr">
        <is>
          <t>A 6749-2025</t>
        </is>
      </c>
      <c r="B263" s="1" t="n">
        <v>45700</v>
      </c>
      <c r="C263" s="1" t="n">
        <v>46066</v>
      </c>
      <c r="D263" t="inlineStr">
        <is>
          <t>GOTLANDS LÄN</t>
        </is>
      </c>
      <c r="E263" t="inlineStr">
        <is>
          <t>GOTLAND</t>
        </is>
      </c>
      <c r="G263" t="n">
        <v>4.5</v>
      </c>
      <c r="H263" t="n">
        <v>0</v>
      </c>
      <c r="I263" t="n">
        <v>0</v>
      </c>
      <c r="J263" t="n">
        <v>0</v>
      </c>
      <c r="K263" t="n">
        <v>0</v>
      </c>
      <c r="L263" t="n">
        <v>0</v>
      </c>
      <c r="M263" t="n">
        <v>0</v>
      </c>
      <c r="N263" t="n">
        <v>0</v>
      </c>
      <c r="O263" t="n">
        <v>0</v>
      </c>
      <c r="P263" t="n">
        <v>0</v>
      </c>
      <c r="Q263" t="n">
        <v>0</v>
      </c>
      <c r="R263" s="2" t="inlineStr"/>
    </row>
    <row r="264" ht="15" customHeight="1">
      <c r="A264" t="inlineStr">
        <is>
          <t>A 63152-2025</t>
        </is>
      </c>
      <c r="B264" s="1" t="n">
        <v>46010</v>
      </c>
      <c r="C264" s="1" t="n">
        <v>46066</v>
      </c>
      <c r="D264" t="inlineStr">
        <is>
          <t>GOTLANDS LÄN</t>
        </is>
      </c>
      <c r="E264" t="inlineStr">
        <is>
          <t>GOTLAND</t>
        </is>
      </c>
      <c r="G264" t="n">
        <v>1.5</v>
      </c>
      <c r="H264" t="n">
        <v>0</v>
      </c>
      <c r="I264" t="n">
        <v>0</v>
      </c>
      <c r="J264" t="n">
        <v>0</v>
      </c>
      <c r="K264" t="n">
        <v>0</v>
      </c>
      <c r="L264" t="n">
        <v>0</v>
      </c>
      <c r="M264" t="n">
        <v>0</v>
      </c>
      <c r="N264" t="n">
        <v>0</v>
      </c>
      <c r="O264" t="n">
        <v>0</v>
      </c>
      <c r="P264" t="n">
        <v>0</v>
      </c>
      <c r="Q264" t="n">
        <v>0</v>
      </c>
      <c r="R264" s="2" t="inlineStr"/>
    </row>
    <row r="265" ht="15" customHeight="1">
      <c r="A265" t="inlineStr">
        <is>
          <t>A 33876-2024</t>
        </is>
      </c>
      <c r="B265" s="1" t="n">
        <v>45521.87988425926</v>
      </c>
      <c r="C265" s="1" t="n">
        <v>46066</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38649-2025</t>
        </is>
      </c>
      <c r="B266" s="1" t="n">
        <v>45884</v>
      </c>
      <c r="C266" s="1" t="n">
        <v>46066</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43223-2023</t>
        </is>
      </c>
      <c r="B267" s="1" t="n">
        <v>45183.45642361111</v>
      </c>
      <c r="C267" s="1" t="n">
        <v>46066</v>
      </c>
      <c r="D267" t="inlineStr">
        <is>
          <t>GOTLANDS LÄN</t>
        </is>
      </c>
      <c r="E267" t="inlineStr">
        <is>
          <t>GOTLAND</t>
        </is>
      </c>
      <c r="G267" t="n">
        <v>1.8</v>
      </c>
      <c r="H267" t="n">
        <v>0</v>
      </c>
      <c r="I267" t="n">
        <v>0</v>
      </c>
      <c r="J267" t="n">
        <v>0</v>
      </c>
      <c r="K267" t="n">
        <v>0</v>
      </c>
      <c r="L267" t="n">
        <v>0</v>
      </c>
      <c r="M267" t="n">
        <v>0</v>
      </c>
      <c r="N267" t="n">
        <v>0</v>
      </c>
      <c r="O267" t="n">
        <v>0</v>
      </c>
      <c r="P267" t="n">
        <v>0</v>
      </c>
      <c r="Q267" t="n">
        <v>0</v>
      </c>
      <c r="R267" s="2" t="inlineStr"/>
    </row>
    <row r="268" ht="15" customHeight="1">
      <c r="A268" t="inlineStr">
        <is>
          <t>A 61962-2024</t>
        </is>
      </c>
      <c r="B268" s="1" t="n">
        <v>45653.54340277778</v>
      </c>
      <c r="C268" s="1" t="n">
        <v>46066</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5462-2025</t>
        </is>
      </c>
      <c r="B269" s="1" t="n">
        <v>45693.29331018519</v>
      </c>
      <c r="C269" s="1" t="n">
        <v>46066</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27930-2021</t>
        </is>
      </c>
      <c r="B270" s="1" t="n">
        <v>44354</v>
      </c>
      <c r="C270" s="1" t="n">
        <v>46066</v>
      </c>
      <c r="D270" t="inlineStr">
        <is>
          <t>GOTLANDS LÄN</t>
        </is>
      </c>
      <c r="E270" t="inlineStr">
        <is>
          <t>GOTLAND</t>
        </is>
      </c>
      <c r="G270" t="n">
        <v>2.5</v>
      </c>
      <c r="H270" t="n">
        <v>0</v>
      </c>
      <c r="I270" t="n">
        <v>0</v>
      </c>
      <c r="J270" t="n">
        <v>0</v>
      </c>
      <c r="K270" t="n">
        <v>0</v>
      </c>
      <c r="L270" t="n">
        <v>0</v>
      </c>
      <c r="M270" t="n">
        <v>0</v>
      </c>
      <c r="N270" t="n">
        <v>0</v>
      </c>
      <c r="O270" t="n">
        <v>0</v>
      </c>
      <c r="P270" t="n">
        <v>0</v>
      </c>
      <c r="Q270" t="n">
        <v>0</v>
      </c>
      <c r="R270" s="2" t="inlineStr"/>
    </row>
    <row r="271" ht="15" customHeight="1">
      <c r="A271" t="inlineStr">
        <is>
          <t>A 59469-2024</t>
        </is>
      </c>
      <c r="B271" s="1" t="n">
        <v>45638</v>
      </c>
      <c r="C271" s="1" t="n">
        <v>46066</v>
      </c>
      <c r="D271" t="inlineStr">
        <is>
          <t>GOTLANDS LÄN</t>
        </is>
      </c>
      <c r="E271" t="inlineStr">
        <is>
          <t>GOTLAND</t>
        </is>
      </c>
      <c r="G271" t="n">
        <v>0.4</v>
      </c>
      <c r="H271" t="n">
        <v>0</v>
      </c>
      <c r="I271" t="n">
        <v>0</v>
      </c>
      <c r="J271" t="n">
        <v>0</v>
      </c>
      <c r="K271" t="n">
        <v>0</v>
      </c>
      <c r="L271" t="n">
        <v>0</v>
      </c>
      <c r="M271" t="n">
        <v>0</v>
      </c>
      <c r="N271" t="n">
        <v>0</v>
      </c>
      <c r="O271" t="n">
        <v>0</v>
      </c>
      <c r="P271" t="n">
        <v>0</v>
      </c>
      <c r="Q271" t="n">
        <v>0</v>
      </c>
      <c r="R271" s="2" t="inlineStr"/>
    </row>
    <row r="272" ht="15" customHeight="1">
      <c r="A272" t="inlineStr">
        <is>
          <t>A 60384-2025</t>
        </is>
      </c>
      <c r="B272" s="1" t="n">
        <v>45995</v>
      </c>
      <c r="C272" s="1" t="n">
        <v>46066</v>
      </c>
      <c r="D272" t="inlineStr">
        <is>
          <t>GOTLANDS LÄN</t>
        </is>
      </c>
      <c r="E272" t="inlineStr">
        <is>
          <t>GOTLAND</t>
        </is>
      </c>
      <c r="G272" t="n">
        <v>2.5</v>
      </c>
      <c r="H272" t="n">
        <v>0</v>
      </c>
      <c r="I272" t="n">
        <v>0</v>
      </c>
      <c r="J272" t="n">
        <v>0</v>
      </c>
      <c r="K272" t="n">
        <v>0</v>
      </c>
      <c r="L272" t="n">
        <v>0</v>
      </c>
      <c r="M272" t="n">
        <v>0</v>
      </c>
      <c r="N272" t="n">
        <v>0</v>
      </c>
      <c r="O272" t="n">
        <v>0</v>
      </c>
      <c r="P272" t="n">
        <v>0</v>
      </c>
      <c r="Q272" t="n">
        <v>0</v>
      </c>
      <c r="R272" s="2" t="inlineStr"/>
    </row>
    <row r="273" ht="15" customHeight="1">
      <c r="A273" t="inlineStr">
        <is>
          <t>A 20356-2022</t>
        </is>
      </c>
      <c r="B273" s="1" t="n">
        <v>44699</v>
      </c>
      <c r="C273" s="1" t="n">
        <v>46066</v>
      </c>
      <c r="D273" t="inlineStr">
        <is>
          <t>GOTLANDS LÄN</t>
        </is>
      </c>
      <c r="E273" t="inlineStr">
        <is>
          <t>GOTLAND</t>
        </is>
      </c>
      <c r="F273" t="inlineStr">
        <is>
          <t>Övriga Aktiebolag</t>
        </is>
      </c>
      <c r="G273" t="n">
        <v>4.4</v>
      </c>
      <c r="H273" t="n">
        <v>0</v>
      </c>
      <c r="I273" t="n">
        <v>0</v>
      </c>
      <c r="J273" t="n">
        <v>0</v>
      </c>
      <c r="K273" t="n">
        <v>0</v>
      </c>
      <c r="L273" t="n">
        <v>0</v>
      </c>
      <c r="M273" t="n">
        <v>0</v>
      </c>
      <c r="N273" t="n">
        <v>0</v>
      </c>
      <c r="O273" t="n">
        <v>0</v>
      </c>
      <c r="P273" t="n">
        <v>0</v>
      </c>
      <c r="Q273" t="n">
        <v>0</v>
      </c>
      <c r="R273" s="2" t="inlineStr"/>
    </row>
    <row r="274" ht="15" customHeight="1">
      <c r="A274" t="inlineStr">
        <is>
          <t>A 62674-2025</t>
        </is>
      </c>
      <c r="B274" s="1" t="n">
        <v>46008</v>
      </c>
      <c r="C274" s="1" t="n">
        <v>46066</v>
      </c>
      <c r="D274" t="inlineStr">
        <is>
          <t>GOTLANDS LÄN</t>
        </is>
      </c>
      <c r="E274" t="inlineStr">
        <is>
          <t>GOTLAND</t>
        </is>
      </c>
      <c r="G274" t="n">
        <v>5</v>
      </c>
      <c r="H274" t="n">
        <v>0</v>
      </c>
      <c r="I274" t="n">
        <v>0</v>
      </c>
      <c r="J274" t="n">
        <v>0</v>
      </c>
      <c r="K274" t="n">
        <v>0</v>
      </c>
      <c r="L274" t="n">
        <v>0</v>
      </c>
      <c r="M274" t="n">
        <v>0</v>
      </c>
      <c r="N274" t="n">
        <v>0</v>
      </c>
      <c r="O274" t="n">
        <v>0</v>
      </c>
      <c r="P274" t="n">
        <v>0</v>
      </c>
      <c r="Q274" t="n">
        <v>0</v>
      </c>
      <c r="R274" s="2" t="inlineStr"/>
    </row>
    <row r="275" ht="15" customHeight="1">
      <c r="A275" t="inlineStr">
        <is>
          <t>A 5751-2024</t>
        </is>
      </c>
      <c r="B275" s="1" t="n">
        <v>45335.32702546296</v>
      </c>
      <c r="C275" s="1" t="n">
        <v>46066</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6696-2023</t>
        </is>
      </c>
      <c r="B276" s="1" t="n">
        <v>44966.66425925926</v>
      </c>
      <c r="C276" s="1" t="n">
        <v>46066</v>
      </c>
      <c r="D276" t="inlineStr">
        <is>
          <t>GOTLANDS LÄN</t>
        </is>
      </c>
      <c r="E276" t="inlineStr">
        <is>
          <t>GOTLAND</t>
        </is>
      </c>
      <c r="G276" t="n">
        <v>1.5</v>
      </c>
      <c r="H276" t="n">
        <v>0</v>
      </c>
      <c r="I276" t="n">
        <v>0</v>
      </c>
      <c r="J276" t="n">
        <v>0</v>
      </c>
      <c r="K276" t="n">
        <v>0</v>
      </c>
      <c r="L276" t="n">
        <v>0</v>
      </c>
      <c r="M276" t="n">
        <v>0</v>
      </c>
      <c r="N276" t="n">
        <v>0</v>
      </c>
      <c r="O276" t="n">
        <v>0</v>
      </c>
      <c r="P276" t="n">
        <v>0</v>
      </c>
      <c r="Q276" t="n">
        <v>0</v>
      </c>
      <c r="R276" s="2" t="inlineStr"/>
    </row>
    <row r="277" ht="15" customHeight="1">
      <c r="A277" t="inlineStr">
        <is>
          <t>A 28480-2023</t>
        </is>
      </c>
      <c r="B277" s="1" t="n">
        <v>45103</v>
      </c>
      <c r="C277" s="1" t="n">
        <v>46066</v>
      </c>
      <c r="D277" t="inlineStr">
        <is>
          <t>GOTLANDS LÄN</t>
        </is>
      </c>
      <c r="E277" t="inlineStr">
        <is>
          <t>GOTLAND</t>
        </is>
      </c>
      <c r="G277" t="n">
        <v>5.7</v>
      </c>
      <c r="H277" t="n">
        <v>0</v>
      </c>
      <c r="I277" t="n">
        <v>0</v>
      </c>
      <c r="J277" t="n">
        <v>0</v>
      </c>
      <c r="K277" t="n">
        <v>0</v>
      </c>
      <c r="L277" t="n">
        <v>0</v>
      </c>
      <c r="M277" t="n">
        <v>0</v>
      </c>
      <c r="N277" t="n">
        <v>0</v>
      </c>
      <c r="O277" t="n">
        <v>0</v>
      </c>
      <c r="P277" t="n">
        <v>0</v>
      </c>
      <c r="Q277" t="n">
        <v>0</v>
      </c>
      <c r="R277" s="2" t="inlineStr"/>
    </row>
    <row r="278" ht="15" customHeight="1">
      <c r="A278" t="inlineStr">
        <is>
          <t>A 28485-2023</t>
        </is>
      </c>
      <c r="B278" s="1" t="n">
        <v>45103.43731481482</v>
      </c>
      <c r="C278" s="1" t="n">
        <v>46066</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4990-2025</t>
        </is>
      </c>
      <c r="B279" s="1" t="n">
        <v>45691</v>
      </c>
      <c r="C279" s="1" t="n">
        <v>46066</v>
      </c>
      <c r="D279" t="inlineStr">
        <is>
          <t>GOTLANDS LÄN</t>
        </is>
      </c>
      <c r="E279" t="inlineStr">
        <is>
          <t>GOTLAND</t>
        </is>
      </c>
      <c r="G279" t="n">
        <v>7.7</v>
      </c>
      <c r="H279" t="n">
        <v>0</v>
      </c>
      <c r="I279" t="n">
        <v>0</v>
      </c>
      <c r="J279" t="n">
        <v>0</v>
      </c>
      <c r="K279" t="n">
        <v>0</v>
      </c>
      <c r="L279" t="n">
        <v>0</v>
      </c>
      <c r="M279" t="n">
        <v>0</v>
      </c>
      <c r="N279" t="n">
        <v>0</v>
      </c>
      <c r="O279" t="n">
        <v>0</v>
      </c>
      <c r="P279" t="n">
        <v>0</v>
      </c>
      <c r="Q279" t="n">
        <v>0</v>
      </c>
      <c r="R279" s="2" t="inlineStr"/>
    </row>
    <row r="280" ht="15" customHeight="1">
      <c r="A280" t="inlineStr">
        <is>
          <t>A 38165-2023</t>
        </is>
      </c>
      <c r="B280" s="1" t="n">
        <v>45161</v>
      </c>
      <c r="C280" s="1" t="n">
        <v>46066</v>
      </c>
      <c r="D280" t="inlineStr">
        <is>
          <t>GOTLANDS LÄN</t>
        </is>
      </c>
      <c r="E280" t="inlineStr">
        <is>
          <t>GOTLAND</t>
        </is>
      </c>
      <c r="G280" t="n">
        <v>2.6</v>
      </c>
      <c r="H280" t="n">
        <v>0</v>
      </c>
      <c r="I280" t="n">
        <v>0</v>
      </c>
      <c r="J280" t="n">
        <v>0</v>
      </c>
      <c r="K280" t="n">
        <v>0</v>
      </c>
      <c r="L280" t="n">
        <v>0</v>
      </c>
      <c r="M280" t="n">
        <v>0</v>
      </c>
      <c r="N280" t="n">
        <v>0</v>
      </c>
      <c r="O280" t="n">
        <v>0</v>
      </c>
      <c r="P280" t="n">
        <v>0</v>
      </c>
      <c r="Q280" t="n">
        <v>0</v>
      </c>
      <c r="R280" s="2" t="inlineStr"/>
    </row>
    <row r="281" ht="15" customHeight="1">
      <c r="A281" t="inlineStr">
        <is>
          <t>A 7625-2026</t>
        </is>
      </c>
      <c r="B281" s="1" t="n">
        <v>46062.35135416667</v>
      </c>
      <c r="C281" s="1" t="n">
        <v>46066</v>
      </c>
      <c r="D281" t="inlineStr">
        <is>
          <t>GOTLANDS LÄN</t>
        </is>
      </c>
      <c r="E281" t="inlineStr">
        <is>
          <t>GOTLAND</t>
        </is>
      </c>
      <c r="G281" t="n">
        <v>2.1</v>
      </c>
      <c r="H281" t="n">
        <v>0</v>
      </c>
      <c r="I281" t="n">
        <v>0</v>
      </c>
      <c r="J281" t="n">
        <v>0</v>
      </c>
      <c r="K281" t="n">
        <v>0</v>
      </c>
      <c r="L281" t="n">
        <v>0</v>
      </c>
      <c r="M281" t="n">
        <v>0</v>
      </c>
      <c r="N281" t="n">
        <v>0</v>
      </c>
      <c r="O281" t="n">
        <v>0</v>
      </c>
      <c r="P281" t="n">
        <v>0</v>
      </c>
      <c r="Q281" t="n">
        <v>0</v>
      </c>
      <c r="R281" s="2" t="inlineStr"/>
    </row>
    <row r="282" ht="15" customHeight="1">
      <c r="A282" t="inlineStr">
        <is>
          <t>A 7627-2026</t>
        </is>
      </c>
      <c r="B282" s="1" t="n">
        <v>46062.35465277778</v>
      </c>
      <c r="C282" s="1" t="n">
        <v>46066</v>
      </c>
      <c r="D282" t="inlineStr">
        <is>
          <t>GOTLANDS LÄN</t>
        </is>
      </c>
      <c r="E282" t="inlineStr">
        <is>
          <t>GOTLAND</t>
        </is>
      </c>
      <c r="G282" t="n">
        <v>1.1</v>
      </c>
      <c r="H282" t="n">
        <v>0</v>
      </c>
      <c r="I282" t="n">
        <v>0</v>
      </c>
      <c r="J282" t="n">
        <v>0</v>
      </c>
      <c r="K282" t="n">
        <v>0</v>
      </c>
      <c r="L282" t="n">
        <v>0</v>
      </c>
      <c r="M282" t="n">
        <v>0</v>
      </c>
      <c r="N282" t="n">
        <v>0</v>
      </c>
      <c r="O282" t="n">
        <v>0</v>
      </c>
      <c r="P282" t="n">
        <v>0</v>
      </c>
      <c r="Q282" t="n">
        <v>0</v>
      </c>
      <c r="R282" s="2" t="inlineStr"/>
    </row>
    <row r="283" ht="15" customHeight="1">
      <c r="A283" t="inlineStr">
        <is>
          <t>A 25796-2025</t>
        </is>
      </c>
      <c r="B283" s="1" t="n">
        <v>45804.39543981481</v>
      </c>
      <c r="C283" s="1" t="n">
        <v>46066</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35142-2025</t>
        </is>
      </c>
      <c r="B284" s="1" t="n">
        <v>45852.65532407408</v>
      </c>
      <c r="C284" s="1" t="n">
        <v>46066</v>
      </c>
      <c r="D284" t="inlineStr">
        <is>
          <t>GOTLANDS LÄN</t>
        </is>
      </c>
      <c r="E284" t="inlineStr">
        <is>
          <t>GOTLAND</t>
        </is>
      </c>
      <c r="G284" t="n">
        <v>2.4</v>
      </c>
      <c r="H284" t="n">
        <v>0</v>
      </c>
      <c r="I284" t="n">
        <v>0</v>
      </c>
      <c r="J284" t="n">
        <v>0</v>
      </c>
      <c r="K284" t="n">
        <v>0</v>
      </c>
      <c r="L284" t="n">
        <v>0</v>
      </c>
      <c r="M284" t="n">
        <v>0</v>
      </c>
      <c r="N284" t="n">
        <v>0</v>
      </c>
      <c r="O284" t="n">
        <v>0</v>
      </c>
      <c r="P284" t="n">
        <v>0</v>
      </c>
      <c r="Q284" t="n">
        <v>0</v>
      </c>
      <c r="R284" s="2" t="inlineStr"/>
    </row>
    <row r="285" ht="15" customHeight="1">
      <c r="A285" t="inlineStr">
        <is>
          <t>A 35141-2025</t>
        </is>
      </c>
      <c r="B285" s="1" t="n">
        <v>45852.65206018519</v>
      </c>
      <c r="C285" s="1" t="n">
        <v>46066</v>
      </c>
      <c r="D285" t="inlineStr">
        <is>
          <t>GOTLANDS LÄN</t>
        </is>
      </c>
      <c r="E285" t="inlineStr">
        <is>
          <t>GOTLAND</t>
        </is>
      </c>
      <c r="G285" t="n">
        <v>1</v>
      </c>
      <c r="H285" t="n">
        <v>0</v>
      </c>
      <c r="I285" t="n">
        <v>0</v>
      </c>
      <c r="J285" t="n">
        <v>0</v>
      </c>
      <c r="K285" t="n">
        <v>0</v>
      </c>
      <c r="L285" t="n">
        <v>0</v>
      </c>
      <c r="M285" t="n">
        <v>0</v>
      </c>
      <c r="N285" t="n">
        <v>0</v>
      </c>
      <c r="O285" t="n">
        <v>0</v>
      </c>
      <c r="P285" t="n">
        <v>0</v>
      </c>
      <c r="Q285" t="n">
        <v>0</v>
      </c>
      <c r="R285" s="2" t="inlineStr"/>
    </row>
    <row r="286" ht="15" customHeight="1">
      <c r="A286" t="inlineStr">
        <is>
          <t>A 61078-2025</t>
        </is>
      </c>
      <c r="B286" s="1" t="n">
        <v>46000</v>
      </c>
      <c r="C286" s="1" t="n">
        <v>46066</v>
      </c>
      <c r="D286" t="inlineStr">
        <is>
          <t>GOTLANDS LÄN</t>
        </is>
      </c>
      <c r="E286" t="inlineStr">
        <is>
          <t>GOTLAND</t>
        </is>
      </c>
      <c r="G286" t="n">
        <v>0.7</v>
      </c>
      <c r="H286" t="n">
        <v>0</v>
      </c>
      <c r="I286" t="n">
        <v>0</v>
      </c>
      <c r="J286" t="n">
        <v>0</v>
      </c>
      <c r="K286" t="n">
        <v>0</v>
      </c>
      <c r="L286" t="n">
        <v>0</v>
      </c>
      <c r="M286" t="n">
        <v>0</v>
      </c>
      <c r="N286" t="n">
        <v>0</v>
      </c>
      <c r="O286" t="n">
        <v>0</v>
      </c>
      <c r="P286" t="n">
        <v>0</v>
      </c>
      <c r="Q286" t="n">
        <v>0</v>
      </c>
      <c r="R286" s="2" t="inlineStr"/>
    </row>
    <row r="287" ht="15" customHeight="1">
      <c r="A287" t="inlineStr">
        <is>
          <t>A 53561-2025</t>
        </is>
      </c>
      <c r="B287" s="1" t="n">
        <v>45960.4059375</v>
      </c>
      <c r="C287" s="1" t="n">
        <v>46066</v>
      </c>
      <c r="D287" t="inlineStr">
        <is>
          <t>GOTLANDS LÄN</t>
        </is>
      </c>
      <c r="E287" t="inlineStr">
        <is>
          <t>GOTLAND</t>
        </is>
      </c>
      <c r="F287" t="inlineStr">
        <is>
          <t>Övriga Aktiebolag</t>
        </is>
      </c>
      <c r="G287" t="n">
        <v>2.4</v>
      </c>
      <c r="H287" t="n">
        <v>0</v>
      </c>
      <c r="I287" t="n">
        <v>0</v>
      </c>
      <c r="J287" t="n">
        <v>0</v>
      </c>
      <c r="K287" t="n">
        <v>0</v>
      </c>
      <c r="L287" t="n">
        <v>0</v>
      </c>
      <c r="M287" t="n">
        <v>0</v>
      </c>
      <c r="N287" t="n">
        <v>0</v>
      </c>
      <c r="O287" t="n">
        <v>0</v>
      </c>
      <c r="P287" t="n">
        <v>0</v>
      </c>
      <c r="Q287" t="n">
        <v>0</v>
      </c>
      <c r="R287" s="2" t="inlineStr"/>
    </row>
    <row r="288" ht="15" customHeight="1">
      <c r="A288" t="inlineStr">
        <is>
          <t>A 26465-2025</t>
        </is>
      </c>
      <c r="B288" s="1" t="n">
        <v>45807.44377314814</v>
      </c>
      <c r="C288" s="1" t="n">
        <v>46066</v>
      </c>
      <c r="D288" t="inlineStr">
        <is>
          <t>GOTLANDS LÄN</t>
        </is>
      </c>
      <c r="E288" t="inlineStr">
        <is>
          <t>GOTLAND</t>
        </is>
      </c>
      <c r="G288" t="n">
        <v>4.5</v>
      </c>
      <c r="H288" t="n">
        <v>0</v>
      </c>
      <c r="I288" t="n">
        <v>0</v>
      </c>
      <c r="J288" t="n">
        <v>0</v>
      </c>
      <c r="K288" t="n">
        <v>0</v>
      </c>
      <c r="L288" t="n">
        <v>0</v>
      </c>
      <c r="M288" t="n">
        <v>0</v>
      </c>
      <c r="N288" t="n">
        <v>0</v>
      </c>
      <c r="O288" t="n">
        <v>0</v>
      </c>
      <c r="P288" t="n">
        <v>0</v>
      </c>
      <c r="Q288" t="n">
        <v>0</v>
      </c>
      <c r="R288" s="2" t="inlineStr"/>
    </row>
    <row r="289" ht="15" customHeight="1">
      <c r="A289" t="inlineStr">
        <is>
          <t>A 26457-2025</t>
        </is>
      </c>
      <c r="B289" s="1" t="n">
        <v>45807.42773148148</v>
      </c>
      <c r="C289" s="1" t="n">
        <v>46066</v>
      </c>
      <c r="D289" t="inlineStr">
        <is>
          <t>GOTLANDS LÄN</t>
        </is>
      </c>
      <c r="E289" t="inlineStr">
        <is>
          <t>GOTLAND</t>
        </is>
      </c>
      <c r="G289" t="n">
        <v>5.7</v>
      </c>
      <c r="H289" t="n">
        <v>0</v>
      </c>
      <c r="I289" t="n">
        <v>0</v>
      </c>
      <c r="J289" t="n">
        <v>0</v>
      </c>
      <c r="K289" t="n">
        <v>0</v>
      </c>
      <c r="L289" t="n">
        <v>0</v>
      </c>
      <c r="M289" t="n">
        <v>0</v>
      </c>
      <c r="N289" t="n">
        <v>0</v>
      </c>
      <c r="O289" t="n">
        <v>0</v>
      </c>
      <c r="P289" t="n">
        <v>0</v>
      </c>
      <c r="Q289" t="n">
        <v>0</v>
      </c>
      <c r="R289" s="2" t="inlineStr"/>
    </row>
    <row r="290" ht="15" customHeight="1">
      <c r="A290" t="inlineStr">
        <is>
          <t>A 26467-2025</t>
        </is>
      </c>
      <c r="B290" s="1" t="n">
        <v>45807.44640046296</v>
      </c>
      <c r="C290" s="1" t="n">
        <v>46066</v>
      </c>
      <c r="D290" t="inlineStr">
        <is>
          <t>GOTLANDS LÄN</t>
        </is>
      </c>
      <c r="E290" t="inlineStr">
        <is>
          <t>GOTLAND</t>
        </is>
      </c>
      <c r="G290" t="n">
        <v>0.7</v>
      </c>
      <c r="H290" t="n">
        <v>0</v>
      </c>
      <c r="I290" t="n">
        <v>0</v>
      </c>
      <c r="J290" t="n">
        <v>0</v>
      </c>
      <c r="K290" t="n">
        <v>0</v>
      </c>
      <c r="L290" t="n">
        <v>0</v>
      </c>
      <c r="M290" t="n">
        <v>0</v>
      </c>
      <c r="N290" t="n">
        <v>0</v>
      </c>
      <c r="O290" t="n">
        <v>0</v>
      </c>
      <c r="P290" t="n">
        <v>0</v>
      </c>
      <c r="Q290" t="n">
        <v>0</v>
      </c>
      <c r="R290" s="2" t="inlineStr"/>
    </row>
    <row r="291" ht="15" customHeight="1">
      <c r="A291" t="inlineStr">
        <is>
          <t>A 49693-2023</t>
        </is>
      </c>
      <c r="B291" s="1" t="n">
        <v>45212.38138888889</v>
      </c>
      <c r="C291" s="1" t="n">
        <v>46066</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49697-2023</t>
        </is>
      </c>
      <c r="B292" s="1" t="n">
        <v>45212.38909722222</v>
      </c>
      <c r="C292" s="1" t="n">
        <v>46066</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34312-2024</t>
        </is>
      </c>
      <c r="B293" s="1" t="n">
        <v>45524.69703703704</v>
      </c>
      <c r="C293" s="1" t="n">
        <v>46066</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63105-2025</t>
        </is>
      </c>
      <c r="B294" s="1" t="n">
        <v>46009</v>
      </c>
      <c r="C294" s="1" t="n">
        <v>46066</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26660-2025</t>
        </is>
      </c>
      <c r="B295" s="1" t="n">
        <v>45810.39737268518</v>
      </c>
      <c r="C295" s="1" t="n">
        <v>46066</v>
      </c>
      <c r="D295" t="inlineStr">
        <is>
          <t>GOTLANDS LÄN</t>
        </is>
      </c>
      <c r="E295" t="inlineStr">
        <is>
          <t>GOTLAND</t>
        </is>
      </c>
      <c r="G295" t="n">
        <v>1.8</v>
      </c>
      <c r="H295" t="n">
        <v>0</v>
      </c>
      <c r="I295" t="n">
        <v>0</v>
      </c>
      <c r="J295" t="n">
        <v>0</v>
      </c>
      <c r="K295" t="n">
        <v>0</v>
      </c>
      <c r="L295" t="n">
        <v>0</v>
      </c>
      <c r="M295" t="n">
        <v>0</v>
      </c>
      <c r="N295" t="n">
        <v>0</v>
      </c>
      <c r="O295" t="n">
        <v>0</v>
      </c>
      <c r="P295" t="n">
        <v>0</v>
      </c>
      <c r="Q295" t="n">
        <v>0</v>
      </c>
      <c r="R295" s="2" t="inlineStr"/>
    </row>
    <row r="296" ht="15" customHeight="1">
      <c r="A296" t="inlineStr">
        <is>
          <t>A 62836-2025</t>
        </is>
      </c>
      <c r="B296" s="1" t="n">
        <v>46008</v>
      </c>
      <c r="C296" s="1" t="n">
        <v>46066</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53587-2025</t>
        </is>
      </c>
      <c r="B297" s="1" t="n">
        <v>45960.43681712963</v>
      </c>
      <c r="C297" s="1" t="n">
        <v>46066</v>
      </c>
      <c r="D297" t="inlineStr">
        <is>
          <t>GOTLANDS LÄN</t>
        </is>
      </c>
      <c r="E297" t="inlineStr">
        <is>
          <t>GOTLAND</t>
        </is>
      </c>
      <c r="F297" t="inlineStr">
        <is>
          <t>Övriga Aktiebolag</t>
        </is>
      </c>
      <c r="G297" t="n">
        <v>1.7</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46066</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61080-2025</t>
        </is>
      </c>
      <c r="B299" s="1" t="n">
        <v>46000</v>
      </c>
      <c r="C299" s="1" t="n">
        <v>46066</v>
      </c>
      <c r="D299" t="inlineStr">
        <is>
          <t>GOTLANDS LÄN</t>
        </is>
      </c>
      <c r="E299" t="inlineStr">
        <is>
          <t>GOTLAND</t>
        </is>
      </c>
      <c r="G299" t="n">
        <v>2.3</v>
      </c>
      <c r="H299" t="n">
        <v>0</v>
      </c>
      <c r="I299" t="n">
        <v>0</v>
      </c>
      <c r="J299" t="n">
        <v>0</v>
      </c>
      <c r="K299" t="n">
        <v>0</v>
      </c>
      <c r="L299" t="n">
        <v>0</v>
      </c>
      <c r="M299" t="n">
        <v>0</v>
      </c>
      <c r="N299" t="n">
        <v>0</v>
      </c>
      <c r="O299" t="n">
        <v>0</v>
      </c>
      <c r="P299" t="n">
        <v>0</v>
      </c>
      <c r="Q299" t="n">
        <v>0</v>
      </c>
      <c r="R299" s="2" t="inlineStr"/>
    </row>
    <row r="300" ht="15" customHeight="1">
      <c r="A300" t="inlineStr">
        <is>
          <t>A 27355-2025</t>
        </is>
      </c>
      <c r="B300" s="1" t="n">
        <v>45812</v>
      </c>
      <c r="C300" s="1" t="n">
        <v>46066</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24825-2024</t>
        </is>
      </c>
      <c r="B301" s="1" t="n">
        <v>45461</v>
      </c>
      <c r="C301" s="1" t="n">
        <v>46066</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27371-2025</t>
        </is>
      </c>
      <c r="B302" s="1" t="n">
        <v>45812</v>
      </c>
      <c r="C302" s="1" t="n">
        <v>46066</v>
      </c>
      <c r="D302" t="inlineStr">
        <is>
          <t>GOTLANDS LÄN</t>
        </is>
      </c>
      <c r="E302" t="inlineStr">
        <is>
          <t>GOTLAND</t>
        </is>
      </c>
      <c r="G302" t="n">
        <v>8</v>
      </c>
      <c r="H302" t="n">
        <v>0</v>
      </c>
      <c r="I302" t="n">
        <v>0</v>
      </c>
      <c r="J302" t="n">
        <v>0</v>
      </c>
      <c r="K302" t="n">
        <v>0</v>
      </c>
      <c r="L302" t="n">
        <v>0</v>
      </c>
      <c r="M302" t="n">
        <v>0</v>
      </c>
      <c r="N302" t="n">
        <v>0</v>
      </c>
      <c r="O302" t="n">
        <v>0</v>
      </c>
      <c r="P302" t="n">
        <v>0</v>
      </c>
      <c r="Q302" t="n">
        <v>0</v>
      </c>
      <c r="R302" s="2" t="inlineStr"/>
    </row>
    <row r="303" ht="15" customHeight="1">
      <c r="A303" t="inlineStr">
        <is>
          <t>A 22031-2024</t>
        </is>
      </c>
      <c r="B303" s="1" t="n">
        <v>45443.60075231481</v>
      </c>
      <c r="C303" s="1" t="n">
        <v>46066</v>
      </c>
      <c r="D303" t="inlineStr">
        <is>
          <t>GOTLANDS LÄN</t>
        </is>
      </c>
      <c r="E303" t="inlineStr">
        <is>
          <t>GOTLAND</t>
        </is>
      </c>
      <c r="G303" t="n">
        <v>2.3</v>
      </c>
      <c r="H303" t="n">
        <v>0</v>
      </c>
      <c r="I303" t="n">
        <v>0</v>
      </c>
      <c r="J303" t="n">
        <v>0</v>
      </c>
      <c r="K303" t="n">
        <v>0</v>
      </c>
      <c r="L303" t="n">
        <v>0</v>
      </c>
      <c r="M303" t="n">
        <v>0</v>
      </c>
      <c r="N303" t="n">
        <v>0</v>
      </c>
      <c r="O303" t="n">
        <v>0</v>
      </c>
      <c r="P303" t="n">
        <v>0</v>
      </c>
      <c r="Q303" t="n">
        <v>0</v>
      </c>
      <c r="R303" s="2" t="inlineStr"/>
    </row>
    <row r="304" ht="15" customHeight="1">
      <c r="A304" t="inlineStr">
        <is>
          <t>A 17688-2024</t>
        </is>
      </c>
      <c r="B304" s="1" t="n">
        <v>45418.43575231481</v>
      </c>
      <c r="C304" s="1" t="n">
        <v>46066</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7850-2025</t>
        </is>
      </c>
      <c r="B305" s="1" t="n">
        <v>45706</v>
      </c>
      <c r="C305" s="1" t="n">
        <v>46066</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6739-2025</t>
        </is>
      </c>
      <c r="B306" s="1" t="n">
        <v>45700</v>
      </c>
      <c r="C306" s="1" t="n">
        <v>46066</v>
      </c>
      <c r="D306" t="inlineStr">
        <is>
          <t>GOTLANDS LÄN</t>
        </is>
      </c>
      <c r="E306" t="inlineStr">
        <is>
          <t>GOTLAND</t>
        </is>
      </c>
      <c r="G306" t="n">
        <v>4.5</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46066</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19905-2025</t>
        </is>
      </c>
      <c r="B308" s="1" t="n">
        <v>45771</v>
      </c>
      <c r="C308" s="1" t="n">
        <v>46066</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27694-2024</t>
        </is>
      </c>
      <c r="B309" s="1" t="n">
        <v>45475</v>
      </c>
      <c r="C309" s="1" t="n">
        <v>46066</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39849-2025</t>
        </is>
      </c>
      <c r="B310" s="1" t="n">
        <v>45891.58502314815</v>
      </c>
      <c r="C310" s="1" t="n">
        <v>46066</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39764-2022</t>
        </is>
      </c>
      <c r="B311" s="1" t="n">
        <v>44819</v>
      </c>
      <c r="C311" s="1" t="n">
        <v>46066</v>
      </c>
      <c r="D311" t="inlineStr">
        <is>
          <t>GOTLANDS LÄN</t>
        </is>
      </c>
      <c r="E311" t="inlineStr">
        <is>
          <t>GOTLAND</t>
        </is>
      </c>
      <c r="F311" t="inlineStr">
        <is>
          <t>Kyrkan</t>
        </is>
      </c>
      <c r="G311" t="n">
        <v>3.7</v>
      </c>
      <c r="H311" t="n">
        <v>0</v>
      </c>
      <c r="I311" t="n">
        <v>0</v>
      </c>
      <c r="J311" t="n">
        <v>0</v>
      </c>
      <c r="K311" t="n">
        <v>0</v>
      </c>
      <c r="L311" t="n">
        <v>0</v>
      </c>
      <c r="M311" t="n">
        <v>0</v>
      </c>
      <c r="N311" t="n">
        <v>0</v>
      </c>
      <c r="O311" t="n">
        <v>0</v>
      </c>
      <c r="P311" t="n">
        <v>0</v>
      </c>
      <c r="Q311" t="n">
        <v>0</v>
      </c>
      <c r="R311" s="2" t="inlineStr"/>
    </row>
    <row r="312" ht="15" customHeight="1">
      <c r="A312" t="inlineStr">
        <is>
          <t>A 6099-2024</t>
        </is>
      </c>
      <c r="B312" s="1" t="n">
        <v>45337</v>
      </c>
      <c r="C312" s="1" t="n">
        <v>46066</v>
      </c>
      <c r="D312" t="inlineStr">
        <is>
          <t>GOTLANDS LÄN</t>
        </is>
      </c>
      <c r="E312" t="inlineStr">
        <is>
          <t>GOTLAND</t>
        </is>
      </c>
      <c r="G312" t="n">
        <v>12.6</v>
      </c>
      <c r="H312" t="n">
        <v>0</v>
      </c>
      <c r="I312" t="n">
        <v>0</v>
      </c>
      <c r="J312" t="n">
        <v>0</v>
      </c>
      <c r="K312" t="n">
        <v>0</v>
      </c>
      <c r="L312" t="n">
        <v>0</v>
      </c>
      <c r="M312" t="n">
        <v>0</v>
      </c>
      <c r="N312" t="n">
        <v>0</v>
      </c>
      <c r="O312" t="n">
        <v>0</v>
      </c>
      <c r="P312" t="n">
        <v>0</v>
      </c>
      <c r="Q312" t="n">
        <v>0</v>
      </c>
      <c r="R312" s="2" t="inlineStr"/>
    </row>
    <row r="313" ht="15" customHeight="1">
      <c r="A313" t="inlineStr">
        <is>
          <t>A 8260-2023</t>
        </is>
      </c>
      <c r="B313" s="1" t="n">
        <v>44974.61608796296</v>
      </c>
      <c r="C313" s="1" t="n">
        <v>46066</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39814-2025</t>
        </is>
      </c>
      <c r="B314" s="1" t="n">
        <v>45891.52694444444</v>
      </c>
      <c r="C314" s="1" t="n">
        <v>46066</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22287-2022</t>
        </is>
      </c>
      <c r="B315" s="1" t="n">
        <v>44712</v>
      </c>
      <c r="C315" s="1" t="n">
        <v>46066</v>
      </c>
      <c r="D315" t="inlineStr">
        <is>
          <t>GOTLANDS LÄN</t>
        </is>
      </c>
      <c r="E315" t="inlineStr">
        <is>
          <t>GOTLAND</t>
        </is>
      </c>
      <c r="G315" t="n">
        <v>6.1</v>
      </c>
      <c r="H315" t="n">
        <v>0</v>
      </c>
      <c r="I315" t="n">
        <v>0</v>
      </c>
      <c r="J315" t="n">
        <v>0</v>
      </c>
      <c r="K315" t="n">
        <v>0</v>
      </c>
      <c r="L315" t="n">
        <v>0</v>
      </c>
      <c r="M315" t="n">
        <v>0</v>
      </c>
      <c r="N315" t="n">
        <v>0</v>
      </c>
      <c r="O315" t="n">
        <v>0</v>
      </c>
      <c r="P315" t="n">
        <v>0</v>
      </c>
      <c r="Q315" t="n">
        <v>0</v>
      </c>
      <c r="R315" s="2" t="inlineStr"/>
    </row>
    <row r="316" ht="15" customHeight="1">
      <c r="A316" t="inlineStr">
        <is>
          <t>A 29207-2025</t>
        </is>
      </c>
      <c r="B316" s="1" t="n">
        <v>45823</v>
      </c>
      <c r="C316" s="1" t="n">
        <v>46066</v>
      </c>
      <c r="D316" t="inlineStr">
        <is>
          <t>GOTLANDS LÄN</t>
        </is>
      </c>
      <c r="E316" t="inlineStr">
        <is>
          <t>GOTLAND</t>
        </is>
      </c>
      <c r="G316" t="n">
        <v>1.9</v>
      </c>
      <c r="H316" t="n">
        <v>0</v>
      </c>
      <c r="I316" t="n">
        <v>0</v>
      </c>
      <c r="J316" t="n">
        <v>0</v>
      </c>
      <c r="K316" t="n">
        <v>0</v>
      </c>
      <c r="L316" t="n">
        <v>0</v>
      </c>
      <c r="M316" t="n">
        <v>0</v>
      </c>
      <c r="N316" t="n">
        <v>0</v>
      </c>
      <c r="O316" t="n">
        <v>0</v>
      </c>
      <c r="P316" t="n">
        <v>0</v>
      </c>
      <c r="Q316" t="n">
        <v>0</v>
      </c>
      <c r="R316" s="2" t="inlineStr"/>
    </row>
    <row r="317" ht="15" customHeight="1">
      <c r="A317" t="inlineStr">
        <is>
          <t>A 57534-2022</t>
        </is>
      </c>
      <c r="B317" s="1" t="n">
        <v>44896</v>
      </c>
      <c r="C317" s="1" t="n">
        <v>46066</v>
      </c>
      <c r="D317" t="inlineStr">
        <is>
          <t>GOTLANDS LÄN</t>
        </is>
      </c>
      <c r="E317" t="inlineStr">
        <is>
          <t>GOTLAND</t>
        </is>
      </c>
      <c r="G317" t="n">
        <v>0.6</v>
      </c>
      <c r="H317" t="n">
        <v>0</v>
      </c>
      <c r="I317" t="n">
        <v>0</v>
      </c>
      <c r="J317" t="n">
        <v>0</v>
      </c>
      <c r="K317" t="n">
        <v>0</v>
      </c>
      <c r="L317" t="n">
        <v>0</v>
      </c>
      <c r="M317" t="n">
        <v>0</v>
      </c>
      <c r="N317" t="n">
        <v>0</v>
      </c>
      <c r="O317" t="n">
        <v>0</v>
      </c>
      <c r="P317" t="n">
        <v>0</v>
      </c>
      <c r="Q317" t="n">
        <v>0</v>
      </c>
      <c r="R317" s="2" t="inlineStr"/>
    </row>
    <row r="318" ht="15" customHeight="1">
      <c r="A318" t="inlineStr">
        <is>
          <t>A 29196-2025</t>
        </is>
      </c>
      <c r="B318" s="1" t="n">
        <v>45822</v>
      </c>
      <c r="C318" s="1" t="n">
        <v>46066</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39819-2025</t>
        </is>
      </c>
      <c r="B319" s="1" t="n">
        <v>45891.53418981482</v>
      </c>
      <c r="C319" s="1" t="n">
        <v>46066</v>
      </c>
      <c r="D319" t="inlineStr">
        <is>
          <t>GOTLANDS LÄN</t>
        </is>
      </c>
      <c r="E319" t="inlineStr">
        <is>
          <t>GOTLAND</t>
        </is>
      </c>
      <c r="G319" t="n">
        <v>3.1</v>
      </c>
      <c r="H319" t="n">
        <v>0</v>
      </c>
      <c r="I319" t="n">
        <v>0</v>
      </c>
      <c r="J319" t="n">
        <v>0</v>
      </c>
      <c r="K319" t="n">
        <v>0</v>
      </c>
      <c r="L319" t="n">
        <v>0</v>
      </c>
      <c r="M319" t="n">
        <v>0</v>
      </c>
      <c r="N319" t="n">
        <v>0</v>
      </c>
      <c r="O319" t="n">
        <v>0</v>
      </c>
      <c r="P319" t="n">
        <v>0</v>
      </c>
      <c r="Q319" t="n">
        <v>0</v>
      </c>
      <c r="R319" s="2" t="inlineStr"/>
    </row>
    <row r="320" ht="15" customHeight="1">
      <c r="A320" t="inlineStr">
        <is>
          <t>A 30061-2025</t>
        </is>
      </c>
      <c r="B320" s="1" t="n">
        <v>45826.61488425926</v>
      </c>
      <c r="C320" s="1" t="n">
        <v>46066</v>
      </c>
      <c r="D320" t="inlineStr">
        <is>
          <t>GOTLANDS LÄN</t>
        </is>
      </c>
      <c r="E320" t="inlineStr">
        <is>
          <t>GOTLAND</t>
        </is>
      </c>
      <c r="G320" t="n">
        <v>4.1</v>
      </c>
      <c r="H320" t="n">
        <v>0</v>
      </c>
      <c r="I320" t="n">
        <v>0</v>
      </c>
      <c r="J320" t="n">
        <v>0</v>
      </c>
      <c r="K320" t="n">
        <v>0</v>
      </c>
      <c r="L320" t="n">
        <v>0</v>
      </c>
      <c r="M320" t="n">
        <v>0</v>
      </c>
      <c r="N320" t="n">
        <v>0</v>
      </c>
      <c r="O320" t="n">
        <v>0</v>
      </c>
      <c r="P320" t="n">
        <v>0</v>
      </c>
      <c r="Q320" t="n">
        <v>0</v>
      </c>
      <c r="R320" s="2" t="inlineStr"/>
    </row>
    <row r="321" ht="15" customHeight="1">
      <c r="A321" t="inlineStr">
        <is>
          <t>A 39752-2025</t>
        </is>
      </c>
      <c r="B321" s="1" t="n">
        <v>45891</v>
      </c>
      <c r="C321" s="1" t="n">
        <v>46066</v>
      </c>
      <c r="D321" t="inlineStr">
        <is>
          <t>GOTLANDS LÄN</t>
        </is>
      </c>
      <c r="E321" t="inlineStr">
        <is>
          <t>GOTLAND</t>
        </is>
      </c>
      <c r="G321" t="n">
        <v>5.3</v>
      </c>
      <c r="H321" t="n">
        <v>0</v>
      </c>
      <c r="I321" t="n">
        <v>0</v>
      </c>
      <c r="J321" t="n">
        <v>0</v>
      </c>
      <c r="K321" t="n">
        <v>0</v>
      </c>
      <c r="L321" t="n">
        <v>0</v>
      </c>
      <c r="M321" t="n">
        <v>0</v>
      </c>
      <c r="N321" t="n">
        <v>0</v>
      </c>
      <c r="O321" t="n">
        <v>0</v>
      </c>
      <c r="P321" t="n">
        <v>0</v>
      </c>
      <c r="Q321" t="n">
        <v>0</v>
      </c>
      <c r="R321" s="2" t="inlineStr"/>
    </row>
    <row r="322" ht="15" customHeight="1">
      <c r="A322" t="inlineStr">
        <is>
          <t>A 39816-2025</t>
        </is>
      </c>
      <c r="B322" s="1" t="n">
        <v>45891</v>
      </c>
      <c r="C322" s="1" t="n">
        <v>46066</v>
      </c>
      <c r="D322" t="inlineStr">
        <is>
          <t>GOTLANDS LÄN</t>
        </is>
      </c>
      <c r="E322" t="inlineStr">
        <is>
          <t>GOTLAND</t>
        </is>
      </c>
      <c r="G322" t="n">
        <v>0.9</v>
      </c>
      <c r="H322" t="n">
        <v>0</v>
      </c>
      <c r="I322" t="n">
        <v>0</v>
      </c>
      <c r="J322" t="n">
        <v>0</v>
      </c>
      <c r="K322" t="n">
        <v>0</v>
      </c>
      <c r="L322" t="n">
        <v>0</v>
      </c>
      <c r="M322" t="n">
        <v>0</v>
      </c>
      <c r="N322" t="n">
        <v>0</v>
      </c>
      <c r="O322" t="n">
        <v>0</v>
      </c>
      <c r="P322" t="n">
        <v>0</v>
      </c>
      <c r="Q322" t="n">
        <v>0</v>
      </c>
      <c r="R322" s="2" t="inlineStr"/>
    </row>
    <row r="323" ht="15" customHeight="1">
      <c r="A323" t="inlineStr">
        <is>
          <t>A 40372-2025</t>
        </is>
      </c>
      <c r="B323" s="1" t="n">
        <v>45895.5162037037</v>
      </c>
      <c r="C323" s="1" t="n">
        <v>46066</v>
      </c>
      <c r="D323" t="inlineStr">
        <is>
          <t>GOTLANDS LÄN</t>
        </is>
      </c>
      <c r="E323" t="inlineStr">
        <is>
          <t>GOTLAND</t>
        </is>
      </c>
      <c r="G323" t="n">
        <v>3.3</v>
      </c>
      <c r="H323" t="n">
        <v>0</v>
      </c>
      <c r="I323" t="n">
        <v>0</v>
      </c>
      <c r="J323" t="n">
        <v>0</v>
      </c>
      <c r="K323" t="n">
        <v>0</v>
      </c>
      <c r="L323" t="n">
        <v>0</v>
      </c>
      <c r="M323" t="n">
        <v>0</v>
      </c>
      <c r="N323" t="n">
        <v>0</v>
      </c>
      <c r="O323" t="n">
        <v>0</v>
      </c>
      <c r="P323" t="n">
        <v>0</v>
      </c>
      <c r="Q323" t="n">
        <v>0</v>
      </c>
      <c r="R323" s="2" t="inlineStr"/>
    </row>
    <row r="324" ht="15" customHeight="1">
      <c r="A324" t="inlineStr">
        <is>
          <t>A 40373-2025</t>
        </is>
      </c>
      <c r="B324" s="1" t="n">
        <v>45895.51821759259</v>
      </c>
      <c r="C324" s="1" t="n">
        <v>46066</v>
      </c>
      <c r="D324" t="inlineStr">
        <is>
          <t>GOTLANDS LÄN</t>
        </is>
      </c>
      <c r="E324" t="inlineStr">
        <is>
          <t>GOTLAND</t>
        </is>
      </c>
      <c r="G324" t="n">
        <v>0.6</v>
      </c>
      <c r="H324" t="n">
        <v>0</v>
      </c>
      <c r="I324" t="n">
        <v>0</v>
      </c>
      <c r="J324" t="n">
        <v>0</v>
      </c>
      <c r="K324" t="n">
        <v>0</v>
      </c>
      <c r="L324" t="n">
        <v>0</v>
      </c>
      <c r="M324" t="n">
        <v>0</v>
      </c>
      <c r="N324" t="n">
        <v>0</v>
      </c>
      <c r="O324" t="n">
        <v>0</v>
      </c>
      <c r="P324" t="n">
        <v>0</v>
      </c>
      <c r="Q324" t="n">
        <v>0</v>
      </c>
      <c r="R324" s="2" t="inlineStr"/>
    </row>
    <row r="325" ht="15" customHeight="1">
      <c r="A325" t="inlineStr">
        <is>
          <t>A 64660-2023</t>
        </is>
      </c>
      <c r="B325" s="1" t="n">
        <v>45281.60122685185</v>
      </c>
      <c r="C325" s="1" t="n">
        <v>46066</v>
      </c>
      <c r="D325" t="inlineStr">
        <is>
          <t>GOTLANDS LÄN</t>
        </is>
      </c>
      <c r="E325" t="inlineStr">
        <is>
          <t>GOTLAND</t>
        </is>
      </c>
      <c r="G325" t="n">
        <v>6.3</v>
      </c>
      <c r="H325" t="n">
        <v>0</v>
      </c>
      <c r="I325" t="n">
        <v>0</v>
      </c>
      <c r="J325" t="n">
        <v>0</v>
      </c>
      <c r="K325" t="n">
        <v>0</v>
      </c>
      <c r="L325" t="n">
        <v>0</v>
      </c>
      <c r="M325" t="n">
        <v>0</v>
      </c>
      <c r="N325" t="n">
        <v>0</v>
      </c>
      <c r="O325" t="n">
        <v>0</v>
      </c>
      <c r="P325" t="n">
        <v>0</v>
      </c>
      <c r="Q325" t="n">
        <v>0</v>
      </c>
      <c r="R325" s="2" t="inlineStr"/>
    </row>
    <row r="326" ht="15" customHeight="1">
      <c r="A326" t="inlineStr">
        <is>
          <t>A 58160-2024</t>
        </is>
      </c>
      <c r="B326" s="1" t="n">
        <v>45632.44927083333</v>
      </c>
      <c r="C326" s="1" t="n">
        <v>46066</v>
      </c>
      <c r="D326" t="inlineStr">
        <is>
          <t>GOTLANDS LÄN</t>
        </is>
      </c>
      <c r="E326" t="inlineStr">
        <is>
          <t>GOTLAND</t>
        </is>
      </c>
      <c r="G326" t="n">
        <v>5.6</v>
      </c>
      <c r="H326" t="n">
        <v>0</v>
      </c>
      <c r="I326" t="n">
        <v>0</v>
      </c>
      <c r="J326" t="n">
        <v>0</v>
      </c>
      <c r="K326" t="n">
        <v>0</v>
      </c>
      <c r="L326" t="n">
        <v>0</v>
      </c>
      <c r="M326" t="n">
        <v>0</v>
      </c>
      <c r="N326" t="n">
        <v>0</v>
      </c>
      <c r="O326" t="n">
        <v>0</v>
      </c>
      <c r="P326" t="n">
        <v>0</v>
      </c>
      <c r="Q326" t="n">
        <v>0</v>
      </c>
      <c r="R326" s="2" t="inlineStr"/>
    </row>
    <row r="327" ht="15" customHeight="1">
      <c r="A327" t="inlineStr">
        <is>
          <t>A 40103-2025</t>
        </is>
      </c>
      <c r="B327" s="1" t="n">
        <v>45894.4880324074</v>
      </c>
      <c r="C327" s="1" t="n">
        <v>46066</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20855-2023</t>
        </is>
      </c>
      <c r="B328" s="1" t="n">
        <v>45058.82172453704</v>
      </c>
      <c r="C328" s="1" t="n">
        <v>46066</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16109-2025</t>
        </is>
      </c>
      <c r="B329" s="1" t="n">
        <v>45750</v>
      </c>
      <c r="C329" s="1" t="n">
        <v>46066</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60709-2023</t>
        </is>
      </c>
      <c r="B330" s="1" t="n">
        <v>45260</v>
      </c>
      <c r="C330" s="1" t="n">
        <v>46066</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32467-2025</t>
        </is>
      </c>
      <c r="B331" s="1" t="n">
        <v>45838.42111111111</v>
      </c>
      <c r="C331" s="1" t="n">
        <v>46066</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1000-2024</t>
        </is>
      </c>
      <c r="B332" s="1" t="n">
        <v>45301.63371527778</v>
      </c>
      <c r="C332" s="1" t="n">
        <v>46066</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1010-2024</t>
        </is>
      </c>
      <c r="B333" s="1" t="n">
        <v>45301</v>
      </c>
      <c r="C333" s="1" t="n">
        <v>46066</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65249-2023</t>
        </is>
      </c>
      <c r="B334" s="1" t="n">
        <v>45290</v>
      </c>
      <c r="C334" s="1" t="n">
        <v>46066</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40499-2025</t>
        </is>
      </c>
      <c r="B335" s="1" t="n">
        <v>45896.32517361111</v>
      </c>
      <c r="C335" s="1" t="n">
        <v>46066</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30956-2024</t>
        </is>
      </c>
      <c r="B336" s="1" t="n">
        <v>45499.42527777778</v>
      </c>
      <c r="C336" s="1" t="n">
        <v>46066</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32379-2025</t>
        </is>
      </c>
      <c r="B337" s="1" t="n">
        <v>45837</v>
      </c>
      <c r="C337" s="1" t="n">
        <v>46066</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12596-2023</t>
        </is>
      </c>
      <c r="B338" s="1" t="n">
        <v>45000.43310185185</v>
      </c>
      <c r="C338" s="1" t="n">
        <v>46066</v>
      </c>
      <c r="D338" t="inlineStr">
        <is>
          <t>GOTLANDS LÄN</t>
        </is>
      </c>
      <c r="E338" t="inlineStr">
        <is>
          <t>GOTLAND</t>
        </is>
      </c>
      <c r="G338" t="n">
        <v>4.1</v>
      </c>
      <c r="H338" t="n">
        <v>0</v>
      </c>
      <c r="I338" t="n">
        <v>0</v>
      </c>
      <c r="J338" t="n">
        <v>0</v>
      </c>
      <c r="K338" t="n">
        <v>0</v>
      </c>
      <c r="L338" t="n">
        <v>0</v>
      </c>
      <c r="M338" t="n">
        <v>0</v>
      </c>
      <c r="N338" t="n">
        <v>0</v>
      </c>
      <c r="O338" t="n">
        <v>0</v>
      </c>
      <c r="P338" t="n">
        <v>0</v>
      </c>
      <c r="Q338" t="n">
        <v>0</v>
      </c>
      <c r="R338" s="2" t="inlineStr"/>
    </row>
    <row r="339" ht="15" customHeight="1">
      <c r="A339" t="inlineStr">
        <is>
          <t>A 8045-2022</t>
        </is>
      </c>
      <c r="B339" s="1" t="n">
        <v>44609</v>
      </c>
      <c r="C339" s="1" t="n">
        <v>46066</v>
      </c>
      <c r="D339" t="inlineStr">
        <is>
          <t>GOTLANDS LÄN</t>
        </is>
      </c>
      <c r="E339" t="inlineStr">
        <is>
          <t>GOTLAND</t>
        </is>
      </c>
      <c r="G339" t="n">
        <v>7</v>
      </c>
      <c r="H339" t="n">
        <v>0</v>
      </c>
      <c r="I339" t="n">
        <v>0</v>
      </c>
      <c r="J339" t="n">
        <v>0</v>
      </c>
      <c r="K339" t="n">
        <v>0</v>
      </c>
      <c r="L339" t="n">
        <v>0</v>
      </c>
      <c r="M339" t="n">
        <v>0</v>
      </c>
      <c r="N339" t="n">
        <v>0</v>
      </c>
      <c r="O339" t="n">
        <v>0</v>
      </c>
      <c r="P339" t="n">
        <v>0</v>
      </c>
      <c r="Q339" t="n">
        <v>0</v>
      </c>
      <c r="R339" s="2" t="inlineStr"/>
    </row>
    <row r="340" ht="15" customHeight="1">
      <c r="A340" t="inlineStr">
        <is>
          <t>A 41551-2025</t>
        </is>
      </c>
      <c r="B340" s="1" t="n">
        <v>45901.58854166666</v>
      </c>
      <c r="C340" s="1" t="n">
        <v>46066</v>
      </c>
      <c r="D340" t="inlineStr">
        <is>
          <t>GOTLANDS LÄN</t>
        </is>
      </c>
      <c r="E340" t="inlineStr">
        <is>
          <t>GOTLAND</t>
        </is>
      </c>
      <c r="G340" t="n">
        <v>5.6</v>
      </c>
      <c r="H340" t="n">
        <v>0</v>
      </c>
      <c r="I340" t="n">
        <v>0</v>
      </c>
      <c r="J340" t="n">
        <v>0</v>
      </c>
      <c r="K340" t="n">
        <v>0</v>
      </c>
      <c r="L340" t="n">
        <v>0</v>
      </c>
      <c r="M340" t="n">
        <v>0</v>
      </c>
      <c r="N340" t="n">
        <v>0</v>
      </c>
      <c r="O340" t="n">
        <v>0</v>
      </c>
      <c r="P340" t="n">
        <v>0</v>
      </c>
      <c r="Q340" t="n">
        <v>0</v>
      </c>
      <c r="R340" s="2" t="inlineStr"/>
    </row>
    <row r="341" ht="15" customHeight="1">
      <c r="A341" t="inlineStr">
        <is>
          <t>A 33007-2025</t>
        </is>
      </c>
      <c r="B341" s="1" t="n">
        <v>45840</v>
      </c>
      <c r="C341" s="1" t="n">
        <v>46066</v>
      </c>
      <c r="D341" t="inlineStr">
        <is>
          <t>GOTLANDS LÄN</t>
        </is>
      </c>
      <c r="E341" t="inlineStr">
        <is>
          <t>GOTLAND</t>
        </is>
      </c>
      <c r="G341" t="n">
        <v>4.9</v>
      </c>
      <c r="H341" t="n">
        <v>0</v>
      </c>
      <c r="I341" t="n">
        <v>0</v>
      </c>
      <c r="J341" t="n">
        <v>0</v>
      </c>
      <c r="K341" t="n">
        <v>0</v>
      </c>
      <c r="L341" t="n">
        <v>0</v>
      </c>
      <c r="M341" t="n">
        <v>0</v>
      </c>
      <c r="N341" t="n">
        <v>0</v>
      </c>
      <c r="O341" t="n">
        <v>0</v>
      </c>
      <c r="P341" t="n">
        <v>0</v>
      </c>
      <c r="Q341" t="n">
        <v>0</v>
      </c>
      <c r="R341" s="2" t="inlineStr"/>
    </row>
    <row r="342" ht="15" customHeight="1">
      <c r="A342" t="inlineStr">
        <is>
          <t>A 39278-2025</t>
        </is>
      </c>
      <c r="B342" s="1" t="n">
        <v>45889</v>
      </c>
      <c r="C342" s="1" t="n">
        <v>46066</v>
      </c>
      <c r="D342" t="inlineStr">
        <is>
          <t>GOTLANDS LÄN</t>
        </is>
      </c>
      <c r="E342" t="inlineStr">
        <is>
          <t>GOTLAND</t>
        </is>
      </c>
      <c r="G342" t="n">
        <v>3.7</v>
      </c>
      <c r="H342" t="n">
        <v>0</v>
      </c>
      <c r="I342" t="n">
        <v>0</v>
      </c>
      <c r="J342" t="n">
        <v>0</v>
      </c>
      <c r="K342" t="n">
        <v>0</v>
      </c>
      <c r="L342" t="n">
        <v>0</v>
      </c>
      <c r="M342" t="n">
        <v>0</v>
      </c>
      <c r="N342" t="n">
        <v>0</v>
      </c>
      <c r="O342" t="n">
        <v>0</v>
      </c>
      <c r="P342" t="n">
        <v>0</v>
      </c>
      <c r="Q342" t="n">
        <v>0</v>
      </c>
      <c r="R342" s="2" t="inlineStr"/>
    </row>
    <row r="343" ht="15" customHeight="1">
      <c r="A343" t="inlineStr">
        <is>
          <t>A 999-2024</t>
        </is>
      </c>
      <c r="B343" s="1" t="n">
        <v>45301</v>
      </c>
      <c r="C343" s="1" t="n">
        <v>46066</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65901-2021</t>
        </is>
      </c>
      <c r="B344" s="1" t="n">
        <v>44516</v>
      </c>
      <c r="C344" s="1" t="n">
        <v>46066</v>
      </c>
      <c r="D344" t="inlineStr">
        <is>
          <t>GOTLANDS LÄN</t>
        </is>
      </c>
      <c r="E344" t="inlineStr">
        <is>
          <t>GOTLAND</t>
        </is>
      </c>
      <c r="G344" t="n">
        <v>4.9</v>
      </c>
      <c r="H344" t="n">
        <v>0</v>
      </c>
      <c r="I344" t="n">
        <v>0</v>
      </c>
      <c r="J344" t="n">
        <v>0</v>
      </c>
      <c r="K344" t="n">
        <v>0</v>
      </c>
      <c r="L344" t="n">
        <v>0</v>
      </c>
      <c r="M344" t="n">
        <v>0</v>
      </c>
      <c r="N344" t="n">
        <v>0</v>
      </c>
      <c r="O344" t="n">
        <v>0</v>
      </c>
      <c r="P344" t="n">
        <v>0</v>
      </c>
      <c r="Q344" t="n">
        <v>0</v>
      </c>
      <c r="R344" s="2" t="inlineStr"/>
    </row>
    <row r="345" ht="15" customHeight="1">
      <c r="A345" t="inlineStr">
        <is>
          <t>A 47762-2023</t>
        </is>
      </c>
      <c r="B345" s="1" t="n">
        <v>45203.86256944444</v>
      </c>
      <c r="C345" s="1" t="n">
        <v>46066</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41435-2025</t>
        </is>
      </c>
      <c r="B346" s="1" t="n">
        <v>45901.39974537037</v>
      </c>
      <c r="C346" s="1" t="n">
        <v>46066</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40294-2022</t>
        </is>
      </c>
      <c r="B347" s="1" t="n">
        <v>44821</v>
      </c>
      <c r="C347" s="1" t="n">
        <v>46066</v>
      </c>
      <c r="D347" t="inlineStr">
        <is>
          <t>GOTLANDS LÄN</t>
        </is>
      </c>
      <c r="E347" t="inlineStr">
        <is>
          <t>GOTLAND</t>
        </is>
      </c>
      <c r="G347" t="n">
        <v>1.6</v>
      </c>
      <c r="H347" t="n">
        <v>0</v>
      </c>
      <c r="I347" t="n">
        <v>0</v>
      </c>
      <c r="J347" t="n">
        <v>0</v>
      </c>
      <c r="K347" t="n">
        <v>0</v>
      </c>
      <c r="L347" t="n">
        <v>0</v>
      </c>
      <c r="M347" t="n">
        <v>0</v>
      </c>
      <c r="N347" t="n">
        <v>0</v>
      </c>
      <c r="O347" t="n">
        <v>0</v>
      </c>
      <c r="P347" t="n">
        <v>0</v>
      </c>
      <c r="Q347" t="n">
        <v>0</v>
      </c>
      <c r="R347" s="2" t="inlineStr"/>
    </row>
    <row r="348" ht="15" customHeight="1">
      <c r="A348" t="inlineStr">
        <is>
          <t>A 27602-2023</t>
        </is>
      </c>
      <c r="B348" s="1" t="n">
        <v>45097</v>
      </c>
      <c r="C348" s="1" t="n">
        <v>46066</v>
      </c>
      <c r="D348" t="inlineStr">
        <is>
          <t>GOTLANDS LÄN</t>
        </is>
      </c>
      <c r="E348" t="inlineStr">
        <is>
          <t>GOTLAND</t>
        </is>
      </c>
      <c r="G348" t="n">
        <v>2.7</v>
      </c>
      <c r="H348" t="n">
        <v>0</v>
      </c>
      <c r="I348" t="n">
        <v>0</v>
      </c>
      <c r="J348" t="n">
        <v>0</v>
      </c>
      <c r="K348" t="n">
        <v>0</v>
      </c>
      <c r="L348" t="n">
        <v>0</v>
      </c>
      <c r="M348" t="n">
        <v>0</v>
      </c>
      <c r="N348" t="n">
        <v>0</v>
      </c>
      <c r="O348" t="n">
        <v>0</v>
      </c>
      <c r="P348" t="n">
        <v>0</v>
      </c>
      <c r="Q348" t="n">
        <v>0</v>
      </c>
      <c r="R348" s="2" t="inlineStr"/>
    </row>
    <row r="349" ht="15" customHeight="1">
      <c r="A349" t="inlineStr">
        <is>
          <t>A 58780-2024</t>
        </is>
      </c>
      <c r="B349" s="1" t="n">
        <v>45635.84113425926</v>
      </c>
      <c r="C349" s="1" t="n">
        <v>46066</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12322-2025</t>
        </is>
      </c>
      <c r="B350" s="1" t="n">
        <v>45730</v>
      </c>
      <c r="C350" s="1" t="n">
        <v>46066</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15413-2025</t>
        </is>
      </c>
      <c r="B351" s="1" t="n">
        <v>45747.451875</v>
      </c>
      <c r="C351" s="1" t="n">
        <v>46066</v>
      </c>
      <c r="D351" t="inlineStr">
        <is>
          <t>GOTLANDS LÄN</t>
        </is>
      </c>
      <c r="E351" t="inlineStr">
        <is>
          <t>GOTLAND</t>
        </is>
      </c>
      <c r="G351" t="n">
        <v>0.6</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46066</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30282-2022</t>
        </is>
      </c>
      <c r="B353" s="1" t="n">
        <v>44760</v>
      </c>
      <c r="C353" s="1" t="n">
        <v>46066</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35096-2025</t>
        </is>
      </c>
      <c r="B354" s="1" t="n">
        <v>45852.54356481481</v>
      </c>
      <c r="C354" s="1" t="n">
        <v>46066</v>
      </c>
      <c r="D354" t="inlineStr">
        <is>
          <t>GOTLANDS LÄN</t>
        </is>
      </c>
      <c r="E354" t="inlineStr">
        <is>
          <t>GOTLAND</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7835-2024</t>
        </is>
      </c>
      <c r="B355" s="1" t="n">
        <v>45349.83138888889</v>
      </c>
      <c r="C355" s="1" t="n">
        <v>46066</v>
      </c>
      <c r="D355" t="inlineStr">
        <is>
          <t>GOTLANDS LÄN</t>
        </is>
      </c>
      <c r="E355" t="inlineStr">
        <is>
          <t>GOTLAND</t>
        </is>
      </c>
      <c r="G355" t="n">
        <v>3.8</v>
      </c>
      <c r="H355" t="n">
        <v>0</v>
      </c>
      <c r="I355" t="n">
        <v>0</v>
      </c>
      <c r="J355" t="n">
        <v>0</v>
      </c>
      <c r="K355" t="n">
        <v>0</v>
      </c>
      <c r="L355" t="n">
        <v>0</v>
      </c>
      <c r="M355" t="n">
        <v>0</v>
      </c>
      <c r="N355" t="n">
        <v>0</v>
      </c>
      <c r="O355" t="n">
        <v>0</v>
      </c>
      <c r="P355" t="n">
        <v>0</v>
      </c>
      <c r="Q355" t="n">
        <v>0</v>
      </c>
      <c r="R355" s="2" t="inlineStr"/>
    </row>
    <row r="356" ht="15" customHeight="1">
      <c r="A356" t="inlineStr">
        <is>
          <t>A 35123-2025</t>
        </is>
      </c>
      <c r="B356" s="1" t="n">
        <v>45852.614375</v>
      </c>
      <c r="C356" s="1" t="n">
        <v>46066</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10650-2022</t>
        </is>
      </c>
      <c r="B357" s="1" t="n">
        <v>44624.57945601852</v>
      </c>
      <c r="C357" s="1" t="n">
        <v>46066</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26810-2021</t>
        </is>
      </c>
      <c r="B358" s="1" t="n">
        <v>44349.55087962963</v>
      </c>
      <c r="C358" s="1" t="n">
        <v>46066</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35290-2025</t>
        </is>
      </c>
      <c r="B359" s="1" t="n">
        <v>45854.38502314815</v>
      </c>
      <c r="C359" s="1" t="n">
        <v>46066</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30104-2025</t>
        </is>
      </c>
      <c r="B360" s="1" t="n">
        <v>45826.68806712963</v>
      </c>
      <c r="C360" s="1" t="n">
        <v>46066</v>
      </c>
      <c r="D360" t="inlineStr">
        <is>
          <t>GOTLANDS LÄN</t>
        </is>
      </c>
      <c r="E360" t="inlineStr">
        <is>
          <t>GOTLAND</t>
        </is>
      </c>
      <c r="G360" t="n">
        <v>15.4</v>
      </c>
      <c r="H360" t="n">
        <v>0</v>
      </c>
      <c r="I360" t="n">
        <v>0</v>
      </c>
      <c r="J360" t="n">
        <v>0</v>
      </c>
      <c r="K360" t="n">
        <v>0</v>
      </c>
      <c r="L360" t="n">
        <v>0</v>
      </c>
      <c r="M360" t="n">
        <v>0</v>
      </c>
      <c r="N360" t="n">
        <v>0</v>
      </c>
      <c r="O360" t="n">
        <v>0</v>
      </c>
      <c r="P360" t="n">
        <v>0</v>
      </c>
      <c r="Q360" t="n">
        <v>0</v>
      </c>
      <c r="R360" s="2" t="inlineStr"/>
    </row>
    <row r="361" ht="15" customHeight="1">
      <c r="A361" t="inlineStr">
        <is>
          <t>A 32669-2024</t>
        </is>
      </c>
      <c r="B361" s="1" t="n">
        <v>45514</v>
      </c>
      <c r="C361" s="1" t="n">
        <v>46066</v>
      </c>
      <c r="D361" t="inlineStr">
        <is>
          <t>GOTLANDS LÄN</t>
        </is>
      </c>
      <c r="E361" t="inlineStr">
        <is>
          <t>GOTLAND</t>
        </is>
      </c>
      <c r="G361" t="n">
        <v>9.699999999999999</v>
      </c>
      <c r="H361" t="n">
        <v>0</v>
      </c>
      <c r="I361" t="n">
        <v>0</v>
      </c>
      <c r="J361" t="n">
        <v>0</v>
      </c>
      <c r="K361" t="n">
        <v>0</v>
      </c>
      <c r="L361" t="n">
        <v>0</v>
      </c>
      <c r="M361" t="n">
        <v>0</v>
      </c>
      <c r="N361" t="n">
        <v>0</v>
      </c>
      <c r="O361" t="n">
        <v>0</v>
      </c>
      <c r="P361" t="n">
        <v>0</v>
      </c>
      <c r="Q361" t="n">
        <v>0</v>
      </c>
      <c r="R361" s="2" t="inlineStr"/>
    </row>
    <row r="362" ht="15" customHeight="1">
      <c r="A362" t="inlineStr">
        <is>
          <t>A 35537-2025</t>
        </is>
      </c>
      <c r="B362" s="1" t="n">
        <v>45856</v>
      </c>
      <c r="C362" s="1" t="n">
        <v>46066</v>
      </c>
      <c r="D362" t="inlineStr">
        <is>
          <t>GOTLANDS LÄN</t>
        </is>
      </c>
      <c r="E362" t="inlineStr">
        <is>
          <t>GOTLAND</t>
        </is>
      </c>
      <c r="G362" t="n">
        <v>16.8</v>
      </c>
      <c r="H362" t="n">
        <v>0</v>
      </c>
      <c r="I362" t="n">
        <v>0</v>
      </c>
      <c r="J362" t="n">
        <v>0</v>
      </c>
      <c r="K362" t="n">
        <v>0</v>
      </c>
      <c r="L362" t="n">
        <v>0</v>
      </c>
      <c r="M362" t="n">
        <v>0</v>
      </c>
      <c r="N362" t="n">
        <v>0</v>
      </c>
      <c r="O362" t="n">
        <v>0</v>
      </c>
      <c r="P362" t="n">
        <v>0</v>
      </c>
      <c r="Q362" t="n">
        <v>0</v>
      </c>
      <c r="R362" s="2" t="inlineStr"/>
    </row>
    <row r="363" ht="15" customHeight="1">
      <c r="A363" t="inlineStr">
        <is>
          <t>A 28425-2023</t>
        </is>
      </c>
      <c r="B363" s="1" t="n">
        <v>45102</v>
      </c>
      <c r="C363" s="1" t="n">
        <v>46066</v>
      </c>
      <c r="D363" t="inlineStr">
        <is>
          <t>GOTLANDS LÄN</t>
        </is>
      </c>
      <c r="E363" t="inlineStr">
        <is>
          <t>GOTLAND</t>
        </is>
      </c>
      <c r="G363" t="n">
        <v>0.5</v>
      </c>
      <c r="H363" t="n">
        <v>0</v>
      </c>
      <c r="I363" t="n">
        <v>0</v>
      </c>
      <c r="J363" t="n">
        <v>0</v>
      </c>
      <c r="K363" t="n">
        <v>0</v>
      </c>
      <c r="L363" t="n">
        <v>0</v>
      </c>
      <c r="M363" t="n">
        <v>0</v>
      </c>
      <c r="N363" t="n">
        <v>0</v>
      </c>
      <c r="O363" t="n">
        <v>0</v>
      </c>
      <c r="P363" t="n">
        <v>0</v>
      </c>
      <c r="Q363" t="n">
        <v>0</v>
      </c>
      <c r="R363" s="2" t="inlineStr"/>
    </row>
    <row r="364" ht="15" customHeight="1">
      <c r="A364" t="inlineStr">
        <is>
          <t>A 42608-2025</t>
        </is>
      </c>
      <c r="B364" s="1" t="n">
        <v>45905</v>
      </c>
      <c r="C364" s="1" t="n">
        <v>46066</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13037-2025</t>
        </is>
      </c>
      <c r="B365" s="1" t="n">
        <v>45734</v>
      </c>
      <c r="C365" s="1" t="n">
        <v>46066</v>
      </c>
      <c r="D365" t="inlineStr">
        <is>
          <t>GOTLANDS LÄN</t>
        </is>
      </c>
      <c r="E365" t="inlineStr">
        <is>
          <t>GOTLAND</t>
        </is>
      </c>
      <c r="G365" t="n">
        <v>9.5</v>
      </c>
      <c r="H365" t="n">
        <v>0</v>
      </c>
      <c r="I365" t="n">
        <v>0</v>
      </c>
      <c r="J365" t="n">
        <v>0</v>
      </c>
      <c r="K365" t="n">
        <v>0</v>
      </c>
      <c r="L365" t="n">
        <v>0</v>
      </c>
      <c r="M365" t="n">
        <v>0</v>
      </c>
      <c r="N365" t="n">
        <v>0</v>
      </c>
      <c r="O365" t="n">
        <v>0</v>
      </c>
      <c r="P365" t="n">
        <v>0</v>
      </c>
      <c r="Q365" t="n">
        <v>0</v>
      </c>
      <c r="R365" s="2" t="inlineStr"/>
    </row>
    <row r="366" ht="15" customHeight="1">
      <c r="A366" t="inlineStr">
        <is>
          <t>A 16373-2025</t>
        </is>
      </c>
      <c r="B366" s="1" t="n">
        <v>45751</v>
      </c>
      <c r="C366" s="1" t="n">
        <v>46066</v>
      </c>
      <c r="D366" t="inlineStr">
        <is>
          <t>GOTLANDS LÄN</t>
        </is>
      </c>
      <c r="E366" t="inlineStr">
        <is>
          <t>GOTLAND</t>
        </is>
      </c>
      <c r="G366" t="n">
        <v>1.5</v>
      </c>
      <c r="H366" t="n">
        <v>0</v>
      </c>
      <c r="I366" t="n">
        <v>0</v>
      </c>
      <c r="J366" t="n">
        <v>0</v>
      </c>
      <c r="K366" t="n">
        <v>0</v>
      </c>
      <c r="L366" t="n">
        <v>0</v>
      </c>
      <c r="M366" t="n">
        <v>0</v>
      </c>
      <c r="N366" t="n">
        <v>0</v>
      </c>
      <c r="O366" t="n">
        <v>0</v>
      </c>
      <c r="P366" t="n">
        <v>0</v>
      </c>
      <c r="Q366" t="n">
        <v>0</v>
      </c>
      <c r="R366" s="2" t="inlineStr"/>
    </row>
    <row r="367" ht="15" customHeight="1">
      <c r="A367" t="inlineStr">
        <is>
          <t>A 30488-2025</t>
        </is>
      </c>
      <c r="B367" s="1" t="n">
        <v>45830</v>
      </c>
      <c r="C367" s="1" t="n">
        <v>46066</v>
      </c>
      <c r="D367" t="inlineStr">
        <is>
          <t>GOTLANDS LÄN</t>
        </is>
      </c>
      <c r="E367" t="inlineStr">
        <is>
          <t>GOTLAND</t>
        </is>
      </c>
      <c r="F367" t="inlineStr">
        <is>
          <t>Kyrkan</t>
        </is>
      </c>
      <c r="G367" t="n">
        <v>3.9</v>
      </c>
      <c r="H367" t="n">
        <v>0</v>
      </c>
      <c r="I367" t="n">
        <v>0</v>
      </c>
      <c r="J367" t="n">
        <v>0</v>
      </c>
      <c r="K367" t="n">
        <v>0</v>
      </c>
      <c r="L367" t="n">
        <v>0</v>
      </c>
      <c r="M367" t="n">
        <v>0</v>
      </c>
      <c r="N367" t="n">
        <v>0</v>
      </c>
      <c r="O367" t="n">
        <v>0</v>
      </c>
      <c r="P367" t="n">
        <v>0</v>
      </c>
      <c r="Q367" t="n">
        <v>0</v>
      </c>
      <c r="R367" s="2" t="inlineStr"/>
    </row>
    <row r="368" ht="15" customHeight="1">
      <c r="A368" t="inlineStr">
        <is>
          <t>A 15216-2025</t>
        </is>
      </c>
      <c r="B368" s="1" t="n">
        <v>45744</v>
      </c>
      <c r="C368" s="1" t="n">
        <v>46066</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15001-2025</t>
        </is>
      </c>
      <c r="B369" s="1" t="n">
        <v>45743</v>
      </c>
      <c r="C369" s="1" t="n">
        <v>46066</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43790-2024</t>
        </is>
      </c>
      <c r="B370" s="1" t="n">
        <v>45571</v>
      </c>
      <c r="C370" s="1" t="n">
        <v>46066</v>
      </c>
      <c r="D370" t="inlineStr">
        <is>
          <t>GOTLANDS LÄN</t>
        </is>
      </c>
      <c r="E370" t="inlineStr">
        <is>
          <t>GOTLAND</t>
        </is>
      </c>
      <c r="G370" t="n">
        <v>3.5</v>
      </c>
      <c r="H370" t="n">
        <v>0</v>
      </c>
      <c r="I370" t="n">
        <v>0</v>
      </c>
      <c r="J370" t="n">
        <v>0</v>
      </c>
      <c r="K370" t="n">
        <v>0</v>
      </c>
      <c r="L370" t="n">
        <v>0</v>
      </c>
      <c r="M370" t="n">
        <v>0</v>
      </c>
      <c r="N370" t="n">
        <v>0</v>
      </c>
      <c r="O370" t="n">
        <v>0</v>
      </c>
      <c r="P370" t="n">
        <v>0</v>
      </c>
      <c r="Q370" t="n">
        <v>0</v>
      </c>
      <c r="R370" s="2" t="inlineStr"/>
    </row>
    <row r="371" ht="15" customHeight="1">
      <c r="A371" t="inlineStr">
        <is>
          <t>A 17847-2025</t>
        </is>
      </c>
      <c r="B371" s="1" t="n">
        <v>45758</v>
      </c>
      <c r="C371" s="1" t="n">
        <v>46066</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18742-2025</t>
        </is>
      </c>
      <c r="B372" s="1" t="n">
        <v>45763</v>
      </c>
      <c r="C372" s="1" t="n">
        <v>46066</v>
      </c>
      <c r="D372" t="inlineStr">
        <is>
          <t>GOTLANDS LÄN</t>
        </is>
      </c>
      <c r="E372" t="inlineStr">
        <is>
          <t>GOTLAND</t>
        </is>
      </c>
      <c r="G372" t="n">
        <v>3.4</v>
      </c>
      <c r="H372" t="n">
        <v>0</v>
      </c>
      <c r="I372" t="n">
        <v>0</v>
      </c>
      <c r="J372" t="n">
        <v>0</v>
      </c>
      <c r="K372" t="n">
        <v>0</v>
      </c>
      <c r="L372" t="n">
        <v>0</v>
      </c>
      <c r="M372" t="n">
        <v>0</v>
      </c>
      <c r="N372" t="n">
        <v>0</v>
      </c>
      <c r="O372" t="n">
        <v>0</v>
      </c>
      <c r="P372" t="n">
        <v>0</v>
      </c>
      <c r="Q372" t="n">
        <v>0</v>
      </c>
      <c r="R372" s="2" t="inlineStr"/>
    </row>
    <row r="373" ht="15" customHeight="1">
      <c r="A373" t="inlineStr">
        <is>
          <t>A 35129-2025</t>
        </is>
      </c>
      <c r="B373" s="1" t="n">
        <v>45852.63224537037</v>
      </c>
      <c r="C373" s="1" t="n">
        <v>46066</v>
      </c>
      <c r="D373" t="inlineStr">
        <is>
          <t>GOTLANDS LÄN</t>
        </is>
      </c>
      <c r="E373" t="inlineStr">
        <is>
          <t>GOTLAND</t>
        </is>
      </c>
      <c r="G373" t="n">
        <v>3.2</v>
      </c>
      <c r="H373" t="n">
        <v>0</v>
      </c>
      <c r="I373" t="n">
        <v>0</v>
      </c>
      <c r="J373" t="n">
        <v>0</v>
      </c>
      <c r="K373" t="n">
        <v>0</v>
      </c>
      <c r="L373" t="n">
        <v>0</v>
      </c>
      <c r="M373" t="n">
        <v>0</v>
      </c>
      <c r="N373" t="n">
        <v>0</v>
      </c>
      <c r="O373" t="n">
        <v>0</v>
      </c>
      <c r="P373" t="n">
        <v>0</v>
      </c>
      <c r="Q373" t="n">
        <v>0</v>
      </c>
      <c r="R373" s="2" t="inlineStr"/>
    </row>
    <row r="374" ht="15" customHeight="1">
      <c r="A374" t="inlineStr">
        <is>
          <t>A 10746-2025</t>
        </is>
      </c>
      <c r="B374" s="1" t="n">
        <v>45722.42766203704</v>
      </c>
      <c r="C374" s="1" t="n">
        <v>46066</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43229-2023</t>
        </is>
      </c>
      <c r="B375" s="1" t="n">
        <v>45183.46704861111</v>
      </c>
      <c r="C375" s="1" t="n">
        <v>46066</v>
      </c>
      <c r="D375" t="inlineStr">
        <is>
          <t>GOTLANDS LÄN</t>
        </is>
      </c>
      <c r="E375" t="inlineStr">
        <is>
          <t>GOTLAND</t>
        </is>
      </c>
      <c r="G375" t="n">
        <v>7.1</v>
      </c>
      <c r="H375" t="n">
        <v>0</v>
      </c>
      <c r="I375" t="n">
        <v>0</v>
      </c>
      <c r="J375" t="n">
        <v>0</v>
      </c>
      <c r="K375" t="n">
        <v>0</v>
      </c>
      <c r="L375" t="n">
        <v>0</v>
      </c>
      <c r="M375" t="n">
        <v>0</v>
      </c>
      <c r="N375" t="n">
        <v>0</v>
      </c>
      <c r="O375" t="n">
        <v>0</v>
      </c>
      <c r="P375" t="n">
        <v>0</v>
      </c>
      <c r="Q375" t="n">
        <v>0</v>
      </c>
      <c r="R375" s="2" t="inlineStr"/>
    </row>
    <row r="376" ht="15" customHeight="1">
      <c r="A376" t="inlineStr">
        <is>
          <t>A 41038-2023</t>
        </is>
      </c>
      <c r="B376" s="1" t="n">
        <v>45173.60959490741</v>
      </c>
      <c r="C376" s="1" t="n">
        <v>46066</v>
      </c>
      <c r="D376" t="inlineStr">
        <is>
          <t>GOTLANDS LÄN</t>
        </is>
      </c>
      <c r="E376" t="inlineStr">
        <is>
          <t>GOTLAND</t>
        </is>
      </c>
      <c r="G376" t="n">
        <v>2.7</v>
      </c>
      <c r="H376" t="n">
        <v>0</v>
      </c>
      <c r="I376" t="n">
        <v>0</v>
      </c>
      <c r="J376" t="n">
        <v>0</v>
      </c>
      <c r="K376" t="n">
        <v>0</v>
      </c>
      <c r="L376" t="n">
        <v>0</v>
      </c>
      <c r="M376" t="n">
        <v>0</v>
      </c>
      <c r="N376" t="n">
        <v>0</v>
      </c>
      <c r="O376" t="n">
        <v>0</v>
      </c>
      <c r="P376" t="n">
        <v>0</v>
      </c>
      <c r="Q376" t="n">
        <v>0</v>
      </c>
      <c r="R376" s="2" t="inlineStr"/>
    </row>
    <row r="377" ht="15" customHeight="1">
      <c r="A377" t="inlineStr">
        <is>
          <t>A 10158-2025</t>
        </is>
      </c>
      <c r="B377" s="1" t="n">
        <v>45719</v>
      </c>
      <c r="C377" s="1" t="n">
        <v>46066</v>
      </c>
      <c r="D377" t="inlineStr">
        <is>
          <t>GOTLANDS LÄN</t>
        </is>
      </c>
      <c r="E377" t="inlineStr">
        <is>
          <t>GOTLAND</t>
        </is>
      </c>
      <c r="G377" t="n">
        <v>3.5</v>
      </c>
      <c r="H377" t="n">
        <v>0</v>
      </c>
      <c r="I377" t="n">
        <v>0</v>
      </c>
      <c r="J377" t="n">
        <v>0</v>
      </c>
      <c r="K377" t="n">
        <v>0</v>
      </c>
      <c r="L377" t="n">
        <v>0</v>
      </c>
      <c r="M377" t="n">
        <v>0</v>
      </c>
      <c r="N377" t="n">
        <v>0</v>
      </c>
      <c r="O377" t="n">
        <v>0</v>
      </c>
      <c r="P377" t="n">
        <v>0</v>
      </c>
      <c r="Q377" t="n">
        <v>0</v>
      </c>
      <c r="R377" s="2" t="inlineStr"/>
    </row>
    <row r="378" ht="15" customHeight="1">
      <c r="A378" t="inlineStr">
        <is>
          <t>A 30489-2025</t>
        </is>
      </c>
      <c r="B378" s="1" t="n">
        <v>45830</v>
      </c>
      <c r="C378" s="1" t="n">
        <v>46066</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21142-2025</t>
        </is>
      </c>
      <c r="B379" s="1" t="n">
        <v>45779</v>
      </c>
      <c r="C379" s="1" t="n">
        <v>46066</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6108-2025</t>
        </is>
      </c>
      <c r="B380" s="1" t="n">
        <v>45698.29880787037</v>
      </c>
      <c r="C380" s="1" t="n">
        <v>46066</v>
      </c>
      <c r="D380" t="inlineStr">
        <is>
          <t>GOTLANDS LÄN</t>
        </is>
      </c>
      <c r="E380" t="inlineStr">
        <is>
          <t>GOTLAND</t>
        </is>
      </c>
      <c r="G380" t="n">
        <v>2.8</v>
      </c>
      <c r="H380" t="n">
        <v>0</v>
      </c>
      <c r="I380" t="n">
        <v>0</v>
      </c>
      <c r="J380" t="n">
        <v>0</v>
      </c>
      <c r="K380" t="n">
        <v>0</v>
      </c>
      <c r="L380" t="n">
        <v>0</v>
      </c>
      <c r="M380" t="n">
        <v>0</v>
      </c>
      <c r="N380" t="n">
        <v>0</v>
      </c>
      <c r="O380" t="n">
        <v>0</v>
      </c>
      <c r="P380" t="n">
        <v>0</v>
      </c>
      <c r="Q380" t="n">
        <v>0</v>
      </c>
      <c r="R380" s="2" t="inlineStr"/>
    </row>
    <row r="381" ht="15" customHeight="1">
      <c r="A381" t="inlineStr">
        <is>
          <t>A 17343-2025</t>
        </is>
      </c>
      <c r="B381" s="1" t="n">
        <v>45756.6687037037</v>
      </c>
      <c r="C381" s="1" t="n">
        <v>46066</v>
      </c>
      <c r="D381" t="inlineStr">
        <is>
          <t>GOTLANDS LÄN</t>
        </is>
      </c>
      <c r="E381" t="inlineStr">
        <is>
          <t>GOTLAND</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46066</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20307-2025</t>
        </is>
      </c>
      <c r="B383" s="1" t="n">
        <v>45774.95546296296</v>
      </c>
      <c r="C383" s="1" t="n">
        <v>46066</v>
      </c>
      <c r="D383" t="inlineStr">
        <is>
          <t>GOTLANDS LÄN</t>
        </is>
      </c>
      <c r="E383" t="inlineStr">
        <is>
          <t>GOTLAND</t>
        </is>
      </c>
      <c r="G383" t="n">
        <v>6.8</v>
      </c>
      <c r="H383" t="n">
        <v>0</v>
      </c>
      <c r="I383" t="n">
        <v>0</v>
      </c>
      <c r="J383" t="n">
        <v>0</v>
      </c>
      <c r="K383" t="n">
        <v>0</v>
      </c>
      <c r="L383" t="n">
        <v>0</v>
      </c>
      <c r="M383" t="n">
        <v>0</v>
      </c>
      <c r="N383" t="n">
        <v>0</v>
      </c>
      <c r="O383" t="n">
        <v>0</v>
      </c>
      <c r="P383" t="n">
        <v>0</v>
      </c>
      <c r="Q383" t="n">
        <v>0</v>
      </c>
      <c r="R383" s="2" t="inlineStr"/>
    </row>
    <row r="384" ht="15" customHeight="1">
      <c r="A384" t="inlineStr">
        <is>
          <t>A 43911-2025</t>
        </is>
      </c>
      <c r="B384" s="1" t="n">
        <v>45914.3881712963</v>
      </c>
      <c r="C384" s="1" t="n">
        <v>46066</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24966-2023</t>
        </is>
      </c>
      <c r="B385" s="1" t="n">
        <v>45085</v>
      </c>
      <c r="C385" s="1" t="n">
        <v>46066</v>
      </c>
      <c r="D385" t="inlineStr">
        <is>
          <t>GOTLANDS LÄN</t>
        </is>
      </c>
      <c r="E385" t="inlineStr">
        <is>
          <t>GOTLAND</t>
        </is>
      </c>
      <c r="G385" t="n">
        <v>7</v>
      </c>
      <c r="H385" t="n">
        <v>0</v>
      </c>
      <c r="I385" t="n">
        <v>0</v>
      </c>
      <c r="J385" t="n">
        <v>0</v>
      </c>
      <c r="K385" t="n">
        <v>0</v>
      </c>
      <c r="L385" t="n">
        <v>0</v>
      </c>
      <c r="M385" t="n">
        <v>0</v>
      </c>
      <c r="N385" t="n">
        <v>0</v>
      </c>
      <c r="O385" t="n">
        <v>0</v>
      </c>
      <c r="P385" t="n">
        <v>0</v>
      </c>
      <c r="Q385" t="n">
        <v>0</v>
      </c>
      <c r="R385" s="2" t="inlineStr"/>
    </row>
    <row r="386" ht="15" customHeight="1">
      <c r="A386" t="inlineStr">
        <is>
          <t>A 57652-2023</t>
        </is>
      </c>
      <c r="B386" s="1" t="n">
        <v>45246</v>
      </c>
      <c r="C386" s="1" t="n">
        <v>46066</v>
      </c>
      <c r="D386" t="inlineStr">
        <is>
          <t>GOTLANDS LÄN</t>
        </is>
      </c>
      <c r="E386" t="inlineStr">
        <is>
          <t>GOTLAND</t>
        </is>
      </c>
      <c r="G386" t="n">
        <v>7.2</v>
      </c>
      <c r="H386" t="n">
        <v>0</v>
      </c>
      <c r="I386" t="n">
        <v>0</v>
      </c>
      <c r="J386" t="n">
        <v>0</v>
      </c>
      <c r="K386" t="n">
        <v>0</v>
      </c>
      <c r="L386" t="n">
        <v>0</v>
      </c>
      <c r="M386" t="n">
        <v>0</v>
      </c>
      <c r="N386" t="n">
        <v>0</v>
      </c>
      <c r="O386" t="n">
        <v>0</v>
      </c>
      <c r="P386" t="n">
        <v>0</v>
      </c>
      <c r="Q386" t="n">
        <v>0</v>
      </c>
      <c r="R386" s="2" t="inlineStr"/>
    </row>
    <row r="387" ht="15" customHeight="1">
      <c r="A387" t="inlineStr">
        <is>
          <t>A 46189-2022</t>
        </is>
      </c>
      <c r="B387" s="1" t="n">
        <v>44847</v>
      </c>
      <c r="C387" s="1" t="n">
        <v>46066</v>
      </c>
      <c r="D387" t="inlineStr">
        <is>
          <t>GOTLANDS LÄN</t>
        </is>
      </c>
      <c r="E387" t="inlineStr">
        <is>
          <t>GOTLAND</t>
        </is>
      </c>
      <c r="G387" t="n">
        <v>0.4</v>
      </c>
      <c r="H387" t="n">
        <v>0</v>
      </c>
      <c r="I387" t="n">
        <v>0</v>
      </c>
      <c r="J387" t="n">
        <v>0</v>
      </c>
      <c r="K387" t="n">
        <v>0</v>
      </c>
      <c r="L387" t="n">
        <v>0</v>
      </c>
      <c r="M387" t="n">
        <v>0</v>
      </c>
      <c r="N387" t="n">
        <v>0</v>
      </c>
      <c r="O387" t="n">
        <v>0</v>
      </c>
      <c r="P387" t="n">
        <v>0</v>
      </c>
      <c r="Q387" t="n">
        <v>0</v>
      </c>
      <c r="R387" s="2" t="inlineStr"/>
    </row>
    <row r="388" ht="15" customHeight="1">
      <c r="A388" t="inlineStr">
        <is>
          <t>A 57522-2022</t>
        </is>
      </c>
      <c r="B388" s="1" t="n">
        <v>44896</v>
      </c>
      <c r="C388" s="1" t="n">
        <v>46066</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18993-2025</t>
        </is>
      </c>
      <c r="B389" s="1" t="n">
        <v>45764</v>
      </c>
      <c r="C389" s="1" t="n">
        <v>46066</v>
      </c>
      <c r="D389" t="inlineStr">
        <is>
          <t>GOTLANDS LÄN</t>
        </is>
      </c>
      <c r="E389" t="inlineStr">
        <is>
          <t>GOTLAND</t>
        </is>
      </c>
      <c r="G389" t="n">
        <v>3</v>
      </c>
      <c r="H389" t="n">
        <v>0</v>
      </c>
      <c r="I389" t="n">
        <v>0</v>
      </c>
      <c r="J389" t="n">
        <v>0</v>
      </c>
      <c r="K389" t="n">
        <v>0</v>
      </c>
      <c r="L389" t="n">
        <v>0</v>
      </c>
      <c r="M389" t="n">
        <v>0</v>
      </c>
      <c r="N389" t="n">
        <v>0</v>
      </c>
      <c r="O389" t="n">
        <v>0</v>
      </c>
      <c r="P389" t="n">
        <v>0</v>
      </c>
      <c r="Q389" t="n">
        <v>0</v>
      </c>
      <c r="R389" s="2" t="inlineStr"/>
    </row>
    <row r="390" ht="15" customHeight="1">
      <c r="A390" t="inlineStr">
        <is>
          <t>A 30135-2025</t>
        </is>
      </c>
      <c r="B390" s="1" t="n">
        <v>45826</v>
      </c>
      <c r="C390" s="1" t="n">
        <v>46066</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14797-2024</t>
        </is>
      </c>
      <c r="B391" s="1" t="n">
        <v>45397.87030092593</v>
      </c>
      <c r="C391" s="1" t="n">
        <v>46066</v>
      </c>
      <c r="D391" t="inlineStr">
        <is>
          <t>GOTLANDS LÄN</t>
        </is>
      </c>
      <c r="E391" t="inlineStr">
        <is>
          <t>GOTLAND</t>
        </is>
      </c>
      <c r="G391" t="n">
        <v>8.1</v>
      </c>
      <c r="H391" t="n">
        <v>0</v>
      </c>
      <c r="I391" t="n">
        <v>0</v>
      </c>
      <c r="J391" t="n">
        <v>0</v>
      </c>
      <c r="K391" t="n">
        <v>0</v>
      </c>
      <c r="L391" t="n">
        <v>0</v>
      </c>
      <c r="M391" t="n">
        <v>0</v>
      </c>
      <c r="N391" t="n">
        <v>0</v>
      </c>
      <c r="O391" t="n">
        <v>0</v>
      </c>
      <c r="P391" t="n">
        <v>0</v>
      </c>
      <c r="Q391" t="n">
        <v>0</v>
      </c>
      <c r="R391" s="2" t="inlineStr"/>
    </row>
    <row r="392" ht="15" customHeight="1">
      <c r="A392" t="inlineStr">
        <is>
          <t>A 43951-2025</t>
        </is>
      </c>
      <c r="B392" s="1" t="n">
        <v>45915.38119212963</v>
      </c>
      <c r="C392" s="1" t="n">
        <v>46066</v>
      </c>
      <c r="D392" t="inlineStr">
        <is>
          <t>GOTLANDS LÄN</t>
        </is>
      </c>
      <c r="E392" t="inlineStr">
        <is>
          <t>GOTLAND</t>
        </is>
      </c>
      <c r="G392" t="n">
        <v>4.4</v>
      </c>
      <c r="H392" t="n">
        <v>0</v>
      </c>
      <c r="I392" t="n">
        <v>0</v>
      </c>
      <c r="J392" t="n">
        <v>0</v>
      </c>
      <c r="K392" t="n">
        <v>0</v>
      </c>
      <c r="L392" t="n">
        <v>0</v>
      </c>
      <c r="M392" t="n">
        <v>0</v>
      </c>
      <c r="N392" t="n">
        <v>0</v>
      </c>
      <c r="O392" t="n">
        <v>0</v>
      </c>
      <c r="P392" t="n">
        <v>0</v>
      </c>
      <c r="Q392" t="n">
        <v>0</v>
      </c>
      <c r="R392" s="2" t="inlineStr"/>
    </row>
    <row r="393" ht="15" customHeight="1">
      <c r="A393" t="inlineStr">
        <is>
          <t>A 44410-2025</t>
        </is>
      </c>
      <c r="B393" s="1" t="n">
        <v>45916.53699074074</v>
      </c>
      <c r="C393" s="1" t="n">
        <v>46066</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7837-2024</t>
        </is>
      </c>
      <c r="B394" s="1" t="n">
        <v>45349.83787037037</v>
      </c>
      <c r="C394" s="1" t="n">
        <v>46066</v>
      </c>
      <c r="D394" t="inlineStr">
        <is>
          <t>GOTLANDS LÄN</t>
        </is>
      </c>
      <c r="E394" t="inlineStr">
        <is>
          <t>GOTLAND</t>
        </is>
      </c>
      <c r="G394" t="n">
        <v>5</v>
      </c>
      <c r="H394" t="n">
        <v>0</v>
      </c>
      <c r="I394" t="n">
        <v>0</v>
      </c>
      <c r="J394" t="n">
        <v>0</v>
      </c>
      <c r="K394" t="n">
        <v>0</v>
      </c>
      <c r="L394" t="n">
        <v>0</v>
      </c>
      <c r="M394" t="n">
        <v>0</v>
      </c>
      <c r="N394" t="n">
        <v>0</v>
      </c>
      <c r="O394" t="n">
        <v>0</v>
      </c>
      <c r="P394" t="n">
        <v>0</v>
      </c>
      <c r="Q394" t="n">
        <v>0</v>
      </c>
      <c r="R394" s="2" t="inlineStr"/>
    </row>
    <row r="395" ht="15" customHeight="1">
      <c r="A395" t="inlineStr">
        <is>
          <t>A 44405-2025</t>
        </is>
      </c>
      <c r="B395" s="1" t="n">
        <v>45916.52405092592</v>
      </c>
      <c r="C395" s="1" t="n">
        <v>46066</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1394-2023</t>
        </is>
      </c>
      <c r="B396" s="1" t="n">
        <v>44936.72997685185</v>
      </c>
      <c r="C396" s="1" t="n">
        <v>46066</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2676-2023</t>
        </is>
      </c>
      <c r="B397" s="1" t="n">
        <v>44944</v>
      </c>
      <c r="C397" s="1" t="n">
        <v>46066</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4387-2023</t>
        </is>
      </c>
      <c r="B398" s="1" t="n">
        <v>44955.73359953704</v>
      </c>
      <c r="C398" s="1" t="n">
        <v>46066</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12599-2025</t>
        </is>
      </c>
      <c r="B399" s="1" t="n">
        <v>45733.29546296296</v>
      </c>
      <c r="C399" s="1" t="n">
        <v>46066</v>
      </c>
      <c r="D399" t="inlineStr">
        <is>
          <t>GOTLANDS LÄN</t>
        </is>
      </c>
      <c r="E399" t="inlineStr">
        <is>
          <t>GOTLAND</t>
        </is>
      </c>
      <c r="G399" t="n">
        <v>4.7</v>
      </c>
      <c r="H399" t="n">
        <v>0</v>
      </c>
      <c r="I399" t="n">
        <v>0</v>
      </c>
      <c r="J399" t="n">
        <v>0</v>
      </c>
      <c r="K399" t="n">
        <v>0</v>
      </c>
      <c r="L399" t="n">
        <v>0</v>
      </c>
      <c r="M399" t="n">
        <v>0</v>
      </c>
      <c r="N399" t="n">
        <v>0</v>
      </c>
      <c r="O399" t="n">
        <v>0</v>
      </c>
      <c r="P399" t="n">
        <v>0</v>
      </c>
      <c r="Q399" t="n">
        <v>0</v>
      </c>
      <c r="R399" s="2" t="inlineStr"/>
    </row>
    <row r="400" ht="15" customHeight="1">
      <c r="A400" t="inlineStr">
        <is>
          <t>A 49411-2023</t>
        </is>
      </c>
      <c r="B400" s="1" t="n">
        <v>45205</v>
      </c>
      <c r="C400" s="1" t="n">
        <v>46066</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37728-2024</t>
        </is>
      </c>
      <c r="B401" s="1" t="n">
        <v>45541</v>
      </c>
      <c r="C401" s="1" t="n">
        <v>46066</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2241-2025</t>
        </is>
      </c>
      <c r="B402" s="1" t="n">
        <v>45673.48710648148</v>
      </c>
      <c r="C402" s="1" t="n">
        <v>46066</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22275-2023</t>
        </is>
      </c>
      <c r="B403" s="1" t="n">
        <v>45070.39875</v>
      </c>
      <c r="C403" s="1" t="n">
        <v>46066</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14635-2023</t>
        </is>
      </c>
      <c r="B404" s="1" t="n">
        <v>45013.69365740741</v>
      </c>
      <c r="C404" s="1" t="n">
        <v>46066</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63763-2023</t>
        </is>
      </c>
      <c r="B405" s="1" t="n">
        <v>45278.33944444444</v>
      </c>
      <c r="C405" s="1" t="n">
        <v>46066</v>
      </c>
      <c r="D405" t="inlineStr">
        <is>
          <t>GOTLANDS LÄN</t>
        </is>
      </c>
      <c r="E405" t="inlineStr">
        <is>
          <t>GOTLAND</t>
        </is>
      </c>
      <c r="G405" t="n">
        <v>0.5</v>
      </c>
      <c r="H405" t="n">
        <v>0</v>
      </c>
      <c r="I405" t="n">
        <v>0</v>
      </c>
      <c r="J405" t="n">
        <v>0</v>
      </c>
      <c r="K405" t="n">
        <v>0</v>
      </c>
      <c r="L405" t="n">
        <v>0</v>
      </c>
      <c r="M405" t="n">
        <v>0</v>
      </c>
      <c r="N405" t="n">
        <v>0</v>
      </c>
      <c r="O405" t="n">
        <v>0</v>
      </c>
      <c r="P405" t="n">
        <v>0</v>
      </c>
      <c r="Q405" t="n">
        <v>0</v>
      </c>
      <c r="R405" s="2" t="inlineStr"/>
    </row>
    <row r="406" ht="15" customHeight="1">
      <c r="A406" t="inlineStr">
        <is>
          <t>A 7635-2025</t>
        </is>
      </c>
      <c r="B406" s="1" t="n">
        <v>45705</v>
      </c>
      <c r="C406" s="1" t="n">
        <v>46066</v>
      </c>
      <c r="D406" t="inlineStr">
        <is>
          <t>GOTLANDS LÄN</t>
        </is>
      </c>
      <c r="E406" t="inlineStr">
        <is>
          <t>GOTLAND</t>
        </is>
      </c>
      <c r="G406" t="n">
        <v>0.9</v>
      </c>
      <c r="H406" t="n">
        <v>0</v>
      </c>
      <c r="I406" t="n">
        <v>0</v>
      </c>
      <c r="J406" t="n">
        <v>0</v>
      </c>
      <c r="K406" t="n">
        <v>0</v>
      </c>
      <c r="L406" t="n">
        <v>0</v>
      </c>
      <c r="M406" t="n">
        <v>0</v>
      </c>
      <c r="N406" t="n">
        <v>0</v>
      </c>
      <c r="O406" t="n">
        <v>0</v>
      </c>
      <c r="P406" t="n">
        <v>0</v>
      </c>
      <c r="Q406" t="n">
        <v>0</v>
      </c>
      <c r="R406" s="2" t="inlineStr"/>
    </row>
    <row r="407" ht="15" customHeight="1">
      <c r="A407" t="inlineStr">
        <is>
          <t>A 7636-2025</t>
        </is>
      </c>
      <c r="B407" s="1" t="n">
        <v>45705.7687962963</v>
      </c>
      <c r="C407" s="1" t="n">
        <v>46066</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7639-2025</t>
        </is>
      </c>
      <c r="B408" s="1" t="n">
        <v>45705.77465277778</v>
      </c>
      <c r="C408" s="1" t="n">
        <v>46066</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61682-2024</t>
        </is>
      </c>
      <c r="B409" s="1" t="n">
        <v>45647.48824074074</v>
      </c>
      <c r="C409" s="1" t="n">
        <v>46066</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15434-2024</t>
        </is>
      </c>
      <c r="B410" s="1" t="n">
        <v>45401.38836805556</v>
      </c>
      <c r="C410" s="1" t="n">
        <v>46066</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26391-2025</t>
        </is>
      </c>
      <c r="B411" s="1" t="n">
        <v>45806</v>
      </c>
      <c r="C411" s="1" t="n">
        <v>46066</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7034-2023</t>
        </is>
      </c>
      <c r="B412" s="1" t="n">
        <v>44968.32108796296</v>
      </c>
      <c r="C412" s="1" t="n">
        <v>46066</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7042-2023</t>
        </is>
      </c>
      <c r="B413" s="1" t="n">
        <v>44968</v>
      </c>
      <c r="C413" s="1" t="n">
        <v>46066</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2180-2025</t>
        </is>
      </c>
      <c r="B414" s="1" t="n">
        <v>45673</v>
      </c>
      <c r="C414" s="1" t="n">
        <v>46066</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46836-2025</t>
        </is>
      </c>
      <c r="B415" s="1" t="n">
        <v>45928.31511574074</v>
      </c>
      <c r="C415" s="1" t="n">
        <v>46066</v>
      </c>
      <c r="D415" t="inlineStr">
        <is>
          <t>GOTLANDS LÄN</t>
        </is>
      </c>
      <c r="E415" t="inlineStr">
        <is>
          <t>GOTLAND</t>
        </is>
      </c>
      <c r="G415" t="n">
        <v>2.8</v>
      </c>
      <c r="H415" t="n">
        <v>0</v>
      </c>
      <c r="I415" t="n">
        <v>0</v>
      </c>
      <c r="J415" t="n">
        <v>0</v>
      </c>
      <c r="K415" t="n">
        <v>0</v>
      </c>
      <c r="L415" t="n">
        <v>0</v>
      </c>
      <c r="M415" t="n">
        <v>0</v>
      </c>
      <c r="N415" t="n">
        <v>0</v>
      </c>
      <c r="O415" t="n">
        <v>0</v>
      </c>
      <c r="P415" t="n">
        <v>0</v>
      </c>
      <c r="Q415" t="n">
        <v>0</v>
      </c>
      <c r="R415" s="2" t="inlineStr"/>
    </row>
    <row r="416" ht="15" customHeight="1">
      <c r="A416" t="inlineStr">
        <is>
          <t>A 47637-2025</t>
        </is>
      </c>
      <c r="B416" s="1" t="n">
        <v>45931.49753472222</v>
      </c>
      <c r="C416" s="1" t="n">
        <v>46066</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54074-2022</t>
        </is>
      </c>
      <c r="B417" s="1" t="n">
        <v>44881</v>
      </c>
      <c r="C417" s="1" t="n">
        <v>46066</v>
      </c>
      <c r="D417" t="inlineStr">
        <is>
          <t>GOTLANDS LÄN</t>
        </is>
      </c>
      <c r="E417" t="inlineStr">
        <is>
          <t>GOTLAND</t>
        </is>
      </c>
      <c r="G417" t="n">
        <v>0.9</v>
      </c>
      <c r="H417" t="n">
        <v>0</v>
      </c>
      <c r="I417" t="n">
        <v>0</v>
      </c>
      <c r="J417" t="n">
        <v>0</v>
      </c>
      <c r="K417" t="n">
        <v>0</v>
      </c>
      <c r="L417" t="n">
        <v>0</v>
      </c>
      <c r="M417" t="n">
        <v>0</v>
      </c>
      <c r="N417" t="n">
        <v>0</v>
      </c>
      <c r="O417" t="n">
        <v>0</v>
      </c>
      <c r="P417" t="n">
        <v>0</v>
      </c>
      <c r="Q417" t="n">
        <v>0</v>
      </c>
      <c r="R417" s="2" t="inlineStr"/>
    </row>
    <row r="418" ht="15" customHeight="1">
      <c r="A418" t="inlineStr">
        <is>
          <t>A 61694-2023</t>
        </is>
      </c>
      <c r="B418" s="1" t="n">
        <v>45264</v>
      </c>
      <c r="C418" s="1" t="n">
        <v>46066</v>
      </c>
      <c r="D418" t="inlineStr">
        <is>
          <t>GOTLANDS LÄN</t>
        </is>
      </c>
      <c r="E418" t="inlineStr">
        <is>
          <t>GOTLAND</t>
        </is>
      </c>
      <c r="G418" t="n">
        <v>4.6</v>
      </c>
      <c r="H418" t="n">
        <v>0</v>
      </c>
      <c r="I418" t="n">
        <v>0</v>
      </c>
      <c r="J418" t="n">
        <v>0</v>
      </c>
      <c r="K418" t="n">
        <v>0</v>
      </c>
      <c r="L418" t="n">
        <v>0</v>
      </c>
      <c r="M418" t="n">
        <v>0</v>
      </c>
      <c r="N418" t="n">
        <v>0</v>
      </c>
      <c r="O418" t="n">
        <v>0</v>
      </c>
      <c r="P418" t="n">
        <v>0</v>
      </c>
      <c r="Q418" t="n">
        <v>0</v>
      </c>
      <c r="R418" s="2" t="inlineStr"/>
    </row>
    <row r="419" ht="15" customHeight="1">
      <c r="A419" t="inlineStr">
        <is>
          <t>A 64208-2021</t>
        </is>
      </c>
      <c r="B419" s="1" t="n">
        <v>44510</v>
      </c>
      <c r="C419" s="1" t="n">
        <v>46066</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54268-2022</t>
        </is>
      </c>
      <c r="B420" s="1" t="n">
        <v>44882</v>
      </c>
      <c r="C420" s="1" t="n">
        <v>46066</v>
      </c>
      <c r="D420" t="inlineStr">
        <is>
          <t>GOTLANDS LÄN</t>
        </is>
      </c>
      <c r="E420" t="inlineStr">
        <is>
          <t>GOTLAND</t>
        </is>
      </c>
      <c r="G420" t="n">
        <v>2.7</v>
      </c>
      <c r="H420" t="n">
        <v>0</v>
      </c>
      <c r="I420" t="n">
        <v>0</v>
      </c>
      <c r="J420" t="n">
        <v>0</v>
      </c>
      <c r="K420" t="n">
        <v>0</v>
      </c>
      <c r="L420" t="n">
        <v>0</v>
      </c>
      <c r="M420" t="n">
        <v>0</v>
      </c>
      <c r="N420" t="n">
        <v>0</v>
      </c>
      <c r="O420" t="n">
        <v>0</v>
      </c>
      <c r="P420" t="n">
        <v>0</v>
      </c>
      <c r="Q420" t="n">
        <v>0</v>
      </c>
      <c r="R420" s="2" t="inlineStr"/>
    </row>
    <row r="421" ht="15" customHeight="1">
      <c r="A421" t="inlineStr">
        <is>
          <t>A 1446-2025</t>
        </is>
      </c>
      <c r="B421" s="1" t="n">
        <v>45669.86035879629</v>
      </c>
      <c r="C421" s="1" t="n">
        <v>46066</v>
      </c>
      <c r="D421" t="inlineStr">
        <is>
          <t>GOTLANDS LÄN</t>
        </is>
      </c>
      <c r="E421" t="inlineStr">
        <is>
          <t>GOTLAND</t>
        </is>
      </c>
      <c r="G421" t="n">
        <v>3.1</v>
      </c>
      <c r="H421" t="n">
        <v>0</v>
      </c>
      <c r="I421" t="n">
        <v>0</v>
      </c>
      <c r="J421" t="n">
        <v>0</v>
      </c>
      <c r="K421" t="n">
        <v>0</v>
      </c>
      <c r="L421" t="n">
        <v>0</v>
      </c>
      <c r="M421" t="n">
        <v>0</v>
      </c>
      <c r="N421" t="n">
        <v>0</v>
      </c>
      <c r="O421" t="n">
        <v>0</v>
      </c>
      <c r="P421" t="n">
        <v>0</v>
      </c>
      <c r="Q421" t="n">
        <v>0</v>
      </c>
      <c r="R421" s="2" t="inlineStr"/>
    </row>
    <row r="422" ht="15" customHeight="1">
      <c r="A422" t="inlineStr">
        <is>
          <t>A 1462-2025</t>
        </is>
      </c>
      <c r="B422" s="1" t="n">
        <v>45670.36319444444</v>
      </c>
      <c r="C422" s="1" t="n">
        <v>46066</v>
      </c>
      <c r="D422" t="inlineStr">
        <is>
          <t>GOTLANDS LÄN</t>
        </is>
      </c>
      <c r="E422" t="inlineStr">
        <is>
          <t>GOTLAND</t>
        </is>
      </c>
      <c r="G422" t="n">
        <v>2.8</v>
      </c>
      <c r="H422" t="n">
        <v>0</v>
      </c>
      <c r="I422" t="n">
        <v>0</v>
      </c>
      <c r="J422" t="n">
        <v>0</v>
      </c>
      <c r="K422" t="n">
        <v>0</v>
      </c>
      <c r="L422" t="n">
        <v>0</v>
      </c>
      <c r="M422" t="n">
        <v>0</v>
      </c>
      <c r="N422" t="n">
        <v>0</v>
      </c>
      <c r="O422" t="n">
        <v>0</v>
      </c>
      <c r="P422" t="n">
        <v>0</v>
      </c>
      <c r="Q422" t="n">
        <v>0</v>
      </c>
      <c r="R422" s="2" t="inlineStr"/>
    </row>
    <row r="423" ht="15" customHeight="1">
      <c r="A423" t="inlineStr">
        <is>
          <t>A 32378-2025</t>
        </is>
      </c>
      <c r="B423" s="1" t="n">
        <v>45837</v>
      </c>
      <c r="C423" s="1" t="n">
        <v>46066</v>
      </c>
      <c r="D423" t="inlineStr">
        <is>
          <t>GOTLANDS LÄN</t>
        </is>
      </c>
      <c r="E423" t="inlineStr">
        <is>
          <t>GOTLAND</t>
        </is>
      </c>
      <c r="G423" t="n">
        <v>4.1</v>
      </c>
      <c r="H423" t="n">
        <v>0</v>
      </c>
      <c r="I423" t="n">
        <v>0</v>
      </c>
      <c r="J423" t="n">
        <v>0</v>
      </c>
      <c r="K423" t="n">
        <v>0</v>
      </c>
      <c r="L423" t="n">
        <v>0</v>
      </c>
      <c r="M423" t="n">
        <v>0</v>
      </c>
      <c r="N423" t="n">
        <v>0</v>
      </c>
      <c r="O423" t="n">
        <v>0</v>
      </c>
      <c r="P423" t="n">
        <v>0</v>
      </c>
      <c r="Q423" t="n">
        <v>0</v>
      </c>
      <c r="R423" s="2" t="inlineStr"/>
    </row>
    <row r="424" ht="15" customHeight="1">
      <c r="A424" t="inlineStr">
        <is>
          <t>A 57685-2022</t>
        </is>
      </c>
      <c r="B424" s="1" t="n">
        <v>44897.4777662037</v>
      </c>
      <c r="C424" s="1" t="n">
        <v>46066</v>
      </c>
      <c r="D424" t="inlineStr">
        <is>
          <t>GOTLANDS LÄN</t>
        </is>
      </c>
      <c r="E424" t="inlineStr">
        <is>
          <t>GOTLAND</t>
        </is>
      </c>
      <c r="G424" t="n">
        <v>3.7</v>
      </c>
      <c r="H424" t="n">
        <v>0</v>
      </c>
      <c r="I424" t="n">
        <v>0</v>
      </c>
      <c r="J424" t="n">
        <v>0</v>
      </c>
      <c r="K424" t="n">
        <v>0</v>
      </c>
      <c r="L424" t="n">
        <v>0</v>
      </c>
      <c r="M424" t="n">
        <v>0</v>
      </c>
      <c r="N424" t="n">
        <v>0</v>
      </c>
      <c r="O424" t="n">
        <v>0</v>
      </c>
      <c r="P424" t="n">
        <v>0</v>
      </c>
      <c r="Q424" t="n">
        <v>0</v>
      </c>
      <c r="R424" s="2" t="inlineStr"/>
    </row>
    <row r="425" ht="15" customHeight="1">
      <c r="A425" t="inlineStr">
        <is>
          <t>A 811-2023</t>
        </is>
      </c>
      <c r="B425" s="1" t="n">
        <v>44931</v>
      </c>
      <c r="C425" s="1" t="n">
        <v>46066</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5905-2024</t>
        </is>
      </c>
      <c r="B426" s="1" t="n">
        <v>45335.88993055555</v>
      </c>
      <c r="C426" s="1" t="n">
        <v>46066</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35550-2025</t>
        </is>
      </c>
      <c r="B427" s="1" t="n">
        <v>45856.49324074074</v>
      </c>
      <c r="C427" s="1" t="n">
        <v>46066</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3431-2025</t>
        </is>
      </c>
      <c r="B428" s="1" t="n">
        <v>45680.42935185185</v>
      </c>
      <c r="C428" s="1" t="n">
        <v>46066</v>
      </c>
      <c r="D428" t="inlineStr">
        <is>
          <t>GOTLANDS LÄN</t>
        </is>
      </c>
      <c r="E428" t="inlineStr">
        <is>
          <t>GOTLAND</t>
        </is>
      </c>
      <c r="G428" t="n">
        <v>4.8</v>
      </c>
      <c r="H428" t="n">
        <v>0</v>
      </c>
      <c r="I428" t="n">
        <v>0</v>
      </c>
      <c r="J428" t="n">
        <v>0</v>
      </c>
      <c r="K428" t="n">
        <v>0</v>
      </c>
      <c r="L428" t="n">
        <v>0</v>
      </c>
      <c r="M428" t="n">
        <v>0</v>
      </c>
      <c r="N428" t="n">
        <v>0</v>
      </c>
      <c r="O428" t="n">
        <v>0</v>
      </c>
      <c r="P428" t="n">
        <v>0</v>
      </c>
      <c r="Q428" t="n">
        <v>0</v>
      </c>
      <c r="R428" s="2" t="inlineStr"/>
    </row>
    <row r="429" ht="15" customHeight="1">
      <c r="A429" t="inlineStr">
        <is>
          <t>A 34407-2023</t>
        </is>
      </c>
      <c r="B429" s="1" t="n">
        <v>45132</v>
      </c>
      <c r="C429" s="1" t="n">
        <v>46066</v>
      </c>
      <c r="D429" t="inlineStr">
        <is>
          <t>GOTLANDS LÄN</t>
        </is>
      </c>
      <c r="E429" t="inlineStr">
        <is>
          <t>GOTLAND</t>
        </is>
      </c>
      <c r="G429" t="n">
        <v>4.4</v>
      </c>
      <c r="H429" t="n">
        <v>0</v>
      </c>
      <c r="I429" t="n">
        <v>0</v>
      </c>
      <c r="J429" t="n">
        <v>0</v>
      </c>
      <c r="K429" t="n">
        <v>0</v>
      </c>
      <c r="L429" t="n">
        <v>0</v>
      </c>
      <c r="M429" t="n">
        <v>0</v>
      </c>
      <c r="N429" t="n">
        <v>0</v>
      </c>
      <c r="O429" t="n">
        <v>0</v>
      </c>
      <c r="P429" t="n">
        <v>0</v>
      </c>
      <c r="Q429" t="n">
        <v>0</v>
      </c>
      <c r="R429" s="2" t="inlineStr"/>
    </row>
    <row r="430" ht="15" customHeight="1">
      <c r="A430" t="inlineStr">
        <is>
          <t>A 30892-2024</t>
        </is>
      </c>
      <c r="B430" s="1" t="n">
        <v>45491</v>
      </c>
      <c r="C430" s="1" t="n">
        <v>46066</v>
      </c>
      <c r="D430" t="inlineStr">
        <is>
          <t>GOTLANDS LÄN</t>
        </is>
      </c>
      <c r="E430" t="inlineStr">
        <is>
          <t>GOTLAND</t>
        </is>
      </c>
      <c r="G430" t="n">
        <v>6.1</v>
      </c>
      <c r="H430" t="n">
        <v>0</v>
      </c>
      <c r="I430" t="n">
        <v>0</v>
      </c>
      <c r="J430" t="n">
        <v>0</v>
      </c>
      <c r="K430" t="n">
        <v>0</v>
      </c>
      <c r="L430" t="n">
        <v>0</v>
      </c>
      <c r="M430" t="n">
        <v>0</v>
      </c>
      <c r="N430" t="n">
        <v>0</v>
      </c>
      <c r="O430" t="n">
        <v>0</v>
      </c>
      <c r="P430" t="n">
        <v>0</v>
      </c>
      <c r="Q430" t="n">
        <v>0</v>
      </c>
      <c r="R430" s="2" t="inlineStr"/>
    </row>
    <row r="431" ht="15" customHeight="1">
      <c r="A431" t="inlineStr">
        <is>
          <t>A 32958-2021</t>
        </is>
      </c>
      <c r="B431" s="1" t="n">
        <v>44376</v>
      </c>
      <c r="C431" s="1" t="n">
        <v>46066</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47578-2025</t>
        </is>
      </c>
      <c r="B432" s="1" t="n">
        <v>45931</v>
      </c>
      <c r="C432" s="1" t="n">
        <v>46066</v>
      </c>
      <c r="D432" t="inlineStr">
        <is>
          <t>GOTLANDS LÄN</t>
        </is>
      </c>
      <c r="E432" t="inlineStr">
        <is>
          <t>GOTLAND</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33011-2025</t>
        </is>
      </c>
      <c r="B433" s="1" t="n">
        <v>45840</v>
      </c>
      <c r="C433" s="1" t="n">
        <v>46066</v>
      </c>
      <c r="D433" t="inlineStr">
        <is>
          <t>GOTLANDS LÄN</t>
        </is>
      </c>
      <c r="E433" t="inlineStr">
        <is>
          <t>GOTLAND</t>
        </is>
      </c>
      <c r="G433" t="n">
        <v>1.7</v>
      </c>
      <c r="H433" t="n">
        <v>0</v>
      </c>
      <c r="I433" t="n">
        <v>0</v>
      </c>
      <c r="J433" t="n">
        <v>0</v>
      </c>
      <c r="K433" t="n">
        <v>0</v>
      </c>
      <c r="L433" t="n">
        <v>0</v>
      </c>
      <c r="M433" t="n">
        <v>0</v>
      </c>
      <c r="N433" t="n">
        <v>0</v>
      </c>
      <c r="O433" t="n">
        <v>0</v>
      </c>
      <c r="P433" t="n">
        <v>0</v>
      </c>
      <c r="Q433" t="n">
        <v>0</v>
      </c>
      <c r="R433" s="2" t="inlineStr"/>
    </row>
    <row r="434" ht="15" customHeight="1">
      <c r="A434" t="inlineStr">
        <is>
          <t>A 7858-2025</t>
        </is>
      </c>
      <c r="B434" s="1" t="n">
        <v>45706.68633101852</v>
      </c>
      <c r="C434" s="1" t="n">
        <v>46066</v>
      </c>
      <c r="D434" t="inlineStr">
        <is>
          <t>GOTLANDS LÄN</t>
        </is>
      </c>
      <c r="E434" t="inlineStr">
        <is>
          <t>GOTLAND</t>
        </is>
      </c>
      <c r="G434" t="n">
        <v>3</v>
      </c>
      <c r="H434" t="n">
        <v>0</v>
      </c>
      <c r="I434" t="n">
        <v>0</v>
      </c>
      <c r="J434" t="n">
        <v>0</v>
      </c>
      <c r="K434" t="n">
        <v>0</v>
      </c>
      <c r="L434" t="n">
        <v>0</v>
      </c>
      <c r="M434" t="n">
        <v>0</v>
      </c>
      <c r="N434" t="n">
        <v>0</v>
      </c>
      <c r="O434" t="n">
        <v>0</v>
      </c>
      <c r="P434" t="n">
        <v>0</v>
      </c>
      <c r="Q434" t="n">
        <v>0</v>
      </c>
      <c r="R434" s="2" t="inlineStr"/>
    </row>
    <row r="435" ht="15" customHeight="1">
      <c r="A435" t="inlineStr">
        <is>
          <t>A 46545-2024</t>
        </is>
      </c>
      <c r="B435" s="1" t="n">
        <v>45582.65831018519</v>
      </c>
      <c r="C435" s="1" t="n">
        <v>46066</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49690-2025</t>
        </is>
      </c>
      <c r="B436" s="1" t="n">
        <v>45939.66730324074</v>
      </c>
      <c r="C436" s="1" t="n">
        <v>46066</v>
      </c>
      <c r="D436" t="inlineStr">
        <is>
          <t>GOTLANDS LÄN</t>
        </is>
      </c>
      <c r="E436" t="inlineStr">
        <is>
          <t>GOTLAND</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999-2023</t>
        </is>
      </c>
      <c r="B437" s="1" t="n">
        <v>44935</v>
      </c>
      <c r="C437" s="1" t="n">
        <v>46066</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1364-2025</t>
        </is>
      </c>
      <c r="B438" s="1" t="n">
        <v>45667.63929398148</v>
      </c>
      <c r="C438" s="1" t="n">
        <v>46066</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2125-2025</t>
        </is>
      </c>
      <c r="B439" s="1" t="n">
        <v>45672.64940972222</v>
      </c>
      <c r="C439" s="1" t="n">
        <v>46066</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14141-2024</t>
        </is>
      </c>
      <c r="B440" s="1" t="n">
        <v>45392.85193287037</v>
      </c>
      <c r="C440" s="1" t="n">
        <v>46066</v>
      </c>
      <c r="D440" t="inlineStr">
        <is>
          <t>GOTLANDS LÄN</t>
        </is>
      </c>
      <c r="E440" t="inlineStr">
        <is>
          <t>GOTLAND</t>
        </is>
      </c>
      <c r="G440" t="n">
        <v>5.3</v>
      </c>
      <c r="H440" t="n">
        <v>0</v>
      </c>
      <c r="I440" t="n">
        <v>0</v>
      </c>
      <c r="J440" t="n">
        <v>0</v>
      </c>
      <c r="K440" t="n">
        <v>0</v>
      </c>
      <c r="L440" t="n">
        <v>0</v>
      </c>
      <c r="M440" t="n">
        <v>0</v>
      </c>
      <c r="N440" t="n">
        <v>0</v>
      </c>
      <c r="O440" t="n">
        <v>0</v>
      </c>
      <c r="P440" t="n">
        <v>0</v>
      </c>
      <c r="Q440" t="n">
        <v>0</v>
      </c>
      <c r="R440" s="2" t="inlineStr"/>
    </row>
    <row r="441" ht="15" customHeight="1">
      <c r="A441" t="inlineStr">
        <is>
          <t>A 49724-2025</t>
        </is>
      </c>
      <c r="B441" s="1" t="n">
        <v>45939.83730324074</v>
      </c>
      <c r="C441" s="1" t="n">
        <v>46066</v>
      </c>
      <c r="D441" t="inlineStr">
        <is>
          <t>GOTLANDS LÄN</t>
        </is>
      </c>
      <c r="E441" t="inlineStr">
        <is>
          <t>GOTLAND</t>
        </is>
      </c>
      <c r="F441" t="inlineStr">
        <is>
          <t>Kyrkan</t>
        </is>
      </c>
      <c r="G441" t="n">
        <v>3.1</v>
      </c>
      <c r="H441" t="n">
        <v>0</v>
      </c>
      <c r="I441" t="n">
        <v>0</v>
      </c>
      <c r="J441" t="n">
        <v>0</v>
      </c>
      <c r="K441" t="n">
        <v>0</v>
      </c>
      <c r="L441" t="n">
        <v>0</v>
      </c>
      <c r="M441" t="n">
        <v>0</v>
      </c>
      <c r="N441" t="n">
        <v>0</v>
      </c>
      <c r="O441" t="n">
        <v>0</v>
      </c>
      <c r="P441" t="n">
        <v>0</v>
      </c>
      <c r="Q441" t="n">
        <v>0</v>
      </c>
      <c r="R441" s="2" t="inlineStr"/>
    </row>
    <row r="442" ht="15" customHeight="1">
      <c r="A442" t="inlineStr">
        <is>
          <t>A 49730-2025</t>
        </is>
      </c>
      <c r="B442" s="1" t="n">
        <v>45939.87613425926</v>
      </c>
      <c r="C442" s="1" t="n">
        <v>46066</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12155-2023</t>
        </is>
      </c>
      <c r="B443" s="1" t="n">
        <v>44998.49106481481</v>
      </c>
      <c r="C443" s="1" t="n">
        <v>46066</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2774-2024</t>
        </is>
      </c>
      <c r="B444" s="1" t="n">
        <v>45314.62375</v>
      </c>
      <c r="C444" s="1" t="n">
        <v>46066</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50421-2025</t>
        </is>
      </c>
      <c r="B445" s="1" t="n">
        <v>45944.66049768519</v>
      </c>
      <c r="C445" s="1" t="n">
        <v>46066</v>
      </c>
      <c r="D445" t="inlineStr">
        <is>
          <t>GOTLANDS LÄN</t>
        </is>
      </c>
      <c r="E445" t="inlineStr">
        <is>
          <t>GOTLAND</t>
        </is>
      </c>
      <c r="G445" t="n">
        <v>3.9</v>
      </c>
      <c r="H445" t="n">
        <v>0</v>
      </c>
      <c r="I445" t="n">
        <v>0</v>
      </c>
      <c r="J445" t="n">
        <v>0</v>
      </c>
      <c r="K445" t="n">
        <v>0</v>
      </c>
      <c r="L445" t="n">
        <v>0</v>
      </c>
      <c r="M445" t="n">
        <v>0</v>
      </c>
      <c r="N445" t="n">
        <v>0</v>
      </c>
      <c r="O445" t="n">
        <v>0</v>
      </c>
      <c r="P445" t="n">
        <v>0</v>
      </c>
      <c r="Q445" t="n">
        <v>0</v>
      </c>
      <c r="R445" s="2" t="inlineStr"/>
    </row>
    <row r="446" ht="15" customHeight="1">
      <c r="A446" t="inlineStr">
        <is>
          <t>A 9947-2024</t>
        </is>
      </c>
      <c r="B446" s="1" t="n">
        <v>45363</v>
      </c>
      <c r="C446" s="1" t="n">
        <v>46066</v>
      </c>
      <c r="D446" t="inlineStr">
        <is>
          <t>GOTLANDS LÄN</t>
        </is>
      </c>
      <c r="E446" t="inlineStr">
        <is>
          <t>GOTLAND</t>
        </is>
      </c>
      <c r="G446" t="n">
        <v>2</v>
      </c>
      <c r="H446" t="n">
        <v>0</v>
      </c>
      <c r="I446" t="n">
        <v>0</v>
      </c>
      <c r="J446" t="n">
        <v>0</v>
      </c>
      <c r="K446" t="n">
        <v>0</v>
      </c>
      <c r="L446" t="n">
        <v>0</v>
      </c>
      <c r="M446" t="n">
        <v>0</v>
      </c>
      <c r="N446" t="n">
        <v>0</v>
      </c>
      <c r="O446" t="n">
        <v>0</v>
      </c>
      <c r="P446" t="n">
        <v>0</v>
      </c>
      <c r="Q446" t="n">
        <v>0</v>
      </c>
      <c r="R446" s="2" t="inlineStr"/>
    </row>
    <row r="447" ht="15" customHeight="1">
      <c r="A447" t="inlineStr">
        <is>
          <t>A 42007-2023</t>
        </is>
      </c>
      <c r="B447" s="1" t="n">
        <v>45177</v>
      </c>
      <c r="C447" s="1" t="n">
        <v>46066</v>
      </c>
      <c r="D447" t="inlineStr">
        <is>
          <t>GOTLANDS LÄN</t>
        </is>
      </c>
      <c r="E447" t="inlineStr">
        <is>
          <t>GOTLAND</t>
        </is>
      </c>
      <c r="G447" t="n">
        <v>0.8</v>
      </c>
      <c r="H447" t="n">
        <v>0</v>
      </c>
      <c r="I447" t="n">
        <v>0</v>
      </c>
      <c r="J447" t="n">
        <v>0</v>
      </c>
      <c r="K447" t="n">
        <v>0</v>
      </c>
      <c r="L447" t="n">
        <v>0</v>
      </c>
      <c r="M447" t="n">
        <v>0</v>
      </c>
      <c r="N447" t="n">
        <v>0</v>
      </c>
      <c r="O447" t="n">
        <v>0</v>
      </c>
      <c r="P447" t="n">
        <v>0</v>
      </c>
      <c r="Q447" t="n">
        <v>0</v>
      </c>
      <c r="R447" s="2" t="inlineStr"/>
    </row>
    <row r="448" ht="15" customHeight="1">
      <c r="A448" t="inlineStr">
        <is>
          <t>A 50431-2025</t>
        </is>
      </c>
      <c r="B448" s="1" t="n">
        <v>45944.68453703704</v>
      </c>
      <c r="C448" s="1" t="n">
        <v>46066</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50928-2025</t>
        </is>
      </c>
      <c r="B449" s="1" t="n">
        <v>45946.67896990741</v>
      </c>
      <c r="C449" s="1" t="n">
        <v>46066</v>
      </c>
      <c r="D449" t="inlineStr">
        <is>
          <t>GOTLANDS LÄN</t>
        </is>
      </c>
      <c r="E449" t="inlineStr">
        <is>
          <t>GOTLAND</t>
        </is>
      </c>
      <c r="G449" t="n">
        <v>1.3</v>
      </c>
      <c r="H449" t="n">
        <v>0</v>
      </c>
      <c r="I449" t="n">
        <v>0</v>
      </c>
      <c r="J449" t="n">
        <v>0</v>
      </c>
      <c r="K449" t="n">
        <v>0</v>
      </c>
      <c r="L449" t="n">
        <v>0</v>
      </c>
      <c r="M449" t="n">
        <v>0</v>
      </c>
      <c r="N449" t="n">
        <v>0</v>
      </c>
      <c r="O449" t="n">
        <v>0</v>
      </c>
      <c r="P449" t="n">
        <v>0</v>
      </c>
      <c r="Q449" t="n">
        <v>0</v>
      </c>
      <c r="R449" s="2" t="inlineStr"/>
    </row>
    <row r="450" ht="15" customHeight="1">
      <c r="A450" t="inlineStr">
        <is>
          <t>A 51262-2025</t>
        </is>
      </c>
      <c r="B450" s="1" t="n">
        <v>45949.49872685185</v>
      </c>
      <c r="C450" s="1" t="n">
        <v>46066</v>
      </c>
      <c r="D450" t="inlineStr">
        <is>
          <t>GOTLANDS LÄN</t>
        </is>
      </c>
      <c r="E450" t="inlineStr">
        <is>
          <t>GOTLAND</t>
        </is>
      </c>
      <c r="G450" t="n">
        <v>1.6</v>
      </c>
      <c r="H450" t="n">
        <v>0</v>
      </c>
      <c r="I450" t="n">
        <v>0</v>
      </c>
      <c r="J450" t="n">
        <v>0</v>
      </c>
      <c r="K450" t="n">
        <v>0</v>
      </c>
      <c r="L450" t="n">
        <v>0</v>
      </c>
      <c r="M450" t="n">
        <v>0</v>
      </c>
      <c r="N450" t="n">
        <v>0</v>
      </c>
      <c r="O450" t="n">
        <v>0</v>
      </c>
      <c r="P450" t="n">
        <v>0</v>
      </c>
      <c r="Q450" t="n">
        <v>0</v>
      </c>
      <c r="R450" s="2" t="inlineStr"/>
    </row>
    <row r="451" ht="15" customHeight="1">
      <c r="A451" t="inlineStr">
        <is>
          <t>A 15083-2025</t>
        </is>
      </c>
      <c r="B451" s="1" t="n">
        <v>45743</v>
      </c>
      <c r="C451" s="1" t="n">
        <v>46066</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52249-2025</t>
        </is>
      </c>
      <c r="B452" s="1" t="n">
        <v>45953.48637731482</v>
      </c>
      <c r="C452" s="1" t="n">
        <v>46066</v>
      </c>
      <c r="D452" t="inlineStr">
        <is>
          <t>GOTLANDS LÄN</t>
        </is>
      </c>
      <c r="E452" t="inlineStr">
        <is>
          <t>GOTLAND</t>
        </is>
      </c>
      <c r="F452" t="inlineStr">
        <is>
          <t>Övriga Aktiebolag</t>
        </is>
      </c>
      <c r="G452" t="n">
        <v>1</v>
      </c>
      <c r="H452" t="n">
        <v>0</v>
      </c>
      <c r="I452" t="n">
        <v>0</v>
      </c>
      <c r="J452" t="n">
        <v>0</v>
      </c>
      <c r="K452" t="n">
        <v>0</v>
      </c>
      <c r="L452" t="n">
        <v>0</v>
      </c>
      <c r="M452" t="n">
        <v>0</v>
      </c>
      <c r="N452" t="n">
        <v>0</v>
      </c>
      <c r="O452" t="n">
        <v>0</v>
      </c>
      <c r="P452" t="n">
        <v>0</v>
      </c>
      <c r="Q452" t="n">
        <v>0</v>
      </c>
      <c r="R452" s="2" t="inlineStr"/>
    </row>
    <row r="453" ht="15" customHeight="1">
      <c r="A453" t="inlineStr">
        <is>
          <t>A 1066-2024</t>
        </is>
      </c>
      <c r="B453" s="1" t="n">
        <v>45302.285</v>
      </c>
      <c r="C453" s="1" t="n">
        <v>46066</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37202-2024</t>
        </is>
      </c>
      <c r="B454" s="1" t="n">
        <v>45539.67310185185</v>
      </c>
      <c r="C454" s="1" t="n">
        <v>46066</v>
      </c>
      <c r="D454" t="inlineStr">
        <is>
          <t>GOTLANDS LÄN</t>
        </is>
      </c>
      <c r="E454" t="inlineStr">
        <is>
          <t>GOTLAND</t>
        </is>
      </c>
      <c r="G454" t="n">
        <v>0.3</v>
      </c>
      <c r="H454" t="n">
        <v>0</v>
      </c>
      <c r="I454" t="n">
        <v>0</v>
      </c>
      <c r="J454" t="n">
        <v>0</v>
      </c>
      <c r="K454" t="n">
        <v>0</v>
      </c>
      <c r="L454" t="n">
        <v>0</v>
      </c>
      <c r="M454" t="n">
        <v>0</v>
      </c>
      <c r="N454" t="n">
        <v>0</v>
      </c>
      <c r="O454" t="n">
        <v>0</v>
      </c>
      <c r="P454" t="n">
        <v>0</v>
      </c>
      <c r="Q454" t="n">
        <v>0</v>
      </c>
      <c r="R454" s="2" t="inlineStr"/>
    </row>
    <row r="455" ht="15" customHeight="1">
      <c r="A455" t="inlineStr">
        <is>
          <t>A 52637-2025</t>
        </is>
      </c>
      <c r="B455" s="1" t="n">
        <v>45954.75099537037</v>
      </c>
      <c r="C455" s="1" t="n">
        <v>46066</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30815-2023</t>
        </is>
      </c>
      <c r="B456" s="1" t="n">
        <v>45112</v>
      </c>
      <c r="C456" s="1" t="n">
        <v>46066</v>
      </c>
      <c r="D456" t="inlineStr">
        <is>
          <t>GOTLANDS LÄN</t>
        </is>
      </c>
      <c r="E456" t="inlineStr">
        <is>
          <t>GOTLAND</t>
        </is>
      </c>
      <c r="G456" t="n">
        <v>6</v>
      </c>
      <c r="H456" t="n">
        <v>0</v>
      </c>
      <c r="I456" t="n">
        <v>0</v>
      </c>
      <c r="J456" t="n">
        <v>0</v>
      </c>
      <c r="K456" t="n">
        <v>0</v>
      </c>
      <c r="L456" t="n">
        <v>0</v>
      </c>
      <c r="M456" t="n">
        <v>0</v>
      </c>
      <c r="N456" t="n">
        <v>0</v>
      </c>
      <c r="O456" t="n">
        <v>0</v>
      </c>
      <c r="P456" t="n">
        <v>0</v>
      </c>
      <c r="Q456" t="n">
        <v>0</v>
      </c>
      <c r="R456" s="2" t="inlineStr"/>
    </row>
    <row r="457" ht="15" customHeight="1">
      <c r="A457" t="inlineStr">
        <is>
          <t>A 46400-2023</t>
        </is>
      </c>
      <c r="B457" s="1" t="n">
        <v>45197.49290509259</v>
      </c>
      <c r="C457" s="1" t="n">
        <v>46066</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10492-2023</t>
        </is>
      </c>
      <c r="B458" s="1" t="n">
        <v>44987</v>
      </c>
      <c r="C458" s="1" t="n">
        <v>46066</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53577-2025</t>
        </is>
      </c>
      <c r="B459" s="1" t="n">
        <v>45960.42224537037</v>
      </c>
      <c r="C459" s="1" t="n">
        <v>46066</v>
      </c>
      <c r="D459" t="inlineStr">
        <is>
          <t>GOTLANDS LÄN</t>
        </is>
      </c>
      <c r="E459" t="inlineStr">
        <is>
          <t>GOTLAND</t>
        </is>
      </c>
      <c r="F459" t="inlineStr">
        <is>
          <t>Övriga Aktiebolag</t>
        </is>
      </c>
      <c r="G459" t="n">
        <v>3.3</v>
      </c>
      <c r="H459" t="n">
        <v>0</v>
      </c>
      <c r="I459" t="n">
        <v>0</v>
      </c>
      <c r="J459" t="n">
        <v>0</v>
      </c>
      <c r="K459" t="n">
        <v>0</v>
      </c>
      <c r="L459" t="n">
        <v>0</v>
      </c>
      <c r="M459" t="n">
        <v>0</v>
      </c>
      <c r="N459" t="n">
        <v>0</v>
      </c>
      <c r="O459" t="n">
        <v>0</v>
      </c>
      <c r="P459" t="n">
        <v>0</v>
      </c>
      <c r="Q459" t="n">
        <v>0</v>
      </c>
      <c r="R459" s="2" t="inlineStr"/>
    </row>
    <row r="460" ht="15" customHeight="1">
      <c r="A460" t="inlineStr">
        <is>
          <t>A 44919-2022</t>
        </is>
      </c>
      <c r="B460" s="1" t="n">
        <v>44841</v>
      </c>
      <c r="C460" s="1" t="n">
        <v>46066</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16501-2023</t>
        </is>
      </c>
      <c r="B461" s="1" t="n">
        <v>45029</v>
      </c>
      <c r="C461" s="1" t="n">
        <v>46066</v>
      </c>
      <c r="D461" t="inlineStr">
        <is>
          <t>GOTLANDS LÄN</t>
        </is>
      </c>
      <c r="E461" t="inlineStr">
        <is>
          <t>GOTLAND</t>
        </is>
      </c>
      <c r="G461" t="n">
        <v>3.1</v>
      </c>
      <c r="H461" t="n">
        <v>0</v>
      </c>
      <c r="I461" t="n">
        <v>0</v>
      </c>
      <c r="J461" t="n">
        <v>0</v>
      </c>
      <c r="K461" t="n">
        <v>0</v>
      </c>
      <c r="L461" t="n">
        <v>0</v>
      </c>
      <c r="M461" t="n">
        <v>0</v>
      </c>
      <c r="N461" t="n">
        <v>0</v>
      </c>
      <c r="O461" t="n">
        <v>0</v>
      </c>
      <c r="P461" t="n">
        <v>0</v>
      </c>
      <c r="Q461" t="n">
        <v>0</v>
      </c>
      <c r="R461" s="2" t="inlineStr"/>
    </row>
    <row r="462" ht="15" customHeight="1">
      <c r="A462" t="inlineStr">
        <is>
          <t>A 53569-2025</t>
        </is>
      </c>
      <c r="B462" s="1" t="n">
        <v>45960.41155092593</v>
      </c>
      <c r="C462" s="1" t="n">
        <v>46066</v>
      </c>
      <c r="D462" t="inlineStr">
        <is>
          <t>GOTLANDS LÄN</t>
        </is>
      </c>
      <c r="E462" t="inlineStr">
        <is>
          <t>GOTLAND</t>
        </is>
      </c>
      <c r="F462" t="inlineStr">
        <is>
          <t>Övriga Aktiebolag</t>
        </is>
      </c>
      <c r="G462" t="n">
        <v>11.3</v>
      </c>
      <c r="H462" t="n">
        <v>0</v>
      </c>
      <c r="I462" t="n">
        <v>0</v>
      </c>
      <c r="J462" t="n">
        <v>0</v>
      </c>
      <c r="K462" t="n">
        <v>0</v>
      </c>
      <c r="L462" t="n">
        <v>0</v>
      </c>
      <c r="M462" t="n">
        <v>0</v>
      </c>
      <c r="N462" t="n">
        <v>0</v>
      </c>
      <c r="O462" t="n">
        <v>0</v>
      </c>
      <c r="P462" t="n">
        <v>0</v>
      </c>
      <c r="Q462" t="n">
        <v>0</v>
      </c>
      <c r="R462" s="2" t="inlineStr"/>
    </row>
    <row r="463" ht="15" customHeight="1">
      <c r="A463" t="inlineStr">
        <is>
          <t>A 27095-2022</t>
        </is>
      </c>
      <c r="B463" s="1" t="n">
        <v>44741</v>
      </c>
      <c r="C463" s="1" t="n">
        <v>46066</v>
      </c>
      <c r="D463" t="inlineStr">
        <is>
          <t>GOTLANDS LÄN</t>
        </is>
      </c>
      <c r="E463" t="inlineStr">
        <is>
          <t>GOTLAND</t>
        </is>
      </c>
      <c r="F463" t="inlineStr">
        <is>
          <t>Övriga Aktiebolag</t>
        </is>
      </c>
      <c r="G463" t="n">
        <v>2.9</v>
      </c>
      <c r="H463" t="n">
        <v>0</v>
      </c>
      <c r="I463" t="n">
        <v>0</v>
      </c>
      <c r="J463" t="n">
        <v>0</v>
      </c>
      <c r="K463" t="n">
        <v>0</v>
      </c>
      <c r="L463" t="n">
        <v>0</v>
      </c>
      <c r="M463" t="n">
        <v>0</v>
      </c>
      <c r="N463" t="n">
        <v>0</v>
      </c>
      <c r="O463" t="n">
        <v>0</v>
      </c>
      <c r="P463" t="n">
        <v>0</v>
      </c>
      <c r="Q463" t="n">
        <v>0</v>
      </c>
      <c r="R463" s="2" t="inlineStr"/>
    </row>
    <row r="464" ht="15" customHeight="1">
      <c r="A464" t="inlineStr">
        <is>
          <t>A 458-2023</t>
        </is>
      </c>
      <c r="B464" s="1" t="n">
        <v>44929</v>
      </c>
      <c r="C464" s="1" t="n">
        <v>46066</v>
      </c>
      <c r="D464" t="inlineStr">
        <is>
          <t>GOTLANDS LÄN</t>
        </is>
      </c>
      <c r="E464" t="inlineStr">
        <is>
          <t>GOTLAND</t>
        </is>
      </c>
      <c r="G464" t="n">
        <v>3.6</v>
      </c>
      <c r="H464" t="n">
        <v>0</v>
      </c>
      <c r="I464" t="n">
        <v>0</v>
      </c>
      <c r="J464" t="n">
        <v>0</v>
      </c>
      <c r="K464" t="n">
        <v>0</v>
      </c>
      <c r="L464" t="n">
        <v>0</v>
      </c>
      <c r="M464" t="n">
        <v>0</v>
      </c>
      <c r="N464" t="n">
        <v>0</v>
      </c>
      <c r="O464" t="n">
        <v>0</v>
      </c>
      <c r="P464" t="n">
        <v>0</v>
      </c>
      <c r="Q464" t="n">
        <v>0</v>
      </c>
      <c r="R464" s="2" t="inlineStr"/>
    </row>
    <row r="465" ht="15" customHeight="1">
      <c r="A465" t="inlineStr">
        <is>
          <t>A 1291-2023</t>
        </is>
      </c>
      <c r="B465" s="1" t="n">
        <v>44936.47561342592</v>
      </c>
      <c r="C465" s="1" t="n">
        <v>46066</v>
      </c>
      <c r="D465" t="inlineStr">
        <is>
          <t>GOTLANDS LÄN</t>
        </is>
      </c>
      <c r="E465" t="inlineStr">
        <is>
          <t>GOTLAND</t>
        </is>
      </c>
      <c r="G465" t="n">
        <v>7.4</v>
      </c>
      <c r="H465" t="n">
        <v>0</v>
      </c>
      <c r="I465" t="n">
        <v>0</v>
      </c>
      <c r="J465" t="n">
        <v>0</v>
      </c>
      <c r="K465" t="n">
        <v>0</v>
      </c>
      <c r="L465" t="n">
        <v>0</v>
      </c>
      <c r="M465" t="n">
        <v>0</v>
      </c>
      <c r="N465" t="n">
        <v>0</v>
      </c>
      <c r="O465" t="n">
        <v>0</v>
      </c>
      <c r="P465" t="n">
        <v>0</v>
      </c>
      <c r="Q465" t="n">
        <v>0</v>
      </c>
      <c r="R465" s="2" t="inlineStr"/>
    </row>
    <row r="466" ht="15" customHeight="1">
      <c r="A466" t="inlineStr">
        <is>
          <t>A 32330-2024</t>
        </is>
      </c>
      <c r="B466" s="1" t="n">
        <v>45512</v>
      </c>
      <c r="C466" s="1" t="n">
        <v>46066</v>
      </c>
      <c r="D466" t="inlineStr">
        <is>
          <t>GOTLANDS LÄN</t>
        </is>
      </c>
      <c r="E466" t="inlineStr">
        <is>
          <t>GOTLAND</t>
        </is>
      </c>
      <c r="G466" t="n">
        <v>2.6</v>
      </c>
      <c r="H466" t="n">
        <v>0</v>
      </c>
      <c r="I466" t="n">
        <v>0</v>
      </c>
      <c r="J466" t="n">
        <v>0</v>
      </c>
      <c r="K466" t="n">
        <v>0</v>
      </c>
      <c r="L466" t="n">
        <v>0</v>
      </c>
      <c r="M466" t="n">
        <v>0</v>
      </c>
      <c r="N466" t="n">
        <v>0</v>
      </c>
      <c r="O466" t="n">
        <v>0</v>
      </c>
      <c r="P466" t="n">
        <v>0</v>
      </c>
      <c r="Q466" t="n">
        <v>0</v>
      </c>
      <c r="R466" s="2" t="inlineStr"/>
    </row>
    <row r="467" ht="15" customHeight="1">
      <c r="A467" t="inlineStr">
        <is>
          <t>A 5891-2025</t>
        </is>
      </c>
      <c r="B467" s="1" t="n">
        <v>45695.38327546296</v>
      </c>
      <c r="C467" s="1" t="n">
        <v>46066</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14804-2021</t>
        </is>
      </c>
      <c r="B468" s="1" t="n">
        <v>44280</v>
      </c>
      <c r="C468" s="1" t="n">
        <v>46066</v>
      </c>
      <c r="D468" t="inlineStr">
        <is>
          <t>GOTLANDS LÄN</t>
        </is>
      </c>
      <c r="E468" t="inlineStr">
        <is>
          <t>GOTLAND</t>
        </is>
      </c>
      <c r="G468" t="n">
        <v>2.2</v>
      </c>
      <c r="H468" t="n">
        <v>0</v>
      </c>
      <c r="I468" t="n">
        <v>0</v>
      </c>
      <c r="J468" t="n">
        <v>0</v>
      </c>
      <c r="K468" t="n">
        <v>0</v>
      </c>
      <c r="L468" t="n">
        <v>0</v>
      </c>
      <c r="M468" t="n">
        <v>0</v>
      </c>
      <c r="N468" t="n">
        <v>0</v>
      </c>
      <c r="O468" t="n">
        <v>0</v>
      </c>
      <c r="P468" t="n">
        <v>0</v>
      </c>
      <c r="Q468" t="n">
        <v>0</v>
      </c>
      <c r="R468" s="2" t="inlineStr"/>
    </row>
    <row r="469" ht="15" customHeight="1">
      <c r="A469" t="inlineStr">
        <is>
          <t>A 2719-2023</t>
        </is>
      </c>
      <c r="B469" s="1" t="n">
        <v>44944.55361111111</v>
      </c>
      <c r="C469" s="1" t="n">
        <v>46066</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17144-2025</t>
        </is>
      </c>
      <c r="B470" s="1" t="n">
        <v>45755.9499537037</v>
      </c>
      <c r="C470" s="1" t="n">
        <v>46066</v>
      </c>
      <c r="D470" t="inlineStr">
        <is>
          <t>GOTLANDS LÄN</t>
        </is>
      </c>
      <c r="E470" t="inlineStr">
        <is>
          <t>GOTLAND</t>
        </is>
      </c>
      <c r="G470" t="n">
        <v>1.2</v>
      </c>
      <c r="H470" t="n">
        <v>0</v>
      </c>
      <c r="I470" t="n">
        <v>0</v>
      </c>
      <c r="J470" t="n">
        <v>0</v>
      </c>
      <c r="K470" t="n">
        <v>0</v>
      </c>
      <c r="L470" t="n">
        <v>0</v>
      </c>
      <c r="M470" t="n">
        <v>0</v>
      </c>
      <c r="N470" t="n">
        <v>0</v>
      </c>
      <c r="O470" t="n">
        <v>0</v>
      </c>
      <c r="P470" t="n">
        <v>0</v>
      </c>
      <c r="Q470" t="n">
        <v>0</v>
      </c>
      <c r="R470" s="2" t="inlineStr"/>
    </row>
    <row r="471" ht="15" customHeight="1">
      <c r="A471" t="inlineStr">
        <is>
          <t>A 49314-2024</t>
        </is>
      </c>
      <c r="B471" s="1" t="n">
        <v>45595.55893518519</v>
      </c>
      <c r="C471" s="1" t="n">
        <v>46066</v>
      </c>
      <c r="D471" t="inlineStr">
        <is>
          <t>GOTLANDS LÄN</t>
        </is>
      </c>
      <c r="E471" t="inlineStr">
        <is>
          <t>GOTLAND</t>
        </is>
      </c>
      <c r="G471" t="n">
        <v>1.1</v>
      </c>
      <c r="H471" t="n">
        <v>0</v>
      </c>
      <c r="I471" t="n">
        <v>0</v>
      </c>
      <c r="J471" t="n">
        <v>0</v>
      </c>
      <c r="K471" t="n">
        <v>0</v>
      </c>
      <c r="L471" t="n">
        <v>0</v>
      </c>
      <c r="M471" t="n">
        <v>0</v>
      </c>
      <c r="N471" t="n">
        <v>0</v>
      </c>
      <c r="O471" t="n">
        <v>0</v>
      </c>
      <c r="P471" t="n">
        <v>0</v>
      </c>
      <c r="Q471" t="n">
        <v>0</v>
      </c>
      <c r="R471" s="2" t="inlineStr"/>
    </row>
    <row r="472" ht="15" customHeight="1">
      <c r="A472" t="inlineStr">
        <is>
          <t>A 9875-2025</t>
        </is>
      </c>
      <c r="B472" s="1" t="n">
        <v>45716</v>
      </c>
      <c r="C472" s="1" t="n">
        <v>46066</v>
      </c>
      <c r="D472" t="inlineStr">
        <is>
          <t>GOTLANDS LÄN</t>
        </is>
      </c>
      <c r="E472" t="inlineStr">
        <is>
          <t>GOTLAND</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29809-2022</t>
        </is>
      </c>
      <c r="B473" s="1" t="n">
        <v>44755.8713425926</v>
      </c>
      <c r="C473" s="1" t="n">
        <v>46066</v>
      </c>
      <c r="D473" t="inlineStr">
        <is>
          <t>GOTLANDS LÄN</t>
        </is>
      </c>
      <c r="E473" t="inlineStr">
        <is>
          <t>GOTLAND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46066</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43081-2022</t>
        </is>
      </c>
      <c r="B475" s="1" t="n">
        <v>44833</v>
      </c>
      <c r="C475" s="1" t="n">
        <v>46066</v>
      </c>
      <c r="D475" t="inlineStr">
        <is>
          <t>GOTLANDS LÄN</t>
        </is>
      </c>
      <c r="E475" t="inlineStr">
        <is>
          <t>GOTLAND</t>
        </is>
      </c>
      <c r="G475" t="n">
        <v>6.8</v>
      </c>
      <c r="H475" t="n">
        <v>0</v>
      </c>
      <c r="I475" t="n">
        <v>0</v>
      </c>
      <c r="J475" t="n">
        <v>0</v>
      </c>
      <c r="K475" t="n">
        <v>0</v>
      </c>
      <c r="L475" t="n">
        <v>0</v>
      </c>
      <c r="M475" t="n">
        <v>0</v>
      </c>
      <c r="N475" t="n">
        <v>0</v>
      </c>
      <c r="O475" t="n">
        <v>0</v>
      </c>
      <c r="P475" t="n">
        <v>0</v>
      </c>
      <c r="Q475" t="n">
        <v>0</v>
      </c>
      <c r="R475" s="2" t="inlineStr"/>
    </row>
    <row r="476" ht="15" customHeight="1">
      <c r="A476" t="inlineStr">
        <is>
          <t>A 1175-2025</t>
        </is>
      </c>
      <c r="B476" s="1" t="n">
        <v>45667.34449074074</v>
      </c>
      <c r="C476" s="1" t="n">
        <v>46066</v>
      </c>
      <c r="D476" t="inlineStr">
        <is>
          <t>GOTLANDS LÄN</t>
        </is>
      </c>
      <c r="E476" t="inlineStr">
        <is>
          <t>GOTLAND</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42201-2023</t>
        </is>
      </c>
      <c r="B477" s="1" t="n">
        <v>45179</v>
      </c>
      <c r="C477" s="1" t="n">
        <v>46066</v>
      </c>
      <c r="D477" t="inlineStr">
        <is>
          <t>GOTLANDS LÄN</t>
        </is>
      </c>
      <c r="E477" t="inlineStr">
        <is>
          <t>GOTLAND</t>
        </is>
      </c>
      <c r="G477" t="n">
        <v>11.9</v>
      </c>
      <c r="H477" t="n">
        <v>0</v>
      </c>
      <c r="I477" t="n">
        <v>0</v>
      </c>
      <c r="J477" t="n">
        <v>0</v>
      </c>
      <c r="K477" t="n">
        <v>0</v>
      </c>
      <c r="L477" t="n">
        <v>0</v>
      </c>
      <c r="M477" t="n">
        <v>0</v>
      </c>
      <c r="N477" t="n">
        <v>0</v>
      </c>
      <c r="O477" t="n">
        <v>0</v>
      </c>
      <c r="P477" t="n">
        <v>0</v>
      </c>
      <c r="Q477" t="n">
        <v>0</v>
      </c>
      <c r="R477" s="2" t="inlineStr"/>
    </row>
    <row r="478" ht="15" customHeight="1">
      <c r="A478" t="inlineStr">
        <is>
          <t>A 3150-2025</t>
        </is>
      </c>
      <c r="B478" s="1" t="n">
        <v>45679.28974537037</v>
      </c>
      <c r="C478" s="1" t="n">
        <v>46066</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42041-2024</t>
        </is>
      </c>
      <c r="B479" s="1" t="n">
        <v>45561</v>
      </c>
      <c r="C479" s="1" t="n">
        <v>46066</v>
      </c>
      <c r="D479" t="inlineStr">
        <is>
          <t>GOTLANDS LÄN</t>
        </is>
      </c>
      <c r="E479" t="inlineStr">
        <is>
          <t>GOTLAND</t>
        </is>
      </c>
      <c r="G479" t="n">
        <v>3.2</v>
      </c>
      <c r="H479" t="n">
        <v>0</v>
      </c>
      <c r="I479" t="n">
        <v>0</v>
      </c>
      <c r="J479" t="n">
        <v>0</v>
      </c>
      <c r="K479" t="n">
        <v>0</v>
      </c>
      <c r="L479" t="n">
        <v>0</v>
      </c>
      <c r="M479" t="n">
        <v>0</v>
      </c>
      <c r="N479" t="n">
        <v>0</v>
      </c>
      <c r="O479" t="n">
        <v>0</v>
      </c>
      <c r="P479" t="n">
        <v>0</v>
      </c>
      <c r="Q479" t="n">
        <v>0</v>
      </c>
      <c r="R479" s="2" t="inlineStr"/>
    </row>
    <row r="480" ht="15" customHeight="1">
      <c r="A480" t="inlineStr">
        <is>
          <t>A 56688-2025</t>
        </is>
      </c>
      <c r="B480" s="1" t="n">
        <v>45975.84331018518</v>
      </c>
      <c r="C480" s="1" t="n">
        <v>46066</v>
      </c>
      <c r="D480" t="inlineStr">
        <is>
          <t>GOTLANDS LÄN</t>
        </is>
      </c>
      <c r="E480" t="inlineStr">
        <is>
          <t>GOTLAND</t>
        </is>
      </c>
      <c r="G480" t="n">
        <v>1.3</v>
      </c>
      <c r="H480" t="n">
        <v>0</v>
      </c>
      <c r="I480" t="n">
        <v>0</v>
      </c>
      <c r="J480" t="n">
        <v>0</v>
      </c>
      <c r="K480" t="n">
        <v>0</v>
      </c>
      <c r="L480" t="n">
        <v>0</v>
      </c>
      <c r="M480" t="n">
        <v>0</v>
      </c>
      <c r="N480" t="n">
        <v>0</v>
      </c>
      <c r="O480" t="n">
        <v>0</v>
      </c>
      <c r="P480" t="n">
        <v>0</v>
      </c>
      <c r="Q480" t="n">
        <v>0</v>
      </c>
      <c r="R480" s="2" t="inlineStr"/>
    </row>
    <row r="481" ht="15" customHeight="1">
      <c r="A481" t="inlineStr">
        <is>
          <t>A 56799-2025</t>
        </is>
      </c>
      <c r="B481" s="1" t="n">
        <v>45978.43392361111</v>
      </c>
      <c r="C481" s="1" t="n">
        <v>46066</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15436-2025</t>
        </is>
      </c>
      <c r="B482" s="1" t="n">
        <v>45747.47462962963</v>
      </c>
      <c r="C482" s="1" t="n">
        <v>46066</v>
      </c>
      <c r="D482" t="inlineStr">
        <is>
          <t>GOTLANDS LÄN</t>
        </is>
      </c>
      <c r="E482" t="inlineStr">
        <is>
          <t>GOTLAND</t>
        </is>
      </c>
      <c r="G482" t="n">
        <v>4.1</v>
      </c>
      <c r="H482" t="n">
        <v>0</v>
      </c>
      <c r="I482" t="n">
        <v>0</v>
      </c>
      <c r="J482" t="n">
        <v>0</v>
      </c>
      <c r="K482" t="n">
        <v>0</v>
      </c>
      <c r="L482" t="n">
        <v>0</v>
      </c>
      <c r="M482" t="n">
        <v>0</v>
      </c>
      <c r="N482" t="n">
        <v>0</v>
      </c>
      <c r="O482" t="n">
        <v>0</v>
      </c>
      <c r="P482" t="n">
        <v>0</v>
      </c>
      <c r="Q482" t="n">
        <v>0</v>
      </c>
      <c r="R482" s="2" t="inlineStr"/>
    </row>
    <row r="483" ht="15" customHeight="1">
      <c r="A483" t="inlineStr">
        <is>
          <t>A 21247-2022</t>
        </is>
      </c>
      <c r="B483" s="1" t="n">
        <v>44705.38832175926</v>
      </c>
      <c r="C483" s="1" t="n">
        <v>46066</v>
      </c>
      <c r="D483" t="inlineStr">
        <is>
          <t>GOTLANDS LÄN</t>
        </is>
      </c>
      <c r="E483" t="inlineStr">
        <is>
          <t>GOTLAND</t>
        </is>
      </c>
      <c r="G483" t="n">
        <v>16.2</v>
      </c>
      <c r="H483" t="n">
        <v>0</v>
      </c>
      <c r="I483" t="n">
        <v>0</v>
      </c>
      <c r="J483" t="n">
        <v>0</v>
      </c>
      <c r="K483" t="n">
        <v>0</v>
      </c>
      <c r="L483" t="n">
        <v>0</v>
      </c>
      <c r="M483" t="n">
        <v>0</v>
      </c>
      <c r="N483" t="n">
        <v>0</v>
      </c>
      <c r="O483" t="n">
        <v>0</v>
      </c>
      <c r="P483" t="n">
        <v>0</v>
      </c>
      <c r="Q483" t="n">
        <v>0</v>
      </c>
      <c r="R483" s="2" t="inlineStr"/>
    </row>
    <row r="484" ht="15" customHeight="1">
      <c r="A484" t="inlineStr">
        <is>
          <t>A 17780-2022</t>
        </is>
      </c>
      <c r="B484" s="1" t="n">
        <v>44682.82622685185</v>
      </c>
      <c r="C484" s="1" t="n">
        <v>46066</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36-2026</t>
        </is>
      </c>
      <c r="B485" s="1" t="n">
        <v>46024.38886574074</v>
      </c>
      <c r="C485" s="1" t="n">
        <v>46066</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63516-2023</t>
        </is>
      </c>
      <c r="B486" s="1" t="n">
        <v>45274</v>
      </c>
      <c r="C486" s="1" t="n">
        <v>46066</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53935-2024</t>
        </is>
      </c>
      <c r="B487" s="1" t="n">
        <v>45615</v>
      </c>
      <c r="C487" s="1" t="n">
        <v>46066</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69112-2021</t>
        </is>
      </c>
      <c r="B488" s="1" t="n">
        <v>44530</v>
      </c>
      <c r="C488" s="1" t="n">
        <v>46066</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48734-2022</t>
        </is>
      </c>
      <c r="B489" s="1" t="n">
        <v>44855</v>
      </c>
      <c r="C489" s="1" t="n">
        <v>46066</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23516-2023</t>
        </is>
      </c>
      <c r="B490" s="1" t="n">
        <v>45076.93391203704</v>
      </c>
      <c r="C490" s="1" t="n">
        <v>46066</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43231-2023</t>
        </is>
      </c>
      <c r="B491" s="1" t="n">
        <v>45183.47025462963</v>
      </c>
      <c r="C491" s="1" t="n">
        <v>46066</v>
      </c>
      <c r="D491" t="inlineStr">
        <is>
          <t>GOTLANDS LÄN</t>
        </is>
      </c>
      <c r="E491" t="inlineStr">
        <is>
          <t>GOTLAND</t>
        </is>
      </c>
      <c r="G491" t="n">
        <v>3.6</v>
      </c>
      <c r="H491" t="n">
        <v>0</v>
      </c>
      <c r="I491" t="n">
        <v>0</v>
      </c>
      <c r="J491" t="n">
        <v>0</v>
      </c>
      <c r="K491" t="n">
        <v>0</v>
      </c>
      <c r="L491" t="n">
        <v>0</v>
      </c>
      <c r="M491" t="n">
        <v>0</v>
      </c>
      <c r="N491" t="n">
        <v>0</v>
      </c>
      <c r="O491" t="n">
        <v>0</v>
      </c>
      <c r="P491" t="n">
        <v>0</v>
      </c>
      <c r="Q491" t="n">
        <v>0</v>
      </c>
      <c r="R491" s="2" t="inlineStr"/>
    </row>
    <row r="492" ht="15" customHeight="1">
      <c r="A492" t="inlineStr">
        <is>
          <t>A 58230-2024</t>
        </is>
      </c>
      <c r="B492" s="1" t="n">
        <v>45632.51625</v>
      </c>
      <c r="C492" s="1" t="n">
        <v>46066</v>
      </c>
      <c r="D492" t="inlineStr">
        <is>
          <t>GOTLANDS LÄN</t>
        </is>
      </c>
      <c r="E492" t="inlineStr">
        <is>
          <t>GOTLAND</t>
        </is>
      </c>
      <c r="G492" t="n">
        <v>7.3</v>
      </c>
      <c r="H492" t="n">
        <v>0</v>
      </c>
      <c r="I492" t="n">
        <v>0</v>
      </c>
      <c r="J492" t="n">
        <v>0</v>
      </c>
      <c r="K492" t="n">
        <v>0</v>
      </c>
      <c r="L492" t="n">
        <v>0</v>
      </c>
      <c r="M492" t="n">
        <v>0</v>
      </c>
      <c r="N492" t="n">
        <v>0</v>
      </c>
      <c r="O492" t="n">
        <v>0</v>
      </c>
      <c r="P492" t="n">
        <v>0</v>
      </c>
      <c r="Q492" t="n">
        <v>0</v>
      </c>
      <c r="R492" s="2" t="inlineStr"/>
    </row>
    <row r="493" ht="15" customHeight="1">
      <c r="A493" t="inlineStr">
        <is>
          <t>A 64555-2023</t>
        </is>
      </c>
      <c r="B493" s="1" t="n">
        <v>45281</v>
      </c>
      <c r="C493" s="1" t="n">
        <v>46066</v>
      </c>
      <c r="D493" t="inlineStr">
        <is>
          <t>GOTLANDS LÄN</t>
        </is>
      </c>
      <c r="E493" t="inlineStr">
        <is>
          <t>GOTLAND</t>
        </is>
      </c>
      <c r="G493" t="n">
        <v>3.5</v>
      </c>
      <c r="H493" t="n">
        <v>0</v>
      </c>
      <c r="I493" t="n">
        <v>0</v>
      </c>
      <c r="J493" t="n">
        <v>0</v>
      </c>
      <c r="K493" t="n">
        <v>0</v>
      </c>
      <c r="L493" t="n">
        <v>0</v>
      </c>
      <c r="M493" t="n">
        <v>0</v>
      </c>
      <c r="N493" t="n">
        <v>0</v>
      </c>
      <c r="O493" t="n">
        <v>0</v>
      </c>
      <c r="P493" t="n">
        <v>0</v>
      </c>
      <c r="Q493" t="n">
        <v>0</v>
      </c>
      <c r="R493" s="2" t="inlineStr"/>
    </row>
    <row r="494" ht="15" customHeight="1">
      <c r="A494" t="inlineStr">
        <is>
          <t>A 457-2023</t>
        </is>
      </c>
      <c r="B494" s="1" t="n">
        <v>44929.87238425926</v>
      </c>
      <c r="C494" s="1" t="n">
        <v>46066</v>
      </c>
      <c r="D494" t="inlineStr">
        <is>
          <t>GOTLANDS LÄN</t>
        </is>
      </c>
      <c r="E494" t="inlineStr">
        <is>
          <t>GOTLAND</t>
        </is>
      </c>
      <c r="G494" t="n">
        <v>2.4</v>
      </c>
      <c r="H494" t="n">
        <v>0</v>
      </c>
      <c r="I494" t="n">
        <v>0</v>
      </c>
      <c r="J494" t="n">
        <v>0</v>
      </c>
      <c r="K494" t="n">
        <v>0</v>
      </c>
      <c r="L494" t="n">
        <v>0</v>
      </c>
      <c r="M494" t="n">
        <v>0</v>
      </c>
      <c r="N494" t="n">
        <v>0</v>
      </c>
      <c r="O494" t="n">
        <v>0</v>
      </c>
      <c r="P494" t="n">
        <v>0</v>
      </c>
      <c r="Q494" t="n">
        <v>0</v>
      </c>
      <c r="R494" s="2" t="inlineStr"/>
    </row>
    <row r="495" ht="15" customHeight="1">
      <c r="A495" t="inlineStr">
        <is>
          <t>A 459-2023</t>
        </is>
      </c>
      <c r="B495" s="1" t="n">
        <v>44929.87423611111</v>
      </c>
      <c r="C495" s="1" t="n">
        <v>46066</v>
      </c>
      <c r="D495" t="inlineStr">
        <is>
          <t>GOTLANDS LÄN</t>
        </is>
      </c>
      <c r="E495" t="inlineStr">
        <is>
          <t>GOTLAND</t>
        </is>
      </c>
      <c r="G495" t="n">
        <v>4.2</v>
      </c>
      <c r="H495" t="n">
        <v>0</v>
      </c>
      <c r="I495" t="n">
        <v>0</v>
      </c>
      <c r="J495" t="n">
        <v>0</v>
      </c>
      <c r="K495" t="n">
        <v>0</v>
      </c>
      <c r="L495" t="n">
        <v>0</v>
      </c>
      <c r="M495" t="n">
        <v>0</v>
      </c>
      <c r="N495" t="n">
        <v>0</v>
      </c>
      <c r="O495" t="n">
        <v>0</v>
      </c>
      <c r="P495" t="n">
        <v>0</v>
      </c>
      <c r="Q495" t="n">
        <v>0</v>
      </c>
      <c r="R495" s="2" t="inlineStr"/>
    </row>
    <row r="496" ht="15" customHeight="1">
      <c r="A496" t="inlineStr">
        <is>
          <t>A 59197-2025</t>
        </is>
      </c>
      <c r="B496" s="1" t="n">
        <v>45988.59846064815</v>
      </c>
      <c r="C496" s="1" t="n">
        <v>46066</v>
      </c>
      <c r="D496" t="inlineStr">
        <is>
          <t>GOTLANDS LÄN</t>
        </is>
      </c>
      <c r="E496" t="inlineStr">
        <is>
          <t>GOTLAND</t>
        </is>
      </c>
      <c r="G496" t="n">
        <v>2.3</v>
      </c>
      <c r="H496" t="n">
        <v>0</v>
      </c>
      <c r="I496" t="n">
        <v>0</v>
      </c>
      <c r="J496" t="n">
        <v>0</v>
      </c>
      <c r="K496" t="n">
        <v>0</v>
      </c>
      <c r="L496" t="n">
        <v>0</v>
      </c>
      <c r="M496" t="n">
        <v>0</v>
      </c>
      <c r="N496" t="n">
        <v>0</v>
      </c>
      <c r="O496" t="n">
        <v>0</v>
      </c>
      <c r="P496" t="n">
        <v>0</v>
      </c>
      <c r="Q496" t="n">
        <v>0</v>
      </c>
      <c r="R496" s="2" t="inlineStr"/>
    </row>
    <row r="497" ht="15" customHeight="1">
      <c r="A497" t="inlineStr">
        <is>
          <t>A 876-2024</t>
        </is>
      </c>
      <c r="B497" s="1" t="n">
        <v>45301</v>
      </c>
      <c r="C497" s="1" t="n">
        <v>46066</v>
      </c>
      <c r="D497" t="inlineStr">
        <is>
          <t>GOTLANDS LÄN</t>
        </is>
      </c>
      <c r="E497" t="inlineStr">
        <is>
          <t>GOTLAND</t>
        </is>
      </c>
      <c r="G497" t="n">
        <v>5.3</v>
      </c>
      <c r="H497" t="n">
        <v>0</v>
      </c>
      <c r="I497" t="n">
        <v>0</v>
      </c>
      <c r="J497" t="n">
        <v>0</v>
      </c>
      <c r="K497" t="n">
        <v>0</v>
      </c>
      <c r="L497" t="n">
        <v>0</v>
      </c>
      <c r="M497" t="n">
        <v>0</v>
      </c>
      <c r="N497" t="n">
        <v>0</v>
      </c>
      <c r="O497" t="n">
        <v>0</v>
      </c>
      <c r="P497" t="n">
        <v>0</v>
      </c>
      <c r="Q497" t="n">
        <v>0</v>
      </c>
      <c r="R497" s="2" t="inlineStr"/>
    </row>
    <row r="498" ht="15" customHeight="1">
      <c r="A498" t="inlineStr">
        <is>
          <t>A 1355-2026</t>
        </is>
      </c>
      <c r="B498" s="1" t="n">
        <v>46031.59909722222</v>
      </c>
      <c r="C498" s="1" t="n">
        <v>46066</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26891-2024</t>
        </is>
      </c>
      <c r="B499" s="1" t="n">
        <v>45470.65540509259</v>
      </c>
      <c r="C499" s="1" t="n">
        <v>46066</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14536-2021</t>
        </is>
      </c>
      <c r="B500" s="1" t="n">
        <v>44279.66168981481</v>
      </c>
      <c r="C500" s="1" t="n">
        <v>46066</v>
      </c>
      <c r="D500" t="inlineStr">
        <is>
          <t>GOTLANDS LÄN</t>
        </is>
      </c>
      <c r="E500" t="inlineStr">
        <is>
          <t>GOTLAND</t>
        </is>
      </c>
      <c r="G500" t="n">
        <v>8.5</v>
      </c>
      <c r="H500" t="n">
        <v>0</v>
      </c>
      <c r="I500" t="n">
        <v>0</v>
      </c>
      <c r="J500" t="n">
        <v>0</v>
      </c>
      <c r="K500" t="n">
        <v>0</v>
      </c>
      <c r="L500" t="n">
        <v>0</v>
      </c>
      <c r="M500" t="n">
        <v>0</v>
      </c>
      <c r="N500" t="n">
        <v>0</v>
      </c>
      <c r="O500" t="n">
        <v>0</v>
      </c>
      <c r="P500" t="n">
        <v>0</v>
      </c>
      <c r="Q500" t="n">
        <v>0</v>
      </c>
      <c r="R500" s="2" t="inlineStr"/>
    </row>
    <row r="501" ht="15" customHeight="1">
      <c r="A501" t="inlineStr">
        <is>
          <t>A 5923-2023</t>
        </is>
      </c>
      <c r="B501" s="1" t="n">
        <v>44963.69503472222</v>
      </c>
      <c r="C501" s="1" t="n">
        <v>46066</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50482-2024</t>
        </is>
      </c>
      <c r="B502" s="1" t="n">
        <v>45601.48114583334</v>
      </c>
      <c r="C502" s="1" t="n">
        <v>46066</v>
      </c>
      <c r="D502" t="inlineStr">
        <is>
          <t>GOTLANDS LÄN</t>
        </is>
      </c>
      <c r="E502" t="inlineStr">
        <is>
          <t>GOTLAND</t>
        </is>
      </c>
      <c r="G502" t="n">
        <v>2.3</v>
      </c>
      <c r="H502" t="n">
        <v>0</v>
      </c>
      <c r="I502" t="n">
        <v>0</v>
      </c>
      <c r="J502" t="n">
        <v>0</v>
      </c>
      <c r="K502" t="n">
        <v>0</v>
      </c>
      <c r="L502" t="n">
        <v>0</v>
      </c>
      <c r="M502" t="n">
        <v>0</v>
      </c>
      <c r="N502" t="n">
        <v>0</v>
      </c>
      <c r="O502" t="n">
        <v>0</v>
      </c>
      <c r="P502" t="n">
        <v>0</v>
      </c>
      <c r="Q502" t="n">
        <v>0</v>
      </c>
      <c r="R502" s="2" t="inlineStr"/>
    </row>
    <row r="503" ht="15" customHeight="1">
      <c r="A503" t="inlineStr">
        <is>
          <t>A 36319-2025</t>
        </is>
      </c>
      <c r="B503" s="1" t="n">
        <v>45868</v>
      </c>
      <c r="C503" s="1" t="n">
        <v>46066</v>
      </c>
      <c r="D503" t="inlineStr">
        <is>
          <t>GOTLANDS LÄN</t>
        </is>
      </c>
      <c r="E503" t="inlineStr">
        <is>
          <t>GOTLAND</t>
        </is>
      </c>
      <c r="G503" t="n">
        <v>2.9</v>
      </c>
      <c r="H503" t="n">
        <v>0</v>
      </c>
      <c r="I503" t="n">
        <v>0</v>
      </c>
      <c r="J503" t="n">
        <v>0</v>
      </c>
      <c r="K503" t="n">
        <v>0</v>
      </c>
      <c r="L503" t="n">
        <v>0</v>
      </c>
      <c r="M503" t="n">
        <v>0</v>
      </c>
      <c r="N503" t="n">
        <v>0</v>
      </c>
      <c r="O503" t="n">
        <v>0</v>
      </c>
      <c r="P503" t="n">
        <v>0</v>
      </c>
      <c r="Q503" t="n">
        <v>0</v>
      </c>
      <c r="R503" s="2" t="inlineStr"/>
    </row>
    <row r="504" ht="15" customHeight="1">
      <c r="A504" t="inlineStr">
        <is>
          <t>A 5943-2024</t>
        </is>
      </c>
      <c r="B504" s="1" t="n">
        <v>45336</v>
      </c>
      <c r="C504" s="1" t="n">
        <v>46066</v>
      </c>
      <c r="D504" t="inlineStr">
        <is>
          <t>GOTLANDS LÄN</t>
        </is>
      </c>
      <c r="E504" t="inlineStr">
        <is>
          <t>GOTLAND</t>
        </is>
      </c>
      <c r="G504" t="n">
        <v>4.3</v>
      </c>
      <c r="H504" t="n">
        <v>0</v>
      </c>
      <c r="I504" t="n">
        <v>0</v>
      </c>
      <c r="J504" t="n">
        <v>0</v>
      </c>
      <c r="K504" t="n">
        <v>0</v>
      </c>
      <c r="L504" t="n">
        <v>0</v>
      </c>
      <c r="M504" t="n">
        <v>0</v>
      </c>
      <c r="N504" t="n">
        <v>0</v>
      </c>
      <c r="O504" t="n">
        <v>0</v>
      </c>
      <c r="P504" t="n">
        <v>0</v>
      </c>
      <c r="Q504" t="n">
        <v>0</v>
      </c>
      <c r="R504" s="2" t="inlineStr"/>
    </row>
    <row r="505" ht="15" customHeight="1">
      <c r="A505" t="inlineStr">
        <is>
          <t>A 38234-2023</t>
        </is>
      </c>
      <c r="B505" s="1" t="n">
        <v>45161.56663194444</v>
      </c>
      <c r="C505" s="1" t="n">
        <v>46066</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1273-2023</t>
        </is>
      </c>
      <c r="B506" s="1" t="n">
        <v>44936</v>
      </c>
      <c r="C506" s="1" t="n">
        <v>46066</v>
      </c>
      <c r="D506" t="inlineStr">
        <is>
          <t>GOTLANDS LÄN</t>
        </is>
      </c>
      <c r="E506" t="inlineStr">
        <is>
          <t>GOTLAND</t>
        </is>
      </c>
      <c r="G506" t="n">
        <v>4.5</v>
      </c>
      <c r="H506" t="n">
        <v>0</v>
      </c>
      <c r="I506" t="n">
        <v>0</v>
      </c>
      <c r="J506" t="n">
        <v>0</v>
      </c>
      <c r="K506" t="n">
        <v>0</v>
      </c>
      <c r="L506" t="n">
        <v>0</v>
      </c>
      <c r="M506" t="n">
        <v>0</v>
      </c>
      <c r="N506" t="n">
        <v>0</v>
      </c>
      <c r="O506" t="n">
        <v>0</v>
      </c>
      <c r="P506" t="n">
        <v>0</v>
      </c>
      <c r="Q506" t="n">
        <v>0</v>
      </c>
      <c r="R506" s="2" t="inlineStr"/>
    </row>
    <row r="507" ht="15" customHeight="1">
      <c r="A507" t="inlineStr">
        <is>
          <t>A 1839-2026</t>
        </is>
      </c>
      <c r="B507" s="1" t="n">
        <v>46035.3942824074</v>
      </c>
      <c r="C507" s="1" t="n">
        <v>46066</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1898-2026</t>
        </is>
      </c>
      <c r="B508" s="1" t="n">
        <v>46035.52024305556</v>
      </c>
      <c r="C508" s="1" t="n">
        <v>46066</v>
      </c>
      <c r="D508" t="inlineStr">
        <is>
          <t>GOTLANDS LÄN</t>
        </is>
      </c>
      <c r="E508" t="inlineStr">
        <is>
          <t>GOTLAND</t>
        </is>
      </c>
      <c r="G508" t="n">
        <v>3.7</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46035.4171875</v>
      </c>
      <c r="C509" s="1" t="n">
        <v>46066</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17724-2024</t>
        </is>
      </c>
      <c r="B510" s="1" t="n">
        <v>45418.55096064815</v>
      </c>
      <c r="C510" s="1" t="n">
        <v>46066</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2415-2026</t>
        </is>
      </c>
      <c r="B511" s="1" t="n">
        <v>46036.76203703704</v>
      </c>
      <c r="C511" s="1" t="n">
        <v>46066</v>
      </c>
      <c r="D511" t="inlineStr">
        <is>
          <t>GOTLANDS LÄN</t>
        </is>
      </c>
      <c r="E511" t="inlineStr">
        <is>
          <t>GOTLAND</t>
        </is>
      </c>
      <c r="G511" t="n">
        <v>6.9</v>
      </c>
      <c r="H511" t="n">
        <v>0</v>
      </c>
      <c r="I511" t="n">
        <v>0</v>
      </c>
      <c r="J511" t="n">
        <v>0</v>
      </c>
      <c r="K511" t="n">
        <v>0</v>
      </c>
      <c r="L511" t="n">
        <v>0</v>
      </c>
      <c r="M511" t="n">
        <v>0</v>
      </c>
      <c r="N511" t="n">
        <v>0</v>
      </c>
      <c r="O511" t="n">
        <v>0</v>
      </c>
      <c r="P511" t="n">
        <v>0</v>
      </c>
      <c r="Q511" t="n">
        <v>0</v>
      </c>
      <c r="R511" s="2" t="inlineStr"/>
    </row>
    <row r="512" ht="15" customHeight="1">
      <c r="A512" t="inlineStr">
        <is>
          <t>A 23978-2023</t>
        </is>
      </c>
      <c r="B512" s="1" t="n">
        <v>45078</v>
      </c>
      <c r="C512" s="1" t="n">
        <v>46066</v>
      </c>
      <c r="D512" t="inlineStr">
        <is>
          <t>GOTLANDS LÄN</t>
        </is>
      </c>
      <c r="E512" t="inlineStr">
        <is>
          <t>GOTLAND</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49884-2023</t>
        </is>
      </c>
      <c r="B513" s="1" t="n">
        <v>45213</v>
      </c>
      <c r="C513" s="1" t="n">
        <v>46066</v>
      </c>
      <c r="D513" t="inlineStr">
        <is>
          <t>GOTLANDS LÄN</t>
        </is>
      </c>
      <c r="E513" t="inlineStr">
        <is>
          <t>GOTLAND</t>
        </is>
      </c>
      <c r="G513" t="n">
        <v>8.9</v>
      </c>
      <c r="H513" t="n">
        <v>0</v>
      </c>
      <c r="I513" t="n">
        <v>0</v>
      </c>
      <c r="J513" t="n">
        <v>0</v>
      </c>
      <c r="K513" t="n">
        <v>0</v>
      </c>
      <c r="L513" t="n">
        <v>0</v>
      </c>
      <c r="M513" t="n">
        <v>0</v>
      </c>
      <c r="N513" t="n">
        <v>0</v>
      </c>
      <c r="O513" t="n">
        <v>0</v>
      </c>
      <c r="P513" t="n">
        <v>0</v>
      </c>
      <c r="Q513" t="n">
        <v>0</v>
      </c>
      <c r="R513" s="2" t="inlineStr"/>
    </row>
    <row r="514" ht="15" customHeight="1">
      <c r="A514" t="inlineStr">
        <is>
          <t>A 2134-2026</t>
        </is>
      </c>
      <c r="B514" s="1" t="n">
        <v>46036</v>
      </c>
      <c r="C514" s="1" t="n">
        <v>46066</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12846-2025</t>
        </is>
      </c>
      <c r="B515" s="1" t="n">
        <v>45733.65049768519</v>
      </c>
      <c r="C515" s="1" t="n">
        <v>46066</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2135-2026</t>
        </is>
      </c>
      <c r="B516" s="1" t="n">
        <v>46036</v>
      </c>
      <c r="C516" s="1" t="n">
        <v>46066</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43200-2023</t>
        </is>
      </c>
      <c r="B517" s="1" t="n">
        <v>45183</v>
      </c>
      <c r="C517" s="1" t="n">
        <v>46066</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3935-2025</t>
        </is>
      </c>
      <c r="B518" s="1" t="n">
        <v>45684.46070601852</v>
      </c>
      <c r="C518" s="1" t="n">
        <v>46066</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21792-2024</t>
        </is>
      </c>
      <c r="B519" s="1" t="n">
        <v>45442.64326388889</v>
      </c>
      <c r="C519" s="1" t="n">
        <v>46066</v>
      </c>
      <c r="D519" t="inlineStr">
        <is>
          <t>GOTLANDS LÄN</t>
        </is>
      </c>
      <c r="E519" t="inlineStr">
        <is>
          <t>GOTLAND</t>
        </is>
      </c>
      <c r="G519" t="n">
        <v>1</v>
      </c>
      <c r="H519" t="n">
        <v>0</v>
      </c>
      <c r="I519" t="n">
        <v>0</v>
      </c>
      <c r="J519" t="n">
        <v>0</v>
      </c>
      <c r="K519" t="n">
        <v>0</v>
      </c>
      <c r="L519" t="n">
        <v>0</v>
      </c>
      <c r="M519" t="n">
        <v>0</v>
      </c>
      <c r="N519" t="n">
        <v>0</v>
      </c>
      <c r="O519" t="n">
        <v>0</v>
      </c>
      <c r="P519" t="n">
        <v>0</v>
      </c>
      <c r="Q519" t="n">
        <v>0</v>
      </c>
      <c r="R519" s="2" t="inlineStr"/>
    </row>
    <row r="520" ht="15" customHeight="1">
      <c r="A520" t="inlineStr">
        <is>
          <t>A 48843-2024</t>
        </is>
      </c>
      <c r="B520" s="1" t="n">
        <v>45593</v>
      </c>
      <c r="C520" s="1" t="n">
        <v>46066</v>
      </c>
      <c r="D520" t="inlineStr">
        <is>
          <t>GOTLANDS LÄN</t>
        </is>
      </c>
      <c r="E520" t="inlineStr">
        <is>
          <t>GOTLAND</t>
        </is>
      </c>
      <c r="G520" t="n">
        <v>0.5</v>
      </c>
      <c r="H520" t="n">
        <v>0</v>
      </c>
      <c r="I520" t="n">
        <v>0</v>
      </c>
      <c r="J520" t="n">
        <v>0</v>
      </c>
      <c r="K520" t="n">
        <v>0</v>
      </c>
      <c r="L520" t="n">
        <v>0</v>
      </c>
      <c r="M520" t="n">
        <v>0</v>
      </c>
      <c r="N520" t="n">
        <v>0</v>
      </c>
      <c r="O520" t="n">
        <v>0</v>
      </c>
      <c r="P520" t="n">
        <v>0</v>
      </c>
      <c r="Q520" t="n">
        <v>0</v>
      </c>
      <c r="R520" s="2" t="inlineStr"/>
    </row>
    <row r="521" ht="15" customHeight="1">
      <c r="A521" t="inlineStr">
        <is>
          <t>A 3067-2026</t>
        </is>
      </c>
      <c r="B521" s="1" t="n">
        <v>46040.59025462963</v>
      </c>
      <c r="C521" s="1" t="n">
        <v>46066</v>
      </c>
      <c r="D521" t="inlineStr">
        <is>
          <t>GOTLANDS LÄN</t>
        </is>
      </c>
      <c r="E521" t="inlineStr">
        <is>
          <t>GOTLAND</t>
        </is>
      </c>
      <c r="G521" t="n">
        <v>7.8</v>
      </c>
      <c r="H521" t="n">
        <v>0</v>
      </c>
      <c r="I521" t="n">
        <v>0</v>
      </c>
      <c r="J521" t="n">
        <v>0</v>
      </c>
      <c r="K521" t="n">
        <v>0</v>
      </c>
      <c r="L521" t="n">
        <v>0</v>
      </c>
      <c r="M521" t="n">
        <v>0</v>
      </c>
      <c r="N521" t="n">
        <v>0</v>
      </c>
      <c r="O521" t="n">
        <v>0</v>
      </c>
      <c r="P521" t="n">
        <v>0</v>
      </c>
      <c r="Q521" t="n">
        <v>0</v>
      </c>
      <c r="R521" s="2" t="inlineStr"/>
    </row>
    <row r="522" ht="15" customHeight="1">
      <c r="A522" t="inlineStr">
        <is>
          <t>A 3253-2026</t>
        </is>
      </c>
      <c r="B522" s="1" t="n">
        <v>46041.58902777778</v>
      </c>
      <c r="C522" s="1" t="n">
        <v>46066</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10653-2023</t>
        </is>
      </c>
      <c r="B523" s="1" t="n">
        <v>44988.48859953704</v>
      </c>
      <c r="C523" s="1" t="n">
        <v>46066</v>
      </c>
      <c r="D523" t="inlineStr">
        <is>
          <t>GOTLANDS LÄN</t>
        </is>
      </c>
      <c r="E523" t="inlineStr">
        <is>
          <t>GOTLAND</t>
        </is>
      </c>
      <c r="F523" t="inlineStr">
        <is>
          <t>Kyrkan</t>
        </is>
      </c>
      <c r="G523" t="n">
        <v>3</v>
      </c>
      <c r="H523" t="n">
        <v>0</v>
      </c>
      <c r="I523" t="n">
        <v>0</v>
      </c>
      <c r="J523" t="n">
        <v>0</v>
      </c>
      <c r="K523" t="n">
        <v>0</v>
      </c>
      <c r="L523" t="n">
        <v>0</v>
      </c>
      <c r="M523" t="n">
        <v>0</v>
      </c>
      <c r="N523" t="n">
        <v>0</v>
      </c>
      <c r="O523" t="n">
        <v>0</v>
      </c>
      <c r="P523" t="n">
        <v>0</v>
      </c>
      <c r="Q523" t="n">
        <v>0</v>
      </c>
      <c r="R523" s="2" t="inlineStr"/>
    </row>
    <row r="524" ht="15" customHeight="1">
      <c r="A524" t="inlineStr">
        <is>
          <t>A 35512-2023</t>
        </is>
      </c>
      <c r="B524" s="1" t="n">
        <v>45147.25623842593</v>
      </c>
      <c r="C524" s="1" t="n">
        <v>46066</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11874-2024</t>
        </is>
      </c>
      <c r="B525" s="1" t="n">
        <v>45376.46956018519</v>
      </c>
      <c r="C525" s="1" t="n">
        <v>46066</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20225-2025</t>
        </is>
      </c>
      <c r="B526" s="1" t="n">
        <v>45772.65802083333</v>
      </c>
      <c r="C526" s="1" t="n">
        <v>46066</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1677-2023</t>
        </is>
      </c>
      <c r="B527" s="1" t="n">
        <v>44938</v>
      </c>
      <c r="C527" s="1" t="n">
        <v>46066</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64831-2023</t>
        </is>
      </c>
      <c r="B528" s="1" t="n">
        <v>45282.44924768519</v>
      </c>
      <c r="C528" s="1" t="n">
        <v>46066</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8036-2022</t>
        </is>
      </c>
      <c r="B529" s="1" t="n">
        <v>44609.44362268518</v>
      </c>
      <c r="C529" s="1" t="n">
        <v>46066</v>
      </c>
      <c r="D529" t="inlineStr">
        <is>
          <t>GOTLANDS LÄN</t>
        </is>
      </c>
      <c r="E529" t="inlineStr">
        <is>
          <t>GOTLAND</t>
        </is>
      </c>
      <c r="G529" t="n">
        <v>6.1</v>
      </c>
      <c r="H529" t="n">
        <v>0</v>
      </c>
      <c r="I529" t="n">
        <v>0</v>
      </c>
      <c r="J529" t="n">
        <v>0</v>
      </c>
      <c r="K529" t="n">
        <v>0</v>
      </c>
      <c r="L529" t="n">
        <v>0</v>
      </c>
      <c r="M529" t="n">
        <v>0</v>
      </c>
      <c r="N529" t="n">
        <v>0</v>
      </c>
      <c r="O529" t="n">
        <v>0</v>
      </c>
      <c r="P529" t="n">
        <v>0</v>
      </c>
      <c r="Q529" t="n">
        <v>0</v>
      </c>
      <c r="R529" s="2" t="inlineStr"/>
    </row>
    <row r="530" ht="15" customHeight="1">
      <c r="A530" t="inlineStr">
        <is>
          <t>A 4670-2026</t>
        </is>
      </c>
      <c r="B530" s="1" t="n">
        <v>46048.41733796296</v>
      </c>
      <c r="C530" s="1" t="n">
        <v>46066</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4662-2026</t>
        </is>
      </c>
      <c r="B531" s="1" t="n">
        <v>46048.40949074074</v>
      </c>
      <c r="C531" s="1" t="n">
        <v>46066</v>
      </c>
      <c r="D531" t="inlineStr">
        <is>
          <t>GOTLANDS LÄN</t>
        </is>
      </c>
      <c r="E531" t="inlineStr">
        <is>
          <t>GOTLAND</t>
        </is>
      </c>
      <c r="G531" t="n">
        <v>7.6</v>
      </c>
      <c r="H531" t="n">
        <v>0</v>
      </c>
      <c r="I531" t="n">
        <v>0</v>
      </c>
      <c r="J531" t="n">
        <v>0</v>
      </c>
      <c r="K531" t="n">
        <v>0</v>
      </c>
      <c r="L531" t="n">
        <v>0</v>
      </c>
      <c r="M531" t="n">
        <v>0</v>
      </c>
      <c r="N531" t="n">
        <v>0</v>
      </c>
      <c r="O531" t="n">
        <v>0</v>
      </c>
      <c r="P531" t="n">
        <v>0</v>
      </c>
      <c r="Q531" t="n">
        <v>0</v>
      </c>
      <c r="R531" s="2" t="inlineStr"/>
    </row>
    <row r="532" ht="15" customHeight="1">
      <c r="A532" t="inlineStr">
        <is>
          <t>A 46375-2024</t>
        </is>
      </c>
      <c r="B532" s="1" t="n">
        <v>45582</v>
      </c>
      <c r="C532" s="1" t="n">
        <v>46066</v>
      </c>
      <c r="D532" t="inlineStr">
        <is>
          <t>GOTLANDS LÄN</t>
        </is>
      </c>
      <c r="E532" t="inlineStr">
        <is>
          <t>GOTLAND</t>
        </is>
      </c>
      <c r="G532" t="n">
        <v>3</v>
      </c>
      <c r="H532" t="n">
        <v>0</v>
      </c>
      <c r="I532" t="n">
        <v>0</v>
      </c>
      <c r="J532" t="n">
        <v>0</v>
      </c>
      <c r="K532" t="n">
        <v>0</v>
      </c>
      <c r="L532" t="n">
        <v>0</v>
      </c>
      <c r="M532" t="n">
        <v>0</v>
      </c>
      <c r="N532" t="n">
        <v>0</v>
      </c>
      <c r="O532" t="n">
        <v>0</v>
      </c>
      <c r="P532" t="n">
        <v>0</v>
      </c>
      <c r="Q532" t="n">
        <v>0</v>
      </c>
      <c r="R532" s="2" t="inlineStr"/>
    </row>
    <row r="533" ht="15" customHeight="1">
      <c r="A533" t="inlineStr">
        <is>
          <t>A 4646-2026</t>
        </is>
      </c>
      <c r="B533" s="1" t="n">
        <v>46048.40357638889</v>
      </c>
      <c r="C533" s="1" t="n">
        <v>46066</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4639-2026</t>
        </is>
      </c>
      <c r="B534" s="1" t="n">
        <v>46048.39880787037</v>
      </c>
      <c r="C534" s="1" t="n">
        <v>46066</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62915-2021</t>
        </is>
      </c>
      <c r="B535" s="1" t="n">
        <v>44504</v>
      </c>
      <c r="C535" s="1" t="n">
        <v>46066</v>
      </c>
      <c r="D535" t="inlineStr">
        <is>
          <t>GOTLANDS LÄN</t>
        </is>
      </c>
      <c r="E535" t="inlineStr">
        <is>
          <t>GOTLAND</t>
        </is>
      </c>
      <c r="G535" t="n">
        <v>1.1</v>
      </c>
      <c r="H535" t="n">
        <v>0</v>
      </c>
      <c r="I535" t="n">
        <v>0</v>
      </c>
      <c r="J535" t="n">
        <v>0</v>
      </c>
      <c r="K535" t="n">
        <v>0</v>
      </c>
      <c r="L535" t="n">
        <v>0</v>
      </c>
      <c r="M535" t="n">
        <v>0</v>
      </c>
      <c r="N535" t="n">
        <v>0</v>
      </c>
      <c r="O535" t="n">
        <v>0</v>
      </c>
      <c r="P535" t="n">
        <v>0</v>
      </c>
      <c r="Q535" t="n">
        <v>0</v>
      </c>
      <c r="R535" s="2" t="inlineStr"/>
    </row>
    <row r="536" ht="15" customHeight="1">
      <c r="A536" t="inlineStr">
        <is>
          <t>A 62066-2025</t>
        </is>
      </c>
      <c r="B536" s="1" t="n">
        <v>46006.34738425926</v>
      </c>
      <c r="C536" s="1" t="n">
        <v>46066</v>
      </c>
      <c r="D536" t="inlineStr">
        <is>
          <t>GOTLANDS LÄN</t>
        </is>
      </c>
      <c r="E536" t="inlineStr">
        <is>
          <t>GOTLAND</t>
        </is>
      </c>
      <c r="G536" t="n">
        <v>1.7</v>
      </c>
      <c r="H536" t="n">
        <v>0</v>
      </c>
      <c r="I536" t="n">
        <v>0</v>
      </c>
      <c r="J536" t="n">
        <v>0</v>
      </c>
      <c r="K536" t="n">
        <v>0</v>
      </c>
      <c r="L536" t="n">
        <v>0</v>
      </c>
      <c r="M536" t="n">
        <v>0</v>
      </c>
      <c r="N536" t="n">
        <v>0</v>
      </c>
      <c r="O536" t="n">
        <v>0</v>
      </c>
      <c r="P536" t="n">
        <v>0</v>
      </c>
      <c r="Q536" t="n">
        <v>0</v>
      </c>
      <c r="R536" s="2" t="inlineStr"/>
    </row>
    <row r="537" ht="15" customHeight="1">
      <c r="A537" t="inlineStr">
        <is>
          <t>A 62103-2025</t>
        </is>
      </c>
      <c r="B537" s="1" t="n">
        <v>46006</v>
      </c>
      <c r="C537" s="1" t="n">
        <v>46066</v>
      </c>
      <c r="D537" t="inlineStr">
        <is>
          <t>GOTLANDS LÄN</t>
        </is>
      </c>
      <c r="E537" t="inlineStr">
        <is>
          <t>GOTLAND</t>
        </is>
      </c>
      <c r="F537" t="inlineStr">
        <is>
          <t>Övriga Aktiebolag</t>
        </is>
      </c>
      <c r="G537" t="n">
        <v>1.7</v>
      </c>
      <c r="H537" t="n">
        <v>0</v>
      </c>
      <c r="I537" t="n">
        <v>0</v>
      </c>
      <c r="J537" t="n">
        <v>0</v>
      </c>
      <c r="K537" t="n">
        <v>0</v>
      </c>
      <c r="L537" t="n">
        <v>0</v>
      </c>
      <c r="M537" t="n">
        <v>0</v>
      </c>
      <c r="N537" t="n">
        <v>0</v>
      </c>
      <c r="O537" t="n">
        <v>0</v>
      </c>
      <c r="P537" t="n">
        <v>0</v>
      </c>
      <c r="Q537" t="n">
        <v>0</v>
      </c>
      <c r="R537" s="2" t="inlineStr"/>
    </row>
    <row r="538" ht="15" customHeight="1">
      <c r="A538" t="inlineStr">
        <is>
          <t>A 4634-2026</t>
        </is>
      </c>
      <c r="B538" s="1" t="n">
        <v>46048.39304398148</v>
      </c>
      <c r="C538" s="1" t="n">
        <v>46066</v>
      </c>
      <c r="D538" t="inlineStr">
        <is>
          <t>GOTLANDS LÄN</t>
        </is>
      </c>
      <c r="E538" t="inlineStr">
        <is>
          <t>GOTLAND</t>
        </is>
      </c>
      <c r="G538" t="n">
        <v>7.8</v>
      </c>
      <c r="H538" t="n">
        <v>0</v>
      </c>
      <c r="I538" t="n">
        <v>0</v>
      </c>
      <c r="J538" t="n">
        <v>0</v>
      </c>
      <c r="K538" t="n">
        <v>0</v>
      </c>
      <c r="L538" t="n">
        <v>0</v>
      </c>
      <c r="M538" t="n">
        <v>0</v>
      </c>
      <c r="N538" t="n">
        <v>0</v>
      </c>
      <c r="O538" t="n">
        <v>0</v>
      </c>
      <c r="P538" t="n">
        <v>0</v>
      </c>
      <c r="Q538" t="n">
        <v>0</v>
      </c>
      <c r="R538" s="2" t="inlineStr"/>
    </row>
    <row r="539" ht="15" customHeight="1">
      <c r="A539" t="inlineStr">
        <is>
          <t>A 7638-2025</t>
        </is>
      </c>
      <c r="B539" s="1" t="n">
        <v>45705.77306712963</v>
      </c>
      <c r="C539" s="1" t="n">
        <v>46066</v>
      </c>
      <c r="D539" t="inlineStr">
        <is>
          <t>GOTLANDS LÄN</t>
        </is>
      </c>
      <c r="E539" t="inlineStr">
        <is>
          <t>GOTLAND</t>
        </is>
      </c>
      <c r="G539" t="n">
        <v>2.2</v>
      </c>
      <c r="H539" t="n">
        <v>0</v>
      </c>
      <c r="I539" t="n">
        <v>0</v>
      </c>
      <c r="J539" t="n">
        <v>0</v>
      </c>
      <c r="K539" t="n">
        <v>0</v>
      </c>
      <c r="L539" t="n">
        <v>0</v>
      </c>
      <c r="M539" t="n">
        <v>0</v>
      </c>
      <c r="N539" t="n">
        <v>0</v>
      </c>
      <c r="O539" t="n">
        <v>0</v>
      </c>
      <c r="P539" t="n">
        <v>0</v>
      </c>
      <c r="Q539" t="n">
        <v>0</v>
      </c>
      <c r="R539" s="2" t="inlineStr"/>
    </row>
    <row r="540" ht="15" customHeight="1">
      <c r="A540" t="inlineStr">
        <is>
          <t>A 63000-2025</t>
        </is>
      </c>
      <c r="B540" s="1" t="n">
        <v>46009</v>
      </c>
      <c r="C540" s="1" t="n">
        <v>46066</v>
      </c>
      <c r="D540" t="inlineStr">
        <is>
          <t>GOTLANDS LÄN</t>
        </is>
      </c>
      <c r="E540" t="inlineStr">
        <is>
          <t>GOTLAND</t>
        </is>
      </c>
      <c r="F540" t="inlineStr">
        <is>
          <t>Övriga Aktiebolag</t>
        </is>
      </c>
      <c r="G540" t="n">
        <v>1.7</v>
      </c>
      <c r="H540" t="n">
        <v>0</v>
      </c>
      <c r="I540" t="n">
        <v>0</v>
      </c>
      <c r="J540" t="n">
        <v>0</v>
      </c>
      <c r="K540" t="n">
        <v>0</v>
      </c>
      <c r="L540" t="n">
        <v>0</v>
      </c>
      <c r="M540" t="n">
        <v>0</v>
      </c>
      <c r="N540" t="n">
        <v>0</v>
      </c>
      <c r="O540" t="n">
        <v>0</v>
      </c>
      <c r="P540" t="n">
        <v>0</v>
      </c>
      <c r="Q540" t="n">
        <v>0</v>
      </c>
      <c r="R540" s="2" t="inlineStr"/>
    </row>
    <row r="541" ht="15" customHeight="1">
      <c r="A541" t="inlineStr">
        <is>
          <t>A 62751-2025</t>
        </is>
      </c>
      <c r="B541" s="1" t="n">
        <v>46008</v>
      </c>
      <c r="C541" s="1" t="n">
        <v>46066</v>
      </c>
      <c r="D541" t="inlineStr">
        <is>
          <t>GOTLANDS LÄN</t>
        </is>
      </c>
      <c r="E541" t="inlineStr">
        <is>
          <t>GOTLAND</t>
        </is>
      </c>
      <c r="F541" t="inlineStr">
        <is>
          <t>Övriga Aktiebolag</t>
        </is>
      </c>
      <c r="G541" t="n">
        <v>7.8</v>
      </c>
      <c r="H541" t="n">
        <v>0</v>
      </c>
      <c r="I541" t="n">
        <v>0</v>
      </c>
      <c r="J541" t="n">
        <v>0</v>
      </c>
      <c r="K541" t="n">
        <v>0</v>
      </c>
      <c r="L541" t="n">
        <v>0</v>
      </c>
      <c r="M541" t="n">
        <v>0</v>
      </c>
      <c r="N541" t="n">
        <v>0</v>
      </c>
      <c r="O541" t="n">
        <v>0</v>
      </c>
      <c r="P541" t="n">
        <v>0</v>
      </c>
      <c r="Q541" t="n">
        <v>0</v>
      </c>
      <c r="R541" s="2" t="inlineStr"/>
    </row>
    <row r="542" ht="15" customHeight="1">
      <c r="A542" t="inlineStr">
        <is>
          <t>A 47147-2025</t>
        </is>
      </c>
      <c r="B542" s="1" t="n">
        <v>45929</v>
      </c>
      <c r="C542" s="1" t="n">
        <v>46066</v>
      </c>
      <c r="D542" t="inlineStr">
        <is>
          <t>GOTLANDS LÄN</t>
        </is>
      </c>
      <c r="E542" t="inlineStr">
        <is>
          <t>GOTLAND</t>
        </is>
      </c>
      <c r="G542" t="n">
        <v>2.3</v>
      </c>
      <c r="H542" t="n">
        <v>0</v>
      </c>
      <c r="I542" t="n">
        <v>0</v>
      </c>
      <c r="J542" t="n">
        <v>0</v>
      </c>
      <c r="K542" t="n">
        <v>0</v>
      </c>
      <c r="L542" t="n">
        <v>0</v>
      </c>
      <c r="M542" t="n">
        <v>0</v>
      </c>
      <c r="N542" t="n">
        <v>0</v>
      </c>
      <c r="O542" t="n">
        <v>0</v>
      </c>
      <c r="P542" t="n">
        <v>0</v>
      </c>
      <c r="Q542" t="n">
        <v>0</v>
      </c>
      <c r="R542" s="2" t="inlineStr"/>
    </row>
    <row r="543" ht="15" customHeight="1">
      <c r="A543" t="inlineStr">
        <is>
          <t>A 4377-2023</t>
        </is>
      </c>
      <c r="B543" s="1" t="n">
        <v>44955.5502662037</v>
      </c>
      <c r="C543" s="1" t="n">
        <v>46066</v>
      </c>
      <c r="D543" t="inlineStr">
        <is>
          <t>GOTLANDS LÄN</t>
        </is>
      </c>
      <c r="E543" t="inlineStr">
        <is>
          <t>GOTLAND</t>
        </is>
      </c>
      <c r="F543" t="inlineStr">
        <is>
          <t>Kyrkan</t>
        </is>
      </c>
      <c r="G543" t="n">
        <v>0.6</v>
      </c>
      <c r="H543" t="n">
        <v>0</v>
      </c>
      <c r="I543" t="n">
        <v>0</v>
      </c>
      <c r="J543" t="n">
        <v>0</v>
      </c>
      <c r="K543" t="n">
        <v>0</v>
      </c>
      <c r="L543" t="n">
        <v>0</v>
      </c>
      <c r="M543" t="n">
        <v>0</v>
      </c>
      <c r="N543" t="n">
        <v>0</v>
      </c>
      <c r="O543" t="n">
        <v>0</v>
      </c>
      <c r="P543" t="n">
        <v>0</v>
      </c>
      <c r="Q543" t="n">
        <v>0</v>
      </c>
      <c r="R543" s="2" t="inlineStr"/>
    </row>
    <row r="544" ht="15" customHeight="1">
      <c r="A544" t="inlineStr">
        <is>
          <t>A 62754-2025</t>
        </is>
      </c>
      <c r="B544" s="1" t="n">
        <v>46008</v>
      </c>
      <c r="C544" s="1" t="n">
        <v>46066</v>
      </c>
      <c r="D544" t="inlineStr">
        <is>
          <t>GOTLANDS LÄN</t>
        </is>
      </c>
      <c r="E544" t="inlineStr">
        <is>
          <t>GOTLAND</t>
        </is>
      </c>
      <c r="F544" t="inlineStr">
        <is>
          <t>Övriga Aktiebolag</t>
        </is>
      </c>
      <c r="G544" t="n">
        <v>2.9</v>
      </c>
      <c r="H544" t="n">
        <v>0</v>
      </c>
      <c r="I544" t="n">
        <v>0</v>
      </c>
      <c r="J544" t="n">
        <v>0</v>
      </c>
      <c r="K544" t="n">
        <v>0</v>
      </c>
      <c r="L544" t="n">
        <v>0</v>
      </c>
      <c r="M544" t="n">
        <v>0</v>
      </c>
      <c r="N544" t="n">
        <v>0</v>
      </c>
      <c r="O544" t="n">
        <v>0</v>
      </c>
      <c r="P544" t="n">
        <v>0</v>
      </c>
      <c r="Q544" t="n">
        <v>0</v>
      </c>
      <c r="R544" s="2" t="inlineStr"/>
    </row>
    <row r="545" ht="15" customHeight="1">
      <c r="A545" t="inlineStr">
        <is>
          <t>A 63002-2025</t>
        </is>
      </c>
      <c r="B545" s="1" t="n">
        <v>46009.56564814815</v>
      </c>
      <c r="C545" s="1" t="n">
        <v>46066</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43901-2023</t>
        </is>
      </c>
      <c r="B546" s="1" t="n">
        <v>45187</v>
      </c>
      <c r="C546" s="1" t="n">
        <v>46066</v>
      </c>
      <c r="D546" t="inlineStr">
        <is>
          <t>GOTLANDS LÄN</t>
        </is>
      </c>
      <c r="E546" t="inlineStr">
        <is>
          <t>GOTLAND</t>
        </is>
      </c>
      <c r="G546" t="n">
        <v>5.4</v>
      </c>
      <c r="H546" t="n">
        <v>0</v>
      </c>
      <c r="I546" t="n">
        <v>0</v>
      </c>
      <c r="J546" t="n">
        <v>0</v>
      </c>
      <c r="K546" t="n">
        <v>0</v>
      </c>
      <c r="L546" t="n">
        <v>0</v>
      </c>
      <c r="M546" t="n">
        <v>0</v>
      </c>
      <c r="N546" t="n">
        <v>0</v>
      </c>
      <c r="O546" t="n">
        <v>0</v>
      </c>
      <c r="P546" t="n">
        <v>0</v>
      </c>
      <c r="Q546" t="n">
        <v>0</v>
      </c>
      <c r="R546" s="2" t="inlineStr"/>
    </row>
    <row r="547" ht="15" customHeight="1">
      <c r="A547" t="inlineStr">
        <is>
          <t>A 17532-2024</t>
        </is>
      </c>
      <c r="B547" s="1" t="n">
        <v>45415</v>
      </c>
      <c r="C547" s="1" t="n">
        <v>46066</v>
      </c>
      <c r="D547" t="inlineStr">
        <is>
          <t>GOTLANDS LÄN</t>
        </is>
      </c>
      <c r="E547" t="inlineStr">
        <is>
          <t>GOTLAND</t>
        </is>
      </c>
      <c r="G547" t="n">
        <v>4.3</v>
      </c>
      <c r="H547" t="n">
        <v>0</v>
      </c>
      <c r="I547" t="n">
        <v>0</v>
      </c>
      <c r="J547" t="n">
        <v>0</v>
      </c>
      <c r="K547" t="n">
        <v>0</v>
      </c>
      <c r="L547" t="n">
        <v>0</v>
      </c>
      <c r="M547" t="n">
        <v>0</v>
      </c>
      <c r="N547" t="n">
        <v>0</v>
      </c>
      <c r="O547" t="n">
        <v>0</v>
      </c>
      <c r="P547" t="n">
        <v>0</v>
      </c>
      <c r="Q547" t="n">
        <v>0</v>
      </c>
      <c r="R547" s="2" t="inlineStr"/>
    </row>
    <row r="548" ht="15" customHeight="1">
      <c r="A548" t="inlineStr">
        <is>
          <t>A 45692-2023</t>
        </is>
      </c>
      <c r="B548" s="1" t="n">
        <v>45195</v>
      </c>
      <c r="C548" s="1" t="n">
        <v>46066</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6207-2026</t>
        </is>
      </c>
      <c r="B549" s="1" t="n">
        <v>46055.42083333333</v>
      </c>
      <c r="C549" s="1" t="n">
        <v>46066</v>
      </c>
      <c r="D549" t="inlineStr">
        <is>
          <t>GOTLANDS LÄN</t>
        </is>
      </c>
      <c r="E549" t="inlineStr">
        <is>
          <t>GOTLAND</t>
        </is>
      </c>
      <c r="G549" t="n">
        <v>7.6</v>
      </c>
      <c r="H549" t="n">
        <v>0</v>
      </c>
      <c r="I549" t="n">
        <v>0</v>
      </c>
      <c r="J549" t="n">
        <v>0</v>
      </c>
      <c r="K549" t="n">
        <v>0</v>
      </c>
      <c r="L549" t="n">
        <v>0</v>
      </c>
      <c r="M549" t="n">
        <v>0</v>
      </c>
      <c r="N549" t="n">
        <v>0</v>
      </c>
      <c r="O549" t="n">
        <v>0</v>
      </c>
      <c r="P549" t="n">
        <v>0</v>
      </c>
      <c r="Q549" t="n">
        <v>0</v>
      </c>
      <c r="R549" s="2" t="inlineStr"/>
    </row>
    <row r="550" ht="15" customHeight="1">
      <c r="A550" t="inlineStr">
        <is>
          <t>A 37222-2021</t>
        </is>
      </c>
      <c r="B550" s="1" t="n">
        <v>44396</v>
      </c>
      <c r="C550" s="1" t="n">
        <v>46066</v>
      </c>
      <c r="D550" t="inlineStr">
        <is>
          <t>GOTLANDS LÄN</t>
        </is>
      </c>
      <c r="E550" t="inlineStr">
        <is>
          <t>GOTLAND</t>
        </is>
      </c>
      <c r="G550" t="n">
        <v>3</v>
      </c>
      <c r="H550" t="n">
        <v>0</v>
      </c>
      <c r="I550" t="n">
        <v>0</v>
      </c>
      <c r="J550" t="n">
        <v>0</v>
      </c>
      <c r="K550" t="n">
        <v>0</v>
      </c>
      <c r="L550" t="n">
        <v>0</v>
      </c>
      <c r="M550" t="n">
        <v>0</v>
      </c>
      <c r="N550" t="n">
        <v>0</v>
      </c>
      <c r="O550" t="n">
        <v>0</v>
      </c>
      <c r="P550" t="n">
        <v>0</v>
      </c>
      <c r="Q550" t="n">
        <v>0</v>
      </c>
      <c r="R550" s="2" t="inlineStr"/>
    </row>
    <row r="551" ht="15" customHeight="1">
      <c r="A551" t="inlineStr">
        <is>
          <t>A 5863-2026</t>
        </is>
      </c>
      <c r="B551" s="1" t="n">
        <v>46052.36697916667</v>
      </c>
      <c r="C551" s="1" t="n">
        <v>46066</v>
      </c>
      <c r="D551" t="inlineStr">
        <is>
          <t>GOTLANDS LÄN</t>
        </is>
      </c>
      <c r="E551" t="inlineStr">
        <is>
          <t>GOTLAND</t>
        </is>
      </c>
      <c r="G551" t="n">
        <v>1.8</v>
      </c>
      <c r="H551" t="n">
        <v>0</v>
      </c>
      <c r="I551" t="n">
        <v>0</v>
      </c>
      <c r="J551" t="n">
        <v>0</v>
      </c>
      <c r="K551" t="n">
        <v>0</v>
      </c>
      <c r="L551" t="n">
        <v>0</v>
      </c>
      <c r="M551" t="n">
        <v>0</v>
      </c>
      <c r="N551" t="n">
        <v>0</v>
      </c>
      <c r="O551" t="n">
        <v>0</v>
      </c>
      <c r="P551" t="n">
        <v>0</v>
      </c>
      <c r="Q551" t="n">
        <v>0</v>
      </c>
      <c r="R551" s="2" t="inlineStr"/>
    </row>
    <row r="552" ht="15" customHeight="1">
      <c r="A552" t="inlineStr">
        <is>
          <t>A 46396-2023</t>
        </is>
      </c>
      <c r="B552" s="1" t="n">
        <v>45197</v>
      </c>
      <c r="C552" s="1" t="n">
        <v>46066</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46066</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6218-2026</t>
        </is>
      </c>
      <c r="B554" s="1" t="n">
        <v>46055.42859953704</v>
      </c>
      <c r="C554" s="1" t="n">
        <v>46066</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6960-2026</t>
        </is>
      </c>
      <c r="B555" s="1" t="n">
        <v>46057.58105324074</v>
      </c>
      <c r="C555" s="1" t="n">
        <v>46066</v>
      </c>
      <c r="D555" t="inlineStr">
        <is>
          <t>GOTLANDS LÄN</t>
        </is>
      </c>
      <c r="E555" t="inlineStr">
        <is>
          <t>GOTLAND</t>
        </is>
      </c>
      <c r="F555" t="inlineStr">
        <is>
          <t>Kyrkan</t>
        </is>
      </c>
      <c r="G555" t="n">
        <v>2.4</v>
      </c>
      <c r="H555" t="n">
        <v>0</v>
      </c>
      <c r="I555" t="n">
        <v>0</v>
      </c>
      <c r="J555" t="n">
        <v>0</v>
      </c>
      <c r="K555" t="n">
        <v>0</v>
      </c>
      <c r="L555" t="n">
        <v>0</v>
      </c>
      <c r="M555" t="n">
        <v>0</v>
      </c>
      <c r="N555" t="n">
        <v>0</v>
      </c>
      <c r="O555" t="n">
        <v>0</v>
      </c>
      <c r="P555" t="n">
        <v>0</v>
      </c>
      <c r="Q555" t="n">
        <v>0</v>
      </c>
      <c r="R555" s="2" t="inlineStr"/>
    </row>
    <row r="556" ht="15" customHeight="1">
      <c r="A556" t="inlineStr">
        <is>
          <t>A 53934-2024</t>
        </is>
      </c>
      <c r="B556" s="1" t="n">
        <v>45615</v>
      </c>
      <c r="C556" s="1" t="n">
        <v>46066</v>
      </c>
      <c r="D556" t="inlineStr">
        <is>
          <t>GOTLANDS LÄN</t>
        </is>
      </c>
      <c r="E556" t="inlineStr">
        <is>
          <t>GOTLAND</t>
        </is>
      </c>
      <c r="G556" t="n">
        <v>5</v>
      </c>
      <c r="H556" t="n">
        <v>0</v>
      </c>
      <c r="I556" t="n">
        <v>0</v>
      </c>
      <c r="J556" t="n">
        <v>0</v>
      </c>
      <c r="K556" t="n">
        <v>0</v>
      </c>
      <c r="L556" t="n">
        <v>0</v>
      </c>
      <c r="M556" t="n">
        <v>0</v>
      </c>
      <c r="N556" t="n">
        <v>0</v>
      </c>
      <c r="O556" t="n">
        <v>0</v>
      </c>
      <c r="P556" t="n">
        <v>0</v>
      </c>
      <c r="Q556" t="n">
        <v>0</v>
      </c>
      <c r="R556" s="2" t="inlineStr"/>
    </row>
    <row r="557" ht="15" customHeight="1">
      <c r="A557" t="inlineStr">
        <is>
          <t>A 54584-2025</t>
        </is>
      </c>
      <c r="B557" s="1" t="n">
        <v>45965.71788194445</v>
      </c>
      <c r="C557" s="1" t="n">
        <v>46066</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58132-2023</t>
        </is>
      </c>
      <c r="B558" s="1" t="n">
        <v>45250</v>
      </c>
      <c r="C558" s="1" t="n">
        <v>46066</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22899-2023</t>
        </is>
      </c>
      <c r="B559" s="1" t="n">
        <v>45072</v>
      </c>
      <c r="C559" s="1" t="n">
        <v>46066</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28285-2024</t>
        </is>
      </c>
      <c r="B560" s="1" t="n">
        <v>45477</v>
      </c>
      <c r="C560" s="1" t="n">
        <v>46066</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6959-2026</t>
        </is>
      </c>
      <c r="B561" s="1" t="n">
        <v>46057.580625</v>
      </c>
      <c r="C561" s="1" t="n">
        <v>46066</v>
      </c>
      <c r="D561" t="inlineStr">
        <is>
          <t>GOTLANDS LÄN</t>
        </is>
      </c>
      <c r="E561" t="inlineStr">
        <is>
          <t>GOTLAND</t>
        </is>
      </c>
      <c r="F561" t="inlineStr">
        <is>
          <t>Kyrkan</t>
        </is>
      </c>
      <c r="G561" t="n">
        <v>1.2</v>
      </c>
      <c r="H561" t="n">
        <v>0</v>
      </c>
      <c r="I561" t="n">
        <v>0</v>
      </c>
      <c r="J561" t="n">
        <v>0</v>
      </c>
      <c r="K561" t="n">
        <v>0</v>
      </c>
      <c r="L561" t="n">
        <v>0</v>
      </c>
      <c r="M561" t="n">
        <v>0</v>
      </c>
      <c r="N561" t="n">
        <v>0</v>
      </c>
      <c r="O561" t="n">
        <v>0</v>
      </c>
      <c r="P561" t="n">
        <v>0</v>
      </c>
      <c r="Q561" t="n">
        <v>0</v>
      </c>
      <c r="R561" s="2" t="inlineStr"/>
    </row>
    <row r="562" ht="15" customHeight="1">
      <c r="A562" t="inlineStr">
        <is>
          <t>A 51963-2024</t>
        </is>
      </c>
      <c r="B562" s="1" t="n">
        <v>45607.64833333333</v>
      </c>
      <c r="C562" s="1" t="n">
        <v>46066</v>
      </c>
      <c r="D562" t="inlineStr">
        <is>
          <t>GOTLANDS LÄN</t>
        </is>
      </c>
      <c r="E562" t="inlineStr">
        <is>
          <t>GOTLAND</t>
        </is>
      </c>
      <c r="G562" t="n">
        <v>2.4</v>
      </c>
      <c r="H562" t="n">
        <v>0</v>
      </c>
      <c r="I562" t="n">
        <v>0</v>
      </c>
      <c r="J562" t="n">
        <v>0</v>
      </c>
      <c r="K562" t="n">
        <v>0</v>
      </c>
      <c r="L562" t="n">
        <v>0</v>
      </c>
      <c r="M562" t="n">
        <v>0</v>
      </c>
      <c r="N562" t="n">
        <v>0</v>
      </c>
      <c r="O562" t="n">
        <v>0</v>
      </c>
      <c r="P562" t="n">
        <v>0</v>
      </c>
      <c r="Q562" t="n">
        <v>0</v>
      </c>
      <c r="R562" s="2" t="inlineStr"/>
    </row>
    <row r="563" ht="15" customHeight="1">
      <c r="A563" t="inlineStr">
        <is>
          <t>A 1734-2025</t>
        </is>
      </c>
      <c r="B563" s="1" t="n">
        <v>45671.3840625</v>
      </c>
      <c r="C563" s="1" t="n">
        <v>46066</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30365-2024</t>
        </is>
      </c>
      <c r="B564" s="1" t="n">
        <v>45491.3716087963</v>
      </c>
      <c r="C564" s="1" t="n">
        <v>46066</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2674-2023</t>
        </is>
      </c>
      <c r="B565" s="1" t="n">
        <v>44944</v>
      </c>
      <c r="C565" s="1" t="n">
        <v>46066</v>
      </c>
      <c r="D565" t="inlineStr">
        <is>
          <t>GOTLANDS LÄN</t>
        </is>
      </c>
      <c r="E565" t="inlineStr">
        <is>
          <t>GOTLAND</t>
        </is>
      </c>
      <c r="G565" t="n">
        <v>2.5</v>
      </c>
      <c r="H565" t="n">
        <v>0</v>
      </c>
      <c r="I565" t="n">
        <v>0</v>
      </c>
      <c r="J565" t="n">
        <v>0</v>
      </c>
      <c r="K565" t="n">
        <v>0</v>
      </c>
      <c r="L565" t="n">
        <v>0</v>
      </c>
      <c r="M565" t="n">
        <v>0</v>
      </c>
      <c r="N565" t="n">
        <v>0</v>
      </c>
      <c r="O565" t="n">
        <v>0</v>
      </c>
      <c r="P565" t="n">
        <v>0</v>
      </c>
      <c r="Q565" t="n">
        <v>0</v>
      </c>
      <c r="R565" s="2" t="inlineStr"/>
    </row>
    <row r="566" ht="15" customHeight="1">
      <c r="A566" t="inlineStr">
        <is>
          <t>A 61100-2022</t>
        </is>
      </c>
      <c r="B566" s="1" t="n">
        <v>44915</v>
      </c>
      <c r="C566" s="1" t="n">
        <v>46066</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581-2023</t>
        </is>
      </c>
      <c r="B567" s="1" t="n">
        <v>44930</v>
      </c>
      <c r="C567" s="1" t="n">
        <v>46066</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10655-2023</t>
        </is>
      </c>
      <c r="B568" s="1" t="n">
        <v>44988.49543981482</v>
      </c>
      <c r="C568" s="1" t="n">
        <v>46066</v>
      </c>
      <c r="D568" t="inlineStr">
        <is>
          <t>GOTLANDS LÄN</t>
        </is>
      </c>
      <c r="E568" t="inlineStr">
        <is>
          <t>GOTLAND</t>
        </is>
      </c>
      <c r="F568" t="inlineStr">
        <is>
          <t>Kyrkan</t>
        </is>
      </c>
      <c r="G568" t="n">
        <v>2</v>
      </c>
      <c r="H568" t="n">
        <v>0</v>
      </c>
      <c r="I568" t="n">
        <v>0</v>
      </c>
      <c r="J568" t="n">
        <v>0</v>
      </c>
      <c r="K568" t="n">
        <v>0</v>
      </c>
      <c r="L568" t="n">
        <v>0</v>
      </c>
      <c r="M568" t="n">
        <v>0</v>
      </c>
      <c r="N568" t="n">
        <v>0</v>
      </c>
      <c r="O568" t="n">
        <v>0</v>
      </c>
      <c r="P568" t="n">
        <v>0</v>
      </c>
      <c r="Q568" t="n">
        <v>0</v>
      </c>
      <c r="R568" s="2" t="inlineStr"/>
    </row>
    <row r="569" ht="15" customHeight="1">
      <c r="A569" t="inlineStr">
        <is>
          <t>A 44649-2021</t>
        </is>
      </c>
      <c r="B569" s="1" t="n">
        <v>44437</v>
      </c>
      <c r="C569" s="1" t="n">
        <v>46066</v>
      </c>
      <c r="D569" t="inlineStr">
        <is>
          <t>GOTLANDS LÄN</t>
        </is>
      </c>
      <c r="E569" t="inlineStr">
        <is>
          <t>GOTLAND</t>
        </is>
      </c>
      <c r="G569" t="n">
        <v>8.1</v>
      </c>
      <c r="H569" t="n">
        <v>0</v>
      </c>
      <c r="I569" t="n">
        <v>0</v>
      </c>
      <c r="J569" t="n">
        <v>0</v>
      </c>
      <c r="K569" t="n">
        <v>0</v>
      </c>
      <c r="L569" t="n">
        <v>0</v>
      </c>
      <c r="M569" t="n">
        <v>0</v>
      </c>
      <c r="N569" t="n">
        <v>0</v>
      </c>
      <c r="O569" t="n">
        <v>0</v>
      </c>
      <c r="P569" t="n">
        <v>0</v>
      </c>
      <c r="Q569" t="n">
        <v>0</v>
      </c>
      <c r="R569" s="2" t="inlineStr"/>
    </row>
    <row r="570" ht="15" customHeight="1">
      <c r="A570" t="inlineStr">
        <is>
          <t>A 8484-2025</t>
        </is>
      </c>
      <c r="B570" s="1" t="n">
        <v>45709</v>
      </c>
      <c r="C570" s="1" t="n">
        <v>46066</v>
      </c>
      <c r="D570" t="inlineStr">
        <is>
          <t>GOTLANDS LÄN</t>
        </is>
      </c>
      <c r="E570" t="inlineStr">
        <is>
          <t>GOTLAND</t>
        </is>
      </c>
      <c r="G570" t="n">
        <v>1.2</v>
      </c>
      <c r="H570" t="n">
        <v>0</v>
      </c>
      <c r="I570" t="n">
        <v>0</v>
      </c>
      <c r="J570" t="n">
        <v>0</v>
      </c>
      <c r="K570" t="n">
        <v>0</v>
      </c>
      <c r="L570" t="n">
        <v>0</v>
      </c>
      <c r="M570" t="n">
        <v>0</v>
      </c>
      <c r="N570" t="n">
        <v>0</v>
      </c>
      <c r="O570" t="n">
        <v>0</v>
      </c>
      <c r="P570" t="n">
        <v>0</v>
      </c>
      <c r="Q570" t="n">
        <v>0</v>
      </c>
      <c r="R570" s="2" t="inlineStr"/>
    </row>
    <row r="571" ht="15" customHeight="1">
      <c r="A571" t="inlineStr">
        <is>
          <t>A 49962-2023</t>
        </is>
      </c>
      <c r="B571" s="1" t="n">
        <v>45215.38775462963</v>
      </c>
      <c r="C571" s="1" t="n">
        <v>46066</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50744-2024</t>
        </is>
      </c>
      <c r="B572" s="1" t="n">
        <v>45602.4187037037</v>
      </c>
      <c r="C572" s="1" t="n">
        <v>46066</v>
      </c>
      <c r="D572" t="inlineStr">
        <is>
          <t>GOTLANDS LÄN</t>
        </is>
      </c>
      <c r="E572" t="inlineStr">
        <is>
          <t>GOTLAND</t>
        </is>
      </c>
      <c r="G572" t="n">
        <v>3.2</v>
      </c>
      <c r="H572" t="n">
        <v>0</v>
      </c>
      <c r="I572" t="n">
        <v>0</v>
      </c>
      <c r="J572" t="n">
        <v>0</v>
      </c>
      <c r="K572" t="n">
        <v>0</v>
      </c>
      <c r="L572" t="n">
        <v>0</v>
      </c>
      <c r="M572" t="n">
        <v>0</v>
      </c>
      <c r="N572" t="n">
        <v>0</v>
      </c>
      <c r="O572" t="n">
        <v>0</v>
      </c>
      <c r="P572" t="n">
        <v>0</v>
      </c>
      <c r="Q572" t="n">
        <v>0</v>
      </c>
      <c r="R572" s="2" t="inlineStr"/>
    </row>
    <row r="573" ht="15" customHeight="1">
      <c r="A573" t="inlineStr">
        <is>
          <t>A 45244-2024</t>
        </is>
      </c>
      <c r="B573" s="1" t="n">
        <v>45576</v>
      </c>
      <c r="C573" s="1" t="n">
        <v>46066</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38787-2023</t>
        </is>
      </c>
      <c r="B574" s="1" t="n">
        <v>45163</v>
      </c>
      <c r="C574" s="1" t="n">
        <v>46066</v>
      </c>
      <c r="D574" t="inlineStr">
        <is>
          <t>GOTLANDS LÄN</t>
        </is>
      </c>
      <c r="E574" t="inlineStr">
        <is>
          <t>GOTLAND</t>
        </is>
      </c>
      <c r="G574" t="n">
        <v>0.4</v>
      </c>
      <c r="H574" t="n">
        <v>0</v>
      </c>
      <c r="I574" t="n">
        <v>0</v>
      </c>
      <c r="J574" t="n">
        <v>0</v>
      </c>
      <c r="K574" t="n">
        <v>0</v>
      </c>
      <c r="L574" t="n">
        <v>0</v>
      </c>
      <c r="M574" t="n">
        <v>0</v>
      </c>
      <c r="N574" t="n">
        <v>0</v>
      </c>
      <c r="O574" t="n">
        <v>0</v>
      </c>
      <c r="P574" t="n">
        <v>0</v>
      </c>
      <c r="Q574" t="n">
        <v>0</v>
      </c>
      <c r="R574" s="2" t="inlineStr"/>
    </row>
    <row r="575" ht="15" customHeight="1">
      <c r="A575" t="inlineStr">
        <is>
          <t>A 2714-2023</t>
        </is>
      </c>
      <c r="B575" s="1" t="n">
        <v>44944.54896990741</v>
      </c>
      <c r="C575" s="1" t="n">
        <v>46066</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22897-2023</t>
        </is>
      </c>
      <c r="B576" s="1" t="n">
        <v>45072.55239583334</v>
      </c>
      <c r="C576" s="1" t="n">
        <v>46066</v>
      </c>
      <c r="D576" t="inlineStr">
        <is>
          <t>GOTLANDS LÄN</t>
        </is>
      </c>
      <c r="E576" t="inlineStr">
        <is>
          <t>GOTLAND</t>
        </is>
      </c>
      <c r="G576" t="n">
        <v>1.1</v>
      </c>
      <c r="H576" t="n">
        <v>0</v>
      </c>
      <c r="I576" t="n">
        <v>0</v>
      </c>
      <c r="J576" t="n">
        <v>0</v>
      </c>
      <c r="K576" t="n">
        <v>0</v>
      </c>
      <c r="L576" t="n">
        <v>0</v>
      </c>
      <c r="M576" t="n">
        <v>0</v>
      </c>
      <c r="N576" t="n">
        <v>0</v>
      </c>
      <c r="O576" t="n">
        <v>0</v>
      </c>
      <c r="P576" t="n">
        <v>0</v>
      </c>
      <c r="Q576" t="n">
        <v>0</v>
      </c>
      <c r="R576" s="2" t="inlineStr"/>
    </row>
    <row r="577" ht="15" customHeight="1">
      <c r="A577" t="inlineStr">
        <is>
          <t>A 4568-2025</t>
        </is>
      </c>
      <c r="B577" s="1" t="n">
        <v>45687</v>
      </c>
      <c r="C577" s="1" t="n">
        <v>46066</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1681-2023</t>
        </is>
      </c>
      <c r="B578" s="1" t="n">
        <v>44938.39715277778</v>
      </c>
      <c r="C578" s="1" t="n">
        <v>46066</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42338-2023</t>
        </is>
      </c>
      <c r="B579" s="1" t="n">
        <v>45180</v>
      </c>
      <c r="C579" s="1" t="n">
        <v>46066</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18918-2025</t>
        </is>
      </c>
      <c r="B580" s="1" t="n">
        <v>45764</v>
      </c>
      <c r="C580" s="1" t="n">
        <v>46066</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11013-2024</t>
        </is>
      </c>
      <c r="B581" s="1" t="n">
        <v>45370</v>
      </c>
      <c r="C581" s="1" t="n">
        <v>46066</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45084-2024</t>
        </is>
      </c>
      <c r="B582" s="1" t="n">
        <v>45575</v>
      </c>
      <c r="C582" s="1" t="n">
        <v>46066</v>
      </c>
      <c r="D582" t="inlineStr">
        <is>
          <t>GOTLANDS LÄN</t>
        </is>
      </c>
      <c r="E582" t="inlineStr">
        <is>
          <t>GOTLAND</t>
        </is>
      </c>
      <c r="G582" t="n">
        <v>6.8</v>
      </c>
      <c r="H582" t="n">
        <v>0</v>
      </c>
      <c r="I582" t="n">
        <v>0</v>
      </c>
      <c r="J582" t="n">
        <v>0</v>
      </c>
      <c r="K582" t="n">
        <v>0</v>
      </c>
      <c r="L582" t="n">
        <v>0</v>
      </c>
      <c r="M582" t="n">
        <v>0</v>
      </c>
      <c r="N582" t="n">
        <v>0</v>
      </c>
      <c r="O582" t="n">
        <v>0</v>
      </c>
      <c r="P582" t="n">
        <v>0</v>
      </c>
      <c r="Q582" t="n">
        <v>0</v>
      </c>
      <c r="R582" s="2" t="inlineStr"/>
    </row>
    <row r="583" ht="15" customHeight="1">
      <c r="A583" t="inlineStr">
        <is>
          <t>A 20356-2022</t>
        </is>
      </c>
      <c r="B583" s="1" t="n">
        <v>44699</v>
      </c>
      <c r="C583" s="1" t="n">
        <v>46066</v>
      </c>
      <c r="D583" t="inlineStr">
        <is>
          <t>GOTLANDS LÄN</t>
        </is>
      </c>
      <c r="E583" t="inlineStr">
        <is>
          <t>GOTLAND</t>
        </is>
      </c>
      <c r="F583" t="inlineStr">
        <is>
          <t>Övriga Aktiebolag</t>
        </is>
      </c>
      <c r="G583" t="n">
        <v>4.4</v>
      </c>
      <c r="H583" t="n">
        <v>0</v>
      </c>
      <c r="I583" t="n">
        <v>0</v>
      </c>
      <c r="J583" t="n">
        <v>0</v>
      </c>
      <c r="K583" t="n">
        <v>0</v>
      </c>
      <c r="L583" t="n">
        <v>0</v>
      </c>
      <c r="M583" t="n">
        <v>0</v>
      </c>
      <c r="N583" t="n">
        <v>0</v>
      </c>
      <c r="O583" t="n">
        <v>0</v>
      </c>
      <c r="P583" t="n">
        <v>0</v>
      </c>
      <c r="Q583" t="n">
        <v>0</v>
      </c>
      <c r="R583" s="2" t="inlineStr"/>
    </row>
    <row r="584" ht="15" customHeight="1">
      <c r="A584" t="inlineStr">
        <is>
          <t>A 4868-2024</t>
        </is>
      </c>
      <c r="B584" s="1" t="n">
        <v>45329</v>
      </c>
      <c r="C584" s="1" t="n">
        <v>46066</v>
      </c>
      <c r="D584" t="inlineStr">
        <is>
          <t>GOTLANDS LÄN</t>
        </is>
      </c>
      <c r="E584" t="inlineStr">
        <is>
          <t>GOTLAND</t>
        </is>
      </c>
      <c r="G584" t="n">
        <v>7.1</v>
      </c>
      <c r="H584" t="n">
        <v>0</v>
      </c>
      <c r="I584" t="n">
        <v>0</v>
      </c>
      <c r="J584" t="n">
        <v>0</v>
      </c>
      <c r="K584" t="n">
        <v>0</v>
      </c>
      <c r="L584" t="n">
        <v>0</v>
      </c>
      <c r="M584" t="n">
        <v>0</v>
      </c>
      <c r="N584" t="n">
        <v>0</v>
      </c>
      <c r="O584" t="n">
        <v>0</v>
      </c>
      <c r="P584" t="n">
        <v>0</v>
      </c>
      <c r="Q584" t="n">
        <v>0</v>
      </c>
      <c r="R584" s="2" t="inlineStr"/>
    </row>
    <row r="585" ht="15" customHeight="1">
      <c r="A585" t="inlineStr">
        <is>
          <t>A 9613-2025</t>
        </is>
      </c>
      <c r="B585" s="1" t="n">
        <v>45715</v>
      </c>
      <c r="C585" s="1" t="n">
        <v>46066</v>
      </c>
      <c r="D585" t="inlineStr">
        <is>
          <t>GOTLANDS LÄN</t>
        </is>
      </c>
      <c r="E585" t="inlineStr">
        <is>
          <t>GOTLAND</t>
        </is>
      </c>
      <c r="G585" t="n">
        <v>3.5</v>
      </c>
      <c r="H585" t="n">
        <v>0</v>
      </c>
      <c r="I585" t="n">
        <v>0</v>
      </c>
      <c r="J585" t="n">
        <v>0</v>
      </c>
      <c r="K585" t="n">
        <v>0</v>
      </c>
      <c r="L585" t="n">
        <v>0</v>
      </c>
      <c r="M585" t="n">
        <v>0</v>
      </c>
      <c r="N585" t="n">
        <v>0</v>
      </c>
      <c r="O585" t="n">
        <v>0</v>
      </c>
      <c r="P585" t="n">
        <v>0</v>
      </c>
      <c r="Q585" t="n">
        <v>0</v>
      </c>
      <c r="R585" s="2" t="inlineStr"/>
    </row>
    <row r="586" ht="15" customHeight="1">
      <c r="A586" t="inlineStr">
        <is>
          <t>A 5386-2023</t>
        </is>
      </c>
      <c r="B586" s="1" t="n">
        <v>44959</v>
      </c>
      <c r="C586" s="1" t="n">
        <v>46066</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58211-2024</t>
        </is>
      </c>
      <c r="B587" s="1" t="n">
        <v>45632.49292824074</v>
      </c>
      <c r="C587" s="1" t="n">
        <v>46066</v>
      </c>
      <c r="D587" t="inlineStr">
        <is>
          <t>GOTLANDS LÄN</t>
        </is>
      </c>
      <c r="E587" t="inlineStr">
        <is>
          <t>GOTLAND</t>
        </is>
      </c>
      <c r="G587" t="n">
        <v>5.4</v>
      </c>
      <c r="H587" t="n">
        <v>0</v>
      </c>
      <c r="I587" t="n">
        <v>0</v>
      </c>
      <c r="J587" t="n">
        <v>0</v>
      </c>
      <c r="K587" t="n">
        <v>0</v>
      </c>
      <c r="L587" t="n">
        <v>0</v>
      </c>
      <c r="M587" t="n">
        <v>0</v>
      </c>
      <c r="N587" t="n">
        <v>0</v>
      </c>
      <c r="O587" t="n">
        <v>0</v>
      </c>
      <c r="P587" t="n">
        <v>0</v>
      </c>
      <c r="Q587" t="n">
        <v>0</v>
      </c>
      <c r="R587" s="2" t="inlineStr"/>
    </row>
    <row r="588" ht="15" customHeight="1">
      <c r="A588" t="inlineStr">
        <is>
          <t>A 11634-2024</t>
        </is>
      </c>
      <c r="B588" s="1" t="n">
        <v>45373</v>
      </c>
      <c r="C588" s="1" t="n">
        <v>46066</v>
      </c>
      <c r="D588" t="inlineStr">
        <is>
          <t>GOTLANDS LÄN</t>
        </is>
      </c>
      <c r="E588" t="inlineStr">
        <is>
          <t>GOTLAND</t>
        </is>
      </c>
      <c r="G588" t="n">
        <v>3</v>
      </c>
      <c r="H588" t="n">
        <v>0</v>
      </c>
      <c r="I588" t="n">
        <v>0</v>
      </c>
      <c r="J588" t="n">
        <v>0</v>
      </c>
      <c r="K588" t="n">
        <v>0</v>
      </c>
      <c r="L588" t="n">
        <v>0</v>
      </c>
      <c r="M588" t="n">
        <v>0</v>
      </c>
      <c r="N588" t="n">
        <v>0</v>
      </c>
      <c r="O588" t="n">
        <v>0</v>
      </c>
      <c r="P588" t="n">
        <v>0</v>
      </c>
      <c r="Q588" t="n">
        <v>0</v>
      </c>
      <c r="R588" s="2" t="inlineStr"/>
    </row>
    <row r="589" ht="15" customHeight="1">
      <c r="A589" t="inlineStr">
        <is>
          <t>A 5884-2025</t>
        </is>
      </c>
      <c r="B589" s="1" t="n">
        <v>45695.37482638889</v>
      </c>
      <c r="C589" s="1" t="n">
        <v>46066</v>
      </c>
      <c r="D589" t="inlineStr">
        <is>
          <t>GOTLANDS LÄN</t>
        </is>
      </c>
      <c r="E589" t="inlineStr">
        <is>
          <t>GOTLAND</t>
        </is>
      </c>
      <c r="G589" t="n">
        <v>2.1</v>
      </c>
      <c r="H589" t="n">
        <v>0</v>
      </c>
      <c r="I589" t="n">
        <v>0</v>
      </c>
      <c r="J589" t="n">
        <v>0</v>
      </c>
      <c r="K589" t="n">
        <v>0</v>
      </c>
      <c r="L589" t="n">
        <v>0</v>
      </c>
      <c r="M589" t="n">
        <v>0</v>
      </c>
      <c r="N589" t="n">
        <v>0</v>
      </c>
      <c r="O589" t="n">
        <v>0</v>
      </c>
      <c r="P589" t="n">
        <v>0</v>
      </c>
      <c r="Q589" t="n">
        <v>0</v>
      </c>
      <c r="R589" s="2" t="inlineStr"/>
    </row>
    <row r="590" ht="15" customHeight="1">
      <c r="A590" t="inlineStr">
        <is>
          <t>A 5897-2025</t>
        </is>
      </c>
      <c r="B590" s="1" t="n">
        <v>45695.39273148148</v>
      </c>
      <c r="C590" s="1" t="n">
        <v>46066</v>
      </c>
      <c r="D590" t="inlineStr">
        <is>
          <t>GOTLANDS LÄN</t>
        </is>
      </c>
      <c r="E590" t="inlineStr">
        <is>
          <t>GOTLAND</t>
        </is>
      </c>
      <c r="G590" t="n">
        <v>3.7</v>
      </c>
      <c r="H590" t="n">
        <v>0</v>
      </c>
      <c r="I590" t="n">
        <v>0</v>
      </c>
      <c r="J590" t="n">
        <v>0</v>
      </c>
      <c r="K590" t="n">
        <v>0</v>
      </c>
      <c r="L590" t="n">
        <v>0</v>
      </c>
      <c r="M590" t="n">
        <v>0</v>
      </c>
      <c r="N590" t="n">
        <v>0</v>
      </c>
      <c r="O590" t="n">
        <v>0</v>
      </c>
      <c r="P590" t="n">
        <v>0</v>
      </c>
      <c r="Q590" t="n">
        <v>0</v>
      </c>
      <c r="R590" s="2" t="inlineStr"/>
    </row>
    <row r="591" ht="15" customHeight="1">
      <c r="A591" t="inlineStr">
        <is>
          <t>A 5909-2025</t>
        </is>
      </c>
      <c r="B591" s="1" t="n">
        <v>45695.40634259259</v>
      </c>
      <c r="C591" s="1" t="n">
        <v>46066</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60086-2022</t>
        </is>
      </c>
      <c r="B592" s="1" t="n">
        <v>44909</v>
      </c>
      <c r="C592" s="1" t="n">
        <v>46066</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22704-2023</t>
        </is>
      </c>
      <c r="B593" s="1" t="n">
        <v>45071</v>
      </c>
      <c r="C593" s="1" t="n">
        <v>46066</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25866-2022</t>
        </is>
      </c>
      <c r="B594" s="1" t="n">
        <v>44733</v>
      </c>
      <c r="C594" s="1" t="n">
        <v>46066</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9887-2025</t>
        </is>
      </c>
      <c r="B595" s="1" t="n">
        <v>45716</v>
      </c>
      <c r="C595" s="1" t="n">
        <v>46066</v>
      </c>
      <c r="D595" t="inlineStr">
        <is>
          <t>GOTLANDS LÄN</t>
        </is>
      </c>
      <c r="E595" t="inlineStr">
        <is>
          <t>GOTLAND</t>
        </is>
      </c>
      <c r="G595" t="n">
        <v>7.5</v>
      </c>
      <c r="H595" t="n">
        <v>0</v>
      </c>
      <c r="I595" t="n">
        <v>0</v>
      </c>
      <c r="J595" t="n">
        <v>0</v>
      </c>
      <c r="K595" t="n">
        <v>0</v>
      </c>
      <c r="L595" t="n">
        <v>0</v>
      </c>
      <c r="M595" t="n">
        <v>0</v>
      </c>
      <c r="N595" t="n">
        <v>0</v>
      </c>
      <c r="O595" t="n">
        <v>0</v>
      </c>
      <c r="P595" t="n">
        <v>0</v>
      </c>
      <c r="Q595" t="n">
        <v>0</v>
      </c>
      <c r="R595" s="2" t="inlineStr"/>
    </row>
    <row r="596" ht="15" customHeight="1">
      <c r="A596" t="inlineStr">
        <is>
          <t>A 12209-2024</t>
        </is>
      </c>
      <c r="B596" s="1" t="n">
        <v>45378</v>
      </c>
      <c r="C596" s="1" t="n">
        <v>46066</v>
      </c>
      <c r="D596" t="inlineStr">
        <is>
          <t>GOTLANDS LÄN</t>
        </is>
      </c>
      <c r="E596" t="inlineStr">
        <is>
          <t>GOTLAND</t>
        </is>
      </c>
      <c r="G596" t="n">
        <v>5.3</v>
      </c>
      <c r="H596" t="n">
        <v>0</v>
      </c>
      <c r="I596" t="n">
        <v>0</v>
      </c>
      <c r="J596" t="n">
        <v>0</v>
      </c>
      <c r="K596" t="n">
        <v>0</v>
      </c>
      <c r="L596" t="n">
        <v>0</v>
      </c>
      <c r="M596" t="n">
        <v>0</v>
      </c>
      <c r="N596" t="n">
        <v>0</v>
      </c>
      <c r="O596" t="n">
        <v>0</v>
      </c>
      <c r="P596" t="n">
        <v>0</v>
      </c>
      <c r="Q596" t="n">
        <v>0</v>
      </c>
      <c r="R596" s="2" t="inlineStr"/>
    </row>
    <row r="597" ht="15" customHeight="1">
      <c r="A597" t="inlineStr">
        <is>
          <t>A 12210-2024</t>
        </is>
      </c>
      <c r="B597" s="1" t="n">
        <v>45378</v>
      </c>
      <c r="C597" s="1" t="n">
        <v>46066</v>
      </c>
      <c r="D597" t="inlineStr">
        <is>
          <t>GOTLANDS LÄN</t>
        </is>
      </c>
      <c r="E597" t="inlineStr">
        <is>
          <t>GOTLAND</t>
        </is>
      </c>
      <c r="G597" t="n">
        <v>4.1</v>
      </c>
      <c r="H597" t="n">
        <v>0</v>
      </c>
      <c r="I597" t="n">
        <v>0</v>
      </c>
      <c r="J597" t="n">
        <v>0</v>
      </c>
      <c r="K597" t="n">
        <v>0</v>
      </c>
      <c r="L597" t="n">
        <v>0</v>
      </c>
      <c r="M597" t="n">
        <v>0</v>
      </c>
      <c r="N597" t="n">
        <v>0</v>
      </c>
      <c r="O597" t="n">
        <v>0</v>
      </c>
      <c r="P597" t="n">
        <v>0</v>
      </c>
      <c r="Q597" t="n">
        <v>0</v>
      </c>
      <c r="R597" s="2" t="inlineStr"/>
    </row>
    <row r="598" ht="15" customHeight="1">
      <c r="A598" t="inlineStr">
        <is>
          <t>A 59986-2022</t>
        </is>
      </c>
      <c r="B598" s="1" t="n">
        <v>44909</v>
      </c>
      <c r="C598" s="1" t="n">
        <v>46066</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31802-2024</t>
        </is>
      </c>
      <c r="B599" s="1" t="n">
        <v>45509</v>
      </c>
      <c r="C599" s="1" t="n">
        <v>46066</v>
      </c>
      <c r="D599" t="inlineStr">
        <is>
          <t>GOTLANDS LÄN</t>
        </is>
      </c>
      <c r="E599" t="inlineStr">
        <is>
          <t>GOTLAND</t>
        </is>
      </c>
      <c r="G599" t="n">
        <v>2.8</v>
      </c>
      <c r="H599" t="n">
        <v>0</v>
      </c>
      <c r="I599" t="n">
        <v>0</v>
      </c>
      <c r="J599" t="n">
        <v>0</v>
      </c>
      <c r="K599" t="n">
        <v>0</v>
      </c>
      <c r="L599" t="n">
        <v>0</v>
      </c>
      <c r="M599" t="n">
        <v>0</v>
      </c>
      <c r="N599" t="n">
        <v>0</v>
      </c>
      <c r="O599" t="n">
        <v>0</v>
      </c>
      <c r="P599" t="n">
        <v>0</v>
      </c>
      <c r="Q599" t="n">
        <v>0</v>
      </c>
      <c r="R599" s="2" t="inlineStr"/>
    </row>
    <row r="600" ht="15" customHeight="1">
      <c r="A600" t="inlineStr">
        <is>
          <t>A 20993-2023</t>
        </is>
      </c>
      <c r="B600" s="1" t="n">
        <v>45056</v>
      </c>
      <c r="C600" s="1" t="n">
        <v>46066</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15042-2025</t>
        </is>
      </c>
      <c r="B601" s="1" t="n">
        <v>45743</v>
      </c>
      <c r="C601" s="1" t="n">
        <v>46066</v>
      </c>
      <c r="D601" t="inlineStr">
        <is>
          <t>GOTLANDS LÄN</t>
        </is>
      </c>
      <c r="E601" t="inlineStr">
        <is>
          <t>GOTLAND</t>
        </is>
      </c>
      <c r="G601" t="n">
        <v>8.5</v>
      </c>
      <c r="H601" t="n">
        <v>0</v>
      </c>
      <c r="I601" t="n">
        <v>0</v>
      </c>
      <c r="J601" t="n">
        <v>0</v>
      </c>
      <c r="K601" t="n">
        <v>0</v>
      </c>
      <c r="L601" t="n">
        <v>0</v>
      </c>
      <c r="M601" t="n">
        <v>0</v>
      </c>
      <c r="N601" t="n">
        <v>0</v>
      </c>
      <c r="O601" t="n">
        <v>0</v>
      </c>
      <c r="P601" t="n">
        <v>0</v>
      </c>
      <c r="Q601" t="n">
        <v>0</v>
      </c>
      <c r="R601" s="2" t="inlineStr"/>
    </row>
    <row r="602" ht="15" customHeight="1">
      <c r="A602" t="inlineStr">
        <is>
          <t>A 12327-2025</t>
        </is>
      </c>
      <c r="B602" s="1" t="n">
        <v>45730</v>
      </c>
      <c r="C602" s="1" t="n">
        <v>46066</v>
      </c>
      <c r="D602" t="inlineStr">
        <is>
          <t>GOTLANDS LÄN</t>
        </is>
      </c>
      <c r="E602" t="inlineStr">
        <is>
          <t>GOTLAND</t>
        </is>
      </c>
      <c r="G602" t="n">
        <v>1.8</v>
      </c>
      <c r="H602" t="n">
        <v>0</v>
      </c>
      <c r="I602" t="n">
        <v>0</v>
      </c>
      <c r="J602" t="n">
        <v>0</v>
      </c>
      <c r="K602" t="n">
        <v>0</v>
      </c>
      <c r="L602" t="n">
        <v>0</v>
      </c>
      <c r="M602" t="n">
        <v>0</v>
      </c>
      <c r="N602" t="n">
        <v>0</v>
      </c>
      <c r="O602" t="n">
        <v>0</v>
      </c>
      <c r="P602" t="n">
        <v>0</v>
      </c>
      <c r="Q602" t="n">
        <v>0</v>
      </c>
      <c r="R602" s="2" t="inlineStr"/>
    </row>
    <row r="603" ht="15" customHeight="1">
      <c r="A603" t="inlineStr">
        <is>
          <t>A 4420-2025</t>
        </is>
      </c>
      <c r="B603" s="1" t="n">
        <v>45686.47157407407</v>
      </c>
      <c r="C603" s="1" t="n">
        <v>46066</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14427-2024</t>
        </is>
      </c>
      <c r="B604" s="1" t="n">
        <v>45394</v>
      </c>
      <c r="C604" s="1" t="n">
        <v>46066</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49257-2024</t>
        </is>
      </c>
      <c r="B605" s="1" t="n">
        <v>45595.47627314815</v>
      </c>
      <c r="C605" s="1" t="n">
        <v>46066</v>
      </c>
      <c r="D605" t="inlineStr">
        <is>
          <t>GOTLANDS LÄN</t>
        </is>
      </c>
      <c r="E605" t="inlineStr">
        <is>
          <t>GOTLAND</t>
        </is>
      </c>
      <c r="G605" t="n">
        <v>6.3</v>
      </c>
      <c r="H605" t="n">
        <v>0</v>
      </c>
      <c r="I605" t="n">
        <v>0</v>
      </c>
      <c r="J605" t="n">
        <v>0</v>
      </c>
      <c r="K605" t="n">
        <v>0</v>
      </c>
      <c r="L605" t="n">
        <v>0</v>
      </c>
      <c r="M605" t="n">
        <v>0</v>
      </c>
      <c r="N605" t="n">
        <v>0</v>
      </c>
      <c r="O605" t="n">
        <v>0</v>
      </c>
      <c r="P605" t="n">
        <v>0</v>
      </c>
      <c r="Q605" t="n">
        <v>0</v>
      </c>
      <c r="R605" s="2" t="inlineStr"/>
    </row>
    <row r="606" ht="15" customHeight="1">
      <c r="A606" t="inlineStr">
        <is>
          <t>A 49315-2024</t>
        </is>
      </c>
      <c r="B606" s="1" t="n">
        <v>45595</v>
      </c>
      <c r="C606" s="1" t="n">
        <v>46066</v>
      </c>
      <c r="D606" t="inlineStr">
        <is>
          <t>GOTLANDS LÄN</t>
        </is>
      </c>
      <c r="E606" t="inlineStr">
        <is>
          <t>GOTLAND</t>
        </is>
      </c>
      <c r="G606" t="n">
        <v>1.5</v>
      </c>
      <c r="H606" t="n">
        <v>0</v>
      </c>
      <c r="I606" t="n">
        <v>0</v>
      </c>
      <c r="J606" t="n">
        <v>0</v>
      </c>
      <c r="K606" t="n">
        <v>0</v>
      </c>
      <c r="L606" t="n">
        <v>0</v>
      </c>
      <c r="M606" t="n">
        <v>0</v>
      </c>
      <c r="N606" t="n">
        <v>0</v>
      </c>
      <c r="O606" t="n">
        <v>0</v>
      </c>
      <c r="P606" t="n">
        <v>0</v>
      </c>
      <c r="Q606" t="n">
        <v>0</v>
      </c>
      <c r="R606" s="2" t="inlineStr"/>
    </row>
    <row r="607" ht="15" customHeight="1">
      <c r="A607" t="inlineStr">
        <is>
          <t>A 27596-2023</t>
        </is>
      </c>
      <c r="B607" s="1" t="n">
        <v>45097</v>
      </c>
      <c r="C607" s="1" t="n">
        <v>46066</v>
      </c>
      <c r="D607" t="inlineStr">
        <is>
          <t>GOTLANDS LÄN</t>
        </is>
      </c>
      <c r="E607" t="inlineStr">
        <is>
          <t>GOTLAND</t>
        </is>
      </c>
      <c r="G607" t="n">
        <v>3.6</v>
      </c>
      <c r="H607" t="n">
        <v>0</v>
      </c>
      <c r="I607" t="n">
        <v>0</v>
      </c>
      <c r="J607" t="n">
        <v>0</v>
      </c>
      <c r="K607" t="n">
        <v>0</v>
      </c>
      <c r="L607" t="n">
        <v>0</v>
      </c>
      <c r="M607" t="n">
        <v>0</v>
      </c>
      <c r="N607" t="n">
        <v>0</v>
      </c>
      <c r="O607" t="n">
        <v>0</v>
      </c>
      <c r="P607" t="n">
        <v>0</v>
      </c>
      <c r="Q607" t="n">
        <v>0</v>
      </c>
      <c r="R607" s="2" t="inlineStr"/>
    </row>
    <row r="608" ht="15" customHeight="1">
      <c r="A608" t="inlineStr">
        <is>
          <t>A 56115-2023</t>
        </is>
      </c>
      <c r="B608" s="1" t="n">
        <v>45236</v>
      </c>
      <c r="C608" s="1" t="n">
        <v>46066</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64969-2023</t>
        </is>
      </c>
      <c r="B609" s="1" t="n">
        <v>45284.54009259259</v>
      </c>
      <c r="C609" s="1" t="n">
        <v>46066</v>
      </c>
      <c r="D609" t="inlineStr">
        <is>
          <t>GOTLANDS LÄN</t>
        </is>
      </c>
      <c r="E609" t="inlineStr">
        <is>
          <t>GOTLAND</t>
        </is>
      </c>
      <c r="G609" t="n">
        <v>1.2</v>
      </c>
      <c r="H609" t="n">
        <v>0</v>
      </c>
      <c r="I609" t="n">
        <v>0</v>
      </c>
      <c r="J609" t="n">
        <v>0</v>
      </c>
      <c r="K609" t="n">
        <v>0</v>
      </c>
      <c r="L609" t="n">
        <v>0</v>
      </c>
      <c r="M609" t="n">
        <v>0</v>
      </c>
      <c r="N609" t="n">
        <v>0</v>
      </c>
      <c r="O609" t="n">
        <v>0</v>
      </c>
      <c r="P609" t="n">
        <v>0</v>
      </c>
      <c r="Q609" t="n">
        <v>0</v>
      </c>
      <c r="R609" s="2" t="inlineStr"/>
    </row>
    <row r="610" ht="15" customHeight="1">
      <c r="A610" t="inlineStr">
        <is>
          <t>A 33853-2024</t>
        </is>
      </c>
      <c r="B610" s="1" t="n">
        <v>45520.64298611111</v>
      </c>
      <c r="C610" s="1" t="n">
        <v>46066</v>
      </c>
      <c r="D610" t="inlineStr">
        <is>
          <t>GOTLANDS LÄN</t>
        </is>
      </c>
      <c r="E610" t="inlineStr">
        <is>
          <t>GOTLAND</t>
        </is>
      </c>
      <c r="G610" t="n">
        <v>3.9</v>
      </c>
      <c r="H610" t="n">
        <v>0</v>
      </c>
      <c r="I610" t="n">
        <v>0</v>
      </c>
      <c r="J610" t="n">
        <v>0</v>
      </c>
      <c r="K610" t="n">
        <v>0</v>
      </c>
      <c r="L610" t="n">
        <v>0</v>
      </c>
      <c r="M610" t="n">
        <v>0</v>
      </c>
      <c r="N610" t="n">
        <v>0</v>
      </c>
      <c r="O610" t="n">
        <v>0</v>
      </c>
      <c r="P610" t="n">
        <v>0</v>
      </c>
      <c r="Q610" t="n">
        <v>0</v>
      </c>
      <c r="R610" s="2" t="inlineStr"/>
    </row>
    <row r="611" ht="15" customHeight="1">
      <c r="A611" t="inlineStr">
        <is>
          <t>A 18223-2025</t>
        </is>
      </c>
      <c r="B611" s="1" t="n">
        <v>45761</v>
      </c>
      <c r="C611" s="1" t="n">
        <v>46066</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46949-2024</t>
        </is>
      </c>
      <c r="B612" s="1" t="n">
        <v>45585</v>
      </c>
      <c r="C612" s="1" t="n">
        <v>46066</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24001-2021</t>
        </is>
      </c>
      <c r="B613" s="1" t="n">
        <v>44335</v>
      </c>
      <c r="C613" s="1" t="n">
        <v>46066</v>
      </c>
      <c r="D613" t="inlineStr">
        <is>
          <t>GOTLANDS LÄN</t>
        </is>
      </c>
      <c r="E613" t="inlineStr">
        <is>
          <t>GOTLAND</t>
        </is>
      </c>
      <c r="G613" t="n">
        <v>3.4</v>
      </c>
      <c r="H613" t="n">
        <v>0</v>
      </c>
      <c r="I613" t="n">
        <v>0</v>
      </c>
      <c r="J613" t="n">
        <v>0</v>
      </c>
      <c r="K613" t="n">
        <v>0</v>
      </c>
      <c r="L613" t="n">
        <v>0</v>
      </c>
      <c r="M613" t="n">
        <v>0</v>
      </c>
      <c r="N613" t="n">
        <v>0</v>
      </c>
      <c r="O613" t="n">
        <v>0</v>
      </c>
      <c r="P613" t="n">
        <v>0</v>
      </c>
      <c r="Q613" t="n">
        <v>0</v>
      </c>
      <c r="R613" s="2" t="inlineStr"/>
    </row>
    <row r="614" ht="15" customHeight="1">
      <c r="A614" t="inlineStr">
        <is>
          <t>A 39479-2022</t>
        </is>
      </c>
      <c r="B614" s="1" t="n">
        <v>44818</v>
      </c>
      <c r="C614" s="1" t="n">
        <v>46066</v>
      </c>
      <c r="D614" t="inlineStr">
        <is>
          <t>GOTLANDS LÄN</t>
        </is>
      </c>
      <c r="E614" t="inlineStr">
        <is>
          <t>GOTLAND</t>
        </is>
      </c>
      <c r="G614" t="n">
        <v>1.1</v>
      </c>
      <c r="H614" t="n">
        <v>0</v>
      </c>
      <c r="I614" t="n">
        <v>0</v>
      </c>
      <c r="J614" t="n">
        <v>0</v>
      </c>
      <c r="K614" t="n">
        <v>0</v>
      </c>
      <c r="L614" t="n">
        <v>0</v>
      </c>
      <c r="M614" t="n">
        <v>0</v>
      </c>
      <c r="N614" t="n">
        <v>0</v>
      </c>
      <c r="O614" t="n">
        <v>0</v>
      </c>
      <c r="P614" t="n">
        <v>0</v>
      </c>
      <c r="Q614" t="n">
        <v>0</v>
      </c>
      <c r="R614" s="2" t="inlineStr"/>
    </row>
    <row r="615" ht="15" customHeight="1">
      <c r="A615" t="inlineStr">
        <is>
          <t>A 39496-2022</t>
        </is>
      </c>
      <c r="B615" s="1" t="n">
        <v>44818</v>
      </c>
      <c r="C615" s="1" t="n">
        <v>46066</v>
      </c>
      <c r="D615" t="inlineStr">
        <is>
          <t>GOTLANDS LÄN</t>
        </is>
      </c>
      <c r="E615" t="inlineStr">
        <is>
          <t>GOTLAND</t>
        </is>
      </c>
      <c r="G615" t="n">
        <v>2.4</v>
      </c>
      <c r="H615" t="n">
        <v>0</v>
      </c>
      <c r="I615" t="n">
        <v>0</v>
      </c>
      <c r="J615" t="n">
        <v>0</v>
      </c>
      <c r="K615" t="n">
        <v>0</v>
      </c>
      <c r="L615" t="n">
        <v>0</v>
      </c>
      <c r="M615" t="n">
        <v>0</v>
      </c>
      <c r="N615" t="n">
        <v>0</v>
      </c>
      <c r="O615" t="n">
        <v>0</v>
      </c>
      <c r="P615" t="n">
        <v>0</v>
      </c>
      <c r="Q615" t="n">
        <v>0</v>
      </c>
      <c r="R615" s="2" t="inlineStr"/>
    </row>
    <row r="616" ht="15" customHeight="1">
      <c r="A616" t="inlineStr">
        <is>
          <t>A 46389-2021</t>
        </is>
      </c>
      <c r="B616" s="1" t="n">
        <v>44443</v>
      </c>
      <c r="C616" s="1" t="n">
        <v>46066</v>
      </c>
      <c r="D616" t="inlineStr">
        <is>
          <t>GOTLANDS LÄN</t>
        </is>
      </c>
      <c r="E616" t="inlineStr">
        <is>
          <t>GOTLAND</t>
        </is>
      </c>
      <c r="F616" t="inlineStr">
        <is>
          <t>Kyrkan</t>
        </is>
      </c>
      <c r="G616" t="n">
        <v>2.1</v>
      </c>
      <c r="H616" t="n">
        <v>0</v>
      </c>
      <c r="I616" t="n">
        <v>0</v>
      </c>
      <c r="J616" t="n">
        <v>0</v>
      </c>
      <c r="K616" t="n">
        <v>0</v>
      </c>
      <c r="L616" t="n">
        <v>0</v>
      </c>
      <c r="M616" t="n">
        <v>0</v>
      </c>
      <c r="N616" t="n">
        <v>0</v>
      </c>
      <c r="O616" t="n">
        <v>0</v>
      </c>
      <c r="P616" t="n">
        <v>0</v>
      </c>
      <c r="Q616" t="n">
        <v>0</v>
      </c>
      <c r="R616" s="2" t="inlineStr"/>
    </row>
    <row r="617" ht="15" customHeight="1">
      <c r="A617" t="inlineStr">
        <is>
          <t>A 44949-2023</t>
        </is>
      </c>
      <c r="B617" s="1" t="n">
        <v>45190.69520833333</v>
      </c>
      <c r="C617" s="1" t="n">
        <v>46066</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17682-2024</t>
        </is>
      </c>
      <c r="B618" s="1" t="n">
        <v>45418.42966435185</v>
      </c>
      <c r="C618" s="1" t="n">
        <v>46066</v>
      </c>
      <c r="D618" t="inlineStr">
        <is>
          <t>GOTLANDS LÄN</t>
        </is>
      </c>
      <c r="E618" t="inlineStr">
        <is>
          <t>GOTLAND</t>
        </is>
      </c>
      <c r="G618" t="n">
        <v>2.9</v>
      </c>
      <c r="H618" t="n">
        <v>0</v>
      </c>
      <c r="I618" t="n">
        <v>0</v>
      </c>
      <c r="J618" t="n">
        <v>0</v>
      </c>
      <c r="K618" t="n">
        <v>0</v>
      </c>
      <c r="L618" t="n">
        <v>0</v>
      </c>
      <c r="M618" t="n">
        <v>0</v>
      </c>
      <c r="N618" t="n">
        <v>0</v>
      </c>
      <c r="O618" t="n">
        <v>0</v>
      </c>
      <c r="P618" t="n">
        <v>0</v>
      </c>
      <c r="Q618" t="n">
        <v>0</v>
      </c>
      <c r="R618" s="2" t="inlineStr"/>
    </row>
    <row r="619" ht="15" customHeight="1">
      <c r="A619" t="inlineStr">
        <is>
          <t>A 61897-2024</t>
        </is>
      </c>
      <c r="B619" s="1" t="n">
        <v>45652.75685185185</v>
      </c>
      <c r="C619" s="1" t="n">
        <v>46066</v>
      </c>
      <c r="D619" t="inlineStr">
        <is>
          <t>GOTLANDS LÄN</t>
        </is>
      </c>
      <c r="E619" t="inlineStr">
        <is>
          <t>GOTLAND</t>
        </is>
      </c>
      <c r="G619" t="n">
        <v>6.4</v>
      </c>
      <c r="H619" t="n">
        <v>0</v>
      </c>
      <c r="I619" t="n">
        <v>0</v>
      </c>
      <c r="J619" t="n">
        <v>0</v>
      </c>
      <c r="K619" t="n">
        <v>0</v>
      </c>
      <c r="L619" t="n">
        <v>0</v>
      </c>
      <c r="M619" t="n">
        <v>0</v>
      </c>
      <c r="N619" t="n">
        <v>0</v>
      </c>
      <c r="O619" t="n">
        <v>0</v>
      </c>
      <c r="P619" t="n">
        <v>0</v>
      </c>
      <c r="Q619" t="n">
        <v>0</v>
      </c>
      <c r="R619" s="2" t="inlineStr"/>
    </row>
    <row r="620" ht="15" customHeight="1">
      <c r="A620" t="inlineStr">
        <is>
          <t>A 12032-2025</t>
        </is>
      </c>
      <c r="B620" s="1" t="n">
        <v>45728.64472222222</v>
      </c>
      <c r="C620" s="1" t="n">
        <v>46066</v>
      </c>
      <c r="D620" t="inlineStr">
        <is>
          <t>GOTLANDS LÄN</t>
        </is>
      </c>
      <c r="E620" t="inlineStr">
        <is>
          <t>GOTLAND</t>
        </is>
      </c>
      <c r="G620" t="n">
        <v>1.4</v>
      </c>
      <c r="H620" t="n">
        <v>0</v>
      </c>
      <c r="I620" t="n">
        <v>0</v>
      </c>
      <c r="J620" t="n">
        <v>0</v>
      </c>
      <c r="K620" t="n">
        <v>0</v>
      </c>
      <c r="L620" t="n">
        <v>0</v>
      </c>
      <c r="M620" t="n">
        <v>0</v>
      </c>
      <c r="N620" t="n">
        <v>0</v>
      </c>
      <c r="O620" t="n">
        <v>0</v>
      </c>
      <c r="P620" t="n">
        <v>0</v>
      </c>
      <c r="Q620" t="n">
        <v>0</v>
      </c>
      <c r="R620" s="2" t="inlineStr"/>
    </row>
    <row r="621" ht="15" customHeight="1">
      <c r="A621" t="inlineStr">
        <is>
          <t>A 15595-2024</t>
        </is>
      </c>
      <c r="B621" s="1" t="n">
        <v>45401.81480324074</v>
      </c>
      <c r="C621" s="1" t="n">
        <v>46066</v>
      </c>
      <c r="D621" t="inlineStr">
        <is>
          <t>GOTLANDS LÄN</t>
        </is>
      </c>
      <c r="E621" t="inlineStr">
        <is>
          <t>GOTLAND</t>
        </is>
      </c>
      <c r="G621" t="n">
        <v>6.4</v>
      </c>
      <c r="H621" t="n">
        <v>0</v>
      </c>
      <c r="I621" t="n">
        <v>0</v>
      </c>
      <c r="J621" t="n">
        <v>0</v>
      </c>
      <c r="K621" t="n">
        <v>0</v>
      </c>
      <c r="L621" t="n">
        <v>0</v>
      </c>
      <c r="M621" t="n">
        <v>0</v>
      </c>
      <c r="N621" t="n">
        <v>0</v>
      </c>
      <c r="O621" t="n">
        <v>0</v>
      </c>
      <c r="P621" t="n">
        <v>0</v>
      </c>
      <c r="Q621" t="n">
        <v>0</v>
      </c>
      <c r="R621" s="2" t="inlineStr"/>
    </row>
    <row r="622" ht="15" customHeight="1">
      <c r="A622" t="inlineStr">
        <is>
          <t>A 21164-2024</t>
        </is>
      </c>
      <c r="B622" s="1" t="n">
        <v>45440</v>
      </c>
      <c r="C622" s="1" t="n">
        <v>46066</v>
      </c>
      <c r="D622" t="inlineStr">
        <is>
          <t>GOTLANDS LÄN</t>
        </is>
      </c>
      <c r="E622" t="inlineStr">
        <is>
          <t>GOTLAND</t>
        </is>
      </c>
      <c r="G622" t="n">
        <v>6.3</v>
      </c>
      <c r="H622" t="n">
        <v>0</v>
      </c>
      <c r="I622" t="n">
        <v>0</v>
      </c>
      <c r="J622" t="n">
        <v>0</v>
      </c>
      <c r="K622" t="n">
        <v>0</v>
      </c>
      <c r="L622" t="n">
        <v>0</v>
      </c>
      <c r="M622" t="n">
        <v>0</v>
      </c>
      <c r="N622" t="n">
        <v>0</v>
      </c>
      <c r="O622" t="n">
        <v>0</v>
      </c>
      <c r="P622" t="n">
        <v>0</v>
      </c>
      <c r="Q622" t="n">
        <v>0</v>
      </c>
      <c r="R622" s="2" t="inlineStr"/>
    </row>
    <row r="623" ht="15" customHeight="1">
      <c r="A623" t="inlineStr">
        <is>
          <t>A 17541-2024</t>
        </is>
      </c>
      <c r="B623" s="1" t="n">
        <v>45415</v>
      </c>
      <c r="C623" s="1" t="n">
        <v>46066</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883-2025</t>
        </is>
      </c>
      <c r="B624" s="1" t="n">
        <v>45665</v>
      </c>
      <c r="C624" s="1" t="n">
        <v>46066</v>
      </c>
      <c r="D624" t="inlineStr">
        <is>
          <t>GOTLANDS LÄN</t>
        </is>
      </c>
      <c r="E624" t="inlineStr">
        <is>
          <t>GOTLAND</t>
        </is>
      </c>
      <c r="G624" t="n">
        <v>1.3</v>
      </c>
      <c r="H624" t="n">
        <v>0</v>
      </c>
      <c r="I624" t="n">
        <v>0</v>
      </c>
      <c r="J624" t="n">
        <v>0</v>
      </c>
      <c r="K624" t="n">
        <v>0</v>
      </c>
      <c r="L624" t="n">
        <v>0</v>
      </c>
      <c r="M624" t="n">
        <v>0</v>
      </c>
      <c r="N624" t="n">
        <v>0</v>
      </c>
      <c r="O624" t="n">
        <v>0</v>
      </c>
      <c r="P624" t="n">
        <v>0</v>
      </c>
      <c r="Q624" t="n">
        <v>0</v>
      </c>
      <c r="R624" s="2" t="inlineStr"/>
    </row>
    <row r="625" ht="15" customHeight="1">
      <c r="A625" t="inlineStr">
        <is>
          <t>A 13910-2025</t>
        </is>
      </c>
      <c r="B625" s="1" t="n">
        <v>45737</v>
      </c>
      <c r="C625" s="1" t="n">
        <v>46066</v>
      </c>
      <c r="D625" t="inlineStr">
        <is>
          <t>GOTLANDS LÄN</t>
        </is>
      </c>
      <c r="E625" t="inlineStr">
        <is>
          <t>GOTLAND</t>
        </is>
      </c>
      <c r="F625" t="inlineStr">
        <is>
          <t>Kommuner</t>
        </is>
      </c>
      <c r="G625" t="n">
        <v>3.2</v>
      </c>
      <c r="H625" t="n">
        <v>0</v>
      </c>
      <c r="I625" t="n">
        <v>0</v>
      </c>
      <c r="J625" t="n">
        <v>0</v>
      </c>
      <c r="K625" t="n">
        <v>0</v>
      </c>
      <c r="L625" t="n">
        <v>0</v>
      </c>
      <c r="M625" t="n">
        <v>0</v>
      </c>
      <c r="N625" t="n">
        <v>0</v>
      </c>
      <c r="O625" t="n">
        <v>0</v>
      </c>
      <c r="P625" t="n">
        <v>0</v>
      </c>
      <c r="Q625" t="n">
        <v>0</v>
      </c>
      <c r="R625" s="2" t="inlineStr"/>
    </row>
    <row r="626" ht="15" customHeight="1">
      <c r="A626" t="inlineStr">
        <is>
          <t>A 20794-2025</t>
        </is>
      </c>
      <c r="B626" s="1" t="n">
        <v>45776</v>
      </c>
      <c r="C626" s="1" t="n">
        <v>46066</v>
      </c>
      <c r="D626" t="inlineStr">
        <is>
          <t>GOTLANDS LÄN</t>
        </is>
      </c>
      <c r="E626" t="inlineStr">
        <is>
          <t>GOTLAND</t>
        </is>
      </c>
      <c r="G626" t="n">
        <v>6</v>
      </c>
      <c r="H626" t="n">
        <v>0</v>
      </c>
      <c r="I626" t="n">
        <v>0</v>
      </c>
      <c r="J626" t="n">
        <v>0</v>
      </c>
      <c r="K626" t="n">
        <v>0</v>
      </c>
      <c r="L626" t="n">
        <v>0</v>
      </c>
      <c r="M626" t="n">
        <v>0</v>
      </c>
      <c r="N626" t="n">
        <v>0</v>
      </c>
      <c r="O626" t="n">
        <v>0</v>
      </c>
      <c r="P626" t="n">
        <v>0</v>
      </c>
      <c r="Q626" t="n">
        <v>0</v>
      </c>
      <c r="R626" s="2" t="inlineStr"/>
    </row>
    <row r="627" ht="15" customHeight="1">
      <c r="A627" t="inlineStr">
        <is>
          <t>A 20805-2025</t>
        </is>
      </c>
      <c r="B627" s="1" t="n">
        <v>45776</v>
      </c>
      <c r="C627" s="1" t="n">
        <v>46066</v>
      </c>
      <c r="D627" t="inlineStr">
        <is>
          <t>GOTLANDS LÄN</t>
        </is>
      </c>
      <c r="E627" t="inlineStr">
        <is>
          <t>GOTLAND</t>
        </is>
      </c>
      <c r="G627" t="n">
        <v>3.1</v>
      </c>
      <c r="H627" t="n">
        <v>0</v>
      </c>
      <c r="I627" t="n">
        <v>0</v>
      </c>
      <c r="J627" t="n">
        <v>0</v>
      </c>
      <c r="K627" t="n">
        <v>0</v>
      </c>
      <c r="L627" t="n">
        <v>0</v>
      </c>
      <c r="M627" t="n">
        <v>0</v>
      </c>
      <c r="N627" t="n">
        <v>0</v>
      </c>
      <c r="O627" t="n">
        <v>0</v>
      </c>
      <c r="P627" t="n">
        <v>0</v>
      </c>
      <c r="Q627" t="n">
        <v>0</v>
      </c>
      <c r="R627" s="2" t="inlineStr"/>
    </row>
    <row r="628" ht="15" customHeight="1">
      <c r="A628" t="inlineStr">
        <is>
          <t>A 21389-2025</t>
        </is>
      </c>
      <c r="B628" s="1" t="n">
        <v>45782</v>
      </c>
      <c r="C628" s="1" t="n">
        <v>46066</v>
      </c>
      <c r="D628" t="inlineStr">
        <is>
          <t>GOTLANDS LÄN</t>
        </is>
      </c>
      <c r="E628" t="inlineStr">
        <is>
          <t>GOTLAND</t>
        </is>
      </c>
      <c r="G628" t="n">
        <v>4.1</v>
      </c>
      <c r="H628" t="n">
        <v>0</v>
      </c>
      <c r="I628" t="n">
        <v>0</v>
      </c>
      <c r="J628" t="n">
        <v>0</v>
      </c>
      <c r="K628" t="n">
        <v>0</v>
      </c>
      <c r="L628" t="n">
        <v>0</v>
      </c>
      <c r="M628" t="n">
        <v>0</v>
      </c>
      <c r="N628" t="n">
        <v>0</v>
      </c>
      <c r="O628" t="n">
        <v>0</v>
      </c>
      <c r="P628" t="n">
        <v>0</v>
      </c>
      <c r="Q628" t="n">
        <v>0</v>
      </c>
      <c r="R628" s="2" t="inlineStr"/>
    </row>
    <row r="629" ht="15" customHeight="1">
      <c r="A629" t="inlineStr">
        <is>
          <t>A 21651-2025</t>
        </is>
      </c>
      <c r="B629" s="1" t="n">
        <v>45783</v>
      </c>
      <c r="C629" s="1" t="n">
        <v>46066</v>
      </c>
      <c r="D629" t="inlineStr">
        <is>
          <t>GOTLANDS LÄN</t>
        </is>
      </c>
      <c r="E629" t="inlineStr">
        <is>
          <t>GOTLAND</t>
        </is>
      </c>
      <c r="G629" t="n">
        <v>4.2</v>
      </c>
      <c r="H629" t="n">
        <v>0</v>
      </c>
      <c r="I629" t="n">
        <v>0</v>
      </c>
      <c r="J629" t="n">
        <v>0</v>
      </c>
      <c r="K629" t="n">
        <v>0</v>
      </c>
      <c r="L629" t="n">
        <v>0</v>
      </c>
      <c r="M629" t="n">
        <v>0</v>
      </c>
      <c r="N629" t="n">
        <v>0</v>
      </c>
      <c r="O629" t="n">
        <v>0</v>
      </c>
      <c r="P629" t="n">
        <v>0</v>
      </c>
      <c r="Q629" t="n">
        <v>0</v>
      </c>
      <c r="R629" s="2" t="inlineStr"/>
    </row>
    <row r="630" ht="15" customHeight="1">
      <c r="A630" t="inlineStr">
        <is>
          <t>A 21420-2024</t>
        </is>
      </c>
      <c r="B630" s="1" t="n">
        <v>45441.38293981482</v>
      </c>
      <c r="C630" s="1" t="n">
        <v>46066</v>
      </c>
      <c r="D630" t="inlineStr">
        <is>
          <t>GOTLANDS LÄN</t>
        </is>
      </c>
      <c r="E630" t="inlineStr">
        <is>
          <t>GOTLAND</t>
        </is>
      </c>
      <c r="G630" t="n">
        <v>4.1</v>
      </c>
      <c r="H630" t="n">
        <v>0</v>
      </c>
      <c r="I630" t="n">
        <v>0</v>
      </c>
      <c r="J630" t="n">
        <v>0</v>
      </c>
      <c r="K630" t="n">
        <v>0</v>
      </c>
      <c r="L630" t="n">
        <v>0</v>
      </c>
      <c r="M630" t="n">
        <v>0</v>
      </c>
      <c r="N630" t="n">
        <v>0</v>
      </c>
      <c r="O630" t="n">
        <v>0</v>
      </c>
      <c r="P630" t="n">
        <v>0</v>
      </c>
      <c r="Q630" t="n">
        <v>0</v>
      </c>
      <c r="R630" s="2" t="inlineStr"/>
    </row>
    <row r="631" ht="15" customHeight="1">
      <c r="A631" t="inlineStr">
        <is>
          <t>A 10656-2024</t>
        </is>
      </c>
      <c r="B631" s="1" t="n">
        <v>45368</v>
      </c>
      <c r="C631" s="1" t="n">
        <v>46066</v>
      </c>
      <c r="D631" t="inlineStr">
        <is>
          <t>GOTLANDS LÄN</t>
        </is>
      </c>
      <c r="E631" t="inlineStr">
        <is>
          <t>GOTLAND</t>
        </is>
      </c>
      <c r="G631" t="n">
        <v>1.5</v>
      </c>
      <c r="H631" t="n">
        <v>0</v>
      </c>
      <c r="I631" t="n">
        <v>0</v>
      </c>
      <c r="J631" t="n">
        <v>0</v>
      </c>
      <c r="K631" t="n">
        <v>0</v>
      </c>
      <c r="L631" t="n">
        <v>0</v>
      </c>
      <c r="M631" t="n">
        <v>0</v>
      </c>
      <c r="N631" t="n">
        <v>0</v>
      </c>
      <c r="O631" t="n">
        <v>0</v>
      </c>
      <c r="P631" t="n">
        <v>0</v>
      </c>
      <c r="Q631" t="n">
        <v>0</v>
      </c>
      <c r="R631" s="2" t="inlineStr"/>
    </row>
    <row r="632" ht="15" customHeight="1">
      <c r="A632" t="inlineStr">
        <is>
          <t>A 57356-2023</t>
        </is>
      </c>
      <c r="B632" s="1" t="n">
        <v>45240</v>
      </c>
      <c r="C632" s="1" t="n">
        <v>46066</v>
      </c>
      <c r="D632" t="inlineStr">
        <is>
          <t>GOTLANDS LÄN</t>
        </is>
      </c>
      <c r="E632" t="inlineStr">
        <is>
          <t>GOTLAND</t>
        </is>
      </c>
      <c r="G632" t="n">
        <v>6.4</v>
      </c>
      <c r="H632" t="n">
        <v>0</v>
      </c>
      <c r="I632" t="n">
        <v>0</v>
      </c>
      <c r="J632" t="n">
        <v>0</v>
      </c>
      <c r="K632" t="n">
        <v>0</v>
      </c>
      <c r="L632" t="n">
        <v>0</v>
      </c>
      <c r="M632" t="n">
        <v>0</v>
      </c>
      <c r="N632" t="n">
        <v>0</v>
      </c>
      <c r="O632" t="n">
        <v>0</v>
      </c>
      <c r="P632" t="n">
        <v>0</v>
      </c>
      <c r="Q632" t="n">
        <v>0</v>
      </c>
      <c r="R632" s="2" t="inlineStr"/>
    </row>
    <row r="633" ht="15" customHeight="1">
      <c r="A633" t="inlineStr">
        <is>
          <t>A 28506-2023</t>
        </is>
      </c>
      <c r="B633" s="1" t="n">
        <v>45103</v>
      </c>
      <c r="C633" s="1" t="n">
        <v>46066</v>
      </c>
      <c r="D633" t="inlineStr">
        <is>
          <t>GOTLANDS LÄN</t>
        </is>
      </c>
      <c r="E633" t="inlineStr">
        <is>
          <t>GOTLAND</t>
        </is>
      </c>
      <c r="G633" t="n">
        <v>3.2</v>
      </c>
      <c r="H633" t="n">
        <v>0</v>
      </c>
      <c r="I633" t="n">
        <v>0</v>
      </c>
      <c r="J633" t="n">
        <v>0</v>
      </c>
      <c r="K633" t="n">
        <v>0</v>
      </c>
      <c r="L633" t="n">
        <v>0</v>
      </c>
      <c r="M633" t="n">
        <v>0</v>
      </c>
      <c r="N633" t="n">
        <v>0</v>
      </c>
      <c r="O633" t="n">
        <v>0</v>
      </c>
      <c r="P633" t="n">
        <v>0</v>
      </c>
      <c r="Q633" t="n">
        <v>0</v>
      </c>
      <c r="R633" s="2" t="inlineStr"/>
    </row>
    <row r="634" ht="15" customHeight="1">
      <c r="A634" t="inlineStr">
        <is>
          <t>A 23188-2025</t>
        </is>
      </c>
      <c r="B634" s="1" t="n">
        <v>45791</v>
      </c>
      <c r="C634" s="1" t="n">
        <v>46066</v>
      </c>
      <c r="D634" t="inlineStr">
        <is>
          <t>GOTLANDS LÄN</t>
        </is>
      </c>
      <c r="E634" t="inlineStr">
        <is>
          <t>GOTLAND</t>
        </is>
      </c>
      <c r="G634" t="n">
        <v>6.2</v>
      </c>
      <c r="H634" t="n">
        <v>0</v>
      </c>
      <c r="I634" t="n">
        <v>0</v>
      </c>
      <c r="J634" t="n">
        <v>0</v>
      </c>
      <c r="K634" t="n">
        <v>0</v>
      </c>
      <c r="L634" t="n">
        <v>0</v>
      </c>
      <c r="M634" t="n">
        <v>0</v>
      </c>
      <c r="N634" t="n">
        <v>0</v>
      </c>
      <c r="O634" t="n">
        <v>0</v>
      </c>
      <c r="P634" t="n">
        <v>0</v>
      </c>
      <c r="Q634" t="n">
        <v>0</v>
      </c>
      <c r="R634" s="2" t="inlineStr"/>
    </row>
    <row r="635" ht="15" customHeight="1">
      <c r="A635" t="inlineStr">
        <is>
          <t>A 23856-2025</t>
        </is>
      </c>
      <c r="B635" s="1" t="n">
        <v>45793</v>
      </c>
      <c r="C635" s="1" t="n">
        <v>46066</v>
      </c>
      <c r="D635" t="inlineStr">
        <is>
          <t>GOTLANDS LÄN</t>
        </is>
      </c>
      <c r="E635" t="inlineStr">
        <is>
          <t>GOTLAND</t>
        </is>
      </c>
      <c r="G635" t="n">
        <v>4.4</v>
      </c>
      <c r="H635" t="n">
        <v>0</v>
      </c>
      <c r="I635" t="n">
        <v>0</v>
      </c>
      <c r="J635" t="n">
        <v>0</v>
      </c>
      <c r="K635" t="n">
        <v>0</v>
      </c>
      <c r="L635" t="n">
        <v>0</v>
      </c>
      <c r="M635" t="n">
        <v>0</v>
      </c>
      <c r="N635" t="n">
        <v>0</v>
      </c>
      <c r="O635" t="n">
        <v>0</v>
      </c>
      <c r="P635" t="n">
        <v>0</v>
      </c>
      <c r="Q635" t="n">
        <v>0</v>
      </c>
      <c r="R635" s="2" t="inlineStr"/>
    </row>
    <row r="636" ht="15" customHeight="1">
      <c r="A636" t="inlineStr">
        <is>
          <t>A 23473-2025</t>
        </is>
      </c>
      <c r="B636" s="1" t="n">
        <v>45792</v>
      </c>
      <c r="C636" s="1" t="n">
        <v>46066</v>
      </c>
      <c r="D636" t="inlineStr">
        <is>
          <t>GOTLANDS LÄN</t>
        </is>
      </c>
      <c r="E636" t="inlineStr">
        <is>
          <t>GOTLAND</t>
        </is>
      </c>
      <c r="G636" t="n">
        <v>3.6</v>
      </c>
      <c r="H636" t="n">
        <v>0</v>
      </c>
      <c r="I636" t="n">
        <v>0</v>
      </c>
      <c r="J636" t="n">
        <v>0</v>
      </c>
      <c r="K636" t="n">
        <v>0</v>
      </c>
      <c r="L636" t="n">
        <v>0</v>
      </c>
      <c r="M636" t="n">
        <v>0</v>
      </c>
      <c r="N636" t="n">
        <v>0</v>
      </c>
      <c r="O636" t="n">
        <v>0</v>
      </c>
      <c r="P636" t="n">
        <v>0</v>
      </c>
      <c r="Q636" t="n">
        <v>0</v>
      </c>
      <c r="R636" s="2" t="inlineStr"/>
    </row>
    <row r="637">
      <c r="A637" t="inlineStr">
        <is>
          <t>A 23698-2025</t>
        </is>
      </c>
      <c r="B637" s="1" t="n">
        <v>45793</v>
      </c>
      <c r="C637" s="1" t="n">
        <v>46066</v>
      </c>
      <c r="D637" t="inlineStr">
        <is>
          <t>GOTLANDS LÄN</t>
        </is>
      </c>
      <c r="E637" t="inlineStr">
        <is>
          <t>GOTLAND</t>
        </is>
      </c>
      <c r="G637" t="n">
        <v>0.8</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2026-02-13T11:02:25Z</dcterms:created>
  <dcterms:modified xmlns:dcterms="http://purl.org/dc/terms/" xmlns:xsi="http://www.w3.org/2001/XMLSchema-instance" xsi:type="dcterms:W3CDTF">2026-02-13T11:02:25Z</dcterms:modified>
</cp:coreProperties>
</file>