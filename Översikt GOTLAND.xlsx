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46097</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46097</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46097</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46097</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46097</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46097</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46097</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46097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46097</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46097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46097</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46097</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46097</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46097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46097</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46097</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46097</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46097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25779-2022</t>
        </is>
      </c>
      <c r="B31" s="1" t="n">
        <v>44733</v>
      </c>
      <c r="C31" s="1" t="n">
        <v>46097</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46097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2804-2023</t>
        </is>
      </c>
      <c r="B33" s="1" t="n">
        <v>44944</v>
      </c>
      <c r="C33" s="1" t="n">
        <v>46097</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46097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46097</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46097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46097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46097</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46097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46097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46097</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46097</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46097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46097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46097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45248-2024</t>
        </is>
      </c>
      <c r="B47" s="1" t="n">
        <v>45576</v>
      </c>
      <c r="C47" s="1" t="n">
        <v>46097</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584-2023</t>
        </is>
      </c>
      <c r="B48" s="1" t="n">
        <v>44930</v>
      </c>
      <c r="C48" s="1" t="n">
        <v>46097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46097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46097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46097</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46097</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46097</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46097</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7039-2023</t>
        </is>
      </c>
      <c r="B57" s="1" t="n">
        <v>44968</v>
      </c>
      <c r="C57" s="1" t="n">
        <v>46097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46097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46097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46097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46097</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46097</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44944-2022</t>
        </is>
      </c>
      <c r="B64" s="1" t="n">
        <v>44841</v>
      </c>
      <c r="C64" s="1" t="n">
        <v>46097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46097</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4984-2025</t>
        </is>
      </c>
      <c r="B66" s="1" t="n">
        <v>45691.29891203704</v>
      </c>
      <c r="C66" s="1" t="n">
        <v>46097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46097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46097</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46097</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7038-2023</t>
        </is>
      </c>
      <c r="B71" s="1" t="n">
        <v>44968</v>
      </c>
      <c r="C71" s="1" t="n">
        <v>46097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46097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46097</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46097</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46097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46097</v>
      </c>
      <c r="D76" t="inlineStr">
        <is>
          <t>GOTLANDS LÄN</t>
        </is>
      </c>
      <c r="E76" t="inlineStr">
        <is>
          <t>GOTLAND</t>
        </is>
      </c>
      <c r="F76" t="inlineStr">
        <is>
          <t>Övriga Aktiebolag</t>
        </is>
      </c>
      <c r="G76" t="n">
        <v>18.1</v>
      </c>
      <c r="H76" t="n">
        <v>3</v>
      </c>
      <c r="I76" t="n">
        <v>0</v>
      </c>
      <c r="J76" t="n">
        <v>5</v>
      </c>
      <c r="K76" t="n">
        <v>0</v>
      </c>
      <c r="L76" t="n">
        <v>0</v>
      </c>
      <c r="M76" t="n">
        <v>0</v>
      </c>
      <c r="N76" t="n">
        <v>0</v>
      </c>
      <c r="O76" t="n">
        <v>5</v>
      </c>
      <c r="P76" t="n">
        <v>0</v>
      </c>
      <c r="Q76" t="n">
        <v>6</v>
      </c>
      <c r="R76" s="2" t="inlineStr">
        <is>
          <t>Apollofjäril
Jordtistel
Klasefibbla
Kråka
Majviva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c r="Z76">
        <f>HYPERLINK("https://klasma.github.io/Logging_0980/fåglar/A 53584-2025 prioriterade fågelarter.docx", "A 53584-2025")</f>
        <v/>
      </c>
    </row>
    <row r="77" ht="15" customHeight="1">
      <c r="A77" t="inlineStr">
        <is>
          <t>A 57773-2025</t>
        </is>
      </c>
      <c r="B77" s="1" t="n">
        <v>45981.56349537037</v>
      </c>
      <c r="C77" s="1" t="n">
        <v>46097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46097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39425-2023</t>
        </is>
      </c>
      <c r="B80" s="1" t="n">
        <v>45166</v>
      </c>
      <c r="C80" s="1" t="n">
        <v>46097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42936-2024</t>
        </is>
      </c>
      <c r="B81" s="1" t="n">
        <v>45567</v>
      </c>
      <c r="C81" s="1" t="n">
        <v>46097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46097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46097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16375-2025</t>
        </is>
      </c>
      <c r="B84" s="1" t="n">
        <v>45751.41064814815</v>
      </c>
      <c r="C84" s="1" t="n">
        <v>46097</v>
      </c>
      <c r="D84" t="inlineStr">
        <is>
          <t>GOTLANDS LÄN</t>
        </is>
      </c>
      <c r="E84" t="inlineStr">
        <is>
          <t>GOTLAND</t>
        </is>
      </c>
      <c r="G84" t="n">
        <v>1.9</v>
      </c>
      <c r="H84" t="n">
        <v>3</v>
      </c>
      <c r="I84" t="n">
        <v>3</v>
      </c>
      <c r="J84" t="n">
        <v>1</v>
      </c>
      <c r="K84" t="n">
        <v>0</v>
      </c>
      <c r="L84" t="n">
        <v>1</v>
      </c>
      <c r="M84" t="n">
        <v>0</v>
      </c>
      <c r="N84" t="n">
        <v>0</v>
      </c>
      <c r="O84" t="n">
        <v>2</v>
      </c>
      <c r="P84" t="n">
        <v>1</v>
      </c>
      <c r="Q84" t="n">
        <v>5</v>
      </c>
      <c r="R84" s="2" t="inlineStr">
        <is>
          <t>Ask
Spillkråka
Blåmossa
Nästrot
Tvåblad</t>
        </is>
      </c>
      <c r="S84">
        <f>HYPERLINK("https://klasma.github.io/Logging_0980/artfynd/A 16375-2025 artfynd.xlsx", "A 16375-2025")</f>
        <v/>
      </c>
      <c r="T84">
        <f>HYPERLINK("https://klasma.github.io/Logging_0980/kartor/A 16375-2025 karta.png", "A 16375-2025")</f>
        <v/>
      </c>
      <c r="V84">
        <f>HYPERLINK("https://klasma.github.io/Logging_0980/klagomål/A 16375-2025 FSC-klagomål.docx", "A 16375-2025")</f>
        <v/>
      </c>
      <c r="W84">
        <f>HYPERLINK("https://klasma.github.io/Logging_0980/klagomålsmail/A 16375-2025 FSC-klagomål mail.docx", "A 16375-2025")</f>
        <v/>
      </c>
      <c r="X84">
        <f>HYPERLINK("https://klasma.github.io/Logging_0980/tillsyn/A 16375-2025 tillsynsbegäran.docx", "A 16375-2025")</f>
        <v/>
      </c>
      <c r="Y84">
        <f>HYPERLINK("https://klasma.github.io/Logging_0980/tillsynsmail/A 16375-2025 tillsynsbegäran mail.docx", "A 16375-2025")</f>
        <v/>
      </c>
      <c r="Z84">
        <f>HYPERLINK("https://klasma.github.io/Logging_0980/fåglar/A 16375-2025 prioriterade fågelarter.docx", "A 16375-2025")</f>
        <v/>
      </c>
    </row>
    <row r="85" ht="15" customHeight="1">
      <c r="A85" t="inlineStr">
        <is>
          <t>A 2213-2023</t>
        </is>
      </c>
      <c r="B85" s="1" t="n">
        <v>44942</v>
      </c>
      <c r="C85" s="1" t="n">
        <v>46097</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46097</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46097</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44933-2022</t>
        </is>
      </c>
      <c r="B90" s="1" t="n">
        <v>44841</v>
      </c>
      <c r="C90" s="1" t="n">
        <v>46097</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43197-2023</t>
        </is>
      </c>
      <c r="B91" s="1" t="n">
        <v>45183</v>
      </c>
      <c r="C91" s="1" t="n">
        <v>46097</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46097</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2485-2025</t>
        </is>
      </c>
      <c r="B93" s="1" t="n">
        <v>45673</v>
      </c>
      <c r="C93" s="1" t="n">
        <v>46097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46097</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20833-2024</t>
        </is>
      </c>
      <c r="B95" s="1" t="n">
        <v>45439</v>
      </c>
      <c r="C95" s="1" t="n">
        <v>46097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40099-2025</t>
        </is>
      </c>
      <c r="B96" s="1" t="n">
        <v>45894.48462962963</v>
      </c>
      <c r="C96" s="1" t="n">
        <v>46097</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8265-2023</t>
        </is>
      </c>
      <c r="B97" s="1" t="n">
        <v>44974</v>
      </c>
      <c r="C97" s="1" t="n">
        <v>46097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46097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46097</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54523-2023</t>
        </is>
      </c>
      <c r="B100" s="1" t="n">
        <v>45233</v>
      </c>
      <c r="C100" s="1" t="n">
        <v>46097</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46097</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46097</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46097</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46097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46097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46097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46097</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43013-2022</t>
        </is>
      </c>
      <c r="B111" s="1" t="n">
        <v>44833</v>
      </c>
      <c r="C111" s="1" t="n">
        <v>46097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46097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17975-2024</t>
        </is>
      </c>
      <c r="B113" s="1" t="n">
        <v>45419.85546296297</v>
      </c>
      <c r="C113" s="1" t="n">
        <v>46097</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53552-2021</t>
        </is>
      </c>
      <c r="B114" s="1" t="n">
        <v>44468</v>
      </c>
      <c r="C114" s="1" t="n">
        <v>46097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13499-2022</t>
        </is>
      </c>
      <c r="B115" s="1" t="n">
        <v>44647.79203703703</v>
      </c>
      <c r="C115" s="1" t="n">
        <v>46097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30490-2025</t>
        </is>
      </c>
      <c r="B116" s="1" t="n">
        <v>45830</v>
      </c>
      <c r="C116" s="1" t="n">
        <v>46097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12315-2024</t>
        </is>
      </c>
      <c r="B117" s="1" t="n">
        <v>45378.6434837963</v>
      </c>
      <c r="C117" s="1" t="n">
        <v>46097</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46097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73144-2021</t>
        </is>
      </c>
      <c r="B119" s="1" t="n">
        <v>44550</v>
      </c>
      <c r="C119" s="1" t="n">
        <v>46097</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55334-2024</t>
        </is>
      </c>
      <c r="B120" s="1" t="n">
        <v>45621</v>
      </c>
      <c r="C120" s="1" t="n">
        <v>46097</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46097</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46097</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46097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46097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46097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20218-2022</t>
        </is>
      </c>
      <c r="B126" s="1" t="n">
        <v>44698</v>
      </c>
      <c r="C126" s="1" t="n">
        <v>46097</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60665-2021</t>
        </is>
      </c>
      <c r="B127" s="1" t="n">
        <v>44496</v>
      </c>
      <c r="C127" s="1" t="n">
        <v>46097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20838-2024</t>
        </is>
      </c>
      <c r="B128" s="1" t="n">
        <v>45439</v>
      </c>
      <c r="C128" s="1" t="n">
        <v>46097</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28261-2024</t>
        </is>
      </c>
      <c r="B129" s="1" t="n">
        <v>45477</v>
      </c>
      <c r="C129" s="1" t="n">
        <v>46097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26077-2024</t>
        </is>
      </c>
      <c r="B130" s="1" t="n">
        <v>45467</v>
      </c>
      <c r="C130" s="1" t="n">
        <v>46097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54357-2024</t>
        </is>
      </c>
      <c r="B131" s="1" t="n">
        <v>45617.40662037037</v>
      </c>
      <c r="C131" s="1" t="n">
        <v>46097</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55649-2024</t>
        </is>
      </c>
      <c r="B132" s="1" t="n">
        <v>45622.63053240741</v>
      </c>
      <c r="C132" s="1" t="n">
        <v>46097</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46097</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28276-2024</t>
        </is>
      </c>
      <c r="B134" s="1" t="n">
        <v>45477</v>
      </c>
      <c r="C134" s="1" t="n">
        <v>46097</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43219-2023</t>
        </is>
      </c>
      <c r="B135" s="1" t="n">
        <v>45183</v>
      </c>
      <c r="C135" s="1" t="n">
        <v>46097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21879-2025</t>
        </is>
      </c>
      <c r="B136" s="1" t="n">
        <v>45784.40533564815</v>
      </c>
      <c r="C136" s="1" t="n">
        <v>46097</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12914-2025</t>
        </is>
      </c>
      <c r="B137" s="1" t="n">
        <v>45733</v>
      </c>
      <c r="C137" s="1" t="n">
        <v>46097</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20429-2025</t>
        </is>
      </c>
      <c r="B138" s="1" t="n">
        <v>45775.47728009259</v>
      </c>
      <c r="C138" s="1" t="n">
        <v>46097</v>
      </c>
      <c r="D138" t="inlineStr">
        <is>
          <t>GOTLANDS LÄN</t>
        </is>
      </c>
      <c r="E138" t="inlineStr">
        <is>
          <t>GOTLAND</t>
        </is>
      </c>
      <c r="G138" t="n">
        <v>1.4</v>
      </c>
      <c r="H138" t="n">
        <v>2</v>
      </c>
      <c r="I138" t="n">
        <v>0</v>
      </c>
      <c r="J138" t="n">
        <v>0</v>
      </c>
      <c r="K138" t="n">
        <v>0</v>
      </c>
      <c r="L138" t="n">
        <v>0</v>
      </c>
      <c r="M138" t="n">
        <v>0</v>
      </c>
      <c r="N138" t="n">
        <v>0</v>
      </c>
      <c r="O138" t="n">
        <v>0</v>
      </c>
      <c r="P138" t="n">
        <v>0</v>
      </c>
      <c r="Q138" t="n">
        <v>2</v>
      </c>
      <c r="R138" s="2" t="inlineStr">
        <is>
          <t>Lopplummer (aggregat)
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63162-2025</t>
        </is>
      </c>
      <c r="B139" s="1" t="n">
        <v>46010.37629629629</v>
      </c>
      <c r="C139" s="1" t="n">
        <v>46097</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10274-2026</t>
        </is>
      </c>
      <c r="B140" s="1" t="n">
        <v>46076.58261574074</v>
      </c>
      <c r="C140" s="1" t="n">
        <v>46097</v>
      </c>
      <c r="D140" t="inlineStr">
        <is>
          <t>GOTLANDS LÄN</t>
        </is>
      </c>
      <c r="E140" t="inlineStr">
        <is>
          <t>GOTLAND</t>
        </is>
      </c>
      <c r="G140" t="n">
        <v>9.800000000000001</v>
      </c>
      <c r="H140" t="n">
        <v>1</v>
      </c>
      <c r="I140" t="n">
        <v>0</v>
      </c>
      <c r="J140" t="n">
        <v>0</v>
      </c>
      <c r="K140" t="n">
        <v>1</v>
      </c>
      <c r="L140" t="n">
        <v>0</v>
      </c>
      <c r="M140" t="n">
        <v>0</v>
      </c>
      <c r="N140" t="n">
        <v>0</v>
      </c>
      <c r="O140" t="n">
        <v>1</v>
      </c>
      <c r="P140" t="n">
        <v>1</v>
      </c>
      <c r="Q140" t="n">
        <v>2</v>
      </c>
      <c r="R140" s="2" t="inlineStr">
        <is>
          <t>Gråfingerört
Alvarstånds</t>
        </is>
      </c>
      <c r="S140">
        <f>HYPERLINK("https://klasma.github.io/Logging_0980/artfynd/A 10274-2026 artfynd.xlsx", "A 10274-2026")</f>
        <v/>
      </c>
      <c r="T140">
        <f>HYPERLINK("https://klasma.github.io/Logging_0980/kartor/A 10274-2026 karta.png", "A 10274-2026")</f>
        <v/>
      </c>
      <c r="V140">
        <f>HYPERLINK("https://klasma.github.io/Logging_0980/klagomål/A 10274-2026 FSC-klagomål.docx", "A 10274-2026")</f>
        <v/>
      </c>
      <c r="W140">
        <f>HYPERLINK("https://klasma.github.io/Logging_0980/klagomålsmail/A 10274-2026 FSC-klagomål mail.docx", "A 10274-2026")</f>
        <v/>
      </c>
      <c r="X140">
        <f>HYPERLINK("https://klasma.github.io/Logging_0980/tillsyn/A 10274-2026 tillsynsbegäran.docx", "A 10274-2026")</f>
        <v/>
      </c>
      <c r="Y140">
        <f>HYPERLINK("https://klasma.github.io/Logging_0980/tillsynsmail/A 10274-2026 tillsynsbegäran mail.docx", "A 10274-2026")</f>
        <v/>
      </c>
    </row>
    <row r="141" ht="15" customHeight="1">
      <c r="A141" t="inlineStr">
        <is>
          <t>A 62760-2025</t>
        </is>
      </c>
      <c r="B141" s="1" t="n">
        <v>46008</v>
      </c>
      <c r="C141" s="1" t="n">
        <v>46097</v>
      </c>
      <c r="D141" t="inlineStr">
        <is>
          <t>GOTLANDS LÄN</t>
        </is>
      </c>
      <c r="E141" t="inlineStr">
        <is>
          <t>GOTLAND</t>
        </is>
      </c>
      <c r="F141" t="inlineStr">
        <is>
          <t>Övriga Aktiebolag</t>
        </is>
      </c>
      <c r="G141" t="n">
        <v>4.6</v>
      </c>
      <c r="H141" t="n">
        <v>1</v>
      </c>
      <c r="I141" t="n">
        <v>2</v>
      </c>
      <c r="J141" t="n">
        <v>0</v>
      </c>
      <c r="K141" t="n">
        <v>0</v>
      </c>
      <c r="L141" t="n">
        <v>0</v>
      </c>
      <c r="M141" t="n">
        <v>0</v>
      </c>
      <c r="N141" t="n">
        <v>0</v>
      </c>
      <c r="O141" t="n">
        <v>0</v>
      </c>
      <c r="P141" t="n">
        <v>0</v>
      </c>
      <c r="Q141" t="n">
        <v>2</v>
      </c>
      <c r="R141" s="2" t="inlineStr">
        <is>
          <t>Nästrot
Vårärt</t>
        </is>
      </c>
      <c r="S141">
        <f>HYPERLINK("https://klasma.github.io/Logging_0980/artfynd/A 62760-2025 artfynd.xlsx", "A 62760-2025")</f>
        <v/>
      </c>
      <c r="T141">
        <f>HYPERLINK("https://klasma.github.io/Logging_0980/kartor/A 62760-2025 karta.png", "A 62760-2025")</f>
        <v/>
      </c>
      <c r="V141">
        <f>HYPERLINK("https://klasma.github.io/Logging_0980/klagomål/A 62760-2025 FSC-klagomål.docx", "A 62760-2025")</f>
        <v/>
      </c>
      <c r="W141">
        <f>HYPERLINK("https://klasma.github.io/Logging_0980/klagomålsmail/A 62760-2025 FSC-klagomål mail.docx", "A 62760-2025")</f>
        <v/>
      </c>
      <c r="X141">
        <f>HYPERLINK("https://klasma.github.io/Logging_0980/tillsyn/A 62760-2025 tillsynsbegäran.docx", "A 62760-2025")</f>
        <v/>
      </c>
      <c r="Y141">
        <f>HYPERLINK("https://klasma.github.io/Logging_0980/tillsynsmail/A 62760-2025 tillsynsbegäran mail.docx", "A 62760-2025")</f>
        <v/>
      </c>
    </row>
    <row r="142" ht="15" customHeight="1">
      <c r="A142" t="inlineStr">
        <is>
          <t>A 46362-2021</t>
        </is>
      </c>
      <c r="B142" s="1" t="n">
        <v>44442</v>
      </c>
      <c r="C142" s="1" t="n">
        <v>46097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46097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12379-2024</t>
        </is>
      </c>
      <c r="B144" s="1" t="n">
        <v>45379.28155092592</v>
      </c>
      <c r="C144" s="1" t="n">
        <v>46097</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46097</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10218-2025</t>
        </is>
      </c>
      <c r="B146" s="1" t="n">
        <v>45720</v>
      </c>
      <c r="C146" s="1" t="n">
        <v>46097</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46097</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15637-2024</t>
        </is>
      </c>
      <c r="B148" s="1" t="n">
        <v>45403.6684837963</v>
      </c>
      <c r="C148" s="1" t="n">
        <v>46097</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947-2023</t>
        </is>
      </c>
      <c r="B149" s="1" t="n">
        <v>44934</v>
      </c>
      <c r="C149" s="1" t="n">
        <v>46097</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44304-2021</t>
        </is>
      </c>
      <c r="B150" s="1" t="n">
        <v>44434</v>
      </c>
      <c r="C150" s="1" t="n">
        <v>46097</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49304-2024</t>
        </is>
      </c>
      <c r="B151" s="1" t="n">
        <v>45595.54996527778</v>
      </c>
      <c r="C151" s="1" t="n">
        <v>46097</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46097</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46097</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2476-2025</t>
        </is>
      </c>
      <c r="B154" s="1" t="n">
        <v>45673</v>
      </c>
      <c r="C154" s="1" t="n">
        <v>46097</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25977-2024</t>
        </is>
      </c>
      <c r="B155" s="1" t="n">
        <v>45467.69356481481</v>
      </c>
      <c r="C155" s="1" t="n">
        <v>46097</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46097</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10995-2023</t>
        </is>
      </c>
      <c r="B157" s="1" t="n">
        <v>44986</v>
      </c>
      <c r="C157" s="1" t="n">
        <v>46097</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1477-2024</t>
        </is>
      </c>
      <c r="B158" s="1" t="n">
        <v>45305.37987268518</v>
      </c>
      <c r="C158" s="1" t="n">
        <v>46097</v>
      </c>
      <c r="D158" t="inlineStr">
        <is>
          <t>GOTLANDS LÄN</t>
        </is>
      </c>
      <c r="E158" t="inlineStr">
        <is>
          <t>GOTLAND</t>
        </is>
      </c>
      <c r="G158" t="n">
        <v>6.9</v>
      </c>
      <c r="H158" t="n">
        <v>0</v>
      </c>
      <c r="I158" t="n">
        <v>0</v>
      </c>
      <c r="J158" t="n">
        <v>1</v>
      </c>
      <c r="K158" t="n">
        <v>0</v>
      </c>
      <c r="L158" t="n">
        <v>0</v>
      </c>
      <c r="M158" t="n">
        <v>0</v>
      </c>
      <c r="N158" t="n">
        <v>0</v>
      </c>
      <c r="O158" t="n">
        <v>1</v>
      </c>
      <c r="P158" t="n">
        <v>0</v>
      </c>
      <c r="Q158" t="n">
        <v>1</v>
      </c>
      <c r="R158" s="2" t="inlineStr">
        <is>
          <t>Igelkott</t>
        </is>
      </c>
      <c r="S158">
        <f>HYPERLINK("https://klasma.github.io/Logging_0980/artfynd/A 1477-2024 artfynd.xlsx", "A 1477-2024")</f>
        <v/>
      </c>
      <c r="T158">
        <f>HYPERLINK("https://klasma.github.io/Logging_0980/kartor/A 1477-2024 karta.png", "A 1477-2024")</f>
        <v/>
      </c>
      <c r="V158">
        <f>HYPERLINK("https://klasma.github.io/Logging_0980/klagomål/A 1477-2024 FSC-klagomål.docx", "A 1477-2024")</f>
        <v/>
      </c>
      <c r="W158">
        <f>HYPERLINK("https://klasma.github.io/Logging_0980/klagomålsmail/A 1477-2024 FSC-klagomål mail.docx", "A 1477-2024")</f>
        <v/>
      </c>
      <c r="X158">
        <f>HYPERLINK("https://klasma.github.io/Logging_0980/tillsyn/A 1477-2024 tillsynsbegäran.docx", "A 1477-2024")</f>
        <v/>
      </c>
      <c r="Y158">
        <f>HYPERLINK("https://klasma.github.io/Logging_0980/tillsynsmail/A 1477-2024 tillsynsbegäran mail.docx", "A 1477-2024")</f>
        <v/>
      </c>
    </row>
    <row r="159" ht="15" customHeight="1">
      <c r="A159" t="inlineStr">
        <is>
          <t>A 35574-2024</t>
        </is>
      </c>
      <c r="B159" s="1" t="n">
        <v>45531</v>
      </c>
      <c r="C159" s="1" t="n">
        <v>46097</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65927-2021</t>
        </is>
      </c>
      <c r="B160" s="1" t="n">
        <v>44516</v>
      </c>
      <c r="C160" s="1" t="n">
        <v>46097</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61561-2023</t>
        </is>
      </c>
      <c r="B161" s="1" t="n">
        <v>45265</v>
      </c>
      <c r="C161" s="1" t="n">
        <v>46097</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7637-2025</t>
        </is>
      </c>
      <c r="B162" s="1" t="n">
        <v>45705.77181712963</v>
      </c>
      <c r="C162" s="1" t="n">
        <v>46097</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62552-2022</t>
        </is>
      </c>
      <c r="B163" s="1" t="n">
        <v>44924</v>
      </c>
      <c r="C163" s="1" t="n">
        <v>46097</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61796-2022</t>
        </is>
      </c>
      <c r="B164" s="1" t="n">
        <v>44917</v>
      </c>
      <c r="C164" s="1" t="n">
        <v>46097</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44088-2022</t>
        </is>
      </c>
      <c r="B165" s="1" t="n">
        <v>44839</v>
      </c>
      <c r="C165" s="1" t="n">
        <v>46097</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49847-2023</t>
        </is>
      </c>
      <c r="B166" s="1" t="n">
        <v>45212</v>
      </c>
      <c r="C166" s="1" t="n">
        <v>46097</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6303-2024</t>
        </is>
      </c>
      <c r="B167" s="1" t="n">
        <v>45338.35376157407</v>
      </c>
      <c r="C167" s="1" t="n">
        <v>46097</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46527-2023</t>
        </is>
      </c>
      <c r="B168" s="1" t="n">
        <v>45197</v>
      </c>
      <c r="C168" s="1" t="n">
        <v>46097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44308-2021</t>
        </is>
      </c>
      <c r="B169" s="1" t="n">
        <v>44434</v>
      </c>
      <c r="C169" s="1" t="n">
        <v>46097</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12324-2025</t>
        </is>
      </c>
      <c r="B170" s="1" t="n">
        <v>45730</v>
      </c>
      <c r="C170" s="1" t="n">
        <v>46097</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26461-2025</t>
        </is>
      </c>
      <c r="B171" s="1" t="n">
        <v>45807.43337962963</v>
      </c>
      <c r="C171" s="1" t="n">
        <v>46097</v>
      </c>
      <c r="D171" t="inlineStr">
        <is>
          <t>GOTLANDS LÄN</t>
        </is>
      </c>
      <c r="E171" t="inlineStr">
        <is>
          <t>GOTLAND</t>
        </is>
      </c>
      <c r="G171" t="n">
        <v>4.1</v>
      </c>
      <c r="H171" t="n">
        <v>0</v>
      </c>
      <c r="I171" t="n">
        <v>0</v>
      </c>
      <c r="J171" t="n">
        <v>0</v>
      </c>
      <c r="K171" t="n">
        <v>1</v>
      </c>
      <c r="L171" t="n">
        <v>0</v>
      </c>
      <c r="M171" t="n">
        <v>0</v>
      </c>
      <c r="N171" t="n">
        <v>0</v>
      </c>
      <c r="O171" t="n">
        <v>1</v>
      </c>
      <c r="P171" t="n">
        <v>1</v>
      </c>
      <c r="Q171" t="n">
        <v>1</v>
      </c>
      <c r="R171" s="2" t="inlineStr">
        <is>
          <t>Gotlandsmåra</t>
        </is>
      </c>
      <c r="S171">
        <f>HYPERLINK("https://klasma.github.io/Logging_0980/artfynd/A 26461-2025 artfynd.xlsx", "A 26461-2025")</f>
        <v/>
      </c>
      <c r="T171">
        <f>HYPERLINK("https://klasma.github.io/Logging_0980/kartor/A 26461-2025 karta.png", "A 26461-2025")</f>
        <v/>
      </c>
      <c r="V171">
        <f>HYPERLINK("https://klasma.github.io/Logging_0980/klagomål/A 26461-2025 FSC-klagomål.docx", "A 26461-2025")</f>
        <v/>
      </c>
      <c r="W171">
        <f>HYPERLINK("https://klasma.github.io/Logging_0980/klagomålsmail/A 26461-2025 FSC-klagomål mail.docx", "A 26461-2025")</f>
        <v/>
      </c>
      <c r="X171">
        <f>HYPERLINK("https://klasma.github.io/Logging_0980/tillsyn/A 26461-2025 tillsynsbegäran.docx", "A 26461-2025")</f>
        <v/>
      </c>
      <c r="Y171">
        <f>HYPERLINK("https://klasma.github.io/Logging_0980/tillsynsmail/A 26461-2025 tillsynsbegäran mail.docx", "A 26461-2025")</f>
        <v/>
      </c>
    </row>
    <row r="172" ht="15" customHeight="1">
      <c r="A172" t="inlineStr">
        <is>
          <t>A 37591-2023</t>
        </is>
      </c>
      <c r="B172" s="1" t="n">
        <v>45159</v>
      </c>
      <c r="C172" s="1" t="n">
        <v>46097</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22782-2023</t>
        </is>
      </c>
      <c r="B173" s="1" t="n">
        <v>45072</v>
      </c>
      <c r="C173" s="1" t="n">
        <v>46097</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34809-2024</t>
        </is>
      </c>
      <c r="B174" s="1" t="n">
        <v>45526</v>
      </c>
      <c r="C174" s="1" t="n">
        <v>46097</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21466-2025</t>
        </is>
      </c>
      <c r="B175" s="1" t="n">
        <v>45782</v>
      </c>
      <c r="C175" s="1" t="n">
        <v>46097</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22883-2024</t>
        </is>
      </c>
      <c r="B176" s="1" t="n">
        <v>45448.66368055555</v>
      </c>
      <c r="C176" s="1" t="n">
        <v>46097</v>
      </c>
      <c r="D176" t="inlineStr">
        <is>
          <t>GOTLANDS LÄN</t>
        </is>
      </c>
      <c r="E176" t="inlineStr">
        <is>
          <t>GOTLAND</t>
        </is>
      </c>
      <c r="G176" t="n">
        <v>0.5</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22883-2024 artfynd.xlsx", "A 22883-2024")</f>
        <v/>
      </c>
      <c r="T176">
        <f>HYPERLINK("https://klasma.github.io/Logging_0980/kartor/A 22883-2024 karta.png", "A 22883-2024")</f>
        <v/>
      </c>
      <c r="V176">
        <f>HYPERLINK("https://klasma.github.io/Logging_0980/klagomål/A 22883-2024 FSC-klagomål.docx", "A 22883-2024")</f>
        <v/>
      </c>
      <c r="W176">
        <f>HYPERLINK("https://klasma.github.io/Logging_0980/klagomålsmail/A 22883-2024 FSC-klagomål mail.docx", "A 22883-2024")</f>
        <v/>
      </c>
      <c r="X176">
        <f>HYPERLINK("https://klasma.github.io/Logging_0980/tillsyn/A 22883-2024 tillsynsbegäran.docx", "A 22883-2024")</f>
        <v/>
      </c>
      <c r="Y176">
        <f>HYPERLINK("https://klasma.github.io/Logging_0980/tillsynsmail/A 22883-2024 tillsynsbegäran mail.docx", "A 22883-2024")</f>
        <v/>
      </c>
    </row>
    <row r="177" ht="15" customHeight="1">
      <c r="A177" t="inlineStr">
        <is>
          <t>A 10440-2024</t>
        </is>
      </c>
      <c r="B177" s="1" t="n">
        <v>45366.32818287037</v>
      </c>
      <c r="C177" s="1" t="n">
        <v>46097</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13939-2021</t>
        </is>
      </c>
      <c r="B178" s="1" t="n">
        <v>44277</v>
      </c>
      <c r="C178" s="1" t="n">
        <v>46097</v>
      </c>
      <c r="D178" t="inlineStr">
        <is>
          <t>GOTLANDS LÄN</t>
        </is>
      </c>
      <c r="E178" t="inlineStr">
        <is>
          <t>GOTLAND</t>
        </is>
      </c>
      <c r="G178" t="n">
        <v>1</v>
      </c>
      <c r="H178" t="n">
        <v>0</v>
      </c>
      <c r="I178" t="n">
        <v>0</v>
      </c>
      <c r="J178" t="n">
        <v>1</v>
      </c>
      <c r="K178" t="n">
        <v>0</v>
      </c>
      <c r="L178" t="n">
        <v>0</v>
      </c>
      <c r="M178" t="n">
        <v>0</v>
      </c>
      <c r="N178" t="n">
        <v>0</v>
      </c>
      <c r="O178" t="n">
        <v>1</v>
      </c>
      <c r="P178" t="n">
        <v>0</v>
      </c>
      <c r="Q178" t="n">
        <v>1</v>
      </c>
      <c r="R178" s="2" t="inlineStr">
        <is>
          <t>Axveronika</t>
        </is>
      </c>
      <c r="S178">
        <f>HYPERLINK("https://klasma.github.io/Logging_0980/artfynd/A 13939-2021 artfynd.xlsx", "A 13939-2021")</f>
        <v/>
      </c>
      <c r="T178">
        <f>HYPERLINK("https://klasma.github.io/Logging_0980/kartor/A 13939-2021 karta.png", "A 13939-2021")</f>
        <v/>
      </c>
      <c r="V178">
        <f>HYPERLINK("https://klasma.github.io/Logging_0980/klagomål/A 13939-2021 FSC-klagomål.docx", "A 13939-2021")</f>
        <v/>
      </c>
      <c r="W178">
        <f>HYPERLINK("https://klasma.github.io/Logging_0980/klagomålsmail/A 13939-2021 FSC-klagomål mail.docx", "A 13939-2021")</f>
        <v/>
      </c>
      <c r="X178">
        <f>HYPERLINK("https://klasma.github.io/Logging_0980/tillsyn/A 13939-2021 tillsynsbegäran.docx", "A 13939-2021")</f>
        <v/>
      </c>
      <c r="Y178">
        <f>HYPERLINK("https://klasma.github.io/Logging_0980/tillsynsmail/A 13939-2021 tillsynsbegäran mail.docx", "A 13939-2021")</f>
        <v/>
      </c>
    </row>
    <row r="179" ht="15" customHeight="1">
      <c r="A179" t="inlineStr">
        <is>
          <t>A 34141-2024</t>
        </is>
      </c>
      <c r="B179" s="1" t="n">
        <v>45524.36229166666</v>
      </c>
      <c r="C179" s="1" t="n">
        <v>46097</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46097</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39812-2025</t>
        </is>
      </c>
      <c r="B181" s="1" t="n">
        <v>45891</v>
      </c>
      <c r="C181" s="1" t="n">
        <v>46097</v>
      </c>
      <c r="D181" t="inlineStr">
        <is>
          <t>GOTLANDS LÄN</t>
        </is>
      </c>
      <c r="E181" t="inlineStr">
        <is>
          <t>GOTLAND</t>
        </is>
      </c>
      <c r="G181" t="n">
        <v>6</v>
      </c>
      <c r="H181" t="n">
        <v>1</v>
      </c>
      <c r="I181" t="n">
        <v>0</v>
      </c>
      <c r="J181" t="n">
        <v>0</v>
      </c>
      <c r="K181" t="n">
        <v>0</v>
      </c>
      <c r="L181" t="n">
        <v>1</v>
      </c>
      <c r="M181" t="n">
        <v>0</v>
      </c>
      <c r="N181" t="n">
        <v>0</v>
      </c>
      <c r="O181" t="n">
        <v>1</v>
      </c>
      <c r="P181" t="n">
        <v>1</v>
      </c>
      <c r="Q181" t="n">
        <v>1</v>
      </c>
      <c r="R181" s="2" t="inlineStr">
        <is>
          <t>Nålkörvel</t>
        </is>
      </c>
      <c r="S181">
        <f>HYPERLINK("https://klasma.github.io/Logging_0980/artfynd/A 39812-2025 artfynd.xlsx", "A 39812-2025")</f>
        <v/>
      </c>
      <c r="T181">
        <f>HYPERLINK("https://klasma.github.io/Logging_0980/kartor/A 39812-2025 karta.png", "A 39812-2025")</f>
        <v/>
      </c>
      <c r="V181">
        <f>HYPERLINK("https://klasma.github.io/Logging_0980/klagomål/A 39812-2025 FSC-klagomål.docx", "A 39812-2025")</f>
        <v/>
      </c>
      <c r="W181">
        <f>HYPERLINK("https://klasma.github.io/Logging_0980/klagomålsmail/A 39812-2025 FSC-klagomål mail.docx", "A 39812-2025")</f>
        <v/>
      </c>
      <c r="X181">
        <f>HYPERLINK("https://klasma.github.io/Logging_0980/tillsyn/A 39812-2025 tillsynsbegäran.docx", "A 39812-2025")</f>
        <v/>
      </c>
      <c r="Y181">
        <f>HYPERLINK("https://klasma.github.io/Logging_0980/tillsynsmail/A 39812-2025 tillsynsbegäran mail.docx", "A 39812-2025")</f>
        <v/>
      </c>
    </row>
    <row r="182" ht="15" customHeight="1">
      <c r="A182" t="inlineStr">
        <is>
          <t>A 12924-2025</t>
        </is>
      </c>
      <c r="B182" s="1" t="n">
        <v>45734</v>
      </c>
      <c r="C182" s="1" t="n">
        <v>46097</v>
      </c>
      <c r="D182" t="inlineStr">
        <is>
          <t>GOTLANDS LÄN</t>
        </is>
      </c>
      <c r="E182" t="inlineStr">
        <is>
          <t>GOTLAND</t>
        </is>
      </c>
      <c r="G182" t="n">
        <v>11.7</v>
      </c>
      <c r="H182" t="n">
        <v>0</v>
      </c>
      <c r="I182" t="n">
        <v>0</v>
      </c>
      <c r="J182" t="n">
        <v>0</v>
      </c>
      <c r="K182" t="n">
        <v>1</v>
      </c>
      <c r="L182" t="n">
        <v>0</v>
      </c>
      <c r="M182" t="n">
        <v>0</v>
      </c>
      <c r="N182" t="n">
        <v>0</v>
      </c>
      <c r="O182" t="n">
        <v>1</v>
      </c>
      <c r="P182" t="n">
        <v>1</v>
      </c>
      <c r="Q182" t="n">
        <v>1</v>
      </c>
      <c r="R182" s="2" t="inlineStr">
        <is>
          <t>Gotlandsmåra</t>
        </is>
      </c>
      <c r="S182">
        <f>HYPERLINK("https://klasma.github.io/Logging_0980/artfynd/A 12924-2025 artfynd.xlsx", "A 12924-2025")</f>
        <v/>
      </c>
      <c r="T182">
        <f>HYPERLINK("https://klasma.github.io/Logging_0980/kartor/A 12924-2025 karta.png", "A 12924-2025")</f>
        <v/>
      </c>
      <c r="V182">
        <f>HYPERLINK("https://klasma.github.io/Logging_0980/klagomål/A 12924-2025 FSC-klagomål.docx", "A 12924-2025")</f>
        <v/>
      </c>
      <c r="W182">
        <f>HYPERLINK("https://klasma.github.io/Logging_0980/klagomålsmail/A 12924-2025 FSC-klagomål mail.docx", "A 12924-2025")</f>
        <v/>
      </c>
      <c r="X182">
        <f>HYPERLINK("https://klasma.github.io/Logging_0980/tillsyn/A 12924-2025 tillsynsbegäran.docx", "A 12924-2025")</f>
        <v/>
      </c>
      <c r="Y182">
        <f>HYPERLINK("https://klasma.github.io/Logging_0980/tillsynsmail/A 12924-2025 tillsynsbegäran mail.docx", "A 12924-2025")</f>
        <v/>
      </c>
    </row>
    <row r="183" ht="15" customHeight="1">
      <c r="A183" t="inlineStr">
        <is>
          <t>A 24245-2022</t>
        </is>
      </c>
      <c r="B183" s="1" t="n">
        <v>44725</v>
      </c>
      <c r="C183" s="1" t="n">
        <v>46097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35467-2021</t>
        </is>
      </c>
      <c r="B184" s="1" t="n">
        <v>44385</v>
      </c>
      <c r="C184" s="1" t="n">
        <v>46097</v>
      </c>
      <c r="D184" t="inlineStr">
        <is>
          <t>GOTLANDS LÄN</t>
        </is>
      </c>
      <c r="E184" t="inlineStr">
        <is>
          <t>GOTLAND</t>
        </is>
      </c>
      <c r="G184" t="n">
        <v>12.7</v>
      </c>
      <c r="H184" t="n">
        <v>0</v>
      </c>
      <c r="I184" t="n">
        <v>0</v>
      </c>
      <c r="J184" t="n">
        <v>1</v>
      </c>
      <c r="K184" t="n">
        <v>0</v>
      </c>
      <c r="L184" t="n">
        <v>0</v>
      </c>
      <c r="M184" t="n">
        <v>0</v>
      </c>
      <c r="N184" t="n">
        <v>0</v>
      </c>
      <c r="O184" t="n">
        <v>1</v>
      </c>
      <c r="P184" t="n">
        <v>0</v>
      </c>
      <c r="Q184" t="n">
        <v>1</v>
      </c>
      <c r="R184" s="2" t="inlineStr">
        <is>
          <t>Loppstarr</t>
        </is>
      </c>
      <c r="S184">
        <f>HYPERLINK("https://klasma.github.io/Logging_0980/artfynd/A 35467-2021 artfynd.xlsx", "A 35467-2021")</f>
        <v/>
      </c>
      <c r="T184">
        <f>HYPERLINK("https://klasma.github.io/Logging_0980/kartor/A 35467-2021 karta.png", "A 35467-2021")</f>
        <v/>
      </c>
      <c r="V184">
        <f>HYPERLINK("https://klasma.github.io/Logging_0980/klagomål/A 35467-2021 FSC-klagomål.docx", "A 35467-2021")</f>
        <v/>
      </c>
      <c r="W184">
        <f>HYPERLINK("https://klasma.github.io/Logging_0980/klagomålsmail/A 35467-2021 FSC-klagomål mail.docx", "A 35467-2021")</f>
        <v/>
      </c>
      <c r="X184">
        <f>HYPERLINK("https://klasma.github.io/Logging_0980/tillsyn/A 35467-2021 tillsynsbegäran.docx", "A 35467-2021")</f>
        <v/>
      </c>
      <c r="Y184">
        <f>HYPERLINK("https://klasma.github.io/Logging_0980/tillsynsmail/A 35467-2021 tillsynsbegäran mail.docx", "A 35467-2021")</f>
        <v/>
      </c>
    </row>
    <row r="185" ht="15" customHeight="1">
      <c r="A185" t="inlineStr">
        <is>
          <t>A 44619-2025</t>
        </is>
      </c>
      <c r="B185" s="1" t="n">
        <v>45917</v>
      </c>
      <c r="C185" s="1" t="n">
        <v>46097</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Ögonpyrola</t>
        </is>
      </c>
      <c r="S185">
        <f>HYPERLINK("https://klasma.github.io/Logging_0980/artfynd/A 44619-2025 artfynd.xlsx", "A 44619-2025")</f>
        <v/>
      </c>
      <c r="T185">
        <f>HYPERLINK("https://klasma.github.io/Logging_0980/kartor/A 44619-2025 karta.png", "A 44619-2025")</f>
        <v/>
      </c>
      <c r="V185">
        <f>HYPERLINK("https://klasma.github.io/Logging_0980/klagomål/A 44619-2025 FSC-klagomål.docx", "A 44619-2025")</f>
        <v/>
      </c>
      <c r="W185">
        <f>HYPERLINK("https://klasma.github.io/Logging_0980/klagomålsmail/A 44619-2025 FSC-klagomål mail.docx", "A 44619-2025")</f>
        <v/>
      </c>
      <c r="X185">
        <f>HYPERLINK("https://klasma.github.io/Logging_0980/tillsyn/A 44619-2025 tillsynsbegäran.docx", "A 44619-2025")</f>
        <v/>
      </c>
      <c r="Y185">
        <f>HYPERLINK("https://klasma.github.io/Logging_0980/tillsynsmail/A 44619-2025 tillsynsbegäran mail.docx", "A 44619-2025")</f>
        <v/>
      </c>
    </row>
    <row r="186" ht="15" customHeight="1">
      <c r="A186" t="inlineStr">
        <is>
          <t>A 49726-2025</t>
        </is>
      </c>
      <c r="B186" s="1" t="n">
        <v>45939.84466435185</v>
      </c>
      <c r="C186" s="1" t="n">
        <v>46097</v>
      </c>
      <c r="D186" t="inlineStr">
        <is>
          <t>GOTLANDS LÄN</t>
        </is>
      </c>
      <c r="E186" t="inlineStr">
        <is>
          <t>GOTLAND</t>
        </is>
      </c>
      <c r="F186" t="inlineStr">
        <is>
          <t>Kyrkan</t>
        </is>
      </c>
      <c r="G186" t="n">
        <v>5.4</v>
      </c>
      <c r="H186" t="n">
        <v>0</v>
      </c>
      <c r="I186" t="n">
        <v>0</v>
      </c>
      <c r="J186" t="n">
        <v>1</v>
      </c>
      <c r="K186" t="n">
        <v>0</v>
      </c>
      <c r="L186" t="n">
        <v>0</v>
      </c>
      <c r="M186" t="n">
        <v>0</v>
      </c>
      <c r="N186" t="n">
        <v>0</v>
      </c>
      <c r="O186" t="n">
        <v>1</v>
      </c>
      <c r="P186" t="n">
        <v>0</v>
      </c>
      <c r="Q186" t="n">
        <v>1</v>
      </c>
      <c r="R186" s="2" t="inlineStr">
        <is>
          <t>Odörspindling</t>
        </is>
      </c>
      <c r="S186">
        <f>HYPERLINK("https://klasma.github.io/Logging_0980/artfynd/A 49726-2025 artfynd.xlsx", "A 49726-2025")</f>
        <v/>
      </c>
      <c r="T186">
        <f>HYPERLINK("https://klasma.github.io/Logging_0980/kartor/A 49726-2025 karta.png", "A 49726-2025")</f>
        <v/>
      </c>
      <c r="V186">
        <f>HYPERLINK("https://klasma.github.io/Logging_0980/klagomål/A 49726-2025 FSC-klagomål.docx", "A 49726-2025")</f>
        <v/>
      </c>
      <c r="W186">
        <f>HYPERLINK("https://klasma.github.io/Logging_0980/klagomålsmail/A 49726-2025 FSC-klagomål mail.docx", "A 49726-2025")</f>
        <v/>
      </c>
      <c r="X186">
        <f>HYPERLINK("https://klasma.github.io/Logging_0980/tillsyn/A 49726-2025 tillsynsbegäran.docx", "A 49726-2025")</f>
        <v/>
      </c>
      <c r="Y186">
        <f>HYPERLINK("https://klasma.github.io/Logging_0980/tillsynsmail/A 49726-2025 tillsynsbegäran mail.docx", "A 49726-2025")</f>
        <v/>
      </c>
    </row>
    <row r="187" ht="15" customHeight="1">
      <c r="A187" t="inlineStr">
        <is>
          <t>A 63149-2025</t>
        </is>
      </c>
      <c r="B187" s="1" t="n">
        <v>46010</v>
      </c>
      <c r="C187" s="1" t="n">
        <v>46097</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11708-2026</t>
        </is>
      </c>
      <c r="B188" s="1" t="n">
        <v>46084</v>
      </c>
      <c r="C188" s="1" t="n">
        <v>46097</v>
      </c>
      <c r="D188" t="inlineStr">
        <is>
          <t>GOTLANDS LÄN</t>
        </is>
      </c>
      <c r="E188" t="inlineStr">
        <is>
          <t>GOTLAND</t>
        </is>
      </c>
      <c r="G188" t="n">
        <v>8.4</v>
      </c>
      <c r="H188" t="n">
        <v>1</v>
      </c>
      <c r="I188" t="n">
        <v>0</v>
      </c>
      <c r="J188" t="n">
        <v>1</v>
      </c>
      <c r="K188" t="n">
        <v>0</v>
      </c>
      <c r="L188" t="n">
        <v>0</v>
      </c>
      <c r="M188" t="n">
        <v>0</v>
      </c>
      <c r="N188" t="n">
        <v>0</v>
      </c>
      <c r="O188" t="n">
        <v>1</v>
      </c>
      <c r="P188" t="n">
        <v>0</v>
      </c>
      <c r="Q188" t="n">
        <v>1</v>
      </c>
      <c r="R188" s="2" t="inlineStr">
        <is>
          <t>Bredarun</t>
        </is>
      </c>
      <c r="S188">
        <f>HYPERLINK("https://klasma.github.io/Logging_0980/artfynd/A 11708-2026 artfynd.xlsx", "A 11708-2026")</f>
        <v/>
      </c>
      <c r="T188">
        <f>HYPERLINK("https://klasma.github.io/Logging_0980/kartor/A 11708-2026 karta.png", "A 11708-2026")</f>
        <v/>
      </c>
      <c r="V188">
        <f>HYPERLINK("https://klasma.github.io/Logging_0980/klagomål/A 11708-2026 FSC-klagomål.docx", "A 11708-2026")</f>
        <v/>
      </c>
      <c r="W188">
        <f>HYPERLINK("https://klasma.github.io/Logging_0980/klagomålsmail/A 11708-2026 FSC-klagomål mail.docx", "A 11708-2026")</f>
        <v/>
      </c>
      <c r="X188">
        <f>HYPERLINK("https://klasma.github.io/Logging_0980/tillsyn/A 11708-2026 tillsynsbegäran.docx", "A 11708-2026")</f>
        <v/>
      </c>
      <c r="Y188">
        <f>HYPERLINK("https://klasma.github.io/Logging_0980/tillsynsmail/A 11708-2026 tillsynsbegäran mail.docx", "A 11708-2026")</f>
        <v/>
      </c>
    </row>
    <row r="189" ht="15" customHeight="1">
      <c r="A189" t="inlineStr">
        <is>
          <t>A 10013-2026</t>
        </is>
      </c>
      <c r="B189" s="1" t="n">
        <v>46073</v>
      </c>
      <c r="C189" s="1" t="n">
        <v>46097</v>
      </c>
      <c r="D189" t="inlineStr">
        <is>
          <t>GOTLANDS LÄN</t>
        </is>
      </c>
      <c r="E189" t="inlineStr">
        <is>
          <t>GOTLAND</t>
        </is>
      </c>
      <c r="G189" t="n">
        <v>10.5</v>
      </c>
      <c r="H189" t="n">
        <v>0</v>
      </c>
      <c r="I189" t="n">
        <v>0</v>
      </c>
      <c r="J189" t="n">
        <v>0</v>
      </c>
      <c r="K189" t="n">
        <v>1</v>
      </c>
      <c r="L189" t="n">
        <v>0</v>
      </c>
      <c r="M189" t="n">
        <v>0</v>
      </c>
      <c r="N189" t="n">
        <v>0</v>
      </c>
      <c r="O189" t="n">
        <v>1</v>
      </c>
      <c r="P189" t="n">
        <v>1</v>
      </c>
      <c r="Q189" t="n">
        <v>1</v>
      </c>
      <c r="R189" s="2" t="inlineStr">
        <is>
          <t>Skogskorn</t>
        </is>
      </c>
      <c r="S189">
        <f>HYPERLINK("https://klasma.github.io/Logging_0980/artfynd/A 10013-2026 artfynd.xlsx", "A 10013-2026")</f>
        <v/>
      </c>
      <c r="T189">
        <f>HYPERLINK("https://klasma.github.io/Logging_0980/kartor/A 10013-2026 karta.png", "A 10013-2026")</f>
        <v/>
      </c>
      <c r="V189">
        <f>HYPERLINK("https://klasma.github.io/Logging_0980/klagomål/A 10013-2026 FSC-klagomål.docx", "A 10013-2026")</f>
        <v/>
      </c>
      <c r="W189">
        <f>HYPERLINK("https://klasma.github.io/Logging_0980/klagomålsmail/A 10013-2026 FSC-klagomål mail.docx", "A 10013-2026")</f>
        <v/>
      </c>
      <c r="X189">
        <f>HYPERLINK("https://klasma.github.io/Logging_0980/tillsyn/A 10013-2026 tillsynsbegäran.docx", "A 10013-2026")</f>
        <v/>
      </c>
      <c r="Y189">
        <f>HYPERLINK("https://klasma.github.io/Logging_0980/tillsynsmail/A 10013-2026 tillsynsbegäran mail.docx", "A 10013-2026")</f>
        <v/>
      </c>
    </row>
    <row r="190" ht="15" customHeight="1">
      <c r="A190" t="inlineStr">
        <is>
          <t>A 19901-2021</t>
        </is>
      </c>
      <c r="B190" s="1" t="n">
        <v>44312</v>
      </c>
      <c r="C190" s="1" t="n">
        <v>46097</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46097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46097</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46097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46097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46097</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46097</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46097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46097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46097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46097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46097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46097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46097</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46097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46097</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46097</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46097</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46097</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46097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46097</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46097</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46097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46097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46097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46097</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46097</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46097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46097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46097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46097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46097</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46097</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11029-2022</t>
        </is>
      </c>
      <c r="B224" s="1" t="n">
        <v>44628</v>
      </c>
      <c r="C224" s="1" t="n">
        <v>46097</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46097</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46097</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46097</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46097</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46097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46097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46097</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46097</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46097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57652-2023</t>
        </is>
      </c>
      <c r="B234" s="1" t="n">
        <v>45246</v>
      </c>
      <c r="C234" s="1" t="n">
        <v>46097</v>
      </c>
      <c r="D234" t="inlineStr">
        <is>
          <t>GOTLANDS LÄN</t>
        </is>
      </c>
      <c r="E234" t="inlineStr">
        <is>
          <t>GOTLAND</t>
        </is>
      </c>
      <c r="G234" t="n">
        <v>7.2</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46097</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5751-2024</t>
        </is>
      </c>
      <c r="B236" s="1" t="n">
        <v>45335.32702546296</v>
      </c>
      <c r="C236" s="1" t="n">
        <v>46097</v>
      </c>
      <c r="D236" t="inlineStr">
        <is>
          <t>GOTLANDS LÄN</t>
        </is>
      </c>
      <c r="E236" t="inlineStr">
        <is>
          <t>GOTLAND</t>
        </is>
      </c>
      <c r="G236" t="n">
        <v>4.2</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46097</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49315-2024</t>
        </is>
      </c>
      <c r="B238" s="1" t="n">
        <v>45595</v>
      </c>
      <c r="C238" s="1" t="n">
        <v>46097</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46097</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46097</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2676-2023</t>
        </is>
      </c>
      <c r="B241" s="1" t="n">
        <v>44944</v>
      </c>
      <c r="C241" s="1" t="n">
        <v>46097</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46097</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3150-2025</t>
        </is>
      </c>
      <c r="B243" s="1" t="n">
        <v>45679.28974537037</v>
      </c>
      <c r="C243" s="1" t="n">
        <v>46097</v>
      </c>
      <c r="D243" t="inlineStr">
        <is>
          <t>GOTLANDS LÄN</t>
        </is>
      </c>
      <c r="E243" t="inlineStr">
        <is>
          <t>GOTLAND</t>
        </is>
      </c>
      <c r="G243" t="n">
        <v>2.5</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46097</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8484-2025</t>
        </is>
      </c>
      <c r="B245" s="1" t="n">
        <v>45709</v>
      </c>
      <c r="C245" s="1" t="n">
        <v>46097</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7635-2025</t>
        </is>
      </c>
      <c r="B246" s="1" t="n">
        <v>45705</v>
      </c>
      <c r="C246" s="1" t="n">
        <v>46097</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7636-2025</t>
        </is>
      </c>
      <c r="B247" s="1" t="n">
        <v>45705.7687962963</v>
      </c>
      <c r="C247" s="1" t="n">
        <v>46097</v>
      </c>
      <c r="D247" t="inlineStr">
        <is>
          <t>GOTLANDS LÄN</t>
        </is>
      </c>
      <c r="E247" t="inlineStr">
        <is>
          <t>GOTLAND</t>
        </is>
      </c>
      <c r="G247" t="n">
        <v>0.6</v>
      </c>
      <c r="H247" t="n">
        <v>0</v>
      </c>
      <c r="I247" t="n">
        <v>0</v>
      </c>
      <c r="J247" t="n">
        <v>0</v>
      </c>
      <c r="K247" t="n">
        <v>0</v>
      </c>
      <c r="L247" t="n">
        <v>0</v>
      </c>
      <c r="M247" t="n">
        <v>0</v>
      </c>
      <c r="N247" t="n">
        <v>0</v>
      </c>
      <c r="O247" t="n">
        <v>0</v>
      </c>
      <c r="P247" t="n">
        <v>0</v>
      </c>
      <c r="Q247" t="n">
        <v>0</v>
      </c>
      <c r="R247" s="2" t="inlineStr"/>
    </row>
    <row r="248" ht="15" customHeight="1">
      <c r="A248" t="inlineStr">
        <is>
          <t>A 7639-2025</t>
        </is>
      </c>
      <c r="B248" s="1" t="n">
        <v>45705.77465277778</v>
      </c>
      <c r="C248" s="1" t="n">
        <v>46097</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30282-2022</t>
        </is>
      </c>
      <c r="B249" s="1" t="n">
        <v>44760</v>
      </c>
      <c r="C249" s="1" t="n">
        <v>46097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46097</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48734-2022</t>
        </is>
      </c>
      <c r="B251" s="1" t="n">
        <v>44855</v>
      </c>
      <c r="C251" s="1" t="n">
        <v>46097</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14141-2024</t>
        </is>
      </c>
      <c r="B252" s="1" t="n">
        <v>45392.85193287037</v>
      </c>
      <c r="C252" s="1" t="n">
        <v>46097</v>
      </c>
      <c r="D252" t="inlineStr">
        <is>
          <t>GOTLANDS LÄN</t>
        </is>
      </c>
      <c r="E252" t="inlineStr">
        <is>
          <t>GOTLAND</t>
        </is>
      </c>
      <c r="G252" t="n">
        <v>5.3</v>
      </c>
      <c r="H252" t="n">
        <v>0</v>
      </c>
      <c r="I252" t="n">
        <v>0</v>
      </c>
      <c r="J252" t="n">
        <v>0</v>
      </c>
      <c r="K252" t="n">
        <v>0</v>
      </c>
      <c r="L252" t="n">
        <v>0</v>
      </c>
      <c r="M252" t="n">
        <v>0</v>
      </c>
      <c r="N252" t="n">
        <v>0</v>
      </c>
      <c r="O252" t="n">
        <v>0</v>
      </c>
      <c r="P252" t="n">
        <v>0</v>
      </c>
      <c r="Q252" t="n">
        <v>0</v>
      </c>
      <c r="R252" s="2" t="inlineStr"/>
    </row>
    <row r="253" ht="15" customHeight="1">
      <c r="A253" t="inlineStr">
        <is>
          <t>A 4868-2024</t>
        </is>
      </c>
      <c r="B253" s="1" t="n">
        <v>45329</v>
      </c>
      <c r="C253" s="1" t="n">
        <v>46097</v>
      </c>
      <c r="D253" t="inlineStr">
        <is>
          <t>GOTLANDS LÄN</t>
        </is>
      </c>
      <c r="E253" t="inlineStr">
        <is>
          <t>GOTLAND</t>
        </is>
      </c>
      <c r="G253" t="n">
        <v>7.1</v>
      </c>
      <c r="H253" t="n">
        <v>0</v>
      </c>
      <c r="I253" t="n">
        <v>0</v>
      </c>
      <c r="J253" t="n">
        <v>0</v>
      </c>
      <c r="K253" t="n">
        <v>0</v>
      </c>
      <c r="L253" t="n">
        <v>0</v>
      </c>
      <c r="M253" t="n">
        <v>0</v>
      </c>
      <c r="N253" t="n">
        <v>0</v>
      </c>
      <c r="O253" t="n">
        <v>0</v>
      </c>
      <c r="P253" t="n">
        <v>0</v>
      </c>
      <c r="Q253" t="n">
        <v>0</v>
      </c>
      <c r="R253" s="2" t="inlineStr"/>
    </row>
    <row r="254" ht="15" customHeight="1">
      <c r="A254" t="inlineStr">
        <is>
          <t>A 29809-2022</t>
        </is>
      </c>
      <c r="B254" s="1" t="n">
        <v>44755.8713425926</v>
      </c>
      <c r="C254" s="1" t="n">
        <v>46097</v>
      </c>
      <c r="D254" t="inlineStr">
        <is>
          <t>GOTLANDS LÄN</t>
        </is>
      </c>
      <c r="E254" t="inlineStr">
        <is>
          <t>GOTLAND</t>
        </is>
      </c>
      <c r="G254" t="n">
        <v>11.5</v>
      </c>
      <c r="H254" t="n">
        <v>0</v>
      </c>
      <c r="I254" t="n">
        <v>0</v>
      </c>
      <c r="J254" t="n">
        <v>0</v>
      </c>
      <c r="K254" t="n">
        <v>0</v>
      </c>
      <c r="L254" t="n">
        <v>0</v>
      </c>
      <c r="M254" t="n">
        <v>0</v>
      </c>
      <c r="N254" t="n">
        <v>0</v>
      </c>
      <c r="O254" t="n">
        <v>0</v>
      </c>
      <c r="P254" t="n">
        <v>0</v>
      </c>
      <c r="Q254" t="n">
        <v>0</v>
      </c>
      <c r="R254" s="2" t="inlineStr"/>
    </row>
    <row r="255" ht="15" customHeight="1">
      <c r="A255" t="inlineStr">
        <is>
          <t>A 1394-2023</t>
        </is>
      </c>
      <c r="B255" s="1" t="n">
        <v>44936.72997685185</v>
      </c>
      <c r="C255" s="1" t="n">
        <v>46097</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22031-2024</t>
        </is>
      </c>
      <c r="B256" s="1" t="n">
        <v>45443.60075231481</v>
      </c>
      <c r="C256" s="1" t="n">
        <v>46097</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46097</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58230-2024</t>
        </is>
      </c>
      <c r="B258" s="1" t="n">
        <v>45632.51625</v>
      </c>
      <c r="C258" s="1" t="n">
        <v>46097</v>
      </c>
      <c r="D258" t="inlineStr">
        <is>
          <t>GOTLANDS LÄN</t>
        </is>
      </c>
      <c r="E258" t="inlineStr">
        <is>
          <t>GOTLAND</t>
        </is>
      </c>
      <c r="G258" t="n">
        <v>7.3</v>
      </c>
      <c r="H258" t="n">
        <v>0</v>
      </c>
      <c r="I258" t="n">
        <v>0</v>
      </c>
      <c r="J258" t="n">
        <v>0</v>
      </c>
      <c r="K258" t="n">
        <v>0</v>
      </c>
      <c r="L258" t="n">
        <v>0</v>
      </c>
      <c r="M258" t="n">
        <v>0</v>
      </c>
      <c r="N258" t="n">
        <v>0</v>
      </c>
      <c r="O258" t="n">
        <v>0</v>
      </c>
      <c r="P258" t="n">
        <v>0</v>
      </c>
      <c r="Q258" t="n">
        <v>0</v>
      </c>
      <c r="R258" s="2" t="inlineStr"/>
    </row>
    <row r="259" ht="15" customHeight="1">
      <c r="A259" t="inlineStr">
        <is>
          <t>A 1462-2025</t>
        </is>
      </c>
      <c r="B259" s="1" t="n">
        <v>45670.36319444444</v>
      </c>
      <c r="C259" s="1" t="n">
        <v>46097</v>
      </c>
      <c r="D259" t="inlineStr">
        <is>
          <t>GOTLANDS LÄN</t>
        </is>
      </c>
      <c r="E259" t="inlineStr">
        <is>
          <t>GOTLAND</t>
        </is>
      </c>
      <c r="G259" t="n">
        <v>2.8</v>
      </c>
      <c r="H259" t="n">
        <v>0</v>
      </c>
      <c r="I259" t="n">
        <v>0</v>
      </c>
      <c r="J259" t="n">
        <v>0</v>
      </c>
      <c r="K259" t="n">
        <v>0</v>
      </c>
      <c r="L259" t="n">
        <v>0</v>
      </c>
      <c r="M259" t="n">
        <v>0</v>
      </c>
      <c r="N259" t="n">
        <v>0</v>
      </c>
      <c r="O259" t="n">
        <v>0</v>
      </c>
      <c r="P259" t="n">
        <v>0</v>
      </c>
      <c r="Q259" t="n">
        <v>0</v>
      </c>
      <c r="R259" s="2" t="inlineStr"/>
    </row>
    <row r="260" ht="15" customHeight="1">
      <c r="A260" t="inlineStr">
        <is>
          <t>A 44919-2022</t>
        </is>
      </c>
      <c r="B260" s="1" t="n">
        <v>44841</v>
      </c>
      <c r="C260" s="1" t="n">
        <v>46097</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57685-2022</t>
        </is>
      </c>
      <c r="B261" s="1" t="n">
        <v>44897.4777662037</v>
      </c>
      <c r="C261" s="1" t="n">
        <v>46097</v>
      </c>
      <c r="D261" t="inlineStr">
        <is>
          <t>GOTLANDS LÄN</t>
        </is>
      </c>
      <c r="E261" t="inlineStr">
        <is>
          <t>GOTLAND</t>
        </is>
      </c>
      <c r="G261" t="n">
        <v>3.7</v>
      </c>
      <c r="H261" t="n">
        <v>0</v>
      </c>
      <c r="I261" t="n">
        <v>0</v>
      </c>
      <c r="J261" t="n">
        <v>0</v>
      </c>
      <c r="K261" t="n">
        <v>0</v>
      </c>
      <c r="L261" t="n">
        <v>0</v>
      </c>
      <c r="M261" t="n">
        <v>0</v>
      </c>
      <c r="N261" t="n">
        <v>0</v>
      </c>
      <c r="O261" t="n">
        <v>0</v>
      </c>
      <c r="P261" t="n">
        <v>0</v>
      </c>
      <c r="Q261" t="n">
        <v>0</v>
      </c>
      <c r="R261" s="2" t="inlineStr"/>
    </row>
    <row r="262" ht="15" customHeight="1">
      <c r="A262" t="inlineStr">
        <is>
          <t>A 30815-2023</t>
        </is>
      </c>
      <c r="B262" s="1" t="n">
        <v>45112</v>
      </c>
      <c r="C262" s="1" t="n">
        <v>46097</v>
      </c>
      <c r="D262" t="inlineStr">
        <is>
          <t>GOTLANDS LÄN</t>
        </is>
      </c>
      <c r="E262" t="inlineStr">
        <is>
          <t>GOTLAND</t>
        </is>
      </c>
      <c r="G262" t="n">
        <v>6</v>
      </c>
      <c r="H262" t="n">
        <v>0</v>
      </c>
      <c r="I262" t="n">
        <v>0</v>
      </c>
      <c r="J262" t="n">
        <v>0</v>
      </c>
      <c r="K262" t="n">
        <v>0</v>
      </c>
      <c r="L262" t="n">
        <v>0</v>
      </c>
      <c r="M262" t="n">
        <v>0</v>
      </c>
      <c r="N262" t="n">
        <v>0</v>
      </c>
      <c r="O262" t="n">
        <v>0</v>
      </c>
      <c r="P262" t="n">
        <v>0</v>
      </c>
      <c r="Q262" t="n">
        <v>0</v>
      </c>
      <c r="R262" s="2" t="inlineStr"/>
    </row>
    <row r="263" ht="15" customHeight="1">
      <c r="A263" t="inlineStr">
        <is>
          <t>A 25129-2023</t>
        </is>
      </c>
      <c r="B263" s="1" t="n">
        <v>45086.44261574074</v>
      </c>
      <c r="C263" s="1" t="n">
        <v>46097</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24192-2023</t>
        </is>
      </c>
      <c r="B264" s="1" t="n">
        <v>45079</v>
      </c>
      <c r="C264" s="1" t="n">
        <v>46097</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48503-2023</t>
        </is>
      </c>
      <c r="B265" s="1" t="n">
        <v>45207</v>
      </c>
      <c r="C265" s="1" t="n">
        <v>46097</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46097</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46097</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46097</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46097</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64660-2023</t>
        </is>
      </c>
      <c r="B270" s="1" t="n">
        <v>45281.60122685185</v>
      </c>
      <c r="C270" s="1" t="n">
        <v>46097</v>
      </c>
      <c r="D270" t="inlineStr">
        <is>
          <t>GOTLANDS LÄN</t>
        </is>
      </c>
      <c r="E270" t="inlineStr">
        <is>
          <t>GOTLAND</t>
        </is>
      </c>
      <c r="G270" t="n">
        <v>6.3</v>
      </c>
      <c r="H270" t="n">
        <v>0</v>
      </c>
      <c r="I270" t="n">
        <v>0</v>
      </c>
      <c r="J270" t="n">
        <v>0</v>
      </c>
      <c r="K270" t="n">
        <v>0</v>
      </c>
      <c r="L270" t="n">
        <v>0</v>
      </c>
      <c r="M270" t="n">
        <v>0</v>
      </c>
      <c r="N270" t="n">
        <v>0</v>
      </c>
      <c r="O270" t="n">
        <v>0</v>
      </c>
      <c r="P270" t="n">
        <v>0</v>
      </c>
      <c r="Q270" t="n">
        <v>0</v>
      </c>
      <c r="R270" s="2" t="inlineStr"/>
    </row>
    <row r="271" ht="15" customHeight="1">
      <c r="A271" t="inlineStr">
        <is>
          <t>A 5386-2023</t>
        </is>
      </c>
      <c r="B271" s="1" t="n">
        <v>44959</v>
      </c>
      <c r="C271" s="1" t="n">
        <v>46097</v>
      </c>
      <c r="D271" t="inlineStr">
        <is>
          <t>GOTLANDS LÄN</t>
        </is>
      </c>
      <c r="E271" t="inlineStr">
        <is>
          <t>GOTLAND</t>
        </is>
      </c>
      <c r="G271" t="n">
        <v>5.4</v>
      </c>
      <c r="H271" t="n">
        <v>0</v>
      </c>
      <c r="I271" t="n">
        <v>0</v>
      </c>
      <c r="J271" t="n">
        <v>0</v>
      </c>
      <c r="K271" t="n">
        <v>0</v>
      </c>
      <c r="L271" t="n">
        <v>0</v>
      </c>
      <c r="M271" t="n">
        <v>0</v>
      </c>
      <c r="N271" t="n">
        <v>0</v>
      </c>
      <c r="O271" t="n">
        <v>0</v>
      </c>
      <c r="P271" t="n">
        <v>0</v>
      </c>
      <c r="Q271" t="n">
        <v>0</v>
      </c>
      <c r="R271" s="2" t="inlineStr"/>
    </row>
    <row r="272" ht="15" customHeight="1">
      <c r="A272" t="inlineStr">
        <is>
          <t>A 63763-2023</t>
        </is>
      </c>
      <c r="B272" s="1" t="n">
        <v>45278.33944444444</v>
      </c>
      <c r="C272" s="1" t="n">
        <v>46097</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7026-2023</t>
        </is>
      </c>
      <c r="B273" s="1" t="n">
        <v>44968.30340277778</v>
      </c>
      <c r="C273" s="1" t="n">
        <v>46097</v>
      </c>
      <c r="D273" t="inlineStr">
        <is>
          <t>GOTLANDS LÄN</t>
        </is>
      </c>
      <c r="E273" t="inlineStr">
        <is>
          <t>GOTLAND</t>
        </is>
      </c>
      <c r="G273" t="n">
        <v>2.9</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46097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44649-2021</t>
        </is>
      </c>
      <c r="B275" s="1" t="n">
        <v>44437</v>
      </c>
      <c r="C275" s="1" t="n">
        <v>46097</v>
      </c>
      <c r="D275" t="inlineStr">
        <is>
          <t>GOTLANDS LÄN</t>
        </is>
      </c>
      <c r="E275" t="inlineStr">
        <is>
          <t>GOTLAND</t>
        </is>
      </c>
      <c r="G275" t="n">
        <v>8.1</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46097</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46097</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63229-2021</t>
        </is>
      </c>
      <c r="B278" s="1" t="n">
        <v>44508.34518518519</v>
      </c>
      <c r="C278" s="1" t="n">
        <v>46097</v>
      </c>
      <c r="D278" t="inlineStr">
        <is>
          <t>GOTLANDS LÄN</t>
        </is>
      </c>
      <c r="E278" t="inlineStr">
        <is>
          <t>GOTLAND</t>
        </is>
      </c>
      <c r="F278" t="inlineStr">
        <is>
          <t>Kyrkan</t>
        </is>
      </c>
      <c r="G278" t="n">
        <v>3.8</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46097</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46375-2024</t>
        </is>
      </c>
      <c r="B280" s="1" t="n">
        <v>45582</v>
      </c>
      <c r="C280" s="1" t="n">
        <v>46097</v>
      </c>
      <c r="D280" t="inlineStr">
        <is>
          <t>GOTLANDS LÄN</t>
        </is>
      </c>
      <c r="E280" t="inlineStr">
        <is>
          <t>GOTLAND</t>
        </is>
      </c>
      <c r="G280" t="n">
        <v>3</v>
      </c>
      <c r="H280" t="n">
        <v>0</v>
      </c>
      <c r="I280" t="n">
        <v>0</v>
      </c>
      <c r="J280" t="n">
        <v>0</v>
      </c>
      <c r="K280" t="n">
        <v>0</v>
      </c>
      <c r="L280" t="n">
        <v>0</v>
      </c>
      <c r="M280" t="n">
        <v>0</v>
      </c>
      <c r="N280" t="n">
        <v>0</v>
      </c>
      <c r="O280" t="n">
        <v>0</v>
      </c>
      <c r="P280" t="n">
        <v>0</v>
      </c>
      <c r="Q280" t="n">
        <v>0</v>
      </c>
      <c r="R280" s="2" t="inlineStr"/>
    </row>
    <row r="281" ht="15" customHeight="1">
      <c r="A281" t="inlineStr">
        <is>
          <t>A 581-2023</t>
        </is>
      </c>
      <c r="B281" s="1" t="n">
        <v>44930</v>
      </c>
      <c r="C281" s="1" t="n">
        <v>46097</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17682-2024</t>
        </is>
      </c>
      <c r="B282" s="1" t="n">
        <v>45418.42966435185</v>
      </c>
      <c r="C282" s="1" t="n">
        <v>46097</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57522-2022</t>
        </is>
      </c>
      <c r="B283" s="1" t="n">
        <v>44896</v>
      </c>
      <c r="C283" s="1" t="n">
        <v>46097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46097</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61386-2023</t>
        </is>
      </c>
      <c r="B285" s="1" t="n">
        <v>45264</v>
      </c>
      <c r="C285" s="1" t="n">
        <v>46097</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46097</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46545-2024</t>
        </is>
      </c>
      <c r="B287" s="1" t="n">
        <v>45582.65831018519</v>
      </c>
      <c r="C287" s="1" t="n">
        <v>46097</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60086-2022</t>
        </is>
      </c>
      <c r="B288" s="1" t="n">
        <v>44909</v>
      </c>
      <c r="C288" s="1" t="n">
        <v>46097</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28480-2023</t>
        </is>
      </c>
      <c r="B289" s="1" t="n">
        <v>45103</v>
      </c>
      <c r="C289" s="1" t="n">
        <v>46097</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28485-2023</t>
        </is>
      </c>
      <c r="B290" s="1" t="n">
        <v>45103.43731481482</v>
      </c>
      <c r="C290" s="1" t="n">
        <v>46097</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46097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1734-2025</t>
        </is>
      </c>
      <c r="B292" s="1" t="n">
        <v>45671.3840625</v>
      </c>
      <c r="C292" s="1" t="n">
        <v>46097</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62915-2021</t>
        </is>
      </c>
      <c r="B293" s="1" t="n">
        <v>44504</v>
      </c>
      <c r="C293" s="1" t="n">
        <v>46097</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20993-2023</t>
        </is>
      </c>
      <c r="B294" s="1" t="n">
        <v>45056</v>
      </c>
      <c r="C294" s="1" t="n">
        <v>46097</v>
      </c>
      <c r="D294" t="inlineStr">
        <is>
          <t>GOTLANDS LÄN</t>
        </is>
      </c>
      <c r="E294" t="inlineStr">
        <is>
          <t>GOTLAND</t>
        </is>
      </c>
      <c r="G294" t="n">
        <v>7.1</v>
      </c>
      <c r="H294" t="n">
        <v>0</v>
      </c>
      <c r="I294" t="n">
        <v>0</v>
      </c>
      <c r="J294" t="n">
        <v>0</v>
      </c>
      <c r="K294" t="n">
        <v>0</v>
      </c>
      <c r="L294" t="n">
        <v>0</v>
      </c>
      <c r="M294" t="n">
        <v>0</v>
      </c>
      <c r="N294" t="n">
        <v>0</v>
      </c>
      <c r="O294" t="n">
        <v>0</v>
      </c>
      <c r="P294" t="n">
        <v>0</v>
      </c>
      <c r="Q294" t="n">
        <v>0</v>
      </c>
      <c r="R294" s="2" t="inlineStr"/>
    </row>
    <row r="295" ht="15" customHeight="1">
      <c r="A295" t="inlineStr">
        <is>
          <t>A 24001-2021</t>
        </is>
      </c>
      <c r="B295" s="1" t="n">
        <v>44335</v>
      </c>
      <c r="C295" s="1" t="n">
        <v>46097</v>
      </c>
      <c r="D295" t="inlineStr">
        <is>
          <t>GOTLANDS LÄN</t>
        </is>
      </c>
      <c r="E295" t="inlineStr">
        <is>
          <t>GOTLAND</t>
        </is>
      </c>
      <c r="G295" t="n">
        <v>3.4</v>
      </c>
      <c r="H295" t="n">
        <v>0</v>
      </c>
      <c r="I295" t="n">
        <v>0</v>
      </c>
      <c r="J295" t="n">
        <v>0</v>
      </c>
      <c r="K295" t="n">
        <v>0</v>
      </c>
      <c r="L295" t="n">
        <v>0</v>
      </c>
      <c r="M295" t="n">
        <v>0</v>
      </c>
      <c r="N295" t="n">
        <v>0</v>
      </c>
      <c r="O295" t="n">
        <v>0</v>
      </c>
      <c r="P295" t="n">
        <v>0</v>
      </c>
      <c r="Q295" t="n">
        <v>0</v>
      </c>
      <c r="R295" s="2" t="inlineStr"/>
    </row>
    <row r="296" ht="15" customHeight="1">
      <c r="A296" t="inlineStr">
        <is>
          <t>A 44949-2023</t>
        </is>
      </c>
      <c r="B296" s="1" t="n">
        <v>45190.69520833333</v>
      </c>
      <c r="C296" s="1" t="n">
        <v>46097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873-2024</t>
        </is>
      </c>
      <c r="B297" s="1" t="n">
        <v>45301</v>
      </c>
      <c r="C297" s="1" t="n">
        <v>46097</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46097</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2125-2025</t>
        </is>
      </c>
      <c r="B299" s="1" t="n">
        <v>45672.64940972222</v>
      </c>
      <c r="C299" s="1" t="n">
        <v>46097</v>
      </c>
      <c r="D299" t="inlineStr">
        <is>
          <t>GOTLANDS LÄN</t>
        </is>
      </c>
      <c r="E299" t="inlineStr">
        <is>
          <t>GOTLAND</t>
        </is>
      </c>
      <c r="G299" t="n">
        <v>2.3</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46097</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30365-2024</t>
        </is>
      </c>
      <c r="B301" s="1" t="n">
        <v>45491.3716087963</v>
      </c>
      <c r="C301" s="1" t="n">
        <v>46097</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49411-2023</t>
        </is>
      </c>
      <c r="B302" s="1" t="n">
        <v>45205</v>
      </c>
      <c r="C302" s="1" t="n">
        <v>46097</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12155-2023</t>
        </is>
      </c>
      <c r="B303" s="1" t="n">
        <v>44998.49106481481</v>
      </c>
      <c r="C303" s="1" t="n">
        <v>46097</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1681-2023</t>
        </is>
      </c>
      <c r="B304" s="1" t="n">
        <v>44938.39715277778</v>
      </c>
      <c r="C304" s="1" t="n">
        <v>46097</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457-2023</t>
        </is>
      </c>
      <c r="B305" s="1" t="n">
        <v>44929.87238425926</v>
      </c>
      <c r="C305" s="1" t="n">
        <v>46097</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459-2023</t>
        </is>
      </c>
      <c r="B306" s="1" t="n">
        <v>44929.87423611111</v>
      </c>
      <c r="C306" s="1" t="n">
        <v>46097</v>
      </c>
      <c r="D306" t="inlineStr">
        <is>
          <t>GOTLANDS LÄN</t>
        </is>
      </c>
      <c r="E306" t="inlineStr">
        <is>
          <t>GOTLAND</t>
        </is>
      </c>
      <c r="G306" t="n">
        <v>4.2</v>
      </c>
      <c r="H306" t="n">
        <v>0</v>
      </c>
      <c r="I306" t="n">
        <v>0</v>
      </c>
      <c r="J306" t="n">
        <v>0</v>
      </c>
      <c r="K306" t="n">
        <v>0</v>
      </c>
      <c r="L306" t="n">
        <v>0</v>
      </c>
      <c r="M306" t="n">
        <v>0</v>
      </c>
      <c r="N306" t="n">
        <v>0</v>
      </c>
      <c r="O306" t="n">
        <v>0</v>
      </c>
      <c r="P306" t="n">
        <v>0</v>
      </c>
      <c r="Q306" t="n">
        <v>0</v>
      </c>
      <c r="R306" s="2" t="inlineStr"/>
    </row>
    <row r="307" ht="15" customHeight="1">
      <c r="A307" t="inlineStr">
        <is>
          <t>A 38234-2023</t>
        </is>
      </c>
      <c r="B307" s="1" t="n">
        <v>45161.56663194444</v>
      </c>
      <c r="C307" s="1" t="n">
        <v>46097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50744-2024</t>
        </is>
      </c>
      <c r="B308" s="1" t="n">
        <v>45602.4187037037</v>
      </c>
      <c r="C308" s="1" t="n">
        <v>46097</v>
      </c>
      <c r="D308" t="inlineStr">
        <is>
          <t>GOTLANDS LÄN</t>
        </is>
      </c>
      <c r="E308" t="inlineStr">
        <is>
          <t>GOTLAND</t>
        </is>
      </c>
      <c r="G308" t="n">
        <v>3.2</v>
      </c>
      <c r="H308" t="n">
        <v>0</v>
      </c>
      <c r="I308" t="n">
        <v>0</v>
      </c>
      <c r="J308" t="n">
        <v>0</v>
      </c>
      <c r="K308" t="n">
        <v>0</v>
      </c>
      <c r="L308" t="n">
        <v>0</v>
      </c>
      <c r="M308" t="n">
        <v>0</v>
      </c>
      <c r="N308" t="n">
        <v>0</v>
      </c>
      <c r="O308" t="n">
        <v>0</v>
      </c>
      <c r="P308" t="n">
        <v>0</v>
      </c>
      <c r="Q308" t="n">
        <v>0</v>
      </c>
      <c r="R308" s="2" t="inlineStr"/>
    </row>
    <row r="309" ht="15" customHeight="1">
      <c r="A309" t="inlineStr">
        <is>
          <t>A 3964-2024</t>
        </is>
      </c>
      <c r="B309" s="1" t="n">
        <v>45322</v>
      </c>
      <c r="C309" s="1" t="n">
        <v>46097</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6099-2024</t>
        </is>
      </c>
      <c r="B310" s="1" t="n">
        <v>45337</v>
      </c>
      <c r="C310" s="1" t="n">
        <v>46097</v>
      </c>
      <c r="D310" t="inlineStr">
        <is>
          <t>GOTLANDS LÄN</t>
        </is>
      </c>
      <c r="E310" t="inlineStr">
        <is>
          <t>GOTLAND</t>
        </is>
      </c>
      <c r="G310" t="n">
        <v>12.6</v>
      </c>
      <c r="H310" t="n">
        <v>0</v>
      </c>
      <c r="I310" t="n">
        <v>0</v>
      </c>
      <c r="J310" t="n">
        <v>0</v>
      </c>
      <c r="K310" t="n">
        <v>0</v>
      </c>
      <c r="L310" t="n">
        <v>0</v>
      </c>
      <c r="M310" t="n">
        <v>0</v>
      </c>
      <c r="N310" t="n">
        <v>0</v>
      </c>
      <c r="O310" t="n">
        <v>0</v>
      </c>
      <c r="P310" t="n">
        <v>0</v>
      </c>
      <c r="Q310" t="n">
        <v>0</v>
      </c>
      <c r="R310" s="2" t="inlineStr"/>
    </row>
    <row r="311" ht="15" customHeight="1">
      <c r="A311" t="inlineStr">
        <is>
          <t>A 45084-2024</t>
        </is>
      </c>
      <c r="B311" s="1" t="n">
        <v>45575</v>
      </c>
      <c r="C311" s="1" t="n">
        <v>46097</v>
      </c>
      <c r="D311" t="inlineStr">
        <is>
          <t>GOTLANDS LÄN</t>
        </is>
      </c>
      <c r="E311" t="inlineStr">
        <is>
          <t>GOTLAND</t>
        </is>
      </c>
      <c r="G311" t="n">
        <v>6.8</v>
      </c>
      <c r="H311" t="n">
        <v>0</v>
      </c>
      <c r="I311" t="n">
        <v>0</v>
      </c>
      <c r="J311" t="n">
        <v>0</v>
      </c>
      <c r="K311" t="n">
        <v>0</v>
      </c>
      <c r="L311" t="n">
        <v>0</v>
      </c>
      <c r="M311" t="n">
        <v>0</v>
      </c>
      <c r="N311" t="n">
        <v>0</v>
      </c>
      <c r="O311" t="n">
        <v>0</v>
      </c>
      <c r="P311" t="n">
        <v>0</v>
      </c>
      <c r="Q311" t="n">
        <v>0</v>
      </c>
      <c r="R311" s="2" t="inlineStr"/>
    </row>
    <row r="312" ht="15" customHeight="1">
      <c r="A312" t="inlineStr">
        <is>
          <t>A 1273-2023</t>
        </is>
      </c>
      <c r="B312" s="1" t="n">
        <v>44936</v>
      </c>
      <c r="C312" s="1" t="n">
        <v>46097</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53934-2024</t>
        </is>
      </c>
      <c r="B313" s="1" t="n">
        <v>45615</v>
      </c>
      <c r="C313" s="1" t="n">
        <v>46097</v>
      </c>
      <c r="D313" t="inlineStr">
        <is>
          <t>GOTLANDS LÄN</t>
        </is>
      </c>
      <c r="E313" t="inlineStr">
        <is>
          <t>GOTLAND</t>
        </is>
      </c>
      <c r="G313" t="n">
        <v>5</v>
      </c>
      <c r="H313" t="n">
        <v>0</v>
      </c>
      <c r="I313" t="n">
        <v>0</v>
      </c>
      <c r="J313" t="n">
        <v>0</v>
      </c>
      <c r="K313" t="n">
        <v>0</v>
      </c>
      <c r="L313" t="n">
        <v>0</v>
      </c>
      <c r="M313" t="n">
        <v>0</v>
      </c>
      <c r="N313" t="n">
        <v>0</v>
      </c>
      <c r="O313" t="n">
        <v>0</v>
      </c>
      <c r="P313" t="n">
        <v>0</v>
      </c>
      <c r="Q313" t="n">
        <v>0</v>
      </c>
      <c r="R313" s="2" t="inlineStr"/>
    </row>
    <row r="314" ht="15" customHeight="1">
      <c r="A314" t="inlineStr">
        <is>
          <t>A 22275-2023</t>
        </is>
      </c>
      <c r="B314" s="1" t="n">
        <v>45070.39875</v>
      </c>
      <c r="C314" s="1" t="n">
        <v>46097</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46097</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46097</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45692-2023</t>
        </is>
      </c>
      <c r="B317" s="1" t="n">
        <v>45195</v>
      </c>
      <c r="C317" s="1" t="n">
        <v>46097</v>
      </c>
      <c r="D317" t="inlineStr">
        <is>
          <t>GOTLANDS LÄN</t>
        </is>
      </c>
      <c r="E317" t="inlineStr">
        <is>
          <t>GOTLAND</t>
        </is>
      </c>
      <c r="G317" t="n">
        <v>5.3</v>
      </c>
      <c r="H317" t="n">
        <v>0</v>
      </c>
      <c r="I317" t="n">
        <v>0</v>
      </c>
      <c r="J317" t="n">
        <v>0</v>
      </c>
      <c r="K317" t="n">
        <v>0</v>
      </c>
      <c r="L317" t="n">
        <v>0</v>
      </c>
      <c r="M317" t="n">
        <v>0</v>
      </c>
      <c r="N317" t="n">
        <v>0</v>
      </c>
      <c r="O317" t="n">
        <v>0</v>
      </c>
      <c r="P317" t="n">
        <v>0</v>
      </c>
      <c r="Q317" t="n">
        <v>0</v>
      </c>
      <c r="R317" s="2" t="inlineStr"/>
    </row>
    <row r="318" ht="15" customHeight="1">
      <c r="A318" t="inlineStr">
        <is>
          <t>A 33876-2024</t>
        </is>
      </c>
      <c r="B318" s="1" t="n">
        <v>45521.87988425926</v>
      </c>
      <c r="C318" s="1" t="n">
        <v>46097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28285-2024</t>
        </is>
      </c>
      <c r="B319" s="1" t="n">
        <v>45477</v>
      </c>
      <c r="C319" s="1" t="n">
        <v>46097</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5217-2023</t>
        </is>
      </c>
      <c r="B320" s="1" t="n">
        <v>44959.39582175926</v>
      </c>
      <c r="C320" s="1" t="n">
        <v>46097</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61100-2022</t>
        </is>
      </c>
      <c r="B321" s="1" t="n">
        <v>44915</v>
      </c>
      <c r="C321" s="1" t="n">
        <v>46097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61682-2024</t>
        </is>
      </c>
      <c r="B322" s="1" t="n">
        <v>45647.48824074074</v>
      </c>
      <c r="C322" s="1" t="n">
        <v>46097</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1446-2025</t>
        </is>
      </c>
      <c r="B323" s="1" t="n">
        <v>45669.86035879629</v>
      </c>
      <c r="C323" s="1" t="n">
        <v>46097</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1677-2023</t>
        </is>
      </c>
      <c r="B324" s="1" t="n">
        <v>44938</v>
      </c>
      <c r="C324" s="1" t="n">
        <v>46097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46097</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999-2024</t>
        </is>
      </c>
      <c r="B326" s="1" t="n">
        <v>45301</v>
      </c>
      <c r="C326" s="1" t="n">
        <v>46097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46097</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45244-2024</t>
        </is>
      </c>
      <c r="B328" s="1" t="n">
        <v>45576</v>
      </c>
      <c r="C328" s="1" t="n">
        <v>46097</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43901-2023</t>
        </is>
      </c>
      <c r="B329" s="1" t="n">
        <v>45187</v>
      </c>
      <c r="C329" s="1" t="n">
        <v>46097</v>
      </c>
      <c r="D329" t="inlineStr">
        <is>
          <t>GOTLANDS LÄN</t>
        </is>
      </c>
      <c r="E329" t="inlineStr">
        <is>
          <t>GOTLAND</t>
        </is>
      </c>
      <c r="G329" t="n">
        <v>5.4</v>
      </c>
      <c r="H329" t="n">
        <v>0</v>
      </c>
      <c r="I329" t="n">
        <v>0</v>
      </c>
      <c r="J329" t="n">
        <v>0</v>
      </c>
      <c r="K329" t="n">
        <v>0</v>
      </c>
      <c r="L329" t="n">
        <v>0</v>
      </c>
      <c r="M329" t="n">
        <v>0</v>
      </c>
      <c r="N329" t="n">
        <v>0</v>
      </c>
      <c r="O329" t="n">
        <v>0</v>
      </c>
      <c r="P329" t="n">
        <v>0</v>
      </c>
      <c r="Q329" t="n">
        <v>0</v>
      </c>
      <c r="R329" s="2" t="inlineStr"/>
    </row>
    <row r="330" ht="15" customHeight="1">
      <c r="A330" t="inlineStr">
        <is>
          <t>A 61596-2023</t>
        </is>
      </c>
      <c r="B330" s="1" t="n">
        <v>45265</v>
      </c>
      <c r="C330" s="1" t="n">
        <v>46097</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46097</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46097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8260-2023</t>
        </is>
      </c>
      <c r="B333" s="1" t="n">
        <v>44974.61608796296</v>
      </c>
      <c r="C333" s="1" t="n">
        <v>46097</v>
      </c>
      <c r="D333" t="inlineStr">
        <is>
          <t>GOTLANDS LÄN</t>
        </is>
      </c>
      <c r="E333" t="inlineStr">
        <is>
          <t>GOTLAND</t>
        </is>
      </c>
      <c r="G333" t="n">
        <v>2.9</v>
      </c>
      <c r="H333" t="n">
        <v>0</v>
      </c>
      <c r="I333" t="n">
        <v>0</v>
      </c>
      <c r="J333" t="n">
        <v>0</v>
      </c>
      <c r="K333" t="n">
        <v>0</v>
      </c>
      <c r="L333" t="n">
        <v>0</v>
      </c>
      <c r="M333" t="n">
        <v>0</v>
      </c>
      <c r="N333" t="n">
        <v>0</v>
      </c>
      <c r="O333" t="n">
        <v>0</v>
      </c>
      <c r="P333" t="n">
        <v>0</v>
      </c>
      <c r="Q333" t="n">
        <v>0</v>
      </c>
      <c r="R333" s="2" t="inlineStr"/>
    </row>
    <row r="334" ht="15" customHeight="1">
      <c r="A334" t="inlineStr">
        <is>
          <t>A 58388-2022</t>
        </is>
      </c>
      <c r="B334" s="1" t="n">
        <v>44894</v>
      </c>
      <c r="C334" s="1" t="n">
        <v>46097</v>
      </c>
      <c r="D334" t="inlineStr">
        <is>
          <t>GOTLANDS LÄN</t>
        </is>
      </c>
      <c r="E334" t="inlineStr">
        <is>
          <t>GOTLAND</t>
        </is>
      </c>
      <c r="F334" t="inlineStr">
        <is>
          <t>Övriga statliga verk och myndigheter</t>
        </is>
      </c>
      <c r="G334" t="n">
        <v>3.1</v>
      </c>
      <c r="H334" t="n">
        <v>0</v>
      </c>
      <c r="I334" t="n">
        <v>0</v>
      </c>
      <c r="J334" t="n">
        <v>0</v>
      </c>
      <c r="K334" t="n">
        <v>0</v>
      </c>
      <c r="L334" t="n">
        <v>0</v>
      </c>
      <c r="M334" t="n">
        <v>0</v>
      </c>
      <c r="N334" t="n">
        <v>0</v>
      </c>
      <c r="O334" t="n">
        <v>0</v>
      </c>
      <c r="P334" t="n">
        <v>0</v>
      </c>
      <c r="Q334" t="n">
        <v>0</v>
      </c>
      <c r="R334" s="2" t="inlineStr"/>
    </row>
    <row r="335" ht="15" customHeight="1">
      <c r="A335" t="inlineStr">
        <is>
          <t>A 64969-2023</t>
        </is>
      </c>
      <c r="B335" s="1" t="n">
        <v>45284.54009259259</v>
      </c>
      <c r="C335" s="1" t="n">
        <v>46097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48843-2024</t>
        </is>
      </c>
      <c r="B336" s="1" t="n">
        <v>45593</v>
      </c>
      <c r="C336" s="1" t="n">
        <v>46097</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21792-2024</t>
        </is>
      </c>
      <c r="B337" s="1" t="n">
        <v>45442.64326388889</v>
      </c>
      <c r="C337" s="1" t="n">
        <v>46097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17541-2024</t>
        </is>
      </c>
      <c r="B338" s="1" t="n">
        <v>45415</v>
      </c>
      <c r="C338" s="1" t="n">
        <v>46097</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27930-2021</t>
        </is>
      </c>
      <c r="B339" s="1" t="n">
        <v>44354</v>
      </c>
      <c r="C339" s="1" t="n">
        <v>46097</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46097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46097</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14638-2025</t>
        </is>
      </c>
      <c r="B342" s="1" t="n">
        <v>45742</v>
      </c>
      <c r="C342" s="1" t="n">
        <v>46097</v>
      </c>
      <c r="D342" t="inlineStr">
        <is>
          <t>GOTLANDS LÄN</t>
        </is>
      </c>
      <c r="E342" t="inlineStr">
        <is>
          <t>GOTLAND</t>
        </is>
      </c>
      <c r="G342" t="n">
        <v>13.4</v>
      </c>
      <c r="H342" t="n">
        <v>0</v>
      </c>
      <c r="I342" t="n">
        <v>0</v>
      </c>
      <c r="J342" t="n">
        <v>0</v>
      </c>
      <c r="K342" t="n">
        <v>0</v>
      </c>
      <c r="L342" t="n">
        <v>0</v>
      </c>
      <c r="M342" t="n">
        <v>0</v>
      </c>
      <c r="N342" t="n">
        <v>0</v>
      </c>
      <c r="O342" t="n">
        <v>0</v>
      </c>
      <c r="P342" t="n">
        <v>0</v>
      </c>
      <c r="Q342" t="n">
        <v>0</v>
      </c>
      <c r="R342" s="2" t="inlineStr"/>
    </row>
    <row r="343" ht="15" customHeight="1">
      <c r="A343" t="inlineStr">
        <is>
          <t>A 10492-2023</t>
        </is>
      </c>
      <c r="B343" s="1" t="n">
        <v>44987</v>
      </c>
      <c r="C343" s="1" t="n">
        <v>46097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17688-2024</t>
        </is>
      </c>
      <c r="B344" s="1" t="n">
        <v>45418.43575231481</v>
      </c>
      <c r="C344" s="1" t="n">
        <v>46097</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15434-2024</t>
        </is>
      </c>
      <c r="B345" s="1" t="n">
        <v>45401.38836805556</v>
      </c>
      <c r="C345" s="1" t="n">
        <v>46097</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7837-2024</t>
        </is>
      </c>
      <c r="B346" s="1" t="n">
        <v>45349.83787037037</v>
      </c>
      <c r="C346" s="1" t="n">
        <v>46097</v>
      </c>
      <c r="D346" t="inlineStr">
        <is>
          <t>GOTLANDS LÄN</t>
        </is>
      </c>
      <c r="E346" t="inlineStr">
        <is>
          <t>GOTLAND</t>
        </is>
      </c>
      <c r="G346" t="n">
        <v>5</v>
      </c>
      <c r="H346" t="n">
        <v>0</v>
      </c>
      <c r="I346" t="n">
        <v>0</v>
      </c>
      <c r="J346" t="n">
        <v>0</v>
      </c>
      <c r="K346" t="n">
        <v>0</v>
      </c>
      <c r="L346" t="n">
        <v>0</v>
      </c>
      <c r="M346" t="n">
        <v>0</v>
      </c>
      <c r="N346" t="n">
        <v>0</v>
      </c>
      <c r="O346" t="n">
        <v>0</v>
      </c>
      <c r="P346" t="n">
        <v>0</v>
      </c>
      <c r="Q346" t="n">
        <v>0</v>
      </c>
      <c r="R346" s="2" t="inlineStr"/>
    </row>
    <row r="347" ht="15" customHeight="1">
      <c r="A347" t="inlineStr">
        <is>
          <t>A 5909-2025</t>
        </is>
      </c>
      <c r="B347" s="1" t="n">
        <v>45695.40634259259</v>
      </c>
      <c r="C347" s="1" t="n">
        <v>46097</v>
      </c>
      <c r="D347" t="inlineStr">
        <is>
          <t>GOTLANDS LÄN</t>
        </is>
      </c>
      <c r="E347" t="inlineStr">
        <is>
          <t>GOTLAND</t>
        </is>
      </c>
      <c r="G347" t="n">
        <v>2.9</v>
      </c>
      <c r="H347" t="n">
        <v>0</v>
      </c>
      <c r="I347" t="n">
        <v>0</v>
      </c>
      <c r="J347" t="n">
        <v>0</v>
      </c>
      <c r="K347" t="n">
        <v>0</v>
      </c>
      <c r="L347" t="n">
        <v>0</v>
      </c>
      <c r="M347" t="n">
        <v>0</v>
      </c>
      <c r="N347" t="n">
        <v>0</v>
      </c>
      <c r="O347" t="n">
        <v>0</v>
      </c>
      <c r="P347" t="n">
        <v>0</v>
      </c>
      <c r="Q347" t="n">
        <v>0</v>
      </c>
      <c r="R347" s="2" t="inlineStr"/>
    </row>
    <row r="348" ht="15" customHeight="1">
      <c r="A348" t="inlineStr">
        <is>
          <t>A 10653-2023</t>
        </is>
      </c>
      <c r="B348" s="1" t="n">
        <v>44988.48859953704</v>
      </c>
      <c r="C348" s="1" t="n">
        <v>46097</v>
      </c>
      <c r="D348" t="inlineStr">
        <is>
          <t>GOTLANDS LÄN</t>
        </is>
      </c>
      <c r="E348" t="inlineStr">
        <is>
          <t>GOTLAND</t>
        </is>
      </c>
      <c r="F348" t="inlineStr">
        <is>
          <t>Kyrkan</t>
        </is>
      </c>
      <c r="G348" t="n">
        <v>3</v>
      </c>
      <c r="H348" t="n">
        <v>0</v>
      </c>
      <c r="I348" t="n">
        <v>0</v>
      </c>
      <c r="J348" t="n">
        <v>0</v>
      </c>
      <c r="K348" t="n">
        <v>0</v>
      </c>
      <c r="L348" t="n">
        <v>0</v>
      </c>
      <c r="M348" t="n">
        <v>0</v>
      </c>
      <c r="N348" t="n">
        <v>0</v>
      </c>
      <c r="O348" t="n">
        <v>0</v>
      </c>
      <c r="P348" t="n">
        <v>0</v>
      </c>
      <c r="Q348" t="n">
        <v>0</v>
      </c>
      <c r="R348" s="2" t="inlineStr"/>
    </row>
    <row r="349" ht="15" customHeight="1">
      <c r="A349" t="inlineStr">
        <is>
          <t>A 5943-2024</t>
        </is>
      </c>
      <c r="B349" s="1" t="n">
        <v>45336</v>
      </c>
      <c r="C349" s="1" t="n">
        <v>46097</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60675-2021</t>
        </is>
      </c>
      <c r="B350" s="1" t="n">
        <v>44496.64855324074</v>
      </c>
      <c r="C350" s="1" t="n">
        <v>46097</v>
      </c>
      <c r="D350" t="inlineStr">
        <is>
          <t>GOTLANDS LÄN</t>
        </is>
      </c>
      <c r="E350" t="inlineStr">
        <is>
          <t>GOTLAND</t>
        </is>
      </c>
      <c r="G350" t="n">
        <v>4.6</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46097</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54073-2022</t>
        </is>
      </c>
      <c r="B352" s="1" t="n">
        <v>44881.50380787037</v>
      </c>
      <c r="C352" s="1" t="n">
        <v>46097</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16361-2024</t>
        </is>
      </c>
      <c r="B353" s="1" t="n">
        <v>45407</v>
      </c>
      <c r="C353" s="1" t="n">
        <v>46097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46097</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37728-2024</t>
        </is>
      </c>
      <c r="B355" s="1" t="n">
        <v>45541</v>
      </c>
      <c r="C355" s="1" t="n">
        <v>46097</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46097</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46097</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46097</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5905-2024</t>
        </is>
      </c>
      <c r="B359" s="1" t="n">
        <v>45335.88993055555</v>
      </c>
      <c r="C359" s="1" t="n">
        <v>46097</v>
      </c>
      <c r="D359" t="inlineStr">
        <is>
          <t>GOTLANDS LÄN</t>
        </is>
      </c>
      <c r="E359" t="inlineStr">
        <is>
          <t>GOTLAND</t>
        </is>
      </c>
      <c r="G359" t="n">
        <v>3</v>
      </c>
      <c r="H359" t="n">
        <v>0</v>
      </c>
      <c r="I359" t="n">
        <v>0</v>
      </c>
      <c r="J359" t="n">
        <v>0</v>
      </c>
      <c r="K359" t="n">
        <v>0</v>
      </c>
      <c r="L359" t="n">
        <v>0</v>
      </c>
      <c r="M359" t="n">
        <v>0</v>
      </c>
      <c r="N359" t="n">
        <v>0</v>
      </c>
      <c r="O359" t="n">
        <v>0</v>
      </c>
      <c r="P359" t="n">
        <v>0</v>
      </c>
      <c r="Q359" t="n">
        <v>0</v>
      </c>
      <c r="R359" s="2" t="inlineStr"/>
    </row>
    <row r="360" ht="15" customHeight="1">
      <c r="A360" t="inlineStr">
        <is>
          <t>A 32958-2021</t>
        </is>
      </c>
      <c r="B360" s="1" t="n">
        <v>44376</v>
      </c>
      <c r="C360" s="1" t="n">
        <v>46097</v>
      </c>
      <c r="D360" t="inlineStr">
        <is>
          <t>GOTLANDS LÄN</t>
        </is>
      </c>
      <c r="E360" t="inlineStr">
        <is>
          <t>GOTLAND</t>
        </is>
      </c>
      <c r="G360" t="n">
        <v>2.2</v>
      </c>
      <c r="H360" t="n">
        <v>0</v>
      </c>
      <c r="I360" t="n">
        <v>0</v>
      </c>
      <c r="J360" t="n">
        <v>0</v>
      </c>
      <c r="K360" t="n">
        <v>0</v>
      </c>
      <c r="L360" t="n">
        <v>0</v>
      </c>
      <c r="M360" t="n">
        <v>0</v>
      </c>
      <c r="N360" t="n">
        <v>0</v>
      </c>
      <c r="O360" t="n">
        <v>0</v>
      </c>
      <c r="P360" t="n">
        <v>0</v>
      </c>
      <c r="Q360" t="n">
        <v>0</v>
      </c>
      <c r="R360" s="2" t="inlineStr"/>
    </row>
    <row r="361" ht="15" customHeight="1">
      <c r="A361" t="inlineStr">
        <is>
          <t>A 14427-2024</t>
        </is>
      </c>
      <c r="B361" s="1" t="n">
        <v>45394</v>
      </c>
      <c r="C361" s="1" t="n">
        <v>46097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5884-2025</t>
        </is>
      </c>
      <c r="B362" s="1" t="n">
        <v>45695.37482638889</v>
      </c>
      <c r="C362" s="1" t="n">
        <v>46097</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5897-2025</t>
        </is>
      </c>
      <c r="B363" s="1" t="n">
        <v>45695.39273148148</v>
      </c>
      <c r="C363" s="1" t="n">
        <v>46097</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1291-2023</t>
        </is>
      </c>
      <c r="B364" s="1" t="n">
        <v>44936.47561342592</v>
      </c>
      <c r="C364" s="1" t="n">
        <v>46097</v>
      </c>
      <c r="D364" t="inlineStr">
        <is>
          <t>GOTLANDS LÄN</t>
        </is>
      </c>
      <c r="E364" t="inlineStr">
        <is>
          <t>GOTLAND</t>
        </is>
      </c>
      <c r="G364" t="n">
        <v>7.4</v>
      </c>
      <c r="H364" t="n">
        <v>0</v>
      </c>
      <c r="I364" t="n">
        <v>0</v>
      </c>
      <c r="J364" t="n">
        <v>0</v>
      </c>
      <c r="K364" t="n">
        <v>0</v>
      </c>
      <c r="L364" t="n">
        <v>0</v>
      </c>
      <c r="M364" t="n">
        <v>0</v>
      </c>
      <c r="N364" t="n">
        <v>0</v>
      </c>
      <c r="O364" t="n">
        <v>0</v>
      </c>
      <c r="P364" t="n">
        <v>0</v>
      </c>
      <c r="Q364" t="n">
        <v>0</v>
      </c>
      <c r="R364" s="2" t="inlineStr"/>
    </row>
    <row r="365" ht="15" customHeight="1">
      <c r="A365" t="inlineStr">
        <is>
          <t>A 31802-2024</t>
        </is>
      </c>
      <c r="B365" s="1" t="n">
        <v>45509</v>
      </c>
      <c r="C365" s="1" t="n">
        <v>46097</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49693-2023</t>
        </is>
      </c>
      <c r="B366" s="1" t="n">
        <v>45212.38138888889</v>
      </c>
      <c r="C366" s="1" t="n">
        <v>46097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49697-2023</t>
        </is>
      </c>
      <c r="B367" s="1" t="n">
        <v>45212.38909722222</v>
      </c>
      <c r="C367" s="1" t="n">
        <v>46097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12209-2024</t>
        </is>
      </c>
      <c r="B368" s="1" t="n">
        <v>45378</v>
      </c>
      <c r="C368" s="1" t="n">
        <v>46097</v>
      </c>
      <c r="D368" t="inlineStr">
        <is>
          <t>GOTLANDS LÄN</t>
        </is>
      </c>
      <c r="E368" t="inlineStr">
        <is>
          <t>GOTLAND</t>
        </is>
      </c>
      <c r="G368" t="n">
        <v>5.3</v>
      </c>
      <c r="H368" t="n">
        <v>0</v>
      </c>
      <c r="I368" t="n">
        <v>0</v>
      </c>
      <c r="J368" t="n">
        <v>0</v>
      </c>
      <c r="K368" t="n">
        <v>0</v>
      </c>
      <c r="L368" t="n">
        <v>0</v>
      </c>
      <c r="M368" t="n">
        <v>0</v>
      </c>
      <c r="N368" t="n">
        <v>0</v>
      </c>
      <c r="O368" t="n">
        <v>0</v>
      </c>
      <c r="P368" t="n">
        <v>0</v>
      </c>
      <c r="Q368" t="n">
        <v>0</v>
      </c>
      <c r="R368" s="2" t="inlineStr"/>
    </row>
    <row r="369" ht="15" customHeight="1">
      <c r="A369" t="inlineStr">
        <is>
          <t>A 12210-2024</t>
        </is>
      </c>
      <c r="B369" s="1" t="n">
        <v>45378</v>
      </c>
      <c r="C369" s="1" t="n">
        <v>46097</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1364-2025</t>
        </is>
      </c>
      <c r="B370" s="1" t="n">
        <v>45667.63929398148</v>
      </c>
      <c r="C370" s="1" t="n">
        <v>46097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17901-2023</t>
        </is>
      </c>
      <c r="B371" s="1" t="n">
        <v>45039</v>
      </c>
      <c r="C371" s="1" t="n">
        <v>46097</v>
      </c>
      <c r="D371" t="inlineStr">
        <is>
          <t>GOTLANDS LÄN</t>
        </is>
      </c>
      <c r="E371" t="inlineStr">
        <is>
          <t>GOTLAND</t>
        </is>
      </c>
      <c r="F371" t="inlineStr">
        <is>
          <t>Kyrkan</t>
        </is>
      </c>
      <c r="G371" t="n">
        <v>0.6</v>
      </c>
      <c r="H371" t="n">
        <v>0</v>
      </c>
      <c r="I371" t="n">
        <v>0</v>
      </c>
      <c r="J371" t="n">
        <v>0</v>
      </c>
      <c r="K371" t="n">
        <v>0</v>
      </c>
      <c r="L371" t="n">
        <v>0</v>
      </c>
      <c r="M371" t="n">
        <v>0</v>
      </c>
      <c r="N371" t="n">
        <v>0</v>
      </c>
      <c r="O371" t="n">
        <v>0</v>
      </c>
      <c r="P371" t="n">
        <v>0</v>
      </c>
      <c r="Q371" t="n">
        <v>0</v>
      </c>
      <c r="R371" s="2" t="inlineStr"/>
    </row>
    <row r="372" ht="15" customHeight="1">
      <c r="A372" t="inlineStr">
        <is>
          <t>A 15042-2025</t>
        </is>
      </c>
      <c r="B372" s="1" t="n">
        <v>45743</v>
      </c>
      <c r="C372" s="1" t="n">
        <v>46097</v>
      </c>
      <c r="D372" t="inlineStr">
        <is>
          <t>GOTLANDS LÄN</t>
        </is>
      </c>
      <c r="E372" t="inlineStr">
        <is>
          <t>GOTLAND</t>
        </is>
      </c>
      <c r="G372" t="n">
        <v>8.5</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46097</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8036-2022</t>
        </is>
      </c>
      <c r="B374" s="1" t="n">
        <v>44609.44362268518</v>
      </c>
      <c r="C374" s="1" t="n">
        <v>46097</v>
      </c>
      <c r="D374" t="inlineStr">
        <is>
          <t>GOTLANDS LÄN</t>
        </is>
      </c>
      <c r="E374" t="inlineStr">
        <is>
          <t>GOTLAND</t>
        </is>
      </c>
      <c r="G374" t="n">
        <v>6.1</v>
      </c>
      <c r="H374" t="n">
        <v>0</v>
      </c>
      <c r="I374" t="n">
        <v>0</v>
      </c>
      <c r="J374" t="n">
        <v>0</v>
      </c>
      <c r="K374" t="n">
        <v>0</v>
      </c>
      <c r="L374" t="n">
        <v>0</v>
      </c>
      <c r="M374" t="n">
        <v>0</v>
      </c>
      <c r="N374" t="n">
        <v>0</v>
      </c>
      <c r="O374" t="n">
        <v>0</v>
      </c>
      <c r="P374" t="n">
        <v>0</v>
      </c>
      <c r="Q374" t="n">
        <v>0</v>
      </c>
      <c r="R374" s="2" t="inlineStr"/>
    </row>
    <row r="375" ht="15" customHeight="1">
      <c r="A375" t="inlineStr">
        <is>
          <t>A 12846-2025</t>
        </is>
      </c>
      <c r="B375" s="1" t="n">
        <v>45733.65049768519</v>
      </c>
      <c r="C375" s="1" t="n">
        <v>46097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52892-2021</t>
        </is>
      </c>
      <c r="B376" s="1" t="n">
        <v>44467.49048611111</v>
      </c>
      <c r="C376" s="1" t="n">
        <v>46097</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46097</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15436-2025</t>
        </is>
      </c>
      <c r="B378" s="1" t="n">
        <v>45747.47462962963</v>
      </c>
      <c r="C378" s="1" t="n">
        <v>46097</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46949-2024</t>
        </is>
      </c>
      <c r="B379" s="1" t="n">
        <v>45585</v>
      </c>
      <c r="C379" s="1" t="n">
        <v>46097</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46396-2023</t>
        </is>
      </c>
      <c r="B380" s="1" t="n">
        <v>45197</v>
      </c>
      <c r="C380" s="1" t="n">
        <v>46097</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49257-2024</t>
        </is>
      </c>
      <c r="B381" s="1" t="n">
        <v>45595.47627314815</v>
      </c>
      <c r="C381" s="1" t="n">
        <v>46097</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54074-2022</t>
        </is>
      </c>
      <c r="B382" s="1" t="n">
        <v>44881</v>
      </c>
      <c r="C382" s="1" t="n">
        <v>46097</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37202-2024</t>
        </is>
      </c>
      <c r="B383" s="1" t="n">
        <v>45539.67310185185</v>
      </c>
      <c r="C383" s="1" t="n">
        <v>46097</v>
      </c>
      <c r="D383" t="inlineStr">
        <is>
          <t>GOTLANDS LÄN</t>
        </is>
      </c>
      <c r="E383" t="inlineStr">
        <is>
          <t>GOTLAND</t>
        </is>
      </c>
      <c r="G383" t="n">
        <v>0.3</v>
      </c>
      <c r="H383" t="n">
        <v>0</v>
      </c>
      <c r="I383" t="n">
        <v>0</v>
      </c>
      <c r="J383" t="n">
        <v>0</v>
      </c>
      <c r="K383" t="n">
        <v>0</v>
      </c>
      <c r="L383" t="n">
        <v>0</v>
      </c>
      <c r="M383" t="n">
        <v>0</v>
      </c>
      <c r="N383" t="n">
        <v>0</v>
      </c>
      <c r="O383" t="n">
        <v>0</v>
      </c>
      <c r="P383" t="n">
        <v>0</v>
      </c>
      <c r="Q383" t="n">
        <v>0</v>
      </c>
      <c r="R383" s="2" t="inlineStr"/>
    </row>
    <row r="384" ht="15" customHeight="1">
      <c r="A384" t="inlineStr">
        <is>
          <t>A 10650-2022</t>
        </is>
      </c>
      <c r="B384" s="1" t="n">
        <v>44624.57945601852</v>
      </c>
      <c r="C384" s="1" t="n">
        <v>46097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46097</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56115-2023</t>
        </is>
      </c>
      <c r="B386" s="1" t="n">
        <v>45236</v>
      </c>
      <c r="C386" s="1" t="n">
        <v>46097</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13910-2025</t>
        </is>
      </c>
      <c r="B387" s="1" t="n">
        <v>45737</v>
      </c>
      <c r="C387" s="1" t="n">
        <v>46097</v>
      </c>
      <c r="D387" t="inlineStr">
        <is>
          <t>GOTLANDS LÄN</t>
        </is>
      </c>
      <c r="E387" t="inlineStr">
        <is>
          <t>GOTLAND</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17780-2022</t>
        </is>
      </c>
      <c r="B388" s="1" t="n">
        <v>44682.82622685185</v>
      </c>
      <c r="C388" s="1" t="n">
        <v>46097</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59986-2022</t>
        </is>
      </c>
      <c r="B389" s="1" t="n">
        <v>44909</v>
      </c>
      <c r="C389" s="1" t="n">
        <v>46097</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17724-2024</t>
        </is>
      </c>
      <c r="B390" s="1" t="n">
        <v>45418.55096064815</v>
      </c>
      <c r="C390" s="1" t="n">
        <v>46097</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14536-2021</t>
        </is>
      </c>
      <c r="B391" s="1" t="n">
        <v>44279.66168981481</v>
      </c>
      <c r="C391" s="1" t="n">
        <v>46097</v>
      </c>
      <c r="D391" t="inlineStr">
        <is>
          <t>GOTLANDS LÄN</t>
        </is>
      </c>
      <c r="E391" t="inlineStr">
        <is>
          <t>GOTLAND</t>
        </is>
      </c>
      <c r="G391" t="n">
        <v>8.5</v>
      </c>
      <c r="H391" t="n">
        <v>0</v>
      </c>
      <c r="I391" t="n">
        <v>0</v>
      </c>
      <c r="J391" t="n">
        <v>0</v>
      </c>
      <c r="K391" t="n">
        <v>0</v>
      </c>
      <c r="L391" t="n">
        <v>0</v>
      </c>
      <c r="M391" t="n">
        <v>0</v>
      </c>
      <c r="N391" t="n">
        <v>0</v>
      </c>
      <c r="O391" t="n">
        <v>0</v>
      </c>
      <c r="P391" t="n">
        <v>0</v>
      </c>
      <c r="Q391" t="n">
        <v>0</v>
      </c>
      <c r="R391" s="2" t="inlineStr"/>
    </row>
    <row r="392" ht="15" customHeight="1">
      <c r="A392" t="inlineStr">
        <is>
          <t>A 34312-2024</t>
        </is>
      </c>
      <c r="B392" s="1" t="n">
        <v>45524.69703703704</v>
      </c>
      <c r="C392" s="1" t="n">
        <v>46097</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2774-2024</t>
        </is>
      </c>
      <c r="B393" s="1" t="n">
        <v>45314.62375</v>
      </c>
      <c r="C393" s="1" t="n">
        <v>46097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11634-2024</t>
        </is>
      </c>
      <c r="B394" s="1" t="n">
        <v>45373</v>
      </c>
      <c r="C394" s="1" t="n">
        <v>46097</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1351-2025</t>
        </is>
      </c>
      <c r="B395" s="1" t="n">
        <v>45667.62246527777</v>
      </c>
      <c r="C395" s="1" t="n">
        <v>46097</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39496-2022</t>
        </is>
      </c>
      <c r="B396" s="1" t="n">
        <v>44818</v>
      </c>
      <c r="C396" s="1" t="n">
        <v>46097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49874-2024</t>
        </is>
      </c>
      <c r="B397" s="1" t="n">
        <v>45597.49274305555</v>
      </c>
      <c r="C397" s="1" t="n">
        <v>46097</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11874-2024</t>
        </is>
      </c>
      <c r="B398" s="1" t="n">
        <v>45376.46956018519</v>
      </c>
      <c r="C398" s="1" t="n">
        <v>46097</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46097</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69112-2021</t>
        </is>
      </c>
      <c r="B400" s="1" t="n">
        <v>44530</v>
      </c>
      <c r="C400" s="1" t="n">
        <v>46097</v>
      </c>
      <c r="D400" t="inlineStr">
        <is>
          <t>GOTLANDS LÄN</t>
        </is>
      </c>
      <c r="E400" t="inlineStr">
        <is>
          <t>GOTLAND</t>
        </is>
      </c>
      <c r="G400" t="n">
        <v>4.2</v>
      </c>
      <c r="H400" t="n">
        <v>0</v>
      </c>
      <c r="I400" t="n">
        <v>0</v>
      </c>
      <c r="J400" t="n">
        <v>0</v>
      </c>
      <c r="K400" t="n">
        <v>0</v>
      </c>
      <c r="L400" t="n">
        <v>0</v>
      </c>
      <c r="M400" t="n">
        <v>0</v>
      </c>
      <c r="N400" t="n">
        <v>0</v>
      </c>
      <c r="O400" t="n">
        <v>0</v>
      </c>
      <c r="P400" t="n">
        <v>0</v>
      </c>
      <c r="Q400" t="n">
        <v>0</v>
      </c>
      <c r="R400" s="2" t="inlineStr"/>
    </row>
    <row r="401" ht="15" customHeight="1">
      <c r="A401" t="inlineStr">
        <is>
          <t>A 42041-2024</t>
        </is>
      </c>
      <c r="B401" s="1" t="n">
        <v>45561</v>
      </c>
      <c r="C401" s="1" t="n">
        <v>46097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61694-2023</t>
        </is>
      </c>
      <c r="B402" s="1" t="n">
        <v>45264</v>
      </c>
      <c r="C402" s="1" t="n">
        <v>46097</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42201-2023</t>
        </is>
      </c>
      <c r="B403" s="1" t="n">
        <v>45179</v>
      </c>
      <c r="C403" s="1" t="n">
        <v>46097</v>
      </c>
      <c r="D403" t="inlineStr">
        <is>
          <t>GOTLANDS LÄN</t>
        </is>
      </c>
      <c r="E403" t="inlineStr">
        <is>
          <t>GOTLAND</t>
        </is>
      </c>
      <c r="G403" t="n">
        <v>11.9</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46097</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46097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46400-2023</t>
        </is>
      </c>
      <c r="B406" s="1" t="n">
        <v>45197.49290509259</v>
      </c>
      <c r="C406" s="1" t="n">
        <v>46097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9875-2025</t>
        </is>
      </c>
      <c r="B407" s="1" t="n">
        <v>45716</v>
      </c>
      <c r="C407" s="1" t="n">
        <v>46097</v>
      </c>
      <c r="D407" t="inlineStr">
        <is>
          <t>GOTLANDS LÄN</t>
        </is>
      </c>
      <c r="E407" t="inlineStr">
        <is>
          <t>GOTLAND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64208-2021</t>
        </is>
      </c>
      <c r="B408" s="1" t="n">
        <v>44510</v>
      </c>
      <c r="C408" s="1" t="n">
        <v>46097</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39764-2022</t>
        </is>
      </c>
      <c r="B409" s="1" t="n">
        <v>44819</v>
      </c>
      <c r="C409" s="1" t="n">
        <v>46097</v>
      </c>
      <c r="D409" t="inlineStr">
        <is>
          <t>GOTLANDS LÄN</t>
        </is>
      </c>
      <c r="E409" t="inlineStr">
        <is>
          <t>GOTLAND</t>
        </is>
      </c>
      <c r="F409" t="inlineStr">
        <is>
          <t>Kyrkan</t>
        </is>
      </c>
      <c r="G409" t="n">
        <v>3.7</v>
      </c>
      <c r="H409" t="n">
        <v>0</v>
      </c>
      <c r="I409" t="n">
        <v>0</v>
      </c>
      <c r="J409" t="n">
        <v>0</v>
      </c>
      <c r="K409" t="n">
        <v>0</v>
      </c>
      <c r="L409" t="n">
        <v>0</v>
      </c>
      <c r="M409" t="n">
        <v>0</v>
      </c>
      <c r="N409" t="n">
        <v>0</v>
      </c>
      <c r="O409" t="n">
        <v>0</v>
      </c>
      <c r="P409" t="n">
        <v>0</v>
      </c>
      <c r="Q409" t="n">
        <v>0</v>
      </c>
      <c r="R409" s="2" t="inlineStr"/>
    </row>
    <row r="410" ht="15" customHeight="1">
      <c r="A410" t="inlineStr">
        <is>
          <t>A 21164-2024</t>
        </is>
      </c>
      <c r="B410" s="1" t="n">
        <v>45440</v>
      </c>
      <c r="C410" s="1" t="n">
        <v>46097</v>
      </c>
      <c r="D410" t="inlineStr">
        <is>
          <t>GOTLANDS LÄN</t>
        </is>
      </c>
      <c r="E410" t="inlineStr">
        <is>
          <t>GOTLAND</t>
        </is>
      </c>
      <c r="G410" t="n">
        <v>6.3</v>
      </c>
      <c r="H410" t="n">
        <v>0</v>
      </c>
      <c r="I410" t="n">
        <v>0</v>
      </c>
      <c r="J410" t="n">
        <v>0</v>
      </c>
      <c r="K410" t="n">
        <v>0</v>
      </c>
      <c r="L410" t="n">
        <v>0</v>
      </c>
      <c r="M410" t="n">
        <v>0</v>
      </c>
      <c r="N410" t="n">
        <v>0</v>
      </c>
      <c r="O410" t="n">
        <v>0</v>
      </c>
      <c r="P410" t="n">
        <v>0</v>
      </c>
      <c r="Q410" t="n">
        <v>0</v>
      </c>
      <c r="R410" s="2" t="inlineStr"/>
    </row>
    <row r="411" ht="15" customHeight="1">
      <c r="A411" t="inlineStr">
        <is>
          <t>A 58211-2024</t>
        </is>
      </c>
      <c r="B411" s="1" t="n">
        <v>45632.49292824074</v>
      </c>
      <c r="C411" s="1" t="n">
        <v>46097</v>
      </c>
      <c r="D411" t="inlineStr">
        <is>
          <t>GOTLANDS LÄN</t>
        </is>
      </c>
      <c r="E411" t="inlineStr">
        <is>
          <t>GOTLAND</t>
        </is>
      </c>
      <c r="G411" t="n">
        <v>5.4</v>
      </c>
      <c r="H411" t="n">
        <v>0</v>
      </c>
      <c r="I411" t="n">
        <v>0</v>
      </c>
      <c r="J411" t="n">
        <v>0</v>
      </c>
      <c r="K411" t="n">
        <v>0</v>
      </c>
      <c r="L411" t="n">
        <v>0</v>
      </c>
      <c r="M411" t="n">
        <v>0</v>
      </c>
      <c r="N411" t="n">
        <v>0</v>
      </c>
      <c r="O411" t="n">
        <v>0</v>
      </c>
      <c r="P411" t="n">
        <v>0</v>
      </c>
      <c r="Q411" t="n">
        <v>0</v>
      </c>
      <c r="R411" s="2" t="inlineStr"/>
    </row>
    <row r="412" ht="15" customHeight="1">
      <c r="A412" t="inlineStr">
        <is>
          <t>A 30956-2024</t>
        </is>
      </c>
      <c r="B412" s="1" t="n">
        <v>45499.42527777778</v>
      </c>
      <c r="C412" s="1" t="n">
        <v>46097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8045-2022</t>
        </is>
      </c>
      <c r="B413" s="1" t="n">
        <v>44609</v>
      </c>
      <c r="C413" s="1" t="n">
        <v>46097</v>
      </c>
      <c r="D413" t="inlineStr">
        <is>
          <t>GOTLANDS LÄN</t>
        </is>
      </c>
      <c r="E413" t="inlineStr">
        <is>
          <t>GOTLAND</t>
        </is>
      </c>
      <c r="G413" t="n">
        <v>7</v>
      </c>
      <c r="H413" t="n">
        <v>0</v>
      </c>
      <c r="I413" t="n">
        <v>0</v>
      </c>
      <c r="J413" t="n">
        <v>0</v>
      </c>
      <c r="K413" t="n">
        <v>0</v>
      </c>
      <c r="L413" t="n">
        <v>0</v>
      </c>
      <c r="M413" t="n">
        <v>0</v>
      </c>
      <c r="N413" t="n">
        <v>0</v>
      </c>
      <c r="O413" t="n">
        <v>0</v>
      </c>
      <c r="P413" t="n">
        <v>0</v>
      </c>
      <c r="Q413" t="n">
        <v>0</v>
      </c>
      <c r="R413" s="2" t="inlineStr"/>
    </row>
    <row r="414" ht="15" customHeight="1">
      <c r="A414" t="inlineStr">
        <is>
          <t>A 30892-2024</t>
        </is>
      </c>
      <c r="B414" s="1" t="n">
        <v>45491</v>
      </c>
      <c r="C414" s="1" t="n">
        <v>46097</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46097</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59469-2024</t>
        </is>
      </c>
      <c r="B416" s="1" t="n">
        <v>45638</v>
      </c>
      <c r="C416" s="1" t="n">
        <v>46097</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7858-2025</t>
        </is>
      </c>
      <c r="B417" s="1" t="n">
        <v>45706.68633101852</v>
      </c>
      <c r="C417" s="1" t="n">
        <v>46097</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26457-2025</t>
        </is>
      </c>
      <c r="B418" s="1" t="n">
        <v>45807.42773148148</v>
      </c>
      <c r="C418" s="1" t="n">
        <v>46097</v>
      </c>
      <c r="D418" t="inlineStr">
        <is>
          <t>GOTLANDS LÄN</t>
        </is>
      </c>
      <c r="E418" t="inlineStr">
        <is>
          <t>GOTLAND</t>
        </is>
      </c>
      <c r="G418" t="n">
        <v>5.7</v>
      </c>
      <c r="H418" t="n">
        <v>0</v>
      </c>
      <c r="I418" t="n">
        <v>0</v>
      </c>
      <c r="J418" t="n">
        <v>0</v>
      </c>
      <c r="K418" t="n">
        <v>0</v>
      </c>
      <c r="L418" t="n">
        <v>0</v>
      </c>
      <c r="M418" t="n">
        <v>0</v>
      </c>
      <c r="N418" t="n">
        <v>0</v>
      </c>
      <c r="O418" t="n">
        <v>0</v>
      </c>
      <c r="P418" t="n">
        <v>0</v>
      </c>
      <c r="Q418" t="n">
        <v>0</v>
      </c>
      <c r="R418" s="2" t="inlineStr"/>
    </row>
    <row r="419" ht="15" customHeight="1">
      <c r="A419" t="inlineStr">
        <is>
          <t>A 26467-2025</t>
        </is>
      </c>
      <c r="B419" s="1" t="n">
        <v>45807.44640046296</v>
      </c>
      <c r="C419" s="1" t="n">
        <v>46097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26465-2025</t>
        </is>
      </c>
      <c r="B420" s="1" t="n">
        <v>45807.44377314814</v>
      </c>
      <c r="C420" s="1" t="n">
        <v>46097</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22897-2023</t>
        </is>
      </c>
      <c r="B421" s="1" t="n">
        <v>45072.55239583334</v>
      </c>
      <c r="C421" s="1" t="n">
        <v>46097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64555-2023</t>
        </is>
      </c>
      <c r="B422" s="1" t="n">
        <v>45281</v>
      </c>
      <c r="C422" s="1" t="n">
        <v>46097</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64831-2023</t>
        </is>
      </c>
      <c r="B423" s="1" t="n">
        <v>45282.44924768519</v>
      </c>
      <c r="C423" s="1" t="n">
        <v>46097</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26660-2025</t>
        </is>
      </c>
      <c r="B424" s="1" t="n">
        <v>45810.39737268518</v>
      </c>
      <c r="C424" s="1" t="n">
        <v>46097</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53935-2024</t>
        </is>
      </c>
      <c r="B425" s="1" t="n">
        <v>45615</v>
      </c>
      <c r="C425" s="1" t="n">
        <v>46097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18223-2025</t>
        </is>
      </c>
      <c r="B426" s="1" t="n">
        <v>45761</v>
      </c>
      <c r="C426" s="1" t="n">
        <v>46097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4420-2025</t>
        </is>
      </c>
      <c r="B427" s="1" t="n">
        <v>45686.47157407407</v>
      </c>
      <c r="C427" s="1" t="n">
        <v>46097</v>
      </c>
      <c r="D427" t="inlineStr">
        <is>
          <t>GOTLANDS LÄN</t>
        </is>
      </c>
      <c r="E427" t="inlineStr">
        <is>
          <t>GOTLAND</t>
        </is>
      </c>
      <c r="G427" t="n">
        <v>1.6</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46097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61897-2024</t>
        </is>
      </c>
      <c r="B429" s="1" t="n">
        <v>45652.75685185185</v>
      </c>
      <c r="C429" s="1" t="n">
        <v>46097</v>
      </c>
      <c r="D429" t="inlineStr">
        <is>
          <t>GOTLANDS LÄN</t>
        </is>
      </c>
      <c r="E429" t="inlineStr">
        <is>
          <t>GOTLAND</t>
        </is>
      </c>
      <c r="G429" t="n">
        <v>6.4</v>
      </c>
      <c r="H429" t="n">
        <v>0</v>
      </c>
      <c r="I429" t="n">
        <v>0</v>
      </c>
      <c r="J429" t="n">
        <v>0</v>
      </c>
      <c r="K429" t="n">
        <v>0</v>
      </c>
      <c r="L429" t="n">
        <v>0</v>
      </c>
      <c r="M429" t="n">
        <v>0</v>
      </c>
      <c r="N429" t="n">
        <v>0</v>
      </c>
      <c r="O429" t="n">
        <v>0</v>
      </c>
      <c r="P429" t="n">
        <v>0</v>
      </c>
      <c r="Q429" t="n">
        <v>0</v>
      </c>
      <c r="R429" s="2" t="inlineStr"/>
    </row>
    <row r="430" ht="15" customHeight="1">
      <c r="A430" t="inlineStr">
        <is>
          <t>A 999-2023</t>
        </is>
      </c>
      <c r="B430" s="1" t="n">
        <v>44935</v>
      </c>
      <c r="C430" s="1" t="n">
        <v>46097</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5891-2025</t>
        </is>
      </c>
      <c r="B431" s="1" t="n">
        <v>45695.38327546296</v>
      </c>
      <c r="C431" s="1" t="n">
        <v>46097</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27602-2023</t>
        </is>
      </c>
      <c r="B432" s="1" t="n">
        <v>45097</v>
      </c>
      <c r="C432" s="1" t="n">
        <v>46097</v>
      </c>
      <c r="D432" t="inlineStr">
        <is>
          <t>GOTLANDS LÄN</t>
        </is>
      </c>
      <c r="E432" t="inlineStr">
        <is>
          <t>GOTLAND</t>
        </is>
      </c>
      <c r="G432" t="n">
        <v>2.7</v>
      </c>
      <c r="H432" t="n">
        <v>0</v>
      </c>
      <c r="I432" t="n">
        <v>0</v>
      </c>
      <c r="J432" t="n">
        <v>0</v>
      </c>
      <c r="K432" t="n">
        <v>0</v>
      </c>
      <c r="L432" t="n">
        <v>0</v>
      </c>
      <c r="M432" t="n">
        <v>0</v>
      </c>
      <c r="N432" t="n">
        <v>0</v>
      </c>
      <c r="O432" t="n">
        <v>0</v>
      </c>
      <c r="P432" t="n">
        <v>0</v>
      </c>
      <c r="Q432" t="n">
        <v>0</v>
      </c>
      <c r="R432" s="2" t="inlineStr"/>
    </row>
    <row r="433" ht="15" customHeight="1">
      <c r="A433" t="inlineStr">
        <is>
          <t>A 49962-2023</t>
        </is>
      </c>
      <c r="B433" s="1" t="n">
        <v>45215.38775462963</v>
      </c>
      <c r="C433" s="1" t="n">
        <v>46097</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27371-2025</t>
        </is>
      </c>
      <c r="B434" s="1" t="n">
        <v>45812</v>
      </c>
      <c r="C434" s="1" t="n">
        <v>46097</v>
      </c>
      <c r="D434" t="inlineStr">
        <is>
          <t>GOTLANDS LÄN</t>
        </is>
      </c>
      <c r="E434" t="inlineStr">
        <is>
          <t>GOTLAND</t>
        </is>
      </c>
      <c r="G434" t="n">
        <v>8</v>
      </c>
      <c r="H434" t="n">
        <v>0</v>
      </c>
      <c r="I434" t="n">
        <v>0</v>
      </c>
      <c r="J434" t="n">
        <v>0</v>
      </c>
      <c r="K434" t="n">
        <v>0</v>
      </c>
      <c r="L434" t="n">
        <v>0</v>
      </c>
      <c r="M434" t="n">
        <v>0</v>
      </c>
      <c r="N434" t="n">
        <v>0</v>
      </c>
      <c r="O434" t="n">
        <v>0</v>
      </c>
      <c r="P434" t="n">
        <v>0</v>
      </c>
      <c r="Q434" t="n">
        <v>0</v>
      </c>
      <c r="R434" s="2" t="inlineStr"/>
    </row>
    <row r="435" ht="15" customHeight="1">
      <c r="A435" t="inlineStr">
        <is>
          <t>A 27355-2025</t>
        </is>
      </c>
      <c r="B435" s="1" t="n">
        <v>45812</v>
      </c>
      <c r="C435" s="1" t="n">
        <v>46097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6739-2025</t>
        </is>
      </c>
      <c r="B436" s="1" t="n">
        <v>45700</v>
      </c>
      <c r="C436" s="1" t="n">
        <v>46097</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7850-2025</t>
        </is>
      </c>
      <c r="B437" s="1" t="n">
        <v>45706</v>
      </c>
      <c r="C437" s="1" t="n">
        <v>46097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20165-2022</t>
        </is>
      </c>
      <c r="B438" s="1" t="n">
        <v>44698.49854166667</v>
      </c>
      <c r="C438" s="1" t="n">
        <v>46097</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7835-2024</t>
        </is>
      </c>
      <c r="B439" s="1" t="n">
        <v>45349.83138888889</v>
      </c>
      <c r="C439" s="1" t="n">
        <v>46097</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8444-2025</t>
        </is>
      </c>
      <c r="B440" s="1" t="n">
        <v>45709</v>
      </c>
      <c r="C440" s="1" t="n">
        <v>46097</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40294-2022</t>
        </is>
      </c>
      <c r="B441" s="1" t="n">
        <v>44821</v>
      </c>
      <c r="C441" s="1" t="n">
        <v>46097</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20794-2025</t>
        </is>
      </c>
      <c r="B442" s="1" t="n">
        <v>45776</v>
      </c>
      <c r="C442" s="1" t="n">
        <v>46097</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4377-2023</t>
        </is>
      </c>
      <c r="B443" s="1" t="n">
        <v>44955.5502662037</v>
      </c>
      <c r="C443" s="1" t="n">
        <v>46097</v>
      </c>
      <c r="D443" t="inlineStr">
        <is>
          <t>GOTLANDS LÄN</t>
        </is>
      </c>
      <c r="E443" t="inlineStr">
        <is>
          <t>GOTLAND</t>
        </is>
      </c>
      <c r="F443" t="inlineStr">
        <is>
          <t>Kyrkan</t>
        </is>
      </c>
      <c r="G443" t="n">
        <v>0.6</v>
      </c>
      <c r="H443" t="n">
        <v>0</v>
      </c>
      <c r="I443" t="n">
        <v>0</v>
      </c>
      <c r="J443" t="n">
        <v>0</v>
      </c>
      <c r="K443" t="n">
        <v>0</v>
      </c>
      <c r="L443" t="n">
        <v>0</v>
      </c>
      <c r="M443" t="n">
        <v>0</v>
      </c>
      <c r="N443" t="n">
        <v>0</v>
      </c>
      <c r="O443" t="n">
        <v>0</v>
      </c>
      <c r="P443" t="n">
        <v>0</v>
      </c>
      <c r="Q443" t="n">
        <v>0</v>
      </c>
      <c r="R443" s="2" t="inlineStr"/>
    </row>
    <row r="444" ht="15" customHeight="1">
      <c r="A444" t="inlineStr">
        <is>
          <t>A 4387-2023</t>
        </is>
      </c>
      <c r="B444" s="1" t="n">
        <v>44955.73359953704</v>
      </c>
      <c r="C444" s="1" t="n">
        <v>46097</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12032-2025</t>
        </is>
      </c>
      <c r="B445" s="1" t="n">
        <v>45728.64472222222</v>
      </c>
      <c r="C445" s="1" t="n">
        <v>46097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20805-2025</t>
        </is>
      </c>
      <c r="B446" s="1" t="n">
        <v>45776</v>
      </c>
      <c r="C446" s="1" t="n">
        <v>46097</v>
      </c>
      <c r="D446" t="inlineStr">
        <is>
          <t>GOTLANDS LÄN</t>
        </is>
      </c>
      <c r="E446" t="inlineStr">
        <is>
          <t>GOTLAND</t>
        </is>
      </c>
      <c r="G446" t="n">
        <v>3.1</v>
      </c>
      <c r="H446" t="n">
        <v>0</v>
      </c>
      <c r="I446" t="n">
        <v>0</v>
      </c>
      <c r="J446" t="n">
        <v>0</v>
      </c>
      <c r="K446" t="n">
        <v>0</v>
      </c>
      <c r="L446" t="n">
        <v>0</v>
      </c>
      <c r="M446" t="n">
        <v>0</v>
      </c>
      <c r="N446" t="n">
        <v>0</v>
      </c>
      <c r="O446" t="n">
        <v>0</v>
      </c>
      <c r="P446" t="n">
        <v>0</v>
      </c>
      <c r="Q446" t="n">
        <v>0</v>
      </c>
      <c r="R446" s="2" t="inlineStr"/>
    </row>
    <row r="447" ht="15" customHeight="1">
      <c r="A447" t="inlineStr">
        <is>
          <t>A 38787-2023</t>
        </is>
      </c>
      <c r="B447" s="1" t="n">
        <v>45163</v>
      </c>
      <c r="C447" s="1" t="n">
        <v>46097</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39479-2022</t>
        </is>
      </c>
      <c r="B448" s="1" t="n">
        <v>44818</v>
      </c>
      <c r="C448" s="1" t="n">
        <v>46097</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43231-2023</t>
        </is>
      </c>
      <c r="B449" s="1" t="n">
        <v>45183.47025462963</v>
      </c>
      <c r="C449" s="1" t="n">
        <v>46097</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19905-2025</t>
        </is>
      </c>
      <c r="B450" s="1" t="n">
        <v>45771</v>
      </c>
      <c r="C450" s="1" t="n">
        <v>46097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17532-2024</t>
        </is>
      </c>
      <c r="B451" s="1" t="n">
        <v>45415</v>
      </c>
      <c r="C451" s="1" t="n">
        <v>46097</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29196-2025</t>
        </is>
      </c>
      <c r="B452" s="1" t="n">
        <v>45822</v>
      </c>
      <c r="C452" s="1" t="n">
        <v>46097</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21389-2025</t>
        </is>
      </c>
      <c r="B453" s="1" t="n">
        <v>45782</v>
      </c>
      <c r="C453" s="1" t="n">
        <v>46097</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3935-2025</t>
        </is>
      </c>
      <c r="B454" s="1" t="n">
        <v>45684.46070601852</v>
      </c>
      <c r="C454" s="1" t="n">
        <v>46097</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29207-2025</t>
        </is>
      </c>
      <c r="B455" s="1" t="n">
        <v>45823</v>
      </c>
      <c r="C455" s="1" t="n">
        <v>46097</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51963-2024</t>
        </is>
      </c>
      <c r="B456" s="1" t="n">
        <v>45607.64833333333</v>
      </c>
      <c r="C456" s="1" t="n">
        <v>46097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21651-2025</t>
        </is>
      </c>
      <c r="B457" s="1" t="n">
        <v>45783</v>
      </c>
      <c r="C457" s="1" t="n">
        <v>46097</v>
      </c>
      <c r="D457" t="inlineStr">
        <is>
          <t>GOTLANDS LÄN</t>
        </is>
      </c>
      <c r="E457" t="inlineStr">
        <is>
          <t>GOTLAND</t>
        </is>
      </c>
      <c r="G457" t="n">
        <v>4.2</v>
      </c>
      <c r="H457" t="n">
        <v>0</v>
      </c>
      <c r="I457" t="n">
        <v>0</v>
      </c>
      <c r="J457" t="n">
        <v>0</v>
      </c>
      <c r="K457" t="n">
        <v>0</v>
      </c>
      <c r="L457" t="n">
        <v>0</v>
      </c>
      <c r="M457" t="n">
        <v>0</v>
      </c>
      <c r="N457" t="n">
        <v>0</v>
      </c>
      <c r="O457" t="n">
        <v>0</v>
      </c>
      <c r="P457" t="n">
        <v>0</v>
      </c>
      <c r="Q457" t="n">
        <v>0</v>
      </c>
      <c r="R457" s="2" t="inlineStr"/>
    </row>
    <row r="458" ht="15" customHeight="1">
      <c r="A458" t="inlineStr">
        <is>
          <t>A 811-2023</t>
        </is>
      </c>
      <c r="B458" s="1" t="n">
        <v>44931</v>
      </c>
      <c r="C458" s="1" t="n">
        <v>46097</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30061-2025</t>
        </is>
      </c>
      <c r="B459" s="1" t="n">
        <v>45826.61488425926</v>
      </c>
      <c r="C459" s="1" t="n">
        <v>46097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46097</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20225-2025</t>
        </is>
      </c>
      <c r="B461" s="1" t="n">
        <v>45772.65802083333</v>
      </c>
      <c r="C461" s="1" t="n">
        <v>46097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883-2025</t>
        </is>
      </c>
      <c r="B462" s="1" t="n">
        <v>45665</v>
      </c>
      <c r="C462" s="1" t="n">
        <v>46097</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26810-2021</t>
        </is>
      </c>
      <c r="B463" s="1" t="n">
        <v>44349.55087962963</v>
      </c>
      <c r="C463" s="1" t="n">
        <v>46097</v>
      </c>
      <c r="D463" t="inlineStr">
        <is>
          <t>GOTLANDS LÄN</t>
        </is>
      </c>
      <c r="E463" t="inlineStr">
        <is>
          <t>GOTLAND</t>
        </is>
      </c>
      <c r="G463" t="n">
        <v>3.5</v>
      </c>
      <c r="H463" t="n">
        <v>0</v>
      </c>
      <c r="I463" t="n">
        <v>0</v>
      </c>
      <c r="J463" t="n">
        <v>0</v>
      </c>
      <c r="K463" t="n">
        <v>0</v>
      </c>
      <c r="L463" t="n">
        <v>0</v>
      </c>
      <c r="M463" t="n">
        <v>0</v>
      </c>
      <c r="N463" t="n">
        <v>0</v>
      </c>
      <c r="O463" t="n">
        <v>0</v>
      </c>
      <c r="P463" t="n">
        <v>0</v>
      </c>
      <c r="Q463" t="n">
        <v>0</v>
      </c>
      <c r="R463" s="2" t="inlineStr"/>
    </row>
    <row r="464" ht="15" customHeight="1">
      <c r="A464" t="inlineStr">
        <is>
          <t>A 58160-2024</t>
        </is>
      </c>
      <c r="B464" s="1" t="n">
        <v>45632.44927083333</v>
      </c>
      <c r="C464" s="1" t="n">
        <v>46097</v>
      </c>
      <c r="D464" t="inlineStr">
        <is>
          <t>GOTLANDS LÄN</t>
        </is>
      </c>
      <c r="E464" t="inlineStr">
        <is>
          <t>GOTLAND</t>
        </is>
      </c>
      <c r="G464" t="n">
        <v>5.6</v>
      </c>
      <c r="H464" t="n">
        <v>0</v>
      </c>
      <c r="I464" t="n">
        <v>0</v>
      </c>
      <c r="J464" t="n">
        <v>0</v>
      </c>
      <c r="K464" t="n">
        <v>0</v>
      </c>
      <c r="L464" t="n">
        <v>0</v>
      </c>
      <c r="M464" t="n">
        <v>0</v>
      </c>
      <c r="N464" t="n">
        <v>0</v>
      </c>
      <c r="O464" t="n">
        <v>0</v>
      </c>
      <c r="P464" t="n">
        <v>0</v>
      </c>
      <c r="Q464" t="n">
        <v>0</v>
      </c>
      <c r="R464" s="2" t="inlineStr"/>
    </row>
    <row r="465" ht="15" customHeight="1">
      <c r="A465" t="inlineStr">
        <is>
          <t>A 5923-2023</t>
        </is>
      </c>
      <c r="B465" s="1" t="n">
        <v>44963.69503472222</v>
      </c>
      <c r="C465" s="1" t="n">
        <v>46097</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33853-2024</t>
        </is>
      </c>
      <c r="B466" s="1" t="n">
        <v>45520.64298611111</v>
      </c>
      <c r="C466" s="1" t="n">
        <v>46097</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18918-2025</t>
        </is>
      </c>
      <c r="B467" s="1" t="n">
        <v>45764</v>
      </c>
      <c r="C467" s="1" t="n">
        <v>46097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1066-2024</t>
        </is>
      </c>
      <c r="B468" s="1" t="n">
        <v>45302.285</v>
      </c>
      <c r="C468" s="1" t="n">
        <v>46097</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2674-2023</t>
        </is>
      </c>
      <c r="B469" s="1" t="n">
        <v>44944</v>
      </c>
      <c r="C469" s="1" t="n">
        <v>46097</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46097</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57356-2023</t>
        </is>
      </c>
      <c r="B471" s="1" t="n">
        <v>45240</v>
      </c>
      <c r="C471" s="1" t="n">
        <v>46097</v>
      </c>
      <c r="D471" t="inlineStr">
        <is>
          <t>GOTLANDS LÄN</t>
        </is>
      </c>
      <c r="E471" t="inlineStr">
        <is>
          <t>GOTLAND</t>
        </is>
      </c>
      <c r="G471" t="n">
        <v>6.4</v>
      </c>
      <c r="H471" t="n">
        <v>0</v>
      </c>
      <c r="I471" t="n">
        <v>0</v>
      </c>
      <c r="J471" t="n">
        <v>0</v>
      </c>
      <c r="K471" t="n">
        <v>0</v>
      </c>
      <c r="L471" t="n">
        <v>0</v>
      </c>
      <c r="M471" t="n">
        <v>0</v>
      </c>
      <c r="N471" t="n">
        <v>0</v>
      </c>
      <c r="O471" t="n">
        <v>0</v>
      </c>
      <c r="P471" t="n">
        <v>0</v>
      </c>
      <c r="Q471" t="n">
        <v>0</v>
      </c>
      <c r="R471" s="2" t="inlineStr"/>
    </row>
    <row r="472" ht="15" customHeight="1">
      <c r="A472" t="inlineStr">
        <is>
          <t>A 10656-2024</t>
        </is>
      </c>
      <c r="B472" s="1" t="n">
        <v>45368</v>
      </c>
      <c r="C472" s="1" t="n">
        <v>46097</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28506-2023</t>
        </is>
      </c>
      <c r="B473" s="1" t="n">
        <v>45103</v>
      </c>
      <c r="C473" s="1" t="n">
        <v>46097</v>
      </c>
      <c r="D473" t="inlineStr">
        <is>
          <t>GOTLANDS LÄN</t>
        </is>
      </c>
      <c r="E473" t="inlineStr">
        <is>
          <t>GOTLAND</t>
        </is>
      </c>
      <c r="G473" t="n">
        <v>3.2</v>
      </c>
      <c r="H473" t="n">
        <v>0</v>
      </c>
      <c r="I473" t="n">
        <v>0</v>
      </c>
      <c r="J473" t="n">
        <v>0</v>
      </c>
      <c r="K473" t="n">
        <v>0</v>
      </c>
      <c r="L473" t="n">
        <v>0</v>
      </c>
      <c r="M473" t="n">
        <v>0</v>
      </c>
      <c r="N473" t="n">
        <v>0</v>
      </c>
      <c r="O473" t="n">
        <v>0</v>
      </c>
      <c r="P473" t="n">
        <v>0</v>
      </c>
      <c r="Q473" t="n">
        <v>0</v>
      </c>
      <c r="R473" s="2" t="inlineStr"/>
    </row>
    <row r="474" ht="15" customHeight="1">
      <c r="A474" t="inlineStr">
        <is>
          <t>A 21420-2024</t>
        </is>
      </c>
      <c r="B474" s="1" t="n">
        <v>45441.38293981482</v>
      </c>
      <c r="C474" s="1" t="n">
        <v>46097</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23188-2025</t>
        </is>
      </c>
      <c r="B475" s="1" t="n">
        <v>45791</v>
      </c>
      <c r="C475" s="1" t="n">
        <v>46097</v>
      </c>
      <c r="D475" t="inlineStr">
        <is>
          <t>GOTLANDS LÄN</t>
        </is>
      </c>
      <c r="E475" t="inlineStr">
        <is>
          <t>GOTLAND</t>
        </is>
      </c>
      <c r="G475" t="n">
        <v>6.2</v>
      </c>
      <c r="H475" t="n">
        <v>0</v>
      </c>
      <c r="I475" t="n">
        <v>0</v>
      </c>
      <c r="J475" t="n">
        <v>0</v>
      </c>
      <c r="K475" t="n">
        <v>0</v>
      </c>
      <c r="L475" t="n">
        <v>0</v>
      </c>
      <c r="M475" t="n">
        <v>0</v>
      </c>
      <c r="N475" t="n">
        <v>0</v>
      </c>
      <c r="O475" t="n">
        <v>0</v>
      </c>
      <c r="P475" t="n">
        <v>0</v>
      </c>
      <c r="Q475" t="n">
        <v>0</v>
      </c>
      <c r="R475" s="2" t="inlineStr"/>
    </row>
    <row r="476" ht="15" customHeight="1">
      <c r="A476" t="inlineStr">
        <is>
          <t>A 32379-2025</t>
        </is>
      </c>
      <c r="B476" s="1" t="n">
        <v>45837</v>
      </c>
      <c r="C476" s="1" t="n">
        <v>46097</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56009-2024</t>
        </is>
      </c>
      <c r="B477" s="1" t="n">
        <v>45623.80864583333</v>
      </c>
      <c r="C477" s="1" t="n">
        <v>46097</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42338-2023</t>
        </is>
      </c>
      <c r="B478" s="1" t="n">
        <v>45180</v>
      </c>
      <c r="C478" s="1" t="n">
        <v>46097</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32467-2025</t>
        </is>
      </c>
      <c r="B479" s="1" t="n">
        <v>45838.42111111111</v>
      </c>
      <c r="C479" s="1" t="n">
        <v>46097</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23473-2025</t>
        </is>
      </c>
      <c r="B480" s="1" t="n">
        <v>45792</v>
      </c>
      <c r="C480" s="1" t="n">
        <v>46097</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16109-2025</t>
        </is>
      </c>
      <c r="B481" s="1" t="n">
        <v>45750</v>
      </c>
      <c r="C481" s="1" t="n">
        <v>46097</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23856-2025</t>
        </is>
      </c>
      <c r="B482" s="1" t="n">
        <v>45793</v>
      </c>
      <c r="C482" s="1" t="n">
        <v>46097</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15073-2025</t>
        </is>
      </c>
      <c r="B483" s="1" t="n">
        <v>45743</v>
      </c>
      <c r="C483" s="1" t="n">
        <v>46097</v>
      </c>
      <c r="D483" t="inlineStr">
        <is>
          <t>GOTLANDS LÄN</t>
        </is>
      </c>
      <c r="E483" t="inlineStr">
        <is>
          <t>GOTLAND</t>
        </is>
      </c>
      <c r="G483" t="n">
        <v>12.1</v>
      </c>
      <c r="H483" t="n">
        <v>0</v>
      </c>
      <c r="I483" t="n">
        <v>0</v>
      </c>
      <c r="J483" t="n">
        <v>0</v>
      </c>
      <c r="K483" t="n">
        <v>0</v>
      </c>
      <c r="L483" t="n">
        <v>0</v>
      </c>
      <c r="M483" t="n">
        <v>0</v>
      </c>
      <c r="N483" t="n">
        <v>0</v>
      </c>
      <c r="O483" t="n">
        <v>0</v>
      </c>
      <c r="P483" t="n">
        <v>0</v>
      </c>
      <c r="Q483" t="n">
        <v>0</v>
      </c>
      <c r="R483" s="2" t="inlineStr"/>
    </row>
    <row r="484" ht="15" customHeight="1">
      <c r="A484" t="inlineStr">
        <is>
          <t>A 33007-2025</t>
        </is>
      </c>
      <c r="B484" s="1" t="n">
        <v>45840</v>
      </c>
      <c r="C484" s="1" t="n">
        <v>46097</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6749-2025</t>
        </is>
      </c>
      <c r="B485" s="1" t="n">
        <v>45700</v>
      </c>
      <c r="C485" s="1" t="n">
        <v>46097</v>
      </c>
      <c r="D485" t="inlineStr">
        <is>
          <t>GOTLANDS LÄN</t>
        </is>
      </c>
      <c r="E485" t="inlineStr">
        <is>
          <t>GOTLAND</t>
        </is>
      </c>
      <c r="G485" t="n">
        <v>4.5</v>
      </c>
      <c r="H485" t="n">
        <v>0</v>
      </c>
      <c r="I485" t="n">
        <v>0</v>
      </c>
      <c r="J485" t="n">
        <v>0</v>
      </c>
      <c r="K485" t="n">
        <v>0</v>
      </c>
      <c r="L485" t="n">
        <v>0</v>
      </c>
      <c r="M485" t="n">
        <v>0</v>
      </c>
      <c r="N485" t="n">
        <v>0</v>
      </c>
      <c r="O485" t="n">
        <v>0</v>
      </c>
      <c r="P485" t="n">
        <v>0</v>
      </c>
      <c r="Q485" t="n">
        <v>0</v>
      </c>
      <c r="R485" s="2" t="inlineStr"/>
    </row>
    <row r="486" ht="15" customHeight="1">
      <c r="A486" t="inlineStr">
        <is>
          <t>A 10655-2023</t>
        </is>
      </c>
      <c r="B486" s="1" t="n">
        <v>44988.49543981482</v>
      </c>
      <c r="C486" s="1" t="n">
        <v>46097</v>
      </c>
      <c r="D486" t="inlineStr">
        <is>
          <t>GOTLANDS LÄN</t>
        </is>
      </c>
      <c r="E486" t="inlineStr">
        <is>
          <t>GOTLAND</t>
        </is>
      </c>
      <c r="F486" t="inlineStr">
        <is>
          <t>Kyrkan</t>
        </is>
      </c>
      <c r="G486" t="n">
        <v>2</v>
      </c>
      <c r="H486" t="n">
        <v>0</v>
      </c>
      <c r="I486" t="n">
        <v>0</v>
      </c>
      <c r="J486" t="n">
        <v>0</v>
      </c>
      <c r="K486" t="n">
        <v>0</v>
      </c>
      <c r="L486" t="n">
        <v>0</v>
      </c>
      <c r="M486" t="n">
        <v>0</v>
      </c>
      <c r="N486" t="n">
        <v>0</v>
      </c>
      <c r="O486" t="n">
        <v>0</v>
      </c>
      <c r="P486" t="n">
        <v>0</v>
      </c>
      <c r="Q486" t="n">
        <v>0</v>
      </c>
      <c r="R486" s="2" t="inlineStr"/>
    </row>
    <row r="487" ht="15" customHeight="1">
      <c r="A487" t="inlineStr">
        <is>
          <t>A 23698-2025</t>
        </is>
      </c>
      <c r="B487" s="1" t="n">
        <v>45793</v>
      </c>
      <c r="C487" s="1" t="n">
        <v>46097</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46097</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26891-2024</t>
        </is>
      </c>
      <c r="B489" s="1" t="n">
        <v>45470.65540509259</v>
      </c>
      <c r="C489" s="1" t="n">
        <v>46097</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42007-2023</t>
        </is>
      </c>
      <c r="B490" s="1" t="n">
        <v>45177</v>
      </c>
      <c r="C490" s="1" t="n">
        <v>46097</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46097</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15413-2025</t>
        </is>
      </c>
      <c r="B492" s="1" t="n">
        <v>45747.451875</v>
      </c>
      <c r="C492" s="1" t="n">
        <v>46097</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46097</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35123-2025</t>
        </is>
      </c>
      <c r="B494" s="1" t="n">
        <v>45852.614375</v>
      </c>
      <c r="C494" s="1" t="n">
        <v>46097</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46097</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46097</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5462-2025</t>
        </is>
      </c>
      <c r="B497" s="1" t="n">
        <v>45693.29331018519</v>
      </c>
      <c r="C497" s="1" t="n">
        <v>46097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30104-2025</t>
        </is>
      </c>
      <c r="B498" s="1" t="n">
        <v>45826.68806712963</v>
      </c>
      <c r="C498" s="1" t="n">
        <v>46097</v>
      </c>
      <c r="D498" t="inlineStr">
        <is>
          <t>GOTLANDS LÄN</t>
        </is>
      </c>
      <c r="E498" t="inlineStr">
        <is>
          <t>GOTLAND</t>
        </is>
      </c>
      <c r="G498" t="n">
        <v>15.4</v>
      </c>
      <c r="H498" t="n">
        <v>0</v>
      </c>
      <c r="I498" t="n">
        <v>0</v>
      </c>
      <c r="J498" t="n">
        <v>0</v>
      </c>
      <c r="K498" t="n">
        <v>0</v>
      </c>
      <c r="L498" t="n">
        <v>0</v>
      </c>
      <c r="M498" t="n">
        <v>0</v>
      </c>
      <c r="N498" t="n">
        <v>0</v>
      </c>
      <c r="O498" t="n">
        <v>0</v>
      </c>
      <c r="P498" t="n">
        <v>0</v>
      </c>
      <c r="Q498" t="n">
        <v>0</v>
      </c>
      <c r="R498" s="2" t="inlineStr"/>
    </row>
    <row r="499" ht="15" customHeight="1">
      <c r="A499" t="inlineStr">
        <is>
          <t>A 35290-2025</t>
        </is>
      </c>
      <c r="B499" s="1" t="n">
        <v>45854.38502314815</v>
      </c>
      <c r="C499" s="1" t="n">
        <v>46097</v>
      </c>
      <c r="D499" t="inlineStr">
        <is>
          <t>GOTLANDS LÄN</t>
        </is>
      </c>
      <c r="E499" t="inlineStr">
        <is>
          <t>GOTLAND</t>
        </is>
      </c>
      <c r="G499" t="n">
        <v>5.4</v>
      </c>
      <c r="H499" t="n">
        <v>0</v>
      </c>
      <c r="I499" t="n">
        <v>0</v>
      </c>
      <c r="J499" t="n">
        <v>0</v>
      </c>
      <c r="K499" t="n">
        <v>0</v>
      </c>
      <c r="L499" t="n">
        <v>0</v>
      </c>
      <c r="M499" t="n">
        <v>0</v>
      </c>
      <c r="N499" t="n">
        <v>0</v>
      </c>
      <c r="O499" t="n">
        <v>0</v>
      </c>
      <c r="P499" t="n">
        <v>0</v>
      </c>
      <c r="Q499" t="n">
        <v>0</v>
      </c>
      <c r="R499" s="2" t="inlineStr"/>
    </row>
    <row r="500" ht="15" customHeight="1">
      <c r="A500" t="inlineStr">
        <is>
          <t>A 32669-2024</t>
        </is>
      </c>
      <c r="B500" s="1" t="n">
        <v>45514</v>
      </c>
      <c r="C500" s="1" t="n">
        <v>46097</v>
      </c>
      <c r="D500" t="inlineStr">
        <is>
          <t>GOTLANDS LÄN</t>
        </is>
      </c>
      <c r="E500" t="inlineStr">
        <is>
          <t>GOTLAND</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35537-2025</t>
        </is>
      </c>
      <c r="B501" s="1" t="n">
        <v>45856</v>
      </c>
      <c r="C501" s="1" t="n">
        <v>46097</v>
      </c>
      <c r="D501" t="inlineStr">
        <is>
          <t>GOTLANDS LÄN</t>
        </is>
      </c>
      <c r="E501" t="inlineStr">
        <is>
          <t>GOTLAND</t>
        </is>
      </c>
      <c r="G501" t="n">
        <v>16.8</v>
      </c>
      <c r="H501" t="n">
        <v>0</v>
      </c>
      <c r="I501" t="n">
        <v>0</v>
      </c>
      <c r="J501" t="n">
        <v>0</v>
      </c>
      <c r="K501" t="n">
        <v>0</v>
      </c>
      <c r="L501" t="n">
        <v>0</v>
      </c>
      <c r="M501" t="n">
        <v>0</v>
      </c>
      <c r="N501" t="n">
        <v>0</v>
      </c>
      <c r="O501" t="n">
        <v>0</v>
      </c>
      <c r="P501" t="n">
        <v>0</v>
      </c>
      <c r="Q501" t="n">
        <v>0</v>
      </c>
      <c r="R501" s="2" t="inlineStr"/>
    </row>
    <row r="502" ht="15" customHeight="1">
      <c r="A502" t="inlineStr">
        <is>
          <t>A 27596-2023</t>
        </is>
      </c>
      <c r="B502" s="1" t="n">
        <v>45097</v>
      </c>
      <c r="C502" s="1" t="n">
        <v>46097</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25796-2025</t>
        </is>
      </c>
      <c r="B503" s="1" t="n">
        <v>45804.39543981481</v>
      </c>
      <c r="C503" s="1" t="n">
        <v>46097</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24825-2024</t>
        </is>
      </c>
      <c r="B504" s="1" t="n">
        <v>45461</v>
      </c>
      <c r="C504" s="1" t="n">
        <v>46097</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6696-2023</t>
        </is>
      </c>
      <c r="B505" s="1" t="n">
        <v>44966.66425925926</v>
      </c>
      <c r="C505" s="1" t="n">
        <v>46097</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15216-2025</t>
        </is>
      </c>
      <c r="B506" s="1" t="n">
        <v>45744</v>
      </c>
      <c r="C506" s="1" t="n">
        <v>46097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46097</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15001-2025</t>
        </is>
      </c>
      <c r="B508" s="1" t="n">
        <v>45743</v>
      </c>
      <c r="C508" s="1" t="n">
        <v>46097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30488-2025</t>
        </is>
      </c>
      <c r="B509" s="1" t="n">
        <v>45830</v>
      </c>
      <c r="C509" s="1" t="n">
        <v>46097</v>
      </c>
      <c r="D509" t="inlineStr">
        <is>
          <t>GOTLANDS LÄN</t>
        </is>
      </c>
      <c r="E509" t="inlineStr">
        <is>
          <t>GOTLAND</t>
        </is>
      </c>
      <c r="F509" t="inlineStr">
        <is>
          <t>Kyrkan</t>
        </is>
      </c>
      <c r="G509" t="n">
        <v>3.9</v>
      </c>
      <c r="H509" t="n">
        <v>0</v>
      </c>
      <c r="I509" t="n">
        <v>0</v>
      </c>
      <c r="J509" t="n">
        <v>0</v>
      </c>
      <c r="K509" t="n">
        <v>0</v>
      </c>
      <c r="L509" t="n">
        <v>0</v>
      </c>
      <c r="M509" t="n">
        <v>0</v>
      </c>
      <c r="N509" t="n">
        <v>0</v>
      </c>
      <c r="O509" t="n">
        <v>0</v>
      </c>
      <c r="P509" t="n">
        <v>0</v>
      </c>
      <c r="Q509" t="n">
        <v>0</v>
      </c>
      <c r="R509" s="2" t="inlineStr"/>
    </row>
    <row r="510" ht="15" customHeight="1">
      <c r="A510" t="inlineStr">
        <is>
          <t>A 17847-2025</t>
        </is>
      </c>
      <c r="B510" s="1" t="n">
        <v>45758</v>
      </c>
      <c r="C510" s="1" t="n">
        <v>46097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44705.38832175926</v>
      </c>
      <c r="C511" s="1" t="n">
        <v>46097</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18993-2025</t>
        </is>
      </c>
      <c r="B512" s="1" t="n">
        <v>45764</v>
      </c>
      <c r="C512" s="1" t="n">
        <v>46097</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18742-2025</t>
        </is>
      </c>
      <c r="B513" s="1" t="n">
        <v>45763</v>
      </c>
      <c r="C513" s="1" t="n">
        <v>46097</v>
      </c>
      <c r="D513" t="inlineStr">
        <is>
          <t>GOTLANDS LÄN</t>
        </is>
      </c>
      <c r="E513" t="inlineStr">
        <is>
          <t>GOTLAND</t>
        </is>
      </c>
      <c r="G513" t="n">
        <v>3.4</v>
      </c>
      <c r="H513" t="n">
        <v>0</v>
      </c>
      <c r="I513" t="n">
        <v>0</v>
      </c>
      <c r="J513" t="n">
        <v>0</v>
      </c>
      <c r="K513" t="n">
        <v>0</v>
      </c>
      <c r="L513" t="n">
        <v>0</v>
      </c>
      <c r="M513" t="n">
        <v>0</v>
      </c>
      <c r="N513" t="n">
        <v>0</v>
      </c>
      <c r="O513" t="n">
        <v>0</v>
      </c>
      <c r="P513" t="n">
        <v>0</v>
      </c>
      <c r="Q513" t="n">
        <v>0</v>
      </c>
      <c r="R513" s="2" t="inlineStr"/>
    </row>
    <row r="514" ht="15" customHeight="1">
      <c r="A514" t="inlineStr">
        <is>
          <t>A 456-2023</t>
        </is>
      </c>
      <c r="B514" s="1" t="n">
        <v>44929.87122685185</v>
      </c>
      <c r="C514" s="1" t="n">
        <v>46097</v>
      </c>
      <c r="D514" t="inlineStr">
        <is>
          <t>GOTLANDS LÄN</t>
        </is>
      </c>
      <c r="E514" t="inlineStr">
        <is>
          <t>GOTLAND</t>
        </is>
      </c>
      <c r="G514" t="n">
        <v>3.2</v>
      </c>
      <c r="H514" t="n">
        <v>0</v>
      </c>
      <c r="I514" t="n">
        <v>0</v>
      </c>
      <c r="J514" t="n">
        <v>0</v>
      </c>
      <c r="K514" t="n">
        <v>0</v>
      </c>
      <c r="L514" t="n">
        <v>0</v>
      </c>
      <c r="M514" t="n">
        <v>0</v>
      </c>
      <c r="N514" t="n">
        <v>0</v>
      </c>
      <c r="O514" t="n">
        <v>0</v>
      </c>
      <c r="P514" t="n">
        <v>0</v>
      </c>
      <c r="Q514" t="n">
        <v>0</v>
      </c>
      <c r="R514" s="2" t="inlineStr"/>
    </row>
    <row r="515" ht="15" customHeight="1">
      <c r="A515" t="inlineStr">
        <is>
          <t>A 35129-2025</t>
        </is>
      </c>
      <c r="B515" s="1" t="n">
        <v>45852.63224537037</v>
      </c>
      <c r="C515" s="1" t="n">
        <v>46097</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30135-2025</t>
        </is>
      </c>
      <c r="B516" s="1" t="n">
        <v>45826</v>
      </c>
      <c r="C516" s="1" t="n">
        <v>46097</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2714-2023</t>
        </is>
      </c>
      <c r="B517" s="1" t="n">
        <v>44944.54896990741</v>
      </c>
      <c r="C517" s="1" t="n">
        <v>46097</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12599-2025</t>
        </is>
      </c>
      <c r="B518" s="1" t="n">
        <v>45733.29546296296</v>
      </c>
      <c r="C518" s="1" t="n">
        <v>46097</v>
      </c>
      <c r="D518" t="inlineStr">
        <is>
          <t>GOTLANDS LÄN</t>
        </is>
      </c>
      <c r="E518" t="inlineStr">
        <is>
          <t>GOTLAND</t>
        </is>
      </c>
      <c r="G518" t="n">
        <v>4.7</v>
      </c>
      <c r="H518" t="n">
        <v>0</v>
      </c>
      <c r="I518" t="n">
        <v>0</v>
      </c>
      <c r="J518" t="n">
        <v>0</v>
      </c>
      <c r="K518" t="n">
        <v>0</v>
      </c>
      <c r="L518" t="n">
        <v>0</v>
      </c>
      <c r="M518" t="n">
        <v>0</v>
      </c>
      <c r="N518" t="n">
        <v>0</v>
      </c>
      <c r="O518" t="n">
        <v>0</v>
      </c>
      <c r="P518" t="n">
        <v>0</v>
      </c>
      <c r="Q518" t="n">
        <v>0</v>
      </c>
      <c r="R518" s="2" t="inlineStr"/>
    </row>
    <row r="519" ht="15" customHeight="1">
      <c r="A519" t="inlineStr">
        <is>
          <t>A 35141-2025</t>
        </is>
      </c>
      <c r="B519" s="1" t="n">
        <v>45852.65206018519</v>
      </c>
      <c r="C519" s="1" t="n">
        <v>46097</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35142-2025</t>
        </is>
      </c>
      <c r="B520" s="1" t="n">
        <v>45852.65532407408</v>
      </c>
      <c r="C520" s="1" t="n">
        <v>46097</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4421-2024</t>
        </is>
      </c>
      <c r="B521" s="1" t="n">
        <v>45327.45173611111</v>
      </c>
      <c r="C521" s="1" t="n">
        <v>46097</v>
      </c>
      <c r="D521" t="inlineStr">
        <is>
          <t>GOTLANDS LÄN</t>
        </is>
      </c>
      <c r="E521" t="inlineStr">
        <is>
          <t>GOTLAND</t>
        </is>
      </c>
      <c r="G521" t="n">
        <v>5.1</v>
      </c>
      <c r="H521" t="n">
        <v>0</v>
      </c>
      <c r="I521" t="n">
        <v>0</v>
      </c>
      <c r="J521" t="n">
        <v>0</v>
      </c>
      <c r="K521" t="n">
        <v>0</v>
      </c>
      <c r="L521" t="n">
        <v>0</v>
      </c>
      <c r="M521" t="n">
        <v>0</v>
      </c>
      <c r="N521" t="n">
        <v>0</v>
      </c>
      <c r="O521" t="n">
        <v>0</v>
      </c>
      <c r="P521" t="n">
        <v>0</v>
      </c>
      <c r="Q521" t="n">
        <v>0</v>
      </c>
      <c r="R521" s="2" t="inlineStr"/>
    </row>
    <row r="522" ht="15" customHeight="1">
      <c r="A522" t="inlineStr">
        <is>
          <t>A 51782-2023</t>
        </is>
      </c>
      <c r="B522" s="1" t="n">
        <v>45222.80952546297</v>
      </c>
      <c r="C522" s="1" t="n">
        <v>46097</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54268-2022</t>
        </is>
      </c>
      <c r="B523" s="1" t="n">
        <v>44882</v>
      </c>
      <c r="C523" s="1" t="n">
        <v>46097</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39819-2025</t>
        </is>
      </c>
      <c r="B524" s="1" t="n">
        <v>45891.53418981482</v>
      </c>
      <c r="C524" s="1" t="n">
        <v>46097</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39814-2025</t>
        </is>
      </c>
      <c r="B525" s="1" t="n">
        <v>45891.52694444444</v>
      </c>
      <c r="C525" s="1" t="n">
        <v>46097</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39849-2025</t>
        </is>
      </c>
      <c r="B526" s="1" t="n">
        <v>45891.58502314815</v>
      </c>
      <c r="C526" s="1" t="n">
        <v>46097</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57534-2022</t>
        </is>
      </c>
      <c r="B527" s="1" t="n">
        <v>44896</v>
      </c>
      <c r="C527" s="1" t="n">
        <v>46097</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39752-2025</t>
        </is>
      </c>
      <c r="B528" s="1" t="n">
        <v>45891</v>
      </c>
      <c r="C528" s="1" t="n">
        <v>46097</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39816-2025</t>
        </is>
      </c>
      <c r="B529" s="1" t="n">
        <v>45891</v>
      </c>
      <c r="C529" s="1" t="n">
        <v>46097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40103-2025</t>
        </is>
      </c>
      <c r="B530" s="1" t="n">
        <v>45894.4880324074</v>
      </c>
      <c r="C530" s="1" t="n">
        <v>46097</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40373-2025</t>
        </is>
      </c>
      <c r="B531" s="1" t="n">
        <v>45895.51821759259</v>
      </c>
      <c r="C531" s="1" t="n">
        <v>46097</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40499-2025</t>
        </is>
      </c>
      <c r="B532" s="1" t="n">
        <v>45896.32517361111</v>
      </c>
      <c r="C532" s="1" t="n">
        <v>46097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25866-2022</t>
        </is>
      </c>
      <c r="B533" s="1" t="n">
        <v>44733</v>
      </c>
      <c r="C533" s="1" t="n">
        <v>46097</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40372-2025</t>
        </is>
      </c>
      <c r="B534" s="1" t="n">
        <v>45895.5162037037</v>
      </c>
      <c r="C534" s="1" t="n">
        <v>46097</v>
      </c>
      <c r="D534" t="inlineStr">
        <is>
          <t>GOTLANDS LÄN</t>
        </is>
      </c>
      <c r="E534" t="inlineStr">
        <is>
          <t>GOTLAND</t>
        </is>
      </c>
      <c r="G534" t="n">
        <v>3.3</v>
      </c>
      <c r="H534" t="n">
        <v>0</v>
      </c>
      <c r="I534" t="n">
        <v>0</v>
      </c>
      <c r="J534" t="n">
        <v>0</v>
      </c>
      <c r="K534" t="n">
        <v>0</v>
      </c>
      <c r="L534" t="n">
        <v>0</v>
      </c>
      <c r="M534" t="n">
        <v>0</v>
      </c>
      <c r="N534" t="n">
        <v>0</v>
      </c>
      <c r="O534" t="n">
        <v>0</v>
      </c>
      <c r="P534" t="n">
        <v>0</v>
      </c>
      <c r="Q534" t="n">
        <v>0</v>
      </c>
      <c r="R534" s="2" t="inlineStr"/>
    </row>
    <row r="535" ht="15" customHeight="1">
      <c r="A535" t="inlineStr">
        <is>
          <t>A 43229-2023</t>
        </is>
      </c>
      <c r="B535" s="1" t="n">
        <v>45183.46704861111</v>
      </c>
      <c r="C535" s="1" t="n">
        <v>46097</v>
      </c>
      <c r="D535" t="inlineStr">
        <is>
          <t>GOTLANDS LÄN</t>
        </is>
      </c>
      <c r="E535" t="inlineStr">
        <is>
          <t>GOTLAND</t>
        </is>
      </c>
      <c r="G535" t="n">
        <v>7.1</v>
      </c>
      <c r="H535" t="n">
        <v>0</v>
      </c>
      <c r="I535" t="n">
        <v>0</v>
      </c>
      <c r="J535" t="n">
        <v>0</v>
      </c>
      <c r="K535" t="n">
        <v>0</v>
      </c>
      <c r="L535" t="n">
        <v>0</v>
      </c>
      <c r="M535" t="n">
        <v>0</v>
      </c>
      <c r="N535" t="n">
        <v>0</v>
      </c>
      <c r="O535" t="n">
        <v>0</v>
      </c>
      <c r="P535" t="n">
        <v>0</v>
      </c>
      <c r="Q535" t="n">
        <v>0</v>
      </c>
      <c r="R535" s="2" t="inlineStr"/>
    </row>
    <row r="536" ht="15" customHeight="1">
      <c r="A536" t="inlineStr">
        <is>
          <t>A 1175-2025</t>
        </is>
      </c>
      <c r="B536" s="1" t="n">
        <v>45667.34449074074</v>
      </c>
      <c r="C536" s="1" t="n">
        <v>46097</v>
      </c>
      <c r="D536" t="inlineStr">
        <is>
          <t>GOTLANDS LÄN</t>
        </is>
      </c>
      <c r="E536" t="inlineStr">
        <is>
          <t>GOTLAND</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6108-2025</t>
        </is>
      </c>
      <c r="B537" s="1" t="n">
        <v>45698.29880787037</v>
      </c>
      <c r="C537" s="1" t="n">
        <v>46097</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21142-2025</t>
        </is>
      </c>
      <c r="B538" s="1" t="n">
        <v>45779</v>
      </c>
      <c r="C538" s="1" t="n">
        <v>46097</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27095-2022</t>
        </is>
      </c>
      <c r="B539" s="1" t="n">
        <v>44741</v>
      </c>
      <c r="C539" s="1" t="n">
        <v>46097</v>
      </c>
      <c r="D539" t="inlineStr">
        <is>
          <t>GOTLANDS LÄN</t>
        </is>
      </c>
      <c r="E539" t="inlineStr">
        <is>
          <t>GOTLAND</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22899-2023</t>
        </is>
      </c>
      <c r="B540" s="1" t="n">
        <v>45072</v>
      </c>
      <c r="C540" s="1" t="n">
        <v>46097</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39278-2025</t>
        </is>
      </c>
      <c r="B541" s="1" t="n">
        <v>45889</v>
      </c>
      <c r="C541" s="1" t="n">
        <v>46097</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17343-2025</t>
        </is>
      </c>
      <c r="B542" s="1" t="n">
        <v>45756.6687037037</v>
      </c>
      <c r="C542" s="1" t="n">
        <v>46097</v>
      </c>
      <c r="D542" t="inlineStr">
        <is>
          <t>GOTLANDS LÄN</t>
        </is>
      </c>
      <c r="E542" t="inlineStr">
        <is>
          <t>GOTLAND</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18938-2025</t>
        </is>
      </c>
      <c r="B543" s="1" t="n">
        <v>45764.49172453704</v>
      </c>
      <c r="C543" s="1" t="n">
        <v>46097</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23978-2023</t>
        </is>
      </c>
      <c r="B544" s="1" t="n">
        <v>45078</v>
      </c>
      <c r="C544" s="1" t="n">
        <v>46097</v>
      </c>
      <c r="D544" t="inlineStr">
        <is>
          <t>GOTLANDS LÄN</t>
        </is>
      </c>
      <c r="E544" t="inlineStr">
        <is>
          <t>GOTLAND</t>
        </is>
      </c>
      <c r="F544" t="inlineStr">
        <is>
          <t>Naturvårdsverket</t>
        </is>
      </c>
      <c r="G544" t="n">
        <v>1.7</v>
      </c>
      <c r="H544" t="n">
        <v>0</v>
      </c>
      <c r="I544" t="n">
        <v>0</v>
      </c>
      <c r="J544" t="n">
        <v>0</v>
      </c>
      <c r="K544" t="n">
        <v>0</v>
      </c>
      <c r="L544" t="n">
        <v>0</v>
      </c>
      <c r="M544" t="n">
        <v>0</v>
      </c>
      <c r="N544" t="n">
        <v>0</v>
      </c>
      <c r="O544" t="n">
        <v>0</v>
      </c>
      <c r="P544" t="n">
        <v>0</v>
      </c>
      <c r="Q544" t="n">
        <v>0</v>
      </c>
      <c r="R544" s="2" t="inlineStr"/>
    </row>
    <row r="545" ht="15" customHeight="1">
      <c r="A545" t="inlineStr">
        <is>
          <t>A 30489-2025</t>
        </is>
      </c>
      <c r="B545" s="1" t="n">
        <v>45830</v>
      </c>
      <c r="C545" s="1" t="n">
        <v>46097</v>
      </c>
      <c r="D545" t="inlineStr">
        <is>
          <t>GOTLANDS LÄN</t>
        </is>
      </c>
      <c r="E545" t="inlineStr">
        <is>
          <t>GOTLAND</t>
        </is>
      </c>
      <c r="G545" t="n">
        <v>4.6</v>
      </c>
      <c r="H545" t="n">
        <v>0</v>
      </c>
      <c r="I545" t="n">
        <v>0</v>
      </c>
      <c r="J545" t="n">
        <v>0</v>
      </c>
      <c r="K545" t="n">
        <v>0</v>
      </c>
      <c r="L545" t="n">
        <v>0</v>
      </c>
      <c r="M545" t="n">
        <v>0</v>
      </c>
      <c r="N545" t="n">
        <v>0</v>
      </c>
      <c r="O545" t="n">
        <v>0</v>
      </c>
      <c r="P545" t="n">
        <v>0</v>
      </c>
      <c r="Q545" t="n">
        <v>0</v>
      </c>
      <c r="R545" s="2" t="inlineStr"/>
    </row>
    <row r="546" ht="15" customHeight="1">
      <c r="A546" t="inlineStr">
        <is>
          <t>A 34407-2023</t>
        </is>
      </c>
      <c r="B546" s="1" t="n">
        <v>45132</v>
      </c>
      <c r="C546" s="1" t="n">
        <v>46097</v>
      </c>
      <c r="D546" t="inlineStr">
        <is>
          <t>GOTLANDS LÄN</t>
        </is>
      </c>
      <c r="E546" t="inlineStr">
        <is>
          <t>GOTLAND</t>
        </is>
      </c>
      <c r="G546" t="n">
        <v>4.4</v>
      </c>
      <c r="H546" t="n">
        <v>0</v>
      </c>
      <c r="I546" t="n">
        <v>0</v>
      </c>
      <c r="J546" t="n">
        <v>0</v>
      </c>
      <c r="K546" t="n">
        <v>0</v>
      </c>
      <c r="L546" t="n">
        <v>0</v>
      </c>
      <c r="M546" t="n">
        <v>0</v>
      </c>
      <c r="N546" t="n">
        <v>0</v>
      </c>
      <c r="O546" t="n">
        <v>0</v>
      </c>
      <c r="P546" t="n">
        <v>0</v>
      </c>
      <c r="Q546" t="n">
        <v>0</v>
      </c>
      <c r="R546" s="2" t="inlineStr"/>
    </row>
    <row r="547" ht="15" customHeight="1">
      <c r="A547" t="inlineStr">
        <is>
          <t>A 11013-2024</t>
        </is>
      </c>
      <c r="B547" s="1" t="n">
        <v>45370</v>
      </c>
      <c r="C547" s="1" t="n">
        <v>46097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27694-2024</t>
        </is>
      </c>
      <c r="B548" s="1" t="n">
        <v>45475</v>
      </c>
      <c r="C548" s="1" t="n">
        <v>46097</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20307-2025</t>
        </is>
      </c>
      <c r="B549" s="1" t="n">
        <v>45774.95546296296</v>
      </c>
      <c r="C549" s="1" t="n">
        <v>46097</v>
      </c>
      <c r="D549" t="inlineStr">
        <is>
          <t>GOTLANDS LÄN</t>
        </is>
      </c>
      <c r="E549" t="inlineStr">
        <is>
          <t>GOTLAND</t>
        </is>
      </c>
      <c r="G549" t="n">
        <v>6.8</v>
      </c>
      <c r="H549" t="n">
        <v>0</v>
      </c>
      <c r="I549" t="n">
        <v>0</v>
      </c>
      <c r="J549" t="n">
        <v>0</v>
      </c>
      <c r="K549" t="n">
        <v>0</v>
      </c>
      <c r="L549" t="n">
        <v>0</v>
      </c>
      <c r="M549" t="n">
        <v>0</v>
      </c>
      <c r="N549" t="n">
        <v>0</v>
      </c>
      <c r="O549" t="n">
        <v>0</v>
      </c>
      <c r="P549" t="n">
        <v>0</v>
      </c>
      <c r="Q549" t="n">
        <v>0</v>
      </c>
      <c r="R549" s="2" t="inlineStr"/>
    </row>
    <row r="550" ht="15" customHeight="1">
      <c r="A550" t="inlineStr">
        <is>
          <t>A 41435-2025</t>
        </is>
      </c>
      <c r="B550" s="1" t="n">
        <v>45901.39974537037</v>
      </c>
      <c r="C550" s="1" t="n">
        <v>46097</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46097</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46097</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46097</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41551-2025</t>
        </is>
      </c>
      <c r="B554" s="1" t="n">
        <v>45901.58854166666</v>
      </c>
      <c r="C554" s="1" t="n">
        <v>46097</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44228-2022</t>
        </is>
      </c>
      <c r="B555" s="1" t="n">
        <v>44839.51599537037</v>
      </c>
      <c r="C555" s="1" t="n">
        <v>46097</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46097</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42608-2025</t>
        </is>
      </c>
      <c r="B557" s="1" t="n">
        <v>45905</v>
      </c>
      <c r="C557" s="1" t="n">
        <v>46097</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49884-2023</t>
        </is>
      </c>
      <c r="B558" s="1" t="n">
        <v>45213</v>
      </c>
      <c r="C558" s="1" t="n">
        <v>46097</v>
      </c>
      <c r="D558" t="inlineStr">
        <is>
          <t>GOTLANDS LÄN</t>
        </is>
      </c>
      <c r="E558" t="inlineStr">
        <is>
          <t>GOTLAND</t>
        </is>
      </c>
      <c r="G558" t="n">
        <v>8.9</v>
      </c>
      <c r="H558" t="n">
        <v>0</v>
      </c>
      <c r="I558" t="n">
        <v>0</v>
      </c>
      <c r="J558" t="n">
        <v>0</v>
      </c>
      <c r="K558" t="n">
        <v>0</v>
      </c>
      <c r="L558" t="n">
        <v>0</v>
      </c>
      <c r="M558" t="n">
        <v>0</v>
      </c>
      <c r="N558" t="n">
        <v>0</v>
      </c>
      <c r="O558" t="n">
        <v>0</v>
      </c>
      <c r="P558" t="n">
        <v>0</v>
      </c>
      <c r="Q558" t="n">
        <v>0</v>
      </c>
      <c r="R558" s="2" t="inlineStr"/>
    </row>
    <row r="559" ht="15" customHeight="1">
      <c r="A559" t="inlineStr">
        <is>
          <t>A 16373-2025</t>
        </is>
      </c>
      <c r="B559" s="1" t="n">
        <v>45751</v>
      </c>
      <c r="C559" s="1" t="n">
        <v>46097</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876-2024</t>
        </is>
      </c>
      <c r="B560" s="1" t="n">
        <v>45301</v>
      </c>
      <c r="C560" s="1" t="n">
        <v>46097</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46097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28425-2023</t>
        </is>
      </c>
      <c r="B562" s="1" t="n">
        <v>45102</v>
      </c>
      <c r="C562" s="1" t="n">
        <v>46097</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46097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10158-2025</t>
        </is>
      </c>
      <c r="B564" s="1" t="n">
        <v>45719</v>
      </c>
      <c r="C564" s="1" t="n">
        <v>46097</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43911-2025</t>
        </is>
      </c>
      <c r="B565" s="1" t="n">
        <v>45914.3881712963</v>
      </c>
      <c r="C565" s="1" t="n">
        <v>46097</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43200-2023</t>
        </is>
      </c>
      <c r="B566" s="1" t="n">
        <v>45183</v>
      </c>
      <c r="C566" s="1" t="n">
        <v>46097</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43223-2023</t>
        </is>
      </c>
      <c r="B567" s="1" t="n">
        <v>45183.45642361111</v>
      </c>
      <c r="C567" s="1" t="n">
        <v>46097</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44410-2025</t>
        </is>
      </c>
      <c r="B568" s="1" t="n">
        <v>45916.53699074074</v>
      </c>
      <c r="C568" s="1" t="n">
        <v>46097</v>
      </c>
      <c r="D568" t="inlineStr">
        <is>
          <t>GOTLANDS LÄN</t>
        </is>
      </c>
      <c r="E568" t="inlineStr">
        <is>
          <t>GOTLAND</t>
        </is>
      </c>
      <c r="G568" t="n">
        <v>2.3</v>
      </c>
      <c r="H568" t="n">
        <v>0</v>
      </c>
      <c r="I568" t="n">
        <v>0</v>
      </c>
      <c r="J568" t="n">
        <v>0</v>
      </c>
      <c r="K568" t="n">
        <v>0</v>
      </c>
      <c r="L568" t="n">
        <v>0</v>
      </c>
      <c r="M568" t="n">
        <v>0</v>
      </c>
      <c r="N568" t="n">
        <v>0</v>
      </c>
      <c r="O568" t="n">
        <v>0</v>
      </c>
      <c r="P568" t="n">
        <v>0</v>
      </c>
      <c r="Q568" t="n">
        <v>0</v>
      </c>
      <c r="R568" s="2" t="inlineStr"/>
    </row>
    <row r="569" ht="15" customHeight="1">
      <c r="A569" t="inlineStr">
        <is>
          <t>A 43951-2025</t>
        </is>
      </c>
      <c r="B569" s="1" t="n">
        <v>45915.38119212963</v>
      </c>
      <c r="C569" s="1" t="n">
        <v>46097</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44405-2025</t>
        </is>
      </c>
      <c r="B570" s="1" t="n">
        <v>45916.52405092592</v>
      </c>
      <c r="C570" s="1" t="n">
        <v>46097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12327-2025</t>
        </is>
      </c>
      <c r="B571" s="1" t="n">
        <v>45730</v>
      </c>
      <c r="C571" s="1" t="n">
        <v>46097</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3431-2025</t>
        </is>
      </c>
      <c r="B572" s="1" t="n">
        <v>45680.42935185185</v>
      </c>
      <c r="C572" s="1" t="n">
        <v>46097</v>
      </c>
      <c r="D572" t="inlineStr">
        <is>
          <t>GOTLANDS LÄN</t>
        </is>
      </c>
      <c r="E572" t="inlineStr">
        <is>
          <t>GOTLAND</t>
        </is>
      </c>
      <c r="G572" t="n">
        <v>4.8</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46097</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46836-2025</t>
        </is>
      </c>
      <c r="B574" s="1" t="n">
        <v>45928.31511574074</v>
      </c>
      <c r="C574" s="1" t="n">
        <v>46097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47637-2025</t>
        </is>
      </c>
      <c r="B575" s="1" t="n">
        <v>45931.49753472222</v>
      </c>
      <c r="C575" s="1" t="n">
        <v>46097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46097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46097</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47578-2025</t>
        </is>
      </c>
      <c r="B578" s="1" t="n">
        <v>45931</v>
      </c>
      <c r="C578" s="1" t="n">
        <v>46097</v>
      </c>
      <c r="D578" t="inlineStr">
        <is>
          <t>GOTLANDS LÄN</t>
        </is>
      </c>
      <c r="E578" t="inlineStr">
        <is>
          <t>GOTLAND</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46097</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46097</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49690-2025</t>
        </is>
      </c>
      <c r="B581" s="1" t="n">
        <v>45939.66730324074</v>
      </c>
      <c r="C581" s="1" t="n">
        <v>46097</v>
      </c>
      <c r="D581" t="inlineStr">
        <is>
          <t>GOTLANDS LÄN</t>
        </is>
      </c>
      <c r="E581" t="inlineStr">
        <is>
          <t>GOTLAND</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33011-2025</t>
        </is>
      </c>
      <c r="B582" s="1" t="n">
        <v>45840</v>
      </c>
      <c r="C582" s="1" t="n">
        <v>46097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50421-2025</t>
        </is>
      </c>
      <c r="B583" s="1" t="n">
        <v>45944.66049768519</v>
      </c>
      <c r="C583" s="1" t="n">
        <v>46097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50431-2025</t>
        </is>
      </c>
      <c r="B584" s="1" t="n">
        <v>45944.68453703704</v>
      </c>
      <c r="C584" s="1" t="n">
        <v>46097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50928-2025</t>
        </is>
      </c>
      <c r="B585" s="1" t="n">
        <v>45946.67896990741</v>
      </c>
      <c r="C585" s="1" t="n">
        <v>46097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51262-2025</t>
        </is>
      </c>
      <c r="B586" s="1" t="n">
        <v>45949.49872685185</v>
      </c>
      <c r="C586" s="1" t="n">
        <v>46097</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46097</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46097</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53569-2025</t>
        </is>
      </c>
      <c r="B589" s="1" t="n">
        <v>45960.41155092593</v>
      </c>
      <c r="C589" s="1" t="n">
        <v>46097</v>
      </c>
      <c r="D589" t="inlineStr">
        <is>
          <t>GOTLANDS LÄN</t>
        </is>
      </c>
      <c r="E589" t="inlineStr">
        <is>
          <t>GOTLAND</t>
        </is>
      </c>
      <c r="F589" t="inlineStr">
        <is>
          <t>Övriga Aktiebolag</t>
        </is>
      </c>
      <c r="G589" t="n">
        <v>11.3</v>
      </c>
      <c r="H589" t="n">
        <v>0</v>
      </c>
      <c r="I589" t="n">
        <v>0</v>
      </c>
      <c r="J589" t="n">
        <v>0</v>
      </c>
      <c r="K589" t="n">
        <v>0</v>
      </c>
      <c r="L589" t="n">
        <v>0</v>
      </c>
      <c r="M589" t="n">
        <v>0</v>
      </c>
      <c r="N589" t="n">
        <v>0</v>
      </c>
      <c r="O589" t="n">
        <v>0</v>
      </c>
      <c r="P589" t="n">
        <v>0</v>
      </c>
      <c r="Q589" t="n">
        <v>0</v>
      </c>
      <c r="R589" s="2" t="inlineStr"/>
    </row>
    <row r="590" ht="15" customHeight="1">
      <c r="A590" t="inlineStr">
        <is>
          <t>A 53577-2025</t>
        </is>
      </c>
      <c r="B590" s="1" t="n">
        <v>45960.42224537037</v>
      </c>
      <c r="C590" s="1" t="n">
        <v>46097</v>
      </c>
      <c r="D590" t="inlineStr">
        <is>
          <t>GOTLANDS LÄN</t>
        </is>
      </c>
      <c r="E590" t="inlineStr">
        <is>
          <t>GOTLAND</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56799-2025</t>
        </is>
      </c>
      <c r="B591" s="1" t="n">
        <v>45978.43392361111</v>
      </c>
      <c r="C591" s="1" t="n">
        <v>46097</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56688-2025</t>
        </is>
      </c>
      <c r="B592" s="1" t="n">
        <v>45975.84331018518</v>
      </c>
      <c r="C592" s="1" t="n">
        <v>46097</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59197-2025</t>
        </is>
      </c>
      <c r="B593" s="1" t="n">
        <v>45988.59846064815</v>
      </c>
      <c r="C593" s="1" t="n">
        <v>46097</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46097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62066-2025</t>
        </is>
      </c>
      <c r="B595" s="1" t="n">
        <v>46006.34738425926</v>
      </c>
      <c r="C595" s="1" t="n">
        <v>46097</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62103-2025</t>
        </is>
      </c>
      <c r="B596" s="1" t="n">
        <v>46006</v>
      </c>
      <c r="C596" s="1" t="n">
        <v>46097</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47147-2025</t>
        </is>
      </c>
      <c r="B597" s="1" t="n">
        <v>45929</v>
      </c>
      <c r="C597" s="1" t="n">
        <v>46097</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63002-2025</t>
        </is>
      </c>
      <c r="B598" s="1" t="n">
        <v>46009.56564814815</v>
      </c>
      <c r="C598" s="1" t="n">
        <v>46097</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6218-2026</t>
        </is>
      </c>
      <c r="B599" s="1" t="n">
        <v>46055.42859953704</v>
      </c>
      <c r="C599" s="1" t="n">
        <v>46097</v>
      </c>
      <c r="D599" t="inlineStr">
        <is>
          <t>GOTLANDS LÄN</t>
        </is>
      </c>
      <c r="E599" t="inlineStr">
        <is>
          <t>GOTLAND</t>
        </is>
      </c>
      <c r="G599" t="n">
        <v>4.3</v>
      </c>
      <c r="H599" t="n">
        <v>0</v>
      </c>
      <c r="I599" t="n">
        <v>0</v>
      </c>
      <c r="J599" t="n">
        <v>0</v>
      </c>
      <c r="K599" t="n">
        <v>0</v>
      </c>
      <c r="L599" t="n">
        <v>0</v>
      </c>
      <c r="M599" t="n">
        <v>0</v>
      </c>
      <c r="N599" t="n">
        <v>0</v>
      </c>
      <c r="O599" t="n">
        <v>0</v>
      </c>
      <c r="P599" t="n">
        <v>0</v>
      </c>
      <c r="Q599" t="n">
        <v>0</v>
      </c>
      <c r="R599" s="2" t="inlineStr"/>
    </row>
    <row r="600" ht="15" customHeight="1">
      <c r="A600" t="inlineStr">
        <is>
          <t>A 54584-2025</t>
        </is>
      </c>
      <c r="B600" s="1" t="n">
        <v>45965.71788194445</v>
      </c>
      <c r="C600" s="1" t="n">
        <v>46097</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6207-2026</t>
        </is>
      </c>
      <c r="B601" s="1" t="n">
        <v>46055.42083333333</v>
      </c>
      <c r="C601" s="1" t="n">
        <v>46097</v>
      </c>
      <c r="D601" t="inlineStr">
        <is>
          <t>GOTLANDS LÄN</t>
        </is>
      </c>
      <c r="E601" t="inlineStr">
        <is>
          <t>GOTLAND</t>
        </is>
      </c>
      <c r="G601" t="n">
        <v>7.6</v>
      </c>
      <c r="H601" t="n">
        <v>0</v>
      </c>
      <c r="I601" t="n">
        <v>0</v>
      </c>
      <c r="J601" t="n">
        <v>0</v>
      </c>
      <c r="K601" t="n">
        <v>0</v>
      </c>
      <c r="L601" t="n">
        <v>0</v>
      </c>
      <c r="M601" t="n">
        <v>0</v>
      </c>
      <c r="N601" t="n">
        <v>0</v>
      </c>
      <c r="O601" t="n">
        <v>0</v>
      </c>
      <c r="P601" t="n">
        <v>0</v>
      </c>
      <c r="Q601" t="n">
        <v>0</v>
      </c>
      <c r="R601" s="2" t="inlineStr"/>
    </row>
    <row r="602" ht="15" customHeight="1">
      <c r="A602" t="inlineStr">
        <is>
          <t>A 6960-2026</t>
        </is>
      </c>
      <c r="B602" s="1" t="n">
        <v>46057.58105324074</v>
      </c>
      <c r="C602" s="1" t="n">
        <v>46097</v>
      </c>
      <c r="D602" t="inlineStr">
        <is>
          <t>GOTLANDS LÄN</t>
        </is>
      </c>
      <c r="E602" t="inlineStr">
        <is>
          <t>GOTLAND</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6959-2026</t>
        </is>
      </c>
      <c r="B603" s="1" t="n">
        <v>46057.580625</v>
      </c>
      <c r="C603" s="1" t="n">
        <v>46097</v>
      </c>
      <c r="D603" t="inlineStr">
        <is>
          <t>GOTLANDS LÄN</t>
        </is>
      </c>
      <c r="E603" t="inlineStr">
        <is>
          <t>GOTLAND</t>
        </is>
      </c>
      <c r="F603" t="inlineStr">
        <is>
          <t>Kyrkan</t>
        </is>
      </c>
      <c r="G603" t="n">
        <v>1.2</v>
      </c>
      <c r="H603" t="n">
        <v>0</v>
      </c>
      <c r="I603" t="n">
        <v>0</v>
      </c>
      <c r="J603" t="n">
        <v>0</v>
      </c>
      <c r="K603" t="n">
        <v>0</v>
      </c>
      <c r="L603" t="n">
        <v>0</v>
      </c>
      <c r="M603" t="n">
        <v>0</v>
      </c>
      <c r="N603" t="n">
        <v>0</v>
      </c>
      <c r="O603" t="n">
        <v>0</v>
      </c>
      <c r="P603" t="n">
        <v>0</v>
      </c>
      <c r="Q603" t="n">
        <v>0</v>
      </c>
      <c r="R603" s="2" t="inlineStr"/>
    </row>
    <row r="604" ht="15" customHeight="1">
      <c r="A604" t="inlineStr">
        <is>
          <t>A 38649-2025</t>
        </is>
      </c>
      <c r="B604" s="1" t="n">
        <v>45884</v>
      </c>
      <c r="C604" s="1" t="n">
        <v>46097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61078-2025</t>
        </is>
      </c>
      <c r="B605" s="1" t="n">
        <v>46000</v>
      </c>
      <c r="C605" s="1" t="n">
        <v>46097</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7625-2026</t>
        </is>
      </c>
      <c r="B606" s="1" t="n">
        <v>46062.35135416667</v>
      </c>
      <c r="C606" s="1" t="n">
        <v>46097</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7627-2026</t>
        </is>
      </c>
      <c r="B607" s="1" t="n">
        <v>46062.35465277778</v>
      </c>
      <c r="C607" s="1" t="n">
        <v>46097</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36-2026</t>
        </is>
      </c>
      <c r="B608" s="1" t="n">
        <v>46024.38886574074</v>
      </c>
      <c r="C608" s="1" t="n">
        <v>46097</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62674-2025</t>
        </is>
      </c>
      <c r="B609" s="1" t="n">
        <v>46008</v>
      </c>
      <c r="C609" s="1" t="n">
        <v>46097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9543-2026</t>
        </is>
      </c>
      <c r="B610" s="1" t="n">
        <v>46071.62486111111</v>
      </c>
      <c r="C610" s="1" t="n">
        <v>46097</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9521-2026</t>
        </is>
      </c>
      <c r="B611" s="1" t="n">
        <v>46071.59969907408</v>
      </c>
      <c r="C611" s="1" t="n">
        <v>46097</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9524-2026</t>
        </is>
      </c>
      <c r="B612" s="1" t="n">
        <v>46071.60108796296</v>
      </c>
      <c r="C612" s="1" t="n">
        <v>46097</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9518-2026</t>
        </is>
      </c>
      <c r="B613" s="1" t="n">
        <v>46071.59653935185</v>
      </c>
      <c r="C613" s="1" t="n">
        <v>46097</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9519-2026</t>
        </is>
      </c>
      <c r="B614" s="1" t="n">
        <v>46071.59820601852</v>
      </c>
      <c r="C614" s="1" t="n">
        <v>46097</v>
      </c>
      <c r="D614" t="inlineStr">
        <is>
          <t>GOTLANDS LÄN</t>
        </is>
      </c>
      <c r="E614" t="inlineStr">
        <is>
          <t>GOTLAND</t>
        </is>
      </c>
      <c r="G614" t="n">
        <v>4</v>
      </c>
      <c r="H614" t="n">
        <v>0</v>
      </c>
      <c r="I614" t="n">
        <v>0</v>
      </c>
      <c r="J614" t="n">
        <v>0</v>
      </c>
      <c r="K614" t="n">
        <v>0</v>
      </c>
      <c r="L614" t="n">
        <v>0</v>
      </c>
      <c r="M614" t="n">
        <v>0</v>
      </c>
      <c r="N614" t="n">
        <v>0</v>
      </c>
      <c r="O614" t="n">
        <v>0</v>
      </c>
      <c r="P614" t="n">
        <v>0</v>
      </c>
      <c r="Q614" t="n">
        <v>0</v>
      </c>
      <c r="R614" s="2" t="inlineStr"/>
    </row>
    <row r="615" ht="15" customHeight="1">
      <c r="A615" t="inlineStr">
        <is>
          <t>A 9540-2026</t>
        </is>
      </c>
      <c r="B615" s="1" t="n">
        <v>46071.61961805556</v>
      </c>
      <c r="C615" s="1" t="n">
        <v>46097</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9504-2026</t>
        </is>
      </c>
      <c r="B616" s="1" t="n">
        <v>46071.57730324074</v>
      </c>
      <c r="C616" s="1" t="n">
        <v>46097</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63105-2025</t>
        </is>
      </c>
      <c r="B617" s="1" t="n">
        <v>46009</v>
      </c>
      <c r="C617" s="1" t="n">
        <v>46097</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63152-2025</t>
        </is>
      </c>
      <c r="B618" s="1" t="n">
        <v>46010</v>
      </c>
      <c r="C618" s="1" t="n">
        <v>46097</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9901-2026</t>
        </is>
      </c>
      <c r="B619" s="1" t="n">
        <v>46073.40391203704</v>
      </c>
      <c r="C619" s="1" t="n">
        <v>46097</v>
      </c>
      <c r="D619" t="inlineStr">
        <is>
          <t>GOTLANDS LÄN</t>
        </is>
      </c>
      <c r="E619" t="inlineStr">
        <is>
          <t>GOTLAND</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1355-2026</t>
        </is>
      </c>
      <c r="B620" s="1" t="n">
        <v>46031.59909722222</v>
      </c>
      <c r="C620" s="1" t="n">
        <v>46097</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10486-2026</t>
        </is>
      </c>
      <c r="B621" s="1" t="n">
        <v>46077.51425925926</v>
      </c>
      <c r="C621" s="1" t="n">
        <v>46097</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62836-2025</t>
        </is>
      </c>
      <c r="B622" s="1" t="n">
        <v>46008</v>
      </c>
      <c r="C622" s="1" t="n">
        <v>46097</v>
      </c>
      <c r="D622" t="inlineStr">
        <is>
          <t>GOTLANDS LÄN</t>
        </is>
      </c>
      <c r="E622" t="inlineStr">
        <is>
          <t>GOTLAND</t>
        </is>
      </c>
      <c r="G622" t="n">
        <v>6.5</v>
      </c>
      <c r="H622" t="n">
        <v>0</v>
      </c>
      <c r="I622" t="n">
        <v>0</v>
      </c>
      <c r="J622" t="n">
        <v>0</v>
      </c>
      <c r="K622" t="n">
        <v>0</v>
      </c>
      <c r="L622" t="n">
        <v>0</v>
      </c>
      <c r="M622" t="n">
        <v>0</v>
      </c>
      <c r="N622" t="n">
        <v>0</v>
      </c>
      <c r="O622" t="n">
        <v>0</v>
      </c>
      <c r="P622" t="n">
        <v>0</v>
      </c>
      <c r="Q622" t="n">
        <v>0</v>
      </c>
      <c r="R622" s="2" t="inlineStr"/>
    </row>
    <row r="623" ht="15" customHeight="1">
      <c r="A623" t="inlineStr">
        <is>
          <t>A 10284-2026</t>
        </is>
      </c>
      <c r="B623" s="1" t="n">
        <v>46076</v>
      </c>
      <c r="C623" s="1" t="n">
        <v>46097</v>
      </c>
      <c r="D623" t="inlineStr">
        <is>
          <t>GOTLANDS LÄN</t>
        </is>
      </c>
      <c r="E623" t="inlineStr">
        <is>
          <t>GOTLAND</t>
        </is>
      </c>
      <c r="G623" t="n">
        <v>5.2</v>
      </c>
      <c r="H623" t="n">
        <v>0</v>
      </c>
      <c r="I623" t="n">
        <v>0</v>
      </c>
      <c r="J623" t="n">
        <v>0</v>
      </c>
      <c r="K623" t="n">
        <v>0</v>
      </c>
      <c r="L623" t="n">
        <v>0</v>
      </c>
      <c r="M623" t="n">
        <v>0</v>
      </c>
      <c r="N623" t="n">
        <v>0</v>
      </c>
      <c r="O623" t="n">
        <v>0</v>
      </c>
      <c r="P623" t="n">
        <v>0</v>
      </c>
      <c r="Q623" t="n">
        <v>0</v>
      </c>
      <c r="R623" s="2" t="inlineStr"/>
    </row>
    <row r="624" ht="15" customHeight="1">
      <c r="A624" t="inlineStr">
        <is>
          <t>A 1898-2026</t>
        </is>
      </c>
      <c r="B624" s="1" t="n">
        <v>46035.52024305556</v>
      </c>
      <c r="C624" s="1" t="n">
        <v>46097</v>
      </c>
      <c r="D624" t="inlineStr">
        <is>
          <t>GOTLANDS LÄN</t>
        </is>
      </c>
      <c r="E624" t="inlineStr">
        <is>
          <t>GOTLAND</t>
        </is>
      </c>
      <c r="G624" t="n">
        <v>3.7</v>
      </c>
      <c r="H624" t="n">
        <v>0</v>
      </c>
      <c r="I624" t="n">
        <v>0</v>
      </c>
      <c r="J624" t="n">
        <v>0</v>
      </c>
      <c r="K624" t="n">
        <v>0</v>
      </c>
      <c r="L624" t="n">
        <v>0</v>
      </c>
      <c r="M624" t="n">
        <v>0</v>
      </c>
      <c r="N624" t="n">
        <v>0</v>
      </c>
      <c r="O624" t="n">
        <v>0</v>
      </c>
      <c r="P624" t="n">
        <v>0</v>
      </c>
      <c r="Q624" t="n">
        <v>0</v>
      </c>
      <c r="R624" s="2" t="inlineStr"/>
    </row>
    <row r="625" ht="15" customHeight="1">
      <c r="A625" t="inlineStr">
        <is>
          <t>A 2415-2026</t>
        </is>
      </c>
      <c r="B625" s="1" t="n">
        <v>46036.76203703704</v>
      </c>
      <c r="C625" s="1" t="n">
        <v>46097</v>
      </c>
      <c r="D625" t="inlineStr">
        <is>
          <t>GOTLANDS LÄN</t>
        </is>
      </c>
      <c r="E625" t="inlineStr">
        <is>
          <t>GOTLAND</t>
        </is>
      </c>
      <c r="G625" t="n">
        <v>6.9</v>
      </c>
      <c r="H625" t="n">
        <v>0</v>
      </c>
      <c r="I625" t="n">
        <v>0</v>
      </c>
      <c r="J625" t="n">
        <v>0</v>
      </c>
      <c r="K625" t="n">
        <v>0</v>
      </c>
      <c r="L625" t="n">
        <v>0</v>
      </c>
      <c r="M625" t="n">
        <v>0</v>
      </c>
      <c r="N625" t="n">
        <v>0</v>
      </c>
      <c r="O625" t="n">
        <v>0</v>
      </c>
      <c r="P625" t="n">
        <v>0</v>
      </c>
      <c r="Q625" t="n">
        <v>0</v>
      </c>
      <c r="R625" s="2" t="inlineStr"/>
    </row>
    <row r="626" ht="15" customHeight="1">
      <c r="A626" t="inlineStr">
        <is>
          <t>A 11414-2026</t>
        </is>
      </c>
      <c r="B626" s="1" t="n">
        <v>46083.46336805556</v>
      </c>
      <c r="C626" s="1" t="n">
        <v>46097</v>
      </c>
      <c r="D626" t="inlineStr">
        <is>
          <t>GOTLANDS LÄN</t>
        </is>
      </c>
      <c r="E626" t="inlineStr">
        <is>
          <t>GOTLAND</t>
        </is>
      </c>
      <c r="G626" t="n">
        <v>4.9</v>
      </c>
      <c r="H626" t="n">
        <v>0</v>
      </c>
      <c r="I626" t="n">
        <v>0</v>
      </c>
      <c r="J626" t="n">
        <v>0</v>
      </c>
      <c r="K626" t="n">
        <v>0</v>
      </c>
      <c r="L626" t="n">
        <v>0</v>
      </c>
      <c r="M626" t="n">
        <v>0</v>
      </c>
      <c r="N626" t="n">
        <v>0</v>
      </c>
      <c r="O626" t="n">
        <v>0</v>
      </c>
      <c r="P626" t="n">
        <v>0</v>
      </c>
      <c r="Q626" t="n">
        <v>0</v>
      </c>
      <c r="R626" s="2" t="inlineStr"/>
    </row>
    <row r="627" ht="15" customHeight="1">
      <c r="A627" t="inlineStr">
        <is>
          <t>A 11424-2026</t>
        </is>
      </c>
      <c r="B627" s="1" t="n">
        <v>46083.48068287037</v>
      </c>
      <c r="C627" s="1" t="n">
        <v>46097</v>
      </c>
      <c r="D627" t="inlineStr">
        <is>
          <t>GOTLANDS LÄN</t>
        </is>
      </c>
      <c r="E627" t="inlineStr">
        <is>
          <t>GOTLAND</t>
        </is>
      </c>
      <c r="G627" t="n">
        <v>1.3</v>
      </c>
      <c r="H627" t="n">
        <v>0</v>
      </c>
      <c r="I627" t="n">
        <v>0</v>
      </c>
      <c r="J627" t="n">
        <v>0</v>
      </c>
      <c r="K627" t="n">
        <v>0</v>
      </c>
      <c r="L627" t="n">
        <v>0</v>
      </c>
      <c r="M627" t="n">
        <v>0</v>
      </c>
      <c r="N627" t="n">
        <v>0</v>
      </c>
      <c r="O627" t="n">
        <v>0</v>
      </c>
      <c r="P627" t="n">
        <v>0</v>
      </c>
      <c r="Q627" t="n">
        <v>0</v>
      </c>
      <c r="R627" s="2" t="inlineStr"/>
    </row>
    <row r="628" ht="15" customHeight="1">
      <c r="A628" t="inlineStr">
        <is>
          <t>A 53587-2025</t>
        </is>
      </c>
      <c r="B628" s="1" t="n">
        <v>45960.43681712963</v>
      </c>
      <c r="C628" s="1" t="n">
        <v>46097</v>
      </c>
      <c r="D628" t="inlineStr">
        <is>
          <t>GOTLANDS LÄN</t>
        </is>
      </c>
      <c r="E628" t="inlineStr">
        <is>
          <t>GOTLAND</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3067-2026</t>
        </is>
      </c>
      <c r="B629" s="1" t="n">
        <v>46040.59025462963</v>
      </c>
      <c r="C629" s="1" t="n">
        <v>46097</v>
      </c>
      <c r="D629" t="inlineStr">
        <is>
          <t>GOTLANDS LÄN</t>
        </is>
      </c>
      <c r="E629" t="inlineStr">
        <is>
          <t>GOTLAND</t>
        </is>
      </c>
      <c r="G629" t="n">
        <v>7.8</v>
      </c>
      <c r="H629" t="n">
        <v>0</v>
      </c>
      <c r="I629" t="n">
        <v>0</v>
      </c>
      <c r="J629" t="n">
        <v>0</v>
      </c>
      <c r="K629" t="n">
        <v>0</v>
      </c>
      <c r="L629" t="n">
        <v>0</v>
      </c>
      <c r="M629" t="n">
        <v>0</v>
      </c>
      <c r="N629" t="n">
        <v>0</v>
      </c>
      <c r="O629" t="n">
        <v>0</v>
      </c>
      <c r="P629" t="n">
        <v>0</v>
      </c>
      <c r="Q629" t="n">
        <v>0</v>
      </c>
      <c r="R629" s="2" t="inlineStr"/>
    </row>
    <row r="630" ht="15" customHeight="1">
      <c r="A630" t="inlineStr">
        <is>
          <t>A 53561-2025</t>
        </is>
      </c>
      <c r="B630" s="1" t="n">
        <v>45960.4059375</v>
      </c>
      <c r="C630" s="1" t="n">
        <v>46097</v>
      </c>
      <c r="D630" t="inlineStr">
        <is>
          <t>GOTLANDS LÄN</t>
        </is>
      </c>
      <c r="E630" t="inlineStr">
        <is>
          <t>GOTLAND</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3253-2026</t>
        </is>
      </c>
      <c r="B631" s="1" t="n">
        <v>46041.58902777778</v>
      </c>
      <c r="C631" s="1" t="n">
        <v>46097</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11982-2026</t>
        </is>
      </c>
      <c r="B632" s="1" t="n">
        <v>46085.6434375</v>
      </c>
      <c r="C632" s="1" t="n">
        <v>46097</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12135-2026</t>
        </is>
      </c>
      <c r="B633" s="1" t="n">
        <v>46086</v>
      </c>
      <c r="C633" s="1" t="n">
        <v>46097</v>
      </c>
      <c r="D633" t="inlineStr">
        <is>
          <t>GOTLANDS LÄN</t>
        </is>
      </c>
      <c r="E633" t="inlineStr">
        <is>
          <t>GOTLAND</t>
        </is>
      </c>
      <c r="G633" t="n">
        <v>3</v>
      </c>
      <c r="H633" t="n">
        <v>0</v>
      </c>
      <c r="I633" t="n">
        <v>0</v>
      </c>
      <c r="J633" t="n">
        <v>0</v>
      </c>
      <c r="K633" t="n">
        <v>0</v>
      </c>
      <c r="L633" t="n">
        <v>0</v>
      </c>
      <c r="M633" t="n">
        <v>0</v>
      </c>
      <c r="N633" t="n">
        <v>0</v>
      </c>
      <c r="O633" t="n">
        <v>0</v>
      </c>
      <c r="P633" t="n">
        <v>0</v>
      </c>
      <c r="Q633" t="n">
        <v>0</v>
      </c>
      <c r="R633" s="2" t="inlineStr"/>
    </row>
    <row r="634" ht="15" customHeight="1">
      <c r="A634" t="inlineStr">
        <is>
          <t>A 4646-2026</t>
        </is>
      </c>
      <c r="B634" s="1" t="n">
        <v>46048.40357638889</v>
      </c>
      <c r="C634" s="1" t="n">
        <v>46097</v>
      </c>
      <c r="D634" t="inlineStr">
        <is>
          <t>GOTLANDS LÄN</t>
        </is>
      </c>
      <c r="E634" t="inlineStr">
        <is>
          <t>GOTLAND</t>
        </is>
      </c>
      <c r="G634" t="n">
        <v>2.7</v>
      </c>
      <c r="H634" t="n">
        <v>0</v>
      </c>
      <c r="I634" t="n">
        <v>0</v>
      </c>
      <c r="J634" t="n">
        <v>0</v>
      </c>
      <c r="K634" t="n">
        <v>0</v>
      </c>
      <c r="L634" t="n">
        <v>0</v>
      </c>
      <c r="M634" t="n">
        <v>0</v>
      </c>
      <c r="N634" t="n">
        <v>0</v>
      </c>
      <c r="O634" t="n">
        <v>0</v>
      </c>
      <c r="P634" t="n">
        <v>0</v>
      </c>
      <c r="Q634" t="n">
        <v>0</v>
      </c>
      <c r="R634" s="2" t="inlineStr"/>
    </row>
    <row r="635" ht="15" customHeight="1">
      <c r="A635" t="inlineStr">
        <is>
          <t>A 63000-2025</t>
        </is>
      </c>
      <c r="B635" s="1" t="n">
        <v>46009</v>
      </c>
      <c r="C635" s="1" t="n">
        <v>46097</v>
      </c>
      <c r="D635" t="inlineStr">
        <is>
          <t>GOTLANDS LÄN</t>
        </is>
      </c>
      <c r="E635" t="inlineStr">
        <is>
          <t>GOTLAND</t>
        </is>
      </c>
      <c r="F635" t="inlineStr">
        <is>
          <t>Övriga Aktiebolag</t>
        </is>
      </c>
      <c r="G635" t="n">
        <v>1.7</v>
      </c>
      <c r="H635" t="n">
        <v>0</v>
      </c>
      <c r="I635" t="n">
        <v>0</v>
      </c>
      <c r="J635" t="n">
        <v>0</v>
      </c>
      <c r="K635" t="n">
        <v>0</v>
      </c>
      <c r="L635" t="n">
        <v>0</v>
      </c>
      <c r="M635" t="n">
        <v>0</v>
      </c>
      <c r="N635" t="n">
        <v>0</v>
      </c>
      <c r="O635" t="n">
        <v>0</v>
      </c>
      <c r="P635" t="n">
        <v>0</v>
      </c>
      <c r="Q635" t="n">
        <v>0</v>
      </c>
      <c r="R635" s="2" t="inlineStr"/>
    </row>
    <row r="636" ht="15" customHeight="1">
      <c r="A636" t="inlineStr">
        <is>
          <t>A 4662-2026</t>
        </is>
      </c>
      <c r="B636" s="1" t="n">
        <v>46048.40949074074</v>
      </c>
      <c r="C636" s="1" t="n">
        <v>46097</v>
      </c>
      <c r="D636" t="inlineStr">
        <is>
          <t>GOTLANDS LÄN</t>
        </is>
      </c>
      <c r="E636" t="inlineStr">
        <is>
          <t>GOTLAND</t>
        </is>
      </c>
      <c r="G636" t="n">
        <v>7.6</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46097</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4639-2026</t>
        </is>
      </c>
      <c r="B638" s="1" t="n">
        <v>46048.39880787037</v>
      </c>
      <c r="C638" s="1" t="n">
        <v>46097</v>
      </c>
      <c r="D638" t="inlineStr">
        <is>
          <t>GOTLANDS LÄN</t>
        </is>
      </c>
      <c r="E638" t="inlineStr">
        <is>
          <t>GOTLAND</t>
        </is>
      </c>
      <c r="G638" t="n">
        <v>0.8</v>
      </c>
      <c r="H638" t="n">
        <v>0</v>
      </c>
      <c r="I638" t="n">
        <v>0</v>
      </c>
      <c r="J638" t="n">
        <v>0</v>
      </c>
      <c r="K638" t="n">
        <v>0</v>
      </c>
      <c r="L638" t="n">
        <v>0</v>
      </c>
      <c r="M638" t="n">
        <v>0</v>
      </c>
      <c r="N638" t="n">
        <v>0</v>
      </c>
      <c r="O638" t="n">
        <v>0</v>
      </c>
      <c r="P638" t="n">
        <v>0</v>
      </c>
      <c r="Q638" t="n">
        <v>0</v>
      </c>
      <c r="R638" s="2" t="inlineStr"/>
    </row>
    <row r="639" ht="15" customHeight="1">
      <c r="A639" t="inlineStr">
        <is>
          <t>A 1839-2026</t>
        </is>
      </c>
      <c r="B639" s="1" t="n">
        <v>46035.3942824074</v>
      </c>
      <c r="C639" s="1" t="n">
        <v>46097</v>
      </c>
      <c r="D639" t="inlineStr">
        <is>
          <t>GOTLANDS LÄN</t>
        </is>
      </c>
      <c r="E639" t="inlineStr">
        <is>
          <t>GOTLAND</t>
        </is>
      </c>
      <c r="G639" t="n">
        <v>3.5</v>
      </c>
      <c r="H639" t="n">
        <v>0</v>
      </c>
      <c r="I639" t="n">
        <v>0</v>
      </c>
      <c r="J639" t="n">
        <v>0</v>
      </c>
      <c r="K639" t="n">
        <v>0</v>
      </c>
      <c r="L639" t="n">
        <v>0</v>
      </c>
      <c r="M639" t="n">
        <v>0</v>
      </c>
      <c r="N639" t="n">
        <v>0</v>
      </c>
      <c r="O639" t="n">
        <v>0</v>
      </c>
      <c r="P639" t="n">
        <v>0</v>
      </c>
      <c r="Q639" t="n">
        <v>0</v>
      </c>
      <c r="R639" s="2" t="inlineStr"/>
    </row>
    <row r="640" ht="15" customHeight="1">
      <c r="A640" t="inlineStr">
        <is>
          <t>A 60384-2025</t>
        </is>
      </c>
      <c r="B640" s="1" t="n">
        <v>45995</v>
      </c>
      <c r="C640" s="1" t="n">
        <v>46097</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4634-2026</t>
        </is>
      </c>
      <c r="B641" s="1" t="n">
        <v>46048.39304398148</v>
      </c>
      <c r="C641" s="1" t="n">
        <v>46097</v>
      </c>
      <c r="D641" t="inlineStr">
        <is>
          <t>GOTLANDS LÄN</t>
        </is>
      </c>
      <c r="E641" t="inlineStr">
        <is>
          <t>GOTLAND</t>
        </is>
      </c>
      <c r="G641" t="n">
        <v>7.8</v>
      </c>
      <c r="H641" t="n">
        <v>0</v>
      </c>
      <c r="I641" t="n">
        <v>0</v>
      </c>
      <c r="J641" t="n">
        <v>0</v>
      </c>
      <c r="K641" t="n">
        <v>0</v>
      </c>
      <c r="L641" t="n">
        <v>0</v>
      </c>
      <c r="M641" t="n">
        <v>0</v>
      </c>
      <c r="N641" t="n">
        <v>0</v>
      </c>
      <c r="O641" t="n">
        <v>0</v>
      </c>
      <c r="P641" t="n">
        <v>0</v>
      </c>
      <c r="Q641" t="n">
        <v>0</v>
      </c>
      <c r="R641" s="2" t="inlineStr"/>
    </row>
    <row r="642" ht="15" customHeight="1">
      <c r="A642" t="inlineStr">
        <is>
          <t>A 4670-2026</t>
        </is>
      </c>
      <c r="B642" s="1" t="n">
        <v>46048.41733796296</v>
      </c>
      <c r="C642" s="1" t="n">
        <v>46097</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62754-2025</t>
        </is>
      </c>
      <c r="B643" s="1" t="n">
        <v>46008</v>
      </c>
      <c r="C643" s="1" t="n">
        <v>46097</v>
      </c>
      <c r="D643" t="inlineStr">
        <is>
          <t>GOTLANDS LÄN</t>
        </is>
      </c>
      <c r="E643" t="inlineStr">
        <is>
          <t>GOTLAND</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5863-2026</t>
        </is>
      </c>
      <c r="B644" s="1" t="n">
        <v>46052.36697916667</v>
      </c>
      <c r="C644" s="1" t="n">
        <v>46097</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1854-2026</t>
        </is>
      </c>
      <c r="B645" s="1" t="n">
        <v>46035.4171875</v>
      </c>
      <c r="C645" s="1" t="n">
        <v>46097</v>
      </c>
      <c r="D645" t="inlineStr">
        <is>
          <t>GOTLANDS LÄN</t>
        </is>
      </c>
      <c r="E645" t="inlineStr">
        <is>
          <t>GOTLAND</t>
        </is>
      </c>
      <c r="G645" t="n">
        <v>3</v>
      </c>
      <c r="H645" t="n">
        <v>0</v>
      </c>
      <c r="I645" t="n">
        <v>0</v>
      </c>
      <c r="J645" t="n">
        <v>0</v>
      </c>
      <c r="K645" t="n">
        <v>0</v>
      </c>
      <c r="L645" t="n">
        <v>0</v>
      </c>
      <c r="M645" t="n">
        <v>0</v>
      </c>
      <c r="N645" t="n">
        <v>0</v>
      </c>
      <c r="O645" t="n">
        <v>0</v>
      </c>
      <c r="P645" t="n">
        <v>0</v>
      </c>
      <c r="Q645" t="n">
        <v>0</v>
      </c>
      <c r="R645" s="2" t="inlineStr"/>
    </row>
    <row r="646" ht="15" customHeight="1">
      <c r="A646" t="inlineStr">
        <is>
          <t>A 13482-2026</t>
        </is>
      </c>
      <c r="B646" s="1" t="n">
        <v>46094</v>
      </c>
      <c r="C646" s="1" t="n">
        <v>46097</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2135-2026</t>
        </is>
      </c>
      <c r="B647" s="1" t="n">
        <v>46036</v>
      </c>
      <c r="C647" s="1" t="n">
        <v>46097</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2134-2026</t>
        </is>
      </c>
      <c r="B648" s="1" t="n">
        <v>46036</v>
      </c>
      <c r="C648" s="1" t="n">
        <v>46097</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c r="A649" t="inlineStr">
        <is>
          <t>A 13486-2026</t>
        </is>
      </c>
      <c r="B649" s="1" t="n">
        <v>46094</v>
      </c>
      <c r="C649" s="1" t="n">
        <v>46097</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2026-03-16T11:20:03Z</dcterms:created>
  <dcterms:modified xmlns:dcterms="http://purl.org/dc/terms/" xmlns:xsi="http://www.w3.org/2001/XMLSchema-instance" xsi:type="dcterms:W3CDTF">2026-03-16T11:20:04Z</dcterms:modified>
</cp:coreProperties>
</file>