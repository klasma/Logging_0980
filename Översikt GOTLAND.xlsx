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46101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46101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46101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46101</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46101</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46101</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46101</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46101</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46101</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46101</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46101</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8645-2025</t>
        </is>
      </c>
      <c r="B21" s="1" t="n">
        <v>45712</v>
      </c>
      <c r="C21" s="1" t="n">
        <v>46101</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46101</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46101</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46101</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46101</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46101</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46101</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46101</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46101</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2222-2024</t>
        </is>
      </c>
      <c r="B31" s="1" t="n">
        <v>45309</v>
      </c>
      <c r="C31" s="1" t="n">
        <v>46101</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46101</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46101</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46101</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44204-2022</t>
        </is>
      </c>
      <c r="B35" s="1" t="n">
        <v>44839</v>
      </c>
      <c r="C35" s="1" t="n">
        <v>46101</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35141-2022</t>
        </is>
      </c>
      <c r="B36" s="1" t="n">
        <v>44797.53318287037</v>
      </c>
      <c r="C36" s="1" t="n">
        <v>46101</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46101</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46101</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46101</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46101</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46101</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46101</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46101</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46101</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46101</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46101</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45248-2024</t>
        </is>
      </c>
      <c r="B47" s="1" t="n">
        <v>45576</v>
      </c>
      <c r="C47" s="1" t="n">
        <v>46101</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14354-2024</t>
        </is>
      </c>
      <c r="B48" s="1" t="n">
        <v>45393</v>
      </c>
      <c r="C48" s="1" t="n">
        <v>46101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46101</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46101</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584-2023</t>
        </is>
      </c>
      <c r="B51" s="1" t="n">
        <v>44930</v>
      </c>
      <c r="C51" s="1" t="n">
        <v>46101</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46101</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46101</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46101</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46101</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46101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46101</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2649-2023</t>
        </is>
      </c>
      <c r="B60" s="1" t="n">
        <v>44943</v>
      </c>
      <c r="C60" s="1" t="n">
        <v>46101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46101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46101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46101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46101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46101</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46101</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46101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46101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46101</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46101</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54527-2023</t>
        </is>
      </c>
      <c r="B71" s="1" t="n">
        <v>45233</v>
      </c>
      <c r="C71" s="1" t="n">
        <v>46101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46101</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446-2023</t>
        </is>
      </c>
      <c r="B73" s="1" t="n">
        <v>44929</v>
      </c>
      <c r="C73" s="1" t="n">
        <v>46101</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46101</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7038-2023</t>
        </is>
      </c>
      <c r="B75" s="1" t="n">
        <v>44968</v>
      </c>
      <c r="C75" s="1" t="n">
        <v>46101</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57773-2025</t>
        </is>
      </c>
      <c r="B76" s="1" t="n">
        <v>45981.56349537037</v>
      </c>
      <c r="C76" s="1" t="n">
        <v>46101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16823-2024</t>
        </is>
      </c>
      <c r="B77" s="1" t="n">
        <v>45411</v>
      </c>
      <c r="C77" s="1" t="n">
        <v>46101</v>
      </c>
      <c r="D77" t="inlineStr">
        <is>
          <t>GOTLANDS LÄN</t>
        </is>
      </c>
      <c r="E77" t="inlineStr">
        <is>
          <t>GOTLAND</t>
        </is>
      </c>
      <c r="G77" t="n">
        <v>25.4</v>
      </c>
      <c r="H77" t="n">
        <v>5</v>
      </c>
      <c r="I77" t="n">
        <v>1</v>
      </c>
      <c r="J77" t="n">
        <v>2</v>
      </c>
      <c r="K77" t="n">
        <v>0</v>
      </c>
      <c r="L77" t="n">
        <v>0</v>
      </c>
      <c r="M77" t="n">
        <v>0</v>
      </c>
      <c r="N77" t="n">
        <v>0</v>
      </c>
      <c r="O77" t="n">
        <v>2</v>
      </c>
      <c r="P77" t="n">
        <v>0</v>
      </c>
      <c r="Q77" t="n">
        <v>6</v>
      </c>
      <c r="R77" s="2" t="inlineStr">
        <is>
          <t>Gulsparv
Jordtistel
Flugblomster
Brudsporre
Johannesnycklar
Sankt pers nycklar</t>
        </is>
      </c>
      <c r="S77">
        <f>HYPERLINK("https://klasma.github.io/Logging_0980/artfynd/A 16823-2024 artfynd.xlsx", "A 16823-2024")</f>
        <v/>
      </c>
      <c r="T77">
        <f>HYPERLINK("https://klasma.github.io/Logging_0980/kartor/A 16823-2024 karta.png", "A 16823-2024")</f>
        <v/>
      </c>
      <c r="V77">
        <f>HYPERLINK("https://klasma.github.io/Logging_0980/klagomål/A 16823-2024 FSC-klagomål.docx", "A 16823-2024")</f>
        <v/>
      </c>
      <c r="W77">
        <f>HYPERLINK("https://klasma.github.io/Logging_0980/klagomålsmail/A 16823-2024 FSC-klagomål mail.docx", "A 16823-2024")</f>
        <v/>
      </c>
      <c r="X77">
        <f>HYPERLINK("https://klasma.github.io/Logging_0980/tillsyn/A 16823-2024 tillsynsbegäran.docx", "A 16823-2024")</f>
        <v/>
      </c>
      <c r="Y77">
        <f>HYPERLINK("https://klasma.github.io/Logging_0980/tillsynsmail/A 16823-2024 tillsynsbegäran mail.docx", "A 16823-2024")</f>
        <v/>
      </c>
      <c r="Z77">
        <f>HYPERLINK("https://klasma.github.io/Logging_0980/fåglar/A 16823-2024 prioriterade fågelarter.docx", "A 16823-2024")</f>
        <v/>
      </c>
    </row>
    <row r="78" ht="15" customHeight="1">
      <c r="A78" t="inlineStr">
        <is>
          <t>A 66091-2021</t>
        </is>
      </c>
      <c r="B78" s="1" t="n">
        <v>44517</v>
      </c>
      <c r="C78" s="1" t="n">
        <v>46101</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46101</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42936-2024</t>
        </is>
      </c>
      <c r="B80" s="1" t="n">
        <v>45567</v>
      </c>
      <c r="C80" s="1" t="n">
        <v>46101</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39425-2023</t>
        </is>
      </c>
      <c r="B81" s="1" t="n">
        <v>45166</v>
      </c>
      <c r="C81" s="1" t="n">
        <v>46101</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52245-2025</t>
        </is>
      </c>
      <c r="B82" s="1" t="n">
        <v>45953.47115740741</v>
      </c>
      <c r="C82" s="1" t="n">
        <v>46101</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6839-2026</t>
        </is>
      </c>
      <c r="B83" s="1" t="n">
        <v>46057.41193287037</v>
      </c>
      <c r="C83" s="1" t="n">
        <v>46101</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2213-2023</t>
        </is>
      </c>
      <c r="B84" s="1" t="n">
        <v>44942</v>
      </c>
      <c r="C84" s="1" t="n">
        <v>46101</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46101</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46101</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46101</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46101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46101</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46101</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1971-2023</t>
        </is>
      </c>
      <c r="B91" s="1" t="n">
        <v>44939</v>
      </c>
      <c r="C91" s="1" t="n">
        <v>46101</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20833-2024</t>
        </is>
      </c>
      <c r="B92" s="1" t="n">
        <v>45439</v>
      </c>
      <c r="C92" s="1" t="n">
        <v>46101</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5904-2024</t>
        </is>
      </c>
      <c r="B93" s="1" t="n">
        <v>45335</v>
      </c>
      <c r="C93" s="1" t="n">
        <v>46101</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46101</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46101</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54523-2023</t>
        </is>
      </c>
      <c r="B96" s="1" t="n">
        <v>45233</v>
      </c>
      <c r="C96" s="1" t="n">
        <v>46101</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2485-2025</t>
        </is>
      </c>
      <c r="B97" s="1" t="n">
        <v>45673</v>
      </c>
      <c r="C97" s="1" t="n">
        <v>46101</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57463-2025</t>
        </is>
      </c>
      <c r="B98" s="1" t="n">
        <v>45980.54174768519</v>
      </c>
      <c r="C98" s="1" t="n">
        <v>46101</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52250-2025</t>
        </is>
      </c>
      <c r="B99" s="1" t="n">
        <v>45953.48998842593</v>
      </c>
      <c r="C99" s="1" t="n">
        <v>46101</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13203-2026</t>
        </is>
      </c>
      <c r="B100" s="1" t="n">
        <v>46093</v>
      </c>
      <c r="C100" s="1" t="n">
        <v>46101</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6836-2026</t>
        </is>
      </c>
      <c r="B101" s="1" t="n">
        <v>46057.40902777778</v>
      </c>
      <c r="C101" s="1" t="n">
        <v>46101</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8265-2023</t>
        </is>
      </c>
      <c r="B102" s="1" t="n">
        <v>44974</v>
      </c>
      <c r="C102" s="1" t="n">
        <v>46101</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46101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46101</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46101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46101</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20831-2024</t>
        </is>
      </c>
      <c r="B109" s="1" t="n">
        <v>45439</v>
      </c>
      <c r="C109" s="1" t="n">
        <v>46101</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43013-2022</t>
        </is>
      </c>
      <c r="B110" s="1" t="n">
        <v>44833</v>
      </c>
      <c r="C110" s="1" t="n">
        <v>46101</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46101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55334-2024</t>
        </is>
      </c>
      <c r="B112" s="1" t="n">
        <v>45621</v>
      </c>
      <c r="C112" s="1" t="n">
        <v>46101</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53552-2021</t>
        </is>
      </c>
      <c r="B113" s="1" t="n">
        <v>44468</v>
      </c>
      <c r="C113" s="1" t="n">
        <v>46101</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49709-2025</t>
        </is>
      </c>
      <c r="B114" s="1" t="n">
        <v>45939.68228009259</v>
      </c>
      <c r="C114" s="1" t="n">
        <v>46101</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17982-2023</t>
        </is>
      </c>
      <c r="B115" s="1" t="n">
        <v>45040</v>
      </c>
      <c r="C115" s="1" t="n">
        <v>46101</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46101</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46101</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12315-2024</t>
        </is>
      </c>
      <c r="B118" s="1" t="n">
        <v>45378.6434837963</v>
      </c>
      <c r="C118" s="1" t="n">
        <v>46101</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1520-2026</t>
        </is>
      </c>
      <c r="B119" s="1" t="n">
        <v>46034.35891203704</v>
      </c>
      <c r="C119" s="1" t="n">
        <v>46101</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73144-2021</t>
        </is>
      </c>
      <c r="B120" s="1" t="n">
        <v>44550</v>
      </c>
      <c r="C120" s="1" t="n">
        <v>46101</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30490-2025</t>
        </is>
      </c>
      <c r="B121" s="1" t="n">
        <v>45830</v>
      </c>
      <c r="C121" s="1" t="n">
        <v>46101</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46101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46101</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46101</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46101</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46101</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46101</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46101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46101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46101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63162-2025</t>
        </is>
      </c>
      <c r="B132" s="1" t="n">
        <v>46010.37629629629</v>
      </c>
      <c r="C132" s="1" t="n">
        <v>46101</v>
      </c>
      <c r="D132" t="inlineStr">
        <is>
          <t>GOTLANDS LÄN</t>
        </is>
      </c>
      <c r="E132" t="inlineStr">
        <is>
          <t>GOTLAND</t>
        </is>
      </c>
      <c r="G132" t="n">
        <v>3.5</v>
      </c>
      <c r="H132" t="n">
        <v>0</v>
      </c>
      <c r="I132" t="n">
        <v>1</v>
      </c>
      <c r="J132" t="n">
        <v>0</v>
      </c>
      <c r="K132" t="n">
        <v>1</v>
      </c>
      <c r="L132" t="n">
        <v>0</v>
      </c>
      <c r="M132" t="n">
        <v>0</v>
      </c>
      <c r="N132" t="n">
        <v>0</v>
      </c>
      <c r="O132" t="n">
        <v>1</v>
      </c>
      <c r="P132" t="n">
        <v>1</v>
      </c>
      <c r="Q132" t="n">
        <v>2</v>
      </c>
      <c r="R132" s="2" t="inlineStr">
        <is>
          <t>Gotlandsmåra
Myskmadra</t>
        </is>
      </c>
      <c r="S132">
        <f>HYPERLINK("https://klasma.github.io/Logging_0980/artfynd/A 63162-2025 artfynd.xlsx", "A 63162-2025")</f>
        <v/>
      </c>
      <c r="T132">
        <f>HYPERLINK("https://klasma.github.io/Logging_0980/kartor/A 63162-2025 karta.png", "A 63162-2025")</f>
        <v/>
      </c>
      <c r="V132">
        <f>HYPERLINK("https://klasma.github.io/Logging_0980/klagomål/A 63162-2025 FSC-klagomål.docx", "A 63162-2025")</f>
        <v/>
      </c>
      <c r="W132">
        <f>HYPERLINK("https://klasma.github.io/Logging_0980/klagomålsmail/A 63162-2025 FSC-klagomål mail.docx", "A 63162-2025")</f>
        <v/>
      </c>
      <c r="X132">
        <f>HYPERLINK("https://klasma.github.io/Logging_0980/tillsyn/A 63162-2025 tillsynsbegäran.docx", "A 63162-2025")</f>
        <v/>
      </c>
      <c r="Y132">
        <f>HYPERLINK("https://klasma.github.io/Logging_0980/tillsynsmail/A 63162-2025 tillsynsbegäran mail.docx", "A 63162-2025")</f>
        <v/>
      </c>
    </row>
    <row r="133" ht="15" customHeight="1">
      <c r="A133" t="inlineStr">
        <is>
          <t>A 43219-2023</t>
        </is>
      </c>
      <c r="B133" s="1" t="n">
        <v>45183</v>
      </c>
      <c r="C133" s="1" t="n">
        <v>46101</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10274-2026</t>
        </is>
      </c>
      <c r="B134" s="1" t="n">
        <v>46076.58261574074</v>
      </c>
      <c r="C134" s="1" t="n">
        <v>46101</v>
      </c>
      <c r="D134" t="inlineStr">
        <is>
          <t>GOTLANDS LÄN</t>
        </is>
      </c>
      <c r="E134" t="inlineStr">
        <is>
          <t>GOTLAND</t>
        </is>
      </c>
      <c r="G134" t="n">
        <v>9.800000000000001</v>
      </c>
      <c r="H134" t="n">
        <v>1</v>
      </c>
      <c r="I134" t="n">
        <v>0</v>
      </c>
      <c r="J134" t="n">
        <v>0</v>
      </c>
      <c r="K134" t="n">
        <v>1</v>
      </c>
      <c r="L134" t="n">
        <v>0</v>
      </c>
      <c r="M134" t="n">
        <v>0</v>
      </c>
      <c r="N134" t="n">
        <v>0</v>
      </c>
      <c r="O134" t="n">
        <v>1</v>
      </c>
      <c r="P134" t="n">
        <v>1</v>
      </c>
      <c r="Q134" t="n">
        <v>2</v>
      </c>
      <c r="R134" s="2" t="inlineStr">
        <is>
          <t>Gråfingerört
Alvarstånds</t>
        </is>
      </c>
      <c r="S134">
        <f>HYPERLINK("https://klasma.github.io/Logging_0980/artfynd/A 10274-2026 artfynd.xlsx", "A 10274-2026")</f>
        <v/>
      </c>
      <c r="T134">
        <f>HYPERLINK("https://klasma.github.io/Logging_0980/kartor/A 10274-2026 karta.png", "A 10274-2026")</f>
        <v/>
      </c>
      <c r="V134">
        <f>HYPERLINK("https://klasma.github.io/Logging_0980/klagomål/A 10274-2026 FSC-klagomål.docx", "A 10274-2026")</f>
        <v/>
      </c>
      <c r="W134">
        <f>HYPERLINK("https://klasma.github.io/Logging_0980/klagomålsmail/A 10274-2026 FSC-klagomål mail.docx", "A 10274-2026")</f>
        <v/>
      </c>
      <c r="X134">
        <f>HYPERLINK("https://klasma.github.io/Logging_0980/tillsyn/A 10274-2026 tillsynsbegäran.docx", "A 10274-2026")</f>
        <v/>
      </c>
      <c r="Y134">
        <f>HYPERLINK("https://klasma.github.io/Logging_0980/tillsynsmail/A 10274-2026 tillsynsbegäran mail.docx", "A 10274-2026")</f>
        <v/>
      </c>
    </row>
    <row r="135" ht="15" customHeight="1">
      <c r="A135" t="inlineStr">
        <is>
          <t>A 12914-2025</t>
        </is>
      </c>
      <c r="B135" s="1" t="n">
        <v>45733</v>
      </c>
      <c r="C135" s="1" t="n">
        <v>46101</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46101</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62760-2025</t>
        </is>
      </c>
      <c r="B137" s="1" t="n">
        <v>46008</v>
      </c>
      <c r="C137" s="1" t="n">
        <v>46101</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55649-2024</t>
        </is>
      </c>
      <c r="B138" s="1" t="n">
        <v>45622.63053240741</v>
      </c>
      <c r="C138" s="1" t="n">
        <v>46101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46101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46101</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46101</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46101</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46101</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46101</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46101</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46101</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46101</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46101</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61796-2022</t>
        </is>
      </c>
      <c r="B149" s="1" t="n">
        <v>44917</v>
      </c>
      <c r="C149" s="1" t="n">
        <v>46101</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15637-2024</t>
        </is>
      </c>
      <c r="B150" s="1" t="n">
        <v>45403.6684837963</v>
      </c>
      <c r="C150" s="1" t="n">
        <v>46101</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12924-2025</t>
        </is>
      </c>
      <c r="B151" s="1" t="n">
        <v>45734</v>
      </c>
      <c r="C151" s="1" t="n">
        <v>46101</v>
      </c>
      <c r="D151" t="inlineStr">
        <is>
          <t>GOTLANDS LÄN</t>
        </is>
      </c>
      <c r="E151" t="inlineStr">
        <is>
          <t>GOTLAND</t>
        </is>
      </c>
      <c r="G151" t="n">
        <v>11.7</v>
      </c>
      <c r="H151" t="n">
        <v>0</v>
      </c>
      <c r="I151" t="n">
        <v>0</v>
      </c>
      <c r="J151" t="n">
        <v>0</v>
      </c>
      <c r="K151" t="n">
        <v>1</v>
      </c>
      <c r="L151" t="n">
        <v>0</v>
      </c>
      <c r="M151" t="n">
        <v>0</v>
      </c>
      <c r="N151" t="n">
        <v>0</v>
      </c>
      <c r="O151" t="n">
        <v>1</v>
      </c>
      <c r="P151" t="n">
        <v>1</v>
      </c>
      <c r="Q151" t="n">
        <v>1</v>
      </c>
      <c r="R151" s="2" t="inlineStr">
        <is>
          <t>Gotlandsmåra</t>
        </is>
      </c>
      <c r="S151">
        <f>HYPERLINK("https://klasma.github.io/Logging_0980/artfynd/A 12924-2025 artfynd.xlsx", "A 12924-2025")</f>
        <v/>
      </c>
      <c r="T151">
        <f>HYPERLINK("https://klasma.github.io/Logging_0980/kartor/A 12924-2025 karta.png", "A 12924-2025")</f>
        <v/>
      </c>
      <c r="V151">
        <f>HYPERLINK("https://klasma.github.io/Logging_0980/klagomål/A 12924-2025 FSC-klagomål.docx", "A 12924-2025")</f>
        <v/>
      </c>
      <c r="W151">
        <f>HYPERLINK("https://klasma.github.io/Logging_0980/klagomålsmail/A 12924-2025 FSC-klagomål mail.docx", "A 12924-2025")</f>
        <v/>
      </c>
      <c r="X151">
        <f>HYPERLINK("https://klasma.github.io/Logging_0980/tillsyn/A 12924-2025 tillsynsbegäran.docx", "A 12924-2025")</f>
        <v/>
      </c>
      <c r="Y151">
        <f>HYPERLINK("https://klasma.github.io/Logging_0980/tillsynsmail/A 12924-2025 tillsynsbegäran mail.docx", "A 12924-2025")</f>
        <v/>
      </c>
    </row>
    <row r="152" ht="15" customHeight="1">
      <c r="A152" t="inlineStr">
        <is>
          <t>A 39812-2025</t>
        </is>
      </c>
      <c r="B152" s="1" t="n">
        <v>45891</v>
      </c>
      <c r="C152" s="1" t="n">
        <v>46101</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13939-2021</t>
        </is>
      </c>
      <c r="B153" s="1" t="n">
        <v>44277</v>
      </c>
      <c r="C153" s="1" t="n">
        <v>46101</v>
      </c>
      <c r="D153" t="inlineStr">
        <is>
          <t>GOTLANDS LÄN</t>
        </is>
      </c>
      <c r="E153" t="inlineStr">
        <is>
          <t>GOTLAND</t>
        </is>
      </c>
      <c r="G153" t="n">
        <v>1</v>
      </c>
      <c r="H153" t="n">
        <v>0</v>
      </c>
      <c r="I153" t="n">
        <v>0</v>
      </c>
      <c r="J153" t="n">
        <v>1</v>
      </c>
      <c r="K153" t="n">
        <v>0</v>
      </c>
      <c r="L153" t="n">
        <v>0</v>
      </c>
      <c r="M153" t="n">
        <v>0</v>
      </c>
      <c r="N153" t="n">
        <v>0</v>
      </c>
      <c r="O153" t="n">
        <v>1</v>
      </c>
      <c r="P153" t="n">
        <v>0</v>
      </c>
      <c r="Q153" t="n">
        <v>1</v>
      </c>
      <c r="R153" s="2" t="inlineStr">
        <is>
          <t>Axveronika</t>
        </is>
      </c>
      <c r="S153">
        <f>HYPERLINK("https://klasma.github.io/Logging_0980/artfynd/A 13939-2021 artfynd.xlsx", "A 13939-2021")</f>
        <v/>
      </c>
      <c r="T153">
        <f>HYPERLINK("https://klasma.github.io/Logging_0980/kartor/A 13939-2021 karta.png", "A 13939-2021")</f>
        <v/>
      </c>
      <c r="V153">
        <f>HYPERLINK("https://klasma.github.io/Logging_0980/klagomål/A 13939-2021 FSC-klagomål.docx", "A 13939-2021")</f>
        <v/>
      </c>
      <c r="W153">
        <f>HYPERLINK("https://klasma.github.io/Logging_0980/klagomålsmail/A 13939-2021 FSC-klagomål mail.docx", "A 13939-2021")</f>
        <v/>
      </c>
      <c r="X153">
        <f>HYPERLINK("https://klasma.github.io/Logging_0980/tillsyn/A 13939-2021 tillsynsbegäran.docx", "A 13939-2021")</f>
        <v/>
      </c>
      <c r="Y153">
        <f>HYPERLINK("https://klasma.github.io/Logging_0980/tillsynsmail/A 13939-2021 tillsynsbegäran mail.docx", "A 13939-2021")</f>
        <v/>
      </c>
    </row>
    <row r="154" ht="15" customHeight="1">
      <c r="A154" t="inlineStr">
        <is>
          <t>A 2476-2025</t>
        </is>
      </c>
      <c r="B154" s="1" t="n">
        <v>45673</v>
      </c>
      <c r="C154" s="1" t="n">
        <v>46101</v>
      </c>
      <c r="D154" t="inlineStr">
        <is>
          <t>GOTLANDS LÄN</t>
        </is>
      </c>
      <c r="E154" t="inlineStr">
        <is>
          <t>GOTLAND</t>
        </is>
      </c>
      <c r="G154" t="n">
        <v>3.1</v>
      </c>
      <c r="H154" t="n">
        <v>0</v>
      </c>
      <c r="I154" t="n">
        <v>1</v>
      </c>
      <c r="J154" t="n">
        <v>0</v>
      </c>
      <c r="K154" t="n">
        <v>0</v>
      </c>
      <c r="L154" t="n">
        <v>0</v>
      </c>
      <c r="M154" t="n">
        <v>0</v>
      </c>
      <c r="N154" t="n">
        <v>0</v>
      </c>
      <c r="O154" t="n">
        <v>0</v>
      </c>
      <c r="P154" t="n">
        <v>0</v>
      </c>
      <c r="Q154" t="n">
        <v>1</v>
      </c>
      <c r="R154" s="2" t="inlineStr">
        <is>
          <t>Kryddspindling</t>
        </is>
      </c>
      <c r="S154">
        <f>HYPERLINK("https://klasma.github.io/Logging_0980/artfynd/A 2476-2025 artfynd.xlsx", "A 2476-2025")</f>
        <v/>
      </c>
      <c r="T154">
        <f>HYPERLINK("https://klasma.github.io/Logging_0980/kartor/A 2476-2025 karta.png", "A 2476-2025")</f>
        <v/>
      </c>
      <c r="V154">
        <f>HYPERLINK("https://klasma.github.io/Logging_0980/klagomål/A 2476-2025 FSC-klagomål.docx", "A 2476-2025")</f>
        <v/>
      </c>
      <c r="W154">
        <f>HYPERLINK("https://klasma.github.io/Logging_0980/klagomålsmail/A 2476-2025 FSC-klagomål mail.docx", "A 2476-2025")</f>
        <v/>
      </c>
      <c r="X154">
        <f>HYPERLINK("https://klasma.github.io/Logging_0980/tillsyn/A 2476-2025 tillsynsbegäran.docx", "A 2476-2025")</f>
        <v/>
      </c>
      <c r="Y154">
        <f>HYPERLINK("https://klasma.github.io/Logging_0980/tillsynsmail/A 2476-2025 tillsynsbegäran mail.docx", "A 2476-2025")</f>
        <v/>
      </c>
    </row>
    <row r="155" ht="15" customHeight="1">
      <c r="A155" t="inlineStr">
        <is>
          <t>A 10995-2023</t>
        </is>
      </c>
      <c r="B155" s="1" t="n">
        <v>44986</v>
      </c>
      <c r="C155" s="1" t="n">
        <v>46101</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35467-2021</t>
        </is>
      </c>
      <c r="B156" s="1" t="n">
        <v>44385</v>
      </c>
      <c r="C156" s="1" t="n">
        <v>46101</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46101</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62552-2022</t>
        </is>
      </c>
      <c r="B158" s="1" t="n">
        <v>44924</v>
      </c>
      <c r="C158" s="1" t="n">
        <v>46101</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46101</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46101</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49726-2025</t>
        </is>
      </c>
      <c r="B161" s="1" t="n">
        <v>45939.84466435185</v>
      </c>
      <c r="C161" s="1" t="n">
        <v>46101</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447-2023</t>
        </is>
      </c>
      <c r="B162" s="1" t="n">
        <v>44929</v>
      </c>
      <c r="C162" s="1" t="n">
        <v>46101</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46101</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46101</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46101</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46101</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27589-2023</t>
        </is>
      </c>
      <c r="B167" s="1" t="n">
        <v>45097</v>
      </c>
      <c r="C167" s="1" t="n">
        <v>46101</v>
      </c>
      <c r="D167" t="inlineStr">
        <is>
          <t>GOTLANDS LÄN</t>
        </is>
      </c>
      <c r="E167" t="inlineStr">
        <is>
          <t>GOTLAND</t>
        </is>
      </c>
      <c r="G167" t="n">
        <v>5.4</v>
      </c>
      <c r="H167" t="n">
        <v>0</v>
      </c>
      <c r="I167" t="n">
        <v>0</v>
      </c>
      <c r="J167" t="n">
        <v>0</v>
      </c>
      <c r="K167" t="n">
        <v>0</v>
      </c>
      <c r="L167" t="n">
        <v>0</v>
      </c>
      <c r="M167" t="n">
        <v>1</v>
      </c>
      <c r="N167" t="n">
        <v>0</v>
      </c>
      <c r="O167" t="n">
        <v>1</v>
      </c>
      <c r="P167" t="n">
        <v>1</v>
      </c>
      <c r="Q167" t="n">
        <v>1</v>
      </c>
      <c r="R167" s="2" t="inlineStr">
        <is>
          <t>Skogsalm</t>
        </is>
      </c>
      <c r="S167">
        <f>HYPERLINK("https://klasma.github.io/Logging_0980/artfynd/A 27589-2023 artfynd.xlsx", "A 27589-2023")</f>
        <v/>
      </c>
      <c r="T167">
        <f>HYPERLINK("https://klasma.github.io/Logging_0980/kartor/A 27589-2023 karta.png", "A 27589-2023")</f>
        <v/>
      </c>
      <c r="V167">
        <f>HYPERLINK("https://klasma.github.io/Logging_0980/klagomål/A 27589-2023 FSC-klagomål.docx", "A 27589-2023")</f>
        <v/>
      </c>
      <c r="W167">
        <f>HYPERLINK("https://klasma.github.io/Logging_0980/klagomålsmail/A 27589-2023 FSC-klagomål mail.docx", "A 27589-2023")</f>
        <v/>
      </c>
      <c r="X167">
        <f>HYPERLINK("https://klasma.github.io/Logging_0980/tillsyn/A 27589-2023 tillsynsbegäran.docx", "A 27589-2023")</f>
        <v/>
      </c>
      <c r="Y167">
        <f>HYPERLINK("https://klasma.github.io/Logging_0980/tillsynsmail/A 27589-2023 tillsynsbegäran mail.docx", "A 27589-2023")</f>
        <v/>
      </c>
    </row>
    <row r="168" ht="15" customHeight="1">
      <c r="A168" t="inlineStr">
        <is>
          <t>A 1477-2024</t>
        </is>
      </c>
      <c r="B168" s="1" t="n">
        <v>45305.37987268518</v>
      </c>
      <c r="C168" s="1" t="n">
        <v>46101</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35574-2024</t>
        </is>
      </c>
      <c r="B169" s="1" t="n">
        <v>45531</v>
      </c>
      <c r="C169" s="1" t="n">
        <v>46101</v>
      </c>
      <c r="D169" t="inlineStr">
        <is>
          <t>GOTLANDS LÄN</t>
        </is>
      </c>
      <c r="E169" t="inlineStr">
        <is>
          <t>GOTLAND</t>
        </is>
      </c>
      <c r="G169" t="n">
        <v>5.7</v>
      </c>
      <c r="H169" t="n">
        <v>0</v>
      </c>
      <c r="I169" t="n">
        <v>1</v>
      </c>
      <c r="J169" t="n">
        <v>0</v>
      </c>
      <c r="K169" t="n">
        <v>0</v>
      </c>
      <c r="L169" t="n">
        <v>0</v>
      </c>
      <c r="M169" t="n">
        <v>0</v>
      </c>
      <c r="N169" t="n">
        <v>0</v>
      </c>
      <c r="O169" t="n">
        <v>0</v>
      </c>
      <c r="P169" t="n">
        <v>0</v>
      </c>
      <c r="Q169" t="n">
        <v>1</v>
      </c>
      <c r="R169" s="2" t="inlineStr">
        <is>
          <t>Murgröna</t>
        </is>
      </c>
      <c r="S169">
        <f>HYPERLINK("https://klasma.github.io/Logging_0980/artfynd/A 35574-2024 artfynd.xlsx", "A 35574-2024")</f>
        <v/>
      </c>
      <c r="T169">
        <f>HYPERLINK("https://klasma.github.io/Logging_0980/kartor/A 35574-2024 karta.png", "A 35574-2024")</f>
        <v/>
      </c>
      <c r="V169">
        <f>HYPERLINK("https://klasma.github.io/Logging_0980/klagomål/A 35574-2024 FSC-klagomål.docx", "A 35574-2024")</f>
        <v/>
      </c>
      <c r="W169">
        <f>HYPERLINK("https://klasma.github.io/Logging_0980/klagomålsmail/A 35574-2024 FSC-klagomål mail.docx", "A 35574-2024")</f>
        <v/>
      </c>
      <c r="X169">
        <f>HYPERLINK("https://klasma.github.io/Logging_0980/tillsyn/A 35574-2024 tillsynsbegäran.docx", "A 35574-2024")</f>
        <v/>
      </c>
      <c r="Y169">
        <f>HYPERLINK("https://klasma.github.io/Logging_0980/tillsynsmail/A 35574-2024 tillsynsbegäran mail.docx", "A 35574-2024")</f>
        <v/>
      </c>
    </row>
    <row r="170" ht="15" customHeight="1">
      <c r="A170" t="inlineStr">
        <is>
          <t>A 7637-2025</t>
        </is>
      </c>
      <c r="B170" s="1" t="n">
        <v>45705.77181712963</v>
      </c>
      <c r="C170" s="1" t="n">
        <v>46101</v>
      </c>
      <c r="D170" t="inlineStr">
        <is>
          <t>GOTLANDS LÄN</t>
        </is>
      </c>
      <c r="E170" t="inlineStr">
        <is>
          <t>GOTLAND</t>
        </is>
      </c>
      <c r="G170" t="n">
        <v>3.7</v>
      </c>
      <c r="H170" t="n">
        <v>0</v>
      </c>
      <c r="I170" t="n">
        <v>0</v>
      </c>
      <c r="J170" t="n">
        <v>0</v>
      </c>
      <c r="K170" t="n">
        <v>0</v>
      </c>
      <c r="L170" t="n">
        <v>0</v>
      </c>
      <c r="M170" t="n">
        <v>1</v>
      </c>
      <c r="N170" t="n">
        <v>0</v>
      </c>
      <c r="O170" t="n">
        <v>1</v>
      </c>
      <c r="P170" t="n">
        <v>1</v>
      </c>
      <c r="Q170" t="n">
        <v>1</v>
      </c>
      <c r="R170" s="2" t="inlineStr">
        <is>
          <t>Skogsalm</t>
        </is>
      </c>
      <c r="S170">
        <f>HYPERLINK("https://klasma.github.io/Logging_0980/artfynd/A 7637-2025 artfynd.xlsx", "A 7637-2025")</f>
        <v/>
      </c>
      <c r="T170">
        <f>HYPERLINK("https://klasma.github.io/Logging_0980/kartor/A 7637-2025 karta.png", "A 7637-2025")</f>
        <v/>
      </c>
      <c r="V170">
        <f>HYPERLINK("https://klasma.github.io/Logging_0980/klagomål/A 7637-2025 FSC-klagomål.docx", "A 7637-2025")</f>
        <v/>
      </c>
      <c r="W170">
        <f>HYPERLINK("https://klasma.github.io/Logging_0980/klagomålsmail/A 7637-2025 FSC-klagomål mail.docx", "A 7637-2025")</f>
        <v/>
      </c>
      <c r="X170">
        <f>HYPERLINK("https://klasma.github.io/Logging_0980/tillsyn/A 7637-2025 tillsynsbegäran.docx", "A 7637-2025")</f>
        <v/>
      </c>
      <c r="Y170">
        <f>HYPERLINK("https://klasma.github.io/Logging_0980/tillsynsmail/A 7637-2025 tillsynsbegäran mail.docx", "A 7637-2025")</f>
        <v/>
      </c>
    </row>
    <row r="171" ht="15" customHeight="1">
      <c r="A171" t="inlineStr">
        <is>
          <t>A 6303-2024</t>
        </is>
      </c>
      <c r="B171" s="1" t="n">
        <v>45338.35376157407</v>
      </c>
      <c r="C171" s="1" t="n">
        <v>46101</v>
      </c>
      <c r="D171" t="inlineStr">
        <is>
          <t>GOTLANDS LÄN</t>
        </is>
      </c>
      <c r="E171" t="inlineStr">
        <is>
          <t>GOTLAND</t>
        </is>
      </c>
      <c r="G171" t="n">
        <v>0.6</v>
      </c>
      <c r="H171" t="n">
        <v>0</v>
      </c>
      <c r="I171" t="n">
        <v>1</v>
      </c>
      <c r="J171" t="n">
        <v>0</v>
      </c>
      <c r="K171" t="n">
        <v>0</v>
      </c>
      <c r="L171" t="n">
        <v>0</v>
      </c>
      <c r="M171" t="n">
        <v>0</v>
      </c>
      <c r="N171" t="n">
        <v>0</v>
      </c>
      <c r="O171" t="n">
        <v>0</v>
      </c>
      <c r="P171" t="n">
        <v>0</v>
      </c>
      <c r="Q171" t="n">
        <v>1</v>
      </c>
      <c r="R171" s="2" t="inlineStr">
        <is>
          <t>Strävlosta</t>
        </is>
      </c>
      <c r="S171">
        <f>HYPERLINK("https://klasma.github.io/Logging_0980/artfynd/A 6303-2024 artfynd.xlsx", "A 6303-2024")</f>
        <v/>
      </c>
      <c r="T171">
        <f>HYPERLINK("https://klasma.github.io/Logging_0980/kartor/A 6303-2024 karta.png", "A 6303-2024")</f>
        <v/>
      </c>
      <c r="V171">
        <f>HYPERLINK("https://klasma.github.io/Logging_0980/klagomål/A 6303-2024 FSC-klagomål.docx", "A 6303-2024")</f>
        <v/>
      </c>
      <c r="W171">
        <f>HYPERLINK("https://klasma.github.io/Logging_0980/klagomålsmail/A 6303-2024 FSC-klagomål mail.docx", "A 6303-2024")</f>
        <v/>
      </c>
      <c r="X171">
        <f>HYPERLINK("https://klasma.github.io/Logging_0980/tillsyn/A 6303-2024 tillsynsbegäran.docx", "A 6303-2024")</f>
        <v/>
      </c>
      <c r="Y171">
        <f>HYPERLINK("https://klasma.github.io/Logging_0980/tillsynsmail/A 6303-2024 tillsynsbegäran mail.docx", "A 6303-2024")</f>
        <v/>
      </c>
    </row>
    <row r="172" ht="15" customHeight="1">
      <c r="A172" t="inlineStr">
        <is>
          <t>A 34809-2024</t>
        </is>
      </c>
      <c r="B172" s="1" t="n">
        <v>45526</v>
      </c>
      <c r="C172" s="1" t="n">
        <v>46101</v>
      </c>
      <c r="D172" t="inlineStr">
        <is>
          <t>GOTLANDS LÄN</t>
        </is>
      </c>
      <c r="E172" t="inlineStr">
        <is>
          <t>GOTLAND</t>
        </is>
      </c>
      <c r="G172" t="n">
        <v>9.9</v>
      </c>
      <c r="H172" t="n">
        <v>1</v>
      </c>
      <c r="I172" t="n">
        <v>0</v>
      </c>
      <c r="J172" t="n">
        <v>1</v>
      </c>
      <c r="K172" t="n">
        <v>0</v>
      </c>
      <c r="L172" t="n">
        <v>0</v>
      </c>
      <c r="M172" t="n">
        <v>0</v>
      </c>
      <c r="N172" t="n">
        <v>0</v>
      </c>
      <c r="O172" t="n">
        <v>1</v>
      </c>
      <c r="P172" t="n">
        <v>0</v>
      </c>
      <c r="Q172" t="n">
        <v>1</v>
      </c>
      <c r="R172" s="2" t="inlineStr">
        <is>
          <t>Brun ögontröst</t>
        </is>
      </c>
      <c r="S172">
        <f>HYPERLINK("https://klasma.github.io/Logging_0980/artfynd/A 34809-2024 artfynd.xlsx", "A 34809-2024")</f>
        <v/>
      </c>
      <c r="T172">
        <f>HYPERLINK("https://klasma.github.io/Logging_0980/kartor/A 34809-2024 karta.png", "A 34809-2024")</f>
        <v/>
      </c>
      <c r="V172">
        <f>HYPERLINK("https://klasma.github.io/Logging_0980/klagomål/A 34809-2024 FSC-klagomål.docx", "A 34809-2024")</f>
        <v/>
      </c>
      <c r="W172">
        <f>HYPERLINK("https://klasma.github.io/Logging_0980/klagomålsmail/A 34809-2024 FSC-klagomål mail.docx", "A 34809-2024")</f>
        <v/>
      </c>
      <c r="X172">
        <f>HYPERLINK("https://klasma.github.io/Logging_0980/tillsyn/A 34809-2024 tillsynsbegäran.docx", "A 34809-2024")</f>
        <v/>
      </c>
      <c r="Y172">
        <f>HYPERLINK("https://klasma.github.io/Logging_0980/tillsynsmail/A 34809-2024 tillsynsbegäran mail.docx", "A 34809-2024")</f>
        <v/>
      </c>
    </row>
    <row r="173" ht="15" customHeight="1">
      <c r="A173" t="inlineStr">
        <is>
          <t>A 63149-2025</t>
        </is>
      </c>
      <c r="B173" s="1" t="n">
        <v>46010</v>
      </c>
      <c r="C173" s="1" t="n">
        <v>46101</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61561-2023</t>
        </is>
      </c>
      <c r="B174" s="1" t="n">
        <v>45265</v>
      </c>
      <c r="C174" s="1" t="n">
        <v>46101</v>
      </c>
      <c r="D174" t="inlineStr">
        <is>
          <t>GOTLANDS LÄN</t>
        </is>
      </c>
      <c r="E174" t="inlineStr">
        <is>
          <t>GOTLAND</t>
        </is>
      </c>
      <c r="G174" t="n">
        <v>7.4</v>
      </c>
      <c r="H174" t="n">
        <v>0</v>
      </c>
      <c r="I174" t="n">
        <v>0</v>
      </c>
      <c r="J174" t="n">
        <v>1</v>
      </c>
      <c r="K174" t="n">
        <v>0</v>
      </c>
      <c r="L174" t="n">
        <v>0</v>
      </c>
      <c r="M174" t="n">
        <v>0</v>
      </c>
      <c r="N174" t="n">
        <v>0</v>
      </c>
      <c r="O174" t="n">
        <v>1</v>
      </c>
      <c r="P174" t="n">
        <v>0</v>
      </c>
      <c r="Q174" t="n">
        <v>1</v>
      </c>
      <c r="R174" s="2" t="inlineStr">
        <is>
          <t>Loppstarr</t>
        </is>
      </c>
      <c r="S174">
        <f>HYPERLINK("https://klasma.github.io/Logging_0980/artfynd/A 61561-2023 artfynd.xlsx", "A 61561-2023")</f>
        <v/>
      </c>
      <c r="T174">
        <f>HYPERLINK("https://klasma.github.io/Logging_0980/kartor/A 61561-2023 karta.png", "A 61561-2023")</f>
        <v/>
      </c>
      <c r="V174">
        <f>HYPERLINK("https://klasma.github.io/Logging_0980/klagomål/A 61561-2023 FSC-klagomål.docx", "A 61561-2023")</f>
        <v/>
      </c>
      <c r="W174">
        <f>HYPERLINK("https://klasma.github.io/Logging_0980/klagomålsmail/A 61561-2023 FSC-klagomål mail.docx", "A 61561-2023")</f>
        <v/>
      </c>
      <c r="X174">
        <f>HYPERLINK("https://klasma.github.io/Logging_0980/tillsyn/A 61561-2023 tillsynsbegäran.docx", "A 61561-2023")</f>
        <v/>
      </c>
      <c r="Y174">
        <f>HYPERLINK("https://klasma.github.io/Logging_0980/tillsynsmail/A 61561-2023 tillsynsbegäran mail.docx", "A 61561-2023")</f>
        <v/>
      </c>
    </row>
    <row r="175" ht="15" customHeight="1">
      <c r="A175" t="inlineStr">
        <is>
          <t>A 11708-2026</t>
        </is>
      </c>
      <c r="B175" s="1" t="n">
        <v>46084</v>
      </c>
      <c r="C175" s="1" t="n">
        <v>46101</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22782-2023</t>
        </is>
      </c>
      <c r="B176" s="1" t="n">
        <v>45072</v>
      </c>
      <c r="C176" s="1" t="n">
        <v>46101</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10013-2026</t>
        </is>
      </c>
      <c r="B177" s="1" t="n">
        <v>46073</v>
      </c>
      <c r="C177" s="1" t="n">
        <v>46101</v>
      </c>
      <c r="D177" t="inlineStr">
        <is>
          <t>GOTLANDS LÄN</t>
        </is>
      </c>
      <c r="E177" t="inlineStr">
        <is>
          <t>GOTLAND</t>
        </is>
      </c>
      <c r="G177" t="n">
        <v>10.5</v>
      </c>
      <c r="H177" t="n">
        <v>0</v>
      </c>
      <c r="I177" t="n">
        <v>0</v>
      </c>
      <c r="J177" t="n">
        <v>0</v>
      </c>
      <c r="K177" t="n">
        <v>1</v>
      </c>
      <c r="L177" t="n">
        <v>0</v>
      </c>
      <c r="M177" t="n">
        <v>0</v>
      </c>
      <c r="N177" t="n">
        <v>0</v>
      </c>
      <c r="O177" t="n">
        <v>1</v>
      </c>
      <c r="P177" t="n">
        <v>1</v>
      </c>
      <c r="Q177" t="n">
        <v>1</v>
      </c>
      <c r="R177" s="2" t="inlineStr">
        <is>
          <t>Skogskorn</t>
        </is>
      </c>
      <c r="S177">
        <f>HYPERLINK("https://klasma.github.io/Logging_0980/artfynd/A 10013-2026 artfynd.xlsx", "A 10013-2026")</f>
        <v/>
      </c>
      <c r="T177">
        <f>HYPERLINK("https://klasma.github.io/Logging_0980/kartor/A 10013-2026 karta.png", "A 10013-2026")</f>
        <v/>
      </c>
      <c r="V177">
        <f>HYPERLINK("https://klasma.github.io/Logging_0980/klagomål/A 10013-2026 FSC-klagomål.docx", "A 10013-2026")</f>
        <v/>
      </c>
      <c r="W177">
        <f>HYPERLINK("https://klasma.github.io/Logging_0980/klagomålsmail/A 10013-2026 FSC-klagomål mail.docx", "A 10013-2026")</f>
        <v/>
      </c>
      <c r="X177">
        <f>HYPERLINK("https://klasma.github.io/Logging_0980/tillsyn/A 10013-2026 tillsynsbegäran.docx", "A 10013-2026")</f>
        <v/>
      </c>
      <c r="Y177">
        <f>HYPERLINK("https://klasma.github.io/Logging_0980/tillsynsmail/A 10013-2026 tillsynsbegäran mail.docx", "A 10013-2026")</f>
        <v/>
      </c>
    </row>
    <row r="178" ht="15" customHeight="1">
      <c r="A178" t="inlineStr">
        <is>
          <t>A 22883-2024</t>
        </is>
      </c>
      <c r="B178" s="1" t="n">
        <v>45448.66368055555</v>
      </c>
      <c r="C178" s="1" t="n">
        <v>46101</v>
      </c>
      <c r="D178" t="inlineStr">
        <is>
          <t>GOTLANDS LÄN</t>
        </is>
      </c>
      <c r="E178" t="inlineStr">
        <is>
          <t>GOTLAND</t>
        </is>
      </c>
      <c r="G178" t="n">
        <v>0.5</v>
      </c>
      <c r="H178" t="n">
        <v>0</v>
      </c>
      <c r="I178" t="n">
        <v>0</v>
      </c>
      <c r="J178" t="n">
        <v>0</v>
      </c>
      <c r="K178" t="n">
        <v>1</v>
      </c>
      <c r="L178" t="n">
        <v>0</v>
      </c>
      <c r="M178" t="n">
        <v>0</v>
      </c>
      <c r="N178" t="n">
        <v>0</v>
      </c>
      <c r="O178" t="n">
        <v>1</v>
      </c>
      <c r="P178" t="n">
        <v>1</v>
      </c>
      <c r="Q178" t="n">
        <v>1</v>
      </c>
      <c r="R178" s="2" t="inlineStr">
        <is>
          <t>Gotlandsmåra</t>
        </is>
      </c>
      <c r="S178">
        <f>HYPERLINK("https://klasma.github.io/Logging_0980/artfynd/A 22883-2024 artfynd.xlsx", "A 22883-2024")</f>
        <v/>
      </c>
      <c r="T178">
        <f>HYPERLINK("https://klasma.github.io/Logging_0980/kartor/A 22883-2024 karta.png", "A 22883-2024")</f>
        <v/>
      </c>
      <c r="V178">
        <f>HYPERLINK("https://klasma.github.io/Logging_0980/klagomål/A 22883-2024 FSC-klagomål.docx", "A 22883-2024")</f>
        <v/>
      </c>
      <c r="W178">
        <f>HYPERLINK("https://klasma.github.io/Logging_0980/klagomålsmail/A 22883-2024 FSC-klagomål mail.docx", "A 22883-2024")</f>
        <v/>
      </c>
      <c r="X178">
        <f>HYPERLINK("https://klasma.github.io/Logging_0980/tillsyn/A 22883-2024 tillsynsbegäran.docx", "A 22883-2024")</f>
        <v/>
      </c>
      <c r="Y178">
        <f>HYPERLINK("https://klasma.github.io/Logging_0980/tillsynsmail/A 22883-2024 tillsynsbegäran mail.docx", "A 22883-2024")</f>
        <v/>
      </c>
    </row>
    <row r="179" ht="15" customHeight="1">
      <c r="A179" t="inlineStr">
        <is>
          <t>A 24245-2022</t>
        </is>
      </c>
      <c r="B179" s="1" t="n">
        <v>44725</v>
      </c>
      <c r="C179" s="1" t="n">
        <v>46101</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49847-2023</t>
        </is>
      </c>
      <c r="B180" s="1" t="n">
        <v>45212</v>
      </c>
      <c r="C180" s="1" t="n">
        <v>46101</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46527-2023</t>
        </is>
      </c>
      <c r="B181" s="1" t="n">
        <v>45197</v>
      </c>
      <c r="C181" s="1" t="n">
        <v>46101</v>
      </c>
      <c r="D181" t="inlineStr">
        <is>
          <t>GOTLANDS LÄN</t>
        </is>
      </c>
      <c r="E181" t="inlineStr">
        <is>
          <t>GOTLAND</t>
        </is>
      </c>
      <c r="G181" t="n">
        <v>0.9</v>
      </c>
      <c r="H181" t="n">
        <v>0</v>
      </c>
      <c r="I181" t="n">
        <v>0</v>
      </c>
      <c r="J181" t="n">
        <v>1</v>
      </c>
      <c r="K181" t="n">
        <v>0</v>
      </c>
      <c r="L181" t="n">
        <v>0</v>
      </c>
      <c r="M181" t="n">
        <v>0</v>
      </c>
      <c r="N181" t="n">
        <v>0</v>
      </c>
      <c r="O181" t="n">
        <v>1</v>
      </c>
      <c r="P181" t="n">
        <v>0</v>
      </c>
      <c r="Q181" t="n">
        <v>1</v>
      </c>
      <c r="R181" s="2" t="inlineStr">
        <is>
          <t>Guldgräshoppa</t>
        </is>
      </c>
      <c r="S181">
        <f>HYPERLINK("https://klasma.github.io/Logging_0980/artfynd/A 46527-2023 artfynd.xlsx", "A 46527-2023")</f>
        <v/>
      </c>
      <c r="T181">
        <f>HYPERLINK("https://klasma.github.io/Logging_0980/kartor/A 46527-2023 karta.png", "A 46527-2023")</f>
        <v/>
      </c>
      <c r="V181">
        <f>HYPERLINK("https://klasma.github.io/Logging_0980/klagomål/A 46527-2023 FSC-klagomål.docx", "A 46527-2023")</f>
        <v/>
      </c>
      <c r="W181">
        <f>HYPERLINK("https://klasma.github.io/Logging_0980/klagomålsmail/A 46527-2023 FSC-klagomål mail.docx", "A 46527-2023")</f>
        <v/>
      </c>
      <c r="X181">
        <f>HYPERLINK("https://klasma.github.io/Logging_0980/tillsyn/A 46527-2023 tillsynsbegäran.docx", "A 46527-2023")</f>
        <v/>
      </c>
      <c r="Y181">
        <f>HYPERLINK("https://klasma.github.io/Logging_0980/tillsynsmail/A 46527-2023 tillsynsbegäran mail.docx", "A 46527-2023")</f>
        <v/>
      </c>
    </row>
    <row r="182" ht="15" customHeight="1">
      <c r="A182" t="inlineStr">
        <is>
          <t>A 12324-2025</t>
        </is>
      </c>
      <c r="B182" s="1" t="n">
        <v>45730</v>
      </c>
      <c r="C182" s="1" t="n">
        <v>46101</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46101</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46101</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46101</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46101</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46101</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46101</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46101</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46101</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46101</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46101</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46101</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46101</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46101</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46101</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46101</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46101</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46101</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46101</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46101</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46101</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46101</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46101</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46101</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46101</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46101</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46101</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46101</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46101</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47369-2021</t>
        </is>
      </c>
      <c r="B213" s="1" t="n">
        <v>44447</v>
      </c>
      <c r="C213" s="1" t="n">
        <v>46101</v>
      </c>
      <c r="D213" t="inlineStr">
        <is>
          <t>GOTLANDS LÄN</t>
        </is>
      </c>
      <c r="E213" t="inlineStr">
        <is>
          <t>GOTLAND</t>
        </is>
      </c>
      <c r="G213" t="n">
        <v>2.3</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46101</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46101</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46101</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46101</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46101</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46101</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46101</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46101</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46101</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46101</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46101</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46101</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46101</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46101</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46101</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46101</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46101</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30282-2022</t>
        </is>
      </c>
      <c r="B232" s="1" t="n">
        <v>44760</v>
      </c>
      <c r="C232" s="1" t="n">
        <v>46101</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4868-2024</t>
        </is>
      </c>
      <c r="B233" s="1" t="n">
        <v>45329</v>
      </c>
      <c r="C233" s="1" t="n">
        <v>46101</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5751-2024</t>
        </is>
      </c>
      <c r="B234" s="1" t="n">
        <v>45335.32702546296</v>
      </c>
      <c r="C234" s="1" t="n">
        <v>46101</v>
      </c>
      <c r="D234" t="inlineStr">
        <is>
          <t>GOTLANDS LÄN</t>
        </is>
      </c>
      <c r="E234" t="inlineStr">
        <is>
          <t>GOTLAND</t>
        </is>
      </c>
      <c r="G234" t="n">
        <v>4.2</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46101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9613-2025</t>
        </is>
      </c>
      <c r="B236" s="1" t="n">
        <v>45715</v>
      </c>
      <c r="C236" s="1" t="n">
        <v>46101</v>
      </c>
      <c r="D236" t="inlineStr">
        <is>
          <t>GOTLANDS LÄN</t>
        </is>
      </c>
      <c r="E236" t="inlineStr">
        <is>
          <t>GOTLAND</t>
        </is>
      </c>
      <c r="G236" t="n">
        <v>3.5</v>
      </c>
      <c r="H236" t="n">
        <v>0</v>
      </c>
      <c r="I236" t="n">
        <v>0</v>
      </c>
      <c r="J236" t="n">
        <v>0</v>
      </c>
      <c r="K236" t="n">
        <v>0</v>
      </c>
      <c r="L236" t="n">
        <v>0</v>
      </c>
      <c r="M236" t="n">
        <v>0</v>
      </c>
      <c r="N236" t="n">
        <v>0</v>
      </c>
      <c r="O236" t="n">
        <v>0</v>
      </c>
      <c r="P236" t="n">
        <v>0</v>
      </c>
      <c r="Q236" t="n">
        <v>0</v>
      </c>
      <c r="R236" s="2" t="inlineStr"/>
    </row>
    <row r="237" ht="15" customHeight="1">
      <c r="A237" t="inlineStr">
        <is>
          <t>A 24966-2023</t>
        </is>
      </c>
      <c r="B237" s="1" t="n">
        <v>45085</v>
      </c>
      <c r="C237" s="1" t="n">
        <v>46101</v>
      </c>
      <c r="D237" t="inlineStr">
        <is>
          <t>GOTLANDS LÄN</t>
        </is>
      </c>
      <c r="E237" t="inlineStr">
        <is>
          <t>GOTLAND</t>
        </is>
      </c>
      <c r="G237" t="n">
        <v>7</v>
      </c>
      <c r="H237" t="n">
        <v>0</v>
      </c>
      <c r="I237" t="n">
        <v>0</v>
      </c>
      <c r="J237" t="n">
        <v>0</v>
      </c>
      <c r="K237" t="n">
        <v>0</v>
      </c>
      <c r="L237" t="n">
        <v>0</v>
      </c>
      <c r="M237" t="n">
        <v>0</v>
      </c>
      <c r="N237" t="n">
        <v>0</v>
      </c>
      <c r="O237" t="n">
        <v>0</v>
      </c>
      <c r="P237" t="n">
        <v>0</v>
      </c>
      <c r="Q237" t="n">
        <v>0</v>
      </c>
      <c r="R237" s="2" t="inlineStr"/>
    </row>
    <row r="238" ht="15" customHeight="1">
      <c r="A238" t="inlineStr">
        <is>
          <t>A 46189-2022</t>
        </is>
      </c>
      <c r="B238" s="1" t="n">
        <v>44847</v>
      </c>
      <c r="C238" s="1" t="n">
        <v>46101</v>
      </c>
      <c r="D238" t="inlineStr">
        <is>
          <t>GOTLANDS LÄN</t>
        </is>
      </c>
      <c r="E238" t="inlineStr">
        <is>
          <t>GOTLAND</t>
        </is>
      </c>
      <c r="G238" t="n">
        <v>0.4</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46101</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22031-2024</t>
        </is>
      </c>
      <c r="B240" s="1" t="n">
        <v>45443.60075231481</v>
      </c>
      <c r="C240" s="1" t="n">
        <v>46101</v>
      </c>
      <c r="D240" t="inlineStr">
        <is>
          <t>GOTLANDS LÄN</t>
        </is>
      </c>
      <c r="E240" t="inlineStr">
        <is>
          <t>GOTLAND</t>
        </is>
      </c>
      <c r="G240" t="n">
        <v>2.3</v>
      </c>
      <c r="H240" t="n">
        <v>0</v>
      </c>
      <c r="I240" t="n">
        <v>0</v>
      </c>
      <c r="J240" t="n">
        <v>0</v>
      </c>
      <c r="K240" t="n">
        <v>0</v>
      </c>
      <c r="L240" t="n">
        <v>0</v>
      </c>
      <c r="M240" t="n">
        <v>0</v>
      </c>
      <c r="N240" t="n">
        <v>0</v>
      </c>
      <c r="O240" t="n">
        <v>0</v>
      </c>
      <c r="P240" t="n">
        <v>0</v>
      </c>
      <c r="Q240" t="n">
        <v>0</v>
      </c>
      <c r="R240" s="2" t="inlineStr"/>
    </row>
    <row r="241" ht="15" customHeight="1">
      <c r="A241" t="inlineStr">
        <is>
          <t>A 49314-2024</t>
        </is>
      </c>
      <c r="B241" s="1" t="n">
        <v>45595.55893518519</v>
      </c>
      <c r="C241" s="1" t="n">
        <v>46101</v>
      </c>
      <c r="D241" t="inlineStr">
        <is>
          <t>GOTLANDS LÄN</t>
        </is>
      </c>
      <c r="E241" t="inlineStr">
        <is>
          <t>GOTLAND</t>
        </is>
      </c>
      <c r="G241" t="n">
        <v>1.1</v>
      </c>
      <c r="H241" t="n">
        <v>0</v>
      </c>
      <c r="I241" t="n">
        <v>0</v>
      </c>
      <c r="J241" t="n">
        <v>0</v>
      </c>
      <c r="K241" t="n">
        <v>0</v>
      </c>
      <c r="L241" t="n">
        <v>0</v>
      </c>
      <c r="M241" t="n">
        <v>0</v>
      </c>
      <c r="N241" t="n">
        <v>0</v>
      </c>
      <c r="O241" t="n">
        <v>0</v>
      </c>
      <c r="P241" t="n">
        <v>0</v>
      </c>
      <c r="Q241" t="n">
        <v>0</v>
      </c>
      <c r="R241" s="2" t="inlineStr"/>
    </row>
    <row r="242" ht="15" customHeight="1">
      <c r="A242" t="inlineStr">
        <is>
          <t>A 44919-2022</t>
        </is>
      </c>
      <c r="B242" s="1" t="n">
        <v>44841</v>
      </c>
      <c r="C242" s="1" t="n">
        <v>46101</v>
      </c>
      <c r="D242" t="inlineStr">
        <is>
          <t>GOTLANDS LÄN</t>
        </is>
      </c>
      <c r="E242" t="inlineStr">
        <is>
          <t>GOTLAND</t>
        </is>
      </c>
      <c r="G242" t="n">
        <v>2.2</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46101</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48503-2023</t>
        </is>
      </c>
      <c r="B244" s="1" t="n">
        <v>45207</v>
      </c>
      <c r="C244" s="1" t="n">
        <v>46101</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44649-2021</t>
        </is>
      </c>
      <c r="B245" s="1" t="n">
        <v>44437</v>
      </c>
      <c r="C245" s="1" t="n">
        <v>46101</v>
      </c>
      <c r="D245" t="inlineStr">
        <is>
          <t>GOTLANDS LÄN</t>
        </is>
      </c>
      <c r="E245" t="inlineStr">
        <is>
          <t>GOTLAND</t>
        </is>
      </c>
      <c r="G245" t="n">
        <v>8.1</v>
      </c>
      <c r="H245" t="n">
        <v>0</v>
      </c>
      <c r="I245" t="n">
        <v>0</v>
      </c>
      <c r="J245" t="n">
        <v>0</v>
      </c>
      <c r="K245" t="n">
        <v>0</v>
      </c>
      <c r="L245" t="n">
        <v>0</v>
      </c>
      <c r="M245" t="n">
        <v>0</v>
      </c>
      <c r="N245" t="n">
        <v>0</v>
      </c>
      <c r="O245" t="n">
        <v>0</v>
      </c>
      <c r="P245" t="n">
        <v>0</v>
      </c>
      <c r="Q245" t="n">
        <v>0</v>
      </c>
      <c r="R245" s="2" t="inlineStr"/>
    </row>
    <row r="246" ht="15" customHeight="1">
      <c r="A246" t="inlineStr">
        <is>
          <t>A 9947-2024</t>
        </is>
      </c>
      <c r="B246" s="1" t="n">
        <v>45363</v>
      </c>
      <c r="C246" s="1" t="n">
        <v>46101</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17682-2024</t>
        </is>
      </c>
      <c r="B247" s="1" t="n">
        <v>45418.42966435185</v>
      </c>
      <c r="C247" s="1" t="n">
        <v>46101</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57522-2022</t>
        </is>
      </c>
      <c r="B248" s="1" t="n">
        <v>44896</v>
      </c>
      <c r="C248" s="1" t="n">
        <v>46101</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27593-2023</t>
        </is>
      </c>
      <c r="B249" s="1" t="n">
        <v>45097</v>
      </c>
      <c r="C249" s="1" t="n">
        <v>46101</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24001-2021</t>
        </is>
      </c>
      <c r="B250" s="1" t="n">
        <v>44335</v>
      </c>
      <c r="C250" s="1" t="n">
        <v>46101</v>
      </c>
      <c r="D250" t="inlineStr">
        <is>
          <t>GOTLANDS LÄN</t>
        </is>
      </c>
      <c r="E250" t="inlineStr">
        <is>
          <t>GOTLAND</t>
        </is>
      </c>
      <c r="G250" t="n">
        <v>3.4</v>
      </c>
      <c r="H250" t="n">
        <v>0</v>
      </c>
      <c r="I250" t="n">
        <v>0</v>
      </c>
      <c r="J250" t="n">
        <v>0</v>
      </c>
      <c r="K250" t="n">
        <v>0</v>
      </c>
      <c r="L250" t="n">
        <v>0</v>
      </c>
      <c r="M250" t="n">
        <v>0</v>
      </c>
      <c r="N250" t="n">
        <v>0</v>
      </c>
      <c r="O250" t="n">
        <v>0</v>
      </c>
      <c r="P250" t="n">
        <v>0</v>
      </c>
      <c r="Q250" t="n">
        <v>0</v>
      </c>
      <c r="R250" s="2" t="inlineStr"/>
    </row>
    <row r="251" ht="15" customHeight="1">
      <c r="A251" t="inlineStr">
        <is>
          <t>A 1681-2023</t>
        </is>
      </c>
      <c r="B251" s="1" t="n">
        <v>44938.39715277778</v>
      </c>
      <c r="C251" s="1" t="n">
        <v>46101</v>
      </c>
      <c r="D251" t="inlineStr">
        <is>
          <t>GOTLANDS LÄN</t>
        </is>
      </c>
      <c r="E251" t="inlineStr">
        <is>
          <t>GOTLAND</t>
        </is>
      </c>
      <c r="G251" t="n">
        <v>2.4</v>
      </c>
      <c r="H251" t="n">
        <v>0</v>
      </c>
      <c r="I251" t="n">
        <v>0</v>
      </c>
      <c r="J251" t="n">
        <v>0</v>
      </c>
      <c r="K251" t="n">
        <v>0</v>
      </c>
      <c r="L251" t="n">
        <v>0</v>
      </c>
      <c r="M251" t="n">
        <v>0</v>
      </c>
      <c r="N251" t="n">
        <v>0</v>
      </c>
      <c r="O251" t="n">
        <v>0</v>
      </c>
      <c r="P251" t="n">
        <v>0</v>
      </c>
      <c r="Q251" t="n">
        <v>0</v>
      </c>
      <c r="R251" s="2" t="inlineStr"/>
    </row>
    <row r="252" ht="15" customHeight="1">
      <c r="A252" t="inlineStr">
        <is>
          <t>A 30365-2024</t>
        </is>
      </c>
      <c r="B252" s="1" t="n">
        <v>45491.3716087963</v>
      </c>
      <c r="C252" s="1" t="n">
        <v>46101</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1273-2023</t>
        </is>
      </c>
      <c r="B253" s="1" t="n">
        <v>44936</v>
      </c>
      <c r="C253" s="1" t="n">
        <v>46101</v>
      </c>
      <c r="D253" t="inlineStr">
        <is>
          <t>GOTLANDS LÄN</t>
        </is>
      </c>
      <c r="E253" t="inlineStr">
        <is>
          <t>GOTLAND</t>
        </is>
      </c>
      <c r="G253" t="n">
        <v>4.5</v>
      </c>
      <c r="H253" t="n">
        <v>0</v>
      </c>
      <c r="I253" t="n">
        <v>0</v>
      </c>
      <c r="J253" t="n">
        <v>0</v>
      </c>
      <c r="K253" t="n">
        <v>0</v>
      </c>
      <c r="L253" t="n">
        <v>0</v>
      </c>
      <c r="M253" t="n">
        <v>0</v>
      </c>
      <c r="N253" t="n">
        <v>0</v>
      </c>
      <c r="O253" t="n">
        <v>0</v>
      </c>
      <c r="P253" t="n">
        <v>0</v>
      </c>
      <c r="Q253" t="n">
        <v>0</v>
      </c>
      <c r="R253" s="2" t="inlineStr"/>
    </row>
    <row r="254" ht="15" customHeight="1">
      <c r="A254" t="inlineStr">
        <is>
          <t>A 58780-2024</t>
        </is>
      </c>
      <c r="B254" s="1" t="n">
        <v>45635.84113425926</v>
      </c>
      <c r="C254" s="1" t="n">
        <v>46101</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6099-2024</t>
        </is>
      </c>
      <c r="B255" s="1" t="n">
        <v>45337</v>
      </c>
      <c r="C255" s="1" t="n">
        <v>46101</v>
      </c>
      <c r="D255" t="inlineStr">
        <is>
          <t>GOTLANDS LÄN</t>
        </is>
      </c>
      <c r="E255" t="inlineStr">
        <is>
          <t>GOTLAND</t>
        </is>
      </c>
      <c r="G255" t="n">
        <v>12.6</v>
      </c>
      <c r="H255" t="n">
        <v>0</v>
      </c>
      <c r="I255" t="n">
        <v>0</v>
      </c>
      <c r="J255" t="n">
        <v>0</v>
      </c>
      <c r="K255" t="n">
        <v>0</v>
      </c>
      <c r="L255" t="n">
        <v>0</v>
      </c>
      <c r="M255" t="n">
        <v>0</v>
      </c>
      <c r="N255" t="n">
        <v>0</v>
      </c>
      <c r="O255" t="n">
        <v>0</v>
      </c>
      <c r="P255" t="n">
        <v>0</v>
      </c>
      <c r="Q255" t="n">
        <v>0</v>
      </c>
      <c r="R255" s="2" t="inlineStr"/>
    </row>
    <row r="256" ht="15" customHeight="1">
      <c r="A256" t="inlineStr">
        <is>
          <t>A 63516-2023</t>
        </is>
      </c>
      <c r="B256" s="1" t="n">
        <v>45274</v>
      </c>
      <c r="C256" s="1" t="n">
        <v>46101</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45692-2023</t>
        </is>
      </c>
      <c r="B257" s="1" t="n">
        <v>45195</v>
      </c>
      <c r="C257" s="1" t="n">
        <v>46101</v>
      </c>
      <c r="D257" t="inlineStr">
        <is>
          <t>GOTLANDS LÄN</t>
        </is>
      </c>
      <c r="E257" t="inlineStr">
        <is>
          <t>GOTLAND</t>
        </is>
      </c>
      <c r="G257" t="n">
        <v>5.3</v>
      </c>
      <c r="H257" t="n">
        <v>0</v>
      </c>
      <c r="I257" t="n">
        <v>0</v>
      </c>
      <c r="J257" t="n">
        <v>0</v>
      </c>
      <c r="K257" t="n">
        <v>0</v>
      </c>
      <c r="L257" t="n">
        <v>0</v>
      </c>
      <c r="M257" t="n">
        <v>0</v>
      </c>
      <c r="N257" t="n">
        <v>0</v>
      </c>
      <c r="O257" t="n">
        <v>0</v>
      </c>
      <c r="P257" t="n">
        <v>0</v>
      </c>
      <c r="Q257" t="n">
        <v>0</v>
      </c>
      <c r="R257" s="2" t="inlineStr"/>
    </row>
    <row r="258" ht="15" customHeight="1">
      <c r="A258" t="inlineStr">
        <is>
          <t>A 28285-2024</t>
        </is>
      </c>
      <c r="B258" s="1" t="n">
        <v>45477</v>
      </c>
      <c r="C258" s="1" t="n">
        <v>46101</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61100-2022</t>
        </is>
      </c>
      <c r="B259" s="1" t="n">
        <v>44915</v>
      </c>
      <c r="C259" s="1" t="n">
        <v>46101</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33876-2024</t>
        </is>
      </c>
      <c r="B260" s="1" t="n">
        <v>45521.87988425926</v>
      </c>
      <c r="C260" s="1" t="n">
        <v>46101</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61682-2024</t>
        </is>
      </c>
      <c r="B261" s="1" t="n">
        <v>45647.48824074074</v>
      </c>
      <c r="C261" s="1" t="n">
        <v>46101</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58388-2022</t>
        </is>
      </c>
      <c r="B262" s="1" t="n">
        <v>44894</v>
      </c>
      <c r="C262" s="1" t="n">
        <v>46101</v>
      </c>
      <c r="D262" t="inlineStr">
        <is>
          <t>GOTLANDS LÄN</t>
        </is>
      </c>
      <c r="E262" t="inlineStr">
        <is>
          <t>GOTLAND</t>
        </is>
      </c>
      <c r="F262" t="inlineStr">
        <is>
          <t>Övriga statliga verk och myndigheter</t>
        </is>
      </c>
      <c r="G262" t="n">
        <v>3.1</v>
      </c>
      <c r="H262" t="n">
        <v>0</v>
      </c>
      <c r="I262" t="n">
        <v>0</v>
      </c>
      <c r="J262" t="n">
        <v>0</v>
      </c>
      <c r="K262" t="n">
        <v>0</v>
      </c>
      <c r="L262" t="n">
        <v>0</v>
      </c>
      <c r="M262" t="n">
        <v>0</v>
      </c>
      <c r="N262" t="n">
        <v>0</v>
      </c>
      <c r="O262" t="n">
        <v>0</v>
      </c>
      <c r="P262" t="n">
        <v>0</v>
      </c>
      <c r="Q262" t="n">
        <v>0</v>
      </c>
      <c r="R262" s="2" t="inlineStr"/>
    </row>
    <row r="263" ht="15" customHeight="1">
      <c r="A263" t="inlineStr">
        <is>
          <t>A 17688-2024</t>
        </is>
      </c>
      <c r="B263" s="1" t="n">
        <v>45418.43575231481</v>
      </c>
      <c r="C263" s="1" t="n">
        <v>46101</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21792-2024</t>
        </is>
      </c>
      <c r="B264" s="1" t="n">
        <v>45442.64326388889</v>
      </c>
      <c r="C264" s="1" t="n">
        <v>46101</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7837-2024</t>
        </is>
      </c>
      <c r="B265" s="1" t="n">
        <v>45349.83787037037</v>
      </c>
      <c r="C265" s="1" t="n">
        <v>46101</v>
      </c>
      <c r="D265" t="inlineStr">
        <is>
          <t>GOTLANDS LÄN</t>
        </is>
      </c>
      <c r="E265" t="inlineStr">
        <is>
          <t>GOTLAND</t>
        </is>
      </c>
      <c r="G265" t="n">
        <v>5</v>
      </c>
      <c r="H265" t="n">
        <v>0</v>
      </c>
      <c r="I265" t="n">
        <v>0</v>
      </c>
      <c r="J265" t="n">
        <v>0</v>
      </c>
      <c r="K265" t="n">
        <v>0</v>
      </c>
      <c r="L265" t="n">
        <v>0</v>
      </c>
      <c r="M265" t="n">
        <v>0</v>
      </c>
      <c r="N265" t="n">
        <v>0</v>
      </c>
      <c r="O265" t="n">
        <v>0</v>
      </c>
      <c r="P265" t="n">
        <v>0</v>
      </c>
      <c r="Q265" t="n">
        <v>0</v>
      </c>
      <c r="R265" s="2" t="inlineStr"/>
    </row>
    <row r="266" ht="15" customHeight="1">
      <c r="A266" t="inlineStr">
        <is>
          <t>A 4568-2025</t>
        </is>
      </c>
      <c r="B266" s="1" t="n">
        <v>45687</v>
      </c>
      <c r="C266" s="1" t="n">
        <v>46101</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35512-2023</t>
        </is>
      </c>
      <c r="B267" s="1" t="n">
        <v>45147.25623842593</v>
      </c>
      <c r="C267" s="1" t="n">
        <v>46101</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5905-2024</t>
        </is>
      </c>
      <c r="B268" s="1" t="n">
        <v>45335.88993055555</v>
      </c>
      <c r="C268" s="1" t="n">
        <v>46101</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1291-2023</t>
        </is>
      </c>
      <c r="B269" s="1" t="n">
        <v>44936.47561342592</v>
      </c>
      <c r="C269" s="1" t="n">
        <v>46101</v>
      </c>
      <c r="D269" t="inlineStr">
        <is>
          <t>GOTLANDS LÄN</t>
        </is>
      </c>
      <c r="E269" t="inlineStr">
        <is>
          <t>GOTLAND</t>
        </is>
      </c>
      <c r="G269" t="n">
        <v>7.4</v>
      </c>
      <c r="H269" t="n">
        <v>0</v>
      </c>
      <c r="I269" t="n">
        <v>0</v>
      </c>
      <c r="J269" t="n">
        <v>0</v>
      </c>
      <c r="K269" t="n">
        <v>0</v>
      </c>
      <c r="L269" t="n">
        <v>0</v>
      </c>
      <c r="M269" t="n">
        <v>0</v>
      </c>
      <c r="N269" t="n">
        <v>0</v>
      </c>
      <c r="O269" t="n">
        <v>0</v>
      </c>
      <c r="P269" t="n">
        <v>0</v>
      </c>
      <c r="Q269" t="n">
        <v>0</v>
      </c>
      <c r="R269" s="2" t="inlineStr"/>
    </row>
    <row r="270" ht="15" customHeight="1">
      <c r="A270" t="inlineStr">
        <is>
          <t>A 57652-2023</t>
        </is>
      </c>
      <c r="B270" s="1" t="n">
        <v>45246</v>
      </c>
      <c r="C270" s="1" t="n">
        <v>46101</v>
      </c>
      <c r="D270" t="inlineStr">
        <is>
          <t>GOTLANDS LÄN</t>
        </is>
      </c>
      <c r="E270" t="inlineStr">
        <is>
          <t>GOTLAND</t>
        </is>
      </c>
      <c r="G270" t="n">
        <v>7.2</v>
      </c>
      <c r="H270" t="n">
        <v>0</v>
      </c>
      <c r="I270" t="n">
        <v>0</v>
      </c>
      <c r="J270" t="n">
        <v>0</v>
      </c>
      <c r="K270" t="n">
        <v>0</v>
      </c>
      <c r="L270" t="n">
        <v>0</v>
      </c>
      <c r="M270" t="n">
        <v>0</v>
      </c>
      <c r="N270" t="n">
        <v>0</v>
      </c>
      <c r="O270" t="n">
        <v>0</v>
      </c>
      <c r="P270" t="n">
        <v>0</v>
      </c>
      <c r="Q270" t="n">
        <v>0</v>
      </c>
      <c r="R270" s="2" t="inlineStr"/>
    </row>
    <row r="271" ht="15" customHeight="1">
      <c r="A271" t="inlineStr">
        <is>
          <t>A 45106-2024</t>
        </is>
      </c>
      <c r="B271" s="1" t="n">
        <v>45575</v>
      </c>
      <c r="C271" s="1" t="n">
        <v>46101</v>
      </c>
      <c r="D271" t="inlineStr">
        <is>
          <t>GOTLANDS LÄN</t>
        </is>
      </c>
      <c r="E271" t="inlineStr">
        <is>
          <t>GOTLAND</t>
        </is>
      </c>
      <c r="G271" t="n">
        <v>10</v>
      </c>
      <c r="H271" t="n">
        <v>0</v>
      </c>
      <c r="I271" t="n">
        <v>0</v>
      </c>
      <c r="J271" t="n">
        <v>0</v>
      </c>
      <c r="K271" t="n">
        <v>0</v>
      </c>
      <c r="L271" t="n">
        <v>0</v>
      </c>
      <c r="M271" t="n">
        <v>0</v>
      </c>
      <c r="N271" t="n">
        <v>0</v>
      </c>
      <c r="O271" t="n">
        <v>0</v>
      </c>
      <c r="P271" t="n">
        <v>0</v>
      </c>
      <c r="Q271" t="n">
        <v>0</v>
      </c>
      <c r="R271" s="2" t="inlineStr"/>
    </row>
    <row r="272" ht="15" customHeight="1">
      <c r="A272" t="inlineStr">
        <is>
          <t>A 45112-2024</t>
        </is>
      </c>
      <c r="B272" s="1" t="n">
        <v>45575</v>
      </c>
      <c r="C272" s="1" t="n">
        <v>46101</v>
      </c>
      <c r="D272" t="inlineStr">
        <is>
          <t>GOTLANDS LÄN</t>
        </is>
      </c>
      <c r="E272" t="inlineStr">
        <is>
          <t>GOTLAND</t>
        </is>
      </c>
      <c r="G272" t="n">
        <v>5.1</v>
      </c>
      <c r="H272" t="n">
        <v>0</v>
      </c>
      <c r="I272" t="n">
        <v>0</v>
      </c>
      <c r="J272" t="n">
        <v>0</v>
      </c>
      <c r="K272" t="n">
        <v>0</v>
      </c>
      <c r="L272" t="n">
        <v>0</v>
      </c>
      <c r="M272" t="n">
        <v>0</v>
      </c>
      <c r="N272" t="n">
        <v>0</v>
      </c>
      <c r="O272" t="n">
        <v>0</v>
      </c>
      <c r="P272" t="n">
        <v>0</v>
      </c>
      <c r="Q272" t="n">
        <v>0</v>
      </c>
      <c r="R272" s="2" t="inlineStr"/>
    </row>
    <row r="273" ht="15" customHeight="1">
      <c r="A273" t="inlineStr">
        <is>
          <t>A 2676-2023</t>
        </is>
      </c>
      <c r="B273" s="1" t="n">
        <v>44944</v>
      </c>
      <c r="C273" s="1" t="n">
        <v>46101</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49315-2024</t>
        </is>
      </c>
      <c r="B274" s="1" t="n">
        <v>45595</v>
      </c>
      <c r="C274" s="1" t="n">
        <v>46101</v>
      </c>
      <c r="D274" t="inlineStr">
        <is>
          <t>GOTLANDS LÄN</t>
        </is>
      </c>
      <c r="E274" t="inlineStr">
        <is>
          <t>GOTLAND</t>
        </is>
      </c>
      <c r="G274" t="n">
        <v>1.5</v>
      </c>
      <c r="H274" t="n">
        <v>0</v>
      </c>
      <c r="I274" t="n">
        <v>0</v>
      </c>
      <c r="J274" t="n">
        <v>0</v>
      </c>
      <c r="K274" t="n">
        <v>0</v>
      </c>
      <c r="L274" t="n">
        <v>0</v>
      </c>
      <c r="M274" t="n">
        <v>0</v>
      </c>
      <c r="N274" t="n">
        <v>0</v>
      </c>
      <c r="O274" t="n">
        <v>0</v>
      </c>
      <c r="P274" t="n">
        <v>0</v>
      </c>
      <c r="Q274" t="n">
        <v>0</v>
      </c>
      <c r="R274" s="2" t="inlineStr"/>
    </row>
    <row r="275" ht="15" customHeight="1">
      <c r="A275" t="inlineStr">
        <is>
          <t>A 35537-2025</t>
        </is>
      </c>
      <c r="B275" s="1" t="n">
        <v>45856</v>
      </c>
      <c r="C275" s="1" t="n">
        <v>46101</v>
      </c>
      <c r="D275" t="inlineStr">
        <is>
          <t>GOTLANDS LÄN</t>
        </is>
      </c>
      <c r="E275" t="inlineStr">
        <is>
          <t>GOTLAND</t>
        </is>
      </c>
      <c r="G275" t="n">
        <v>16.8</v>
      </c>
      <c r="H275" t="n">
        <v>0</v>
      </c>
      <c r="I275" t="n">
        <v>0</v>
      </c>
      <c r="J275" t="n">
        <v>0</v>
      </c>
      <c r="K275" t="n">
        <v>0</v>
      </c>
      <c r="L275" t="n">
        <v>0</v>
      </c>
      <c r="M275" t="n">
        <v>0</v>
      </c>
      <c r="N275" t="n">
        <v>0</v>
      </c>
      <c r="O275" t="n">
        <v>0</v>
      </c>
      <c r="P275" t="n">
        <v>0</v>
      </c>
      <c r="Q275" t="n">
        <v>0</v>
      </c>
      <c r="R275" s="2" t="inlineStr"/>
    </row>
    <row r="276" ht="15" customHeight="1">
      <c r="A276" t="inlineStr">
        <is>
          <t>A 3150-2025</t>
        </is>
      </c>
      <c r="B276" s="1" t="n">
        <v>45679.28974537037</v>
      </c>
      <c r="C276" s="1" t="n">
        <v>46101</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8484-2025</t>
        </is>
      </c>
      <c r="B277" s="1" t="n">
        <v>45709</v>
      </c>
      <c r="C277" s="1" t="n">
        <v>46101</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7635-2025</t>
        </is>
      </c>
      <c r="B278" s="1" t="n">
        <v>45705</v>
      </c>
      <c r="C278" s="1" t="n">
        <v>46101</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7636-2025</t>
        </is>
      </c>
      <c r="B279" s="1" t="n">
        <v>45705.7687962963</v>
      </c>
      <c r="C279" s="1" t="n">
        <v>46101</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7639-2025</t>
        </is>
      </c>
      <c r="B280" s="1" t="n">
        <v>45705.77465277778</v>
      </c>
      <c r="C280" s="1" t="n">
        <v>46101</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15216-2025</t>
        </is>
      </c>
      <c r="B281" s="1" t="n">
        <v>45744</v>
      </c>
      <c r="C281" s="1" t="n">
        <v>46101</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43790-2024</t>
        </is>
      </c>
      <c r="B282" s="1" t="n">
        <v>45571</v>
      </c>
      <c r="C282" s="1" t="n">
        <v>46101</v>
      </c>
      <c r="D282" t="inlineStr">
        <is>
          <t>GOTLANDS LÄN</t>
        </is>
      </c>
      <c r="E282" t="inlineStr">
        <is>
          <t>GOTLAND</t>
        </is>
      </c>
      <c r="G282" t="n">
        <v>3.5</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46101</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48734-2022</t>
        </is>
      </c>
      <c r="B284" s="1" t="n">
        <v>44855</v>
      </c>
      <c r="C284" s="1" t="n">
        <v>46101</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15001-2025</t>
        </is>
      </c>
      <c r="B285" s="1" t="n">
        <v>45743</v>
      </c>
      <c r="C285" s="1" t="n">
        <v>46101</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30488-2025</t>
        </is>
      </c>
      <c r="B286" s="1" t="n">
        <v>45830</v>
      </c>
      <c r="C286" s="1" t="n">
        <v>46101</v>
      </c>
      <c r="D286" t="inlineStr">
        <is>
          <t>GOTLANDS LÄN</t>
        </is>
      </c>
      <c r="E286" t="inlineStr">
        <is>
          <t>GOTLAND</t>
        </is>
      </c>
      <c r="F286" t="inlineStr">
        <is>
          <t>Kyrkan</t>
        </is>
      </c>
      <c r="G286" t="n">
        <v>3.9</v>
      </c>
      <c r="H286" t="n">
        <v>0</v>
      </c>
      <c r="I286" t="n">
        <v>0</v>
      </c>
      <c r="J286" t="n">
        <v>0</v>
      </c>
      <c r="K286" t="n">
        <v>0</v>
      </c>
      <c r="L286" t="n">
        <v>0</v>
      </c>
      <c r="M286" t="n">
        <v>0</v>
      </c>
      <c r="N286" t="n">
        <v>0</v>
      </c>
      <c r="O286" t="n">
        <v>0</v>
      </c>
      <c r="P286" t="n">
        <v>0</v>
      </c>
      <c r="Q286" t="n">
        <v>0</v>
      </c>
      <c r="R286" s="2" t="inlineStr"/>
    </row>
    <row r="287" ht="15" customHeight="1">
      <c r="A287" t="inlineStr">
        <is>
          <t>A 17847-2025</t>
        </is>
      </c>
      <c r="B287" s="1" t="n">
        <v>45758</v>
      </c>
      <c r="C287" s="1" t="n">
        <v>46101</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14141-2024</t>
        </is>
      </c>
      <c r="B288" s="1" t="n">
        <v>45392.85193287037</v>
      </c>
      <c r="C288" s="1" t="n">
        <v>46101</v>
      </c>
      <c r="D288" t="inlineStr">
        <is>
          <t>GOTLANDS LÄN</t>
        </is>
      </c>
      <c r="E288" t="inlineStr">
        <is>
          <t>GOTLAND</t>
        </is>
      </c>
      <c r="G288" t="n">
        <v>5.3</v>
      </c>
      <c r="H288" t="n">
        <v>0</v>
      </c>
      <c r="I288" t="n">
        <v>0</v>
      </c>
      <c r="J288" t="n">
        <v>0</v>
      </c>
      <c r="K288" t="n">
        <v>0</v>
      </c>
      <c r="L288" t="n">
        <v>0</v>
      </c>
      <c r="M288" t="n">
        <v>0</v>
      </c>
      <c r="N288" t="n">
        <v>0</v>
      </c>
      <c r="O288" t="n">
        <v>0</v>
      </c>
      <c r="P288" t="n">
        <v>0</v>
      </c>
      <c r="Q288" t="n">
        <v>0</v>
      </c>
      <c r="R288" s="2" t="inlineStr"/>
    </row>
    <row r="289" ht="15" customHeight="1">
      <c r="A289" t="inlineStr">
        <is>
          <t>A 18742-2025</t>
        </is>
      </c>
      <c r="B289" s="1" t="n">
        <v>45763</v>
      </c>
      <c r="C289" s="1" t="n">
        <v>46101</v>
      </c>
      <c r="D289" t="inlineStr">
        <is>
          <t>GOTLANDS LÄN</t>
        </is>
      </c>
      <c r="E289" t="inlineStr">
        <is>
          <t>GOTLAND</t>
        </is>
      </c>
      <c r="G289" t="n">
        <v>3.4</v>
      </c>
      <c r="H289" t="n">
        <v>0</v>
      </c>
      <c r="I289" t="n">
        <v>0</v>
      </c>
      <c r="J289" t="n">
        <v>0</v>
      </c>
      <c r="K289" t="n">
        <v>0</v>
      </c>
      <c r="L289" t="n">
        <v>0</v>
      </c>
      <c r="M289" t="n">
        <v>0</v>
      </c>
      <c r="N289" t="n">
        <v>0</v>
      </c>
      <c r="O289" t="n">
        <v>0</v>
      </c>
      <c r="P289" t="n">
        <v>0</v>
      </c>
      <c r="Q289" t="n">
        <v>0</v>
      </c>
      <c r="R289" s="2" t="inlineStr"/>
    </row>
    <row r="290" ht="15" customHeight="1">
      <c r="A290" t="inlineStr">
        <is>
          <t>A 29809-2022</t>
        </is>
      </c>
      <c r="B290" s="1" t="n">
        <v>44755.8713425926</v>
      </c>
      <c r="C290" s="1" t="n">
        <v>46101</v>
      </c>
      <c r="D290" t="inlineStr">
        <is>
          <t>GOTLANDS LÄN</t>
        </is>
      </c>
      <c r="E290" t="inlineStr">
        <is>
          <t>GOTLAND</t>
        </is>
      </c>
      <c r="G290" t="n">
        <v>11.5</v>
      </c>
      <c r="H290" t="n">
        <v>0</v>
      </c>
      <c r="I290" t="n">
        <v>0</v>
      </c>
      <c r="J290" t="n">
        <v>0</v>
      </c>
      <c r="K290" t="n">
        <v>0</v>
      </c>
      <c r="L290" t="n">
        <v>0</v>
      </c>
      <c r="M290" t="n">
        <v>0</v>
      </c>
      <c r="N290" t="n">
        <v>0</v>
      </c>
      <c r="O290" t="n">
        <v>0</v>
      </c>
      <c r="P290" t="n">
        <v>0</v>
      </c>
      <c r="Q290" t="n">
        <v>0</v>
      </c>
      <c r="R290" s="2" t="inlineStr"/>
    </row>
    <row r="291" ht="15" customHeight="1">
      <c r="A291" t="inlineStr">
        <is>
          <t>A 35129-2025</t>
        </is>
      </c>
      <c r="B291" s="1" t="n">
        <v>45852.63224537037</v>
      </c>
      <c r="C291" s="1" t="n">
        <v>46101</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46101</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30135-2025</t>
        </is>
      </c>
      <c r="B293" s="1" t="n">
        <v>45826</v>
      </c>
      <c r="C293" s="1" t="n">
        <v>46101</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57685-2022</t>
        </is>
      </c>
      <c r="B294" s="1" t="n">
        <v>44897.4777662037</v>
      </c>
      <c r="C294" s="1" t="n">
        <v>46101</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12599-2025</t>
        </is>
      </c>
      <c r="B295" s="1" t="n">
        <v>45733.29546296296</v>
      </c>
      <c r="C295" s="1" t="n">
        <v>46101</v>
      </c>
      <c r="D295" t="inlineStr">
        <is>
          <t>GOTLANDS LÄN</t>
        </is>
      </c>
      <c r="E295" t="inlineStr">
        <is>
          <t>GOTLAND</t>
        </is>
      </c>
      <c r="G295" t="n">
        <v>4.7</v>
      </c>
      <c r="H295" t="n">
        <v>0</v>
      </c>
      <c r="I295" t="n">
        <v>0</v>
      </c>
      <c r="J295" t="n">
        <v>0</v>
      </c>
      <c r="K295" t="n">
        <v>0</v>
      </c>
      <c r="L295" t="n">
        <v>0</v>
      </c>
      <c r="M295" t="n">
        <v>0</v>
      </c>
      <c r="N295" t="n">
        <v>0</v>
      </c>
      <c r="O295" t="n">
        <v>0</v>
      </c>
      <c r="P295" t="n">
        <v>0</v>
      </c>
      <c r="Q295" t="n">
        <v>0</v>
      </c>
      <c r="R295" s="2" t="inlineStr"/>
    </row>
    <row r="296" ht="15" customHeight="1">
      <c r="A296" t="inlineStr">
        <is>
          <t>A 35141-2025</t>
        </is>
      </c>
      <c r="B296" s="1" t="n">
        <v>45852.65206018519</v>
      </c>
      <c r="C296" s="1" t="n">
        <v>46101</v>
      </c>
      <c r="D296" t="inlineStr">
        <is>
          <t>GOTLANDS LÄN</t>
        </is>
      </c>
      <c r="E296" t="inlineStr">
        <is>
          <t>GOTLAND</t>
        </is>
      </c>
      <c r="G296" t="n">
        <v>1</v>
      </c>
      <c r="H296" t="n">
        <v>0</v>
      </c>
      <c r="I296" t="n">
        <v>0</v>
      </c>
      <c r="J296" t="n">
        <v>0</v>
      </c>
      <c r="K296" t="n">
        <v>0</v>
      </c>
      <c r="L296" t="n">
        <v>0</v>
      </c>
      <c r="M296" t="n">
        <v>0</v>
      </c>
      <c r="N296" t="n">
        <v>0</v>
      </c>
      <c r="O296" t="n">
        <v>0</v>
      </c>
      <c r="P296" t="n">
        <v>0</v>
      </c>
      <c r="Q296" t="n">
        <v>0</v>
      </c>
      <c r="R296" s="2" t="inlineStr"/>
    </row>
    <row r="297" ht="15" customHeight="1">
      <c r="A297" t="inlineStr">
        <is>
          <t>A 35142-2025</t>
        </is>
      </c>
      <c r="B297" s="1" t="n">
        <v>45852.65532407408</v>
      </c>
      <c r="C297" s="1" t="n">
        <v>46101</v>
      </c>
      <c r="D297" t="inlineStr">
        <is>
          <t>GOTLANDS LÄN</t>
        </is>
      </c>
      <c r="E297" t="inlineStr">
        <is>
          <t>GOTLAND</t>
        </is>
      </c>
      <c r="G297" t="n">
        <v>2.4</v>
      </c>
      <c r="H297" t="n">
        <v>0</v>
      </c>
      <c r="I297" t="n">
        <v>0</v>
      </c>
      <c r="J297" t="n">
        <v>0</v>
      </c>
      <c r="K297" t="n">
        <v>0</v>
      </c>
      <c r="L297" t="n">
        <v>0</v>
      </c>
      <c r="M297" t="n">
        <v>0</v>
      </c>
      <c r="N297" t="n">
        <v>0</v>
      </c>
      <c r="O297" t="n">
        <v>0</v>
      </c>
      <c r="P297" t="n">
        <v>0</v>
      </c>
      <c r="Q297" t="n">
        <v>0</v>
      </c>
      <c r="R297" s="2" t="inlineStr"/>
    </row>
    <row r="298" ht="15" customHeight="1">
      <c r="A298" t="inlineStr">
        <is>
          <t>A 30815-2023</t>
        </is>
      </c>
      <c r="B298" s="1" t="n">
        <v>45112</v>
      </c>
      <c r="C298" s="1" t="n">
        <v>46101</v>
      </c>
      <c r="D298" t="inlineStr">
        <is>
          <t>GOTLANDS LÄN</t>
        </is>
      </c>
      <c r="E298" t="inlineStr">
        <is>
          <t>GOTLAND</t>
        </is>
      </c>
      <c r="G298" t="n">
        <v>6</v>
      </c>
      <c r="H298" t="n">
        <v>0</v>
      </c>
      <c r="I298" t="n">
        <v>0</v>
      </c>
      <c r="J298" t="n">
        <v>0</v>
      </c>
      <c r="K298" t="n">
        <v>0</v>
      </c>
      <c r="L298" t="n">
        <v>0</v>
      </c>
      <c r="M298" t="n">
        <v>0</v>
      </c>
      <c r="N298" t="n">
        <v>0</v>
      </c>
      <c r="O298" t="n">
        <v>0</v>
      </c>
      <c r="P298" t="n">
        <v>0</v>
      </c>
      <c r="Q298" t="n">
        <v>0</v>
      </c>
      <c r="R298" s="2" t="inlineStr"/>
    </row>
    <row r="299" ht="15" customHeight="1">
      <c r="A299" t="inlineStr">
        <is>
          <t>A 7034-2023</t>
        </is>
      </c>
      <c r="B299" s="1" t="n">
        <v>44968.32108796296</v>
      </c>
      <c r="C299" s="1" t="n">
        <v>46101</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7042-2023</t>
        </is>
      </c>
      <c r="B300" s="1" t="n">
        <v>44968</v>
      </c>
      <c r="C300" s="1" t="n">
        <v>46101</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6108-2025</t>
        </is>
      </c>
      <c r="B301" s="1" t="n">
        <v>45698.29880787037</v>
      </c>
      <c r="C301" s="1" t="n">
        <v>46101</v>
      </c>
      <c r="D301" t="inlineStr">
        <is>
          <t>GOTLANDS LÄN</t>
        </is>
      </c>
      <c r="E301" t="inlineStr">
        <is>
          <t>GOTLAND</t>
        </is>
      </c>
      <c r="G301" t="n">
        <v>2.8</v>
      </c>
      <c r="H301" t="n">
        <v>0</v>
      </c>
      <c r="I301" t="n">
        <v>0</v>
      </c>
      <c r="J301" t="n">
        <v>0</v>
      </c>
      <c r="K301" t="n">
        <v>0</v>
      </c>
      <c r="L301" t="n">
        <v>0</v>
      </c>
      <c r="M301" t="n">
        <v>0</v>
      </c>
      <c r="N301" t="n">
        <v>0</v>
      </c>
      <c r="O301" t="n">
        <v>0</v>
      </c>
      <c r="P301" t="n">
        <v>0</v>
      </c>
      <c r="Q301" t="n">
        <v>0</v>
      </c>
      <c r="R301" s="2" t="inlineStr"/>
    </row>
    <row r="302" ht="15" customHeight="1">
      <c r="A302" t="inlineStr">
        <is>
          <t>A 21142-2025</t>
        </is>
      </c>
      <c r="B302" s="1" t="n">
        <v>45779</v>
      </c>
      <c r="C302" s="1" t="n">
        <v>46101</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23516-2023</t>
        </is>
      </c>
      <c r="B303" s="1" t="n">
        <v>45076.93391203704</v>
      </c>
      <c r="C303" s="1" t="n">
        <v>46101</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46101</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64660-2023</t>
        </is>
      </c>
      <c r="B305" s="1" t="n">
        <v>45281.60122685185</v>
      </c>
      <c r="C305" s="1" t="n">
        <v>46101</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39814-2025</t>
        </is>
      </c>
      <c r="B306" s="1" t="n">
        <v>45891.52694444444</v>
      </c>
      <c r="C306" s="1" t="n">
        <v>46101</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63763-2023</t>
        </is>
      </c>
      <c r="B307" s="1" t="n">
        <v>45278.33944444444</v>
      </c>
      <c r="C307" s="1" t="n">
        <v>46101</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17343-2025</t>
        </is>
      </c>
      <c r="B308" s="1" t="n">
        <v>45756.6687037037</v>
      </c>
      <c r="C308" s="1" t="n">
        <v>46101</v>
      </c>
      <c r="D308" t="inlineStr">
        <is>
          <t>GOTLANDS LÄN</t>
        </is>
      </c>
      <c r="E308" t="inlineStr">
        <is>
          <t>GOTLAND</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39849-2025</t>
        </is>
      </c>
      <c r="B309" s="1" t="n">
        <v>45891.58502314815</v>
      </c>
      <c r="C309" s="1" t="n">
        <v>46101</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18938-2025</t>
        </is>
      </c>
      <c r="B310" s="1" t="n">
        <v>45764.49172453704</v>
      </c>
      <c r="C310" s="1" t="n">
        <v>46101</v>
      </c>
      <c r="D310" t="inlineStr">
        <is>
          <t>GOTLANDS LÄN</t>
        </is>
      </c>
      <c r="E310" t="inlineStr">
        <is>
          <t>GOTLAND</t>
        </is>
      </c>
      <c r="G310" t="n">
        <v>1.1</v>
      </c>
      <c r="H310" t="n">
        <v>0</v>
      </c>
      <c r="I310" t="n">
        <v>0</v>
      </c>
      <c r="J310" t="n">
        <v>0</v>
      </c>
      <c r="K310" t="n">
        <v>0</v>
      </c>
      <c r="L310" t="n">
        <v>0</v>
      </c>
      <c r="M310" t="n">
        <v>0</v>
      </c>
      <c r="N310" t="n">
        <v>0</v>
      </c>
      <c r="O310" t="n">
        <v>0</v>
      </c>
      <c r="P310" t="n">
        <v>0</v>
      </c>
      <c r="Q310" t="n">
        <v>0</v>
      </c>
      <c r="R310" s="2" t="inlineStr"/>
    </row>
    <row r="311" ht="15" customHeight="1">
      <c r="A311" t="inlineStr">
        <is>
          <t>A 39752-2025</t>
        </is>
      </c>
      <c r="B311" s="1" t="n">
        <v>45891</v>
      </c>
      <c r="C311" s="1" t="n">
        <v>46101</v>
      </c>
      <c r="D311" t="inlineStr">
        <is>
          <t>GOTLANDS LÄN</t>
        </is>
      </c>
      <c r="E311" t="inlineStr">
        <is>
          <t>GOTLAND</t>
        </is>
      </c>
      <c r="G311" t="n">
        <v>5.3</v>
      </c>
      <c r="H311" t="n">
        <v>0</v>
      </c>
      <c r="I311" t="n">
        <v>0</v>
      </c>
      <c r="J311" t="n">
        <v>0</v>
      </c>
      <c r="K311" t="n">
        <v>0</v>
      </c>
      <c r="L311" t="n">
        <v>0</v>
      </c>
      <c r="M311" t="n">
        <v>0</v>
      </c>
      <c r="N311" t="n">
        <v>0</v>
      </c>
      <c r="O311" t="n">
        <v>0</v>
      </c>
      <c r="P311" t="n">
        <v>0</v>
      </c>
      <c r="Q311" t="n">
        <v>0</v>
      </c>
      <c r="R311" s="2" t="inlineStr"/>
    </row>
    <row r="312" ht="15" customHeight="1">
      <c r="A312" t="inlineStr">
        <is>
          <t>A 30489-2025</t>
        </is>
      </c>
      <c r="B312" s="1" t="n">
        <v>45830</v>
      </c>
      <c r="C312" s="1" t="n">
        <v>46101</v>
      </c>
      <c r="D312" t="inlineStr">
        <is>
          <t>GOTLANDS LÄN</t>
        </is>
      </c>
      <c r="E312" t="inlineStr">
        <is>
          <t>GOTLAND</t>
        </is>
      </c>
      <c r="G312" t="n">
        <v>4.6</v>
      </c>
      <c r="H312" t="n">
        <v>0</v>
      </c>
      <c r="I312" t="n">
        <v>0</v>
      </c>
      <c r="J312" t="n">
        <v>0</v>
      </c>
      <c r="K312" t="n">
        <v>0</v>
      </c>
      <c r="L312" t="n">
        <v>0</v>
      </c>
      <c r="M312" t="n">
        <v>0</v>
      </c>
      <c r="N312" t="n">
        <v>0</v>
      </c>
      <c r="O312" t="n">
        <v>0</v>
      </c>
      <c r="P312" t="n">
        <v>0</v>
      </c>
      <c r="Q312" t="n">
        <v>0</v>
      </c>
      <c r="R312" s="2" t="inlineStr"/>
    </row>
    <row r="313" ht="15" customHeight="1">
      <c r="A313" t="inlineStr">
        <is>
          <t>A 39816-2025</t>
        </is>
      </c>
      <c r="B313" s="1" t="n">
        <v>45891</v>
      </c>
      <c r="C313" s="1" t="n">
        <v>46101</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40103-2025</t>
        </is>
      </c>
      <c r="B314" s="1" t="n">
        <v>45894.4880324074</v>
      </c>
      <c r="C314" s="1" t="n">
        <v>46101</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40373-2025</t>
        </is>
      </c>
      <c r="B315" s="1" t="n">
        <v>45895.51821759259</v>
      </c>
      <c r="C315" s="1" t="n">
        <v>46101</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20307-2025</t>
        </is>
      </c>
      <c r="B316" s="1" t="n">
        <v>45774.95546296296</v>
      </c>
      <c r="C316" s="1" t="n">
        <v>46101</v>
      </c>
      <c r="D316" t="inlineStr">
        <is>
          <t>GOTLANDS LÄN</t>
        </is>
      </c>
      <c r="E316" t="inlineStr">
        <is>
          <t>GOTLAND</t>
        </is>
      </c>
      <c r="G316" t="n">
        <v>6.8</v>
      </c>
      <c r="H316" t="n">
        <v>0</v>
      </c>
      <c r="I316" t="n">
        <v>0</v>
      </c>
      <c r="J316" t="n">
        <v>0</v>
      </c>
      <c r="K316" t="n">
        <v>0</v>
      </c>
      <c r="L316" t="n">
        <v>0</v>
      </c>
      <c r="M316" t="n">
        <v>0</v>
      </c>
      <c r="N316" t="n">
        <v>0</v>
      </c>
      <c r="O316" t="n">
        <v>0</v>
      </c>
      <c r="P316" t="n">
        <v>0</v>
      </c>
      <c r="Q316" t="n">
        <v>0</v>
      </c>
      <c r="R316" s="2" t="inlineStr"/>
    </row>
    <row r="317" ht="15" customHeight="1">
      <c r="A317" t="inlineStr">
        <is>
          <t>A 40499-2025</t>
        </is>
      </c>
      <c r="B317" s="1" t="n">
        <v>45896.32517361111</v>
      </c>
      <c r="C317" s="1" t="n">
        <v>46101</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40372-2025</t>
        </is>
      </c>
      <c r="B318" s="1" t="n">
        <v>45895.5162037037</v>
      </c>
      <c r="C318" s="1" t="n">
        <v>46101</v>
      </c>
      <c r="D318" t="inlineStr">
        <is>
          <t>GOTLANDS LÄN</t>
        </is>
      </c>
      <c r="E318" t="inlineStr">
        <is>
          <t>GOTLAND</t>
        </is>
      </c>
      <c r="G318" t="n">
        <v>3.3</v>
      </c>
      <c r="H318" t="n">
        <v>0</v>
      </c>
      <c r="I318" t="n">
        <v>0</v>
      </c>
      <c r="J318" t="n">
        <v>0</v>
      </c>
      <c r="K318" t="n">
        <v>0</v>
      </c>
      <c r="L318" t="n">
        <v>0</v>
      </c>
      <c r="M318" t="n">
        <v>0</v>
      </c>
      <c r="N318" t="n">
        <v>0</v>
      </c>
      <c r="O318" t="n">
        <v>0</v>
      </c>
      <c r="P318" t="n">
        <v>0</v>
      </c>
      <c r="Q318" t="n">
        <v>0</v>
      </c>
      <c r="R318" s="2" t="inlineStr"/>
    </row>
    <row r="319" ht="15" customHeight="1">
      <c r="A319" t="inlineStr">
        <is>
          <t>A 63229-2021</t>
        </is>
      </c>
      <c r="B319" s="1" t="n">
        <v>44508.34518518519</v>
      </c>
      <c r="C319" s="1" t="n">
        <v>46101</v>
      </c>
      <c r="D319" t="inlineStr">
        <is>
          <t>GOTLANDS LÄN</t>
        </is>
      </c>
      <c r="E319" t="inlineStr">
        <is>
          <t>GOTLAND</t>
        </is>
      </c>
      <c r="F319" t="inlineStr">
        <is>
          <t>Kyrkan</t>
        </is>
      </c>
      <c r="G319" t="n">
        <v>3.8</v>
      </c>
      <c r="H319" t="n">
        <v>0</v>
      </c>
      <c r="I319" t="n">
        <v>0</v>
      </c>
      <c r="J319" t="n">
        <v>0</v>
      </c>
      <c r="K319" t="n">
        <v>0</v>
      </c>
      <c r="L319" t="n">
        <v>0</v>
      </c>
      <c r="M319" t="n">
        <v>0</v>
      </c>
      <c r="N319" t="n">
        <v>0</v>
      </c>
      <c r="O319" t="n">
        <v>0</v>
      </c>
      <c r="P319" t="n">
        <v>0</v>
      </c>
      <c r="Q319" t="n">
        <v>0</v>
      </c>
      <c r="R319" s="2" t="inlineStr"/>
    </row>
    <row r="320" ht="15" customHeight="1">
      <c r="A320" t="inlineStr">
        <is>
          <t>A 46375-2024</t>
        </is>
      </c>
      <c r="B320" s="1" t="n">
        <v>45582</v>
      </c>
      <c r="C320" s="1" t="n">
        <v>46101</v>
      </c>
      <c r="D320" t="inlineStr">
        <is>
          <t>GOTLANDS LÄN</t>
        </is>
      </c>
      <c r="E320" t="inlineStr">
        <is>
          <t>GOTLAND</t>
        </is>
      </c>
      <c r="G320" t="n">
        <v>3</v>
      </c>
      <c r="H320" t="n">
        <v>0</v>
      </c>
      <c r="I320" t="n">
        <v>0</v>
      </c>
      <c r="J320" t="n">
        <v>0</v>
      </c>
      <c r="K320" t="n">
        <v>0</v>
      </c>
      <c r="L320" t="n">
        <v>0</v>
      </c>
      <c r="M320" t="n">
        <v>0</v>
      </c>
      <c r="N320" t="n">
        <v>0</v>
      </c>
      <c r="O320" t="n">
        <v>0</v>
      </c>
      <c r="P320" t="n">
        <v>0</v>
      </c>
      <c r="Q320" t="n">
        <v>0</v>
      </c>
      <c r="R320" s="2" t="inlineStr"/>
    </row>
    <row r="321" ht="15" customHeight="1">
      <c r="A321" t="inlineStr">
        <is>
          <t>A 39278-2025</t>
        </is>
      </c>
      <c r="B321" s="1" t="n">
        <v>45889</v>
      </c>
      <c r="C321" s="1" t="n">
        <v>46101</v>
      </c>
      <c r="D321" t="inlineStr">
        <is>
          <t>GOTLANDS LÄN</t>
        </is>
      </c>
      <c r="E321" t="inlineStr">
        <is>
          <t>GOTLAND</t>
        </is>
      </c>
      <c r="G321" t="n">
        <v>3.7</v>
      </c>
      <c r="H321" t="n">
        <v>0</v>
      </c>
      <c r="I321" t="n">
        <v>0</v>
      </c>
      <c r="J321" t="n">
        <v>0</v>
      </c>
      <c r="K321" t="n">
        <v>0</v>
      </c>
      <c r="L321" t="n">
        <v>0</v>
      </c>
      <c r="M321" t="n">
        <v>0</v>
      </c>
      <c r="N321" t="n">
        <v>0</v>
      </c>
      <c r="O321" t="n">
        <v>0</v>
      </c>
      <c r="P321" t="n">
        <v>0</v>
      </c>
      <c r="Q321" t="n">
        <v>0</v>
      </c>
      <c r="R321" s="2" t="inlineStr"/>
    </row>
    <row r="322" ht="15" customHeight="1">
      <c r="A322" t="inlineStr">
        <is>
          <t>A 41435-2025</t>
        </is>
      </c>
      <c r="B322" s="1" t="n">
        <v>45901.39974537037</v>
      </c>
      <c r="C322" s="1" t="n">
        <v>46101</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1734-2025</t>
        </is>
      </c>
      <c r="B323" s="1" t="n">
        <v>45671.3840625</v>
      </c>
      <c r="C323" s="1" t="n">
        <v>46101</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20993-2023</t>
        </is>
      </c>
      <c r="B324" s="1" t="n">
        <v>45056</v>
      </c>
      <c r="C324" s="1" t="n">
        <v>46101</v>
      </c>
      <c r="D324" t="inlineStr">
        <is>
          <t>GOTLANDS LÄN</t>
        </is>
      </c>
      <c r="E324" t="inlineStr">
        <is>
          <t>GOTLAND</t>
        </is>
      </c>
      <c r="G324" t="n">
        <v>7.1</v>
      </c>
      <c r="H324" t="n">
        <v>0</v>
      </c>
      <c r="I324" t="n">
        <v>0</v>
      </c>
      <c r="J324" t="n">
        <v>0</v>
      </c>
      <c r="K324" t="n">
        <v>0</v>
      </c>
      <c r="L324" t="n">
        <v>0</v>
      </c>
      <c r="M324" t="n">
        <v>0</v>
      </c>
      <c r="N324" t="n">
        <v>0</v>
      </c>
      <c r="O324" t="n">
        <v>0</v>
      </c>
      <c r="P324" t="n">
        <v>0</v>
      </c>
      <c r="Q324" t="n">
        <v>0</v>
      </c>
      <c r="R324" s="2" t="inlineStr"/>
    </row>
    <row r="325" ht="15" customHeight="1">
      <c r="A325" t="inlineStr">
        <is>
          <t>A 20356-2022</t>
        </is>
      </c>
      <c r="B325" s="1" t="n">
        <v>44699</v>
      </c>
      <c r="C325" s="1" t="n">
        <v>46101</v>
      </c>
      <c r="D325" t="inlineStr">
        <is>
          <t>GOTLANDS LÄN</t>
        </is>
      </c>
      <c r="E325" t="inlineStr">
        <is>
          <t>GOTLAND</t>
        </is>
      </c>
      <c r="F325" t="inlineStr">
        <is>
          <t>Övriga Aktiebolag</t>
        </is>
      </c>
      <c r="G325" t="n">
        <v>4.4</v>
      </c>
      <c r="H325" t="n">
        <v>0</v>
      </c>
      <c r="I325" t="n">
        <v>0</v>
      </c>
      <c r="J325" t="n">
        <v>0</v>
      </c>
      <c r="K325" t="n">
        <v>0</v>
      </c>
      <c r="L325" t="n">
        <v>0</v>
      </c>
      <c r="M325" t="n">
        <v>0</v>
      </c>
      <c r="N325" t="n">
        <v>0</v>
      </c>
      <c r="O325" t="n">
        <v>0</v>
      </c>
      <c r="P325" t="n">
        <v>0</v>
      </c>
      <c r="Q325" t="n">
        <v>0</v>
      </c>
      <c r="R325" s="2" t="inlineStr"/>
    </row>
    <row r="326" ht="15" customHeight="1">
      <c r="A326" t="inlineStr">
        <is>
          <t>A 41551-2025</t>
        </is>
      </c>
      <c r="B326" s="1" t="n">
        <v>45901.58854166666</v>
      </c>
      <c r="C326" s="1" t="n">
        <v>46101</v>
      </c>
      <c r="D326" t="inlineStr">
        <is>
          <t>GOTLANDS LÄN</t>
        </is>
      </c>
      <c r="E326" t="inlineStr">
        <is>
          <t>GOTLAND</t>
        </is>
      </c>
      <c r="G326" t="n">
        <v>5.6</v>
      </c>
      <c r="H326" t="n">
        <v>0</v>
      </c>
      <c r="I326" t="n">
        <v>0</v>
      </c>
      <c r="J326" t="n">
        <v>0</v>
      </c>
      <c r="K326" t="n">
        <v>0</v>
      </c>
      <c r="L326" t="n">
        <v>0</v>
      </c>
      <c r="M326" t="n">
        <v>0</v>
      </c>
      <c r="N326" t="n">
        <v>0</v>
      </c>
      <c r="O326" t="n">
        <v>0</v>
      </c>
      <c r="P326" t="n">
        <v>0</v>
      </c>
      <c r="Q326" t="n">
        <v>0</v>
      </c>
      <c r="R326" s="2" t="inlineStr"/>
    </row>
    <row r="327" ht="15" customHeight="1">
      <c r="A327" t="inlineStr">
        <is>
          <t>A 12596-2023</t>
        </is>
      </c>
      <c r="B327" s="1" t="n">
        <v>45000.43310185185</v>
      </c>
      <c r="C327" s="1" t="n">
        <v>46101</v>
      </c>
      <c r="D327" t="inlineStr">
        <is>
          <t>GOTLANDS LÄN</t>
        </is>
      </c>
      <c r="E327" t="inlineStr">
        <is>
          <t>GOTLAND</t>
        </is>
      </c>
      <c r="G327" t="n">
        <v>4.1</v>
      </c>
      <c r="H327" t="n">
        <v>0</v>
      </c>
      <c r="I327" t="n">
        <v>0</v>
      </c>
      <c r="J327" t="n">
        <v>0</v>
      </c>
      <c r="K327" t="n">
        <v>0</v>
      </c>
      <c r="L327" t="n">
        <v>0</v>
      </c>
      <c r="M327" t="n">
        <v>0</v>
      </c>
      <c r="N327" t="n">
        <v>0</v>
      </c>
      <c r="O327" t="n">
        <v>0</v>
      </c>
      <c r="P327" t="n">
        <v>0</v>
      </c>
      <c r="Q327" t="n">
        <v>0</v>
      </c>
      <c r="R327" s="2" t="inlineStr"/>
    </row>
    <row r="328" ht="15" customHeight="1">
      <c r="A328" t="inlineStr">
        <is>
          <t>A 2125-2025</t>
        </is>
      </c>
      <c r="B328" s="1" t="n">
        <v>45672.64940972222</v>
      </c>
      <c r="C328" s="1" t="n">
        <v>46101</v>
      </c>
      <c r="D328" t="inlineStr">
        <is>
          <t>GOTLANDS LÄN</t>
        </is>
      </c>
      <c r="E328" t="inlineStr">
        <is>
          <t>GOTLAND</t>
        </is>
      </c>
      <c r="G328" t="n">
        <v>2.3</v>
      </c>
      <c r="H328" t="n">
        <v>0</v>
      </c>
      <c r="I328" t="n">
        <v>0</v>
      </c>
      <c r="J328" t="n">
        <v>0</v>
      </c>
      <c r="K328" t="n">
        <v>0</v>
      </c>
      <c r="L328" t="n">
        <v>0</v>
      </c>
      <c r="M328" t="n">
        <v>0</v>
      </c>
      <c r="N328" t="n">
        <v>0</v>
      </c>
      <c r="O328" t="n">
        <v>0</v>
      </c>
      <c r="P328" t="n">
        <v>0</v>
      </c>
      <c r="Q328" t="n">
        <v>0</v>
      </c>
      <c r="R328" s="2" t="inlineStr"/>
    </row>
    <row r="329" ht="15" customHeight="1">
      <c r="A329" t="inlineStr">
        <is>
          <t>A 12155-2023</t>
        </is>
      </c>
      <c r="B329" s="1" t="n">
        <v>44998.49106481481</v>
      </c>
      <c r="C329" s="1" t="n">
        <v>46101</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457-2023</t>
        </is>
      </c>
      <c r="B330" s="1" t="n">
        <v>44929.87238425926</v>
      </c>
      <c r="C330" s="1" t="n">
        <v>46101</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459-2023</t>
        </is>
      </c>
      <c r="B331" s="1" t="n">
        <v>44929.87423611111</v>
      </c>
      <c r="C331" s="1" t="n">
        <v>46101</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38234-2023</t>
        </is>
      </c>
      <c r="B332" s="1" t="n">
        <v>45161.56663194444</v>
      </c>
      <c r="C332" s="1" t="n">
        <v>46101</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50744-2024</t>
        </is>
      </c>
      <c r="B333" s="1" t="n">
        <v>45602.4187037037</v>
      </c>
      <c r="C333" s="1" t="n">
        <v>46101</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42608-2025</t>
        </is>
      </c>
      <c r="B334" s="1" t="n">
        <v>45905</v>
      </c>
      <c r="C334" s="1" t="n">
        <v>46101</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53934-2024</t>
        </is>
      </c>
      <c r="B335" s="1" t="n">
        <v>45615</v>
      </c>
      <c r="C335" s="1" t="n">
        <v>46101</v>
      </c>
      <c r="D335" t="inlineStr">
        <is>
          <t>GOTLANDS LÄN</t>
        </is>
      </c>
      <c r="E335" t="inlineStr">
        <is>
          <t>GOTLAND</t>
        </is>
      </c>
      <c r="G335" t="n">
        <v>5</v>
      </c>
      <c r="H335" t="n">
        <v>0</v>
      </c>
      <c r="I335" t="n">
        <v>0</v>
      </c>
      <c r="J335" t="n">
        <v>0</v>
      </c>
      <c r="K335" t="n">
        <v>0</v>
      </c>
      <c r="L335" t="n">
        <v>0</v>
      </c>
      <c r="M335" t="n">
        <v>0</v>
      </c>
      <c r="N335" t="n">
        <v>0</v>
      </c>
      <c r="O335" t="n">
        <v>0</v>
      </c>
      <c r="P335" t="n">
        <v>0</v>
      </c>
      <c r="Q335" t="n">
        <v>0</v>
      </c>
      <c r="R335" s="2" t="inlineStr"/>
    </row>
    <row r="336" ht="15" customHeight="1">
      <c r="A336" t="inlineStr">
        <is>
          <t>A 16373-2025</t>
        </is>
      </c>
      <c r="B336" s="1" t="n">
        <v>45751</v>
      </c>
      <c r="C336" s="1" t="n">
        <v>46101</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10158-2025</t>
        </is>
      </c>
      <c r="B337" s="1" t="n">
        <v>45719</v>
      </c>
      <c r="C337" s="1" t="n">
        <v>46101</v>
      </c>
      <c r="D337" t="inlineStr">
        <is>
          <t>GOTLANDS LÄN</t>
        </is>
      </c>
      <c r="E337" t="inlineStr">
        <is>
          <t>GOTLAND</t>
        </is>
      </c>
      <c r="G337" t="n">
        <v>3.5</v>
      </c>
      <c r="H337" t="n">
        <v>0</v>
      </c>
      <c r="I337" t="n">
        <v>0</v>
      </c>
      <c r="J337" t="n">
        <v>0</v>
      </c>
      <c r="K337" t="n">
        <v>0</v>
      </c>
      <c r="L337" t="n">
        <v>0</v>
      </c>
      <c r="M337" t="n">
        <v>0</v>
      </c>
      <c r="N337" t="n">
        <v>0</v>
      </c>
      <c r="O337" t="n">
        <v>0</v>
      </c>
      <c r="P337" t="n">
        <v>0</v>
      </c>
      <c r="Q337" t="n">
        <v>0</v>
      </c>
      <c r="R337" s="2" t="inlineStr"/>
    </row>
    <row r="338" ht="15" customHeight="1">
      <c r="A338" t="inlineStr">
        <is>
          <t>A 1446-2025</t>
        </is>
      </c>
      <c r="B338" s="1" t="n">
        <v>45669.86035879629</v>
      </c>
      <c r="C338" s="1" t="n">
        <v>46101</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46101</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46101</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43951-2025</t>
        </is>
      </c>
      <c r="B341" s="1" t="n">
        <v>45915.38119212963</v>
      </c>
      <c r="C341" s="1" t="n">
        <v>46101</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31264-2021</t>
        </is>
      </c>
      <c r="B342" s="1" t="n">
        <v>44368</v>
      </c>
      <c r="C342" s="1" t="n">
        <v>46101</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44405-2025</t>
        </is>
      </c>
      <c r="B343" s="1" t="n">
        <v>45916.52405092592</v>
      </c>
      <c r="C343" s="1" t="n">
        <v>46101</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43901-2023</t>
        </is>
      </c>
      <c r="B344" s="1" t="n">
        <v>45187</v>
      </c>
      <c r="C344" s="1" t="n">
        <v>46101</v>
      </c>
      <c r="D344" t="inlineStr">
        <is>
          <t>GOTLANDS LÄN</t>
        </is>
      </c>
      <c r="E344" t="inlineStr">
        <is>
          <t>GOTLAND</t>
        </is>
      </c>
      <c r="G344" t="n">
        <v>5.4</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46101</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16501-2023</t>
        </is>
      </c>
      <c r="B346" s="1" t="n">
        <v>45029</v>
      </c>
      <c r="C346" s="1" t="n">
        <v>46101</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46101</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46101</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10492-2023</t>
        </is>
      </c>
      <c r="B349" s="1" t="n">
        <v>44987</v>
      </c>
      <c r="C349" s="1" t="n">
        <v>46101</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5909-2025</t>
        </is>
      </c>
      <c r="B350" s="1" t="n">
        <v>45695.40634259259</v>
      </c>
      <c r="C350" s="1" t="n">
        <v>46101</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10653-2023</t>
        </is>
      </c>
      <c r="B351" s="1" t="n">
        <v>44988.48859953704</v>
      </c>
      <c r="C351" s="1" t="n">
        <v>46101</v>
      </c>
      <c r="D351" t="inlineStr">
        <is>
          <t>GOTLANDS LÄN</t>
        </is>
      </c>
      <c r="E351" t="inlineStr">
        <is>
          <t>GOTLAND</t>
        </is>
      </c>
      <c r="F351" t="inlineStr">
        <is>
          <t>Kyrkan</t>
        </is>
      </c>
      <c r="G351" t="n">
        <v>3</v>
      </c>
      <c r="H351" t="n">
        <v>0</v>
      </c>
      <c r="I351" t="n">
        <v>0</v>
      </c>
      <c r="J351" t="n">
        <v>0</v>
      </c>
      <c r="K351" t="n">
        <v>0</v>
      </c>
      <c r="L351" t="n">
        <v>0</v>
      </c>
      <c r="M351" t="n">
        <v>0</v>
      </c>
      <c r="N351" t="n">
        <v>0</v>
      </c>
      <c r="O351" t="n">
        <v>0</v>
      </c>
      <c r="P351" t="n">
        <v>0</v>
      </c>
      <c r="Q351" t="n">
        <v>0</v>
      </c>
      <c r="R351" s="2" t="inlineStr"/>
    </row>
    <row r="352" ht="15" customHeight="1">
      <c r="A352" t="inlineStr">
        <is>
          <t>A 4990-2025</t>
        </is>
      </c>
      <c r="B352" s="1" t="n">
        <v>45691</v>
      </c>
      <c r="C352" s="1" t="n">
        <v>46101</v>
      </c>
      <c r="D352" t="inlineStr">
        <is>
          <t>GOTLANDS LÄN</t>
        </is>
      </c>
      <c r="E352" t="inlineStr">
        <is>
          <t>GOTLAND</t>
        </is>
      </c>
      <c r="G352" t="n">
        <v>7.7</v>
      </c>
      <c r="H352" t="n">
        <v>0</v>
      </c>
      <c r="I352" t="n">
        <v>0</v>
      </c>
      <c r="J352" t="n">
        <v>0</v>
      </c>
      <c r="K352" t="n">
        <v>0</v>
      </c>
      <c r="L352" t="n">
        <v>0</v>
      </c>
      <c r="M352" t="n">
        <v>0</v>
      </c>
      <c r="N352" t="n">
        <v>0</v>
      </c>
      <c r="O352" t="n">
        <v>0</v>
      </c>
      <c r="P352" t="n">
        <v>0</v>
      </c>
      <c r="Q352" t="n">
        <v>0</v>
      </c>
      <c r="R352" s="2" t="inlineStr"/>
    </row>
    <row r="353" ht="15" customHeight="1">
      <c r="A353" t="inlineStr">
        <is>
          <t>A 26391-2025</t>
        </is>
      </c>
      <c r="B353" s="1" t="n">
        <v>45806</v>
      </c>
      <c r="C353" s="1" t="n">
        <v>46101</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46101</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43081-2022</t>
        </is>
      </c>
      <c r="B355" s="1" t="n">
        <v>44833</v>
      </c>
      <c r="C355" s="1" t="n">
        <v>46101</v>
      </c>
      <c r="D355" t="inlineStr">
        <is>
          <t>GOTLANDS LÄN</t>
        </is>
      </c>
      <c r="E355" t="inlineStr">
        <is>
          <t>GOTLAND</t>
        </is>
      </c>
      <c r="G355" t="n">
        <v>6.8</v>
      </c>
      <c r="H355" t="n">
        <v>0</v>
      </c>
      <c r="I355" t="n">
        <v>0</v>
      </c>
      <c r="J355" t="n">
        <v>0</v>
      </c>
      <c r="K355" t="n">
        <v>0</v>
      </c>
      <c r="L355" t="n">
        <v>0</v>
      </c>
      <c r="M355" t="n">
        <v>0</v>
      </c>
      <c r="N355" t="n">
        <v>0</v>
      </c>
      <c r="O355" t="n">
        <v>0</v>
      </c>
      <c r="P355" t="n">
        <v>0</v>
      </c>
      <c r="Q355" t="n">
        <v>0</v>
      </c>
      <c r="R355" s="2" t="inlineStr"/>
    </row>
    <row r="356" ht="15" customHeight="1">
      <c r="A356" t="inlineStr">
        <is>
          <t>A 32958-2021</t>
        </is>
      </c>
      <c r="B356" s="1" t="n">
        <v>44376</v>
      </c>
      <c r="C356" s="1" t="n">
        <v>46101</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5884-2025</t>
        </is>
      </c>
      <c r="B357" s="1" t="n">
        <v>45695.37482638889</v>
      </c>
      <c r="C357" s="1" t="n">
        <v>46101</v>
      </c>
      <c r="D357" t="inlineStr">
        <is>
          <t>GOTLANDS LÄN</t>
        </is>
      </c>
      <c r="E357" t="inlineStr">
        <is>
          <t>GOTLAND</t>
        </is>
      </c>
      <c r="G357" t="n">
        <v>2.1</v>
      </c>
      <c r="H357" t="n">
        <v>0</v>
      </c>
      <c r="I357" t="n">
        <v>0</v>
      </c>
      <c r="J357" t="n">
        <v>0</v>
      </c>
      <c r="K357" t="n">
        <v>0</v>
      </c>
      <c r="L357" t="n">
        <v>0</v>
      </c>
      <c r="M357" t="n">
        <v>0</v>
      </c>
      <c r="N357" t="n">
        <v>0</v>
      </c>
      <c r="O357" t="n">
        <v>0</v>
      </c>
      <c r="P357" t="n">
        <v>0</v>
      </c>
      <c r="Q357" t="n">
        <v>0</v>
      </c>
      <c r="R357" s="2" t="inlineStr"/>
    </row>
    <row r="358" ht="15" customHeight="1">
      <c r="A358" t="inlineStr">
        <is>
          <t>A 5897-2025</t>
        </is>
      </c>
      <c r="B358" s="1" t="n">
        <v>45695.39273148148</v>
      </c>
      <c r="C358" s="1" t="n">
        <v>46101</v>
      </c>
      <c r="D358" t="inlineStr">
        <is>
          <t>GOTLANDS LÄN</t>
        </is>
      </c>
      <c r="E358" t="inlineStr">
        <is>
          <t>GOTLAND</t>
        </is>
      </c>
      <c r="G358" t="n">
        <v>3.7</v>
      </c>
      <c r="H358" t="n">
        <v>0</v>
      </c>
      <c r="I358" t="n">
        <v>0</v>
      </c>
      <c r="J358" t="n">
        <v>0</v>
      </c>
      <c r="K358" t="n">
        <v>0</v>
      </c>
      <c r="L358" t="n">
        <v>0</v>
      </c>
      <c r="M358" t="n">
        <v>0</v>
      </c>
      <c r="N358" t="n">
        <v>0</v>
      </c>
      <c r="O358" t="n">
        <v>0</v>
      </c>
      <c r="P358" t="n">
        <v>0</v>
      </c>
      <c r="Q358" t="n">
        <v>0</v>
      </c>
      <c r="R358" s="2" t="inlineStr"/>
    </row>
    <row r="359" ht="15" customHeight="1">
      <c r="A359" t="inlineStr">
        <is>
          <t>A 49693-2023</t>
        </is>
      </c>
      <c r="B359" s="1" t="n">
        <v>45212.38138888889</v>
      </c>
      <c r="C359" s="1" t="n">
        <v>46101</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49697-2023</t>
        </is>
      </c>
      <c r="B360" s="1" t="n">
        <v>45212.38909722222</v>
      </c>
      <c r="C360" s="1" t="n">
        <v>46101</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17901-2023</t>
        </is>
      </c>
      <c r="B361" s="1" t="n">
        <v>45039</v>
      </c>
      <c r="C361" s="1" t="n">
        <v>46101</v>
      </c>
      <c r="D361" t="inlineStr">
        <is>
          <t>GOTLANDS LÄN</t>
        </is>
      </c>
      <c r="E361" t="inlineStr">
        <is>
          <t>GOTLAND</t>
        </is>
      </c>
      <c r="F361" t="inlineStr">
        <is>
          <t>Kyrkan</t>
        </is>
      </c>
      <c r="G361" t="n">
        <v>0.6</v>
      </c>
      <c r="H361" t="n">
        <v>0</v>
      </c>
      <c r="I361" t="n">
        <v>0</v>
      </c>
      <c r="J361" t="n">
        <v>0</v>
      </c>
      <c r="K361" t="n">
        <v>0</v>
      </c>
      <c r="L361" t="n">
        <v>0</v>
      </c>
      <c r="M361" t="n">
        <v>0</v>
      </c>
      <c r="N361" t="n">
        <v>0</v>
      </c>
      <c r="O361" t="n">
        <v>0</v>
      </c>
      <c r="P361" t="n">
        <v>0</v>
      </c>
      <c r="Q361" t="n">
        <v>0</v>
      </c>
      <c r="R361" s="2" t="inlineStr"/>
    </row>
    <row r="362" ht="15" customHeight="1">
      <c r="A362" t="inlineStr">
        <is>
          <t>A 47637-2025</t>
        </is>
      </c>
      <c r="B362" s="1" t="n">
        <v>45931.49753472222</v>
      </c>
      <c r="C362" s="1" t="n">
        <v>46101</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52892-2021</t>
        </is>
      </c>
      <c r="B363" s="1" t="n">
        <v>44467.49048611111</v>
      </c>
      <c r="C363" s="1" t="n">
        <v>46101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32378-2025</t>
        </is>
      </c>
      <c r="B364" s="1" t="n">
        <v>45837</v>
      </c>
      <c r="C364" s="1" t="n">
        <v>46101</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46396-2023</t>
        </is>
      </c>
      <c r="B365" s="1" t="n">
        <v>45197</v>
      </c>
      <c r="C365" s="1" t="n">
        <v>46101</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35550-2025</t>
        </is>
      </c>
      <c r="B366" s="1" t="n">
        <v>45856.49324074074</v>
      </c>
      <c r="C366" s="1" t="n">
        <v>46101</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17724-2024</t>
        </is>
      </c>
      <c r="B367" s="1" t="n">
        <v>45418.55096064815</v>
      </c>
      <c r="C367" s="1" t="n">
        <v>46101</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47578-2025</t>
        </is>
      </c>
      <c r="B368" s="1" t="n">
        <v>45931</v>
      </c>
      <c r="C368" s="1" t="n">
        <v>46101</v>
      </c>
      <c r="D368" t="inlineStr">
        <is>
          <t>GOTLANDS LÄN</t>
        </is>
      </c>
      <c r="E368" t="inlineStr">
        <is>
          <t>GOTLAND</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34312-2024</t>
        </is>
      </c>
      <c r="B369" s="1" t="n">
        <v>45524.69703703704</v>
      </c>
      <c r="C369" s="1" t="n">
        <v>46101</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49724-2025</t>
        </is>
      </c>
      <c r="B370" s="1" t="n">
        <v>45939.83730324074</v>
      </c>
      <c r="C370" s="1" t="n">
        <v>46101</v>
      </c>
      <c r="D370" t="inlineStr">
        <is>
          <t>GOTLANDS LÄN</t>
        </is>
      </c>
      <c r="E370" t="inlineStr">
        <is>
          <t>GOTLAND</t>
        </is>
      </c>
      <c r="F370" t="inlineStr">
        <is>
          <t>Kyrkan</t>
        </is>
      </c>
      <c r="G370" t="n">
        <v>3.1</v>
      </c>
      <c r="H370" t="n">
        <v>0</v>
      </c>
      <c r="I370" t="n">
        <v>0</v>
      </c>
      <c r="J370" t="n">
        <v>0</v>
      </c>
      <c r="K370" t="n">
        <v>0</v>
      </c>
      <c r="L370" t="n">
        <v>0</v>
      </c>
      <c r="M370" t="n">
        <v>0</v>
      </c>
      <c r="N370" t="n">
        <v>0</v>
      </c>
      <c r="O370" t="n">
        <v>0</v>
      </c>
      <c r="P370" t="n">
        <v>0</v>
      </c>
      <c r="Q370" t="n">
        <v>0</v>
      </c>
      <c r="R370" s="2" t="inlineStr"/>
    </row>
    <row r="371" ht="15" customHeight="1">
      <c r="A371" t="inlineStr">
        <is>
          <t>A 49730-2025</t>
        </is>
      </c>
      <c r="B371" s="1" t="n">
        <v>45939.87613425926</v>
      </c>
      <c r="C371" s="1" t="n">
        <v>46101</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49690-2025</t>
        </is>
      </c>
      <c r="B372" s="1" t="n">
        <v>45939.66730324074</v>
      </c>
      <c r="C372" s="1" t="n">
        <v>46101</v>
      </c>
      <c r="D372" t="inlineStr">
        <is>
          <t>GOTLANDS LÄN</t>
        </is>
      </c>
      <c r="E372" t="inlineStr">
        <is>
          <t>GOTLAND</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33011-2025</t>
        </is>
      </c>
      <c r="B373" s="1" t="n">
        <v>45840</v>
      </c>
      <c r="C373" s="1" t="n">
        <v>46101</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46101</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69112-2021</t>
        </is>
      </c>
      <c r="B375" s="1" t="n">
        <v>44530</v>
      </c>
      <c r="C375" s="1" t="n">
        <v>46101</v>
      </c>
      <c r="D375" t="inlineStr">
        <is>
          <t>GOTLANDS LÄN</t>
        </is>
      </c>
      <c r="E375" t="inlineStr">
        <is>
          <t>GOTLAND</t>
        </is>
      </c>
      <c r="G375" t="n">
        <v>4.2</v>
      </c>
      <c r="H375" t="n">
        <v>0</v>
      </c>
      <c r="I375" t="n">
        <v>0</v>
      </c>
      <c r="J375" t="n">
        <v>0</v>
      </c>
      <c r="K375" t="n">
        <v>0</v>
      </c>
      <c r="L375" t="n">
        <v>0</v>
      </c>
      <c r="M375" t="n">
        <v>0</v>
      </c>
      <c r="N375" t="n">
        <v>0</v>
      </c>
      <c r="O375" t="n">
        <v>0</v>
      </c>
      <c r="P375" t="n">
        <v>0</v>
      </c>
      <c r="Q375" t="n">
        <v>0</v>
      </c>
      <c r="R375" s="2" t="inlineStr"/>
    </row>
    <row r="376" ht="15" customHeight="1">
      <c r="A376" t="inlineStr">
        <is>
          <t>A 7638-2025</t>
        </is>
      </c>
      <c r="B376" s="1" t="n">
        <v>45705.77306712963</v>
      </c>
      <c r="C376" s="1" t="n">
        <v>46101</v>
      </c>
      <c r="D376" t="inlineStr">
        <is>
          <t>GOTLANDS LÄN</t>
        </is>
      </c>
      <c r="E376" t="inlineStr">
        <is>
          <t>GOTLAND</t>
        </is>
      </c>
      <c r="G376" t="n">
        <v>2.2</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46101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50482-2024</t>
        </is>
      </c>
      <c r="B378" s="1" t="n">
        <v>45601.48114583334</v>
      </c>
      <c r="C378" s="1" t="n">
        <v>46101</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50928-2025</t>
        </is>
      </c>
      <c r="B379" s="1" t="n">
        <v>45946.67896990741</v>
      </c>
      <c r="C379" s="1" t="n">
        <v>46101</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44936.72997685185</v>
      </c>
      <c r="C380" s="1" t="n">
        <v>46101</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58230-2024</t>
        </is>
      </c>
      <c r="B381" s="1" t="n">
        <v>45632.51625</v>
      </c>
      <c r="C381" s="1" t="n">
        <v>46101</v>
      </c>
      <c r="D381" t="inlineStr">
        <is>
          <t>GOTLANDS LÄN</t>
        </is>
      </c>
      <c r="E381" t="inlineStr">
        <is>
          <t>GOTLAND</t>
        </is>
      </c>
      <c r="G381" t="n">
        <v>7.3</v>
      </c>
      <c r="H381" t="n">
        <v>0</v>
      </c>
      <c r="I381" t="n">
        <v>0</v>
      </c>
      <c r="J381" t="n">
        <v>0</v>
      </c>
      <c r="K381" t="n">
        <v>0</v>
      </c>
      <c r="L381" t="n">
        <v>0</v>
      </c>
      <c r="M381" t="n">
        <v>0</v>
      </c>
      <c r="N381" t="n">
        <v>0</v>
      </c>
      <c r="O381" t="n">
        <v>0</v>
      </c>
      <c r="P381" t="n">
        <v>0</v>
      </c>
      <c r="Q381" t="n">
        <v>0</v>
      </c>
      <c r="R381" s="2" t="inlineStr"/>
    </row>
    <row r="382" ht="15" customHeight="1">
      <c r="A382" t="inlineStr">
        <is>
          <t>A 1462-2025</t>
        </is>
      </c>
      <c r="B382" s="1" t="n">
        <v>45670.36319444444</v>
      </c>
      <c r="C382" s="1" t="n">
        <v>46101</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25129-2023</t>
        </is>
      </c>
      <c r="B383" s="1" t="n">
        <v>45086.44261574074</v>
      </c>
      <c r="C383" s="1" t="n">
        <v>46101</v>
      </c>
      <c r="D383" t="inlineStr">
        <is>
          <t>GOTLANDS LÄN</t>
        </is>
      </c>
      <c r="E383" t="inlineStr">
        <is>
          <t>GOTLAND</t>
        </is>
      </c>
      <c r="G383" t="n">
        <v>1.5</v>
      </c>
      <c r="H383" t="n">
        <v>0</v>
      </c>
      <c r="I383" t="n">
        <v>0</v>
      </c>
      <c r="J383" t="n">
        <v>0</v>
      </c>
      <c r="K383" t="n">
        <v>0</v>
      </c>
      <c r="L383" t="n">
        <v>0</v>
      </c>
      <c r="M383" t="n">
        <v>0</v>
      </c>
      <c r="N383" t="n">
        <v>0</v>
      </c>
      <c r="O383" t="n">
        <v>0</v>
      </c>
      <c r="P383" t="n">
        <v>0</v>
      </c>
      <c r="Q383" t="n">
        <v>0</v>
      </c>
      <c r="R383" s="2" t="inlineStr"/>
    </row>
    <row r="384" ht="15" customHeight="1">
      <c r="A384" t="inlineStr">
        <is>
          <t>A 24192-2023</t>
        </is>
      </c>
      <c r="B384" s="1" t="n">
        <v>45079</v>
      </c>
      <c r="C384" s="1" t="n">
        <v>46101</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5386-2023</t>
        </is>
      </c>
      <c r="B385" s="1" t="n">
        <v>44959</v>
      </c>
      <c r="C385" s="1" t="n">
        <v>46101</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7026-2023</t>
        </is>
      </c>
      <c r="B386" s="1" t="n">
        <v>44968.30340277778</v>
      </c>
      <c r="C386" s="1" t="n">
        <v>46101</v>
      </c>
      <c r="D386" t="inlineStr">
        <is>
          <t>GOTLANDS LÄN</t>
        </is>
      </c>
      <c r="E386" t="inlineStr">
        <is>
          <t>GOTLAND</t>
        </is>
      </c>
      <c r="G386" t="n">
        <v>2.9</v>
      </c>
      <c r="H386" t="n">
        <v>0</v>
      </c>
      <c r="I386" t="n">
        <v>0</v>
      </c>
      <c r="J386" t="n">
        <v>0</v>
      </c>
      <c r="K386" t="n">
        <v>0</v>
      </c>
      <c r="L386" t="n">
        <v>0</v>
      </c>
      <c r="M386" t="n">
        <v>0</v>
      </c>
      <c r="N386" t="n">
        <v>0</v>
      </c>
      <c r="O386" t="n">
        <v>0</v>
      </c>
      <c r="P386" t="n">
        <v>0</v>
      </c>
      <c r="Q386" t="n">
        <v>0</v>
      </c>
      <c r="R386" s="2" t="inlineStr"/>
    </row>
    <row r="387" ht="15" customHeight="1">
      <c r="A387" t="inlineStr">
        <is>
          <t>A 20855-2023</t>
        </is>
      </c>
      <c r="B387" s="1" t="n">
        <v>45058.82172453704</v>
      </c>
      <c r="C387" s="1" t="n">
        <v>46101</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51262-2025</t>
        </is>
      </c>
      <c r="B388" s="1" t="n">
        <v>45949.49872685185</v>
      </c>
      <c r="C388" s="1" t="n">
        <v>46101</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1000-2024</t>
        </is>
      </c>
      <c r="B389" s="1" t="n">
        <v>45301.63371527778</v>
      </c>
      <c r="C389" s="1" t="n">
        <v>46101</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1010-2024</t>
        </is>
      </c>
      <c r="B390" s="1" t="n">
        <v>45301</v>
      </c>
      <c r="C390" s="1" t="n">
        <v>46101</v>
      </c>
      <c r="D390" t="inlineStr">
        <is>
          <t>GOTLANDS LÄN</t>
        </is>
      </c>
      <c r="E390" t="inlineStr">
        <is>
          <t>GOTLAND</t>
        </is>
      </c>
      <c r="G390" t="n">
        <v>2.4</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46101</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47762-2023</t>
        </is>
      </c>
      <c r="B392" s="1" t="n">
        <v>45203.86256944444</v>
      </c>
      <c r="C392" s="1" t="n">
        <v>46101</v>
      </c>
      <c r="D392" t="inlineStr">
        <is>
          <t>GOTLANDS LÄN</t>
        </is>
      </c>
      <c r="E392" t="inlineStr">
        <is>
          <t>GOTLAND</t>
        </is>
      </c>
      <c r="G392" t="n">
        <v>1.3</v>
      </c>
      <c r="H392" t="n">
        <v>0</v>
      </c>
      <c r="I392" t="n">
        <v>0</v>
      </c>
      <c r="J392" t="n">
        <v>0</v>
      </c>
      <c r="K392" t="n">
        <v>0</v>
      </c>
      <c r="L392" t="n">
        <v>0</v>
      </c>
      <c r="M392" t="n">
        <v>0</v>
      </c>
      <c r="N392" t="n">
        <v>0</v>
      </c>
      <c r="O392" t="n">
        <v>0</v>
      </c>
      <c r="P392" t="n">
        <v>0</v>
      </c>
      <c r="Q392" t="n">
        <v>0</v>
      </c>
      <c r="R392" s="2" t="inlineStr"/>
    </row>
    <row r="393" ht="15" customHeight="1">
      <c r="A393" t="inlineStr">
        <is>
          <t>A 46545-2024</t>
        </is>
      </c>
      <c r="B393" s="1" t="n">
        <v>45582.65831018519</v>
      </c>
      <c r="C393" s="1" t="n">
        <v>46101</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52637-2025</t>
        </is>
      </c>
      <c r="B394" s="1" t="n">
        <v>45954.75099537037</v>
      </c>
      <c r="C394" s="1" t="n">
        <v>46101</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60086-2022</t>
        </is>
      </c>
      <c r="B395" s="1" t="n">
        <v>44909</v>
      </c>
      <c r="C395" s="1" t="n">
        <v>46101</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28480-2023</t>
        </is>
      </c>
      <c r="B396" s="1" t="n">
        <v>45103</v>
      </c>
      <c r="C396" s="1" t="n">
        <v>46101</v>
      </c>
      <c r="D396" t="inlineStr">
        <is>
          <t>GOTLANDS LÄN</t>
        </is>
      </c>
      <c r="E396" t="inlineStr">
        <is>
          <t>GOTLAND</t>
        </is>
      </c>
      <c r="G396" t="n">
        <v>5.7</v>
      </c>
      <c r="H396" t="n">
        <v>0</v>
      </c>
      <c r="I396" t="n">
        <v>0</v>
      </c>
      <c r="J396" t="n">
        <v>0</v>
      </c>
      <c r="K396" t="n">
        <v>0</v>
      </c>
      <c r="L396" t="n">
        <v>0</v>
      </c>
      <c r="M396" t="n">
        <v>0</v>
      </c>
      <c r="N396" t="n">
        <v>0</v>
      </c>
      <c r="O396" t="n">
        <v>0</v>
      </c>
      <c r="P396" t="n">
        <v>0</v>
      </c>
      <c r="Q396" t="n">
        <v>0</v>
      </c>
      <c r="R396" s="2" t="inlineStr"/>
    </row>
    <row r="397" ht="15" customHeight="1">
      <c r="A397" t="inlineStr">
        <is>
          <t>A 28485-2023</t>
        </is>
      </c>
      <c r="B397" s="1" t="n">
        <v>45103.43731481482</v>
      </c>
      <c r="C397" s="1" t="n">
        <v>46101</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62915-2021</t>
        </is>
      </c>
      <c r="B398" s="1" t="n">
        <v>44504</v>
      </c>
      <c r="C398" s="1" t="n">
        <v>46101</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53569-2025</t>
        </is>
      </c>
      <c r="B399" s="1" t="n">
        <v>45960.41155092593</v>
      </c>
      <c r="C399" s="1" t="n">
        <v>46101</v>
      </c>
      <c r="D399" t="inlineStr">
        <is>
          <t>GOTLANDS LÄN</t>
        </is>
      </c>
      <c r="E399" t="inlineStr">
        <is>
          <t>GOTLAND</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53577-2025</t>
        </is>
      </c>
      <c r="B400" s="1" t="n">
        <v>45960.42224537037</v>
      </c>
      <c r="C400" s="1" t="n">
        <v>46101</v>
      </c>
      <c r="D400" t="inlineStr">
        <is>
          <t>GOTLANDS LÄN</t>
        </is>
      </c>
      <c r="E400" t="inlineStr">
        <is>
          <t>GOTLAND</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44949-2023</t>
        </is>
      </c>
      <c r="B401" s="1" t="n">
        <v>45190.69520833333</v>
      </c>
      <c r="C401" s="1" t="n">
        <v>46101</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37222-2021</t>
        </is>
      </c>
      <c r="B402" s="1" t="n">
        <v>44396</v>
      </c>
      <c r="C402" s="1" t="n">
        <v>46101</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3964-2024</t>
        </is>
      </c>
      <c r="B403" s="1" t="n">
        <v>45322</v>
      </c>
      <c r="C403" s="1" t="n">
        <v>46101</v>
      </c>
      <c r="D403" t="inlineStr">
        <is>
          <t>GOTLANDS LÄN</t>
        </is>
      </c>
      <c r="E403" t="inlineStr">
        <is>
          <t>GOTLAND</t>
        </is>
      </c>
      <c r="G403" t="n">
        <v>1.4</v>
      </c>
      <c r="H403" t="n">
        <v>0</v>
      </c>
      <c r="I403" t="n">
        <v>0</v>
      </c>
      <c r="J403" t="n">
        <v>0</v>
      </c>
      <c r="K403" t="n">
        <v>0</v>
      </c>
      <c r="L403" t="n">
        <v>0</v>
      </c>
      <c r="M403" t="n">
        <v>0</v>
      </c>
      <c r="N403" t="n">
        <v>0</v>
      </c>
      <c r="O403" t="n">
        <v>0</v>
      </c>
      <c r="P403" t="n">
        <v>0</v>
      </c>
      <c r="Q403" t="n">
        <v>0</v>
      </c>
      <c r="R403" s="2" t="inlineStr"/>
    </row>
    <row r="404" ht="15" customHeight="1">
      <c r="A404" t="inlineStr">
        <is>
          <t>A 45084-2024</t>
        </is>
      </c>
      <c r="B404" s="1" t="n">
        <v>45575</v>
      </c>
      <c r="C404" s="1" t="n">
        <v>46101</v>
      </c>
      <c r="D404" t="inlineStr">
        <is>
          <t>GOTLANDS LÄN</t>
        </is>
      </c>
      <c r="E404" t="inlineStr">
        <is>
          <t>GOTLAND</t>
        </is>
      </c>
      <c r="G404" t="n">
        <v>6.8</v>
      </c>
      <c r="H404" t="n">
        <v>0</v>
      </c>
      <c r="I404" t="n">
        <v>0</v>
      </c>
      <c r="J404" t="n">
        <v>0</v>
      </c>
      <c r="K404" t="n">
        <v>0</v>
      </c>
      <c r="L404" t="n">
        <v>0</v>
      </c>
      <c r="M404" t="n">
        <v>0</v>
      </c>
      <c r="N404" t="n">
        <v>0</v>
      </c>
      <c r="O404" t="n">
        <v>0</v>
      </c>
      <c r="P404" t="n">
        <v>0</v>
      </c>
      <c r="Q404" t="n">
        <v>0</v>
      </c>
      <c r="R404" s="2" t="inlineStr"/>
    </row>
    <row r="405" ht="15" customHeight="1">
      <c r="A405" t="inlineStr">
        <is>
          <t>A 5217-2023</t>
        </is>
      </c>
      <c r="B405" s="1" t="n">
        <v>44959.39582175926</v>
      </c>
      <c r="C405" s="1" t="n">
        <v>46101</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1677-2023</t>
        </is>
      </c>
      <c r="B406" s="1" t="n">
        <v>44938</v>
      </c>
      <c r="C406" s="1" t="n">
        <v>46101</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45244-2024</t>
        </is>
      </c>
      <c r="B407" s="1" t="n">
        <v>45576</v>
      </c>
      <c r="C407" s="1" t="n">
        <v>46101</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56799-2025</t>
        </is>
      </c>
      <c r="B408" s="1" t="n">
        <v>45978.43392361111</v>
      </c>
      <c r="C408" s="1" t="n">
        <v>46101</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56688-2025</t>
        </is>
      </c>
      <c r="B409" s="1" t="n">
        <v>45975.84331018518</v>
      </c>
      <c r="C409" s="1" t="n">
        <v>46101</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8260-2023</t>
        </is>
      </c>
      <c r="B410" s="1" t="n">
        <v>44974.61608796296</v>
      </c>
      <c r="C410" s="1" t="n">
        <v>46101</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64969-2023</t>
        </is>
      </c>
      <c r="B411" s="1" t="n">
        <v>45284.54009259259</v>
      </c>
      <c r="C411" s="1" t="n">
        <v>46101</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48843-2024</t>
        </is>
      </c>
      <c r="B412" s="1" t="n">
        <v>45593</v>
      </c>
      <c r="C412" s="1" t="n">
        <v>46101</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17541-2024</t>
        </is>
      </c>
      <c r="B413" s="1" t="n">
        <v>45415</v>
      </c>
      <c r="C413" s="1" t="n">
        <v>46101</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2241-2025</t>
        </is>
      </c>
      <c r="B414" s="1" t="n">
        <v>45673.48710648148</v>
      </c>
      <c r="C414" s="1" t="n">
        <v>46101</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15434-2024</t>
        </is>
      </c>
      <c r="B415" s="1" t="n">
        <v>45401.38836805556</v>
      </c>
      <c r="C415" s="1" t="n">
        <v>46101</v>
      </c>
      <c r="D415" t="inlineStr">
        <is>
          <t>GOTLANDS LÄN</t>
        </is>
      </c>
      <c r="E415" t="inlineStr">
        <is>
          <t>GOTLAND</t>
        </is>
      </c>
      <c r="G415" t="n">
        <v>2.5</v>
      </c>
      <c r="H415" t="n">
        <v>0</v>
      </c>
      <c r="I415" t="n">
        <v>0</v>
      </c>
      <c r="J415" t="n">
        <v>0</v>
      </c>
      <c r="K415" t="n">
        <v>0</v>
      </c>
      <c r="L415" t="n">
        <v>0</v>
      </c>
      <c r="M415" t="n">
        <v>0</v>
      </c>
      <c r="N415" t="n">
        <v>0</v>
      </c>
      <c r="O415" t="n">
        <v>0</v>
      </c>
      <c r="P415" t="n">
        <v>0</v>
      </c>
      <c r="Q415" t="n">
        <v>0</v>
      </c>
      <c r="R415" s="2" t="inlineStr"/>
    </row>
    <row r="416" ht="15" customHeight="1">
      <c r="A416" t="inlineStr">
        <is>
          <t>A 5943-2024</t>
        </is>
      </c>
      <c r="B416" s="1" t="n">
        <v>45336</v>
      </c>
      <c r="C416" s="1" t="n">
        <v>46101</v>
      </c>
      <c r="D416" t="inlineStr">
        <is>
          <t>GOTLANDS LÄN</t>
        </is>
      </c>
      <c r="E416" t="inlineStr">
        <is>
          <t>GOTLAND</t>
        </is>
      </c>
      <c r="G416" t="n">
        <v>4.3</v>
      </c>
      <c r="H416" t="n">
        <v>0</v>
      </c>
      <c r="I416" t="n">
        <v>0</v>
      </c>
      <c r="J416" t="n">
        <v>0</v>
      </c>
      <c r="K416" t="n">
        <v>0</v>
      </c>
      <c r="L416" t="n">
        <v>0</v>
      </c>
      <c r="M416" t="n">
        <v>0</v>
      </c>
      <c r="N416" t="n">
        <v>0</v>
      </c>
      <c r="O416" t="n">
        <v>0</v>
      </c>
      <c r="P416" t="n">
        <v>0</v>
      </c>
      <c r="Q416" t="n">
        <v>0</v>
      </c>
      <c r="R416" s="2" t="inlineStr"/>
    </row>
    <row r="417" ht="15" customHeight="1">
      <c r="A417" t="inlineStr">
        <is>
          <t>A 54073-2022</t>
        </is>
      </c>
      <c r="B417" s="1" t="n">
        <v>44881.50380787037</v>
      </c>
      <c r="C417" s="1" t="n">
        <v>46101</v>
      </c>
      <c r="D417" t="inlineStr">
        <is>
          <t>GOTLANDS LÄN</t>
        </is>
      </c>
      <c r="E417" t="inlineStr">
        <is>
          <t>GOTLAND</t>
        </is>
      </c>
      <c r="G417" t="n">
        <v>3.8</v>
      </c>
      <c r="H417" t="n">
        <v>0</v>
      </c>
      <c r="I417" t="n">
        <v>0</v>
      </c>
      <c r="J417" t="n">
        <v>0</v>
      </c>
      <c r="K417" t="n">
        <v>0</v>
      </c>
      <c r="L417" t="n">
        <v>0</v>
      </c>
      <c r="M417" t="n">
        <v>0</v>
      </c>
      <c r="N417" t="n">
        <v>0</v>
      </c>
      <c r="O417" t="n">
        <v>0</v>
      </c>
      <c r="P417" t="n">
        <v>0</v>
      </c>
      <c r="Q417" t="n">
        <v>0</v>
      </c>
      <c r="R417" s="2" t="inlineStr"/>
    </row>
    <row r="418" ht="15" customHeight="1">
      <c r="A418" t="inlineStr">
        <is>
          <t>A 16361-2024</t>
        </is>
      </c>
      <c r="B418" s="1" t="n">
        <v>45407</v>
      </c>
      <c r="C418" s="1" t="n">
        <v>46101</v>
      </c>
      <c r="D418" t="inlineStr">
        <is>
          <t>GOTLANDS LÄN</t>
        </is>
      </c>
      <c r="E418" t="inlineStr">
        <is>
          <t>GOTLAND</t>
        </is>
      </c>
      <c r="G418" t="n">
        <v>6</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46101</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46101</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31802-2024</t>
        </is>
      </c>
      <c r="B421" s="1" t="n">
        <v>45509</v>
      </c>
      <c r="C421" s="1" t="n">
        <v>46101</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59197-2025</t>
        </is>
      </c>
      <c r="B422" s="1" t="n">
        <v>45988.59846064815</v>
      </c>
      <c r="C422" s="1" t="n">
        <v>46101</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8036-2022</t>
        </is>
      </c>
      <c r="B423" s="1" t="n">
        <v>44609.44362268518</v>
      </c>
      <c r="C423" s="1" t="n">
        <v>46101</v>
      </c>
      <c r="D423" t="inlineStr">
        <is>
          <t>GOTLANDS LÄN</t>
        </is>
      </c>
      <c r="E423" t="inlineStr">
        <is>
          <t>GOTLAND</t>
        </is>
      </c>
      <c r="G423" t="n">
        <v>6.1</v>
      </c>
      <c r="H423" t="n">
        <v>0</v>
      </c>
      <c r="I423" t="n">
        <v>0</v>
      </c>
      <c r="J423" t="n">
        <v>0</v>
      </c>
      <c r="K423" t="n">
        <v>0</v>
      </c>
      <c r="L423" t="n">
        <v>0</v>
      </c>
      <c r="M423" t="n">
        <v>0</v>
      </c>
      <c r="N423" t="n">
        <v>0</v>
      </c>
      <c r="O423" t="n">
        <v>0</v>
      </c>
      <c r="P423" t="n">
        <v>0</v>
      </c>
      <c r="Q423" t="n">
        <v>0</v>
      </c>
      <c r="R423" s="2" t="inlineStr"/>
    </row>
    <row r="424" ht="15" customHeight="1">
      <c r="A424" t="inlineStr">
        <is>
          <t>A 12846-2025</t>
        </is>
      </c>
      <c r="B424" s="1" t="n">
        <v>45733.65049768519</v>
      </c>
      <c r="C424" s="1" t="n">
        <v>46101</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36319-2025</t>
        </is>
      </c>
      <c r="B425" s="1" t="n">
        <v>45868</v>
      </c>
      <c r="C425" s="1" t="n">
        <v>46101</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46949-2024</t>
        </is>
      </c>
      <c r="B426" s="1" t="n">
        <v>45585</v>
      </c>
      <c r="C426" s="1" t="n">
        <v>46101</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10650-2022</t>
        </is>
      </c>
      <c r="B427" s="1" t="n">
        <v>44624.57945601852</v>
      </c>
      <c r="C427" s="1" t="n">
        <v>46101</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11634-2024</t>
        </is>
      </c>
      <c r="B428" s="1" t="n">
        <v>45373</v>
      </c>
      <c r="C428" s="1" t="n">
        <v>46101</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1351-2025</t>
        </is>
      </c>
      <c r="B429" s="1" t="n">
        <v>45667.62246527777</v>
      </c>
      <c r="C429" s="1" t="n">
        <v>46101</v>
      </c>
      <c r="D429" t="inlineStr">
        <is>
          <t>GOTLANDS LÄN</t>
        </is>
      </c>
      <c r="E429" t="inlineStr">
        <is>
          <t>GOTLAND</t>
        </is>
      </c>
      <c r="G429" t="n">
        <v>1.3</v>
      </c>
      <c r="H429" t="n">
        <v>0</v>
      </c>
      <c r="I429" t="n">
        <v>0</v>
      </c>
      <c r="J429" t="n">
        <v>0</v>
      </c>
      <c r="K429" t="n">
        <v>0</v>
      </c>
      <c r="L429" t="n">
        <v>0</v>
      </c>
      <c r="M429" t="n">
        <v>0</v>
      </c>
      <c r="N429" t="n">
        <v>0</v>
      </c>
      <c r="O429" t="n">
        <v>0</v>
      </c>
      <c r="P429" t="n">
        <v>0</v>
      </c>
      <c r="Q429" t="n">
        <v>0</v>
      </c>
      <c r="R429" s="2" t="inlineStr"/>
    </row>
    <row r="430" ht="15" customHeight="1">
      <c r="A430" t="inlineStr">
        <is>
          <t>A 39496-2022</t>
        </is>
      </c>
      <c r="B430" s="1" t="n">
        <v>44818</v>
      </c>
      <c r="C430" s="1" t="n">
        <v>46101</v>
      </c>
      <c r="D430" t="inlineStr">
        <is>
          <t>GOTLANDS LÄN</t>
        </is>
      </c>
      <c r="E430" t="inlineStr">
        <is>
          <t>GOTLAND</t>
        </is>
      </c>
      <c r="G430" t="n">
        <v>2.4</v>
      </c>
      <c r="H430" t="n">
        <v>0</v>
      </c>
      <c r="I430" t="n">
        <v>0</v>
      </c>
      <c r="J430" t="n">
        <v>0</v>
      </c>
      <c r="K430" t="n">
        <v>0</v>
      </c>
      <c r="L430" t="n">
        <v>0</v>
      </c>
      <c r="M430" t="n">
        <v>0</v>
      </c>
      <c r="N430" t="n">
        <v>0</v>
      </c>
      <c r="O430" t="n">
        <v>0</v>
      </c>
      <c r="P430" t="n">
        <v>0</v>
      </c>
      <c r="Q430" t="n">
        <v>0</v>
      </c>
      <c r="R430" s="2" t="inlineStr"/>
    </row>
    <row r="431" ht="15" customHeight="1">
      <c r="A431" t="inlineStr">
        <is>
          <t>A 49874-2024</t>
        </is>
      </c>
      <c r="B431" s="1" t="n">
        <v>45597.49274305555</v>
      </c>
      <c r="C431" s="1" t="n">
        <v>46101</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42201-2023</t>
        </is>
      </c>
      <c r="B432" s="1" t="n">
        <v>45179</v>
      </c>
      <c r="C432" s="1" t="n">
        <v>46101</v>
      </c>
      <c r="D432" t="inlineStr">
        <is>
          <t>GOTLANDS LÄN</t>
        </is>
      </c>
      <c r="E432" t="inlineStr">
        <is>
          <t>GOTLAND</t>
        </is>
      </c>
      <c r="G432" t="n">
        <v>11.9</v>
      </c>
      <c r="H432" t="n">
        <v>0</v>
      </c>
      <c r="I432" t="n">
        <v>0</v>
      </c>
      <c r="J432" t="n">
        <v>0</v>
      </c>
      <c r="K432" t="n">
        <v>0</v>
      </c>
      <c r="L432" t="n">
        <v>0</v>
      </c>
      <c r="M432" t="n">
        <v>0</v>
      </c>
      <c r="N432" t="n">
        <v>0</v>
      </c>
      <c r="O432" t="n">
        <v>0</v>
      </c>
      <c r="P432" t="n">
        <v>0</v>
      </c>
      <c r="Q432" t="n">
        <v>0</v>
      </c>
      <c r="R432" s="2" t="inlineStr"/>
    </row>
    <row r="433" ht="15" customHeight="1">
      <c r="A433" t="inlineStr">
        <is>
          <t>A 62066-2025</t>
        </is>
      </c>
      <c r="B433" s="1" t="n">
        <v>46006.34738425926</v>
      </c>
      <c r="C433" s="1" t="n">
        <v>46101</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46400-2023</t>
        </is>
      </c>
      <c r="B434" s="1" t="n">
        <v>45197.49290509259</v>
      </c>
      <c r="C434" s="1" t="n">
        <v>46101</v>
      </c>
      <c r="D434" t="inlineStr">
        <is>
          <t>GOTLANDS LÄN</t>
        </is>
      </c>
      <c r="E434" t="inlineStr">
        <is>
          <t>GOTLAND</t>
        </is>
      </c>
      <c r="G434" t="n">
        <v>0.8</v>
      </c>
      <c r="H434" t="n">
        <v>0</v>
      </c>
      <c r="I434" t="n">
        <v>0</v>
      </c>
      <c r="J434" t="n">
        <v>0</v>
      </c>
      <c r="K434" t="n">
        <v>0</v>
      </c>
      <c r="L434" t="n">
        <v>0</v>
      </c>
      <c r="M434" t="n">
        <v>0</v>
      </c>
      <c r="N434" t="n">
        <v>0</v>
      </c>
      <c r="O434" t="n">
        <v>0</v>
      </c>
      <c r="P434" t="n">
        <v>0</v>
      </c>
      <c r="Q434" t="n">
        <v>0</v>
      </c>
      <c r="R434" s="2" t="inlineStr"/>
    </row>
    <row r="435" ht="15" customHeight="1">
      <c r="A435" t="inlineStr">
        <is>
          <t>A 62103-2025</t>
        </is>
      </c>
      <c r="B435" s="1" t="n">
        <v>46006</v>
      </c>
      <c r="C435" s="1" t="n">
        <v>46101</v>
      </c>
      <c r="D435" t="inlineStr">
        <is>
          <t>GOTLANDS LÄN</t>
        </is>
      </c>
      <c r="E435" t="inlineStr">
        <is>
          <t>GOTLAND</t>
        </is>
      </c>
      <c r="F435" t="inlineStr">
        <is>
          <t>Övriga Aktiebolag</t>
        </is>
      </c>
      <c r="G435" t="n">
        <v>1.7</v>
      </c>
      <c r="H435" t="n">
        <v>0</v>
      </c>
      <c r="I435" t="n">
        <v>0</v>
      </c>
      <c r="J435" t="n">
        <v>0</v>
      </c>
      <c r="K435" t="n">
        <v>0</v>
      </c>
      <c r="L435" t="n">
        <v>0</v>
      </c>
      <c r="M435" t="n">
        <v>0</v>
      </c>
      <c r="N435" t="n">
        <v>0</v>
      </c>
      <c r="O435" t="n">
        <v>0</v>
      </c>
      <c r="P435" t="n">
        <v>0</v>
      </c>
      <c r="Q435" t="n">
        <v>0</v>
      </c>
      <c r="R435" s="2" t="inlineStr"/>
    </row>
    <row r="436" ht="15" customHeight="1">
      <c r="A436" t="inlineStr">
        <is>
          <t>A 9875-2025</t>
        </is>
      </c>
      <c r="B436" s="1" t="n">
        <v>45716</v>
      </c>
      <c r="C436" s="1" t="n">
        <v>46101</v>
      </c>
      <c r="D436" t="inlineStr">
        <is>
          <t>GOTLANDS LÄN</t>
        </is>
      </c>
      <c r="E436" t="inlineStr">
        <is>
          <t>GOTLAND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21164-2024</t>
        </is>
      </c>
      <c r="B437" s="1" t="n">
        <v>45440</v>
      </c>
      <c r="C437" s="1" t="n">
        <v>46101</v>
      </c>
      <c r="D437" t="inlineStr">
        <is>
          <t>GOTLANDS LÄN</t>
        </is>
      </c>
      <c r="E437" t="inlineStr">
        <is>
          <t>GOTLAND</t>
        </is>
      </c>
      <c r="G437" t="n">
        <v>6.3</v>
      </c>
      <c r="H437" t="n">
        <v>0</v>
      </c>
      <c r="I437" t="n">
        <v>0</v>
      </c>
      <c r="J437" t="n">
        <v>0</v>
      </c>
      <c r="K437" t="n">
        <v>0</v>
      </c>
      <c r="L437" t="n">
        <v>0</v>
      </c>
      <c r="M437" t="n">
        <v>0</v>
      </c>
      <c r="N437" t="n">
        <v>0</v>
      </c>
      <c r="O437" t="n">
        <v>0</v>
      </c>
      <c r="P437" t="n">
        <v>0</v>
      </c>
      <c r="Q437" t="n">
        <v>0</v>
      </c>
      <c r="R437" s="2" t="inlineStr"/>
    </row>
    <row r="438" ht="15" customHeight="1">
      <c r="A438" t="inlineStr">
        <is>
          <t>A 8045-2022</t>
        </is>
      </c>
      <c r="B438" s="1" t="n">
        <v>44609</v>
      </c>
      <c r="C438" s="1" t="n">
        <v>46101</v>
      </c>
      <c r="D438" t="inlineStr">
        <is>
          <t>GOTLANDS LÄN</t>
        </is>
      </c>
      <c r="E438" t="inlineStr">
        <is>
          <t>GOTLAND</t>
        </is>
      </c>
      <c r="G438" t="n">
        <v>7</v>
      </c>
      <c r="H438" t="n">
        <v>0</v>
      </c>
      <c r="I438" t="n">
        <v>0</v>
      </c>
      <c r="J438" t="n">
        <v>0</v>
      </c>
      <c r="K438" t="n">
        <v>0</v>
      </c>
      <c r="L438" t="n">
        <v>0</v>
      </c>
      <c r="M438" t="n">
        <v>0</v>
      </c>
      <c r="N438" t="n">
        <v>0</v>
      </c>
      <c r="O438" t="n">
        <v>0</v>
      </c>
      <c r="P438" t="n">
        <v>0</v>
      </c>
      <c r="Q438" t="n">
        <v>0</v>
      </c>
      <c r="R438" s="2" t="inlineStr"/>
    </row>
    <row r="439" ht="15" customHeight="1">
      <c r="A439" t="inlineStr">
        <is>
          <t>A 47147-2025</t>
        </is>
      </c>
      <c r="B439" s="1" t="n">
        <v>45929</v>
      </c>
      <c r="C439" s="1" t="n">
        <v>46101</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22897-2023</t>
        </is>
      </c>
      <c r="B440" s="1" t="n">
        <v>45072.55239583334</v>
      </c>
      <c r="C440" s="1" t="n">
        <v>46101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63002-2025</t>
        </is>
      </c>
      <c r="B441" s="1" t="n">
        <v>46009.56564814815</v>
      </c>
      <c r="C441" s="1" t="n">
        <v>46101</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61897-2024</t>
        </is>
      </c>
      <c r="B442" s="1" t="n">
        <v>45652.75685185185</v>
      </c>
      <c r="C442" s="1" t="n">
        <v>46101</v>
      </c>
      <c r="D442" t="inlineStr">
        <is>
          <t>GOTLANDS LÄN</t>
        </is>
      </c>
      <c r="E442" t="inlineStr">
        <is>
          <t>GOTLAND</t>
        </is>
      </c>
      <c r="G442" t="n">
        <v>6.4</v>
      </c>
      <c r="H442" t="n">
        <v>0</v>
      </c>
      <c r="I442" t="n">
        <v>0</v>
      </c>
      <c r="J442" t="n">
        <v>0</v>
      </c>
      <c r="K442" t="n">
        <v>0</v>
      </c>
      <c r="L442" t="n">
        <v>0</v>
      </c>
      <c r="M442" t="n">
        <v>0</v>
      </c>
      <c r="N442" t="n">
        <v>0</v>
      </c>
      <c r="O442" t="n">
        <v>0</v>
      </c>
      <c r="P442" t="n">
        <v>0</v>
      </c>
      <c r="Q442" t="n">
        <v>0</v>
      </c>
      <c r="R442" s="2" t="inlineStr"/>
    </row>
    <row r="443" ht="15" customHeight="1">
      <c r="A443" t="inlineStr">
        <is>
          <t>A 54584-2025</t>
        </is>
      </c>
      <c r="B443" s="1" t="n">
        <v>45965.71788194445</v>
      </c>
      <c r="C443" s="1" t="n">
        <v>46101</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49962-2023</t>
        </is>
      </c>
      <c r="B444" s="1" t="n">
        <v>45215.38775462963</v>
      </c>
      <c r="C444" s="1" t="n">
        <v>46101</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38649-2025</t>
        </is>
      </c>
      <c r="B445" s="1" t="n">
        <v>45884</v>
      </c>
      <c r="C445" s="1" t="n">
        <v>46101</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20165-2022</t>
        </is>
      </c>
      <c r="B446" s="1" t="n">
        <v>44698.49854166667</v>
      </c>
      <c r="C446" s="1" t="n">
        <v>46101</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61078-2025</t>
        </is>
      </c>
      <c r="B447" s="1" t="n">
        <v>46000</v>
      </c>
      <c r="C447" s="1" t="n">
        <v>46101</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7625-2026</t>
        </is>
      </c>
      <c r="B448" s="1" t="n">
        <v>46062.35135416667</v>
      </c>
      <c r="C448" s="1" t="n">
        <v>46101</v>
      </c>
      <c r="D448" t="inlineStr">
        <is>
          <t>GOTLANDS LÄN</t>
        </is>
      </c>
      <c r="E448" t="inlineStr">
        <is>
          <t>GOTLAND</t>
        </is>
      </c>
      <c r="G448" t="n">
        <v>2.1</v>
      </c>
      <c r="H448" t="n">
        <v>0</v>
      </c>
      <c r="I448" t="n">
        <v>0</v>
      </c>
      <c r="J448" t="n">
        <v>0</v>
      </c>
      <c r="K448" t="n">
        <v>0</v>
      </c>
      <c r="L448" t="n">
        <v>0</v>
      </c>
      <c r="M448" t="n">
        <v>0</v>
      </c>
      <c r="N448" t="n">
        <v>0</v>
      </c>
      <c r="O448" t="n">
        <v>0</v>
      </c>
      <c r="P448" t="n">
        <v>0</v>
      </c>
      <c r="Q448" t="n">
        <v>0</v>
      </c>
      <c r="R448" s="2" t="inlineStr"/>
    </row>
    <row r="449" ht="15" customHeight="1">
      <c r="A449" t="inlineStr">
        <is>
          <t>A 7627-2026</t>
        </is>
      </c>
      <c r="B449" s="1" t="n">
        <v>46062.35465277778</v>
      </c>
      <c r="C449" s="1" t="n">
        <v>46101</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40294-2022</t>
        </is>
      </c>
      <c r="B450" s="1" t="n">
        <v>44821</v>
      </c>
      <c r="C450" s="1" t="n">
        <v>46101</v>
      </c>
      <c r="D450" t="inlineStr">
        <is>
          <t>GOTLANDS LÄN</t>
        </is>
      </c>
      <c r="E450" t="inlineStr">
        <is>
          <t>GOTLAND</t>
        </is>
      </c>
      <c r="G450" t="n">
        <v>1.6</v>
      </c>
      <c r="H450" t="n">
        <v>0</v>
      </c>
      <c r="I450" t="n">
        <v>0</v>
      </c>
      <c r="J450" t="n">
        <v>0</v>
      </c>
      <c r="K450" t="n">
        <v>0</v>
      </c>
      <c r="L450" t="n">
        <v>0</v>
      </c>
      <c r="M450" t="n">
        <v>0</v>
      </c>
      <c r="N450" t="n">
        <v>0</v>
      </c>
      <c r="O450" t="n">
        <v>0</v>
      </c>
      <c r="P450" t="n">
        <v>0</v>
      </c>
      <c r="Q450" t="n">
        <v>0</v>
      </c>
      <c r="R450" s="2" t="inlineStr"/>
    </row>
    <row r="451" ht="15" customHeight="1">
      <c r="A451" t="inlineStr">
        <is>
          <t>A 12032-2025</t>
        </is>
      </c>
      <c r="B451" s="1" t="n">
        <v>45728.64472222222</v>
      </c>
      <c r="C451" s="1" t="n">
        <v>46101</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38787-2023</t>
        </is>
      </c>
      <c r="B452" s="1" t="n">
        <v>45163</v>
      </c>
      <c r="C452" s="1" t="n">
        <v>46101</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43231-2023</t>
        </is>
      </c>
      <c r="B453" s="1" t="n">
        <v>45183.47025462963</v>
      </c>
      <c r="C453" s="1" t="n">
        <v>46101</v>
      </c>
      <c r="D453" t="inlineStr">
        <is>
          <t>GOTLANDS LÄN</t>
        </is>
      </c>
      <c r="E453" t="inlineStr">
        <is>
          <t>GOTLAND</t>
        </is>
      </c>
      <c r="G453" t="n">
        <v>3.6</v>
      </c>
      <c r="H453" t="n">
        <v>0</v>
      </c>
      <c r="I453" t="n">
        <v>0</v>
      </c>
      <c r="J453" t="n">
        <v>0</v>
      </c>
      <c r="K453" t="n">
        <v>0</v>
      </c>
      <c r="L453" t="n">
        <v>0</v>
      </c>
      <c r="M453" t="n">
        <v>0</v>
      </c>
      <c r="N453" t="n">
        <v>0</v>
      </c>
      <c r="O453" t="n">
        <v>0</v>
      </c>
      <c r="P453" t="n">
        <v>0</v>
      </c>
      <c r="Q453" t="n">
        <v>0</v>
      </c>
      <c r="R453" s="2" t="inlineStr"/>
    </row>
    <row r="454" ht="15" customHeight="1">
      <c r="A454" t="inlineStr">
        <is>
          <t>A 17532-2024</t>
        </is>
      </c>
      <c r="B454" s="1" t="n">
        <v>45415</v>
      </c>
      <c r="C454" s="1" t="n">
        <v>46101</v>
      </c>
      <c r="D454" t="inlineStr">
        <is>
          <t>GOTLANDS LÄN</t>
        </is>
      </c>
      <c r="E454" t="inlineStr">
        <is>
          <t>GOTLAND</t>
        </is>
      </c>
      <c r="G454" t="n">
        <v>4.3</v>
      </c>
      <c r="H454" t="n">
        <v>0</v>
      </c>
      <c r="I454" t="n">
        <v>0</v>
      </c>
      <c r="J454" t="n">
        <v>0</v>
      </c>
      <c r="K454" t="n">
        <v>0</v>
      </c>
      <c r="L454" t="n">
        <v>0</v>
      </c>
      <c r="M454" t="n">
        <v>0</v>
      </c>
      <c r="N454" t="n">
        <v>0</v>
      </c>
      <c r="O454" t="n">
        <v>0</v>
      </c>
      <c r="P454" t="n">
        <v>0</v>
      </c>
      <c r="Q454" t="n">
        <v>0</v>
      </c>
      <c r="R454" s="2" t="inlineStr"/>
    </row>
    <row r="455" ht="15" customHeight="1">
      <c r="A455" t="inlineStr">
        <is>
          <t>A 36-2026</t>
        </is>
      </c>
      <c r="B455" s="1" t="n">
        <v>46024.38886574074</v>
      </c>
      <c r="C455" s="1" t="n">
        <v>46101</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3935-2025</t>
        </is>
      </c>
      <c r="B456" s="1" t="n">
        <v>45684.46070601852</v>
      </c>
      <c r="C456" s="1" t="n">
        <v>46101</v>
      </c>
      <c r="D456" t="inlineStr">
        <is>
          <t>GOTLANDS LÄN</t>
        </is>
      </c>
      <c r="E456" t="inlineStr">
        <is>
          <t>GOTLAND</t>
        </is>
      </c>
      <c r="G456" t="n">
        <v>2.6</v>
      </c>
      <c r="H456" t="n">
        <v>0</v>
      </c>
      <c r="I456" t="n">
        <v>0</v>
      </c>
      <c r="J456" t="n">
        <v>0</v>
      </c>
      <c r="K456" t="n">
        <v>0</v>
      </c>
      <c r="L456" t="n">
        <v>0</v>
      </c>
      <c r="M456" t="n">
        <v>0</v>
      </c>
      <c r="N456" t="n">
        <v>0</v>
      </c>
      <c r="O456" t="n">
        <v>0</v>
      </c>
      <c r="P456" t="n">
        <v>0</v>
      </c>
      <c r="Q456" t="n">
        <v>0</v>
      </c>
      <c r="R456" s="2" t="inlineStr"/>
    </row>
    <row r="457" ht="15" customHeight="1">
      <c r="A457" t="inlineStr">
        <is>
          <t>A 62674-2025</t>
        </is>
      </c>
      <c r="B457" s="1" t="n">
        <v>46008</v>
      </c>
      <c r="C457" s="1" t="n">
        <v>46101</v>
      </c>
      <c r="D457" t="inlineStr">
        <is>
          <t>GOTLANDS LÄN</t>
        </is>
      </c>
      <c r="E457" t="inlineStr">
        <is>
          <t>GOTLAND</t>
        </is>
      </c>
      <c r="G457" t="n">
        <v>5</v>
      </c>
      <c r="H457" t="n">
        <v>0</v>
      </c>
      <c r="I457" t="n">
        <v>0</v>
      </c>
      <c r="J457" t="n">
        <v>0</v>
      </c>
      <c r="K457" t="n">
        <v>0</v>
      </c>
      <c r="L457" t="n">
        <v>0</v>
      </c>
      <c r="M457" t="n">
        <v>0</v>
      </c>
      <c r="N457" t="n">
        <v>0</v>
      </c>
      <c r="O457" t="n">
        <v>0</v>
      </c>
      <c r="P457" t="n">
        <v>0</v>
      </c>
      <c r="Q457" t="n">
        <v>0</v>
      </c>
      <c r="R457" s="2" t="inlineStr"/>
    </row>
    <row r="458" ht="15" customHeight="1">
      <c r="A458" t="inlineStr">
        <is>
          <t>A 20225-2025</t>
        </is>
      </c>
      <c r="B458" s="1" t="n">
        <v>45772.65802083333</v>
      </c>
      <c r="C458" s="1" t="n">
        <v>46101</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9543-2026</t>
        </is>
      </c>
      <c r="B459" s="1" t="n">
        <v>46071.62486111111</v>
      </c>
      <c r="C459" s="1" t="n">
        <v>46101</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883-2025</t>
        </is>
      </c>
      <c r="B460" s="1" t="n">
        <v>45665</v>
      </c>
      <c r="C460" s="1" t="n">
        <v>46101</v>
      </c>
      <c r="D460" t="inlineStr">
        <is>
          <t>GOTLANDS LÄN</t>
        </is>
      </c>
      <c r="E460" t="inlineStr">
        <is>
          <t>GOTLAND</t>
        </is>
      </c>
      <c r="G460" t="n">
        <v>1.3</v>
      </c>
      <c r="H460" t="n">
        <v>0</v>
      </c>
      <c r="I460" t="n">
        <v>0</v>
      </c>
      <c r="J460" t="n">
        <v>0</v>
      </c>
      <c r="K460" t="n">
        <v>0</v>
      </c>
      <c r="L460" t="n">
        <v>0</v>
      </c>
      <c r="M460" t="n">
        <v>0</v>
      </c>
      <c r="N460" t="n">
        <v>0</v>
      </c>
      <c r="O460" t="n">
        <v>0</v>
      </c>
      <c r="P460" t="n">
        <v>0</v>
      </c>
      <c r="Q460" t="n">
        <v>0</v>
      </c>
      <c r="R460" s="2" t="inlineStr"/>
    </row>
    <row r="461" ht="15" customHeight="1">
      <c r="A461" t="inlineStr">
        <is>
          <t>A 9521-2026</t>
        </is>
      </c>
      <c r="B461" s="1" t="n">
        <v>46071.59969907408</v>
      </c>
      <c r="C461" s="1" t="n">
        <v>46101</v>
      </c>
      <c r="D461" t="inlineStr">
        <is>
          <t>GOTLANDS LÄN</t>
        </is>
      </c>
      <c r="E461" t="inlineStr">
        <is>
          <t>GOTLAND</t>
        </is>
      </c>
      <c r="G461" t="n">
        <v>3.9</v>
      </c>
      <c r="H461" t="n">
        <v>0</v>
      </c>
      <c r="I461" t="n">
        <v>0</v>
      </c>
      <c r="J461" t="n">
        <v>0</v>
      </c>
      <c r="K461" t="n">
        <v>0</v>
      </c>
      <c r="L461" t="n">
        <v>0</v>
      </c>
      <c r="M461" t="n">
        <v>0</v>
      </c>
      <c r="N461" t="n">
        <v>0</v>
      </c>
      <c r="O461" t="n">
        <v>0</v>
      </c>
      <c r="P461" t="n">
        <v>0</v>
      </c>
      <c r="Q461" t="n">
        <v>0</v>
      </c>
      <c r="R461" s="2" t="inlineStr"/>
    </row>
    <row r="462" ht="15" customHeight="1">
      <c r="A462" t="inlineStr">
        <is>
          <t>A 9524-2026</t>
        </is>
      </c>
      <c r="B462" s="1" t="n">
        <v>46071.60108796296</v>
      </c>
      <c r="C462" s="1" t="n">
        <v>46101</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9518-2026</t>
        </is>
      </c>
      <c r="B463" s="1" t="n">
        <v>46071.59653935185</v>
      </c>
      <c r="C463" s="1" t="n">
        <v>46101</v>
      </c>
      <c r="D463" t="inlineStr">
        <is>
          <t>GOTLANDS LÄN</t>
        </is>
      </c>
      <c r="E463" t="inlineStr">
        <is>
          <t>GOTLAND</t>
        </is>
      </c>
      <c r="G463" t="n">
        <v>6.2</v>
      </c>
      <c r="H463" t="n">
        <v>0</v>
      </c>
      <c r="I463" t="n">
        <v>0</v>
      </c>
      <c r="J463" t="n">
        <v>0</v>
      </c>
      <c r="K463" t="n">
        <v>0</v>
      </c>
      <c r="L463" t="n">
        <v>0</v>
      </c>
      <c r="M463" t="n">
        <v>0</v>
      </c>
      <c r="N463" t="n">
        <v>0</v>
      </c>
      <c r="O463" t="n">
        <v>0</v>
      </c>
      <c r="P463" t="n">
        <v>0</v>
      </c>
      <c r="Q463" t="n">
        <v>0</v>
      </c>
      <c r="R463" s="2" t="inlineStr"/>
    </row>
    <row r="464" ht="15" customHeight="1">
      <c r="A464" t="inlineStr">
        <is>
          <t>A 9519-2026</t>
        </is>
      </c>
      <c r="B464" s="1" t="n">
        <v>46071.59820601852</v>
      </c>
      <c r="C464" s="1" t="n">
        <v>46101</v>
      </c>
      <c r="D464" t="inlineStr">
        <is>
          <t>GOTLANDS LÄN</t>
        </is>
      </c>
      <c r="E464" t="inlineStr">
        <is>
          <t>GOTLAND</t>
        </is>
      </c>
      <c r="G464" t="n">
        <v>4</v>
      </c>
      <c r="H464" t="n">
        <v>0</v>
      </c>
      <c r="I464" t="n">
        <v>0</v>
      </c>
      <c r="J464" t="n">
        <v>0</v>
      </c>
      <c r="K464" t="n">
        <v>0</v>
      </c>
      <c r="L464" t="n">
        <v>0</v>
      </c>
      <c r="M464" t="n">
        <v>0</v>
      </c>
      <c r="N464" t="n">
        <v>0</v>
      </c>
      <c r="O464" t="n">
        <v>0</v>
      </c>
      <c r="P464" t="n">
        <v>0</v>
      </c>
      <c r="Q464" t="n">
        <v>0</v>
      </c>
      <c r="R464" s="2" t="inlineStr"/>
    </row>
    <row r="465" ht="15" customHeight="1">
      <c r="A465" t="inlineStr">
        <is>
          <t>A 9540-2026</t>
        </is>
      </c>
      <c r="B465" s="1" t="n">
        <v>46071.61961805556</v>
      </c>
      <c r="C465" s="1" t="n">
        <v>46101</v>
      </c>
      <c r="D465" t="inlineStr">
        <is>
          <t>GOTLANDS LÄN</t>
        </is>
      </c>
      <c r="E465" t="inlineStr">
        <is>
          <t>GOTLAND</t>
        </is>
      </c>
      <c r="G465" t="n">
        <v>2.8</v>
      </c>
      <c r="H465" t="n">
        <v>0</v>
      </c>
      <c r="I465" t="n">
        <v>0</v>
      </c>
      <c r="J465" t="n">
        <v>0</v>
      </c>
      <c r="K465" t="n">
        <v>0</v>
      </c>
      <c r="L465" t="n">
        <v>0</v>
      </c>
      <c r="M465" t="n">
        <v>0</v>
      </c>
      <c r="N465" t="n">
        <v>0</v>
      </c>
      <c r="O465" t="n">
        <v>0</v>
      </c>
      <c r="P465" t="n">
        <v>0</v>
      </c>
      <c r="Q465" t="n">
        <v>0</v>
      </c>
      <c r="R465" s="2" t="inlineStr"/>
    </row>
    <row r="466" ht="15" customHeight="1">
      <c r="A466" t="inlineStr">
        <is>
          <t>A 9504-2026</t>
        </is>
      </c>
      <c r="B466" s="1" t="n">
        <v>46071.57730324074</v>
      </c>
      <c r="C466" s="1" t="n">
        <v>46101</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63105-2025</t>
        </is>
      </c>
      <c r="B467" s="1" t="n">
        <v>46009</v>
      </c>
      <c r="C467" s="1" t="n">
        <v>46101</v>
      </c>
      <c r="D467" t="inlineStr">
        <is>
          <t>GOTLANDS LÄN</t>
        </is>
      </c>
      <c r="E467" t="inlineStr">
        <is>
          <t>GOTLAND</t>
        </is>
      </c>
      <c r="G467" t="n">
        <v>2.6</v>
      </c>
      <c r="H467" t="n">
        <v>0</v>
      </c>
      <c r="I467" t="n">
        <v>0</v>
      </c>
      <c r="J467" t="n">
        <v>0</v>
      </c>
      <c r="K467" t="n">
        <v>0</v>
      </c>
      <c r="L467" t="n">
        <v>0</v>
      </c>
      <c r="M467" t="n">
        <v>0</v>
      </c>
      <c r="N467" t="n">
        <v>0</v>
      </c>
      <c r="O467" t="n">
        <v>0</v>
      </c>
      <c r="P467" t="n">
        <v>0</v>
      </c>
      <c r="Q467" t="n">
        <v>0</v>
      </c>
      <c r="R467" s="2" t="inlineStr"/>
    </row>
    <row r="468" ht="15" customHeight="1">
      <c r="A468" t="inlineStr">
        <is>
          <t>A 63152-2025</t>
        </is>
      </c>
      <c r="B468" s="1" t="n">
        <v>46010</v>
      </c>
      <c r="C468" s="1" t="n">
        <v>46101</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1066-2024</t>
        </is>
      </c>
      <c r="B469" s="1" t="n">
        <v>45302.285</v>
      </c>
      <c r="C469" s="1" t="n">
        <v>46101</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17144-2025</t>
        </is>
      </c>
      <c r="B470" s="1" t="n">
        <v>45755.9499537037</v>
      </c>
      <c r="C470" s="1" t="n">
        <v>46101</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9901-2026</t>
        </is>
      </c>
      <c r="B471" s="1" t="n">
        <v>46073.40391203704</v>
      </c>
      <c r="C471" s="1" t="n">
        <v>46101</v>
      </c>
      <c r="D471" t="inlineStr">
        <is>
          <t>GOTLANDS LÄN</t>
        </is>
      </c>
      <c r="E471" t="inlineStr">
        <is>
          <t>GOTLAND</t>
        </is>
      </c>
      <c r="F471" t="inlineStr">
        <is>
          <t>Kyrkan</t>
        </is>
      </c>
      <c r="G471" t="n">
        <v>0.9</v>
      </c>
      <c r="H471" t="n">
        <v>0</v>
      </c>
      <c r="I471" t="n">
        <v>0</v>
      </c>
      <c r="J471" t="n">
        <v>0</v>
      </c>
      <c r="K471" t="n">
        <v>0</v>
      </c>
      <c r="L471" t="n">
        <v>0</v>
      </c>
      <c r="M471" t="n">
        <v>0</v>
      </c>
      <c r="N471" t="n">
        <v>0</v>
      </c>
      <c r="O471" t="n">
        <v>0</v>
      </c>
      <c r="P471" t="n">
        <v>0</v>
      </c>
      <c r="Q471" t="n">
        <v>0</v>
      </c>
      <c r="R471" s="2" t="inlineStr"/>
    </row>
    <row r="472" ht="15" customHeight="1">
      <c r="A472" t="inlineStr">
        <is>
          <t>A 1355-2026</t>
        </is>
      </c>
      <c r="B472" s="1" t="n">
        <v>46031.59909722222</v>
      </c>
      <c r="C472" s="1" t="n">
        <v>46101</v>
      </c>
      <c r="D472" t="inlineStr">
        <is>
          <t>GOTLANDS LÄN</t>
        </is>
      </c>
      <c r="E472" t="inlineStr">
        <is>
          <t>GOTLAND</t>
        </is>
      </c>
      <c r="G472" t="n">
        <v>3.1</v>
      </c>
      <c r="H472" t="n">
        <v>0</v>
      </c>
      <c r="I472" t="n">
        <v>0</v>
      </c>
      <c r="J472" t="n">
        <v>0</v>
      </c>
      <c r="K472" t="n">
        <v>0</v>
      </c>
      <c r="L472" t="n">
        <v>0</v>
      </c>
      <c r="M472" t="n">
        <v>0</v>
      </c>
      <c r="N472" t="n">
        <v>0</v>
      </c>
      <c r="O472" t="n">
        <v>0</v>
      </c>
      <c r="P472" t="n">
        <v>0</v>
      </c>
      <c r="Q472" t="n">
        <v>0</v>
      </c>
      <c r="R472" s="2" t="inlineStr"/>
    </row>
    <row r="473" ht="15" customHeight="1">
      <c r="A473" t="inlineStr">
        <is>
          <t>A 56009-2024</t>
        </is>
      </c>
      <c r="B473" s="1" t="n">
        <v>45623.80864583333</v>
      </c>
      <c r="C473" s="1" t="n">
        <v>46101</v>
      </c>
      <c r="D473" t="inlineStr">
        <is>
          <t>GOTLANDS LÄN</t>
        </is>
      </c>
      <c r="E473" t="inlineStr">
        <is>
          <t>GOTLAND</t>
        </is>
      </c>
      <c r="G473" t="n">
        <v>2.8</v>
      </c>
      <c r="H473" t="n">
        <v>0</v>
      </c>
      <c r="I473" t="n">
        <v>0</v>
      </c>
      <c r="J473" t="n">
        <v>0</v>
      </c>
      <c r="K473" t="n">
        <v>0</v>
      </c>
      <c r="L473" t="n">
        <v>0</v>
      </c>
      <c r="M473" t="n">
        <v>0</v>
      </c>
      <c r="N473" t="n">
        <v>0</v>
      </c>
      <c r="O473" t="n">
        <v>0</v>
      </c>
      <c r="P473" t="n">
        <v>0</v>
      </c>
      <c r="Q473" t="n">
        <v>0</v>
      </c>
      <c r="R473" s="2" t="inlineStr"/>
    </row>
    <row r="474" ht="15" customHeight="1">
      <c r="A474" t="inlineStr">
        <is>
          <t>A 42338-2023</t>
        </is>
      </c>
      <c r="B474" s="1" t="n">
        <v>45180</v>
      </c>
      <c r="C474" s="1" t="n">
        <v>46101</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10486-2026</t>
        </is>
      </c>
      <c r="B475" s="1" t="n">
        <v>46077.51425925926</v>
      </c>
      <c r="C475" s="1" t="n">
        <v>46101</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62836-2025</t>
        </is>
      </c>
      <c r="B476" s="1" t="n">
        <v>46008</v>
      </c>
      <c r="C476" s="1" t="n">
        <v>46101</v>
      </c>
      <c r="D476" t="inlineStr">
        <is>
          <t>GOTLANDS LÄN</t>
        </is>
      </c>
      <c r="E476" t="inlineStr">
        <is>
          <t>GOTLAND</t>
        </is>
      </c>
      <c r="G476" t="n">
        <v>6.5</v>
      </c>
      <c r="H476" t="n">
        <v>0</v>
      </c>
      <c r="I476" t="n">
        <v>0</v>
      </c>
      <c r="J476" t="n">
        <v>0</v>
      </c>
      <c r="K476" t="n">
        <v>0</v>
      </c>
      <c r="L476" t="n">
        <v>0</v>
      </c>
      <c r="M476" t="n">
        <v>0</v>
      </c>
      <c r="N476" t="n">
        <v>0</v>
      </c>
      <c r="O476" t="n">
        <v>0</v>
      </c>
      <c r="P476" t="n">
        <v>0</v>
      </c>
      <c r="Q476" t="n">
        <v>0</v>
      </c>
      <c r="R476" s="2" t="inlineStr"/>
    </row>
    <row r="477" ht="15" customHeight="1">
      <c r="A477" t="inlineStr">
        <is>
          <t>A 10284-2026</t>
        </is>
      </c>
      <c r="B477" s="1" t="n">
        <v>46076</v>
      </c>
      <c r="C477" s="1" t="n">
        <v>46101</v>
      </c>
      <c r="D477" t="inlineStr">
        <is>
          <t>GOTLANDS LÄN</t>
        </is>
      </c>
      <c r="E477" t="inlineStr">
        <is>
          <t>GOTLAND</t>
        </is>
      </c>
      <c r="G477" t="n">
        <v>5.2</v>
      </c>
      <c r="H477" t="n">
        <v>0</v>
      </c>
      <c r="I477" t="n">
        <v>0</v>
      </c>
      <c r="J477" t="n">
        <v>0</v>
      </c>
      <c r="K477" t="n">
        <v>0</v>
      </c>
      <c r="L477" t="n">
        <v>0</v>
      </c>
      <c r="M477" t="n">
        <v>0</v>
      </c>
      <c r="N477" t="n">
        <v>0</v>
      </c>
      <c r="O477" t="n">
        <v>0</v>
      </c>
      <c r="P477" t="n">
        <v>0</v>
      </c>
      <c r="Q477" t="n">
        <v>0</v>
      </c>
      <c r="R477" s="2" t="inlineStr"/>
    </row>
    <row r="478" ht="15" customHeight="1">
      <c r="A478" t="inlineStr">
        <is>
          <t>A 1898-2026</t>
        </is>
      </c>
      <c r="B478" s="1" t="n">
        <v>46035.52024305556</v>
      </c>
      <c r="C478" s="1" t="n">
        <v>46101</v>
      </c>
      <c r="D478" t="inlineStr">
        <is>
          <t>GOTLANDS LÄN</t>
        </is>
      </c>
      <c r="E478" t="inlineStr">
        <is>
          <t>GOTLAND</t>
        </is>
      </c>
      <c r="G478" t="n">
        <v>3.7</v>
      </c>
      <c r="H478" t="n">
        <v>0</v>
      </c>
      <c r="I478" t="n">
        <v>0</v>
      </c>
      <c r="J478" t="n">
        <v>0</v>
      </c>
      <c r="K478" t="n">
        <v>0</v>
      </c>
      <c r="L478" t="n">
        <v>0</v>
      </c>
      <c r="M478" t="n">
        <v>0</v>
      </c>
      <c r="N478" t="n">
        <v>0</v>
      </c>
      <c r="O478" t="n">
        <v>0</v>
      </c>
      <c r="P478" t="n">
        <v>0</v>
      </c>
      <c r="Q478" t="n">
        <v>0</v>
      </c>
      <c r="R478" s="2" t="inlineStr"/>
    </row>
    <row r="479" ht="15" customHeight="1">
      <c r="A479" t="inlineStr">
        <is>
          <t>A 581-2023</t>
        </is>
      </c>
      <c r="B479" s="1" t="n">
        <v>44930</v>
      </c>
      <c r="C479" s="1" t="n">
        <v>46101</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2415-2026</t>
        </is>
      </c>
      <c r="B480" s="1" t="n">
        <v>46036.76203703704</v>
      </c>
      <c r="C480" s="1" t="n">
        <v>46101</v>
      </c>
      <c r="D480" t="inlineStr">
        <is>
          <t>GOTLANDS LÄN</t>
        </is>
      </c>
      <c r="E480" t="inlineStr">
        <is>
          <t>GOTLAND</t>
        </is>
      </c>
      <c r="G480" t="n">
        <v>6.9</v>
      </c>
      <c r="H480" t="n">
        <v>0</v>
      </c>
      <c r="I480" t="n">
        <v>0</v>
      </c>
      <c r="J480" t="n">
        <v>0</v>
      </c>
      <c r="K480" t="n">
        <v>0</v>
      </c>
      <c r="L480" t="n">
        <v>0</v>
      </c>
      <c r="M480" t="n">
        <v>0</v>
      </c>
      <c r="N480" t="n">
        <v>0</v>
      </c>
      <c r="O480" t="n">
        <v>0</v>
      </c>
      <c r="P480" t="n">
        <v>0</v>
      </c>
      <c r="Q480" t="n">
        <v>0</v>
      </c>
      <c r="R480" s="2" t="inlineStr"/>
    </row>
    <row r="481" ht="15" customHeight="1">
      <c r="A481" t="inlineStr">
        <is>
          <t>A 61386-2023</t>
        </is>
      </c>
      <c r="B481" s="1" t="n">
        <v>45264</v>
      </c>
      <c r="C481" s="1" t="n">
        <v>46101</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873-2024</t>
        </is>
      </c>
      <c r="B482" s="1" t="n">
        <v>45301</v>
      </c>
      <c r="C482" s="1" t="n">
        <v>46101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49411-2023</t>
        </is>
      </c>
      <c r="B483" s="1" t="n">
        <v>45205</v>
      </c>
      <c r="C483" s="1" t="n">
        <v>46101</v>
      </c>
      <c r="D483" t="inlineStr">
        <is>
          <t>GOTLANDS LÄN</t>
        </is>
      </c>
      <c r="E483" t="inlineStr">
        <is>
          <t>GOTLAND</t>
        </is>
      </c>
      <c r="G483" t="n">
        <v>2</v>
      </c>
      <c r="H483" t="n">
        <v>0</v>
      </c>
      <c r="I483" t="n">
        <v>0</v>
      </c>
      <c r="J483" t="n">
        <v>0</v>
      </c>
      <c r="K483" t="n">
        <v>0</v>
      </c>
      <c r="L483" t="n">
        <v>0</v>
      </c>
      <c r="M483" t="n">
        <v>0</v>
      </c>
      <c r="N483" t="n">
        <v>0</v>
      </c>
      <c r="O483" t="n">
        <v>0</v>
      </c>
      <c r="P483" t="n">
        <v>0</v>
      </c>
      <c r="Q483" t="n">
        <v>0</v>
      </c>
      <c r="R483" s="2" t="inlineStr"/>
    </row>
    <row r="484" ht="15" customHeight="1">
      <c r="A484" t="inlineStr">
        <is>
          <t>A 22275-2023</t>
        </is>
      </c>
      <c r="B484" s="1" t="n">
        <v>45070.39875</v>
      </c>
      <c r="C484" s="1" t="n">
        <v>46101</v>
      </c>
      <c r="D484" t="inlineStr">
        <is>
          <t>GOTLANDS LÄN</t>
        </is>
      </c>
      <c r="E484" t="inlineStr">
        <is>
          <t>GOTLAND</t>
        </is>
      </c>
      <c r="G484" t="n">
        <v>7.2</v>
      </c>
      <c r="H484" t="n">
        <v>0</v>
      </c>
      <c r="I484" t="n">
        <v>0</v>
      </c>
      <c r="J484" t="n">
        <v>0</v>
      </c>
      <c r="K484" t="n">
        <v>0</v>
      </c>
      <c r="L484" t="n">
        <v>0</v>
      </c>
      <c r="M484" t="n">
        <v>0</v>
      </c>
      <c r="N484" t="n">
        <v>0</v>
      </c>
      <c r="O484" t="n">
        <v>0</v>
      </c>
      <c r="P484" t="n">
        <v>0</v>
      </c>
      <c r="Q484" t="n">
        <v>0</v>
      </c>
      <c r="R484" s="2" t="inlineStr"/>
    </row>
    <row r="485" ht="15" customHeight="1">
      <c r="A485" t="inlineStr">
        <is>
          <t>A 12322-2025</t>
        </is>
      </c>
      <c r="B485" s="1" t="n">
        <v>45730</v>
      </c>
      <c r="C485" s="1" t="n">
        <v>46101</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11414-2026</t>
        </is>
      </c>
      <c r="B486" s="1" t="n">
        <v>46083.46336805556</v>
      </c>
      <c r="C486" s="1" t="n">
        <v>46101</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14797-2024</t>
        </is>
      </c>
      <c r="B487" s="1" t="n">
        <v>45397.87030092593</v>
      </c>
      <c r="C487" s="1" t="n">
        <v>46101</v>
      </c>
      <c r="D487" t="inlineStr">
        <is>
          <t>GOTLANDS LÄN</t>
        </is>
      </c>
      <c r="E487" t="inlineStr">
        <is>
          <t>GOTLAND</t>
        </is>
      </c>
      <c r="G487" t="n">
        <v>8.1</v>
      </c>
      <c r="H487" t="n">
        <v>0</v>
      </c>
      <c r="I487" t="n">
        <v>0</v>
      </c>
      <c r="J487" t="n">
        <v>0</v>
      </c>
      <c r="K487" t="n">
        <v>0</v>
      </c>
      <c r="L487" t="n">
        <v>0</v>
      </c>
      <c r="M487" t="n">
        <v>0</v>
      </c>
      <c r="N487" t="n">
        <v>0</v>
      </c>
      <c r="O487" t="n">
        <v>0</v>
      </c>
      <c r="P487" t="n">
        <v>0</v>
      </c>
      <c r="Q487" t="n">
        <v>0</v>
      </c>
      <c r="R487" s="2" t="inlineStr"/>
    </row>
    <row r="488" ht="15" customHeight="1">
      <c r="A488" t="inlineStr">
        <is>
          <t>A 999-2024</t>
        </is>
      </c>
      <c r="B488" s="1" t="n">
        <v>45301</v>
      </c>
      <c r="C488" s="1" t="n">
        <v>46101</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61596-2023</t>
        </is>
      </c>
      <c r="B489" s="1" t="n">
        <v>45265</v>
      </c>
      <c r="C489" s="1" t="n">
        <v>46101</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11424-2026</t>
        </is>
      </c>
      <c r="B490" s="1" t="n">
        <v>46083.48068287037</v>
      </c>
      <c r="C490" s="1" t="n">
        <v>46101</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14638-2025</t>
        </is>
      </c>
      <c r="B491" s="1" t="n">
        <v>45742</v>
      </c>
      <c r="C491" s="1" t="n">
        <v>46101</v>
      </c>
      <c r="D491" t="inlineStr">
        <is>
          <t>GOTLANDS LÄN</t>
        </is>
      </c>
      <c r="E491" t="inlineStr">
        <is>
          <t>GOTLAND</t>
        </is>
      </c>
      <c r="G491" t="n">
        <v>13.4</v>
      </c>
      <c r="H491" t="n">
        <v>0</v>
      </c>
      <c r="I491" t="n">
        <v>0</v>
      </c>
      <c r="J491" t="n">
        <v>0</v>
      </c>
      <c r="K491" t="n">
        <v>0</v>
      </c>
      <c r="L491" t="n">
        <v>0</v>
      </c>
      <c r="M491" t="n">
        <v>0</v>
      </c>
      <c r="N491" t="n">
        <v>0</v>
      </c>
      <c r="O491" t="n">
        <v>0</v>
      </c>
      <c r="P491" t="n">
        <v>0</v>
      </c>
      <c r="Q491" t="n">
        <v>0</v>
      </c>
      <c r="R491" s="2" t="inlineStr"/>
    </row>
    <row r="492" ht="15" customHeight="1">
      <c r="A492" t="inlineStr">
        <is>
          <t>A 53587-2025</t>
        </is>
      </c>
      <c r="B492" s="1" t="n">
        <v>45960.43681712963</v>
      </c>
      <c r="C492" s="1" t="n">
        <v>46101</v>
      </c>
      <c r="D492" t="inlineStr">
        <is>
          <t>GOTLANDS LÄN</t>
        </is>
      </c>
      <c r="E492" t="inlineStr">
        <is>
          <t>GOTLAND</t>
        </is>
      </c>
      <c r="F492" t="inlineStr">
        <is>
          <t>Övriga Aktiebolag</t>
        </is>
      </c>
      <c r="G492" t="n">
        <v>1.7</v>
      </c>
      <c r="H492" t="n">
        <v>0</v>
      </c>
      <c r="I492" t="n">
        <v>0</v>
      </c>
      <c r="J492" t="n">
        <v>0</v>
      </c>
      <c r="K492" t="n">
        <v>0</v>
      </c>
      <c r="L492" t="n">
        <v>0</v>
      </c>
      <c r="M492" t="n">
        <v>0</v>
      </c>
      <c r="N492" t="n">
        <v>0</v>
      </c>
      <c r="O492" t="n">
        <v>0</v>
      </c>
      <c r="P492" t="n">
        <v>0</v>
      </c>
      <c r="Q492" t="n">
        <v>0</v>
      </c>
      <c r="R492" s="2" t="inlineStr"/>
    </row>
    <row r="493" ht="15" customHeight="1">
      <c r="A493" t="inlineStr">
        <is>
          <t>A 60675-2021</t>
        </is>
      </c>
      <c r="B493" s="1" t="n">
        <v>44496.64855324074</v>
      </c>
      <c r="C493" s="1" t="n">
        <v>46101</v>
      </c>
      <c r="D493" t="inlineStr">
        <is>
          <t>GOTLANDS LÄN</t>
        </is>
      </c>
      <c r="E493" t="inlineStr">
        <is>
          <t>GOTLAND</t>
        </is>
      </c>
      <c r="G493" t="n">
        <v>4.6</v>
      </c>
      <c r="H493" t="n">
        <v>0</v>
      </c>
      <c r="I493" t="n">
        <v>0</v>
      </c>
      <c r="J493" t="n">
        <v>0</v>
      </c>
      <c r="K493" t="n">
        <v>0</v>
      </c>
      <c r="L493" t="n">
        <v>0</v>
      </c>
      <c r="M493" t="n">
        <v>0</v>
      </c>
      <c r="N493" t="n">
        <v>0</v>
      </c>
      <c r="O493" t="n">
        <v>0</v>
      </c>
      <c r="P493" t="n">
        <v>0</v>
      </c>
      <c r="Q493" t="n">
        <v>0</v>
      </c>
      <c r="R493" s="2" t="inlineStr"/>
    </row>
    <row r="494" ht="15" customHeight="1">
      <c r="A494" t="inlineStr">
        <is>
          <t>A 37728-2024</t>
        </is>
      </c>
      <c r="B494" s="1" t="n">
        <v>45541</v>
      </c>
      <c r="C494" s="1" t="n">
        <v>46101</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53561-2025</t>
        </is>
      </c>
      <c r="B495" s="1" t="n">
        <v>45960.4059375</v>
      </c>
      <c r="C495" s="1" t="n">
        <v>46101</v>
      </c>
      <c r="D495" t="inlineStr">
        <is>
          <t>GOTLANDS LÄN</t>
        </is>
      </c>
      <c r="E495" t="inlineStr">
        <is>
          <t>GOTLAND</t>
        </is>
      </c>
      <c r="F495" t="inlineStr">
        <is>
          <t>Övriga Aktiebolag</t>
        </is>
      </c>
      <c r="G495" t="n">
        <v>2.4</v>
      </c>
      <c r="H495" t="n">
        <v>0</v>
      </c>
      <c r="I495" t="n">
        <v>0</v>
      </c>
      <c r="J495" t="n">
        <v>0</v>
      </c>
      <c r="K495" t="n">
        <v>0</v>
      </c>
      <c r="L495" t="n">
        <v>0</v>
      </c>
      <c r="M495" t="n">
        <v>0</v>
      </c>
      <c r="N495" t="n">
        <v>0</v>
      </c>
      <c r="O495" t="n">
        <v>0</v>
      </c>
      <c r="P495" t="n">
        <v>0</v>
      </c>
      <c r="Q495" t="n">
        <v>0</v>
      </c>
      <c r="R495" s="2" t="inlineStr"/>
    </row>
    <row r="496" ht="15" customHeight="1">
      <c r="A496" t="inlineStr">
        <is>
          <t>A 3253-2026</t>
        </is>
      </c>
      <c r="B496" s="1" t="n">
        <v>46041.58902777778</v>
      </c>
      <c r="C496" s="1" t="n">
        <v>46101</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22287-2022</t>
        </is>
      </c>
      <c r="B497" s="1" t="n">
        <v>44712</v>
      </c>
      <c r="C497" s="1" t="n">
        <v>46101</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11982-2026</t>
        </is>
      </c>
      <c r="B498" s="1" t="n">
        <v>46085.6434375</v>
      </c>
      <c r="C498" s="1" t="n">
        <v>46101</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54074-2022</t>
        </is>
      </c>
      <c r="B499" s="1" t="n">
        <v>44881</v>
      </c>
      <c r="C499" s="1" t="n">
        <v>46101</v>
      </c>
      <c r="D499" t="inlineStr">
        <is>
          <t>GOTLANDS LÄN</t>
        </is>
      </c>
      <c r="E499" t="inlineStr">
        <is>
          <t>GOTLAND</t>
        </is>
      </c>
      <c r="G499" t="n">
        <v>0.9</v>
      </c>
      <c r="H499" t="n">
        <v>0</v>
      </c>
      <c r="I499" t="n">
        <v>0</v>
      </c>
      <c r="J499" t="n">
        <v>0</v>
      </c>
      <c r="K499" t="n">
        <v>0</v>
      </c>
      <c r="L499" t="n">
        <v>0</v>
      </c>
      <c r="M499" t="n">
        <v>0</v>
      </c>
      <c r="N499" t="n">
        <v>0</v>
      </c>
      <c r="O499" t="n">
        <v>0</v>
      </c>
      <c r="P499" t="n">
        <v>0</v>
      </c>
      <c r="Q499" t="n">
        <v>0</v>
      </c>
      <c r="R499" s="2" t="inlineStr"/>
    </row>
    <row r="500" ht="15" customHeight="1">
      <c r="A500" t="inlineStr">
        <is>
          <t>A 65249-2023</t>
        </is>
      </c>
      <c r="B500" s="1" t="n">
        <v>45290</v>
      </c>
      <c r="C500" s="1" t="n">
        <v>46101</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13910-2025</t>
        </is>
      </c>
      <c r="B501" s="1" t="n">
        <v>45737</v>
      </c>
      <c r="C501" s="1" t="n">
        <v>46101</v>
      </c>
      <c r="D501" t="inlineStr">
        <is>
          <t>GOTLANDS LÄN</t>
        </is>
      </c>
      <c r="E501" t="inlineStr">
        <is>
          <t>GOTLAND</t>
        </is>
      </c>
      <c r="F501" t="inlineStr">
        <is>
          <t>Kommuner</t>
        </is>
      </c>
      <c r="G501" t="n">
        <v>3.2</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44682.82622685185</v>
      </c>
      <c r="C502" s="1" t="n">
        <v>46101</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59986-2022</t>
        </is>
      </c>
      <c r="B503" s="1" t="n">
        <v>44909</v>
      </c>
      <c r="C503" s="1" t="n">
        <v>46101</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14536-2021</t>
        </is>
      </c>
      <c r="B504" s="1" t="n">
        <v>44279.66168981481</v>
      </c>
      <c r="C504" s="1" t="n">
        <v>46101</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12135-2026</t>
        </is>
      </c>
      <c r="B505" s="1" t="n">
        <v>46086</v>
      </c>
      <c r="C505" s="1" t="n">
        <v>46101</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11874-2024</t>
        </is>
      </c>
      <c r="B506" s="1" t="n">
        <v>45376.46956018519</v>
      </c>
      <c r="C506" s="1" t="n">
        <v>46101</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42041-2024</t>
        </is>
      </c>
      <c r="B507" s="1" t="n">
        <v>45561</v>
      </c>
      <c r="C507" s="1" t="n">
        <v>46101</v>
      </c>
      <c r="D507" t="inlineStr">
        <is>
          <t>GOTLANDS LÄN</t>
        </is>
      </c>
      <c r="E507" t="inlineStr">
        <is>
          <t>GOTLAND</t>
        </is>
      </c>
      <c r="G507" t="n">
        <v>3.2</v>
      </c>
      <c r="H507" t="n">
        <v>0</v>
      </c>
      <c r="I507" t="n">
        <v>0</v>
      </c>
      <c r="J507" t="n">
        <v>0</v>
      </c>
      <c r="K507" t="n">
        <v>0</v>
      </c>
      <c r="L507" t="n">
        <v>0</v>
      </c>
      <c r="M507" t="n">
        <v>0</v>
      </c>
      <c r="N507" t="n">
        <v>0</v>
      </c>
      <c r="O507" t="n">
        <v>0</v>
      </c>
      <c r="P507" t="n">
        <v>0</v>
      </c>
      <c r="Q507" t="n">
        <v>0</v>
      </c>
      <c r="R507" s="2" t="inlineStr"/>
    </row>
    <row r="508" ht="15" customHeight="1">
      <c r="A508" t="inlineStr">
        <is>
          <t>A 4646-2026</t>
        </is>
      </c>
      <c r="B508" s="1" t="n">
        <v>46048.40357638889</v>
      </c>
      <c r="C508" s="1" t="n">
        <v>46101</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61694-2023</t>
        </is>
      </c>
      <c r="B509" s="1" t="n">
        <v>45264</v>
      </c>
      <c r="C509" s="1" t="n">
        <v>46101</v>
      </c>
      <c r="D509" t="inlineStr">
        <is>
          <t>GOTLANDS LÄN</t>
        </is>
      </c>
      <c r="E509" t="inlineStr">
        <is>
          <t>GOTLAND</t>
        </is>
      </c>
      <c r="G509" t="n">
        <v>4.6</v>
      </c>
      <c r="H509" t="n">
        <v>0</v>
      </c>
      <c r="I509" t="n">
        <v>0</v>
      </c>
      <c r="J509" t="n">
        <v>0</v>
      </c>
      <c r="K509" t="n">
        <v>0</v>
      </c>
      <c r="L509" t="n">
        <v>0</v>
      </c>
      <c r="M509" t="n">
        <v>0</v>
      </c>
      <c r="N509" t="n">
        <v>0</v>
      </c>
      <c r="O509" t="n">
        <v>0</v>
      </c>
      <c r="P509" t="n">
        <v>0</v>
      </c>
      <c r="Q509" t="n">
        <v>0</v>
      </c>
      <c r="R509" s="2" t="inlineStr"/>
    </row>
    <row r="510" ht="15" customHeight="1">
      <c r="A510" t="inlineStr">
        <is>
          <t>A 63000-2025</t>
        </is>
      </c>
      <c r="B510" s="1" t="n">
        <v>46009</v>
      </c>
      <c r="C510" s="1" t="n">
        <v>46101</v>
      </c>
      <c r="D510" t="inlineStr">
        <is>
          <t>GOTLANDS LÄN</t>
        </is>
      </c>
      <c r="E510" t="inlineStr">
        <is>
          <t>GOTLAND</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4662-2026</t>
        </is>
      </c>
      <c r="B511" s="1" t="n">
        <v>46048.40949074074</v>
      </c>
      <c r="C511" s="1" t="n">
        <v>46101</v>
      </c>
      <c r="D511" t="inlineStr">
        <is>
          <t>GOTLANDS LÄN</t>
        </is>
      </c>
      <c r="E511" t="inlineStr">
        <is>
          <t>GOTLAND</t>
        </is>
      </c>
      <c r="G511" t="n">
        <v>7.6</v>
      </c>
      <c r="H511" t="n">
        <v>0</v>
      </c>
      <c r="I511" t="n">
        <v>0</v>
      </c>
      <c r="J511" t="n">
        <v>0</v>
      </c>
      <c r="K511" t="n">
        <v>0</v>
      </c>
      <c r="L511" t="n">
        <v>0</v>
      </c>
      <c r="M511" t="n">
        <v>0</v>
      </c>
      <c r="N511" t="n">
        <v>0</v>
      </c>
      <c r="O511" t="n">
        <v>0</v>
      </c>
      <c r="P511" t="n">
        <v>0</v>
      </c>
      <c r="Q511" t="n">
        <v>0</v>
      </c>
      <c r="R511" s="2" t="inlineStr"/>
    </row>
    <row r="512" ht="15" customHeight="1">
      <c r="A512" t="inlineStr">
        <is>
          <t>A 62751-2025</t>
        </is>
      </c>
      <c r="B512" s="1" t="n">
        <v>46008</v>
      </c>
      <c r="C512" s="1" t="n">
        <v>46101</v>
      </c>
      <c r="D512" t="inlineStr">
        <is>
          <t>GOTLANDS LÄN</t>
        </is>
      </c>
      <c r="E512" t="inlineStr">
        <is>
          <t>GOTLAND</t>
        </is>
      </c>
      <c r="F512" t="inlineStr">
        <is>
          <t>Övriga Aktiebolag</t>
        </is>
      </c>
      <c r="G512" t="n">
        <v>7.8</v>
      </c>
      <c r="H512" t="n">
        <v>0</v>
      </c>
      <c r="I512" t="n">
        <v>0</v>
      </c>
      <c r="J512" t="n">
        <v>0</v>
      </c>
      <c r="K512" t="n">
        <v>0</v>
      </c>
      <c r="L512" t="n">
        <v>0</v>
      </c>
      <c r="M512" t="n">
        <v>0</v>
      </c>
      <c r="N512" t="n">
        <v>0</v>
      </c>
      <c r="O512" t="n">
        <v>0</v>
      </c>
      <c r="P512" t="n">
        <v>0</v>
      </c>
      <c r="Q512" t="n">
        <v>0</v>
      </c>
      <c r="R512" s="2" t="inlineStr"/>
    </row>
    <row r="513" ht="15" customHeight="1">
      <c r="A513" t="inlineStr">
        <is>
          <t>A 4639-2026</t>
        </is>
      </c>
      <c r="B513" s="1" t="n">
        <v>46048.39880787037</v>
      </c>
      <c r="C513" s="1" t="n">
        <v>46101</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1839-2026</t>
        </is>
      </c>
      <c r="B514" s="1" t="n">
        <v>46035.3942824074</v>
      </c>
      <c r="C514" s="1" t="n">
        <v>46101</v>
      </c>
      <c r="D514" t="inlineStr">
        <is>
          <t>GOTLANDS LÄN</t>
        </is>
      </c>
      <c r="E514" t="inlineStr">
        <is>
          <t>GOTLAND</t>
        </is>
      </c>
      <c r="G514" t="n">
        <v>3.5</v>
      </c>
      <c r="H514" t="n">
        <v>0</v>
      </c>
      <c r="I514" t="n">
        <v>0</v>
      </c>
      <c r="J514" t="n">
        <v>0</v>
      </c>
      <c r="K514" t="n">
        <v>0</v>
      </c>
      <c r="L514" t="n">
        <v>0</v>
      </c>
      <c r="M514" t="n">
        <v>0</v>
      </c>
      <c r="N514" t="n">
        <v>0</v>
      </c>
      <c r="O514" t="n">
        <v>0</v>
      </c>
      <c r="P514" t="n">
        <v>0</v>
      </c>
      <c r="Q514" t="n">
        <v>0</v>
      </c>
      <c r="R514" s="2" t="inlineStr"/>
    </row>
    <row r="515" ht="15" customHeight="1">
      <c r="A515" t="inlineStr">
        <is>
          <t>A 60384-2025</t>
        </is>
      </c>
      <c r="B515" s="1" t="n">
        <v>45995</v>
      </c>
      <c r="C515" s="1" t="n">
        <v>46101</v>
      </c>
      <c r="D515" t="inlineStr">
        <is>
          <t>GOTLANDS LÄN</t>
        </is>
      </c>
      <c r="E515" t="inlineStr">
        <is>
          <t>GOTLAND</t>
        </is>
      </c>
      <c r="G515" t="n">
        <v>2.5</v>
      </c>
      <c r="H515" t="n">
        <v>0</v>
      </c>
      <c r="I515" t="n">
        <v>0</v>
      </c>
      <c r="J515" t="n">
        <v>0</v>
      </c>
      <c r="K515" t="n">
        <v>0</v>
      </c>
      <c r="L515" t="n">
        <v>0</v>
      </c>
      <c r="M515" t="n">
        <v>0</v>
      </c>
      <c r="N515" t="n">
        <v>0</v>
      </c>
      <c r="O515" t="n">
        <v>0</v>
      </c>
      <c r="P515" t="n">
        <v>0</v>
      </c>
      <c r="Q515" t="n">
        <v>0</v>
      </c>
      <c r="R515" s="2" t="inlineStr"/>
    </row>
    <row r="516" ht="15" customHeight="1">
      <c r="A516" t="inlineStr">
        <is>
          <t>A 4634-2026</t>
        </is>
      </c>
      <c r="B516" s="1" t="n">
        <v>46048.39304398148</v>
      </c>
      <c r="C516" s="1" t="n">
        <v>46101</v>
      </c>
      <c r="D516" t="inlineStr">
        <is>
          <t>GOTLANDS LÄN</t>
        </is>
      </c>
      <c r="E516" t="inlineStr">
        <is>
          <t>GOTLAND</t>
        </is>
      </c>
      <c r="G516" t="n">
        <v>7.8</v>
      </c>
      <c r="H516" t="n">
        <v>0</v>
      </c>
      <c r="I516" t="n">
        <v>0</v>
      </c>
      <c r="J516" t="n">
        <v>0</v>
      </c>
      <c r="K516" t="n">
        <v>0</v>
      </c>
      <c r="L516" t="n">
        <v>0</v>
      </c>
      <c r="M516" t="n">
        <v>0</v>
      </c>
      <c r="N516" t="n">
        <v>0</v>
      </c>
      <c r="O516" t="n">
        <v>0</v>
      </c>
      <c r="P516" t="n">
        <v>0</v>
      </c>
      <c r="Q516" t="n">
        <v>0</v>
      </c>
      <c r="R516" s="2" t="inlineStr"/>
    </row>
    <row r="517" ht="15" customHeight="1">
      <c r="A517" t="inlineStr">
        <is>
          <t>A 64555-2023</t>
        </is>
      </c>
      <c r="B517" s="1" t="n">
        <v>45281</v>
      </c>
      <c r="C517" s="1" t="n">
        <v>46101</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64831-2023</t>
        </is>
      </c>
      <c r="B518" s="1" t="n">
        <v>45282.44924768519</v>
      </c>
      <c r="C518" s="1" t="n">
        <v>46101</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4670-2026</t>
        </is>
      </c>
      <c r="B519" s="1" t="n">
        <v>46048.41733796296</v>
      </c>
      <c r="C519" s="1" t="n">
        <v>46101</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14804-2021</t>
        </is>
      </c>
      <c r="B520" s="1" t="n">
        <v>44280</v>
      </c>
      <c r="C520" s="1" t="n">
        <v>46101</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999-2023</t>
        </is>
      </c>
      <c r="B521" s="1" t="n">
        <v>44935</v>
      </c>
      <c r="C521" s="1" t="n">
        <v>46101</v>
      </c>
      <c r="D521" t="inlineStr">
        <is>
          <t>GOTLANDS LÄN</t>
        </is>
      </c>
      <c r="E521" t="inlineStr">
        <is>
          <t>GOTLAND</t>
        </is>
      </c>
      <c r="G521" t="n">
        <v>4.7</v>
      </c>
      <c r="H521" t="n">
        <v>0</v>
      </c>
      <c r="I521" t="n">
        <v>0</v>
      </c>
      <c r="J521" t="n">
        <v>0</v>
      </c>
      <c r="K521" t="n">
        <v>0</v>
      </c>
      <c r="L521" t="n">
        <v>0</v>
      </c>
      <c r="M521" t="n">
        <v>0</v>
      </c>
      <c r="N521" t="n">
        <v>0</v>
      </c>
      <c r="O521" t="n">
        <v>0</v>
      </c>
      <c r="P521" t="n">
        <v>0</v>
      </c>
      <c r="Q521" t="n">
        <v>0</v>
      </c>
      <c r="R521" s="2" t="inlineStr"/>
    </row>
    <row r="522" ht="15" customHeight="1">
      <c r="A522" t="inlineStr">
        <is>
          <t>A 62754-2025</t>
        </is>
      </c>
      <c r="B522" s="1" t="n">
        <v>46008</v>
      </c>
      <c r="C522" s="1" t="n">
        <v>46101</v>
      </c>
      <c r="D522" t="inlineStr">
        <is>
          <t>GOTLANDS LÄN</t>
        </is>
      </c>
      <c r="E522" t="inlineStr">
        <is>
          <t>GOTLAND</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27602-2023</t>
        </is>
      </c>
      <c r="B523" s="1" t="n">
        <v>45097</v>
      </c>
      <c r="C523" s="1" t="n">
        <v>46101</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4377-2023</t>
        </is>
      </c>
      <c r="B524" s="1" t="n">
        <v>44955.5502662037</v>
      </c>
      <c r="C524" s="1" t="n">
        <v>46101</v>
      </c>
      <c r="D524" t="inlineStr">
        <is>
          <t>GOTLANDS LÄN</t>
        </is>
      </c>
      <c r="E524" t="inlineStr">
        <is>
          <t>GOTLAND</t>
        </is>
      </c>
      <c r="F524" t="inlineStr">
        <is>
          <t>Kyrkan</t>
        </is>
      </c>
      <c r="G524" t="n">
        <v>0.6</v>
      </c>
      <c r="H524" t="n">
        <v>0</v>
      </c>
      <c r="I524" t="n">
        <v>0</v>
      </c>
      <c r="J524" t="n">
        <v>0</v>
      </c>
      <c r="K524" t="n">
        <v>0</v>
      </c>
      <c r="L524" t="n">
        <v>0</v>
      </c>
      <c r="M524" t="n">
        <v>0</v>
      </c>
      <c r="N524" t="n">
        <v>0</v>
      </c>
      <c r="O524" t="n">
        <v>0</v>
      </c>
      <c r="P524" t="n">
        <v>0</v>
      </c>
      <c r="Q524" t="n">
        <v>0</v>
      </c>
      <c r="R524" s="2" t="inlineStr"/>
    </row>
    <row r="525" ht="15" customHeight="1">
      <c r="A525" t="inlineStr">
        <is>
          <t>A 4387-2023</t>
        </is>
      </c>
      <c r="B525" s="1" t="n">
        <v>44955.73359953704</v>
      </c>
      <c r="C525" s="1" t="n">
        <v>46101</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39479-2022</t>
        </is>
      </c>
      <c r="B526" s="1" t="n">
        <v>44818</v>
      </c>
      <c r="C526" s="1" t="n">
        <v>46101</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51963-2024</t>
        </is>
      </c>
      <c r="B527" s="1" t="n">
        <v>45607.64833333333</v>
      </c>
      <c r="C527" s="1" t="n">
        <v>46101</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811-2023</t>
        </is>
      </c>
      <c r="B528" s="1" t="n">
        <v>44931</v>
      </c>
      <c r="C528" s="1" t="n">
        <v>46101</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46389-2021</t>
        </is>
      </c>
      <c r="B529" s="1" t="n">
        <v>44443</v>
      </c>
      <c r="C529" s="1" t="n">
        <v>46101</v>
      </c>
      <c r="D529" t="inlineStr">
        <is>
          <t>GOTLANDS LÄN</t>
        </is>
      </c>
      <c r="E529" t="inlineStr">
        <is>
          <t>GOTLAND</t>
        </is>
      </c>
      <c r="F529" t="inlineStr">
        <is>
          <t>Kyrkan</t>
        </is>
      </c>
      <c r="G529" t="n">
        <v>2.1</v>
      </c>
      <c r="H529" t="n">
        <v>0</v>
      </c>
      <c r="I529" t="n">
        <v>0</v>
      </c>
      <c r="J529" t="n">
        <v>0</v>
      </c>
      <c r="K529" t="n">
        <v>0</v>
      </c>
      <c r="L529" t="n">
        <v>0</v>
      </c>
      <c r="M529" t="n">
        <v>0</v>
      </c>
      <c r="N529" t="n">
        <v>0</v>
      </c>
      <c r="O529" t="n">
        <v>0</v>
      </c>
      <c r="P529" t="n">
        <v>0</v>
      </c>
      <c r="Q529" t="n">
        <v>0</v>
      </c>
      <c r="R529" s="2" t="inlineStr"/>
    </row>
    <row r="530" ht="15" customHeight="1">
      <c r="A530" t="inlineStr">
        <is>
          <t>A 1854-2026</t>
        </is>
      </c>
      <c r="B530" s="1" t="n">
        <v>46035.4171875</v>
      </c>
      <c r="C530" s="1" t="n">
        <v>46101</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13482-2026</t>
        </is>
      </c>
      <c r="B531" s="1" t="n">
        <v>46094</v>
      </c>
      <c r="C531" s="1" t="n">
        <v>46101</v>
      </c>
      <c r="D531" t="inlineStr">
        <is>
          <t>GOTLANDS LÄN</t>
        </is>
      </c>
      <c r="E531" t="inlineStr">
        <is>
          <t>GOTLAND</t>
        </is>
      </c>
      <c r="G531" t="n">
        <v>1.7</v>
      </c>
      <c r="H531" t="n">
        <v>0</v>
      </c>
      <c r="I531" t="n">
        <v>0</v>
      </c>
      <c r="J531" t="n">
        <v>0</v>
      </c>
      <c r="K531" t="n">
        <v>0</v>
      </c>
      <c r="L531" t="n">
        <v>0</v>
      </c>
      <c r="M531" t="n">
        <v>0</v>
      </c>
      <c r="N531" t="n">
        <v>0</v>
      </c>
      <c r="O531" t="n">
        <v>0</v>
      </c>
      <c r="P531" t="n">
        <v>0</v>
      </c>
      <c r="Q531" t="n">
        <v>0</v>
      </c>
      <c r="R531" s="2" t="inlineStr"/>
    </row>
    <row r="532" ht="15" customHeight="1">
      <c r="A532" t="inlineStr">
        <is>
          <t>A 26810-2021</t>
        </is>
      </c>
      <c r="B532" s="1" t="n">
        <v>44349.55087962963</v>
      </c>
      <c r="C532" s="1" t="n">
        <v>46101</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5923-2023</t>
        </is>
      </c>
      <c r="B533" s="1" t="n">
        <v>44963.69503472222</v>
      </c>
      <c r="C533" s="1" t="n">
        <v>46101</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33853-2024</t>
        </is>
      </c>
      <c r="B534" s="1" t="n">
        <v>45520.64298611111</v>
      </c>
      <c r="C534" s="1" t="n">
        <v>46101</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18918-2025</t>
        </is>
      </c>
      <c r="B535" s="1" t="n">
        <v>45764</v>
      </c>
      <c r="C535" s="1" t="n">
        <v>46101</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2674-2023</t>
        </is>
      </c>
      <c r="B536" s="1" t="n">
        <v>44944</v>
      </c>
      <c r="C536" s="1" t="n">
        <v>46101</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13486-2026</t>
        </is>
      </c>
      <c r="B537" s="1" t="n">
        <v>46094</v>
      </c>
      <c r="C537" s="1" t="n">
        <v>46101</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10655-2023</t>
        </is>
      </c>
      <c r="B538" s="1" t="n">
        <v>44988.49543981482</v>
      </c>
      <c r="C538" s="1" t="n">
        <v>46101</v>
      </c>
      <c r="D538" t="inlineStr">
        <is>
          <t>GOTLANDS LÄN</t>
        </is>
      </c>
      <c r="E538" t="inlineStr">
        <is>
          <t>GOTLAND</t>
        </is>
      </c>
      <c r="F538" t="inlineStr">
        <is>
          <t>Kyrkan</t>
        </is>
      </c>
      <c r="G538" t="n">
        <v>2</v>
      </c>
      <c r="H538" t="n">
        <v>0</v>
      </c>
      <c r="I538" t="n">
        <v>0</v>
      </c>
      <c r="J538" t="n">
        <v>0</v>
      </c>
      <c r="K538" t="n">
        <v>0</v>
      </c>
      <c r="L538" t="n">
        <v>0</v>
      </c>
      <c r="M538" t="n">
        <v>0</v>
      </c>
      <c r="N538" t="n">
        <v>0</v>
      </c>
      <c r="O538" t="n">
        <v>0</v>
      </c>
      <c r="P538" t="n">
        <v>0</v>
      </c>
      <c r="Q538" t="n">
        <v>0</v>
      </c>
      <c r="R538" s="2" t="inlineStr"/>
    </row>
    <row r="539" ht="15" customHeight="1">
      <c r="A539" t="inlineStr">
        <is>
          <t>A 3067-2026</t>
        </is>
      </c>
      <c r="B539" s="1" t="n">
        <v>46040.59025462963</v>
      </c>
      <c r="C539" s="1" t="n">
        <v>46101</v>
      </c>
      <c r="D539" t="inlineStr">
        <is>
          <t>GOTLANDS LÄN</t>
        </is>
      </c>
      <c r="E539" t="inlineStr">
        <is>
          <t>GOTLAND</t>
        </is>
      </c>
      <c r="G539" t="n">
        <v>7.8</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46101</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46101</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42007-2023</t>
        </is>
      </c>
      <c r="B542" s="1" t="n">
        <v>45177</v>
      </c>
      <c r="C542" s="1" t="n">
        <v>46101</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9887-2025</t>
        </is>
      </c>
      <c r="B543" s="1" t="n">
        <v>45716</v>
      </c>
      <c r="C543" s="1" t="n">
        <v>46101</v>
      </c>
      <c r="D543" t="inlineStr">
        <is>
          <t>GOTLANDS LÄN</t>
        </is>
      </c>
      <c r="E543" t="inlineStr">
        <is>
          <t>GOTLAND</t>
        </is>
      </c>
      <c r="G543" t="n">
        <v>7.5</v>
      </c>
      <c r="H543" t="n">
        <v>0</v>
      </c>
      <c r="I543" t="n">
        <v>0</v>
      </c>
      <c r="J543" t="n">
        <v>0</v>
      </c>
      <c r="K543" t="n">
        <v>0</v>
      </c>
      <c r="L543" t="n">
        <v>0</v>
      </c>
      <c r="M543" t="n">
        <v>0</v>
      </c>
      <c r="N543" t="n">
        <v>0</v>
      </c>
      <c r="O543" t="n">
        <v>0</v>
      </c>
      <c r="P543" t="n">
        <v>0</v>
      </c>
      <c r="Q543" t="n">
        <v>0</v>
      </c>
      <c r="R543" s="2" t="inlineStr"/>
    </row>
    <row r="544" ht="15" customHeight="1">
      <c r="A544" t="inlineStr">
        <is>
          <t>A 6218-2026</t>
        </is>
      </c>
      <c r="B544" s="1" t="n">
        <v>46055.42859953704</v>
      </c>
      <c r="C544" s="1" t="n">
        <v>46101</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38165-2023</t>
        </is>
      </c>
      <c r="B545" s="1" t="n">
        <v>45161</v>
      </c>
      <c r="C545" s="1" t="n">
        <v>46101</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6207-2026</t>
        </is>
      </c>
      <c r="B546" s="1" t="n">
        <v>46055.42083333333</v>
      </c>
      <c r="C546" s="1" t="n">
        <v>46101</v>
      </c>
      <c r="D546" t="inlineStr">
        <is>
          <t>GOTLANDS LÄN</t>
        </is>
      </c>
      <c r="E546" t="inlineStr">
        <is>
          <t>GOTLAND</t>
        </is>
      </c>
      <c r="G546" t="n">
        <v>7.6</v>
      </c>
      <c r="H546" t="n">
        <v>0</v>
      </c>
      <c r="I546" t="n">
        <v>0</v>
      </c>
      <c r="J546" t="n">
        <v>0</v>
      </c>
      <c r="K546" t="n">
        <v>0</v>
      </c>
      <c r="L546" t="n">
        <v>0</v>
      </c>
      <c r="M546" t="n">
        <v>0</v>
      </c>
      <c r="N546" t="n">
        <v>0</v>
      </c>
      <c r="O546" t="n">
        <v>0</v>
      </c>
      <c r="P546" t="n">
        <v>0</v>
      </c>
      <c r="Q546" t="n">
        <v>0</v>
      </c>
      <c r="R546" s="2" t="inlineStr"/>
    </row>
    <row r="547" ht="15" customHeight="1">
      <c r="A547" t="inlineStr">
        <is>
          <t>A 27596-2023</t>
        </is>
      </c>
      <c r="B547" s="1" t="n">
        <v>45097</v>
      </c>
      <c r="C547" s="1" t="n">
        <v>46101</v>
      </c>
      <c r="D547" t="inlineStr">
        <is>
          <t>GOTLANDS LÄN</t>
        </is>
      </c>
      <c r="E547" t="inlineStr">
        <is>
          <t>GOTLAND</t>
        </is>
      </c>
      <c r="G547" t="n">
        <v>3.6</v>
      </c>
      <c r="H547" t="n">
        <v>0</v>
      </c>
      <c r="I547" t="n">
        <v>0</v>
      </c>
      <c r="J547" t="n">
        <v>0</v>
      </c>
      <c r="K547" t="n">
        <v>0</v>
      </c>
      <c r="L547" t="n">
        <v>0</v>
      </c>
      <c r="M547" t="n">
        <v>0</v>
      </c>
      <c r="N547" t="n">
        <v>0</v>
      </c>
      <c r="O547" t="n">
        <v>0</v>
      </c>
      <c r="P547" t="n">
        <v>0</v>
      </c>
      <c r="Q547" t="n">
        <v>0</v>
      </c>
      <c r="R547" s="2" t="inlineStr"/>
    </row>
    <row r="548" ht="15" customHeight="1">
      <c r="A548" t="inlineStr">
        <is>
          <t>A 6959-2026</t>
        </is>
      </c>
      <c r="B548" s="1" t="n">
        <v>46057.580625</v>
      </c>
      <c r="C548" s="1" t="n">
        <v>46101</v>
      </c>
      <c r="D548" t="inlineStr">
        <is>
          <t>GOTLANDS LÄN</t>
        </is>
      </c>
      <c r="E548" t="inlineStr">
        <is>
          <t>GOTLAND</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24825-2024</t>
        </is>
      </c>
      <c r="B549" s="1" t="n">
        <v>45461</v>
      </c>
      <c r="C549" s="1" t="n">
        <v>46101</v>
      </c>
      <c r="D549" t="inlineStr">
        <is>
          <t>GOTLANDS LÄN</t>
        </is>
      </c>
      <c r="E549" t="inlineStr">
        <is>
          <t>GOTLAND</t>
        </is>
      </c>
      <c r="G549" t="n">
        <v>1.3</v>
      </c>
      <c r="H549" t="n">
        <v>0</v>
      </c>
      <c r="I549" t="n">
        <v>0</v>
      </c>
      <c r="J549" t="n">
        <v>0</v>
      </c>
      <c r="K549" t="n">
        <v>0</v>
      </c>
      <c r="L549" t="n">
        <v>0</v>
      </c>
      <c r="M549" t="n">
        <v>0</v>
      </c>
      <c r="N549" t="n">
        <v>0</v>
      </c>
      <c r="O549" t="n">
        <v>0</v>
      </c>
      <c r="P549" t="n">
        <v>0</v>
      </c>
      <c r="Q549" t="n">
        <v>0</v>
      </c>
      <c r="R549" s="2" t="inlineStr"/>
    </row>
    <row r="550" ht="15" customHeight="1">
      <c r="A550" t="inlineStr">
        <is>
          <t>A 6696-2023</t>
        </is>
      </c>
      <c r="B550" s="1" t="n">
        <v>44966.66425925926</v>
      </c>
      <c r="C550" s="1" t="n">
        <v>46101</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2134-2026</t>
        </is>
      </c>
      <c r="B551" s="1" t="n">
        <v>46036</v>
      </c>
      <c r="C551" s="1" t="n">
        <v>46101</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5863-2026</t>
        </is>
      </c>
      <c r="B552" s="1" t="n">
        <v>46052.36697916667</v>
      </c>
      <c r="C552" s="1" t="n">
        <v>46101</v>
      </c>
      <c r="D552" t="inlineStr">
        <is>
          <t>GOTLANDS LÄN</t>
        </is>
      </c>
      <c r="E552" t="inlineStr">
        <is>
          <t>GOTLAND</t>
        </is>
      </c>
      <c r="G552" t="n">
        <v>1.8</v>
      </c>
      <c r="H552" t="n">
        <v>0</v>
      </c>
      <c r="I552" t="n">
        <v>0</v>
      </c>
      <c r="J552" t="n">
        <v>0</v>
      </c>
      <c r="K552" t="n">
        <v>0</v>
      </c>
      <c r="L552" t="n">
        <v>0</v>
      </c>
      <c r="M552" t="n">
        <v>0</v>
      </c>
      <c r="N552" t="n">
        <v>0</v>
      </c>
      <c r="O552" t="n">
        <v>0</v>
      </c>
      <c r="P552" t="n">
        <v>0</v>
      </c>
      <c r="Q552" t="n">
        <v>0</v>
      </c>
      <c r="R552" s="2" t="inlineStr"/>
    </row>
    <row r="553" ht="15" customHeight="1">
      <c r="A553" t="inlineStr">
        <is>
          <t>A 2135-2026</t>
        </is>
      </c>
      <c r="B553" s="1" t="n">
        <v>46036</v>
      </c>
      <c r="C553" s="1" t="n">
        <v>46101</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21247-2022</t>
        </is>
      </c>
      <c r="B554" s="1" t="n">
        <v>44705.38832175926</v>
      </c>
      <c r="C554" s="1" t="n">
        <v>46101</v>
      </c>
      <c r="D554" t="inlineStr">
        <is>
          <t>GOTLANDS LÄN</t>
        </is>
      </c>
      <c r="E554" t="inlineStr">
        <is>
          <t>GOTLAND</t>
        </is>
      </c>
      <c r="G554" t="n">
        <v>16.2</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44929.87122685185</v>
      </c>
      <c r="C555" s="1" t="n">
        <v>46101</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46101</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4421-2024</t>
        </is>
      </c>
      <c r="B557" s="1" t="n">
        <v>45327.45173611111</v>
      </c>
      <c r="C557" s="1" t="n">
        <v>46101</v>
      </c>
      <c r="D557" t="inlineStr">
        <is>
          <t>GOTLANDS LÄN</t>
        </is>
      </c>
      <c r="E557" t="inlineStr">
        <is>
          <t>GOTLAND</t>
        </is>
      </c>
      <c r="G557" t="n">
        <v>5.1</v>
      </c>
      <c r="H557" t="n">
        <v>0</v>
      </c>
      <c r="I557" t="n">
        <v>0</v>
      </c>
      <c r="J557" t="n">
        <v>0</v>
      </c>
      <c r="K557" t="n">
        <v>0</v>
      </c>
      <c r="L557" t="n">
        <v>0</v>
      </c>
      <c r="M557" t="n">
        <v>0</v>
      </c>
      <c r="N557" t="n">
        <v>0</v>
      </c>
      <c r="O557" t="n">
        <v>0</v>
      </c>
      <c r="P557" t="n">
        <v>0</v>
      </c>
      <c r="Q557" t="n">
        <v>0</v>
      </c>
      <c r="R557" s="2" t="inlineStr"/>
    </row>
    <row r="558" ht="15" customHeight="1">
      <c r="A558" t="inlineStr">
        <is>
          <t>A 6960-2026</t>
        </is>
      </c>
      <c r="B558" s="1" t="n">
        <v>46057.58105324074</v>
      </c>
      <c r="C558" s="1" t="n">
        <v>46101</v>
      </c>
      <c r="D558" t="inlineStr">
        <is>
          <t>GOTLANDS LÄN</t>
        </is>
      </c>
      <c r="E558" t="inlineStr">
        <is>
          <t>GOTLAND</t>
        </is>
      </c>
      <c r="F558" t="inlineStr">
        <is>
          <t>Kyrkan</t>
        </is>
      </c>
      <c r="G558" t="n">
        <v>2.4</v>
      </c>
      <c r="H558" t="n">
        <v>0</v>
      </c>
      <c r="I558" t="n">
        <v>0</v>
      </c>
      <c r="J558" t="n">
        <v>0</v>
      </c>
      <c r="K558" t="n">
        <v>0</v>
      </c>
      <c r="L558" t="n">
        <v>0</v>
      </c>
      <c r="M558" t="n">
        <v>0</v>
      </c>
      <c r="N558" t="n">
        <v>0</v>
      </c>
      <c r="O558" t="n">
        <v>0</v>
      </c>
      <c r="P558" t="n">
        <v>0</v>
      </c>
      <c r="Q558" t="n">
        <v>0</v>
      </c>
      <c r="R558" s="2" t="inlineStr"/>
    </row>
    <row r="559" ht="15" customHeight="1">
      <c r="A559" t="inlineStr">
        <is>
          <t>A 51782-2023</t>
        </is>
      </c>
      <c r="B559" s="1" t="n">
        <v>45222.80952546297</v>
      </c>
      <c r="C559" s="1" t="n">
        <v>46101</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54268-2022</t>
        </is>
      </c>
      <c r="B560" s="1" t="n">
        <v>44882</v>
      </c>
      <c r="C560" s="1" t="n">
        <v>46101</v>
      </c>
      <c r="D560" t="inlineStr">
        <is>
          <t>GOTLANDS LÄN</t>
        </is>
      </c>
      <c r="E560" t="inlineStr">
        <is>
          <t>GOTLAND</t>
        </is>
      </c>
      <c r="G560" t="n">
        <v>2.7</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46101</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25866-2022</t>
        </is>
      </c>
      <c r="B562" s="1" t="n">
        <v>44733</v>
      </c>
      <c r="C562" s="1" t="n">
        <v>46101</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43229-2023</t>
        </is>
      </c>
      <c r="B563" s="1" t="n">
        <v>45183.46704861111</v>
      </c>
      <c r="C563" s="1" t="n">
        <v>46101</v>
      </c>
      <c r="D563" t="inlineStr">
        <is>
          <t>GOTLANDS LÄN</t>
        </is>
      </c>
      <c r="E563" t="inlineStr">
        <is>
          <t>GOTLAND</t>
        </is>
      </c>
      <c r="G563" t="n">
        <v>7.1</v>
      </c>
      <c r="H563" t="n">
        <v>0</v>
      </c>
      <c r="I563" t="n">
        <v>0</v>
      </c>
      <c r="J563" t="n">
        <v>0</v>
      </c>
      <c r="K563" t="n">
        <v>0</v>
      </c>
      <c r="L563" t="n">
        <v>0</v>
      </c>
      <c r="M563" t="n">
        <v>0</v>
      </c>
      <c r="N563" t="n">
        <v>0</v>
      </c>
      <c r="O563" t="n">
        <v>0</v>
      </c>
      <c r="P563" t="n">
        <v>0</v>
      </c>
      <c r="Q563" t="n">
        <v>0</v>
      </c>
      <c r="R563" s="2" t="inlineStr"/>
    </row>
    <row r="564" ht="15" customHeight="1">
      <c r="A564" t="inlineStr">
        <is>
          <t>A 1175-2025</t>
        </is>
      </c>
      <c r="B564" s="1" t="n">
        <v>45667.34449074074</v>
      </c>
      <c r="C564" s="1" t="n">
        <v>46101</v>
      </c>
      <c r="D564" t="inlineStr">
        <is>
          <t>GOTLANDS LÄN</t>
        </is>
      </c>
      <c r="E564" t="inlineStr">
        <is>
          <t>GOTLAND</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27095-2022</t>
        </is>
      </c>
      <c r="B565" s="1" t="n">
        <v>44741</v>
      </c>
      <c r="C565" s="1" t="n">
        <v>46101</v>
      </c>
      <c r="D565" t="inlineStr">
        <is>
          <t>GOTLANDS LÄN</t>
        </is>
      </c>
      <c r="E565" t="inlineStr">
        <is>
          <t>GOTLAND</t>
        </is>
      </c>
      <c r="F565" t="inlineStr">
        <is>
          <t>Övriga Aktiebolag</t>
        </is>
      </c>
      <c r="G565" t="n">
        <v>2.9</v>
      </c>
      <c r="H565" t="n">
        <v>0</v>
      </c>
      <c r="I565" t="n">
        <v>0</v>
      </c>
      <c r="J565" t="n">
        <v>0</v>
      </c>
      <c r="K565" t="n">
        <v>0</v>
      </c>
      <c r="L565" t="n">
        <v>0</v>
      </c>
      <c r="M565" t="n">
        <v>0</v>
      </c>
      <c r="N565" t="n">
        <v>0</v>
      </c>
      <c r="O565" t="n">
        <v>0</v>
      </c>
      <c r="P565" t="n">
        <v>0</v>
      </c>
      <c r="Q565" t="n">
        <v>0</v>
      </c>
      <c r="R565" s="2" t="inlineStr"/>
    </row>
    <row r="566" ht="15" customHeight="1">
      <c r="A566" t="inlineStr">
        <is>
          <t>A 22899-2023</t>
        </is>
      </c>
      <c r="B566" s="1" t="n">
        <v>45072</v>
      </c>
      <c r="C566" s="1" t="n">
        <v>46101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23978-2023</t>
        </is>
      </c>
      <c r="B567" s="1" t="n">
        <v>45078</v>
      </c>
      <c r="C567" s="1" t="n">
        <v>46101</v>
      </c>
      <c r="D567" t="inlineStr">
        <is>
          <t>GOTLANDS LÄN</t>
        </is>
      </c>
      <c r="E567" t="inlineStr">
        <is>
          <t>GOTLAND</t>
        </is>
      </c>
      <c r="F567" t="inlineStr">
        <is>
          <t>Naturvårdsverket</t>
        </is>
      </c>
      <c r="G567" t="n">
        <v>1.7</v>
      </c>
      <c r="H567" t="n">
        <v>0</v>
      </c>
      <c r="I567" t="n">
        <v>0</v>
      </c>
      <c r="J567" t="n">
        <v>0</v>
      </c>
      <c r="K567" t="n">
        <v>0</v>
      </c>
      <c r="L567" t="n">
        <v>0</v>
      </c>
      <c r="M567" t="n">
        <v>0</v>
      </c>
      <c r="N567" t="n">
        <v>0</v>
      </c>
      <c r="O567" t="n">
        <v>0</v>
      </c>
      <c r="P567" t="n">
        <v>0</v>
      </c>
      <c r="Q567" t="n">
        <v>0</v>
      </c>
      <c r="R567" s="2" t="inlineStr"/>
    </row>
    <row r="568" ht="15" customHeight="1">
      <c r="A568" t="inlineStr">
        <is>
          <t>A 34407-2023</t>
        </is>
      </c>
      <c r="B568" s="1" t="n">
        <v>45132</v>
      </c>
      <c r="C568" s="1" t="n">
        <v>46101</v>
      </c>
      <c r="D568" t="inlineStr">
        <is>
          <t>GOTLANDS LÄN</t>
        </is>
      </c>
      <c r="E568" t="inlineStr">
        <is>
          <t>GOTLAND</t>
        </is>
      </c>
      <c r="G568" t="n">
        <v>4.4</v>
      </c>
      <c r="H568" t="n">
        <v>0</v>
      </c>
      <c r="I568" t="n">
        <v>0</v>
      </c>
      <c r="J568" t="n">
        <v>0</v>
      </c>
      <c r="K568" t="n">
        <v>0</v>
      </c>
      <c r="L568" t="n">
        <v>0</v>
      </c>
      <c r="M568" t="n">
        <v>0</v>
      </c>
      <c r="N568" t="n">
        <v>0</v>
      </c>
      <c r="O568" t="n">
        <v>0</v>
      </c>
      <c r="P568" t="n">
        <v>0</v>
      </c>
      <c r="Q568" t="n">
        <v>0</v>
      </c>
      <c r="R568" s="2" t="inlineStr"/>
    </row>
    <row r="569" ht="15" customHeight="1">
      <c r="A569" t="inlineStr">
        <is>
          <t>A 11013-2024</t>
        </is>
      </c>
      <c r="B569" s="1" t="n">
        <v>45370</v>
      </c>
      <c r="C569" s="1" t="n">
        <v>46101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27694-2024</t>
        </is>
      </c>
      <c r="B570" s="1" t="n">
        <v>45475</v>
      </c>
      <c r="C570" s="1" t="n">
        <v>46101</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15083-2025</t>
        </is>
      </c>
      <c r="B571" s="1" t="n">
        <v>45743</v>
      </c>
      <c r="C571" s="1" t="n">
        <v>46101</v>
      </c>
      <c r="D571" t="inlineStr">
        <is>
          <t>GOTLANDS LÄN</t>
        </is>
      </c>
      <c r="E571" t="inlineStr">
        <is>
          <t>GOTLAND</t>
        </is>
      </c>
      <c r="G571" t="n">
        <v>2.3</v>
      </c>
      <c r="H571" t="n">
        <v>0</v>
      </c>
      <c r="I571" t="n">
        <v>0</v>
      </c>
      <c r="J571" t="n">
        <v>0</v>
      </c>
      <c r="K571" t="n">
        <v>0</v>
      </c>
      <c r="L571" t="n">
        <v>0</v>
      </c>
      <c r="M571" t="n">
        <v>0</v>
      </c>
      <c r="N571" t="n">
        <v>0</v>
      </c>
      <c r="O571" t="n">
        <v>0</v>
      </c>
      <c r="P571" t="n">
        <v>0</v>
      </c>
      <c r="Q571" t="n">
        <v>0</v>
      </c>
      <c r="R571" s="2" t="inlineStr"/>
    </row>
    <row r="572" ht="15" customHeight="1">
      <c r="A572" t="inlineStr">
        <is>
          <t>A 13037-2025</t>
        </is>
      </c>
      <c r="B572" s="1" t="n">
        <v>45734</v>
      </c>
      <c r="C572" s="1" t="n">
        <v>46101</v>
      </c>
      <c r="D572" t="inlineStr">
        <is>
          <t>GOTLANDS LÄN</t>
        </is>
      </c>
      <c r="E572" t="inlineStr">
        <is>
          <t>GOTLAND</t>
        </is>
      </c>
      <c r="G572" t="n">
        <v>9.5</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46101</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44228-2022</t>
        </is>
      </c>
      <c r="B574" s="1" t="n">
        <v>44839.51599537037</v>
      </c>
      <c r="C574" s="1" t="n">
        <v>46101</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46101</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49884-2023</t>
        </is>
      </c>
      <c r="B576" s="1" t="n">
        <v>45213</v>
      </c>
      <c r="C576" s="1" t="n">
        <v>46101</v>
      </c>
      <c r="D576" t="inlineStr">
        <is>
          <t>GOTLANDS LÄN</t>
        </is>
      </c>
      <c r="E576" t="inlineStr">
        <is>
          <t>GOTLAND</t>
        </is>
      </c>
      <c r="G576" t="n">
        <v>8.9</v>
      </c>
      <c r="H576" t="n">
        <v>0</v>
      </c>
      <c r="I576" t="n">
        <v>0</v>
      </c>
      <c r="J576" t="n">
        <v>0</v>
      </c>
      <c r="K576" t="n">
        <v>0</v>
      </c>
      <c r="L576" t="n">
        <v>0</v>
      </c>
      <c r="M576" t="n">
        <v>0</v>
      </c>
      <c r="N576" t="n">
        <v>0</v>
      </c>
      <c r="O576" t="n">
        <v>0</v>
      </c>
      <c r="P576" t="n">
        <v>0</v>
      </c>
      <c r="Q576" t="n">
        <v>0</v>
      </c>
      <c r="R576" s="2" t="inlineStr"/>
    </row>
    <row r="577" ht="15" customHeight="1">
      <c r="A577" t="inlineStr">
        <is>
          <t>A 876-2024</t>
        </is>
      </c>
      <c r="B577" s="1" t="n">
        <v>45301</v>
      </c>
      <c r="C577" s="1" t="n">
        <v>46101</v>
      </c>
      <c r="D577" t="inlineStr">
        <is>
          <t>GOTLANDS LÄN</t>
        </is>
      </c>
      <c r="E577" t="inlineStr">
        <is>
          <t>GOTLAND</t>
        </is>
      </c>
      <c r="G577" t="n">
        <v>5.3</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46101</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28425-2023</t>
        </is>
      </c>
      <c r="B579" s="1" t="n">
        <v>45102</v>
      </c>
      <c r="C579" s="1" t="n">
        <v>46101</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58476-2022</t>
        </is>
      </c>
      <c r="B580" s="1" t="n">
        <v>44902</v>
      </c>
      <c r="C580" s="1" t="n">
        <v>46101</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43200-2023</t>
        </is>
      </c>
      <c r="B581" s="1" t="n">
        <v>45183</v>
      </c>
      <c r="C581" s="1" t="n">
        <v>46101</v>
      </c>
      <c r="D581" t="inlineStr">
        <is>
          <t>GOTLANDS LÄN</t>
        </is>
      </c>
      <c r="E581" t="inlineStr">
        <is>
          <t>GOTLAND</t>
        </is>
      </c>
      <c r="G581" t="n">
        <v>0.5</v>
      </c>
      <c r="H581" t="n">
        <v>0</v>
      </c>
      <c r="I581" t="n">
        <v>0</v>
      </c>
      <c r="J581" t="n">
        <v>0</v>
      </c>
      <c r="K581" t="n">
        <v>0</v>
      </c>
      <c r="L581" t="n">
        <v>0</v>
      </c>
      <c r="M581" t="n">
        <v>0</v>
      </c>
      <c r="N581" t="n">
        <v>0</v>
      </c>
      <c r="O581" t="n">
        <v>0</v>
      </c>
      <c r="P581" t="n">
        <v>0</v>
      </c>
      <c r="Q581" t="n">
        <v>0</v>
      </c>
      <c r="R581" s="2" t="inlineStr"/>
    </row>
    <row r="582" ht="15" customHeight="1">
      <c r="A582" t="inlineStr">
        <is>
          <t>A 43223-2023</t>
        </is>
      </c>
      <c r="B582" s="1" t="n">
        <v>45183.45642361111</v>
      </c>
      <c r="C582" s="1" t="n">
        <v>46101</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12327-2025</t>
        </is>
      </c>
      <c r="B583" s="1" t="n">
        <v>45730</v>
      </c>
      <c r="C583" s="1" t="n">
        <v>46101</v>
      </c>
      <c r="D583" t="inlineStr">
        <is>
          <t>GOTLANDS LÄN</t>
        </is>
      </c>
      <c r="E583" t="inlineStr">
        <is>
          <t>GOTLAND</t>
        </is>
      </c>
      <c r="G583" t="n">
        <v>1.8</v>
      </c>
      <c r="H583" t="n">
        <v>0</v>
      </c>
      <c r="I583" t="n">
        <v>0</v>
      </c>
      <c r="J583" t="n">
        <v>0</v>
      </c>
      <c r="K583" t="n">
        <v>0</v>
      </c>
      <c r="L583" t="n">
        <v>0</v>
      </c>
      <c r="M583" t="n">
        <v>0</v>
      </c>
      <c r="N583" t="n">
        <v>0</v>
      </c>
      <c r="O583" t="n">
        <v>0</v>
      </c>
      <c r="P583" t="n">
        <v>0</v>
      </c>
      <c r="Q583" t="n">
        <v>0</v>
      </c>
      <c r="R583" s="2" t="inlineStr"/>
    </row>
    <row r="584" ht="15" customHeight="1">
      <c r="A584" t="inlineStr">
        <is>
          <t>A 3431-2025</t>
        </is>
      </c>
      <c r="B584" s="1" t="n">
        <v>45680.42935185185</v>
      </c>
      <c r="C584" s="1" t="n">
        <v>46101</v>
      </c>
      <c r="D584" t="inlineStr">
        <is>
          <t>GOTLANDS LÄN</t>
        </is>
      </c>
      <c r="E584" t="inlineStr">
        <is>
          <t>GOTLAND</t>
        </is>
      </c>
      <c r="G584" t="n">
        <v>4.8</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46101</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46101</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1364-2025</t>
        </is>
      </c>
      <c r="B587" s="1" t="n">
        <v>45667.63929398148</v>
      </c>
      <c r="C587" s="1" t="n">
        <v>46101</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15042-2025</t>
        </is>
      </c>
      <c r="B588" s="1" t="n">
        <v>45743</v>
      </c>
      <c r="C588" s="1" t="n">
        <v>46101</v>
      </c>
      <c r="D588" t="inlineStr">
        <is>
          <t>GOTLANDS LÄN</t>
        </is>
      </c>
      <c r="E588" t="inlineStr">
        <is>
          <t>GOTLAND</t>
        </is>
      </c>
      <c r="G588" t="n">
        <v>8.5</v>
      </c>
      <c r="H588" t="n">
        <v>0</v>
      </c>
      <c r="I588" t="n">
        <v>0</v>
      </c>
      <c r="J588" t="n">
        <v>0</v>
      </c>
      <c r="K588" t="n">
        <v>0</v>
      </c>
      <c r="L588" t="n">
        <v>0</v>
      </c>
      <c r="M588" t="n">
        <v>0</v>
      </c>
      <c r="N588" t="n">
        <v>0</v>
      </c>
      <c r="O588" t="n">
        <v>0</v>
      </c>
      <c r="P588" t="n">
        <v>0</v>
      </c>
      <c r="Q588" t="n">
        <v>0</v>
      </c>
      <c r="R588" s="2" t="inlineStr"/>
    </row>
    <row r="589" ht="15" customHeight="1">
      <c r="A589" t="inlineStr">
        <is>
          <t>A 2180-2025</t>
        </is>
      </c>
      <c r="B589" s="1" t="n">
        <v>45673</v>
      </c>
      <c r="C589" s="1" t="n">
        <v>46101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15436-2025</t>
        </is>
      </c>
      <c r="B590" s="1" t="n">
        <v>45747.47462962963</v>
      </c>
      <c r="C590" s="1" t="n">
        <v>46101</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46101</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37202-2024</t>
        </is>
      </c>
      <c r="B592" s="1" t="n">
        <v>45539.67310185185</v>
      </c>
      <c r="C592" s="1" t="n">
        <v>46101</v>
      </c>
      <c r="D592" t="inlineStr">
        <is>
          <t>GOTLANDS LÄN</t>
        </is>
      </c>
      <c r="E592" t="inlineStr">
        <is>
          <t>GOTLAND</t>
        </is>
      </c>
      <c r="G592" t="n">
        <v>0.3</v>
      </c>
      <c r="H592" t="n">
        <v>0</v>
      </c>
      <c r="I592" t="n">
        <v>0</v>
      </c>
      <c r="J592" t="n">
        <v>0</v>
      </c>
      <c r="K592" t="n">
        <v>0</v>
      </c>
      <c r="L592" t="n">
        <v>0</v>
      </c>
      <c r="M592" t="n">
        <v>0</v>
      </c>
      <c r="N592" t="n">
        <v>0</v>
      </c>
      <c r="O592" t="n">
        <v>0</v>
      </c>
      <c r="P592" t="n">
        <v>0</v>
      </c>
      <c r="Q592" t="n">
        <v>0</v>
      </c>
      <c r="R592" s="2" t="inlineStr"/>
    </row>
    <row r="593" ht="15" customHeight="1">
      <c r="A593" t="inlineStr">
        <is>
          <t>A 56115-2023</t>
        </is>
      </c>
      <c r="B593" s="1" t="n">
        <v>45236</v>
      </c>
      <c r="C593" s="1" t="n">
        <v>46101</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2774-2024</t>
        </is>
      </c>
      <c r="B594" s="1" t="n">
        <v>45314.62375</v>
      </c>
      <c r="C594" s="1" t="n">
        <v>46101</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60709-2023</t>
        </is>
      </c>
      <c r="B595" s="1" t="n">
        <v>45260</v>
      </c>
      <c r="C595" s="1" t="n">
        <v>46101</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64208-2021</t>
        </is>
      </c>
      <c r="B596" s="1" t="n">
        <v>44510</v>
      </c>
      <c r="C596" s="1" t="n">
        <v>46101</v>
      </c>
      <c r="D596" t="inlineStr">
        <is>
          <t>GOTLANDS LÄN</t>
        </is>
      </c>
      <c r="E596" t="inlineStr">
        <is>
          <t>GOTLAND</t>
        </is>
      </c>
      <c r="G596" t="n">
        <v>4.7</v>
      </c>
      <c r="H596" t="n">
        <v>0</v>
      </c>
      <c r="I596" t="n">
        <v>0</v>
      </c>
      <c r="J596" t="n">
        <v>0</v>
      </c>
      <c r="K596" t="n">
        <v>0</v>
      </c>
      <c r="L596" t="n">
        <v>0</v>
      </c>
      <c r="M596" t="n">
        <v>0</v>
      </c>
      <c r="N596" t="n">
        <v>0</v>
      </c>
      <c r="O596" t="n">
        <v>0</v>
      </c>
      <c r="P596" t="n">
        <v>0</v>
      </c>
      <c r="Q596" t="n">
        <v>0</v>
      </c>
      <c r="R596" s="2" t="inlineStr"/>
    </row>
    <row r="597" ht="15" customHeight="1">
      <c r="A597" t="inlineStr">
        <is>
          <t>A 39764-2022</t>
        </is>
      </c>
      <c r="B597" s="1" t="n">
        <v>44819</v>
      </c>
      <c r="C597" s="1" t="n">
        <v>46101</v>
      </c>
      <c r="D597" t="inlineStr">
        <is>
          <t>GOTLANDS LÄN</t>
        </is>
      </c>
      <c r="E597" t="inlineStr">
        <is>
          <t>GOTLAND</t>
        </is>
      </c>
      <c r="F597" t="inlineStr">
        <is>
          <t>Kyrkan</t>
        </is>
      </c>
      <c r="G597" t="n">
        <v>3.7</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46101</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30956-2024</t>
        </is>
      </c>
      <c r="B599" s="1" t="n">
        <v>45499.42527777778</v>
      </c>
      <c r="C599" s="1" t="n">
        <v>46101</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30892-2024</t>
        </is>
      </c>
      <c r="B600" s="1" t="n">
        <v>45491</v>
      </c>
      <c r="C600" s="1" t="n">
        <v>46101</v>
      </c>
      <c r="D600" t="inlineStr">
        <is>
          <t>GOTLANDS LÄN</t>
        </is>
      </c>
      <c r="E600" t="inlineStr">
        <is>
          <t>GOTLAND</t>
        </is>
      </c>
      <c r="G600" t="n">
        <v>6.1</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45013.69365740741</v>
      </c>
      <c r="C601" s="1" t="n">
        <v>46101</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59469-2024</t>
        </is>
      </c>
      <c r="B602" s="1" t="n">
        <v>45638</v>
      </c>
      <c r="C602" s="1" t="n">
        <v>46101</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ht="15" customHeight="1">
      <c r="A603" t="inlineStr">
        <is>
          <t>A 7858-2025</t>
        </is>
      </c>
      <c r="B603" s="1" t="n">
        <v>45706.68633101852</v>
      </c>
      <c r="C603" s="1" t="n">
        <v>46101</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ht="15" customHeight="1">
      <c r="A604" t="inlineStr">
        <is>
          <t>A 53935-2024</t>
        </is>
      </c>
      <c r="B604" s="1" t="n">
        <v>45615</v>
      </c>
      <c r="C604" s="1" t="n">
        <v>46101</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18223-2025</t>
        </is>
      </c>
      <c r="B605" s="1" t="n">
        <v>45761</v>
      </c>
      <c r="C605" s="1" t="n">
        <v>46101</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4420-2025</t>
        </is>
      </c>
      <c r="B606" s="1" t="n">
        <v>45686.47157407407</v>
      </c>
      <c r="C606" s="1" t="n">
        <v>46101</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5891-2025</t>
        </is>
      </c>
      <c r="B607" s="1" t="n">
        <v>45695.38327546296</v>
      </c>
      <c r="C607" s="1" t="n">
        <v>46101</v>
      </c>
      <c r="D607" t="inlineStr">
        <is>
          <t>GOTLANDS LÄN</t>
        </is>
      </c>
      <c r="E607" t="inlineStr">
        <is>
          <t>GOTLAND</t>
        </is>
      </c>
      <c r="G607" t="n">
        <v>0.8</v>
      </c>
      <c r="H607" t="n">
        <v>0</v>
      </c>
      <c r="I607" t="n">
        <v>0</v>
      </c>
      <c r="J607" t="n">
        <v>0</v>
      </c>
      <c r="K607" t="n">
        <v>0</v>
      </c>
      <c r="L607" t="n">
        <v>0</v>
      </c>
      <c r="M607" t="n">
        <v>0</v>
      </c>
      <c r="N607" t="n">
        <v>0</v>
      </c>
      <c r="O607" t="n">
        <v>0</v>
      </c>
      <c r="P607" t="n">
        <v>0</v>
      </c>
      <c r="Q607" t="n">
        <v>0</v>
      </c>
      <c r="R607" s="2" t="inlineStr"/>
    </row>
    <row r="608" ht="15" customHeight="1">
      <c r="A608" t="inlineStr">
        <is>
          <t>A 7835-2024</t>
        </is>
      </c>
      <c r="B608" s="1" t="n">
        <v>45349.83138888889</v>
      </c>
      <c r="C608" s="1" t="n">
        <v>46101</v>
      </c>
      <c r="D608" t="inlineStr">
        <is>
          <t>GOTLANDS LÄN</t>
        </is>
      </c>
      <c r="E608" t="inlineStr">
        <is>
          <t>GOTLAND</t>
        </is>
      </c>
      <c r="G608" t="n">
        <v>3.8</v>
      </c>
      <c r="H608" t="n">
        <v>0</v>
      </c>
      <c r="I608" t="n">
        <v>0</v>
      </c>
      <c r="J608" t="n">
        <v>0</v>
      </c>
      <c r="K608" t="n">
        <v>0</v>
      </c>
      <c r="L608" t="n">
        <v>0</v>
      </c>
      <c r="M608" t="n">
        <v>0</v>
      </c>
      <c r="N608" t="n">
        <v>0</v>
      </c>
      <c r="O608" t="n">
        <v>0</v>
      </c>
      <c r="P608" t="n">
        <v>0</v>
      </c>
      <c r="Q608" t="n">
        <v>0</v>
      </c>
      <c r="R608" s="2" t="inlineStr"/>
    </row>
    <row r="609" ht="15" customHeight="1">
      <c r="A609" t="inlineStr">
        <is>
          <t>A 20794-2025</t>
        </is>
      </c>
      <c r="B609" s="1" t="n">
        <v>45776</v>
      </c>
      <c r="C609" s="1" t="n">
        <v>46101</v>
      </c>
      <c r="D609" t="inlineStr">
        <is>
          <t>GOTLANDS LÄN</t>
        </is>
      </c>
      <c r="E609" t="inlineStr">
        <is>
          <t>GOTLAND</t>
        </is>
      </c>
      <c r="G609" t="n">
        <v>6</v>
      </c>
      <c r="H609" t="n">
        <v>0</v>
      </c>
      <c r="I609" t="n">
        <v>0</v>
      </c>
      <c r="J609" t="n">
        <v>0</v>
      </c>
      <c r="K609" t="n">
        <v>0</v>
      </c>
      <c r="L609" t="n">
        <v>0</v>
      </c>
      <c r="M609" t="n">
        <v>0</v>
      </c>
      <c r="N609" t="n">
        <v>0</v>
      </c>
      <c r="O609" t="n">
        <v>0</v>
      </c>
      <c r="P609" t="n">
        <v>0</v>
      </c>
      <c r="Q609" t="n">
        <v>0</v>
      </c>
      <c r="R609" s="2" t="inlineStr"/>
    </row>
    <row r="610" ht="15" customHeight="1">
      <c r="A610" t="inlineStr">
        <is>
          <t>A 20805-2025</t>
        </is>
      </c>
      <c r="B610" s="1" t="n">
        <v>45776</v>
      </c>
      <c r="C610" s="1" t="n">
        <v>46101</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21389-2025</t>
        </is>
      </c>
      <c r="B611" s="1" t="n">
        <v>45782</v>
      </c>
      <c r="C611" s="1" t="n">
        <v>46101</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21651-2025</t>
        </is>
      </c>
      <c r="B612" s="1" t="n">
        <v>45783</v>
      </c>
      <c r="C612" s="1" t="n">
        <v>46101</v>
      </c>
      <c r="D612" t="inlineStr">
        <is>
          <t>GOTLANDS LÄN</t>
        </is>
      </c>
      <c r="E612" t="inlineStr">
        <is>
          <t>GOTLAND</t>
        </is>
      </c>
      <c r="G612" t="n">
        <v>4.2</v>
      </c>
      <c r="H612" t="n">
        <v>0</v>
      </c>
      <c r="I612" t="n">
        <v>0</v>
      </c>
      <c r="J612" t="n">
        <v>0</v>
      </c>
      <c r="K612" t="n">
        <v>0</v>
      </c>
      <c r="L612" t="n">
        <v>0</v>
      </c>
      <c r="M612" t="n">
        <v>0</v>
      </c>
      <c r="N612" t="n">
        <v>0</v>
      </c>
      <c r="O612" t="n">
        <v>0</v>
      </c>
      <c r="P612" t="n">
        <v>0</v>
      </c>
      <c r="Q612" t="n">
        <v>0</v>
      </c>
      <c r="R612" s="2" t="inlineStr"/>
    </row>
    <row r="613" ht="15" customHeight="1">
      <c r="A613" t="inlineStr">
        <is>
          <t>A 57356-2023</t>
        </is>
      </c>
      <c r="B613" s="1" t="n">
        <v>45240</v>
      </c>
      <c r="C613" s="1" t="n">
        <v>46101</v>
      </c>
      <c r="D613" t="inlineStr">
        <is>
          <t>GOTLANDS LÄN</t>
        </is>
      </c>
      <c r="E613" t="inlineStr">
        <is>
          <t>GOTLAND</t>
        </is>
      </c>
      <c r="G613" t="n">
        <v>6.4</v>
      </c>
      <c r="H613" t="n">
        <v>0</v>
      </c>
      <c r="I613" t="n">
        <v>0</v>
      </c>
      <c r="J613" t="n">
        <v>0</v>
      </c>
      <c r="K613" t="n">
        <v>0</v>
      </c>
      <c r="L613" t="n">
        <v>0</v>
      </c>
      <c r="M613" t="n">
        <v>0</v>
      </c>
      <c r="N613" t="n">
        <v>0</v>
      </c>
      <c r="O613" t="n">
        <v>0</v>
      </c>
      <c r="P613" t="n">
        <v>0</v>
      </c>
      <c r="Q613" t="n">
        <v>0</v>
      </c>
      <c r="R613" s="2" t="inlineStr"/>
    </row>
    <row r="614" ht="15" customHeight="1">
      <c r="A614" t="inlineStr">
        <is>
          <t>A 10656-2024</t>
        </is>
      </c>
      <c r="B614" s="1" t="n">
        <v>45368</v>
      </c>
      <c r="C614" s="1" t="n">
        <v>46101</v>
      </c>
      <c r="D614" t="inlineStr">
        <is>
          <t>GOTLANDS LÄN</t>
        </is>
      </c>
      <c r="E614" t="inlineStr">
        <is>
          <t>GOTLAND</t>
        </is>
      </c>
      <c r="G614" t="n">
        <v>1.5</v>
      </c>
      <c r="H614" t="n">
        <v>0</v>
      </c>
      <c r="I614" t="n">
        <v>0</v>
      </c>
      <c r="J614" t="n">
        <v>0</v>
      </c>
      <c r="K614" t="n">
        <v>0</v>
      </c>
      <c r="L614" t="n">
        <v>0</v>
      </c>
      <c r="M614" t="n">
        <v>0</v>
      </c>
      <c r="N614" t="n">
        <v>0</v>
      </c>
      <c r="O614" t="n">
        <v>0</v>
      </c>
      <c r="P614" t="n">
        <v>0</v>
      </c>
      <c r="Q614" t="n">
        <v>0</v>
      </c>
      <c r="R614" s="2" t="inlineStr"/>
    </row>
    <row r="615" ht="15" customHeight="1">
      <c r="A615" t="inlineStr">
        <is>
          <t>A 28506-2023</t>
        </is>
      </c>
      <c r="B615" s="1" t="n">
        <v>45103</v>
      </c>
      <c r="C615" s="1" t="n">
        <v>46101</v>
      </c>
      <c r="D615" t="inlineStr">
        <is>
          <t>GOTLANDS LÄN</t>
        </is>
      </c>
      <c r="E615" t="inlineStr">
        <is>
          <t>GOTLAND</t>
        </is>
      </c>
      <c r="G615" t="n">
        <v>3.2</v>
      </c>
      <c r="H615" t="n">
        <v>0</v>
      </c>
      <c r="I615" t="n">
        <v>0</v>
      </c>
      <c r="J615" t="n">
        <v>0</v>
      </c>
      <c r="K615" t="n">
        <v>0</v>
      </c>
      <c r="L615" t="n">
        <v>0</v>
      </c>
      <c r="M615" t="n">
        <v>0</v>
      </c>
      <c r="N615" t="n">
        <v>0</v>
      </c>
      <c r="O615" t="n">
        <v>0</v>
      </c>
      <c r="P615" t="n">
        <v>0</v>
      </c>
      <c r="Q615" t="n">
        <v>0</v>
      </c>
      <c r="R615" s="2" t="inlineStr"/>
    </row>
    <row r="616" ht="15" customHeight="1">
      <c r="A616" t="inlineStr">
        <is>
          <t>A 21420-2024</t>
        </is>
      </c>
      <c r="B616" s="1" t="n">
        <v>45441.38293981482</v>
      </c>
      <c r="C616" s="1" t="n">
        <v>46101</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23188-2025</t>
        </is>
      </c>
      <c r="B617" s="1" t="n">
        <v>45791</v>
      </c>
      <c r="C617" s="1" t="n">
        <v>46101</v>
      </c>
      <c r="D617" t="inlineStr">
        <is>
          <t>GOTLANDS LÄN</t>
        </is>
      </c>
      <c r="E617" t="inlineStr">
        <is>
          <t>GOTLAND</t>
        </is>
      </c>
      <c r="G617" t="n">
        <v>6.2</v>
      </c>
      <c r="H617" t="n">
        <v>0</v>
      </c>
      <c r="I617" t="n">
        <v>0</v>
      </c>
      <c r="J617" t="n">
        <v>0</v>
      </c>
      <c r="K617" t="n">
        <v>0</v>
      </c>
      <c r="L617" t="n">
        <v>0</v>
      </c>
      <c r="M617" t="n">
        <v>0</v>
      </c>
      <c r="N617" t="n">
        <v>0</v>
      </c>
      <c r="O617" t="n">
        <v>0</v>
      </c>
      <c r="P617" t="n">
        <v>0</v>
      </c>
      <c r="Q617" t="n">
        <v>0</v>
      </c>
      <c r="R617" s="2" t="inlineStr"/>
    </row>
    <row r="618" ht="15" customHeight="1">
      <c r="A618" t="inlineStr">
        <is>
          <t>A 23473-2025</t>
        </is>
      </c>
      <c r="B618" s="1" t="n">
        <v>45792</v>
      </c>
      <c r="C618" s="1" t="n">
        <v>46101</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23856-2025</t>
        </is>
      </c>
      <c r="B619" s="1" t="n">
        <v>45793</v>
      </c>
      <c r="C619" s="1" t="n">
        <v>46101</v>
      </c>
      <c r="D619" t="inlineStr">
        <is>
          <t>GOTLANDS LÄN</t>
        </is>
      </c>
      <c r="E619" t="inlineStr">
        <is>
          <t>GOTLAND</t>
        </is>
      </c>
      <c r="G619" t="n">
        <v>4.4</v>
      </c>
      <c r="H619" t="n">
        <v>0</v>
      </c>
      <c r="I619" t="n">
        <v>0</v>
      </c>
      <c r="J619" t="n">
        <v>0</v>
      </c>
      <c r="K619" t="n">
        <v>0</v>
      </c>
      <c r="L619" t="n">
        <v>0</v>
      </c>
      <c r="M619" t="n">
        <v>0</v>
      </c>
      <c r="N619" t="n">
        <v>0</v>
      </c>
      <c r="O619" t="n">
        <v>0</v>
      </c>
      <c r="P619" t="n">
        <v>0</v>
      </c>
      <c r="Q619" t="n">
        <v>0</v>
      </c>
      <c r="R619" s="2" t="inlineStr"/>
    </row>
    <row r="620" ht="15" customHeight="1">
      <c r="A620" t="inlineStr">
        <is>
          <t>A 15073-2025</t>
        </is>
      </c>
      <c r="B620" s="1" t="n">
        <v>45743</v>
      </c>
      <c r="C620" s="1" t="n">
        <v>46101</v>
      </c>
      <c r="D620" t="inlineStr">
        <is>
          <t>GOTLANDS LÄN</t>
        </is>
      </c>
      <c r="E620" t="inlineStr">
        <is>
          <t>GOTLAND</t>
        </is>
      </c>
      <c r="G620" t="n">
        <v>12.1</v>
      </c>
      <c r="H620" t="n">
        <v>0</v>
      </c>
      <c r="I620" t="n">
        <v>0</v>
      </c>
      <c r="J620" t="n">
        <v>0</v>
      </c>
      <c r="K620" t="n">
        <v>0</v>
      </c>
      <c r="L620" t="n">
        <v>0</v>
      </c>
      <c r="M620" t="n">
        <v>0</v>
      </c>
      <c r="N620" t="n">
        <v>0</v>
      </c>
      <c r="O620" t="n">
        <v>0</v>
      </c>
      <c r="P620" t="n">
        <v>0</v>
      </c>
      <c r="Q620" t="n">
        <v>0</v>
      </c>
      <c r="R620" s="2" t="inlineStr"/>
    </row>
    <row r="621" ht="15" customHeight="1">
      <c r="A621" t="inlineStr">
        <is>
          <t>A 6749-2025</t>
        </is>
      </c>
      <c r="B621" s="1" t="n">
        <v>45700</v>
      </c>
      <c r="C621" s="1" t="n">
        <v>46101</v>
      </c>
      <c r="D621" t="inlineStr">
        <is>
          <t>GOTLANDS LÄN</t>
        </is>
      </c>
      <c r="E621" t="inlineStr">
        <is>
          <t>GOTLAND</t>
        </is>
      </c>
      <c r="G621" t="n">
        <v>4.5</v>
      </c>
      <c r="H621" t="n">
        <v>0</v>
      </c>
      <c r="I621" t="n">
        <v>0</v>
      </c>
      <c r="J621" t="n">
        <v>0</v>
      </c>
      <c r="K621" t="n">
        <v>0</v>
      </c>
      <c r="L621" t="n">
        <v>0</v>
      </c>
      <c r="M621" t="n">
        <v>0</v>
      </c>
      <c r="N621" t="n">
        <v>0</v>
      </c>
      <c r="O621" t="n">
        <v>0</v>
      </c>
      <c r="P621" t="n">
        <v>0</v>
      </c>
      <c r="Q621" t="n">
        <v>0</v>
      </c>
      <c r="R621" s="2" t="inlineStr"/>
    </row>
    <row r="622" ht="15" customHeight="1">
      <c r="A622" t="inlineStr">
        <is>
          <t>A 23698-2025</t>
        </is>
      </c>
      <c r="B622" s="1" t="n">
        <v>45793</v>
      </c>
      <c r="C622" s="1" t="n">
        <v>46101</v>
      </c>
      <c r="D622" t="inlineStr">
        <is>
          <t>GOTLANDS LÄN</t>
        </is>
      </c>
      <c r="E622" t="inlineStr">
        <is>
          <t>GOTLAND</t>
        </is>
      </c>
      <c r="G622" t="n">
        <v>0.8</v>
      </c>
      <c r="H622" t="n">
        <v>0</v>
      </c>
      <c r="I622" t="n">
        <v>0</v>
      </c>
      <c r="J622" t="n">
        <v>0</v>
      </c>
      <c r="K622" t="n">
        <v>0</v>
      </c>
      <c r="L622" t="n">
        <v>0</v>
      </c>
      <c r="M622" t="n">
        <v>0</v>
      </c>
      <c r="N622" t="n">
        <v>0</v>
      </c>
      <c r="O622" t="n">
        <v>0</v>
      </c>
      <c r="P622" t="n">
        <v>0</v>
      </c>
      <c r="Q622" t="n">
        <v>0</v>
      </c>
      <c r="R622" s="2" t="inlineStr"/>
    </row>
    <row r="623" ht="15" customHeight="1">
      <c r="A623" t="inlineStr">
        <is>
          <t>A 5462-2025</t>
        </is>
      </c>
      <c r="B623" s="1" t="n">
        <v>45693.29331018519</v>
      </c>
      <c r="C623" s="1" t="n">
        <v>46101</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25796-2025</t>
        </is>
      </c>
      <c r="B624" s="1" t="n">
        <v>45804.39543981481</v>
      </c>
      <c r="C624" s="1" t="n">
        <v>46101</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26457-2025</t>
        </is>
      </c>
      <c r="B625" s="1" t="n">
        <v>45807.42773148148</v>
      </c>
      <c r="C625" s="1" t="n">
        <v>46101</v>
      </c>
      <c r="D625" t="inlineStr">
        <is>
          <t>GOTLANDS LÄN</t>
        </is>
      </c>
      <c r="E625" t="inlineStr">
        <is>
          <t>GOTLAND</t>
        </is>
      </c>
      <c r="G625" t="n">
        <v>5.7</v>
      </c>
      <c r="H625" t="n">
        <v>0</v>
      </c>
      <c r="I625" t="n">
        <v>0</v>
      </c>
      <c r="J625" t="n">
        <v>0</v>
      </c>
      <c r="K625" t="n">
        <v>0</v>
      </c>
      <c r="L625" t="n">
        <v>0</v>
      </c>
      <c r="M625" t="n">
        <v>0</v>
      </c>
      <c r="N625" t="n">
        <v>0</v>
      </c>
      <c r="O625" t="n">
        <v>0</v>
      </c>
      <c r="P625" t="n">
        <v>0</v>
      </c>
      <c r="Q625" t="n">
        <v>0</v>
      </c>
      <c r="R625" s="2" t="inlineStr"/>
    </row>
    <row r="626" ht="15" customHeight="1">
      <c r="A626" t="inlineStr">
        <is>
          <t>A 26467-2025</t>
        </is>
      </c>
      <c r="B626" s="1" t="n">
        <v>45807.44640046296</v>
      </c>
      <c r="C626" s="1" t="n">
        <v>46101</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26465-2025</t>
        </is>
      </c>
      <c r="B627" s="1" t="n">
        <v>45807.44377314814</v>
      </c>
      <c r="C627" s="1" t="n">
        <v>46101</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26660-2025</t>
        </is>
      </c>
      <c r="B628" s="1" t="n">
        <v>45810.39737268518</v>
      </c>
      <c r="C628" s="1" t="n">
        <v>46101</v>
      </c>
      <c r="D628" t="inlineStr">
        <is>
          <t>GOTLANDS LÄN</t>
        </is>
      </c>
      <c r="E628" t="inlineStr">
        <is>
          <t>GOTLAND</t>
        </is>
      </c>
      <c r="G628" t="n">
        <v>1.8</v>
      </c>
      <c r="H628" t="n">
        <v>0</v>
      </c>
      <c r="I628" t="n">
        <v>0</v>
      </c>
      <c r="J628" t="n">
        <v>0</v>
      </c>
      <c r="K628" t="n">
        <v>0</v>
      </c>
      <c r="L628" t="n">
        <v>0</v>
      </c>
      <c r="M628" t="n">
        <v>0</v>
      </c>
      <c r="N628" t="n">
        <v>0</v>
      </c>
      <c r="O628" t="n">
        <v>0</v>
      </c>
      <c r="P628" t="n">
        <v>0</v>
      </c>
      <c r="Q628" t="n">
        <v>0</v>
      </c>
      <c r="R628" s="2" t="inlineStr"/>
    </row>
    <row r="629" ht="15" customHeight="1">
      <c r="A629" t="inlineStr">
        <is>
          <t>A 27371-2025</t>
        </is>
      </c>
      <c r="B629" s="1" t="n">
        <v>45812</v>
      </c>
      <c r="C629" s="1" t="n">
        <v>46101</v>
      </c>
      <c r="D629" t="inlineStr">
        <is>
          <t>GOTLANDS LÄN</t>
        </is>
      </c>
      <c r="E629" t="inlineStr">
        <is>
          <t>GOTLAND</t>
        </is>
      </c>
      <c r="G629" t="n">
        <v>8</v>
      </c>
      <c r="H629" t="n">
        <v>0</v>
      </c>
      <c r="I629" t="n">
        <v>0</v>
      </c>
      <c r="J629" t="n">
        <v>0</v>
      </c>
      <c r="K629" t="n">
        <v>0</v>
      </c>
      <c r="L629" t="n">
        <v>0</v>
      </c>
      <c r="M629" t="n">
        <v>0</v>
      </c>
      <c r="N629" t="n">
        <v>0</v>
      </c>
      <c r="O629" t="n">
        <v>0</v>
      </c>
      <c r="P629" t="n">
        <v>0</v>
      </c>
      <c r="Q629" t="n">
        <v>0</v>
      </c>
      <c r="R629" s="2" t="inlineStr"/>
    </row>
    <row r="630" ht="15" customHeight="1">
      <c r="A630" t="inlineStr">
        <is>
          <t>A 27355-2025</t>
        </is>
      </c>
      <c r="B630" s="1" t="n">
        <v>45812</v>
      </c>
      <c r="C630" s="1" t="n">
        <v>46101</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6739-2025</t>
        </is>
      </c>
      <c r="B631" s="1" t="n">
        <v>45700</v>
      </c>
      <c r="C631" s="1" t="n">
        <v>46101</v>
      </c>
      <c r="D631" t="inlineStr">
        <is>
          <t>GOTLANDS LÄN</t>
        </is>
      </c>
      <c r="E631" t="inlineStr">
        <is>
          <t>GOTLAND</t>
        </is>
      </c>
      <c r="G631" t="n">
        <v>4.5</v>
      </c>
      <c r="H631" t="n">
        <v>0</v>
      </c>
      <c r="I631" t="n">
        <v>0</v>
      </c>
      <c r="J631" t="n">
        <v>0</v>
      </c>
      <c r="K631" t="n">
        <v>0</v>
      </c>
      <c r="L631" t="n">
        <v>0</v>
      </c>
      <c r="M631" t="n">
        <v>0</v>
      </c>
      <c r="N631" t="n">
        <v>0</v>
      </c>
      <c r="O631" t="n">
        <v>0</v>
      </c>
      <c r="P631" t="n">
        <v>0</v>
      </c>
      <c r="Q631" t="n">
        <v>0</v>
      </c>
      <c r="R631" s="2" t="inlineStr"/>
    </row>
    <row r="632" ht="15" customHeight="1">
      <c r="A632" t="inlineStr">
        <is>
          <t>A 7850-2025</t>
        </is>
      </c>
      <c r="B632" s="1" t="n">
        <v>45706</v>
      </c>
      <c r="C632" s="1" t="n">
        <v>46101</v>
      </c>
      <c r="D632" t="inlineStr">
        <is>
          <t>GOTLANDS LÄN</t>
        </is>
      </c>
      <c r="E632" t="inlineStr">
        <is>
          <t>GOTLAND</t>
        </is>
      </c>
      <c r="G632" t="n">
        <v>0.5</v>
      </c>
      <c r="H632" t="n">
        <v>0</v>
      </c>
      <c r="I632" t="n">
        <v>0</v>
      </c>
      <c r="J632" t="n">
        <v>0</v>
      </c>
      <c r="K632" t="n">
        <v>0</v>
      </c>
      <c r="L632" t="n">
        <v>0</v>
      </c>
      <c r="M632" t="n">
        <v>0</v>
      </c>
      <c r="N632" t="n">
        <v>0</v>
      </c>
      <c r="O632" t="n">
        <v>0</v>
      </c>
      <c r="P632" t="n">
        <v>0</v>
      </c>
      <c r="Q632" t="n">
        <v>0</v>
      </c>
      <c r="R632" s="2" t="inlineStr"/>
    </row>
    <row r="633" ht="15" customHeight="1">
      <c r="A633" t="inlineStr">
        <is>
          <t>A 8444-2025</t>
        </is>
      </c>
      <c r="B633" s="1" t="n">
        <v>45709</v>
      </c>
      <c r="C633" s="1" t="n">
        <v>46101</v>
      </c>
      <c r="D633" t="inlineStr">
        <is>
          <t>GOTLANDS LÄN</t>
        </is>
      </c>
      <c r="E633" t="inlineStr">
        <is>
          <t>GOTLAND</t>
        </is>
      </c>
      <c r="G633" t="n">
        <v>5.2</v>
      </c>
      <c r="H633" t="n">
        <v>0</v>
      </c>
      <c r="I633" t="n">
        <v>0</v>
      </c>
      <c r="J633" t="n">
        <v>0</v>
      </c>
      <c r="K633" t="n">
        <v>0</v>
      </c>
      <c r="L633" t="n">
        <v>0</v>
      </c>
      <c r="M633" t="n">
        <v>0</v>
      </c>
      <c r="N633" t="n">
        <v>0</v>
      </c>
      <c r="O633" t="n">
        <v>0</v>
      </c>
      <c r="P633" t="n">
        <v>0</v>
      </c>
      <c r="Q633" t="n">
        <v>0</v>
      </c>
      <c r="R633" s="2" t="inlineStr"/>
    </row>
    <row r="634" ht="15" customHeight="1">
      <c r="A634" t="inlineStr">
        <is>
          <t>A 19905-2025</t>
        </is>
      </c>
      <c r="B634" s="1" t="n">
        <v>45771</v>
      </c>
      <c r="C634" s="1" t="n">
        <v>46101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29196-2025</t>
        </is>
      </c>
      <c r="B635" s="1" t="n">
        <v>45822</v>
      </c>
      <c r="C635" s="1" t="n">
        <v>46101</v>
      </c>
      <c r="D635" t="inlineStr">
        <is>
          <t>GOTLANDS LÄN</t>
        </is>
      </c>
      <c r="E635" t="inlineStr">
        <is>
          <t>GOTLAND</t>
        </is>
      </c>
      <c r="G635" t="n">
        <v>0.5</v>
      </c>
      <c r="H635" t="n">
        <v>0</v>
      </c>
      <c r="I635" t="n">
        <v>0</v>
      </c>
      <c r="J635" t="n">
        <v>0</v>
      </c>
      <c r="K635" t="n">
        <v>0</v>
      </c>
      <c r="L635" t="n">
        <v>0</v>
      </c>
      <c r="M635" t="n">
        <v>0</v>
      </c>
      <c r="N635" t="n">
        <v>0</v>
      </c>
      <c r="O635" t="n">
        <v>0</v>
      </c>
      <c r="P635" t="n">
        <v>0</v>
      </c>
      <c r="Q635" t="n">
        <v>0</v>
      </c>
      <c r="R635" s="2" t="inlineStr"/>
    </row>
    <row r="636" ht="15" customHeight="1">
      <c r="A636" t="inlineStr">
        <is>
          <t>A 29207-2025</t>
        </is>
      </c>
      <c r="B636" s="1" t="n">
        <v>45823</v>
      </c>
      <c r="C636" s="1" t="n">
        <v>46101</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30061-2025</t>
        </is>
      </c>
      <c r="B637" s="1" t="n">
        <v>45826.61488425926</v>
      </c>
      <c r="C637" s="1" t="n">
        <v>46101</v>
      </c>
      <c r="D637" t="inlineStr">
        <is>
          <t>GOTLANDS LÄN</t>
        </is>
      </c>
      <c r="E637" t="inlineStr">
        <is>
          <t>GOTLAND</t>
        </is>
      </c>
      <c r="G637" t="n">
        <v>4.1</v>
      </c>
      <c r="H637" t="n">
        <v>0</v>
      </c>
      <c r="I637" t="n">
        <v>0</v>
      </c>
      <c r="J637" t="n">
        <v>0</v>
      </c>
      <c r="K637" t="n">
        <v>0</v>
      </c>
      <c r="L637" t="n">
        <v>0</v>
      </c>
      <c r="M637" t="n">
        <v>0</v>
      </c>
      <c r="N637" t="n">
        <v>0</v>
      </c>
      <c r="O637" t="n">
        <v>0</v>
      </c>
      <c r="P637" t="n">
        <v>0</v>
      </c>
      <c r="Q637" t="n">
        <v>0</v>
      </c>
      <c r="R637" s="2" t="inlineStr"/>
    </row>
    <row r="638" ht="15" customHeight="1">
      <c r="A638" t="inlineStr">
        <is>
          <t>A 58160-2024</t>
        </is>
      </c>
      <c r="B638" s="1" t="n">
        <v>45632.44927083333</v>
      </c>
      <c r="C638" s="1" t="n">
        <v>46101</v>
      </c>
      <c r="D638" t="inlineStr">
        <is>
          <t>GOTLANDS LÄN</t>
        </is>
      </c>
      <c r="E638" t="inlineStr">
        <is>
          <t>GOTLAND</t>
        </is>
      </c>
      <c r="G638" t="n">
        <v>5.6</v>
      </c>
      <c r="H638" t="n">
        <v>0</v>
      </c>
      <c r="I638" t="n">
        <v>0</v>
      </c>
      <c r="J638" t="n">
        <v>0</v>
      </c>
      <c r="K638" t="n">
        <v>0</v>
      </c>
      <c r="L638" t="n">
        <v>0</v>
      </c>
      <c r="M638" t="n">
        <v>0</v>
      </c>
      <c r="N638" t="n">
        <v>0</v>
      </c>
      <c r="O638" t="n">
        <v>0</v>
      </c>
      <c r="P638" t="n">
        <v>0</v>
      </c>
      <c r="Q638" t="n">
        <v>0</v>
      </c>
      <c r="R638" s="2" t="inlineStr"/>
    </row>
    <row r="639" ht="15" customHeight="1">
      <c r="A639" t="inlineStr">
        <is>
          <t>A 32379-2025</t>
        </is>
      </c>
      <c r="B639" s="1" t="n">
        <v>45837</v>
      </c>
      <c r="C639" s="1" t="n">
        <v>46101</v>
      </c>
      <c r="D639" t="inlineStr">
        <is>
          <t>GOTLANDS LÄN</t>
        </is>
      </c>
      <c r="E639" t="inlineStr">
        <is>
          <t>GOTLAND</t>
        </is>
      </c>
      <c r="G639" t="n">
        <v>1</v>
      </c>
      <c r="H639" t="n">
        <v>0</v>
      </c>
      <c r="I639" t="n">
        <v>0</v>
      </c>
      <c r="J639" t="n">
        <v>0</v>
      </c>
      <c r="K639" t="n">
        <v>0</v>
      </c>
      <c r="L639" t="n">
        <v>0</v>
      </c>
      <c r="M639" t="n">
        <v>0</v>
      </c>
      <c r="N639" t="n">
        <v>0</v>
      </c>
      <c r="O639" t="n">
        <v>0</v>
      </c>
      <c r="P639" t="n">
        <v>0</v>
      </c>
      <c r="Q639" t="n">
        <v>0</v>
      </c>
      <c r="R639" s="2" t="inlineStr"/>
    </row>
    <row r="640" ht="15" customHeight="1">
      <c r="A640" t="inlineStr">
        <is>
          <t>A 32467-2025</t>
        </is>
      </c>
      <c r="B640" s="1" t="n">
        <v>45838.42111111111</v>
      </c>
      <c r="C640" s="1" t="n">
        <v>46101</v>
      </c>
      <c r="D640" t="inlineStr">
        <is>
          <t>GOTLANDS LÄN</t>
        </is>
      </c>
      <c r="E640" t="inlineStr">
        <is>
          <t>GOTLAND</t>
        </is>
      </c>
      <c r="G640" t="n">
        <v>4.3</v>
      </c>
      <c r="H640" t="n">
        <v>0</v>
      </c>
      <c r="I640" t="n">
        <v>0</v>
      </c>
      <c r="J640" t="n">
        <v>0</v>
      </c>
      <c r="K640" t="n">
        <v>0</v>
      </c>
      <c r="L640" t="n">
        <v>0</v>
      </c>
      <c r="M640" t="n">
        <v>0</v>
      </c>
      <c r="N640" t="n">
        <v>0</v>
      </c>
      <c r="O640" t="n">
        <v>0</v>
      </c>
      <c r="P640" t="n">
        <v>0</v>
      </c>
      <c r="Q640" t="n">
        <v>0</v>
      </c>
      <c r="R640" s="2" t="inlineStr"/>
    </row>
    <row r="641" ht="15" customHeight="1">
      <c r="A641" t="inlineStr">
        <is>
          <t>A 16109-2025</t>
        </is>
      </c>
      <c r="B641" s="1" t="n">
        <v>45750</v>
      </c>
      <c r="C641" s="1" t="n">
        <v>46101</v>
      </c>
      <c r="D641" t="inlineStr">
        <is>
          <t>GOTLANDS LÄN</t>
        </is>
      </c>
      <c r="E641" t="inlineStr">
        <is>
          <t>GOTLAND</t>
        </is>
      </c>
      <c r="G641" t="n">
        <v>4.9</v>
      </c>
      <c r="H641" t="n">
        <v>0</v>
      </c>
      <c r="I641" t="n">
        <v>0</v>
      </c>
      <c r="J641" t="n">
        <v>0</v>
      </c>
      <c r="K641" t="n">
        <v>0</v>
      </c>
      <c r="L641" t="n">
        <v>0</v>
      </c>
      <c r="M641" t="n">
        <v>0</v>
      </c>
      <c r="N641" t="n">
        <v>0</v>
      </c>
      <c r="O641" t="n">
        <v>0</v>
      </c>
      <c r="P641" t="n">
        <v>0</v>
      </c>
      <c r="Q641" t="n">
        <v>0</v>
      </c>
      <c r="R641" s="2" t="inlineStr"/>
    </row>
    <row r="642" ht="15" customHeight="1">
      <c r="A642" t="inlineStr">
        <is>
          <t>A 33007-2025</t>
        </is>
      </c>
      <c r="B642" s="1" t="n">
        <v>45840</v>
      </c>
      <c r="C642" s="1" t="n">
        <v>46101</v>
      </c>
      <c r="D642" t="inlineStr">
        <is>
          <t>GOTLANDS LÄN</t>
        </is>
      </c>
      <c r="E642" t="inlineStr">
        <is>
          <t>GOTLAND</t>
        </is>
      </c>
      <c r="G642" t="n">
        <v>4.9</v>
      </c>
      <c r="H642" t="n">
        <v>0</v>
      </c>
      <c r="I642" t="n">
        <v>0</v>
      </c>
      <c r="J642" t="n">
        <v>0</v>
      </c>
      <c r="K642" t="n">
        <v>0</v>
      </c>
      <c r="L642" t="n">
        <v>0</v>
      </c>
      <c r="M642" t="n">
        <v>0</v>
      </c>
      <c r="N642" t="n">
        <v>0</v>
      </c>
      <c r="O642" t="n">
        <v>0</v>
      </c>
      <c r="P642" t="n">
        <v>0</v>
      </c>
      <c r="Q642" t="n">
        <v>0</v>
      </c>
      <c r="R642" s="2" t="inlineStr"/>
    </row>
    <row r="643" ht="15" customHeight="1">
      <c r="A643" t="inlineStr">
        <is>
          <t>A 15413-2025</t>
        </is>
      </c>
      <c r="B643" s="1" t="n">
        <v>45747.451875</v>
      </c>
      <c r="C643" s="1" t="n">
        <v>46101</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35123-2025</t>
        </is>
      </c>
      <c r="B644" s="1" t="n">
        <v>45852.614375</v>
      </c>
      <c r="C644" s="1" t="n">
        <v>46101</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35096-2025</t>
        </is>
      </c>
      <c r="B645" s="1" t="n">
        <v>45852.54356481481</v>
      </c>
      <c r="C645" s="1" t="n">
        <v>46101</v>
      </c>
      <c r="D645" t="inlineStr">
        <is>
          <t>GOTLANDS LÄN</t>
        </is>
      </c>
      <c r="E645" t="inlineStr">
        <is>
          <t>GOTLAND</t>
        </is>
      </c>
      <c r="F645" t="inlineStr">
        <is>
          <t>Kyrkan</t>
        </is>
      </c>
      <c r="G645" t="n">
        <v>1</v>
      </c>
      <c r="H645" t="n">
        <v>0</v>
      </c>
      <c r="I645" t="n">
        <v>0</v>
      </c>
      <c r="J645" t="n">
        <v>0</v>
      </c>
      <c r="K645" t="n">
        <v>0</v>
      </c>
      <c r="L645" t="n">
        <v>0</v>
      </c>
      <c r="M645" t="n">
        <v>0</v>
      </c>
      <c r="N645" t="n">
        <v>0</v>
      </c>
      <c r="O645" t="n">
        <v>0</v>
      </c>
      <c r="P645" t="n">
        <v>0</v>
      </c>
      <c r="Q645" t="n">
        <v>0</v>
      </c>
      <c r="R645" s="2" t="inlineStr"/>
    </row>
    <row r="646" ht="15" customHeight="1">
      <c r="A646" t="inlineStr">
        <is>
          <t>A 30104-2025</t>
        </is>
      </c>
      <c r="B646" s="1" t="n">
        <v>45826.68806712963</v>
      </c>
      <c r="C646" s="1" t="n">
        <v>46101</v>
      </c>
      <c r="D646" t="inlineStr">
        <is>
          <t>GOTLANDS LÄN</t>
        </is>
      </c>
      <c r="E646" t="inlineStr">
        <is>
          <t>GOTLAND</t>
        </is>
      </c>
      <c r="G646" t="n">
        <v>15.4</v>
      </c>
      <c r="H646" t="n">
        <v>0</v>
      </c>
      <c r="I646" t="n">
        <v>0</v>
      </c>
      <c r="J646" t="n">
        <v>0</v>
      </c>
      <c r="K646" t="n">
        <v>0</v>
      </c>
      <c r="L646" t="n">
        <v>0</v>
      </c>
      <c r="M646" t="n">
        <v>0</v>
      </c>
      <c r="N646" t="n">
        <v>0</v>
      </c>
      <c r="O646" t="n">
        <v>0</v>
      </c>
      <c r="P646" t="n">
        <v>0</v>
      </c>
      <c r="Q646" t="n">
        <v>0</v>
      </c>
      <c r="R646" s="2" t="inlineStr"/>
    </row>
    <row r="647" ht="15" customHeight="1">
      <c r="A647" t="inlineStr">
        <is>
          <t>A 35290-2025</t>
        </is>
      </c>
      <c r="B647" s="1" t="n">
        <v>45854.38502314815</v>
      </c>
      <c r="C647" s="1" t="n">
        <v>46101</v>
      </c>
      <c r="D647" t="inlineStr">
        <is>
          <t>GOTLANDS LÄN</t>
        </is>
      </c>
      <c r="E647" t="inlineStr">
        <is>
          <t>GOTLAND</t>
        </is>
      </c>
      <c r="G647" t="n">
        <v>5.4</v>
      </c>
      <c r="H647" t="n">
        <v>0</v>
      </c>
      <c r="I647" t="n">
        <v>0</v>
      </c>
      <c r="J647" t="n">
        <v>0</v>
      </c>
      <c r="K647" t="n">
        <v>0</v>
      </c>
      <c r="L647" t="n">
        <v>0</v>
      </c>
      <c r="M647" t="n">
        <v>0</v>
      </c>
      <c r="N647" t="n">
        <v>0</v>
      </c>
      <c r="O647" t="n">
        <v>0</v>
      </c>
      <c r="P647" t="n">
        <v>0</v>
      </c>
      <c r="Q647" t="n">
        <v>0</v>
      </c>
      <c r="R647" s="2" t="inlineStr"/>
    </row>
    <row r="648">
      <c r="A648" t="inlineStr">
        <is>
          <t>A 32669-2024</t>
        </is>
      </c>
      <c r="B648" s="1" t="n">
        <v>45514</v>
      </c>
      <c r="C648" s="1" t="n">
        <v>46101</v>
      </c>
      <c r="D648" t="inlineStr">
        <is>
          <t>GOTLANDS LÄN</t>
        </is>
      </c>
      <c r="E648" t="inlineStr">
        <is>
          <t>GOTLAND</t>
        </is>
      </c>
      <c r="G648" t="n">
        <v>9.699999999999999</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2026-03-20T11:29:41Z</dcterms:created>
  <dcterms:modified xmlns:dcterms="http://purl.org/dc/terms/" xmlns:xsi="http://www.w3.org/2001/XMLSchema-instance" xsi:type="dcterms:W3CDTF">2026-03-20T11:29:42Z</dcterms:modified>
</cp:coreProperties>
</file>