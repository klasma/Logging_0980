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45940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45940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45940</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45940</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45940</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45940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45940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45940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45940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45940</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45940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45940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45940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45940</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45940</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45940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45940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45940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45940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45940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45940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45940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45940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45940</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45940</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45940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45940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45940</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45940</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45940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45940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24309-2025</t>
        </is>
      </c>
      <c r="B33" s="1" t="n">
        <v>45797</v>
      </c>
      <c r="C33" s="1" t="n">
        <v>45940</v>
      </c>
      <c r="D33" t="inlineStr">
        <is>
          <t>GOTLANDS LÄN</t>
        </is>
      </c>
      <c r="E33" t="inlineStr">
        <is>
          <t>GOTLAND</t>
        </is>
      </c>
      <c r="F33" t="inlineStr">
        <is>
          <t>Kyrkan</t>
        </is>
      </c>
      <c r="G33" t="n">
        <v>7.8</v>
      </c>
      <c r="H33" t="n">
        <v>11</v>
      </c>
      <c r="I33" t="n">
        <v>6</v>
      </c>
      <c r="J33" t="n">
        <v>3</v>
      </c>
      <c r="K33" t="n">
        <v>1</v>
      </c>
      <c r="L33" t="n">
        <v>1</v>
      </c>
      <c r="M33" t="n">
        <v>0</v>
      </c>
      <c r="N33" t="n">
        <v>0</v>
      </c>
      <c r="O33" t="n">
        <v>5</v>
      </c>
      <c r="P33" t="n">
        <v>2</v>
      </c>
      <c r="Q33" t="n">
        <v>14</v>
      </c>
      <c r="R33" s="2" t="inlineStr">
        <is>
          <t>Grönfink
Garderönn
Dårgräsfjäril
Spillkråka
Svinrot
Grönpyrola
Purpurknipprot
Skogsknipprot
Strävlosta
Tvåblad
Vit skogslilja
Halsbandsflugsnappare
Nattviol
Blåsippa</t>
        </is>
      </c>
      <c r="S33">
        <f>HYPERLINK("https://klasma.github.io/Logging_0980/artfynd/A 24309-2025 artfynd.xlsx", "A 24309-2025")</f>
        <v/>
      </c>
      <c r="T33">
        <f>HYPERLINK("https://klasma.github.io/Logging_0980/kartor/A 24309-2025 karta.png", "A 24309-2025")</f>
        <v/>
      </c>
      <c r="V33">
        <f>HYPERLINK("https://klasma.github.io/Logging_0980/klagomål/A 24309-2025 FSC-klagomål.docx", "A 24309-2025")</f>
        <v/>
      </c>
      <c r="W33">
        <f>HYPERLINK("https://klasma.github.io/Logging_0980/klagomålsmail/A 24309-2025 FSC-klagomål mail.docx", "A 24309-2025")</f>
        <v/>
      </c>
      <c r="X33">
        <f>HYPERLINK("https://klasma.github.io/Logging_0980/tillsyn/A 24309-2025 tillsynsbegäran.docx", "A 24309-2025")</f>
        <v/>
      </c>
      <c r="Y33">
        <f>HYPERLINK("https://klasma.github.io/Logging_0980/tillsynsmail/A 24309-2025 tillsynsbegäran mail.docx", "A 24309-2025")</f>
        <v/>
      </c>
      <c r="Z33">
        <f>HYPERLINK("https://klasma.github.io/Logging_0980/fåglar/A 24309-2025 prioriterade fågelarter.docx", "A 24309-2025")</f>
        <v/>
      </c>
    </row>
    <row r="34" ht="15" customHeight="1">
      <c r="A34" t="inlineStr">
        <is>
          <t>A 2222-2024</t>
        </is>
      </c>
      <c r="B34" s="1" t="n">
        <v>45309</v>
      </c>
      <c r="C34" s="1" t="n">
        <v>45940</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45940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45940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41238-2025</t>
        </is>
      </c>
      <c r="B37" s="1" t="n">
        <v>45898</v>
      </c>
      <c r="C37" s="1" t="n">
        <v>45940</v>
      </c>
      <c r="D37" t="inlineStr">
        <is>
          <t>GOTLANDS LÄN</t>
        </is>
      </c>
      <c r="E37" t="inlineStr">
        <is>
          <t>GOTLAND</t>
        </is>
      </c>
      <c r="G37" t="n">
        <v>7.1</v>
      </c>
      <c r="H37" t="n">
        <v>1</v>
      </c>
      <c r="I37" t="n">
        <v>7</v>
      </c>
      <c r="J37" t="n">
        <v>3</v>
      </c>
      <c r="K37" t="n">
        <v>3</v>
      </c>
      <c r="L37" t="n">
        <v>0</v>
      </c>
      <c r="M37" t="n">
        <v>0</v>
      </c>
      <c r="N37" t="n">
        <v>0</v>
      </c>
      <c r="O37" t="n">
        <v>6</v>
      </c>
      <c r="P37" t="n">
        <v>3</v>
      </c>
      <c r="Q37" t="n">
        <v>13</v>
      </c>
      <c r="R37" s="2" t="inlineStr">
        <is>
          <t>Granrotsspindling
Mörkfjällig olivspindling
Violettfläckig spindling
Bittermusseron
Odörspindling
Tallticka
Anisspindling
Dropptaggsvamp
Fjällig taggsvamp s.str.
Granbarkgnagare
Olivspindling
Skarp dropptaggsvamp
Skogsknipprot</t>
        </is>
      </c>
      <c r="S37">
        <f>HYPERLINK("https://klasma.github.io/Logging_0980/artfynd/A 41238-2025 artfynd.xlsx", "A 41238-2025")</f>
        <v/>
      </c>
      <c r="T37">
        <f>HYPERLINK("https://klasma.github.io/Logging_0980/kartor/A 41238-2025 karta.png", "A 41238-2025")</f>
        <v/>
      </c>
      <c r="V37">
        <f>HYPERLINK("https://klasma.github.io/Logging_0980/klagomål/A 41238-2025 FSC-klagomål.docx", "A 41238-2025")</f>
        <v/>
      </c>
      <c r="W37">
        <f>HYPERLINK("https://klasma.github.io/Logging_0980/klagomålsmail/A 41238-2025 FSC-klagomål mail.docx", "A 41238-2025")</f>
        <v/>
      </c>
      <c r="X37">
        <f>HYPERLINK("https://klasma.github.io/Logging_0980/tillsyn/A 41238-2025 tillsynsbegäran.docx", "A 41238-2025")</f>
        <v/>
      </c>
      <c r="Y37">
        <f>HYPERLINK("https://klasma.github.io/Logging_0980/tillsynsmail/A 41238-2025 tillsynsbegäran mail.docx", "A 41238-2025")</f>
        <v/>
      </c>
    </row>
    <row r="38" ht="15" customHeight="1">
      <c r="A38" t="inlineStr">
        <is>
          <t>A 44204-2022</t>
        </is>
      </c>
      <c r="B38" s="1" t="n">
        <v>44839</v>
      </c>
      <c r="C38" s="1" t="n">
        <v>45940</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445-2023</t>
        </is>
      </c>
      <c r="B39" s="1" t="n">
        <v>44929</v>
      </c>
      <c r="C39" s="1" t="n">
        <v>45940</v>
      </c>
      <c r="D39" t="inlineStr">
        <is>
          <t>GOTLANDS LÄN</t>
        </is>
      </c>
      <c r="E39" t="inlineStr">
        <is>
          <t>GOTLAND</t>
        </is>
      </c>
      <c r="G39" t="n">
        <v>4.9</v>
      </c>
      <c r="H39" t="n">
        <v>3</v>
      </c>
      <c r="I39" t="n">
        <v>3</v>
      </c>
      <c r="J39" t="n">
        <v>5</v>
      </c>
      <c r="K39" t="n">
        <v>4</v>
      </c>
      <c r="L39" t="n">
        <v>0</v>
      </c>
      <c r="M39" t="n">
        <v>0</v>
      </c>
      <c r="N39" t="n">
        <v>0</v>
      </c>
      <c r="O39" t="n">
        <v>10</v>
      </c>
      <c r="P39" t="n">
        <v>4</v>
      </c>
      <c r="Q39" t="n">
        <v>13</v>
      </c>
      <c r="R39" s="2" t="inlineStr">
        <is>
          <t>Garderönn
Granrotsspindling
Gulsträngad fagerspindling
Taggfingersvamp
Duvhök
Jordtistel
Odörspindling
Spillkråka
Svinrot
Trollspindling
Besk kastanjemusseron
Rödgul trumpetsvamp
Vårärt</t>
        </is>
      </c>
      <c r="S39">
        <f>HYPERLINK("https://klasma.github.io/Logging_0980/artfynd/A 445-2023 artfynd.xlsx", "A 445-2023")</f>
        <v/>
      </c>
      <c r="T39">
        <f>HYPERLINK("https://klasma.github.io/Logging_0980/kartor/A 445-2023 karta.png", "A 445-2023")</f>
        <v/>
      </c>
      <c r="V39">
        <f>HYPERLINK("https://klasma.github.io/Logging_0980/klagomål/A 445-2023 FSC-klagomål.docx", "A 445-2023")</f>
        <v/>
      </c>
      <c r="W39">
        <f>HYPERLINK("https://klasma.github.io/Logging_0980/klagomålsmail/A 445-2023 FSC-klagomål mail.docx", "A 445-2023")</f>
        <v/>
      </c>
      <c r="X39">
        <f>HYPERLINK("https://klasma.github.io/Logging_0980/tillsyn/A 445-2023 tillsynsbegäran.docx", "A 445-2023")</f>
        <v/>
      </c>
      <c r="Y39">
        <f>HYPERLINK("https://klasma.github.io/Logging_0980/tillsynsmail/A 445-2023 tillsynsbegäran mail.docx", "A 445-2023")</f>
        <v/>
      </c>
      <c r="Z39">
        <f>HYPERLINK("https://klasma.github.io/Logging_0980/fåglar/A 445-2023 prioriterade fågelarter.docx", "A 445-2023")</f>
        <v/>
      </c>
    </row>
    <row r="40" ht="15" customHeight="1">
      <c r="A40" t="inlineStr">
        <is>
          <t>A 35141-2022</t>
        </is>
      </c>
      <c r="B40" s="1" t="n">
        <v>44797.53318287037</v>
      </c>
      <c r="C40" s="1" t="n">
        <v>45940</v>
      </c>
      <c r="D40" t="inlineStr">
        <is>
          <t>GOTLANDS LÄN</t>
        </is>
      </c>
      <c r="E40" t="inlineStr">
        <is>
          <t>GOTLAND</t>
        </is>
      </c>
      <c r="G40" t="n">
        <v>1.8</v>
      </c>
      <c r="H40" t="n">
        <v>0</v>
      </c>
      <c r="I40" t="n">
        <v>7</v>
      </c>
      <c r="J40" t="n">
        <v>3</v>
      </c>
      <c r="K40" t="n">
        <v>3</v>
      </c>
      <c r="L40" t="n">
        <v>0</v>
      </c>
      <c r="M40" t="n">
        <v>0</v>
      </c>
      <c r="N40" t="n">
        <v>0</v>
      </c>
      <c r="O40" t="n">
        <v>6</v>
      </c>
      <c r="P40" t="n">
        <v>3</v>
      </c>
      <c r="Q40" t="n">
        <v>13</v>
      </c>
      <c r="R40" s="2" t="inlineStr">
        <is>
          <t>Dvärgfjällskivling
Svartgrön spindling
Violettfläckig spindling
Bittermusseron
Flattoppad klubbsvamp
Odörspindling
Anisspindling
Fransig jordstjärna
Kambräken
Olivspindling
Rödgul trumpetsvamp
Svavelriska
Vågbandad barkbock</t>
        </is>
      </c>
      <c r="S40">
        <f>HYPERLINK("https://klasma.github.io/Logging_0980/artfynd/A 35141-2022 artfynd.xlsx", "A 35141-2022")</f>
        <v/>
      </c>
      <c r="T40">
        <f>HYPERLINK("https://klasma.github.io/Logging_0980/kartor/A 35141-2022 karta.png", "A 35141-2022")</f>
        <v/>
      </c>
      <c r="V40">
        <f>HYPERLINK("https://klasma.github.io/Logging_0980/klagomål/A 35141-2022 FSC-klagomål.docx", "A 35141-2022")</f>
        <v/>
      </c>
      <c r="W40">
        <f>HYPERLINK("https://klasma.github.io/Logging_0980/klagomålsmail/A 35141-2022 FSC-klagomål mail.docx", "A 35141-2022")</f>
        <v/>
      </c>
      <c r="X40">
        <f>HYPERLINK("https://klasma.github.io/Logging_0980/tillsyn/A 35141-2022 tillsynsbegäran.docx", "A 35141-2022")</f>
        <v/>
      </c>
      <c r="Y40">
        <f>HYPERLINK("https://klasma.github.io/Logging_0980/tillsynsmail/A 35141-2022 tillsynsbegäran mail.docx", "A 35141-2022")</f>
        <v/>
      </c>
    </row>
    <row r="41" ht="15" customHeight="1">
      <c r="A41" t="inlineStr">
        <is>
          <t>A 3324-2023</t>
        </is>
      </c>
      <c r="B41" s="1" t="n">
        <v>44949</v>
      </c>
      <c r="C41" s="1" t="n">
        <v>45940</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63872-2021</t>
        </is>
      </c>
      <c r="B42" s="1" t="n">
        <v>44509</v>
      </c>
      <c r="C42" s="1" t="n">
        <v>45940</v>
      </c>
      <c r="D42" t="inlineStr">
        <is>
          <t>GOTLANDS LÄN</t>
        </is>
      </c>
      <c r="E42" t="inlineStr">
        <is>
          <t>GOTLAND</t>
        </is>
      </c>
      <c r="G42" t="n">
        <v>20.5</v>
      </c>
      <c r="H42" t="n">
        <v>3</v>
      </c>
      <c r="I42" t="n">
        <v>1</v>
      </c>
      <c r="J42" t="n">
        <v>5</v>
      </c>
      <c r="K42" t="n">
        <v>4</v>
      </c>
      <c r="L42" t="n">
        <v>0</v>
      </c>
      <c r="M42" t="n">
        <v>0</v>
      </c>
      <c r="N42" t="n">
        <v>0</v>
      </c>
      <c r="O42" t="n">
        <v>9</v>
      </c>
      <c r="P42" t="n">
        <v>4</v>
      </c>
      <c r="Q42" t="n">
        <v>12</v>
      </c>
      <c r="R42" s="2" t="inlineStr">
        <is>
          <t>Duvspindling
Gulsträngad fagerspindling
Svartgrön spindling
Tallpraktspindling
Jordtistel
Kristallporing
Lundvaxskivling
Odörspindling
Spillkråka
Barrfagerspindling
Sankt pers nycklar
Blåsippa</t>
        </is>
      </c>
      <c r="S42">
        <f>HYPERLINK("https://klasma.github.io/Logging_0980/artfynd/A 63872-2021 artfynd.xlsx", "A 63872-2021")</f>
        <v/>
      </c>
      <c r="T42">
        <f>HYPERLINK("https://klasma.github.io/Logging_0980/kartor/A 63872-2021 karta.png", "A 63872-2021")</f>
        <v/>
      </c>
      <c r="V42">
        <f>HYPERLINK("https://klasma.github.io/Logging_0980/klagomål/A 63872-2021 FSC-klagomål.docx", "A 63872-2021")</f>
        <v/>
      </c>
      <c r="W42">
        <f>HYPERLINK("https://klasma.github.io/Logging_0980/klagomålsmail/A 63872-2021 FSC-klagomål mail.docx", "A 63872-2021")</f>
        <v/>
      </c>
      <c r="X42">
        <f>HYPERLINK("https://klasma.github.io/Logging_0980/tillsyn/A 63872-2021 tillsynsbegäran.docx", "A 63872-2021")</f>
        <v/>
      </c>
      <c r="Y42">
        <f>HYPERLINK("https://klasma.github.io/Logging_0980/tillsynsmail/A 63872-2021 tillsynsbegäran mail.docx", "A 63872-2021")</f>
        <v/>
      </c>
      <c r="Z42">
        <f>HYPERLINK("https://klasma.github.io/Logging_0980/fåglar/A 63872-2021 prioriterade fågelarter.docx", "A 63872-2021")</f>
        <v/>
      </c>
    </row>
    <row r="43" ht="15" customHeight="1">
      <c r="A43" t="inlineStr">
        <is>
          <t>A 28287-2024</t>
        </is>
      </c>
      <c r="B43" s="1" t="n">
        <v>45477</v>
      </c>
      <c r="C43" s="1" t="n">
        <v>45940</v>
      </c>
      <c r="D43" t="inlineStr">
        <is>
          <t>GOTLANDS LÄN</t>
        </is>
      </c>
      <c r="E43" t="inlineStr">
        <is>
          <t>GOTLAND</t>
        </is>
      </c>
      <c r="G43" t="n">
        <v>23.4</v>
      </c>
      <c r="H43" t="n">
        <v>2</v>
      </c>
      <c r="I43" t="n">
        <v>0</v>
      </c>
      <c r="J43" t="n">
        <v>10</v>
      </c>
      <c r="K43" t="n">
        <v>0</v>
      </c>
      <c r="L43" t="n">
        <v>1</v>
      </c>
      <c r="M43" t="n">
        <v>0</v>
      </c>
      <c r="N43" t="n">
        <v>0</v>
      </c>
      <c r="O43" t="n">
        <v>11</v>
      </c>
      <c r="P43" t="n">
        <v>1</v>
      </c>
      <c r="Q43" t="n">
        <v>12</v>
      </c>
      <c r="R43" s="2" t="inlineStr">
        <is>
          <t>Ask
Axveronika
Backtimjan
Flentimotej
Gulsparv
Jordtistel
Piggtistel
Silversmygare
Smedbock
Solvända
Vårstarr
Blåsippa</t>
        </is>
      </c>
      <c r="S43">
        <f>HYPERLINK("https://klasma.github.io/Logging_0980/artfynd/A 28287-2024 artfynd.xlsx", "A 28287-2024")</f>
        <v/>
      </c>
      <c r="T43">
        <f>HYPERLINK("https://klasma.github.io/Logging_0980/kartor/A 28287-2024 karta.png", "A 28287-2024")</f>
        <v/>
      </c>
      <c r="V43">
        <f>HYPERLINK("https://klasma.github.io/Logging_0980/klagomål/A 28287-2024 FSC-klagomål.docx", "A 28287-2024")</f>
        <v/>
      </c>
      <c r="W43">
        <f>HYPERLINK("https://klasma.github.io/Logging_0980/klagomålsmail/A 28287-2024 FSC-klagomål mail.docx", "A 28287-2024")</f>
        <v/>
      </c>
      <c r="X43">
        <f>HYPERLINK("https://klasma.github.io/Logging_0980/tillsyn/A 28287-2024 tillsynsbegäran.docx", "A 28287-2024")</f>
        <v/>
      </c>
      <c r="Y43">
        <f>HYPERLINK("https://klasma.github.io/Logging_0980/tillsynsmail/A 28287-2024 tillsynsbegäran mail.docx", "A 28287-2024")</f>
        <v/>
      </c>
      <c r="Z43">
        <f>HYPERLINK("https://klasma.github.io/Logging_0980/fåglar/A 28287-2024 prioriterade fågelarter.docx", "A 28287-2024")</f>
        <v/>
      </c>
    </row>
    <row r="44" ht="15" customHeight="1">
      <c r="A44" t="inlineStr">
        <is>
          <t>A 15850-2025</t>
        </is>
      </c>
      <c r="B44" s="1" t="n">
        <v>45748</v>
      </c>
      <c r="C44" s="1" t="n">
        <v>45940</v>
      </c>
      <c r="D44" t="inlineStr">
        <is>
          <t>GOTLANDS LÄN</t>
        </is>
      </c>
      <c r="E44" t="inlineStr">
        <is>
          <t>GOTLAND</t>
        </is>
      </c>
      <c r="G44" t="n">
        <v>5.1</v>
      </c>
      <c r="H44" t="n">
        <v>5</v>
      </c>
      <c r="I44" t="n">
        <v>3</v>
      </c>
      <c r="J44" t="n">
        <v>5</v>
      </c>
      <c r="K44" t="n">
        <v>2</v>
      </c>
      <c r="L44" t="n">
        <v>0</v>
      </c>
      <c r="M44" t="n">
        <v>0</v>
      </c>
      <c r="N44" t="n">
        <v>0</v>
      </c>
      <c r="O44" t="n">
        <v>8</v>
      </c>
      <c r="P44" t="n">
        <v>2</v>
      </c>
      <c r="Q44" t="n">
        <v>12</v>
      </c>
      <c r="R44" s="2" t="inlineStr">
        <is>
          <t>Gulsträngad fagerspindling
Tvillingspindling
Dårgräsfjäril
Gulsparv
Odörspindling
Spillkråka
Svinrot
Trollspindling
Anisspindling
Mindre märgborre
Skogsknipprot
Sankt pers nycklar</t>
        </is>
      </c>
      <c r="S44">
        <f>HYPERLINK("https://klasma.github.io/Logging_0980/artfynd/A 15850-2025 artfynd.xlsx", "A 15850-2025")</f>
        <v/>
      </c>
      <c r="T44">
        <f>HYPERLINK("https://klasma.github.io/Logging_0980/kartor/A 15850-2025 karta.png", "A 15850-2025")</f>
        <v/>
      </c>
      <c r="V44">
        <f>HYPERLINK("https://klasma.github.io/Logging_0980/klagomål/A 15850-2025 FSC-klagomål.docx", "A 15850-2025")</f>
        <v/>
      </c>
      <c r="W44">
        <f>HYPERLINK("https://klasma.github.io/Logging_0980/klagomålsmail/A 15850-2025 FSC-klagomål mail.docx", "A 15850-2025")</f>
        <v/>
      </c>
      <c r="X44">
        <f>HYPERLINK("https://klasma.github.io/Logging_0980/tillsyn/A 15850-2025 tillsynsbegäran.docx", "A 15850-2025")</f>
        <v/>
      </c>
      <c r="Y44">
        <f>HYPERLINK("https://klasma.github.io/Logging_0980/tillsynsmail/A 15850-2025 tillsynsbegäran mail.docx", "A 15850-2025")</f>
        <v/>
      </c>
      <c r="Z44">
        <f>HYPERLINK("https://klasma.github.io/Logging_0980/fåglar/A 15850-2025 prioriterade fågelarter.docx", "A 15850-2025")</f>
        <v/>
      </c>
    </row>
    <row r="45" ht="15" customHeight="1">
      <c r="A45" t="inlineStr">
        <is>
          <t>A 43201-2023</t>
        </is>
      </c>
      <c r="B45" s="1" t="n">
        <v>45183</v>
      </c>
      <c r="C45" s="1" t="n">
        <v>45940</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6052-2024</t>
        </is>
      </c>
      <c r="B46" s="1" t="n">
        <v>45336</v>
      </c>
      <c r="C46" s="1" t="n">
        <v>45940</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45940</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22404-2024</t>
        </is>
      </c>
      <c r="B48" s="1" t="n">
        <v>45446</v>
      </c>
      <c r="C48" s="1" t="n">
        <v>45940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584-2023</t>
        </is>
      </c>
      <c r="B49" s="1" t="n">
        <v>44930</v>
      </c>
      <c r="C49" s="1" t="n">
        <v>45940</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14354-2024</t>
        </is>
      </c>
      <c r="B50" s="1" t="n">
        <v>45393</v>
      </c>
      <c r="C50" s="1" t="n">
        <v>45940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33153-2024</t>
        </is>
      </c>
      <c r="B51" s="1" t="n">
        <v>45518</v>
      </c>
      <c r="C51" s="1" t="n">
        <v>45940</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17766-2024</t>
        </is>
      </c>
      <c r="B52" s="1" t="n">
        <v>45418</v>
      </c>
      <c r="C52" s="1" t="n">
        <v>45940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1719-2025</t>
        </is>
      </c>
      <c r="B53" s="1" t="n">
        <v>45671</v>
      </c>
      <c r="C53" s="1" t="n">
        <v>45940</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39376-2023</t>
        </is>
      </c>
      <c r="B54" s="1" t="n">
        <v>45166</v>
      </c>
      <c r="C54" s="1" t="n">
        <v>45940</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45940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45940</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45940</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1769-2022</t>
        </is>
      </c>
      <c r="B58" s="1" t="n">
        <v>44574</v>
      </c>
      <c r="C58" s="1" t="n">
        <v>45940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21467-2024</t>
        </is>
      </c>
      <c r="B59" s="1" t="n">
        <v>45441</v>
      </c>
      <c r="C59" s="1" t="n">
        <v>45940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10419-2025</t>
        </is>
      </c>
      <c r="B60" s="1" t="n">
        <v>45720</v>
      </c>
      <c r="C60" s="1" t="n">
        <v>45940</v>
      </c>
      <c r="D60" t="inlineStr">
        <is>
          <t>GOTLANDS LÄN</t>
        </is>
      </c>
      <c r="E60" t="inlineStr">
        <is>
          <t>GOTLAND</t>
        </is>
      </c>
      <c r="G60" t="n">
        <v>1.2</v>
      </c>
      <c r="H60" t="n">
        <v>0</v>
      </c>
      <c r="I60" t="n">
        <v>5</v>
      </c>
      <c r="J60" t="n">
        <v>0</v>
      </c>
      <c r="K60" t="n">
        <v>2</v>
      </c>
      <c r="L60" t="n">
        <v>0</v>
      </c>
      <c r="M60" t="n">
        <v>0</v>
      </c>
      <c r="N60" t="n">
        <v>0</v>
      </c>
      <c r="O60" t="n">
        <v>2</v>
      </c>
      <c r="P60" t="n">
        <v>2</v>
      </c>
      <c r="Q60" t="n">
        <v>7</v>
      </c>
      <c r="R60" s="2" t="inlineStr">
        <is>
          <t>Mörkfjällig olivspindling
Violettfläckig spindling
Anisspindling
Blå slemspindling
Fjällig taggsvamp s.str.
Kryddspindling
Olivspindling</t>
        </is>
      </c>
      <c r="S60">
        <f>HYPERLINK("https://klasma.github.io/Logging_0980/artfynd/A 10419-2025 artfynd.xlsx", "A 10419-2025")</f>
        <v/>
      </c>
      <c r="T60">
        <f>HYPERLINK("https://klasma.github.io/Logging_0980/kartor/A 10419-2025 karta.png", "A 10419-2025")</f>
        <v/>
      </c>
      <c r="V60">
        <f>HYPERLINK("https://klasma.github.io/Logging_0980/klagomål/A 10419-2025 FSC-klagomål.docx", "A 10419-2025")</f>
        <v/>
      </c>
      <c r="W60">
        <f>HYPERLINK("https://klasma.github.io/Logging_0980/klagomålsmail/A 10419-2025 FSC-klagomål mail.docx", "A 10419-2025")</f>
        <v/>
      </c>
      <c r="X60">
        <f>HYPERLINK("https://klasma.github.io/Logging_0980/tillsyn/A 10419-2025 tillsynsbegäran.docx", "A 10419-2025")</f>
        <v/>
      </c>
      <c r="Y60">
        <f>HYPERLINK("https://klasma.github.io/Logging_0980/tillsynsmail/A 10419-2025 tillsynsbegäran mail.docx", "A 10419-2025")</f>
        <v/>
      </c>
    </row>
    <row r="61" ht="15" customHeight="1">
      <c r="A61" t="inlineStr">
        <is>
          <t>A 27280-2023</t>
        </is>
      </c>
      <c r="B61" s="1" t="n">
        <v>45096</v>
      </c>
      <c r="C61" s="1" t="n">
        <v>45940</v>
      </c>
      <c r="D61" t="inlineStr">
        <is>
          <t>GOTLANDS LÄN</t>
        </is>
      </c>
      <c r="E61" t="inlineStr">
        <is>
          <t>GOTLAND</t>
        </is>
      </c>
      <c r="G61" t="n">
        <v>2.7</v>
      </c>
      <c r="H61" t="n">
        <v>7</v>
      </c>
      <c r="I61" t="n">
        <v>2</v>
      </c>
      <c r="J61" t="n">
        <v>1</v>
      </c>
      <c r="K61" t="n">
        <v>0</v>
      </c>
      <c r="L61" t="n">
        <v>0</v>
      </c>
      <c r="M61" t="n">
        <v>0</v>
      </c>
      <c r="N61" t="n">
        <v>0</v>
      </c>
      <c r="O61" t="n">
        <v>1</v>
      </c>
      <c r="P61" t="n">
        <v>0</v>
      </c>
      <c r="Q61" t="n">
        <v>7</v>
      </c>
      <c r="R61" s="2" t="inlineStr">
        <is>
          <t>Mindre hackspett
Skogsknipprot
Tvåblad
Brudsporre
Fläcknycklar
Grönvit nattviol
Nattviol</t>
        </is>
      </c>
      <c r="S61">
        <f>HYPERLINK("https://klasma.github.io/Logging_0980/artfynd/A 27280-2023 artfynd.xlsx", "A 27280-2023")</f>
        <v/>
      </c>
      <c r="T61">
        <f>HYPERLINK("https://klasma.github.io/Logging_0980/kartor/A 27280-2023 karta.png", "A 27280-2023")</f>
        <v/>
      </c>
      <c r="V61">
        <f>HYPERLINK("https://klasma.github.io/Logging_0980/klagomål/A 27280-2023 FSC-klagomål.docx", "A 27280-2023")</f>
        <v/>
      </c>
      <c r="W61">
        <f>HYPERLINK("https://klasma.github.io/Logging_0980/klagomålsmail/A 27280-2023 FSC-klagomål mail.docx", "A 27280-2023")</f>
        <v/>
      </c>
      <c r="X61">
        <f>HYPERLINK("https://klasma.github.io/Logging_0980/tillsyn/A 27280-2023 tillsynsbegäran.docx", "A 27280-2023")</f>
        <v/>
      </c>
      <c r="Y61">
        <f>HYPERLINK("https://klasma.github.io/Logging_0980/tillsynsmail/A 27280-2023 tillsynsbegäran mail.docx", "A 27280-2023")</f>
        <v/>
      </c>
      <c r="Z61">
        <f>HYPERLINK("https://klasma.github.io/Logging_0980/fåglar/A 27280-2023 prioriterade fågelarter.docx", "A 27280-2023")</f>
        <v/>
      </c>
    </row>
    <row r="62" ht="15" customHeight="1">
      <c r="A62" t="inlineStr">
        <is>
          <t>A 45248-2024</t>
        </is>
      </c>
      <c r="B62" s="1" t="n">
        <v>45576</v>
      </c>
      <c r="C62" s="1" t="n">
        <v>45940</v>
      </c>
      <c r="D62" t="inlineStr">
        <is>
          <t>GOTLANDS LÄN</t>
        </is>
      </c>
      <c r="E62" t="inlineStr">
        <is>
          <t>GOTLAND</t>
        </is>
      </c>
      <c r="G62" t="n">
        <v>9.4</v>
      </c>
      <c r="H62" t="n">
        <v>0</v>
      </c>
      <c r="I62" t="n">
        <v>3</v>
      </c>
      <c r="J62" t="n">
        <v>1</v>
      </c>
      <c r="K62" t="n">
        <v>1</v>
      </c>
      <c r="L62" t="n">
        <v>1</v>
      </c>
      <c r="M62" t="n">
        <v>1</v>
      </c>
      <c r="N62" t="n">
        <v>0</v>
      </c>
      <c r="O62" t="n">
        <v>4</v>
      </c>
      <c r="P62" t="n">
        <v>3</v>
      </c>
      <c r="Q62" t="n">
        <v>7</v>
      </c>
      <c r="R62" s="2" t="inlineStr">
        <is>
          <t>Lundalm
Ask
Mjölspindling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34142-2024</t>
        </is>
      </c>
      <c r="B63" s="1" t="n">
        <v>45524.36521990741</v>
      </c>
      <c r="C63" s="1" t="n">
        <v>45940</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45940</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45940</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25205-2021</t>
        </is>
      </c>
      <c r="B66" s="1" t="n">
        <v>44342</v>
      </c>
      <c r="C66" s="1" t="n">
        <v>45940</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45940</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54527-2023</t>
        </is>
      </c>
      <c r="B68" s="1" t="n">
        <v>45233</v>
      </c>
      <c r="C68" s="1" t="n">
        <v>45940</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65819-2020</t>
        </is>
      </c>
      <c r="B69" s="1" t="n">
        <v>44174</v>
      </c>
      <c r="C69" s="1" t="n">
        <v>45940</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54527-2023</t>
        </is>
      </c>
      <c r="B70" s="1" t="n">
        <v>45233</v>
      </c>
      <c r="C70" s="1" t="n">
        <v>45940</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7038-2023</t>
        </is>
      </c>
      <c r="B71" s="1" t="n">
        <v>44968</v>
      </c>
      <c r="C71" s="1" t="n">
        <v>45940</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16823-2024</t>
        </is>
      </c>
      <c r="B72" s="1" t="n">
        <v>45411</v>
      </c>
      <c r="C72" s="1" t="n">
        <v>45940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446-2023</t>
        </is>
      </c>
      <c r="B73" s="1" t="n">
        <v>44929</v>
      </c>
      <c r="C73" s="1" t="n">
        <v>45940</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66091-2021</t>
        </is>
      </c>
      <c r="B74" s="1" t="n">
        <v>44517</v>
      </c>
      <c r="C74" s="1" t="n">
        <v>45940</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2213-2023</t>
        </is>
      </c>
      <c r="B75" s="1" t="n">
        <v>44942</v>
      </c>
      <c r="C75" s="1" t="n">
        <v>45940</v>
      </c>
      <c r="D75" t="inlineStr">
        <is>
          <t>GOTLANDS LÄN</t>
        </is>
      </c>
      <c r="E75" t="inlineStr">
        <is>
          <t>GOTLAND</t>
        </is>
      </c>
      <c r="G75" t="n">
        <v>2.7</v>
      </c>
      <c r="H75" t="n">
        <v>1</v>
      </c>
      <c r="I75" t="n">
        <v>0</v>
      </c>
      <c r="J75" t="n">
        <v>4</v>
      </c>
      <c r="K75" t="n">
        <v>1</v>
      </c>
      <c r="L75" t="n">
        <v>0</v>
      </c>
      <c r="M75" t="n">
        <v>0</v>
      </c>
      <c r="N75" t="n">
        <v>0</v>
      </c>
      <c r="O75" t="n">
        <v>5</v>
      </c>
      <c r="P75" t="n">
        <v>1</v>
      </c>
      <c r="Q75" t="n">
        <v>5</v>
      </c>
      <c r="R75" s="2" t="inlineStr">
        <is>
          <t>Garderönn
Backtimjan
Odörspindling
Smedbock
Svinrot</t>
        </is>
      </c>
      <c r="S75">
        <f>HYPERLINK("https://klasma.github.io/Logging_0980/artfynd/A 2213-2023 artfynd.xlsx", "A 2213-2023")</f>
        <v/>
      </c>
      <c r="T75">
        <f>HYPERLINK("https://klasma.github.io/Logging_0980/kartor/A 2213-2023 karta.png", "A 2213-2023")</f>
        <v/>
      </c>
      <c r="V75">
        <f>HYPERLINK("https://klasma.github.io/Logging_0980/klagomål/A 2213-2023 FSC-klagomål.docx", "A 2213-2023")</f>
        <v/>
      </c>
      <c r="W75">
        <f>HYPERLINK("https://klasma.github.io/Logging_0980/klagomålsmail/A 2213-2023 FSC-klagomål mail.docx", "A 2213-2023")</f>
        <v/>
      </c>
      <c r="X75">
        <f>HYPERLINK("https://klasma.github.io/Logging_0980/tillsyn/A 2213-2023 tillsynsbegäran.docx", "A 2213-2023")</f>
        <v/>
      </c>
      <c r="Y75">
        <f>HYPERLINK("https://klasma.github.io/Logging_0980/tillsynsmail/A 2213-2023 tillsynsbegäran mail.docx", "A 2213-2023")</f>
        <v/>
      </c>
    </row>
    <row r="76" ht="15" customHeight="1">
      <c r="A76" t="inlineStr">
        <is>
          <t>A 16375-2025</t>
        </is>
      </c>
      <c r="B76" s="1" t="n">
        <v>45751.41064814815</v>
      </c>
      <c r="C76" s="1" t="n">
        <v>45940</v>
      </c>
      <c r="D76" t="inlineStr">
        <is>
          <t>GOTLANDS LÄN</t>
        </is>
      </c>
      <c r="E76" t="inlineStr">
        <is>
          <t>GOTLAND</t>
        </is>
      </c>
      <c r="G76" t="n">
        <v>1.9</v>
      </c>
      <c r="H76" t="n">
        <v>3</v>
      </c>
      <c r="I76" t="n">
        <v>3</v>
      </c>
      <c r="J76" t="n">
        <v>1</v>
      </c>
      <c r="K76" t="n">
        <v>0</v>
      </c>
      <c r="L76" t="n">
        <v>1</v>
      </c>
      <c r="M76" t="n">
        <v>0</v>
      </c>
      <c r="N76" t="n">
        <v>0</v>
      </c>
      <c r="O76" t="n">
        <v>2</v>
      </c>
      <c r="P76" t="n">
        <v>1</v>
      </c>
      <c r="Q76" t="n">
        <v>5</v>
      </c>
      <c r="R76" s="2" t="inlineStr">
        <is>
          <t>Ask
Spillkråka
Blåmossa
Nästrot
Tvåblad</t>
        </is>
      </c>
      <c r="S76">
        <f>HYPERLINK("https://klasma.github.io/Logging_0980/artfynd/A 16375-2025 artfynd.xlsx", "A 16375-2025")</f>
        <v/>
      </c>
      <c r="T76">
        <f>HYPERLINK("https://klasma.github.io/Logging_0980/kartor/A 16375-2025 karta.png", "A 16375-2025")</f>
        <v/>
      </c>
      <c r="V76">
        <f>HYPERLINK("https://klasma.github.io/Logging_0980/klagomål/A 16375-2025 FSC-klagomål.docx", "A 16375-2025")</f>
        <v/>
      </c>
      <c r="W76">
        <f>HYPERLINK("https://klasma.github.io/Logging_0980/klagomålsmail/A 16375-2025 FSC-klagomål mail.docx", "A 16375-2025")</f>
        <v/>
      </c>
      <c r="X76">
        <f>HYPERLINK("https://klasma.github.io/Logging_0980/tillsyn/A 16375-2025 tillsynsbegäran.docx", "A 16375-2025")</f>
        <v/>
      </c>
      <c r="Y76">
        <f>HYPERLINK("https://klasma.github.io/Logging_0980/tillsynsmail/A 16375-2025 tillsynsbegäran mail.docx", "A 16375-2025")</f>
        <v/>
      </c>
      <c r="Z76">
        <f>HYPERLINK("https://klasma.github.io/Logging_0980/fåglar/A 16375-2025 prioriterade fågelarter.docx", "A 16375-2025")</f>
        <v/>
      </c>
    </row>
    <row r="77" ht="15" customHeight="1">
      <c r="A77" t="inlineStr">
        <is>
          <t>A 32326-2024</t>
        </is>
      </c>
      <c r="B77" s="1" t="n">
        <v>45512</v>
      </c>
      <c r="C77" s="1" t="n">
        <v>45940</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42936-2024</t>
        </is>
      </c>
      <c r="B78" s="1" t="n">
        <v>45567</v>
      </c>
      <c r="C78" s="1" t="n">
        <v>45940</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54055-2022</t>
        </is>
      </c>
      <c r="B79" s="1" t="n">
        <v>44881</v>
      </c>
      <c r="C79" s="1" t="n">
        <v>45940</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35293-2025</t>
        </is>
      </c>
      <c r="B80" s="1" t="n">
        <v>45854.39438657407</v>
      </c>
      <c r="C80" s="1" t="n">
        <v>45940</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39425-2023</t>
        </is>
      </c>
      <c r="B81" s="1" t="n">
        <v>45166</v>
      </c>
      <c r="C81" s="1" t="n">
        <v>45940</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44944-2022</t>
        </is>
      </c>
      <c r="B82" s="1" t="n">
        <v>44841</v>
      </c>
      <c r="C82" s="1" t="n">
        <v>45940</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29331-2021</t>
        </is>
      </c>
      <c r="B83" s="1" t="n">
        <v>44361</v>
      </c>
      <c r="C83" s="1" t="n">
        <v>45940</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186-2023</t>
        </is>
      </c>
      <c r="B84" s="1" t="n">
        <v>44928</v>
      </c>
      <c r="C84" s="1" t="n">
        <v>45940</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45940</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54523-2023</t>
        </is>
      </c>
      <c r="B86" s="1" t="n">
        <v>45233</v>
      </c>
      <c r="C86" s="1" t="n">
        <v>45940</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5904-2024</t>
        </is>
      </c>
      <c r="B87" s="1" t="n">
        <v>45335</v>
      </c>
      <c r="C87" s="1" t="n">
        <v>45940</v>
      </c>
      <c r="D87" t="inlineStr">
        <is>
          <t>GOTLANDS LÄN</t>
        </is>
      </c>
      <c r="E87" t="inlineStr">
        <is>
          <t>GOTLAND</t>
        </is>
      </c>
      <c r="G87" t="n">
        <v>6.4</v>
      </c>
      <c r="H87" t="n">
        <v>1</v>
      </c>
      <c r="I87" t="n">
        <v>2</v>
      </c>
      <c r="J87" t="n">
        <v>1</v>
      </c>
      <c r="K87" t="n">
        <v>0</v>
      </c>
      <c r="L87" t="n">
        <v>0</v>
      </c>
      <c r="M87" t="n">
        <v>0</v>
      </c>
      <c r="N87" t="n">
        <v>0</v>
      </c>
      <c r="O87" t="n">
        <v>1</v>
      </c>
      <c r="P87" t="n">
        <v>0</v>
      </c>
      <c r="Q87" t="n">
        <v>4</v>
      </c>
      <c r="R87" s="2" t="inlineStr">
        <is>
          <t>Backstarr
Blåmossa
Kattfotslav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2485-2025</t>
        </is>
      </c>
      <c r="B88" s="1" t="n">
        <v>45673</v>
      </c>
      <c r="C88" s="1" t="n">
        <v>45940</v>
      </c>
      <c r="D88" t="inlineStr">
        <is>
          <t>GOTLANDS LÄN</t>
        </is>
      </c>
      <c r="E88" t="inlineStr">
        <is>
          <t>GOTLAND</t>
        </is>
      </c>
      <c r="G88" t="n">
        <v>5</v>
      </c>
      <c r="H88" t="n">
        <v>2</v>
      </c>
      <c r="I88" t="n">
        <v>2</v>
      </c>
      <c r="J88" t="n">
        <v>0</v>
      </c>
      <c r="K88" t="n">
        <v>2</v>
      </c>
      <c r="L88" t="n">
        <v>0</v>
      </c>
      <c r="M88" t="n">
        <v>0</v>
      </c>
      <c r="N88" t="n">
        <v>0</v>
      </c>
      <c r="O88" t="n">
        <v>2</v>
      </c>
      <c r="P88" t="n">
        <v>2</v>
      </c>
      <c r="Q88" t="n">
        <v>4</v>
      </c>
      <c r="R88" s="2" t="inlineStr">
        <is>
          <t>Gotlandsmåra
Skogskorn
Nästrot
Skogsknipprot</t>
        </is>
      </c>
      <c r="S88">
        <f>HYPERLINK("https://klasma.github.io/Logging_0980/artfynd/A 2485-2025 artfynd.xlsx", "A 2485-2025")</f>
        <v/>
      </c>
      <c r="T88">
        <f>HYPERLINK("https://klasma.github.io/Logging_0980/kartor/A 2485-2025 karta.png", "A 2485-2025")</f>
        <v/>
      </c>
      <c r="V88">
        <f>HYPERLINK("https://klasma.github.io/Logging_0980/klagomål/A 2485-2025 FSC-klagomål.docx", "A 2485-2025")</f>
        <v/>
      </c>
      <c r="W88">
        <f>HYPERLINK("https://klasma.github.io/Logging_0980/klagomålsmail/A 2485-2025 FSC-klagomål mail.docx", "A 2485-2025")</f>
        <v/>
      </c>
      <c r="X88">
        <f>HYPERLINK("https://klasma.github.io/Logging_0980/tillsyn/A 2485-2025 tillsynsbegäran.docx", "A 2485-2025")</f>
        <v/>
      </c>
      <c r="Y88">
        <f>HYPERLINK("https://klasma.github.io/Logging_0980/tillsynsmail/A 2485-2025 tillsynsbegäran mail.docx", "A 2485-2025")</f>
        <v/>
      </c>
    </row>
    <row r="89" ht="15" customHeight="1">
      <c r="A89" t="inlineStr">
        <is>
          <t>A 6159-2023</t>
        </is>
      </c>
      <c r="B89" s="1" t="n">
        <v>44964</v>
      </c>
      <c r="C89" s="1" t="n">
        <v>45940</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45940</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8265-2023</t>
        </is>
      </c>
      <c r="B91" s="1" t="n">
        <v>44974</v>
      </c>
      <c r="C91" s="1" t="n">
        <v>45940</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40099-2025</t>
        </is>
      </c>
      <c r="B92" s="1" t="n">
        <v>45894.48462962963</v>
      </c>
      <c r="C92" s="1" t="n">
        <v>45940</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20833-2024</t>
        </is>
      </c>
      <c r="B93" s="1" t="n">
        <v>45439</v>
      </c>
      <c r="C93" s="1" t="n">
        <v>45940</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44933-2022</t>
        </is>
      </c>
      <c r="B94" s="1" t="n">
        <v>44841</v>
      </c>
      <c r="C94" s="1" t="n">
        <v>45940</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1971-2023</t>
        </is>
      </c>
      <c r="B95" s="1" t="n">
        <v>44939</v>
      </c>
      <c r="C95" s="1" t="n">
        <v>45940</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64378-2020</t>
        </is>
      </c>
      <c r="B96" s="1" t="n">
        <v>44168</v>
      </c>
      <c r="C96" s="1" t="n">
        <v>45940</v>
      </c>
      <c r="D96" t="inlineStr">
        <is>
          <t>GOTLANDS LÄN</t>
        </is>
      </c>
      <c r="E96" t="inlineStr">
        <is>
          <t>GOTLAND</t>
        </is>
      </c>
      <c r="G96" t="n">
        <v>2.1</v>
      </c>
      <c r="H96" t="n">
        <v>0</v>
      </c>
      <c r="I96" t="n">
        <v>1</v>
      </c>
      <c r="J96" t="n">
        <v>0</v>
      </c>
      <c r="K96" t="n">
        <v>2</v>
      </c>
      <c r="L96" t="n">
        <v>1</v>
      </c>
      <c r="M96" t="n">
        <v>0</v>
      </c>
      <c r="N96" t="n">
        <v>0</v>
      </c>
      <c r="O96" t="n">
        <v>3</v>
      </c>
      <c r="P96" t="n">
        <v>3</v>
      </c>
      <c r="Q96" t="n">
        <v>4</v>
      </c>
      <c r="R96" s="2" t="inlineStr">
        <is>
          <t>Sienamusseron
Bitter taggsvamp
Duvspindling
Fjällig taggsvamp s.str.</t>
        </is>
      </c>
      <c r="S96">
        <f>HYPERLINK("https://klasma.github.io/Logging_0980/artfynd/A 64378-2020 artfynd.xlsx", "A 64378-2020")</f>
        <v/>
      </c>
      <c r="T96">
        <f>HYPERLINK("https://klasma.github.io/Logging_0980/kartor/A 64378-2020 karta.png", "A 64378-2020")</f>
        <v/>
      </c>
      <c r="V96">
        <f>HYPERLINK("https://klasma.github.io/Logging_0980/klagomål/A 64378-2020 FSC-klagomål.docx", "A 64378-2020")</f>
        <v/>
      </c>
      <c r="W96">
        <f>HYPERLINK("https://klasma.github.io/Logging_0980/klagomålsmail/A 64378-2020 FSC-klagomål mail.docx", "A 64378-2020")</f>
        <v/>
      </c>
      <c r="X96">
        <f>HYPERLINK("https://klasma.github.io/Logging_0980/tillsyn/A 64378-2020 tillsynsbegäran.docx", "A 64378-2020")</f>
        <v/>
      </c>
      <c r="Y96">
        <f>HYPERLINK("https://klasma.github.io/Logging_0980/tillsynsmail/A 64378-2020 tillsynsbegäran mail.docx", "A 64378-2020")</f>
        <v/>
      </c>
    </row>
    <row r="97" ht="15" customHeight="1">
      <c r="A97" t="inlineStr">
        <is>
          <t>A 55029-2020</t>
        </is>
      </c>
      <c r="B97" s="1" t="n">
        <v>44130</v>
      </c>
      <c r="C97" s="1" t="n">
        <v>45940</v>
      </c>
      <c r="D97" t="inlineStr">
        <is>
          <t>GOTLANDS LÄN</t>
        </is>
      </c>
      <c r="E97" t="inlineStr">
        <is>
          <t>GOTLAND</t>
        </is>
      </c>
      <c r="G97" t="n">
        <v>6.9</v>
      </c>
      <c r="H97" t="n">
        <v>1</v>
      </c>
      <c r="I97" t="n">
        <v>2</v>
      </c>
      <c r="J97" t="n">
        <v>1</v>
      </c>
      <c r="K97" t="n">
        <v>0</v>
      </c>
      <c r="L97" t="n">
        <v>0</v>
      </c>
      <c r="M97" t="n">
        <v>0</v>
      </c>
      <c r="N97" t="n">
        <v>0</v>
      </c>
      <c r="O97" t="n">
        <v>1</v>
      </c>
      <c r="P97" t="n">
        <v>0</v>
      </c>
      <c r="Q97" t="n">
        <v>3</v>
      </c>
      <c r="R97" s="2" t="inlineStr">
        <is>
          <t>Dårgräsfjäril
Anisspindling
Granbarkgnagare</t>
        </is>
      </c>
      <c r="S97">
        <f>HYPERLINK("https://klasma.github.io/Logging_0980/artfynd/A 55029-2020 artfynd.xlsx", "A 55029-2020")</f>
        <v/>
      </c>
      <c r="T97">
        <f>HYPERLINK("https://klasma.github.io/Logging_0980/kartor/A 55029-2020 karta.png", "A 55029-2020")</f>
        <v/>
      </c>
      <c r="V97">
        <f>HYPERLINK("https://klasma.github.io/Logging_0980/klagomål/A 55029-2020 FSC-klagomål.docx", "A 55029-2020")</f>
        <v/>
      </c>
      <c r="W97">
        <f>HYPERLINK("https://klasma.github.io/Logging_0980/klagomålsmail/A 55029-2020 FSC-klagomål mail.docx", "A 55029-2020")</f>
        <v/>
      </c>
      <c r="X97">
        <f>HYPERLINK("https://klasma.github.io/Logging_0980/tillsyn/A 55029-2020 tillsynsbegäran.docx", "A 55029-2020")</f>
        <v/>
      </c>
      <c r="Y97">
        <f>HYPERLINK("https://klasma.github.io/Logging_0980/tillsynsmail/A 55029-2020 tillsynsbegäran mail.docx", "A 55029-2020")</f>
        <v/>
      </c>
    </row>
    <row r="98" ht="15" customHeight="1">
      <c r="A98" t="inlineStr">
        <is>
          <t>A 65537-2020</t>
        </is>
      </c>
      <c r="B98" s="1" t="n">
        <v>44173</v>
      </c>
      <c r="C98" s="1" t="n">
        <v>45940</v>
      </c>
      <c r="D98" t="inlineStr">
        <is>
          <t>GOTLANDS LÄN</t>
        </is>
      </c>
      <c r="E98" t="inlineStr">
        <is>
          <t>GOTLAND</t>
        </is>
      </c>
      <c r="G98" t="n">
        <v>1.6</v>
      </c>
      <c r="H98" t="n">
        <v>0</v>
      </c>
      <c r="I98" t="n">
        <v>0</v>
      </c>
      <c r="J98" t="n">
        <v>3</v>
      </c>
      <c r="K98" t="n">
        <v>0</v>
      </c>
      <c r="L98" t="n">
        <v>0</v>
      </c>
      <c r="M98" t="n">
        <v>0</v>
      </c>
      <c r="N98" t="n">
        <v>0</v>
      </c>
      <c r="O98" t="n">
        <v>3</v>
      </c>
      <c r="P98" t="n">
        <v>0</v>
      </c>
      <c r="Q98" t="n">
        <v>3</v>
      </c>
      <c r="R98" s="2" t="inlineStr">
        <is>
          <t>Axveronika
Backtimjan
Solvända</t>
        </is>
      </c>
      <c r="S98">
        <f>HYPERLINK("https://klasma.github.io/Logging_0980/artfynd/A 65537-2020 artfynd.xlsx", "A 65537-2020")</f>
        <v/>
      </c>
      <c r="T98">
        <f>HYPERLINK("https://klasma.github.io/Logging_0980/kartor/A 65537-2020 karta.png", "A 65537-2020")</f>
        <v/>
      </c>
      <c r="V98">
        <f>HYPERLINK("https://klasma.github.io/Logging_0980/klagomål/A 65537-2020 FSC-klagomål.docx", "A 65537-2020")</f>
        <v/>
      </c>
      <c r="W98">
        <f>HYPERLINK("https://klasma.github.io/Logging_0980/klagomålsmail/A 65537-2020 FSC-klagomål mail.docx", "A 65537-2020")</f>
        <v/>
      </c>
      <c r="X98">
        <f>HYPERLINK("https://klasma.github.io/Logging_0980/tillsyn/A 65537-2020 tillsynsbegäran.docx", "A 65537-2020")</f>
        <v/>
      </c>
      <c r="Y98">
        <f>HYPERLINK("https://klasma.github.io/Logging_0980/tillsynsmail/A 65537-2020 tillsynsbegäran mail.docx", "A 65537-2020")</f>
        <v/>
      </c>
    </row>
    <row r="99" ht="15" customHeight="1">
      <c r="A99" t="inlineStr">
        <is>
          <t>A 44323-2021</t>
        </is>
      </c>
      <c r="B99" s="1" t="n">
        <v>44434</v>
      </c>
      <c r="C99" s="1" t="n">
        <v>45940</v>
      </c>
      <c r="D99" t="inlineStr">
        <is>
          <t>GOTLANDS LÄN</t>
        </is>
      </c>
      <c r="E99" t="inlineStr">
        <is>
          <t>GOTLAND</t>
        </is>
      </c>
      <c r="G99" t="n">
        <v>7.5</v>
      </c>
      <c r="H99" t="n">
        <v>1</v>
      </c>
      <c r="I99" t="n">
        <v>3</v>
      </c>
      <c r="J99" t="n">
        <v>0</v>
      </c>
      <c r="K99" t="n">
        <v>0</v>
      </c>
      <c r="L99" t="n">
        <v>0</v>
      </c>
      <c r="M99" t="n">
        <v>0</v>
      </c>
      <c r="N99" t="n">
        <v>0</v>
      </c>
      <c r="O99" t="n">
        <v>0</v>
      </c>
      <c r="P99" t="n">
        <v>0</v>
      </c>
      <c r="Q99" t="n">
        <v>3</v>
      </c>
      <c r="R99" s="2" t="inlineStr">
        <is>
          <t>Anisspindling
Barrfagerspindling
Skogsknipprot</t>
        </is>
      </c>
      <c r="S99">
        <f>HYPERLINK("https://klasma.github.io/Logging_0980/artfynd/A 44323-2021 artfynd.xlsx", "A 44323-2021")</f>
        <v/>
      </c>
      <c r="T99">
        <f>HYPERLINK("https://klasma.github.io/Logging_0980/kartor/A 44323-2021 karta.png", "A 44323-2021")</f>
        <v/>
      </c>
      <c r="V99">
        <f>HYPERLINK("https://klasma.github.io/Logging_0980/klagomål/A 44323-2021 FSC-klagomål.docx", "A 44323-2021")</f>
        <v/>
      </c>
      <c r="W99">
        <f>HYPERLINK("https://klasma.github.io/Logging_0980/klagomålsmail/A 44323-2021 FSC-klagomål mail.docx", "A 44323-2021")</f>
        <v/>
      </c>
      <c r="X99">
        <f>HYPERLINK("https://klasma.github.io/Logging_0980/tillsyn/A 44323-2021 tillsynsbegäran.docx", "A 44323-2021")</f>
        <v/>
      </c>
      <c r="Y99">
        <f>HYPERLINK("https://klasma.github.io/Logging_0980/tillsynsmail/A 44323-2021 tillsynsbegäran mail.docx", "A 44323-2021")</f>
        <v/>
      </c>
    </row>
    <row r="100" ht="15" customHeight="1">
      <c r="A100" t="inlineStr">
        <is>
          <t>A 32666-2021</t>
        </is>
      </c>
      <c r="B100" s="1" t="n">
        <v>44375</v>
      </c>
      <c r="C100" s="1" t="n">
        <v>45940</v>
      </c>
      <c r="D100" t="inlineStr">
        <is>
          <t>GOTLANDS LÄN</t>
        </is>
      </c>
      <c r="E100" t="inlineStr">
        <is>
          <t>GOTLAND</t>
        </is>
      </c>
      <c r="G100" t="n">
        <v>0.9</v>
      </c>
      <c r="H100" t="n">
        <v>1</v>
      </c>
      <c r="I100" t="n">
        <v>2</v>
      </c>
      <c r="J100" t="n">
        <v>0</v>
      </c>
      <c r="K100" t="n">
        <v>1</v>
      </c>
      <c r="L100" t="n">
        <v>0</v>
      </c>
      <c r="M100" t="n">
        <v>0</v>
      </c>
      <c r="N100" t="n">
        <v>0</v>
      </c>
      <c r="O100" t="n">
        <v>1</v>
      </c>
      <c r="P100" t="n">
        <v>1</v>
      </c>
      <c r="Q100" t="n">
        <v>3</v>
      </c>
      <c r="R100" s="2" t="inlineStr">
        <is>
          <t>Skogskorn
Myskmadra
Vit skogslilja</t>
        </is>
      </c>
      <c r="S100">
        <f>HYPERLINK("https://klasma.github.io/Logging_0980/artfynd/A 32666-2021 artfynd.xlsx", "A 32666-2021")</f>
        <v/>
      </c>
      <c r="T100">
        <f>HYPERLINK("https://klasma.github.io/Logging_0980/kartor/A 32666-2021 karta.png", "A 32666-2021")</f>
        <v/>
      </c>
      <c r="V100">
        <f>HYPERLINK("https://klasma.github.io/Logging_0980/klagomål/A 32666-2021 FSC-klagomål.docx", "A 32666-2021")</f>
        <v/>
      </c>
      <c r="W100">
        <f>HYPERLINK("https://klasma.github.io/Logging_0980/klagomålsmail/A 32666-2021 FSC-klagomål mail.docx", "A 32666-2021")</f>
        <v/>
      </c>
      <c r="X100">
        <f>HYPERLINK("https://klasma.github.io/Logging_0980/tillsyn/A 32666-2021 tillsynsbegäran.docx", "A 32666-2021")</f>
        <v/>
      </c>
      <c r="Y100">
        <f>HYPERLINK("https://klasma.github.io/Logging_0980/tillsynsmail/A 32666-2021 tillsynsbegäran mail.docx", "A 32666-2021")</f>
        <v/>
      </c>
    </row>
    <row r="101" ht="15" customHeight="1">
      <c r="A101" t="inlineStr">
        <is>
          <t>A 12519-2021</t>
        </is>
      </c>
      <c r="B101" s="1" t="n">
        <v>44269</v>
      </c>
      <c r="C101" s="1" t="n">
        <v>45940</v>
      </c>
      <c r="D101" t="inlineStr">
        <is>
          <t>GOTLANDS LÄN</t>
        </is>
      </c>
      <c r="E101" t="inlineStr">
        <is>
          <t>GOTLAND</t>
        </is>
      </c>
      <c r="F101" t="inlineStr">
        <is>
          <t>Kyrkan</t>
        </is>
      </c>
      <c r="G101" t="n">
        <v>3.4</v>
      </c>
      <c r="H101" t="n">
        <v>0</v>
      </c>
      <c r="I101" t="n">
        <v>2</v>
      </c>
      <c r="J101" t="n">
        <v>1</v>
      </c>
      <c r="K101" t="n">
        <v>0</v>
      </c>
      <c r="L101" t="n">
        <v>0</v>
      </c>
      <c r="M101" t="n">
        <v>0</v>
      </c>
      <c r="N101" t="n">
        <v>0</v>
      </c>
      <c r="O101" t="n">
        <v>1</v>
      </c>
      <c r="P101" t="n">
        <v>0</v>
      </c>
      <c r="Q101" t="n">
        <v>3</v>
      </c>
      <c r="R101" s="2" t="inlineStr">
        <is>
          <t>Loppstarr
Rödgul trumpetsvamp
Vågbandad barkbock</t>
        </is>
      </c>
      <c r="S101">
        <f>HYPERLINK("https://klasma.github.io/Logging_0980/artfynd/A 12519-2021 artfynd.xlsx", "A 12519-2021")</f>
        <v/>
      </c>
      <c r="T101">
        <f>HYPERLINK("https://klasma.github.io/Logging_0980/kartor/A 12519-2021 karta.png", "A 12519-2021")</f>
        <v/>
      </c>
      <c r="V101">
        <f>HYPERLINK("https://klasma.github.io/Logging_0980/klagomål/A 12519-2021 FSC-klagomål.docx", "A 12519-2021")</f>
        <v/>
      </c>
      <c r="W101">
        <f>HYPERLINK("https://klasma.github.io/Logging_0980/klagomålsmail/A 12519-2021 FSC-klagomål mail.docx", "A 12519-2021")</f>
        <v/>
      </c>
      <c r="X101">
        <f>HYPERLINK("https://klasma.github.io/Logging_0980/tillsyn/A 12519-2021 tillsynsbegäran.docx", "A 12519-2021")</f>
        <v/>
      </c>
      <c r="Y101">
        <f>HYPERLINK("https://klasma.github.io/Logging_0980/tillsynsmail/A 12519-2021 tillsynsbegäran mail.docx", "A 12519-2021")</f>
        <v/>
      </c>
    </row>
    <row r="102" ht="15" customHeight="1">
      <c r="A102" t="inlineStr">
        <is>
          <t>A 32718-2021</t>
        </is>
      </c>
      <c r="B102" s="1" t="n">
        <v>44375</v>
      </c>
      <c r="C102" s="1" t="n">
        <v>45940</v>
      </c>
      <c r="D102" t="inlineStr">
        <is>
          <t>GOTLANDS LÄN</t>
        </is>
      </c>
      <c r="E102" t="inlineStr">
        <is>
          <t>GOTLAND</t>
        </is>
      </c>
      <c r="G102" t="n">
        <v>2.1</v>
      </c>
      <c r="H102" t="n">
        <v>0</v>
      </c>
      <c r="I102" t="n">
        <v>1</v>
      </c>
      <c r="J102" t="n">
        <v>1</v>
      </c>
      <c r="K102" t="n">
        <v>1</v>
      </c>
      <c r="L102" t="n">
        <v>0</v>
      </c>
      <c r="M102" t="n">
        <v>0</v>
      </c>
      <c r="N102" t="n">
        <v>0</v>
      </c>
      <c r="O102" t="n">
        <v>2</v>
      </c>
      <c r="P102" t="n">
        <v>1</v>
      </c>
      <c r="Q102" t="n">
        <v>3</v>
      </c>
      <c r="R102" s="2" t="inlineStr">
        <is>
          <t>Skogskorn
Skugglosta
Strävlosta</t>
        </is>
      </c>
      <c r="S102">
        <f>HYPERLINK("https://klasma.github.io/Logging_0980/artfynd/A 32718-2021 artfynd.xlsx", "A 32718-2021")</f>
        <v/>
      </c>
      <c r="T102">
        <f>HYPERLINK("https://klasma.github.io/Logging_0980/kartor/A 32718-2021 karta.png", "A 32718-2021")</f>
        <v/>
      </c>
      <c r="V102">
        <f>HYPERLINK("https://klasma.github.io/Logging_0980/klagomål/A 32718-2021 FSC-klagomål.docx", "A 32718-2021")</f>
        <v/>
      </c>
      <c r="W102">
        <f>HYPERLINK("https://klasma.github.io/Logging_0980/klagomålsmail/A 32718-2021 FSC-klagomål mail.docx", "A 32718-2021")</f>
        <v/>
      </c>
      <c r="X102">
        <f>HYPERLINK("https://klasma.github.io/Logging_0980/tillsyn/A 32718-2021 tillsynsbegäran.docx", "A 32718-2021")</f>
        <v/>
      </c>
      <c r="Y102">
        <f>HYPERLINK("https://klasma.github.io/Logging_0980/tillsynsmail/A 32718-2021 tillsynsbegäran mail.docx", "A 32718-2021")</f>
        <v/>
      </c>
    </row>
    <row r="103" ht="15" customHeight="1">
      <c r="A103" t="inlineStr">
        <is>
          <t>A 2332-2021</t>
        </is>
      </c>
      <c r="B103" s="1" t="n">
        <v>44214</v>
      </c>
      <c r="C103" s="1" t="n">
        <v>45940</v>
      </c>
      <c r="D103" t="inlineStr">
        <is>
          <t>GOTLANDS LÄN</t>
        </is>
      </c>
      <c r="E103" t="inlineStr">
        <is>
          <t>GOTLAND</t>
        </is>
      </c>
      <c r="G103" t="n">
        <v>2.3</v>
      </c>
      <c r="H103" t="n">
        <v>2</v>
      </c>
      <c r="I103" t="n">
        <v>0</v>
      </c>
      <c r="J103" t="n">
        <v>1</v>
      </c>
      <c r="K103" t="n">
        <v>0</v>
      </c>
      <c r="L103" t="n">
        <v>0</v>
      </c>
      <c r="M103" t="n">
        <v>0</v>
      </c>
      <c r="N103" t="n">
        <v>0</v>
      </c>
      <c r="O103" t="n">
        <v>1</v>
      </c>
      <c r="P103" t="n">
        <v>0</v>
      </c>
      <c r="Q103" t="n">
        <v>3</v>
      </c>
      <c r="R103" s="2" t="inlineStr">
        <is>
          <t>Korpnopping
Sankt pers nycklar
Blåsippa</t>
        </is>
      </c>
      <c r="S103">
        <f>HYPERLINK("https://klasma.github.io/Logging_0980/artfynd/A 2332-2021 artfynd.xlsx", "A 2332-2021")</f>
        <v/>
      </c>
      <c r="T103">
        <f>HYPERLINK("https://klasma.github.io/Logging_0980/kartor/A 2332-2021 karta.png", "A 2332-2021")</f>
        <v/>
      </c>
      <c r="V103">
        <f>HYPERLINK("https://klasma.github.io/Logging_0980/klagomål/A 2332-2021 FSC-klagomål.docx", "A 2332-2021")</f>
        <v/>
      </c>
      <c r="W103">
        <f>HYPERLINK("https://klasma.github.io/Logging_0980/klagomålsmail/A 2332-2021 FSC-klagomål mail.docx", "A 2332-2021")</f>
        <v/>
      </c>
      <c r="X103">
        <f>HYPERLINK("https://klasma.github.io/Logging_0980/tillsyn/A 2332-2021 tillsynsbegäran.docx", "A 2332-2021")</f>
        <v/>
      </c>
      <c r="Y103">
        <f>HYPERLINK("https://klasma.github.io/Logging_0980/tillsynsmail/A 2332-2021 tillsynsbegäran mail.docx", "A 2332-2021")</f>
        <v/>
      </c>
    </row>
    <row r="104" ht="15" customHeight="1">
      <c r="A104" t="inlineStr">
        <is>
          <t>A 43013-2022</t>
        </is>
      </c>
      <c r="B104" s="1" t="n">
        <v>44833</v>
      </c>
      <c r="C104" s="1" t="n">
        <v>45940</v>
      </c>
      <c r="D104" t="inlineStr">
        <is>
          <t>GOTLANDS LÄN</t>
        </is>
      </c>
      <c r="E104" t="inlineStr">
        <is>
          <t>GOTLAND</t>
        </is>
      </c>
      <c r="G104" t="n">
        <v>9.300000000000001</v>
      </c>
      <c r="H104" t="n">
        <v>0</v>
      </c>
      <c r="I104" t="n">
        <v>2</v>
      </c>
      <c r="J104" t="n">
        <v>0</v>
      </c>
      <c r="K104" t="n">
        <v>1</v>
      </c>
      <c r="L104" t="n">
        <v>0</v>
      </c>
      <c r="M104" t="n">
        <v>0</v>
      </c>
      <c r="N104" t="n">
        <v>0</v>
      </c>
      <c r="O104" t="n">
        <v>1</v>
      </c>
      <c r="P104" t="n">
        <v>1</v>
      </c>
      <c r="Q104" t="n">
        <v>3</v>
      </c>
      <c r="R104" s="2" t="inlineStr">
        <is>
          <t>Violettfläckig spindling
Anisspindling
Blå slemspindling</t>
        </is>
      </c>
      <c r="S104">
        <f>HYPERLINK("https://klasma.github.io/Logging_0980/artfynd/A 43013-2022 artfynd.xlsx", "A 43013-2022")</f>
        <v/>
      </c>
      <c r="T104">
        <f>HYPERLINK("https://klasma.github.io/Logging_0980/kartor/A 43013-2022 karta.png", "A 43013-2022")</f>
        <v/>
      </c>
      <c r="V104">
        <f>HYPERLINK("https://klasma.github.io/Logging_0980/klagomål/A 43013-2022 FSC-klagomål.docx", "A 43013-2022")</f>
        <v/>
      </c>
      <c r="W104">
        <f>HYPERLINK("https://klasma.github.io/Logging_0980/klagomålsmail/A 43013-2022 FSC-klagomål mail.docx", "A 43013-2022")</f>
        <v/>
      </c>
      <c r="X104">
        <f>HYPERLINK("https://klasma.github.io/Logging_0980/tillsyn/A 43013-2022 tillsynsbegäran.docx", "A 43013-2022")</f>
        <v/>
      </c>
      <c r="Y104">
        <f>HYPERLINK("https://klasma.github.io/Logging_0980/tillsynsmail/A 43013-2022 tillsynsbegäran mail.docx", "A 43013-2022")</f>
        <v/>
      </c>
    </row>
    <row r="105" ht="15" customHeight="1">
      <c r="A105" t="inlineStr">
        <is>
          <t>A 73144-2021</t>
        </is>
      </c>
      <c r="B105" s="1" t="n">
        <v>44550</v>
      </c>
      <c r="C105" s="1" t="n">
        <v>45940</v>
      </c>
      <c r="D105" t="inlineStr">
        <is>
          <t>GOTLANDS LÄN</t>
        </is>
      </c>
      <c r="E105" t="inlineStr">
        <is>
          <t>GOTLAND</t>
        </is>
      </c>
      <c r="G105" t="n">
        <v>1.9</v>
      </c>
      <c r="H105" t="n">
        <v>0</v>
      </c>
      <c r="I105" t="n">
        <v>1</v>
      </c>
      <c r="J105" t="n">
        <v>1</v>
      </c>
      <c r="K105" t="n">
        <v>1</v>
      </c>
      <c r="L105" t="n">
        <v>0</v>
      </c>
      <c r="M105" t="n">
        <v>0</v>
      </c>
      <c r="N105" t="n">
        <v>0</v>
      </c>
      <c r="O105" t="n">
        <v>2</v>
      </c>
      <c r="P105" t="n">
        <v>1</v>
      </c>
      <c r="Q105" t="n">
        <v>3</v>
      </c>
      <c r="R105" s="2" t="inlineStr">
        <is>
          <t>Skogskorn
Igelkott
Kambräken</t>
        </is>
      </c>
      <c r="S105">
        <f>HYPERLINK("https://klasma.github.io/Logging_0980/artfynd/A 73144-2021 artfynd.xlsx", "A 73144-2021")</f>
        <v/>
      </c>
      <c r="T105">
        <f>HYPERLINK("https://klasma.github.io/Logging_0980/kartor/A 73144-2021 karta.png", "A 73144-2021")</f>
        <v/>
      </c>
      <c r="V105">
        <f>HYPERLINK("https://klasma.github.io/Logging_0980/klagomål/A 73144-2021 FSC-klagomål.docx", "A 73144-2021")</f>
        <v/>
      </c>
      <c r="W105">
        <f>HYPERLINK("https://klasma.github.io/Logging_0980/klagomålsmail/A 73144-2021 FSC-klagomål mail.docx", "A 73144-2021")</f>
        <v/>
      </c>
      <c r="X105">
        <f>HYPERLINK("https://klasma.github.io/Logging_0980/tillsyn/A 73144-2021 tillsynsbegäran.docx", "A 73144-2021")</f>
        <v/>
      </c>
      <c r="Y105">
        <f>HYPERLINK("https://klasma.github.io/Logging_0980/tillsynsmail/A 73144-2021 tillsynsbegäran mail.docx", "A 73144-2021")</f>
        <v/>
      </c>
    </row>
    <row r="106" ht="15" customHeight="1">
      <c r="A106" t="inlineStr">
        <is>
          <t>A 48126-2022</t>
        </is>
      </c>
      <c r="B106" s="1" t="n">
        <v>44857</v>
      </c>
      <c r="C106" s="1" t="n">
        <v>45940</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13499-2022</t>
        </is>
      </c>
      <c r="B107" s="1" t="n">
        <v>44647.79203703703</v>
      </c>
      <c r="C107" s="1" t="n">
        <v>45940</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5235-2025</t>
        </is>
      </c>
      <c r="B108" s="1" t="n">
        <v>45692.26797453704</v>
      </c>
      <c r="C108" s="1" t="n">
        <v>45940</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53552-2021</t>
        </is>
      </c>
      <c r="B109" s="1" t="n">
        <v>44468</v>
      </c>
      <c r="C109" s="1" t="n">
        <v>45940</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12315-2024</t>
        </is>
      </c>
      <c r="B110" s="1" t="n">
        <v>45378.6434837963</v>
      </c>
      <c r="C110" s="1" t="n">
        <v>45940</v>
      </c>
      <c r="D110" t="inlineStr">
        <is>
          <t>GOTLANDS LÄN</t>
        </is>
      </c>
      <c r="E110" t="inlineStr">
        <is>
          <t>GOTLAND</t>
        </is>
      </c>
      <c r="G110" t="n">
        <v>6</v>
      </c>
      <c r="H110" t="n">
        <v>3</v>
      </c>
      <c r="I110" t="n">
        <v>1</v>
      </c>
      <c r="J110" t="n">
        <v>1</v>
      </c>
      <c r="K110" t="n">
        <v>0</v>
      </c>
      <c r="L110" t="n">
        <v>0</v>
      </c>
      <c r="M110" t="n">
        <v>0</v>
      </c>
      <c r="N110" t="n">
        <v>0</v>
      </c>
      <c r="O110" t="n">
        <v>1</v>
      </c>
      <c r="P110" t="n">
        <v>0</v>
      </c>
      <c r="Q110" t="n">
        <v>3</v>
      </c>
      <c r="R110" s="2" t="inlineStr">
        <is>
          <t>Buskskvätta
Tvåblad
Fläcknycklar</t>
        </is>
      </c>
      <c r="S110">
        <f>HYPERLINK("https://klasma.github.io/Logging_0980/artfynd/A 12315-2024 artfynd.xlsx", "A 12315-2024")</f>
        <v/>
      </c>
      <c r="T110">
        <f>HYPERLINK("https://klasma.github.io/Logging_0980/kartor/A 12315-2024 karta.png", "A 12315-2024")</f>
        <v/>
      </c>
      <c r="V110">
        <f>HYPERLINK("https://klasma.github.io/Logging_0980/klagomål/A 12315-2024 FSC-klagomål.docx", "A 12315-2024")</f>
        <v/>
      </c>
      <c r="W110">
        <f>HYPERLINK("https://klasma.github.io/Logging_0980/klagomålsmail/A 12315-2024 FSC-klagomål mail.docx", "A 12315-2024")</f>
        <v/>
      </c>
      <c r="X110">
        <f>HYPERLINK("https://klasma.github.io/Logging_0980/tillsyn/A 12315-2024 tillsynsbegäran.docx", "A 12315-2024")</f>
        <v/>
      </c>
      <c r="Y110">
        <f>HYPERLINK("https://klasma.github.io/Logging_0980/tillsynsmail/A 12315-2024 tillsynsbegäran mail.docx", "A 12315-2024")</f>
        <v/>
      </c>
      <c r="Z110">
        <f>HYPERLINK("https://klasma.github.io/Logging_0980/fåglar/A 12315-2024 prioriterade fågelarter.docx", "A 12315-2024")</f>
        <v/>
      </c>
    </row>
    <row r="111" ht="15" customHeight="1">
      <c r="A111" t="inlineStr">
        <is>
          <t>A 30490-2025</t>
        </is>
      </c>
      <c r="B111" s="1" t="n">
        <v>45830</v>
      </c>
      <c r="C111" s="1" t="n">
        <v>45940</v>
      </c>
      <c r="D111" t="inlineStr">
        <is>
          <t>GOTLANDS LÄN</t>
        </is>
      </c>
      <c r="E111" t="inlineStr">
        <is>
          <t>GOTLAND</t>
        </is>
      </c>
      <c r="G111" t="n">
        <v>7.9</v>
      </c>
      <c r="H111" t="n">
        <v>1</v>
      </c>
      <c r="I111" t="n">
        <v>0</v>
      </c>
      <c r="J111" t="n">
        <v>2</v>
      </c>
      <c r="K111" t="n">
        <v>0</v>
      </c>
      <c r="L111" t="n">
        <v>0</v>
      </c>
      <c r="M111" t="n">
        <v>0</v>
      </c>
      <c r="N111" t="n">
        <v>0</v>
      </c>
      <c r="O111" t="n">
        <v>2</v>
      </c>
      <c r="P111" t="n">
        <v>0</v>
      </c>
      <c r="Q111" t="n">
        <v>3</v>
      </c>
      <c r="R111" s="2" t="inlineStr">
        <is>
          <t>Klasefibbla
Majviva
Nattviol</t>
        </is>
      </c>
      <c r="S111">
        <f>HYPERLINK("https://klasma.github.io/Logging_0980/artfynd/A 30490-2025 artfynd.xlsx", "A 30490-2025")</f>
        <v/>
      </c>
      <c r="T111">
        <f>HYPERLINK("https://klasma.github.io/Logging_0980/kartor/A 30490-2025 karta.png", "A 30490-2025")</f>
        <v/>
      </c>
      <c r="V111">
        <f>HYPERLINK("https://klasma.github.io/Logging_0980/klagomål/A 30490-2025 FSC-klagomål.docx", "A 30490-2025")</f>
        <v/>
      </c>
      <c r="W111">
        <f>HYPERLINK("https://klasma.github.io/Logging_0980/klagomålsmail/A 30490-2025 FSC-klagomål mail.docx", "A 30490-2025")</f>
        <v/>
      </c>
      <c r="X111">
        <f>HYPERLINK("https://klasma.github.io/Logging_0980/tillsyn/A 30490-2025 tillsynsbegäran.docx", "A 30490-2025")</f>
        <v/>
      </c>
      <c r="Y111">
        <f>HYPERLINK("https://klasma.github.io/Logging_0980/tillsynsmail/A 30490-2025 tillsynsbegäran mail.docx", "A 30490-2025")</f>
        <v/>
      </c>
    </row>
    <row r="112" ht="15" customHeight="1">
      <c r="A112" t="inlineStr">
        <is>
          <t>A 17975-2024</t>
        </is>
      </c>
      <c r="B112" s="1" t="n">
        <v>45419.85546296297</v>
      </c>
      <c r="C112" s="1" t="n">
        <v>45940</v>
      </c>
      <c r="D112" t="inlineStr">
        <is>
          <t>GOTLANDS LÄN</t>
        </is>
      </c>
      <c r="E112" t="inlineStr">
        <is>
          <t>GOTLAND</t>
        </is>
      </c>
      <c r="G112" t="n">
        <v>7.9</v>
      </c>
      <c r="H112" t="n">
        <v>0</v>
      </c>
      <c r="I112" t="n">
        <v>1</v>
      </c>
      <c r="J112" t="n">
        <v>1</v>
      </c>
      <c r="K112" t="n">
        <v>0</v>
      </c>
      <c r="L112" t="n">
        <v>1</v>
      </c>
      <c r="M112" t="n">
        <v>0</v>
      </c>
      <c r="N112" t="n">
        <v>0</v>
      </c>
      <c r="O112" t="n">
        <v>2</v>
      </c>
      <c r="P112" t="n">
        <v>1</v>
      </c>
      <c r="Q112" t="n">
        <v>3</v>
      </c>
      <c r="R112" s="2" t="inlineStr">
        <is>
          <t>Ask
Skugglosta
Strävlosta</t>
        </is>
      </c>
      <c r="S112">
        <f>HYPERLINK("https://klasma.github.io/Logging_0980/artfynd/A 17975-2024 artfynd.xlsx", "A 17975-2024")</f>
        <v/>
      </c>
      <c r="T112">
        <f>HYPERLINK("https://klasma.github.io/Logging_0980/kartor/A 17975-2024 karta.png", "A 17975-2024")</f>
        <v/>
      </c>
      <c r="V112">
        <f>HYPERLINK("https://klasma.github.io/Logging_0980/klagomål/A 17975-2024 FSC-klagomål.docx", "A 17975-2024")</f>
        <v/>
      </c>
      <c r="W112">
        <f>HYPERLINK("https://klasma.github.io/Logging_0980/klagomålsmail/A 17975-2024 FSC-klagomål mail.docx", "A 17975-2024")</f>
        <v/>
      </c>
      <c r="X112">
        <f>HYPERLINK("https://klasma.github.io/Logging_0980/tillsyn/A 17975-2024 tillsynsbegäran.docx", "A 17975-2024")</f>
        <v/>
      </c>
      <c r="Y112">
        <f>HYPERLINK("https://klasma.github.io/Logging_0980/tillsynsmail/A 17975-2024 tillsynsbegäran mail.docx", "A 17975-2024")</f>
        <v/>
      </c>
    </row>
    <row r="113" ht="15" customHeight="1">
      <c r="A113" t="inlineStr">
        <is>
          <t>A 62326-2020</t>
        </is>
      </c>
      <c r="B113" s="1" t="n">
        <v>44160</v>
      </c>
      <c r="C113" s="1" t="n">
        <v>45940</v>
      </c>
      <c r="D113" t="inlineStr">
        <is>
          <t>GOTLANDS LÄN</t>
        </is>
      </c>
      <c r="E113" t="inlineStr">
        <is>
          <t>GOTLAND</t>
        </is>
      </c>
      <c r="G113" t="n">
        <v>7.4</v>
      </c>
      <c r="H113" t="n">
        <v>1</v>
      </c>
      <c r="I113" t="n">
        <v>3</v>
      </c>
      <c r="J113" t="n">
        <v>0</v>
      </c>
      <c r="K113" t="n">
        <v>0</v>
      </c>
      <c r="L113" t="n">
        <v>0</v>
      </c>
      <c r="M113" t="n">
        <v>0</v>
      </c>
      <c r="N113" t="n">
        <v>0</v>
      </c>
      <c r="O113" t="n">
        <v>0</v>
      </c>
      <c r="P113" t="n">
        <v>0</v>
      </c>
      <c r="Q113" t="n">
        <v>3</v>
      </c>
      <c r="R113" s="2" t="inlineStr">
        <is>
          <t>Anisspindling
Blåmossa
Skogsknipprot</t>
        </is>
      </c>
      <c r="S113">
        <f>HYPERLINK("https://klasma.github.io/Logging_0980/artfynd/A 62326-2020 artfynd.xlsx", "A 62326-2020")</f>
        <v/>
      </c>
      <c r="T113">
        <f>HYPERLINK("https://klasma.github.io/Logging_0980/kartor/A 62326-2020 karta.png", "A 62326-2020")</f>
        <v/>
      </c>
      <c r="V113">
        <f>HYPERLINK("https://klasma.github.io/Logging_0980/klagomål/A 62326-2020 FSC-klagomål.docx", "A 62326-2020")</f>
        <v/>
      </c>
      <c r="W113">
        <f>HYPERLINK("https://klasma.github.io/Logging_0980/klagomålsmail/A 62326-2020 FSC-klagomål mail.docx", "A 62326-2020")</f>
        <v/>
      </c>
      <c r="X113">
        <f>HYPERLINK("https://klasma.github.io/Logging_0980/tillsyn/A 62326-2020 tillsynsbegäran.docx", "A 62326-2020")</f>
        <v/>
      </c>
      <c r="Y113">
        <f>HYPERLINK("https://klasma.github.io/Logging_0980/tillsynsmail/A 62326-2020 tillsynsbegäran mail.docx", "A 62326-2020")</f>
        <v/>
      </c>
    </row>
    <row r="114" ht="15" customHeight="1">
      <c r="A114" t="inlineStr">
        <is>
          <t>A 55334-2024</t>
        </is>
      </c>
      <c r="B114" s="1" t="n">
        <v>45621</v>
      </c>
      <c r="C114" s="1" t="n">
        <v>45940</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45940</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45940</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45940</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29870-2021</t>
        </is>
      </c>
      <c r="B118" s="1" t="n">
        <v>44362</v>
      </c>
      <c r="C118" s="1" t="n">
        <v>45940</v>
      </c>
      <c r="D118" t="inlineStr">
        <is>
          <t>GOTLANDS LÄN</t>
        </is>
      </c>
      <c r="E118" t="inlineStr">
        <is>
          <t>GOTLAND</t>
        </is>
      </c>
      <c r="G118" t="n">
        <v>2.4</v>
      </c>
      <c r="H118" t="n">
        <v>0</v>
      </c>
      <c r="I118" t="n">
        <v>1</v>
      </c>
      <c r="J118" t="n">
        <v>0</v>
      </c>
      <c r="K118" t="n">
        <v>1</v>
      </c>
      <c r="L118" t="n">
        <v>0</v>
      </c>
      <c r="M118" t="n">
        <v>0</v>
      </c>
      <c r="N118" t="n">
        <v>0</v>
      </c>
      <c r="O118" t="n">
        <v>1</v>
      </c>
      <c r="P118" t="n">
        <v>1</v>
      </c>
      <c r="Q118" t="n">
        <v>2</v>
      </c>
      <c r="R118" s="2" t="inlineStr">
        <is>
          <t>Blåfotad fagerspindling
Olivspindling</t>
        </is>
      </c>
      <c r="S118">
        <f>HYPERLINK("https://klasma.github.io/Logging_0980/artfynd/A 29870-2021 artfynd.xlsx", "A 29870-2021")</f>
        <v/>
      </c>
      <c r="T118">
        <f>HYPERLINK("https://klasma.github.io/Logging_0980/kartor/A 29870-2021 karta.png", "A 29870-2021")</f>
        <v/>
      </c>
      <c r="V118">
        <f>HYPERLINK("https://klasma.github.io/Logging_0980/klagomål/A 29870-2021 FSC-klagomål.docx", "A 29870-2021")</f>
        <v/>
      </c>
      <c r="W118">
        <f>HYPERLINK("https://klasma.github.io/Logging_0980/klagomålsmail/A 29870-2021 FSC-klagomål mail.docx", "A 29870-2021")</f>
        <v/>
      </c>
      <c r="X118">
        <f>HYPERLINK("https://klasma.github.io/Logging_0980/tillsyn/A 29870-2021 tillsynsbegäran.docx", "A 29870-2021")</f>
        <v/>
      </c>
      <c r="Y118">
        <f>HYPERLINK("https://klasma.github.io/Logging_0980/tillsynsmail/A 29870-2021 tillsynsbegäran mail.docx", "A 29870-2021")</f>
        <v/>
      </c>
    </row>
    <row r="119" ht="15" customHeight="1">
      <c r="A119" t="inlineStr">
        <is>
          <t>A 26857-2021</t>
        </is>
      </c>
      <c r="B119" s="1" t="n">
        <v>44349.60091435185</v>
      </c>
      <c r="C119" s="1" t="n">
        <v>45940</v>
      </c>
      <c r="D119" t="inlineStr">
        <is>
          <t>GOTLANDS LÄN</t>
        </is>
      </c>
      <c r="E119" t="inlineStr">
        <is>
          <t>GOTLAND</t>
        </is>
      </c>
      <c r="G119" t="n">
        <v>1.9</v>
      </c>
      <c r="H119" t="n">
        <v>0</v>
      </c>
      <c r="I119" t="n">
        <v>0</v>
      </c>
      <c r="J119" t="n">
        <v>2</v>
      </c>
      <c r="K119" t="n">
        <v>0</v>
      </c>
      <c r="L119" t="n">
        <v>0</v>
      </c>
      <c r="M119" t="n">
        <v>0</v>
      </c>
      <c r="N119" t="n">
        <v>0</v>
      </c>
      <c r="O119" t="n">
        <v>2</v>
      </c>
      <c r="P119" t="n">
        <v>0</v>
      </c>
      <c r="Q119" t="n">
        <v>2</v>
      </c>
      <c r="R119" s="2" t="inlineStr">
        <is>
          <t>Jordtistel
Solvända</t>
        </is>
      </c>
      <c r="S119">
        <f>HYPERLINK("https://klasma.github.io/Logging_0980/artfynd/A 26857-2021 artfynd.xlsx", "A 26857-2021")</f>
        <v/>
      </c>
      <c r="T119">
        <f>HYPERLINK("https://klasma.github.io/Logging_0980/kartor/A 26857-2021 karta.png", "A 26857-2021")</f>
        <v/>
      </c>
      <c r="V119">
        <f>HYPERLINK("https://klasma.github.io/Logging_0980/klagomål/A 26857-2021 FSC-klagomål.docx", "A 26857-2021")</f>
        <v/>
      </c>
      <c r="W119">
        <f>HYPERLINK("https://klasma.github.io/Logging_0980/klagomålsmail/A 26857-2021 FSC-klagomål mail.docx", "A 26857-2021")</f>
        <v/>
      </c>
      <c r="X119">
        <f>HYPERLINK("https://klasma.github.io/Logging_0980/tillsyn/A 26857-2021 tillsynsbegäran.docx", "A 26857-2021")</f>
        <v/>
      </c>
      <c r="Y119">
        <f>HYPERLINK("https://klasma.github.io/Logging_0980/tillsynsmail/A 26857-2021 tillsynsbegäran mail.docx", "A 26857-2021")</f>
        <v/>
      </c>
    </row>
    <row r="120" ht="15" customHeight="1">
      <c r="A120" t="inlineStr">
        <is>
          <t>A 51737-2021</t>
        </is>
      </c>
      <c r="B120" s="1" t="n">
        <v>44462.57368055556</v>
      </c>
      <c r="C120" s="1" t="n">
        <v>45940</v>
      </c>
      <c r="D120" t="inlineStr">
        <is>
          <t>GOTLANDS LÄN</t>
        </is>
      </c>
      <c r="E120" t="inlineStr">
        <is>
          <t>GOTLAND</t>
        </is>
      </c>
      <c r="G120" t="n">
        <v>8.6</v>
      </c>
      <c r="H120" t="n">
        <v>0</v>
      </c>
      <c r="I120" t="n">
        <v>1</v>
      </c>
      <c r="J120" t="n">
        <v>1</v>
      </c>
      <c r="K120" t="n">
        <v>0</v>
      </c>
      <c r="L120" t="n">
        <v>0</v>
      </c>
      <c r="M120" t="n">
        <v>0</v>
      </c>
      <c r="N120" t="n">
        <v>0</v>
      </c>
      <c r="O120" t="n">
        <v>1</v>
      </c>
      <c r="P120" t="n">
        <v>0</v>
      </c>
      <c r="Q120" t="n">
        <v>2</v>
      </c>
      <c r="R120" s="2" t="inlineStr">
        <is>
          <t>Igelkott
Kambräken</t>
        </is>
      </c>
      <c r="S120">
        <f>HYPERLINK("https://klasma.github.io/Logging_0980/artfynd/A 51737-2021 artfynd.xlsx", "A 51737-2021")</f>
        <v/>
      </c>
      <c r="T120">
        <f>HYPERLINK("https://klasma.github.io/Logging_0980/kartor/A 51737-2021 karta.png", "A 51737-2021")</f>
        <v/>
      </c>
      <c r="V120">
        <f>HYPERLINK("https://klasma.github.io/Logging_0980/klagomål/A 51737-2021 FSC-klagomål.docx", "A 51737-2021")</f>
        <v/>
      </c>
      <c r="W120">
        <f>HYPERLINK("https://klasma.github.io/Logging_0980/klagomålsmail/A 51737-2021 FSC-klagomål mail.docx", "A 51737-2021")</f>
        <v/>
      </c>
      <c r="X120">
        <f>HYPERLINK("https://klasma.github.io/Logging_0980/tillsyn/A 51737-2021 tillsynsbegäran.docx", "A 51737-2021")</f>
        <v/>
      </c>
      <c r="Y120">
        <f>HYPERLINK("https://klasma.github.io/Logging_0980/tillsynsmail/A 51737-2021 tillsynsbegäran mail.docx", "A 51737-2021")</f>
        <v/>
      </c>
    </row>
    <row r="121" ht="15" customHeight="1">
      <c r="A121" t="inlineStr">
        <is>
          <t>A 16429-2021</t>
        </is>
      </c>
      <c r="B121" s="1" t="n">
        <v>44293</v>
      </c>
      <c r="C121" s="1" t="n">
        <v>45940</v>
      </c>
      <c r="D121" t="inlineStr">
        <is>
          <t>GOTLANDS LÄN</t>
        </is>
      </c>
      <c r="E121" t="inlineStr">
        <is>
          <t>GOTLAND</t>
        </is>
      </c>
      <c r="G121" t="n">
        <v>3.4</v>
      </c>
      <c r="H121" t="n">
        <v>0</v>
      </c>
      <c r="I121" t="n">
        <v>0</v>
      </c>
      <c r="J121" t="n">
        <v>1</v>
      </c>
      <c r="K121" t="n">
        <v>1</v>
      </c>
      <c r="L121" t="n">
        <v>0</v>
      </c>
      <c r="M121" t="n">
        <v>0</v>
      </c>
      <c r="N121" t="n">
        <v>0</v>
      </c>
      <c r="O121" t="n">
        <v>2</v>
      </c>
      <c r="P121" t="n">
        <v>1</v>
      </c>
      <c r="Q121" t="n">
        <v>2</v>
      </c>
      <c r="R121" s="2" t="inlineStr">
        <is>
          <t>Gotlandsmåra
Barrviolspindling</t>
        </is>
      </c>
      <c r="S121">
        <f>HYPERLINK("https://klasma.github.io/Logging_0980/artfynd/A 16429-2021 artfynd.xlsx", "A 16429-2021")</f>
        <v/>
      </c>
      <c r="T121">
        <f>HYPERLINK("https://klasma.github.io/Logging_0980/kartor/A 16429-2021 karta.png", "A 16429-2021")</f>
        <v/>
      </c>
      <c r="V121">
        <f>HYPERLINK("https://klasma.github.io/Logging_0980/klagomål/A 16429-2021 FSC-klagomål.docx", "A 16429-2021")</f>
        <v/>
      </c>
      <c r="W121">
        <f>HYPERLINK("https://klasma.github.io/Logging_0980/klagomålsmail/A 16429-2021 FSC-klagomål mail.docx", "A 16429-2021")</f>
        <v/>
      </c>
      <c r="X121">
        <f>HYPERLINK("https://klasma.github.io/Logging_0980/tillsyn/A 16429-2021 tillsynsbegäran.docx", "A 16429-2021")</f>
        <v/>
      </c>
      <c r="Y121">
        <f>HYPERLINK("https://klasma.github.io/Logging_0980/tillsynsmail/A 16429-2021 tillsynsbegäran mail.docx", "A 16429-2021")</f>
        <v/>
      </c>
    </row>
    <row r="122" ht="15" customHeight="1">
      <c r="A122" t="inlineStr">
        <is>
          <t>A 9930-2021</t>
        </is>
      </c>
      <c r="B122" s="1" t="n">
        <v>44252</v>
      </c>
      <c r="C122" s="1" t="n">
        <v>45940</v>
      </c>
      <c r="D122" t="inlineStr">
        <is>
          <t>GOTLANDS LÄN</t>
        </is>
      </c>
      <c r="E122" t="inlineStr">
        <is>
          <t>GOTLAND</t>
        </is>
      </c>
      <c r="G122" t="n">
        <v>1.9</v>
      </c>
      <c r="H122" t="n">
        <v>0</v>
      </c>
      <c r="I122" t="n">
        <v>0</v>
      </c>
      <c r="J122" t="n">
        <v>0</v>
      </c>
      <c r="K122" t="n">
        <v>0</v>
      </c>
      <c r="L122" t="n">
        <v>1</v>
      </c>
      <c r="M122" t="n">
        <v>1</v>
      </c>
      <c r="N122" t="n">
        <v>0</v>
      </c>
      <c r="O122" t="n">
        <v>2</v>
      </c>
      <c r="P122" t="n">
        <v>2</v>
      </c>
      <c r="Q122" t="n">
        <v>2</v>
      </c>
      <c r="R122" s="2" t="inlineStr">
        <is>
          <t>Lundalm
Ask</t>
        </is>
      </c>
      <c r="S122">
        <f>HYPERLINK("https://klasma.github.io/Logging_0980/artfynd/A 9930-2021 artfynd.xlsx", "A 9930-2021")</f>
        <v/>
      </c>
      <c r="T122">
        <f>HYPERLINK("https://klasma.github.io/Logging_0980/kartor/A 9930-2021 karta.png", "A 9930-2021")</f>
        <v/>
      </c>
      <c r="V122">
        <f>HYPERLINK("https://klasma.github.io/Logging_0980/klagomål/A 9930-2021 FSC-klagomål.docx", "A 9930-2021")</f>
        <v/>
      </c>
      <c r="W122">
        <f>HYPERLINK("https://klasma.github.io/Logging_0980/klagomålsmail/A 9930-2021 FSC-klagomål mail.docx", "A 9930-2021")</f>
        <v/>
      </c>
      <c r="X122">
        <f>HYPERLINK("https://klasma.github.io/Logging_0980/tillsyn/A 9930-2021 tillsynsbegäran.docx", "A 9930-2021")</f>
        <v/>
      </c>
      <c r="Y122">
        <f>HYPERLINK("https://klasma.github.io/Logging_0980/tillsynsmail/A 9930-2021 tillsynsbegäran mail.docx", "A 9930-2021")</f>
        <v/>
      </c>
    </row>
    <row r="123" ht="15" customHeight="1">
      <c r="A123" t="inlineStr">
        <is>
          <t>A 60665-2021</t>
        </is>
      </c>
      <c r="B123" s="1" t="n">
        <v>44496</v>
      </c>
      <c r="C123" s="1" t="n">
        <v>45940</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45940</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58701-2020</t>
        </is>
      </c>
      <c r="B125" s="1" t="n">
        <v>44146</v>
      </c>
      <c r="C125" s="1" t="n">
        <v>45940</v>
      </c>
      <c r="D125" t="inlineStr">
        <is>
          <t>GOTLANDS LÄN</t>
        </is>
      </c>
      <c r="E125" t="inlineStr">
        <is>
          <t>GOTLAND</t>
        </is>
      </c>
      <c r="G125" t="n">
        <v>5.5</v>
      </c>
      <c r="H125" t="n">
        <v>0</v>
      </c>
      <c r="I125" t="n">
        <v>0</v>
      </c>
      <c r="J125" t="n">
        <v>1</v>
      </c>
      <c r="K125" t="n">
        <v>1</v>
      </c>
      <c r="L125" t="n">
        <v>0</v>
      </c>
      <c r="M125" t="n">
        <v>0</v>
      </c>
      <c r="N125" t="n">
        <v>0</v>
      </c>
      <c r="O125" t="n">
        <v>2</v>
      </c>
      <c r="P125" t="n">
        <v>1</v>
      </c>
      <c r="Q125" t="n">
        <v>2</v>
      </c>
      <c r="R125" s="2" t="inlineStr">
        <is>
          <t>Vit taggsvamp
Odörspindling</t>
        </is>
      </c>
      <c r="S125">
        <f>HYPERLINK("https://klasma.github.io/Logging_0980/artfynd/A 58701-2020 artfynd.xlsx", "A 58701-2020")</f>
        <v/>
      </c>
      <c r="T125">
        <f>HYPERLINK("https://klasma.github.io/Logging_0980/kartor/A 58701-2020 karta.png", "A 58701-2020")</f>
        <v/>
      </c>
      <c r="V125">
        <f>HYPERLINK("https://klasma.github.io/Logging_0980/klagomål/A 58701-2020 FSC-klagomål.docx", "A 58701-2020")</f>
        <v/>
      </c>
      <c r="W125">
        <f>HYPERLINK("https://klasma.github.io/Logging_0980/klagomålsmail/A 58701-2020 FSC-klagomål mail.docx", "A 58701-2020")</f>
        <v/>
      </c>
      <c r="X125">
        <f>HYPERLINK("https://klasma.github.io/Logging_0980/tillsyn/A 58701-2020 tillsynsbegäran.docx", "A 58701-2020")</f>
        <v/>
      </c>
      <c r="Y125">
        <f>HYPERLINK("https://klasma.github.io/Logging_0980/tillsynsmail/A 58701-2020 tillsynsbegäran mail.docx", "A 58701-2020")</f>
        <v/>
      </c>
    </row>
    <row r="126" ht="15" customHeight="1">
      <c r="A126" t="inlineStr">
        <is>
          <t>A 28261-2024</t>
        </is>
      </c>
      <c r="B126" s="1" t="n">
        <v>45477</v>
      </c>
      <c r="C126" s="1" t="n">
        <v>45940</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21879-2025</t>
        </is>
      </c>
      <c r="B127" s="1" t="n">
        <v>45784.40533564815</v>
      </c>
      <c r="C127" s="1" t="n">
        <v>45940</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55649-2024</t>
        </is>
      </c>
      <c r="B128" s="1" t="n">
        <v>45622.63053240741</v>
      </c>
      <c r="C128" s="1" t="n">
        <v>45940</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45940</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26077-2024</t>
        </is>
      </c>
      <c r="B130" s="1" t="n">
        <v>45467</v>
      </c>
      <c r="C130" s="1" t="n">
        <v>45940</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64263-2020</t>
        </is>
      </c>
      <c r="B131" s="1" t="n">
        <v>44168</v>
      </c>
      <c r="C131" s="1" t="n">
        <v>45940</v>
      </c>
      <c r="D131" t="inlineStr">
        <is>
          <t>GOTLANDS LÄN</t>
        </is>
      </c>
      <c r="E131" t="inlineStr">
        <is>
          <t>GOTLAND</t>
        </is>
      </c>
      <c r="G131" t="n">
        <v>10.9</v>
      </c>
      <c r="H131" t="n">
        <v>1</v>
      </c>
      <c r="I131" t="n">
        <v>0</v>
      </c>
      <c r="J131" t="n">
        <v>2</v>
      </c>
      <c r="K131" t="n">
        <v>0</v>
      </c>
      <c r="L131" t="n">
        <v>0</v>
      </c>
      <c r="M131" t="n">
        <v>0</v>
      </c>
      <c r="N131" t="n">
        <v>0</v>
      </c>
      <c r="O131" t="n">
        <v>2</v>
      </c>
      <c r="P131" t="n">
        <v>0</v>
      </c>
      <c r="Q131" t="n">
        <v>2</v>
      </c>
      <c r="R131" s="2" t="inlineStr">
        <is>
          <t>Mindre hackspett
Ullticka</t>
        </is>
      </c>
      <c r="S131">
        <f>HYPERLINK("https://klasma.github.io/Logging_0980/artfynd/A 64263-2020 artfynd.xlsx", "A 64263-2020")</f>
        <v/>
      </c>
      <c r="T131">
        <f>HYPERLINK("https://klasma.github.io/Logging_0980/kartor/A 64263-2020 karta.png", "A 64263-2020")</f>
        <v/>
      </c>
      <c r="V131">
        <f>HYPERLINK("https://klasma.github.io/Logging_0980/klagomål/A 64263-2020 FSC-klagomål.docx", "A 64263-2020")</f>
        <v/>
      </c>
      <c r="W131">
        <f>HYPERLINK("https://klasma.github.io/Logging_0980/klagomålsmail/A 64263-2020 FSC-klagomål mail.docx", "A 64263-2020")</f>
        <v/>
      </c>
      <c r="X131">
        <f>HYPERLINK("https://klasma.github.io/Logging_0980/tillsyn/A 64263-2020 tillsynsbegäran.docx", "A 64263-2020")</f>
        <v/>
      </c>
      <c r="Y131">
        <f>HYPERLINK("https://klasma.github.io/Logging_0980/tillsynsmail/A 64263-2020 tillsynsbegäran mail.docx", "A 64263-2020")</f>
        <v/>
      </c>
      <c r="Z131">
        <f>HYPERLINK("https://klasma.github.io/Logging_0980/fåglar/A 64263-2020 prioriterade fågelarter.docx", "A 64263-2020")</f>
        <v/>
      </c>
    </row>
    <row r="132" ht="15" customHeight="1">
      <c r="A132" t="inlineStr">
        <is>
          <t>A 12914-2025</t>
        </is>
      </c>
      <c r="B132" s="1" t="n">
        <v>45733</v>
      </c>
      <c r="C132" s="1" t="n">
        <v>45940</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13627-2023</t>
        </is>
      </c>
      <c r="B133" s="1" t="n">
        <v>45006</v>
      </c>
      <c r="C133" s="1" t="n">
        <v>45940</v>
      </c>
      <c r="D133" t="inlineStr">
        <is>
          <t>GOTLANDS LÄN</t>
        </is>
      </c>
      <c r="E133" t="inlineStr">
        <is>
          <t>GOTLAND</t>
        </is>
      </c>
      <c r="G133" t="n">
        <v>10.7</v>
      </c>
      <c r="H133" t="n">
        <v>0</v>
      </c>
      <c r="I133" t="n">
        <v>0</v>
      </c>
      <c r="J133" t="n">
        <v>1</v>
      </c>
      <c r="K133" t="n">
        <v>1</v>
      </c>
      <c r="L133" t="n">
        <v>0</v>
      </c>
      <c r="M133" t="n">
        <v>0</v>
      </c>
      <c r="N133" t="n">
        <v>0</v>
      </c>
      <c r="O133" t="n">
        <v>2</v>
      </c>
      <c r="P133" t="n">
        <v>1</v>
      </c>
      <c r="Q133" t="n">
        <v>2</v>
      </c>
      <c r="R133" s="2" t="inlineStr">
        <is>
          <t>Sammetsbockrot
Igelkott</t>
        </is>
      </c>
      <c r="S133">
        <f>HYPERLINK("https://klasma.github.io/Logging_0980/artfynd/A 13627-2023 artfynd.xlsx", "A 13627-2023")</f>
        <v/>
      </c>
      <c r="T133">
        <f>HYPERLINK("https://klasma.github.io/Logging_0980/kartor/A 13627-2023 karta.png", "A 13627-2023")</f>
        <v/>
      </c>
      <c r="V133">
        <f>HYPERLINK("https://klasma.github.io/Logging_0980/klagomål/A 13627-2023 FSC-klagomål.docx", "A 13627-2023")</f>
        <v/>
      </c>
      <c r="W133">
        <f>HYPERLINK("https://klasma.github.io/Logging_0980/klagomålsmail/A 13627-2023 FSC-klagomål mail.docx", "A 13627-2023")</f>
        <v/>
      </c>
      <c r="X133">
        <f>HYPERLINK("https://klasma.github.io/Logging_0980/tillsyn/A 13627-2023 tillsynsbegäran.docx", "A 13627-2023")</f>
        <v/>
      </c>
      <c r="Y133">
        <f>HYPERLINK("https://klasma.github.io/Logging_0980/tillsynsmail/A 13627-2023 tillsynsbegäran mail.docx", "A 13627-2023")</f>
        <v/>
      </c>
    </row>
    <row r="134" ht="15" customHeight="1">
      <c r="A134" t="inlineStr">
        <is>
          <t>A 54357-2024</t>
        </is>
      </c>
      <c r="B134" s="1" t="n">
        <v>45617.40662037037</v>
      </c>
      <c r="C134" s="1" t="n">
        <v>45940</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43219-2023</t>
        </is>
      </c>
      <c r="B135" s="1" t="n">
        <v>45183</v>
      </c>
      <c r="C135" s="1" t="n">
        <v>45940</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20838-2024</t>
        </is>
      </c>
      <c r="B136" s="1" t="n">
        <v>45439</v>
      </c>
      <c r="C136" s="1" t="n">
        <v>45940</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28276-2024</t>
        </is>
      </c>
      <c r="B137" s="1" t="n">
        <v>45477</v>
      </c>
      <c r="C137" s="1" t="n">
        <v>45940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24-2021</t>
        </is>
      </c>
      <c r="B138" s="1" t="n">
        <v>44197</v>
      </c>
      <c r="C138" s="1" t="n">
        <v>45940</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45940</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35467-2021</t>
        </is>
      </c>
      <c r="B140" s="1" t="n">
        <v>44385</v>
      </c>
      <c r="C140" s="1" t="n">
        <v>45940</v>
      </c>
      <c r="D140" t="inlineStr">
        <is>
          <t>GOTLANDS LÄN</t>
        </is>
      </c>
      <c r="E140" t="inlineStr">
        <is>
          <t>GOTLAND</t>
        </is>
      </c>
      <c r="G140" t="n">
        <v>12.7</v>
      </c>
      <c r="H140" t="n">
        <v>0</v>
      </c>
      <c r="I140" t="n">
        <v>0</v>
      </c>
      <c r="J140" t="n">
        <v>1</v>
      </c>
      <c r="K140" t="n">
        <v>0</v>
      </c>
      <c r="L140" t="n">
        <v>0</v>
      </c>
      <c r="M140" t="n">
        <v>0</v>
      </c>
      <c r="N140" t="n">
        <v>0</v>
      </c>
      <c r="O140" t="n">
        <v>1</v>
      </c>
      <c r="P140" t="n">
        <v>0</v>
      </c>
      <c r="Q140" t="n">
        <v>1</v>
      </c>
      <c r="R140" s="2" t="inlineStr">
        <is>
          <t>Loppstarr</t>
        </is>
      </c>
      <c r="S140">
        <f>HYPERLINK("https://klasma.github.io/Logging_0980/artfynd/A 35467-2021 artfynd.xlsx", "A 35467-2021")</f>
        <v/>
      </c>
      <c r="T140">
        <f>HYPERLINK("https://klasma.github.io/Logging_0980/kartor/A 35467-2021 karta.png", "A 35467-2021")</f>
        <v/>
      </c>
      <c r="V140">
        <f>HYPERLINK("https://klasma.github.io/Logging_0980/klagomål/A 35467-2021 FSC-klagomål.docx", "A 35467-2021")</f>
        <v/>
      </c>
      <c r="W140">
        <f>HYPERLINK("https://klasma.github.io/Logging_0980/klagomålsmail/A 35467-2021 FSC-klagomål mail.docx", "A 35467-2021")</f>
        <v/>
      </c>
      <c r="X140">
        <f>HYPERLINK("https://klasma.github.io/Logging_0980/tillsyn/A 35467-2021 tillsynsbegäran.docx", "A 35467-2021")</f>
        <v/>
      </c>
      <c r="Y140">
        <f>HYPERLINK("https://klasma.github.io/Logging_0980/tillsynsmail/A 35467-2021 tillsynsbegäran mail.docx", "A 35467-2021")</f>
        <v/>
      </c>
    </row>
    <row r="141" ht="15" customHeight="1">
      <c r="A141" t="inlineStr">
        <is>
          <t>A 7485-2021</t>
        </is>
      </c>
      <c r="B141" s="1" t="n">
        <v>44238</v>
      </c>
      <c r="C141" s="1" t="n">
        <v>45940</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45940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44308-2021</t>
        </is>
      </c>
      <c r="B143" s="1" t="n">
        <v>44434</v>
      </c>
      <c r="C143" s="1" t="n">
        <v>45940</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44088-2022</t>
        </is>
      </c>
      <c r="B144" s="1" t="n">
        <v>44839</v>
      </c>
      <c r="C144" s="1" t="n">
        <v>45940</v>
      </c>
      <c r="D144" t="inlineStr">
        <is>
          <t>GOTLANDS LÄN</t>
        </is>
      </c>
      <c r="E144" t="inlineStr">
        <is>
          <t>GOTLAND</t>
        </is>
      </c>
      <c r="G144" t="n">
        <v>1.5</v>
      </c>
      <c r="H144" t="n">
        <v>0</v>
      </c>
      <c r="I144" t="n">
        <v>1</v>
      </c>
      <c r="J144" t="n">
        <v>0</v>
      </c>
      <c r="K144" t="n">
        <v>0</v>
      </c>
      <c r="L144" t="n">
        <v>0</v>
      </c>
      <c r="M144" t="n">
        <v>0</v>
      </c>
      <c r="N144" t="n">
        <v>0</v>
      </c>
      <c r="O144" t="n">
        <v>0</v>
      </c>
      <c r="P144" t="n">
        <v>0</v>
      </c>
      <c r="Q144" t="n">
        <v>1</v>
      </c>
      <c r="R144" s="2" t="inlineStr">
        <is>
          <t>Strävlosta</t>
        </is>
      </c>
      <c r="S144">
        <f>HYPERLINK("https://klasma.github.io/Logging_0980/artfynd/A 44088-2022 artfynd.xlsx", "A 44088-2022")</f>
        <v/>
      </c>
      <c r="T144">
        <f>HYPERLINK("https://klasma.github.io/Logging_0980/kartor/A 44088-2022 karta.png", "A 44088-2022")</f>
        <v/>
      </c>
      <c r="V144">
        <f>HYPERLINK("https://klasma.github.io/Logging_0980/klagomål/A 44088-2022 FSC-klagomål.docx", "A 44088-2022")</f>
        <v/>
      </c>
      <c r="W144">
        <f>HYPERLINK("https://klasma.github.io/Logging_0980/klagomålsmail/A 44088-2022 FSC-klagomål mail.docx", "A 44088-2022")</f>
        <v/>
      </c>
      <c r="X144">
        <f>HYPERLINK("https://klasma.github.io/Logging_0980/tillsyn/A 44088-2022 tillsynsbegäran.docx", "A 44088-2022")</f>
        <v/>
      </c>
      <c r="Y144">
        <f>HYPERLINK("https://klasma.github.io/Logging_0980/tillsynsmail/A 44088-2022 tillsynsbegäran mail.docx", "A 44088-2022")</f>
        <v/>
      </c>
    </row>
    <row r="145" ht="15" customHeight="1">
      <c r="A145" t="inlineStr">
        <is>
          <t>A 46527-2023</t>
        </is>
      </c>
      <c r="B145" s="1" t="n">
        <v>45197</v>
      </c>
      <c r="C145" s="1" t="n">
        <v>45940</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63576-2021</t>
        </is>
      </c>
      <c r="B146" s="1" t="n">
        <v>44508</v>
      </c>
      <c r="C146" s="1" t="n">
        <v>45940</v>
      </c>
      <c r="D146" t="inlineStr">
        <is>
          <t>GOTLANDS LÄN</t>
        </is>
      </c>
      <c r="E146" t="inlineStr">
        <is>
          <t>GOTLAND</t>
        </is>
      </c>
      <c r="F146" t="inlineStr">
        <is>
          <t>Kyrkan</t>
        </is>
      </c>
      <c r="G146" t="n">
        <v>4.1</v>
      </c>
      <c r="H146" t="n">
        <v>1</v>
      </c>
      <c r="I146" t="n">
        <v>0</v>
      </c>
      <c r="J146" t="n">
        <v>1</v>
      </c>
      <c r="K146" t="n">
        <v>0</v>
      </c>
      <c r="L146" t="n">
        <v>0</v>
      </c>
      <c r="M146" t="n">
        <v>0</v>
      </c>
      <c r="N146" t="n">
        <v>0</v>
      </c>
      <c r="O146" t="n">
        <v>1</v>
      </c>
      <c r="P146" t="n">
        <v>0</v>
      </c>
      <c r="Q146" t="n">
        <v>1</v>
      </c>
      <c r="R146" s="2" t="inlineStr">
        <is>
          <t>Dårgräsfjäril</t>
        </is>
      </c>
      <c r="S146">
        <f>HYPERLINK("https://klasma.github.io/Logging_0980/artfynd/A 63576-2021 artfynd.xlsx", "A 63576-2021")</f>
        <v/>
      </c>
      <c r="T146">
        <f>HYPERLINK("https://klasma.github.io/Logging_0980/kartor/A 63576-2021 karta.png", "A 63576-2021")</f>
        <v/>
      </c>
      <c r="V146">
        <f>HYPERLINK("https://klasma.github.io/Logging_0980/klagomål/A 63576-2021 FSC-klagomål.docx", "A 63576-2021")</f>
        <v/>
      </c>
      <c r="W146">
        <f>HYPERLINK("https://klasma.github.io/Logging_0980/klagomålsmail/A 63576-2021 FSC-klagomål mail.docx", "A 63576-2021")</f>
        <v/>
      </c>
      <c r="X146">
        <f>HYPERLINK("https://klasma.github.io/Logging_0980/tillsyn/A 63576-2021 tillsynsbegäran.docx", "A 63576-2021")</f>
        <v/>
      </c>
      <c r="Y146">
        <f>HYPERLINK("https://klasma.github.io/Logging_0980/tillsynsmail/A 63576-2021 tillsynsbegäran mail.docx", "A 63576-2021")</f>
        <v/>
      </c>
    </row>
    <row r="147" ht="15" customHeight="1">
      <c r="A147" t="inlineStr">
        <is>
          <t>A 21466-2025</t>
        </is>
      </c>
      <c r="B147" s="1" t="n">
        <v>45782</v>
      </c>
      <c r="C147" s="1" t="n">
        <v>45940</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17723-2021</t>
        </is>
      </c>
      <c r="B148" s="1" t="n">
        <v>44300</v>
      </c>
      <c r="C148" s="1" t="n">
        <v>45940</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24245-2022</t>
        </is>
      </c>
      <c r="B149" s="1" t="n">
        <v>44725</v>
      </c>
      <c r="C149" s="1" t="n">
        <v>45940</v>
      </c>
      <c r="D149" t="inlineStr">
        <is>
          <t>GOTLANDS LÄN</t>
        </is>
      </c>
      <c r="E149" t="inlineStr">
        <is>
          <t>GOTLAND</t>
        </is>
      </c>
      <c r="G149" t="n">
        <v>4.9</v>
      </c>
      <c r="H149" t="n">
        <v>0</v>
      </c>
      <c r="I149" t="n">
        <v>0</v>
      </c>
      <c r="J149" t="n">
        <v>0</v>
      </c>
      <c r="K149" t="n">
        <v>0</v>
      </c>
      <c r="L149" t="n">
        <v>1</v>
      </c>
      <c r="M149" t="n">
        <v>0</v>
      </c>
      <c r="N149" t="n">
        <v>0</v>
      </c>
      <c r="O149" t="n">
        <v>1</v>
      </c>
      <c r="P149" t="n">
        <v>1</v>
      </c>
      <c r="Q149" t="n">
        <v>1</v>
      </c>
      <c r="R149" s="2" t="inlineStr">
        <is>
          <t>Slät taggsvamp</t>
        </is>
      </c>
      <c r="S149">
        <f>HYPERLINK("https://klasma.github.io/Logging_0980/artfynd/A 24245-2022 artfynd.xlsx", "A 24245-2022")</f>
        <v/>
      </c>
      <c r="T149">
        <f>HYPERLINK("https://klasma.github.io/Logging_0980/kartor/A 24245-2022 karta.png", "A 24245-2022")</f>
        <v/>
      </c>
      <c r="V149">
        <f>HYPERLINK("https://klasma.github.io/Logging_0980/klagomål/A 24245-2022 FSC-klagomål.docx", "A 24245-2022")</f>
        <v/>
      </c>
      <c r="W149">
        <f>HYPERLINK("https://klasma.github.io/Logging_0980/klagomålsmail/A 24245-2022 FSC-klagomål mail.docx", "A 24245-2022")</f>
        <v/>
      </c>
      <c r="X149">
        <f>HYPERLINK("https://klasma.github.io/Logging_0980/tillsyn/A 24245-2022 tillsynsbegäran.docx", "A 24245-2022")</f>
        <v/>
      </c>
      <c r="Y149">
        <f>HYPERLINK("https://klasma.github.io/Logging_0980/tillsynsmail/A 24245-2022 tillsynsbegäran mail.docx", "A 24245-2022")</f>
        <v/>
      </c>
    </row>
    <row r="150" ht="15" customHeight="1">
      <c r="A150" t="inlineStr">
        <is>
          <t>A 22883-2024</t>
        </is>
      </c>
      <c r="B150" s="1" t="n">
        <v>45448.66368055555</v>
      </c>
      <c r="C150" s="1" t="n">
        <v>45940</v>
      </c>
      <c r="D150" t="inlineStr">
        <is>
          <t>GOTLANDS LÄN</t>
        </is>
      </c>
      <c r="E150" t="inlineStr">
        <is>
          <t>GOTLAND</t>
        </is>
      </c>
      <c r="G150" t="n">
        <v>0.5</v>
      </c>
      <c r="H150" t="n">
        <v>0</v>
      </c>
      <c r="I150" t="n">
        <v>0</v>
      </c>
      <c r="J150" t="n">
        <v>0</v>
      </c>
      <c r="K150" t="n">
        <v>1</v>
      </c>
      <c r="L150" t="n">
        <v>0</v>
      </c>
      <c r="M150" t="n">
        <v>0</v>
      </c>
      <c r="N150" t="n">
        <v>0</v>
      </c>
      <c r="O150" t="n">
        <v>1</v>
      </c>
      <c r="P150" t="n">
        <v>1</v>
      </c>
      <c r="Q150" t="n">
        <v>1</v>
      </c>
      <c r="R150" s="2" t="inlineStr">
        <is>
          <t>Gotlandsmåra</t>
        </is>
      </c>
      <c r="S150">
        <f>HYPERLINK("https://klasma.github.io/Logging_0980/artfynd/A 22883-2024 artfynd.xlsx", "A 22883-2024")</f>
        <v/>
      </c>
      <c r="T150">
        <f>HYPERLINK("https://klasma.github.io/Logging_0980/kartor/A 22883-2024 karta.png", "A 22883-2024")</f>
        <v/>
      </c>
      <c r="V150">
        <f>HYPERLINK("https://klasma.github.io/Logging_0980/klagomål/A 22883-2024 FSC-klagomål.docx", "A 22883-2024")</f>
        <v/>
      </c>
      <c r="W150">
        <f>HYPERLINK("https://klasma.github.io/Logging_0980/klagomålsmail/A 22883-2024 FSC-klagomål mail.docx", "A 22883-2024")</f>
        <v/>
      </c>
      <c r="X150">
        <f>HYPERLINK("https://klasma.github.io/Logging_0980/tillsyn/A 22883-2024 tillsynsbegäran.docx", "A 22883-2024")</f>
        <v/>
      </c>
      <c r="Y150">
        <f>HYPERLINK("https://klasma.github.io/Logging_0980/tillsynsmail/A 22883-2024 tillsynsbegäran mail.docx", "A 22883-2024")</f>
        <v/>
      </c>
    </row>
    <row r="151" ht="15" customHeight="1">
      <c r="A151" t="inlineStr">
        <is>
          <t>A 10440-2024</t>
        </is>
      </c>
      <c r="B151" s="1" t="n">
        <v>45366.32818287037</v>
      </c>
      <c r="C151" s="1" t="n">
        <v>45940</v>
      </c>
      <c r="D151" t="inlineStr">
        <is>
          <t>GOTLANDS LÄN</t>
        </is>
      </c>
      <c r="E151" t="inlineStr">
        <is>
          <t>GOTLAND</t>
        </is>
      </c>
      <c r="G151" t="n">
        <v>2.5</v>
      </c>
      <c r="H151" t="n">
        <v>1</v>
      </c>
      <c r="I151" t="n">
        <v>0</v>
      </c>
      <c r="J151" t="n">
        <v>1</v>
      </c>
      <c r="K151" t="n">
        <v>0</v>
      </c>
      <c r="L151" t="n">
        <v>0</v>
      </c>
      <c r="M151" t="n">
        <v>0</v>
      </c>
      <c r="N151" t="n">
        <v>0</v>
      </c>
      <c r="O151" t="n">
        <v>1</v>
      </c>
      <c r="P151" t="n">
        <v>0</v>
      </c>
      <c r="Q151" t="n">
        <v>1</v>
      </c>
      <c r="R151" s="2" t="inlineStr">
        <is>
          <t>Mindre hackspett</t>
        </is>
      </c>
      <c r="S151">
        <f>HYPERLINK("https://klasma.github.io/Logging_0980/artfynd/A 10440-2024 artfynd.xlsx", "A 10440-2024")</f>
        <v/>
      </c>
      <c r="T151">
        <f>HYPERLINK("https://klasma.github.io/Logging_0980/kartor/A 10440-2024 karta.png", "A 10440-2024")</f>
        <v/>
      </c>
      <c r="V151">
        <f>HYPERLINK("https://klasma.github.io/Logging_0980/klagomål/A 10440-2024 FSC-klagomål.docx", "A 10440-2024")</f>
        <v/>
      </c>
      <c r="W151">
        <f>HYPERLINK("https://klasma.github.io/Logging_0980/klagomålsmail/A 10440-2024 FSC-klagomål mail.docx", "A 10440-2024")</f>
        <v/>
      </c>
      <c r="X151">
        <f>HYPERLINK("https://klasma.github.io/Logging_0980/tillsyn/A 10440-2024 tillsynsbegäran.docx", "A 10440-2024")</f>
        <v/>
      </c>
      <c r="Y151">
        <f>HYPERLINK("https://klasma.github.io/Logging_0980/tillsynsmail/A 10440-2024 tillsynsbegäran mail.docx", "A 10440-2024")</f>
        <v/>
      </c>
      <c r="Z151">
        <f>HYPERLINK("https://klasma.github.io/Logging_0980/fåglar/A 10440-2024 prioriterade fågelarter.docx", "A 10440-2024")</f>
        <v/>
      </c>
    </row>
    <row r="152" ht="15" customHeight="1">
      <c r="A152" t="inlineStr">
        <is>
          <t>A 6303-2024</t>
        </is>
      </c>
      <c r="B152" s="1" t="n">
        <v>45338.35376157407</v>
      </c>
      <c r="C152" s="1" t="n">
        <v>45940</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45940</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27168-2022</t>
        </is>
      </c>
      <c r="B154" s="1" t="n">
        <v>44741</v>
      </c>
      <c r="C154" s="1" t="n">
        <v>45940</v>
      </c>
      <c r="D154" t="inlineStr">
        <is>
          <t>GOTLANDS LÄN</t>
        </is>
      </c>
      <c r="E154" t="inlineStr">
        <is>
          <t>GOTLAND</t>
        </is>
      </c>
      <c r="G154" t="n">
        <v>2.2</v>
      </c>
      <c r="H154" t="n">
        <v>1</v>
      </c>
      <c r="I154" t="n">
        <v>1</v>
      </c>
      <c r="J154" t="n">
        <v>0</v>
      </c>
      <c r="K154" t="n">
        <v>0</v>
      </c>
      <c r="L154" t="n">
        <v>0</v>
      </c>
      <c r="M154" t="n">
        <v>0</v>
      </c>
      <c r="N154" t="n">
        <v>0</v>
      </c>
      <c r="O154" t="n">
        <v>0</v>
      </c>
      <c r="P154" t="n">
        <v>0</v>
      </c>
      <c r="Q154" t="n">
        <v>1</v>
      </c>
      <c r="R154" s="2" t="inlineStr">
        <is>
          <t>Purpurknipprot</t>
        </is>
      </c>
      <c r="S154">
        <f>HYPERLINK("https://klasma.github.io/Logging_0980/artfynd/A 27168-2022 artfynd.xlsx", "A 27168-2022")</f>
        <v/>
      </c>
      <c r="T154">
        <f>HYPERLINK("https://klasma.github.io/Logging_0980/kartor/A 27168-2022 karta.png", "A 27168-2022")</f>
        <v/>
      </c>
      <c r="V154">
        <f>HYPERLINK("https://klasma.github.io/Logging_0980/klagomål/A 27168-2022 FSC-klagomål.docx", "A 27168-2022")</f>
        <v/>
      </c>
      <c r="W154">
        <f>HYPERLINK("https://klasma.github.io/Logging_0980/klagomålsmail/A 27168-2022 FSC-klagomål mail.docx", "A 27168-2022")</f>
        <v/>
      </c>
      <c r="X154">
        <f>HYPERLINK("https://klasma.github.io/Logging_0980/tillsyn/A 27168-2022 tillsynsbegäran.docx", "A 27168-2022")</f>
        <v/>
      </c>
      <c r="Y154">
        <f>HYPERLINK("https://klasma.github.io/Logging_0980/tillsynsmail/A 27168-2022 tillsynsbegäran mail.docx", "A 27168-2022")</f>
        <v/>
      </c>
    </row>
    <row r="155" ht="15" customHeight="1">
      <c r="A155" t="inlineStr">
        <is>
          <t>A 25977-2024</t>
        </is>
      </c>
      <c r="B155" s="1" t="n">
        <v>45467.69356481481</v>
      </c>
      <c r="C155" s="1" t="n">
        <v>45940</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45940</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45940</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26461-2025</t>
        </is>
      </c>
      <c r="B158" s="1" t="n">
        <v>45807.43337962963</v>
      </c>
      <c r="C158" s="1" t="n">
        <v>45940</v>
      </c>
      <c r="D158" t="inlineStr">
        <is>
          <t>GOTLANDS LÄN</t>
        </is>
      </c>
      <c r="E158" t="inlineStr">
        <is>
          <t>GOTLAND</t>
        </is>
      </c>
      <c r="G158" t="n">
        <v>4.1</v>
      </c>
      <c r="H158" t="n">
        <v>0</v>
      </c>
      <c r="I158" t="n">
        <v>0</v>
      </c>
      <c r="J158" t="n">
        <v>0</v>
      </c>
      <c r="K158" t="n">
        <v>1</v>
      </c>
      <c r="L158" t="n">
        <v>0</v>
      </c>
      <c r="M158" t="n">
        <v>0</v>
      </c>
      <c r="N158" t="n">
        <v>0</v>
      </c>
      <c r="O158" t="n">
        <v>1</v>
      </c>
      <c r="P158" t="n">
        <v>1</v>
      </c>
      <c r="Q158" t="n">
        <v>1</v>
      </c>
      <c r="R158" s="2" t="inlineStr">
        <is>
          <t>Gotlandsmåra</t>
        </is>
      </c>
      <c r="S158">
        <f>HYPERLINK("https://klasma.github.io/Logging_0980/artfynd/A 26461-2025 artfynd.xlsx", "A 26461-2025")</f>
        <v/>
      </c>
      <c r="T158">
        <f>HYPERLINK("https://klasma.github.io/Logging_0980/kartor/A 26461-2025 karta.png", "A 26461-2025")</f>
        <v/>
      </c>
      <c r="V158">
        <f>HYPERLINK("https://klasma.github.io/Logging_0980/klagomål/A 26461-2025 FSC-klagomål.docx", "A 26461-2025")</f>
        <v/>
      </c>
      <c r="W158">
        <f>HYPERLINK("https://klasma.github.io/Logging_0980/klagomålsmail/A 26461-2025 FSC-klagomål mail.docx", "A 26461-2025")</f>
        <v/>
      </c>
      <c r="X158">
        <f>HYPERLINK("https://klasma.github.io/Logging_0980/tillsyn/A 26461-2025 tillsynsbegäran.docx", "A 26461-2025")</f>
        <v/>
      </c>
      <c r="Y158">
        <f>HYPERLINK("https://klasma.github.io/Logging_0980/tillsynsmail/A 26461-2025 tillsynsbegäran mail.docx", "A 26461-2025")</f>
        <v/>
      </c>
    </row>
    <row r="159" ht="15" customHeight="1">
      <c r="A159" t="inlineStr">
        <is>
          <t>A 65927-2021</t>
        </is>
      </c>
      <c r="B159" s="1" t="n">
        <v>44516</v>
      </c>
      <c r="C159" s="1" t="n">
        <v>45940</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947-2023</t>
        </is>
      </c>
      <c r="B160" s="1" t="n">
        <v>44934</v>
      </c>
      <c r="C160" s="1" t="n">
        <v>45940</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13939-2021</t>
        </is>
      </c>
      <c r="B161" s="1" t="n">
        <v>44277</v>
      </c>
      <c r="C161" s="1" t="n">
        <v>45940</v>
      </c>
      <c r="D161" t="inlineStr">
        <is>
          <t>GOTLANDS LÄN</t>
        </is>
      </c>
      <c r="E161" t="inlineStr">
        <is>
          <t>GOTLAND</t>
        </is>
      </c>
      <c r="G161" t="n">
        <v>1</v>
      </c>
      <c r="H161" t="n">
        <v>0</v>
      </c>
      <c r="I161" t="n">
        <v>0</v>
      </c>
      <c r="J161" t="n">
        <v>1</v>
      </c>
      <c r="K161" t="n">
        <v>0</v>
      </c>
      <c r="L161" t="n">
        <v>0</v>
      </c>
      <c r="M161" t="n">
        <v>0</v>
      </c>
      <c r="N161" t="n">
        <v>0</v>
      </c>
      <c r="O161" t="n">
        <v>1</v>
      </c>
      <c r="P161" t="n">
        <v>0</v>
      </c>
      <c r="Q161" t="n">
        <v>1</v>
      </c>
      <c r="R161" s="2" t="inlineStr">
        <is>
          <t>Axveronika</t>
        </is>
      </c>
      <c r="S161">
        <f>HYPERLINK("https://klasma.github.io/Logging_0980/artfynd/A 13939-2021 artfynd.xlsx", "A 13939-2021")</f>
        <v/>
      </c>
      <c r="T161">
        <f>HYPERLINK("https://klasma.github.io/Logging_0980/kartor/A 13939-2021 karta.png", "A 13939-2021")</f>
        <v/>
      </c>
      <c r="V161">
        <f>HYPERLINK("https://klasma.github.io/Logging_0980/klagomål/A 13939-2021 FSC-klagomål.docx", "A 13939-2021")</f>
        <v/>
      </c>
      <c r="W161">
        <f>HYPERLINK("https://klasma.github.io/Logging_0980/klagomålsmail/A 13939-2021 FSC-klagomål mail.docx", "A 13939-2021")</f>
        <v/>
      </c>
      <c r="X161">
        <f>HYPERLINK("https://klasma.github.io/Logging_0980/tillsyn/A 13939-2021 tillsynsbegäran.docx", "A 13939-2021")</f>
        <v/>
      </c>
      <c r="Y161">
        <f>HYPERLINK("https://klasma.github.io/Logging_0980/tillsynsmail/A 13939-2021 tillsynsbegäran mail.docx", "A 13939-2021")</f>
        <v/>
      </c>
    </row>
    <row r="162" ht="15" customHeight="1">
      <c r="A162" t="inlineStr">
        <is>
          <t>A 7637-2025</t>
        </is>
      </c>
      <c r="B162" s="1" t="n">
        <v>45705.77181712963</v>
      </c>
      <c r="C162" s="1" t="n">
        <v>45940</v>
      </c>
      <c r="D162" t="inlineStr">
        <is>
          <t>GOTLANDS LÄN</t>
        </is>
      </c>
      <c r="E162" t="inlineStr">
        <is>
          <t>GOTLAND</t>
        </is>
      </c>
      <c r="G162" t="n">
        <v>3.7</v>
      </c>
      <c r="H162" t="n">
        <v>0</v>
      </c>
      <c r="I162" t="n">
        <v>0</v>
      </c>
      <c r="J162" t="n">
        <v>0</v>
      </c>
      <c r="K162" t="n">
        <v>0</v>
      </c>
      <c r="L162" t="n">
        <v>0</v>
      </c>
      <c r="M162" t="n">
        <v>1</v>
      </c>
      <c r="N162" t="n">
        <v>0</v>
      </c>
      <c r="O162" t="n">
        <v>1</v>
      </c>
      <c r="P162" t="n">
        <v>1</v>
      </c>
      <c r="Q162" t="n">
        <v>1</v>
      </c>
      <c r="R162" s="2" t="inlineStr">
        <is>
          <t>Skogsalm</t>
        </is>
      </c>
      <c r="S162">
        <f>HYPERLINK("https://klasma.github.io/Logging_0980/artfynd/A 7637-2025 artfynd.xlsx", "A 7637-2025")</f>
        <v/>
      </c>
      <c r="T162">
        <f>HYPERLINK("https://klasma.github.io/Logging_0980/kartor/A 7637-2025 karta.png", "A 7637-2025")</f>
        <v/>
      </c>
      <c r="V162">
        <f>HYPERLINK("https://klasma.github.io/Logging_0980/klagomål/A 7637-2025 FSC-klagomål.docx", "A 7637-2025")</f>
        <v/>
      </c>
      <c r="W162">
        <f>HYPERLINK("https://klasma.github.io/Logging_0980/klagomålsmail/A 7637-2025 FSC-klagomål mail.docx", "A 7637-2025")</f>
        <v/>
      </c>
      <c r="X162">
        <f>HYPERLINK("https://klasma.github.io/Logging_0980/tillsyn/A 7637-2025 tillsynsbegäran.docx", "A 7637-2025")</f>
        <v/>
      </c>
      <c r="Y162">
        <f>HYPERLINK("https://klasma.github.io/Logging_0980/tillsynsmail/A 7637-2025 tillsynsbegäran mail.docx", "A 7637-2025")</f>
        <v/>
      </c>
    </row>
    <row r="163" ht="15" customHeight="1">
      <c r="A163" t="inlineStr">
        <is>
          <t>A 61561-2023</t>
        </is>
      </c>
      <c r="B163" s="1" t="n">
        <v>45265</v>
      </c>
      <c r="C163" s="1" t="n">
        <v>45940</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61796-2022</t>
        </is>
      </c>
      <c r="B164" s="1" t="n">
        <v>44917</v>
      </c>
      <c r="C164" s="1" t="n">
        <v>45940</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c r="Z164">
        <f>HYPERLINK("https://klasma.github.io/Logging_0980/fåglar/A 61796-2022 prioriterade fågelarter.docx", "A 61796-2022")</f>
        <v/>
      </c>
    </row>
    <row r="165" ht="15" customHeight="1">
      <c r="A165" t="inlineStr">
        <is>
          <t>A 14915-2025</t>
        </is>
      </c>
      <c r="B165" s="1" t="n">
        <v>45743.53121527778</v>
      </c>
      <c r="C165" s="1" t="n">
        <v>45940</v>
      </c>
      <c r="D165" t="inlineStr">
        <is>
          <t>GOTLANDS LÄN</t>
        </is>
      </c>
      <c r="E165" t="inlineStr">
        <is>
          <t>GOTLAND</t>
        </is>
      </c>
      <c r="G165" t="n">
        <v>5.9</v>
      </c>
      <c r="H165" t="n">
        <v>0</v>
      </c>
      <c r="I165" t="n">
        <v>0</v>
      </c>
      <c r="J165" t="n">
        <v>1</v>
      </c>
      <c r="K165" t="n">
        <v>0</v>
      </c>
      <c r="L165" t="n">
        <v>0</v>
      </c>
      <c r="M165" t="n">
        <v>0</v>
      </c>
      <c r="N165" t="n">
        <v>0</v>
      </c>
      <c r="O165" t="n">
        <v>1</v>
      </c>
      <c r="P165" t="n">
        <v>0</v>
      </c>
      <c r="Q165" t="n">
        <v>1</v>
      </c>
      <c r="R165" s="2" t="inlineStr">
        <is>
          <t>Igelkott</t>
        </is>
      </c>
      <c r="S165">
        <f>HYPERLINK("https://klasma.github.io/Logging_0980/artfynd/A 14915-2025 artfynd.xlsx", "A 14915-2025")</f>
        <v/>
      </c>
      <c r="T165">
        <f>HYPERLINK("https://klasma.github.io/Logging_0980/kartor/A 14915-2025 karta.png", "A 14915-2025")</f>
        <v/>
      </c>
      <c r="V165">
        <f>HYPERLINK("https://klasma.github.io/Logging_0980/klagomål/A 14915-2025 FSC-klagomål.docx", "A 14915-2025")</f>
        <v/>
      </c>
      <c r="W165">
        <f>HYPERLINK("https://klasma.github.io/Logging_0980/klagomålsmail/A 14915-2025 FSC-klagomål mail.docx", "A 14915-2025")</f>
        <v/>
      </c>
      <c r="X165">
        <f>HYPERLINK("https://klasma.github.io/Logging_0980/tillsyn/A 14915-2025 tillsynsbegäran.docx", "A 14915-2025")</f>
        <v/>
      </c>
      <c r="Y165">
        <f>HYPERLINK("https://klasma.github.io/Logging_0980/tillsynsmail/A 14915-2025 tillsynsbegäran mail.docx", "A 14915-2025")</f>
        <v/>
      </c>
    </row>
    <row r="166" ht="15" customHeight="1">
      <c r="A166" t="inlineStr">
        <is>
          <t>A 10218-2025</t>
        </is>
      </c>
      <c r="B166" s="1" t="n">
        <v>45720</v>
      </c>
      <c r="C166" s="1" t="n">
        <v>45940</v>
      </c>
      <c r="D166" t="inlineStr">
        <is>
          <t>GOTLANDS LÄN</t>
        </is>
      </c>
      <c r="E166" t="inlineStr">
        <is>
          <t>GOTLAND</t>
        </is>
      </c>
      <c r="G166" t="n">
        <v>8.1</v>
      </c>
      <c r="H166" t="n">
        <v>0</v>
      </c>
      <c r="I166" t="n">
        <v>1</v>
      </c>
      <c r="J166" t="n">
        <v>0</v>
      </c>
      <c r="K166" t="n">
        <v>0</v>
      </c>
      <c r="L166" t="n">
        <v>0</v>
      </c>
      <c r="M166" t="n">
        <v>0</v>
      </c>
      <c r="N166" t="n">
        <v>0</v>
      </c>
      <c r="O166" t="n">
        <v>0</v>
      </c>
      <c r="P166" t="n">
        <v>0</v>
      </c>
      <c r="Q166" t="n">
        <v>1</v>
      </c>
      <c r="R166" s="2" t="inlineStr">
        <is>
          <t>Kalktallört</t>
        </is>
      </c>
      <c r="S166">
        <f>HYPERLINK("https://klasma.github.io/Logging_0980/artfynd/A 10218-2025 artfynd.xlsx", "A 10218-2025")</f>
        <v/>
      </c>
      <c r="T166">
        <f>HYPERLINK("https://klasma.github.io/Logging_0980/kartor/A 10218-2025 karta.png", "A 10218-2025")</f>
        <v/>
      </c>
      <c r="V166">
        <f>HYPERLINK("https://klasma.github.io/Logging_0980/klagomål/A 10218-2025 FSC-klagomål.docx", "A 10218-2025")</f>
        <v/>
      </c>
      <c r="W166">
        <f>HYPERLINK("https://klasma.github.io/Logging_0980/klagomålsmail/A 10218-2025 FSC-klagomål mail.docx", "A 10218-2025")</f>
        <v/>
      </c>
      <c r="X166">
        <f>HYPERLINK("https://klasma.github.io/Logging_0980/tillsyn/A 10218-2025 tillsynsbegäran.docx", "A 10218-2025")</f>
        <v/>
      </c>
      <c r="Y166">
        <f>HYPERLINK("https://klasma.github.io/Logging_0980/tillsynsmail/A 10218-2025 tillsynsbegäran mail.docx", "A 10218-2025")</f>
        <v/>
      </c>
    </row>
    <row r="167" ht="15" customHeight="1">
      <c r="A167" t="inlineStr">
        <is>
          <t>A 12379-2024</t>
        </is>
      </c>
      <c r="B167" s="1" t="n">
        <v>45379.28155092592</v>
      </c>
      <c r="C167" s="1" t="n">
        <v>45940</v>
      </c>
      <c r="D167" t="inlineStr">
        <is>
          <t>GOTLANDS LÄN</t>
        </is>
      </c>
      <c r="E167" t="inlineStr">
        <is>
          <t>GOTLAND</t>
        </is>
      </c>
      <c r="G167" t="n">
        <v>4.4</v>
      </c>
      <c r="H167" t="n">
        <v>0</v>
      </c>
      <c r="I167" t="n">
        <v>0</v>
      </c>
      <c r="J167" t="n">
        <v>1</v>
      </c>
      <c r="K167" t="n">
        <v>0</v>
      </c>
      <c r="L167" t="n">
        <v>0</v>
      </c>
      <c r="M167" t="n">
        <v>0</v>
      </c>
      <c r="N167" t="n">
        <v>0</v>
      </c>
      <c r="O167" t="n">
        <v>1</v>
      </c>
      <c r="P167" t="n">
        <v>0</v>
      </c>
      <c r="Q167" t="n">
        <v>1</v>
      </c>
      <c r="R167" s="2" t="inlineStr">
        <is>
          <t>Svinrot</t>
        </is>
      </c>
      <c r="S167">
        <f>HYPERLINK("https://klasma.github.io/Logging_0980/artfynd/A 12379-2024 artfynd.xlsx", "A 12379-2024")</f>
        <v/>
      </c>
      <c r="T167">
        <f>HYPERLINK("https://klasma.github.io/Logging_0980/kartor/A 12379-2024 karta.png", "A 12379-2024")</f>
        <v/>
      </c>
      <c r="V167">
        <f>HYPERLINK("https://klasma.github.io/Logging_0980/klagomål/A 12379-2024 FSC-klagomål.docx", "A 12379-2024")</f>
        <v/>
      </c>
      <c r="W167">
        <f>HYPERLINK("https://klasma.github.io/Logging_0980/klagomålsmail/A 12379-2024 FSC-klagomål mail.docx", "A 12379-2024")</f>
        <v/>
      </c>
      <c r="X167">
        <f>HYPERLINK("https://klasma.github.io/Logging_0980/tillsyn/A 12379-2024 tillsynsbegäran.docx", "A 12379-2024")</f>
        <v/>
      </c>
      <c r="Y167">
        <f>HYPERLINK("https://klasma.github.io/Logging_0980/tillsynsmail/A 12379-2024 tillsynsbegäran mail.docx", "A 12379-2024")</f>
        <v/>
      </c>
    </row>
    <row r="168" ht="15" customHeight="1">
      <c r="A168" t="inlineStr">
        <is>
          <t>A 12324-2025</t>
        </is>
      </c>
      <c r="B168" s="1" t="n">
        <v>45730</v>
      </c>
      <c r="C168" s="1" t="n">
        <v>45940</v>
      </c>
      <c r="D168" t="inlineStr">
        <is>
          <t>GOTLANDS LÄN</t>
        </is>
      </c>
      <c r="E168" t="inlineStr">
        <is>
          <t>GOTLAND</t>
        </is>
      </c>
      <c r="G168" t="n">
        <v>5</v>
      </c>
      <c r="H168" t="n">
        <v>0</v>
      </c>
      <c r="I168" t="n">
        <v>0</v>
      </c>
      <c r="J168" t="n">
        <v>0</v>
      </c>
      <c r="K168" t="n">
        <v>1</v>
      </c>
      <c r="L168" t="n">
        <v>0</v>
      </c>
      <c r="M168" t="n">
        <v>0</v>
      </c>
      <c r="N168" t="n">
        <v>0</v>
      </c>
      <c r="O168" t="n">
        <v>1</v>
      </c>
      <c r="P168" t="n">
        <v>1</v>
      </c>
      <c r="Q168" t="n">
        <v>1</v>
      </c>
      <c r="R168" s="2" t="inlineStr">
        <is>
          <t>Sommarklynne</t>
        </is>
      </c>
      <c r="S168">
        <f>HYPERLINK("https://klasma.github.io/Logging_0980/artfynd/A 12324-2025 artfynd.xlsx", "A 12324-2025")</f>
        <v/>
      </c>
      <c r="T168">
        <f>HYPERLINK("https://klasma.github.io/Logging_0980/kartor/A 12324-2025 karta.png", "A 12324-2025")</f>
        <v/>
      </c>
      <c r="V168">
        <f>HYPERLINK("https://klasma.github.io/Logging_0980/klagomål/A 12324-2025 FSC-klagomål.docx", "A 12324-2025")</f>
        <v/>
      </c>
      <c r="W168">
        <f>HYPERLINK("https://klasma.github.io/Logging_0980/klagomålsmail/A 12324-2025 FSC-klagomål mail.docx", "A 12324-2025")</f>
        <v/>
      </c>
      <c r="X168">
        <f>HYPERLINK("https://klasma.github.io/Logging_0980/tillsyn/A 12324-2025 tillsynsbegäran.docx", "A 12324-2025")</f>
        <v/>
      </c>
      <c r="Y168">
        <f>HYPERLINK("https://klasma.github.io/Logging_0980/tillsynsmail/A 12324-2025 tillsynsbegäran mail.docx", "A 12324-2025")</f>
        <v/>
      </c>
    </row>
    <row r="169" ht="15" customHeight="1">
      <c r="A169" t="inlineStr">
        <is>
          <t>A 64700-2021</t>
        </is>
      </c>
      <c r="B169" s="1" t="n">
        <v>44511</v>
      </c>
      <c r="C169" s="1" t="n">
        <v>45940</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35574-2024</t>
        </is>
      </c>
      <c r="B170" s="1" t="n">
        <v>45531</v>
      </c>
      <c r="C170" s="1" t="n">
        <v>45940</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37591-2023</t>
        </is>
      </c>
      <c r="B171" s="1" t="n">
        <v>45159</v>
      </c>
      <c r="C171" s="1" t="n">
        <v>45940</v>
      </c>
      <c r="D171" t="inlineStr">
        <is>
          <t>GOTLANDS LÄN</t>
        </is>
      </c>
      <c r="E171" t="inlineStr">
        <is>
          <t>GOTLAND</t>
        </is>
      </c>
      <c r="G171" t="n">
        <v>8.300000000000001</v>
      </c>
      <c r="H171" t="n">
        <v>0</v>
      </c>
      <c r="I171" t="n">
        <v>0</v>
      </c>
      <c r="J171" t="n">
        <v>1</v>
      </c>
      <c r="K171" t="n">
        <v>0</v>
      </c>
      <c r="L171" t="n">
        <v>0</v>
      </c>
      <c r="M171" t="n">
        <v>0</v>
      </c>
      <c r="N171" t="n">
        <v>0</v>
      </c>
      <c r="O171" t="n">
        <v>1</v>
      </c>
      <c r="P171" t="n">
        <v>0</v>
      </c>
      <c r="Q171" t="n">
        <v>1</v>
      </c>
      <c r="R171" s="2" t="inlineStr">
        <is>
          <t>Ängsstarr</t>
        </is>
      </c>
      <c r="S171">
        <f>HYPERLINK("https://klasma.github.io/Logging_0980/artfynd/A 37591-2023 artfynd.xlsx", "A 37591-2023")</f>
        <v/>
      </c>
      <c r="T171">
        <f>HYPERLINK("https://klasma.github.io/Logging_0980/kartor/A 37591-2023 karta.png", "A 37591-2023")</f>
        <v/>
      </c>
      <c r="V171">
        <f>HYPERLINK("https://klasma.github.io/Logging_0980/klagomål/A 37591-2023 FSC-klagomål.docx", "A 37591-2023")</f>
        <v/>
      </c>
      <c r="W171">
        <f>HYPERLINK("https://klasma.github.io/Logging_0980/klagomålsmail/A 37591-2023 FSC-klagomål mail.docx", "A 37591-2023")</f>
        <v/>
      </c>
      <c r="X171">
        <f>HYPERLINK("https://klasma.github.io/Logging_0980/tillsyn/A 37591-2023 tillsynsbegäran.docx", "A 37591-2023")</f>
        <v/>
      </c>
      <c r="Y171">
        <f>HYPERLINK("https://klasma.github.io/Logging_0980/tillsynsmail/A 37591-2023 tillsynsbegäran mail.docx", "A 37591-2023")</f>
        <v/>
      </c>
    </row>
    <row r="172" ht="15" customHeight="1">
      <c r="A172" t="inlineStr">
        <is>
          <t>A 15637-2024</t>
        </is>
      </c>
      <c r="B172" s="1" t="n">
        <v>45403.6684837963</v>
      </c>
      <c r="C172" s="1" t="n">
        <v>45940</v>
      </c>
      <c r="D172" t="inlineStr">
        <is>
          <t>GOTLANDS LÄN</t>
        </is>
      </c>
      <c r="E172" t="inlineStr">
        <is>
          <t>GOTLAND</t>
        </is>
      </c>
      <c r="G172" t="n">
        <v>4.1</v>
      </c>
      <c r="H172" t="n">
        <v>1</v>
      </c>
      <c r="I172" t="n">
        <v>0</v>
      </c>
      <c r="J172" t="n">
        <v>0</v>
      </c>
      <c r="K172" t="n">
        <v>0</v>
      </c>
      <c r="L172" t="n">
        <v>0</v>
      </c>
      <c r="M172" t="n">
        <v>0</v>
      </c>
      <c r="N172" t="n">
        <v>0</v>
      </c>
      <c r="O172" t="n">
        <v>0</v>
      </c>
      <c r="P172" t="n">
        <v>0</v>
      </c>
      <c r="Q172" t="n">
        <v>1</v>
      </c>
      <c r="R172" s="2" t="inlineStr">
        <is>
          <t>Blåsippa</t>
        </is>
      </c>
      <c r="S172">
        <f>HYPERLINK("https://klasma.github.io/Logging_0980/artfynd/A 15637-2024 artfynd.xlsx", "A 15637-2024")</f>
        <v/>
      </c>
      <c r="T172">
        <f>HYPERLINK("https://klasma.github.io/Logging_0980/kartor/A 15637-2024 karta.png", "A 15637-2024")</f>
        <v/>
      </c>
      <c r="V172">
        <f>HYPERLINK("https://klasma.github.io/Logging_0980/klagomål/A 15637-2024 FSC-klagomål.docx", "A 15637-2024")</f>
        <v/>
      </c>
      <c r="W172">
        <f>HYPERLINK("https://klasma.github.io/Logging_0980/klagomålsmail/A 15637-2024 FSC-klagomål mail.docx", "A 15637-2024")</f>
        <v/>
      </c>
      <c r="X172">
        <f>HYPERLINK("https://klasma.github.io/Logging_0980/tillsyn/A 15637-2024 tillsynsbegäran.docx", "A 15637-2024")</f>
        <v/>
      </c>
      <c r="Y172">
        <f>HYPERLINK("https://klasma.github.io/Logging_0980/tillsynsmail/A 15637-2024 tillsynsbegäran mail.docx", "A 15637-2024")</f>
        <v/>
      </c>
    </row>
    <row r="173" ht="15" customHeight="1">
      <c r="A173" t="inlineStr">
        <is>
          <t>A 9862-2024</t>
        </is>
      </c>
      <c r="B173" s="1" t="n">
        <v>45363</v>
      </c>
      <c r="C173" s="1" t="n">
        <v>45940</v>
      </c>
      <c r="D173" t="inlineStr">
        <is>
          <t>GOTLANDS LÄN</t>
        </is>
      </c>
      <c r="E173" t="inlineStr">
        <is>
          <t>GOTLAND</t>
        </is>
      </c>
      <c r="G173" t="n">
        <v>3.5</v>
      </c>
      <c r="H173" t="n">
        <v>1</v>
      </c>
      <c r="I173" t="n">
        <v>0</v>
      </c>
      <c r="J173" t="n">
        <v>0</v>
      </c>
      <c r="K173" t="n">
        <v>0</v>
      </c>
      <c r="L173" t="n">
        <v>0</v>
      </c>
      <c r="M173" t="n">
        <v>0</v>
      </c>
      <c r="N173" t="n">
        <v>0</v>
      </c>
      <c r="O173" t="n">
        <v>0</v>
      </c>
      <c r="P173" t="n">
        <v>0</v>
      </c>
      <c r="Q173" t="n">
        <v>1</v>
      </c>
      <c r="R173" s="2" t="inlineStr">
        <is>
          <t>Nattviol</t>
        </is>
      </c>
      <c r="S173">
        <f>HYPERLINK("https://klasma.github.io/Logging_0980/artfynd/A 9862-2024 artfynd.xlsx", "A 9862-2024")</f>
        <v/>
      </c>
      <c r="T173">
        <f>HYPERLINK("https://klasma.github.io/Logging_0980/kartor/A 9862-2024 karta.png", "A 9862-2024")</f>
        <v/>
      </c>
      <c r="V173">
        <f>HYPERLINK("https://klasma.github.io/Logging_0980/klagomål/A 9862-2024 FSC-klagomål.docx", "A 9862-2024")</f>
        <v/>
      </c>
      <c r="W173">
        <f>HYPERLINK("https://klasma.github.io/Logging_0980/klagomålsmail/A 9862-2024 FSC-klagomål mail.docx", "A 9862-2024")</f>
        <v/>
      </c>
      <c r="X173">
        <f>HYPERLINK("https://klasma.github.io/Logging_0980/tillsyn/A 9862-2024 tillsynsbegäran.docx", "A 9862-2024")</f>
        <v/>
      </c>
      <c r="Y173">
        <f>HYPERLINK("https://klasma.github.io/Logging_0980/tillsynsmail/A 9862-2024 tillsynsbegäran mail.docx", "A 9862-2024")</f>
        <v/>
      </c>
    </row>
    <row r="174" ht="15" customHeight="1">
      <c r="A174" t="inlineStr">
        <is>
          <t>A 34141-2024</t>
        </is>
      </c>
      <c r="B174" s="1" t="n">
        <v>45524.36229166666</v>
      </c>
      <c r="C174" s="1" t="n">
        <v>45940</v>
      </c>
      <c r="D174" t="inlineStr">
        <is>
          <t>GOTLANDS LÄN</t>
        </is>
      </c>
      <c r="E174" t="inlineStr">
        <is>
          <t>GOTLAND</t>
        </is>
      </c>
      <c r="G174" t="n">
        <v>0.9</v>
      </c>
      <c r="H174" t="n">
        <v>0</v>
      </c>
      <c r="I174" t="n">
        <v>1</v>
      </c>
      <c r="J174" t="n">
        <v>0</v>
      </c>
      <c r="K174" t="n">
        <v>0</v>
      </c>
      <c r="L174" t="n">
        <v>0</v>
      </c>
      <c r="M174" t="n">
        <v>0</v>
      </c>
      <c r="N174" t="n">
        <v>0</v>
      </c>
      <c r="O174" t="n">
        <v>0</v>
      </c>
      <c r="P174" t="n">
        <v>0</v>
      </c>
      <c r="Q174" t="n">
        <v>1</v>
      </c>
      <c r="R174" s="2" t="inlineStr">
        <is>
          <t>Strävlosta</t>
        </is>
      </c>
      <c r="S174">
        <f>HYPERLINK("https://klasma.github.io/Logging_0980/artfynd/A 34141-2024 artfynd.xlsx", "A 34141-2024")</f>
        <v/>
      </c>
      <c r="T174">
        <f>HYPERLINK("https://klasma.github.io/Logging_0980/kartor/A 34141-2024 karta.png", "A 34141-2024")</f>
        <v/>
      </c>
      <c r="V174">
        <f>HYPERLINK("https://klasma.github.io/Logging_0980/klagomål/A 34141-2024 FSC-klagomål.docx", "A 34141-2024")</f>
        <v/>
      </c>
      <c r="W174">
        <f>HYPERLINK("https://klasma.github.io/Logging_0980/klagomålsmail/A 34141-2024 FSC-klagomål mail.docx", "A 34141-2024")</f>
        <v/>
      </c>
      <c r="X174">
        <f>HYPERLINK("https://klasma.github.io/Logging_0980/tillsyn/A 34141-2024 tillsynsbegäran.docx", "A 34141-2024")</f>
        <v/>
      </c>
      <c r="Y174">
        <f>HYPERLINK("https://klasma.github.io/Logging_0980/tillsynsmail/A 34141-2024 tillsynsbegäran mail.docx", "A 34141-2024")</f>
        <v/>
      </c>
    </row>
    <row r="175" ht="15" customHeight="1">
      <c r="A175" t="inlineStr">
        <is>
          <t>A 20429-2025</t>
        </is>
      </c>
      <c r="B175" s="1" t="n">
        <v>45775.47728009259</v>
      </c>
      <c r="C175" s="1" t="n">
        <v>45940</v>
      </c>
      <c r="D175" t="inlineStr">
        <is>
          <t>GOTLANDS LÄN</t>
        </is>
      </c>
      <c r="E175" t="inlineStr">
        <is>
          <t>GOTLAND</t>
        </is>
      </c>
      <c r="G175" t="n">
        <v>1.4</v>
      </c>
      <c r="H175" t="n">
        <v>1</v>
      </c>
      <c r="I175" t="n">
        <v>0</v>
      </c>
      <c r="J175" t="n">
        <v>0</v>
      </c>
      <c r="K175" t="n">
        <v>0</v>
      </c>
      <c r="L175" t="n">
        <v>0</v>
      </c>
      <c r="M175" t="n">
        <v>0</v>
      </c>
      <c r="N175" t="n">
        <v>0</v>
      </c>
      <c r="O175" t="n">
        <v>0</v>
      </c>
      <c r="P175" t="n">
        <v>0</v>
      </c>
      <c r="Q175" t="n">
        <v>1</v>
      </c>
      <c r="R175" s="2" t="inlineStr">
        <is>
          <t>Äkta lopplummer</t>
        </is>
      </c>
      <c r="S175">
        <f>HYPERLINK("https://klasma.github.io/Logging_0980/artfynd/A 20429-2025 artfynd.xlsx", "A 20429-2025")</f>
        <v/>
      </c>
      <c r="T175">
        <f>HYPERLINK("https://klasma.github.io/Logging_0980/kartor/A 20429-2025 karta.png", "A 20429-2025")</f>
        <v/>
      </c>
      <c r="V175">
        <f>HYPERLINK("https://klasma.github.io/Logging_0980/klagomål/A 20429-2025 FSC-klagomål.docx", "A 20429-2025")</f>
        <v/>
      </c>
      <c r="W175">
        <f>HYPERLINK("https://klasma.github.io/Logging_0980/klagomålsmail/A 20429-2025 FSC-klagomål mail.docx", "A 20429-2025")</f>
        <v/>
      </c>
      <c r="X175">
        <f>HYPERLINK("https://klasma.github.io/Logging_0980/tillsyn/A 20429-2025 tillsynsbegäran.docx", "A 20429-2025")</f>
        <v/>
      </c>
      <c r="Y175">
        <f>HYPERLINK("https://klasma.github.io/Logging_0980/tillsynsmail/A 20429-2025 tillsynsbegäran mail.docx", "A 20429-2025")</f>
        <v/>
      </c>
    </row>
    <row r="176" ht="15" customHeight="1">
      <c r="A176" t="inlineStr">
        <is>
          <t>A 2476-2025</t>
        </is>
      </c>
      <c r="B176" s="1" t="n">
        <v>45673</v>
      </c>
      <c r="C176" s="1" t="n">
        <v>45940</v>
      </c>
      <c r="D176" t="inlineStr">
        <is>
          <t>GOTLANDS LÄN</t>
        </is>
      </c>
      <c r="E176" t="inlineStr">
        <is>
          <t>GOTLAND</t>
        </is>
      </c>
      <c r="G176" t="n">
        <v>3.1</v>
      </c>
      <c r="H176" t="n">
        <v>0</v>
      </c>
      <c r="I176" t="n">
        <v>1</v>
      </c>
      <c r="J176" t="n">
        <v>0</v>
      </c>
      <c r="K176" t="n">
        <v>0</v>
      </c>
      <c r="L176" t="n">
        <v>0</v>
      </c>
      <c r="M176" t="n">
        <v>0</v>
      </c>
      <c r="N176" t="n">
        <v>0</v>
      </c>
      <c r="O176" t="n">
        <v>0</v>
      </c>
      <c r="P176" t="n">
        <v>0</v>
      </c>
      <c r="Q176" t="n">
        <v>1</v>
      </c>
      <c r="R176" s="2" t="inlineStr">
        <is>
          <t>Kryddspindling</t>
        </is>
      </c>
      <c r="S176">
        <f>HYPERLINK("https://klasma.github.io/Logging_0980/artfynd/A 2476-2025 artfynd.xlsx", "A 2476-2025")</f>
        <v/>
      </c>
      <c r="T176">
        <f>HYPERLINK("https://klasma.github.io/Logging_0980/kartor/A 2476-2025 karta.png", "A 2476-2025")</f>
        <v/>
      </c>
      <c r="V176">
        <f>HYPERLINK("https://klasma.github.io/Logging_0980/klagomål/A 2476-2025 FSC-klagomål.docx", "A 2476-2025")</f>
        <v/>
      </c>
      <c r="W176">
        <f>HYPERLINK("https://klasma.github.io/Logging_0980/klagomålsmail/A 2476-2025 FSC-klagomål mail.docx", "A 2476-2025")</f>
        <v/>
      </c>
      <c r="X176">
        <f>HYPERLINK("https://klasma.github.io/Logging_0980/tillsyn/A 2476-2025 tillsynsbegäran.docx", "A 2476-2025")</f>
        <v/>
      </c>
      <c r="Y176">
        <f>HYPERLINK("https://klasma.github.io/Logging_0980/tillsynsmail/A 2476-2025 tillsynsbegäran mail.docx", "A 2476-2025")</f>
        <v/>
      </c>
    </row>
    <row r="177" ht="15" customHeight="1">
      <c r="A177" t="inlineStr">
        <is>
          <t>A 63299-2020</t>
        </is>
      </c>
      <c r="B177" s="1" t="n">
        <v>44165</v>
      </c>
      <c r="C177" s="1" t="n">
        <v>45940</v>
      </c>
      <c r="D177" t="inlineStr">
        <is>
          <t>GOTLANDS LÄN</t>
        </is>
      </c>
      <c r="E177" t="inlineStr">
        <is>
          <t>GOTLAND</t>
        </is>
      </c>
      <c r="G177" t="n">
        <v>12.9</v>
      </c>
      <c r="H177" t="n">
        <v>1</v>
      </c>
      <c r="I177" t="n">
        <v>0</v>
      </c>
      <c r="J177" t="n">
        <v>1</v>
      </c>
      <c r="K177" t="n">
        <v>0</v>
      </c>
      <c r="L177" t="n">
        <v>0</v>
      </c>
      <c r="M177" t="n">
        <v>0</v>
      </c>
      <c r="N177" t="n">
        <v>0</v>
      </c>
      <c r="O177" t="n">
        <v>1</v>
      </c>
      <c r="P177" t="n">
        <v>0</v>
      </c>
      <c r="Q177" t="n">
        <v>1</v>
      </c>
      <c r="R177" s="2" t="inlineStr">
        <is>
          <t>Svartfläckig blåvinge</t>
        </is>
      </c>
      <c r="S177">
        <f>HYPERLINK("https://klasma.github.io/Logging_0980/artfynd/A 63299-2020 artfynd.xlsx", "A 63299-2020")</f>
        <v/>
      </c>
      <c r="T177">
        <f>HYPERLINK("https://klasma.github.io/Logging_0980/kartor/A 63299-2020 karta.png", "A 63299-2020")</f>
        <v/>
      </c>
      <c r="V177">
        <f>HYPERLINK("https://klasma.github.io/Logging_0980/klagomål/A 63299-2020 FSC-klagomål.docx", "A 63299-2020")</f>
        <v/>
      </c>
      <c r="W177">
        <f>HYPERLINK("https://klasma.github.io/Logging_0980/klagomålsmail/A 63299-2020 FSC-klagomål mail.docx", "A 63299-2020")</f>
        <v/>
      </c>
      <c r="X177">
        <f>HYPERLINK("https://klasma.github.io/Logging_0980/tillsyn/A 63299-2020 tillsynsbegäran.docx", "A 63299-2020")</f>
        <v/>
      </c>
      <c r="Y177">
        <f>HYPERLINK("https://klasma.github.io/Logging_0980/tillsynsmail/A 63299-2020 tillsynsbegäran mail.docx", "A 63299-2020")</f>
        <v/>
      </c>
    </row>
    <row r="178" ht="15" customHeight="1">
      <c r="A178" t="inlineStr">
        <is>
          <t>A 39812-2025</t>
        </is>
      </c>
      <c r="B178" s="1" t="n">
        <v>45891</v>
      </c>
      <c r="C178" s="1" t="n">
        <v>45940</v>
      </c>
      <c r="D178" t="inlineStr">
        <is>
          <t>GOTLANDS LÄN</t>
        </is>
      </c>
      <c r="E178" t="inlineStr">
        <is>
          <t>GOTLAND</t>
        </is>
      </c>
      <c r="G178" t="n">
        <v>6</v>
      </c>
      <c r="H178" t="n">
        <v>1</v>
      </c>
      <c r="I178" t="n">
        <v>0</v>
      </c>
      <c r="J178" t="n">
        <v>0</v>
      </c>
      <c r="K178" t="n">
        <v>0</v>
      </c>
      <c r="L178" t="n">
        <v>1</v>
      </c>
      <c r="M178" t="n">
        <v>0</v>
      </c>
      <c r="N178" t="n">
        <v>0</v>
      </c>
      <c r="O178" t="n">
        <v>1</v>
      </c>
      <c r="P178" t="n">
        <v>1</v>
      </c>
      <c r="Q178" t="n">
        <v>1</v>
      </c>
      <c r="R178" s="2" t="inlineStr">
        <is>
          <t>Nålkörvel</t>
        </is>
      </c>
      <c r="S178">
        <f>HYPERLINK("https://klasma.github.io/Logging_0980/artfynd/A 39812-2025 artfynd.xlsx", "A 39812-2025")</f>
        <v/>
      </c>
      <c r="T178">
        <f>HYPERLINK("https://klasma.github.io/Logging_0980/kartor/A 39812-2025 karta.png", "A 39812-2025")</f>
        <v/>
      </c>
      <c r="V178">
        <f>HYPERLINK("https://klasma.github.io/Logging_0980/klagomål/A 39812-2025 FSC-klagomål.docx", "A 39812-2025")</f>
        <v/>
      </c>
      <c r="W178">
        <f>HYPERLINK("https://klasma.github.io/Logging_0980/klagomålsmail/A 39812-2025 FSC-klagomål mail.docx", "A 39812-2025")</f>
        <v/>
      </c>
      <c r="X178">
        <f>HYPERLINK("https://klasma.github.io/Logging_0980/tillsyn/A 39812-2025 tillsynsbegäran.docx", "A 39812-2025")</f>
        <v/>
      </c>
      <c r="Y178">
        <f>HYPERLINK("https://klasma.github.io/Logging_0980/tillsynsmail/A 39812-2025 tillsynsbegäran mail.docx", "A 39812-2025")</f>
        <v/>
      </c>
    </row>
    <row r="179" ht="15" customHeight="1">
      <c r="A179" t="inlineStr">
        <is>
          <t>A 49847-2023</t>
        </is>
      </c>
      <c r="B179" s="1" t="n">
        <v>45212</v>
      </c>
      <c r="C179" s="1" t="n">
        <v>45940</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447-2023</t>
        </is>
      </c>
      <c r="B180" s="1" t="n">
        <v>44929</v>
      </c>
      <c r="C180" s="1" t="n">
        <v>45940</v>
      </c>
      <c r="D180" t="inlineStr">
        <is>
          <t>GOTLANDS LÄN</t>
        </is>
      </c>
      <c r="E180" t="inlineStr">
        <is>
          <t>GOTLAND</t>
        </is>
      </c>
      <c r="G180" t="n">
        <v>5.1</v>
      </c>
      <c r="H180" t="n">
        <v>0</v>
      </c>
      <c r="I180" t="n">
        <v>0</v>
      </c>
      <c r="J180" t="n">
        <v>1</v>
      </c>
      <c r="K180" t="n">
        <v>0</v>
      </c>
      <c r="L180" t="n">
        <v>0</v>
      </c>
      <c r="M180" t="n">
        <v>0</v>
      </c>
      <c r="N180" t="n">
        <v>0</v>
      </c>
      <c r="O180" t="n">
        <v>1</v>
      </c>
      <c r="P180" t="n">
        <v>0</v>
      </c>
      <c r="Q180" t="n">
        <v>1</v>
      </c>
      <c r="R180" s="2" t="inlineStr">
        <is>
          <t>Äggspindling</t>
        </is>
      </c>
      <c r="S180">
        <f>HYPERLINK("https://klasma.github.io/Logging_0980/artfynd/A 447-2023 artfynd.xlsx", "A 447-2023")</f>
        <v/>
      </c>
      <c r="T180">
        <f>HYPERLINK("https://klasma.github.io/Logging_0980/kartor/A 447-2023 karta.png", "A 447-2023")</f>
        <v/>
      </c>
      <c r="V180">
        <f>HYPERLINK("https://klasma.github.io/Logging_0980/klagomål/A 447-2023 FSC-klagomål.docx", "A 447-2023")</f>
        <v/>
      </c>
      <c r="W180">
        <f>HYPERLINK("https://klasma.github.io/Logging_0980/klagomålsmail/A 447-2023 FSC-klagomål mail.docx", "A 447-2023")</f>
        <v/>
      </c>
      <c r="X180">
        <f>HYPERLINK("https://klasma.github.io/Logging_0980/tillsyn/A 447-2023 tillsynsbegäran.docx", "A 447-2023")</f>
        <v/>
      </c>
      <c r="Y180">
        <f>HYPERLINK("https://klasma.github.io/Logging_0980/tillsynsmail/A 447-2023 tillsynsbegäran mail.docx", "A 447-2023")</f>
        <v/>
      </c>
    </row>
    <row r="181" ht="15" customHeight="1">
      <c r="A181" t="inlineStr">
        <is>
          <t>A 49726-2025</t>
        </is>
      </c>
      <c r="B181" s="1" t="n">
        <v>45939.84466435185</v>
      </c>
      <c r="C181" s="1" t="n">
        <v>45940</v>
      </c>
      <c r="D181" t="inlineStr">
        <is>
          <t>GOTLANDS LÄN</t>
        </is>
      </c>
      <c r="E181" t="inlineStr">
        <is>
          <t>GOTLAND</t>
        </is>
      </c>
      <c r="F181" t="inlineStr">
        <is>
          <t>Kyrkan</t>
        </is>
      </c>
      <c r="G181" t="n">
        <v>5.4</v>
      </c>
      <c r="H181" t="n">
        <v>0</v>
      </c>
      <c r="I181" t="n">
        <v>0</v>
      </c>
      <c r="J181" t="n">
        <v>1</v>
      </c>
      <c r="K181" t="n">
        <v>0</v>
      </c>
      <c r="L181" t="n">
        <v>0</v>
      </c>
      <c r="M181" t="n">
        <v>0</v>
      </c>
      <c r="N181" t="n">
        <v>0</v>
      </c>
      <c r="O181" t="n">
        <v>1</v>
      </c>
      <c r="P181" t="n">
        <v>0</v>
      </c>
      <c r="Q181" t="n">
        <v>1</v>
      </c>
      <c r="R181" s="2" t="inlineStr">
        <is>
          <t>Odörspindling</t>
        </is>
      </c>
      <c r="S181">
        <f>HYPERLINK("https://klasma.github.io/Logging_0980/artfynd/A 49726-2025 artfynd.xlsx", "A 49726-2025")</f>
        <v/>
      </c>
      <c r="T181">
        <f>HYPERLINK("https://klasma.github.io/Logging_0980/kartor/A 49726-2025 karta.png", "A 49726-2025")</f>
        <v/>
      </c>
      <c r="V181">
        <f>HYPERLINK("https://klasma.github.io/Logging_0980/klagomål/A 49726-2025 FSC-klagomål.docx", "A 49726-2025")</f>
        <v/>
      </c>
      <c r="W181">
        <f>HYPERLINK("https://klasma.github.io/Logging_0980/klagomålsmail/A 49726-2025 FSC-klagomål mail.docx", "A 49726-2025")</f>
        <v/>
      </c>
      <c r="X181">
        <f>HYPERLINK("https://klasma.github.io/Logging_0980/tillsyn/A 49726-2025 tillsynsbegäran.docx", "A 49726-2025")</f>
        <v/>
      </c>
      <c r="Y181">
        <f>HYPERLINK("https://klasma.github.io/Logging_0980/tillsynsmail/A 49726-2025 tillsynsbegäran mail.docx", "A 49726-2025")</f>
        <v/>
      </c>
    </row>
    <row r="182" ht="15" customHeight="1">
      <c r="A182" t="inlineStr">
        <is>
          <t>A 44619-2025</t>
        </is>
      </c>
      <c r="B182" s="1" t="n">
        <v>45917</v>
      </c>
      <c r="C182" s="1" t="n">
        <v>45940</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Ögonpyrola</t>
        </is>
      </c>
      <c r="S182">
        <f>HYPERLINK("https://klasma.github.io/Logging_0980/artfynd/A 44619-2025 artfynd.xlsx", "A 44619-2025")</f>
        <v/>
      </c>
      <c r="T182">
        <f>HYPERLINK("https://klasma.github.io/Logging_0980/kartor/A 44619-2025 karta.png", "A 44619-2025")</f>
        <v/>
      </c>
      <c r="V182">
        <f>HYPERLINK("https://klasma.github.io/Logging_0980/klagomål/A 44619-2025 FSC-klagomål.docx", "A 44619-2025")</f>
        <v/>
      </c>
      <c r="W182">
        <f>HYPERLINK("https://klasma.github.io/Logging_0980/klagomålsmail/A 44619-2025 FSC-klagomål mail.docx", "A 44619-2025")</f>
        <v/>
      </c>
      <c r="X182">
        <f>HYPERLINK("https://klasma.github.io/Logging_0980/tillsyn/A 44619-2025 tillsynsbegäran.docx", "A 44619-2025")</f>
        <v/>
      </c>
      <c r="Y182">
        <f>HYPERLINK("https://klasma.github.io/Logging_0980/tillsynsmail/A 44619-2025 tillsynsbegäran mail.docx", "A 44619-2025")</f>
        <v/>
      </c>
    </row>
    <row r="183" ht="15" customHeight="1">
      <c r="A183" t="inlineStr">
        <is>
          <t>A 34809-2024</t>
        </is>
      </c>
      <c r="B183" s="1" t="n">
        <v>45526</v>
      </c>
      <c r="C183" s="1" t="n">
        <v>45940</v>
      </c>
      <c r="D183" t="inlineStr">
        <is>
          <t>GOTLANDS LÄN</t>
        </is>
      </c>
      <c r="E183" t="inlineStr">
        <is>
          <t>GOTLAND</t>
        </is>
      </c>
      <c r="G183" t="n">
        <v>9.9</v>
      </c>
      <c r="H183" t="n">
        <v>1</v>
      </c>
      <c r="I183" t="n">
        <v>0</v>
      </c>
      <c r="J183" t="n">
        <v>1</v>
      </c>
      <c r="K183" t="n">
        <v>0</v>
      </c>
      <c r="L183" t="n">
        <v>0</v>
      </c>
      <c r="M183" t="n">
        <v>0</v>
      </c>
      <c r="N183" t="n">
        <v>0</v>
      </c>
      <c r="O183" t="n">
        <v>1</v>
      </c>
      <c r="P183" t="n">
        <v>0</v>
      </c>
      <c r="Q183" t="n">
        <v>1</v>
      </c>
      <c r="R183" s="2" t="inlineStr">
        <is>
          <t>Brun ögontröst</t>
        </is>
      </c>
      <c r="S183">
        <f>HYPERLINK("https://klasma.github.io/Logging_0980/artfynd/A 34809-2024 artfynd.xlsx", "A 34809-2024")</f>
        <v/>
      </c>
      <c r="T183">
        <f>HYPERLINK("https://klasma.github.io/Logging_0980/kartor/A 34809-2024 karta.png", "A 34809-2024")</f>
        <v/>
      </c>
      <c r="V183">
        <f>HYPERLINK("https://klasma.github.io/Logging_0980/klagomål/A 34809-2024 FSC-klagomål.docx", "A 34809-2024")</f>
        <v/>
      </c>
      <c r="W183">
        <f>HYPERLINK("https://klasma.github.io/Logging_0980/klagomålsmail/A 34809-2024 FSC-klagomål mail.docx", "A 34809-2024")</f>
        <v/>
      </c>
      <c r="X183">
        <f>HYPERLINK("https://klasma.github.io/Logging_0980/tillsyn/A 34809-2024 tillsynsbegäran.docx", "A 34809-2024")</f>
        <v/>
      </c>
      <c r="Y183">
        <f>HYPERLINK("https://klasma.github.io/Logging_0980/tillsynsmail/A 34809-2024 tillsynsbegäran mail.docx", "A 34809-2024")</f>
        <v/>
      </c>
    </row>
    <row r="184" ht="15" customHeight="1">
      <c r="A184" t="inlineStr">
        <is>
          <t>A 12924-2025</t>
        </is>
      </c>
      <c r="B184" s="1" t="n">
        <v>45734</v>
      </c>
      <c r="C184" s="1" t="n">
        <v>45940</v>
      </c>
      <c r="D184" t="inlineStr">
        <is>
          <t>GOTLANDS LÄN</t>
        </is>
      </c>
      <c r="E184" t="inlineStr">
        <is>
          <t>GOTLAND</t>
        </is>
      </c>
      <c r="G184" t="n">
        <v>11.7</v>
      </c>
      <c r="H184" t="n">
        <v>0</v>
      </c>
      <c r="I184" t="n">
        <v>0</v>
      </c>
      <c r="J184" t="n">
        <v>0</v>
      </c>
      <c r="K184" t="n">
        <v>1</v>
      </c>
      <c r="L184" t="n">
        <v>0</v>
      </c>
      <c r="M184" t="n">
        <v>0</v>
      </c>
      <c r="N184" t="n">
        <v>0</v>
      </c>
      <c r="O184" t="n">
        <v>1</v>
      </c>
      <c r="P184" t="n">
        <v>1</v>
      </c>
      <c r="Q184" t="n">
        <v>1</v>
      </c>
      <c r="R184" s="2" t="inlineStr">
        <is>
          <t>Gotlandsmåra</t>
        </is>
      </c>
      <c r="S184">
        <f>HYPERLINK("https://klasma.github.io/Logging_0980/artfynd/A 12924-2025 artfynd.xlsx", "A 12924-2025")</f>
        <v/>
      </c>
      <c r="T184">
        <f>HYPERLINK("https://klasma.github.io/Logging_0980/kartor/A 12924-2025 karta.png", "A 12924-2025")</f>
        <v/>
      </c>
      <c r="V184">
        <f>HYPERLINK("https://klasma.github.io/Logging_0980/klagomål/A 12924-2025 FSC-klagomål.docx", "A 12924-2025")</f>
        <v/>
      </c>
      <c r="W184">
        <f>HYPERLINK("https://klasma.github.io/Logging_0980/klagomålsmail/A 12924-2025 FSC-klagomål mail.docx", "A 12924-2025")</f>
        <v/>
      </c>
      <c r="X184">
        <f>HYPERLINK("https://klasma.github.io/Logging_0980/tillsyn/A 12924-2025 tillsynsbegäran.docx", "A 12924-2025")</f>
        <v/>
      </c>
      <c r="Y184">
        <f>HYPERLINK("https://klasma.github.io/Logging_0980/tillsynsmail/A 12924-2025 tillsynsbegäran mail.docx", "A 12924-2025")</f>
        <v/>
      </c>
    </row>
    <row r="185" ht="15" customHeight="1">
      <c r="A185" t="inlineStr">
        <is>
          <t>A 49304-2024</t>
        </is>
      </c>
      <c r="B185" s="1" t="n">
        <v>45595.54996527778</v>
      </c>
      <c r="C185" s="1" t="n">
        <v>45940</v>
      </c>
      <c r="D185" t="inlineStr">
        <is>
          <t>GOTLANDS LÄN</t>
        </is>
      </c>
      <c r="E185" t="inlineStr">
        <is>
          <t>GOTLAND</t>
        </is>
      </c>
      <c r="G185" t="n">
        <v>10.8</v>
      </c>
      <c r="H185" t="n">
        <v>0</v>
      </c>
      <c r="I185" t="n">
        <v>0</v>
      </c>
      <c r="J185" t="n">
        <v>1</v>
      </c>
      <c r="K185" t="n">
        <v>0</v>
      </c>
      <c r="L185" t="n">
        <v>0</v>
      </c>
      <c r="M185" t="n">
        <v>0</v>
      </c>
      <c r="N185" t="n">
        <v>0</v>
      </c>
      <c r="O185" t="n">
        <v>1</v>
      </c>
      <c r="P185" t="n">
        <v>0</v>
      </c>
      <c r="Q185" t="n">
        <v>1</v>
      </c>
      <c r="R185" s="2" t="inlineStr">
        <is>
          <t>Åkerranunkel</t>
        </is>
      </c>
      <c r="S185">
        <f>HYPERLINK("https://klasma.github.io/Logging_0980/artfynd/A 49304-2024 artfynd.xlsx", "A 49304-2024")</f>
        <v/>
      </c>
      <c r="T185">
        <f>HYPERLINK("https://klasma.github.io/Logging_0980/kartor/A 49304-2024 karta.png", "A 49304-2024")</f>
        <v/>
      </c>
      <c r="V185">
        <f>HYPERLINK("https://klasma.github.io/Logging_0980/klagomål/A 49304-2024 FSC-klagomål.docx", "A 49304-2024")</f>
        <v/>
      </c>
      <c r="W185">
        <f>HYPERLINK("https://klasma.github.io/Logging_0980/klagomålsmail/A 49304-2024 FSC-klagomål mail.docx", "A 49304-2024")</f>
        <v/>
      </c>
      <c r="X185">
        <f>HYPERLINK("https://klasma.github.io/Logging_0980/tillsyn/A 49304-2024 tillsynsbegäran.docx", "A 49304-2024")</f>
        <v/>
      </c>
      <c r="Y185">
        <f>HYPERLINK("https://klasma.github.io/Logging_0980/tillsynsmail/A 49304-2024 tillsynsbegäran mail.docx", "A 49304-2024")</f>
        <v/>
      </c>
    </row>
    <row r="186" ht="15" customHeight="1">
      <c r="A186" t="inlineStr">
        <is>
          <t>A 22782-2023</t>
        </is>
      </c>
      <c r="B186" s="1" t="n">
        <v>45072</v>
      </c>
      <c r="C186" s="1" t="n">
        <v>45940</v>
      </c>
      <c r="D186" t="inlineStr">
        <is>
          <t>GOTLANDS LÄN</t>
        </is>
      </c>
      <c r="E186" t="inlineStr">
        <is>
          <t>GOTLAND</t>
        </is>
      </c>
      <c r="F186" t="inlineStr">
        <is>
          <t>Kyrkan</t>
        </is>
      </c>
      <c r="G186" t="n">
        <v>3.1</v>
      </c>
      <c r="H186" t="n">
        <v>1</v>
      </c>
      <c r="I186" t="n">
        <v>0</v>
      </c>
      <c r="J186" t="n">
        <v>0</v>
      </c>
      <c r="K186" t="n">
        <v>0</v>
      </c>
      <c r="L186" t="n">
        <v>0</v>
      </c>
      <c r="M186" t="n">
        <v>0</v>
      </c>
      <c r="N186" t="n">
        <v>0</v>
      </c>
      <c r="O186" t="n">
        <v>0</v>
      </c>
      <c r="P186" t="n">
        <v>0</v>
      </c>
      <c r="Q186" t="n">
        <v>1</v>
      </c>
      <c r="R186" s="2" t="inlineStr">
        <is>
          <t>Ängsnycklar × skogsnycklar</t>
        </is>
      </c>
      <c r="S186">
        <f>HYPERLINK("https://klasma.github.io/Logging_0980/artfynd/A 22782-2023 artfynd.xlsx", "A 22782-2023")</f>
        <v/>
      </c>
      <c r="T186">
        <f>HYPERLINK("https://klasma.github.io/Logging_0980/kartor/A 22782-2023 karta.png", "A 22782-2023")</f>
        <v/>
      </c>
      <c r="V186">
        <f>HYPERLINK("https://klasma.github.io/Logging_0980/klagomål/A 22782-2023 FSC-klagomål.docx", "A 22782-2023")</f>
        <v/>
      </c>
      <c r="W186">
        <f>HYPERLINK("https://klasma.github.io/Logging_0980/klagomålsmail/A 22782-2023 FSC-klagomål mail.docx", "A 22782-2023")</f>
        <v/>
      </c>
      <c r="X186">
        <f>HYPERLINK("https://klasma.github.io/Logging_0980/tillsyn/A 22782-2023 tillsynsbegäran.docx", "A 22782-2023")</f>
        <v/>
      </c>
      <c r="Y186">
        <f>HYPERLINK("https://klasma.github.io/Logging_0980/tillsynsmail/A 22782-2023 tillsynsbegäran mail.docx", "A 22782-2023")</f>
        <v/>
      </c>
    </row>
    <row r="187" ht="15" customHeight="1">
      <c r="A187" t="inlineStr">
        <is>
          <t>A 10995-2023</t>
        </is>
      </c>
      <c r="B187" s="1" t="n">
        <v>44986</v>
      </c>
      <c r="C187" s="1" t="n">
        <v>45940</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19901-2021</t>
        </is>
      </c>
      <c r="B188" s="1" t="n">
        <v>44312</v>
      </c>
      <c r="C188" s="1" t="n">
        <v>45940</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45940</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45940</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45940</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45940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45940</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45940</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45940</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45940</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45940</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53665-2020</t>
        </is>
      </c>
      <c r="B198" s="1" t="n">
        <v>44124.55001157407</v>
      </c>
      <c r="C198" s="1" t="n">
        <v>45940</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45940</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45940</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45940</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45940</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45940</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59630-2020</t>
        </is>
      </c>
      <c r="B204" s="1" t="n">
        <v>44150</v>
      </c>
      <c r="C204" s="1" t="n">
        <v>45940</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45940</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45940</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45940</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60356-2020</t>
        </is>
      </c>
      <c r="B208" s="1" t="n">
        <v>44152.71583333334</v>
      </c>
      <c r="C208" s="1" t="n">
        <v>45940</v>
      </c>
      <c r="D208" t="inlineStr">
        <is>
          <t>GOTLANDS LÄN</t>
        </is>
      </c>
      <c r="E208" t="inlineStr">
        <is>
          <t>GOTLAND</t>
        </is>
      </c>
      <c r="G208" t="n">
        <v>2</v>
      </c>
      <c r="H208" t="n">
        <v>0</v>
      </c>
      <c r="I208" t="n">
        <v>0</v>
      </c>
      <c r="J208" t="n">
        <v>0</v>
      </c>
      <c r="K208" t="n">
        <v>0</v>
      </c>
      <c r="L208" t="n">
        <v>0</v>
      </c>
      <c r="M208" t="n">
        <v>0</v>
      </c>
      <c r="N208" t="n">
        <v>0</v>
      </c>
      <c r="O208" t="n">
        <v>0</v>
      </c>
      <c r="P208" t="n">
        <v>0</v>
      </c>
      <c r="Q208" t="n">
        <v>0</v>
      </c>
      <c r="R208" s="2" t="inlineStr"/>
    </row>
    <row r="209" ht="15" customHeight="1">
      <c r="A209" t="inlineStr">
        <is>
          <t>A 22498-2022</t>
        </is>
      </c>
      <c r="B209" s="1" t="n">
        <v>44713.64682870371</v>
      </c>
      <c r="C209" s="1" t="n">
        <v>45940</v>
      </c>
      <c r="D209" t="inlineStr">
        <is>
          <t>GOTLANDS LÄN</t>
        </is>
      </c>
      <c r="E209" t="inlineStr">
        <is>
          <t>GOTLAND</t>
        </is>
      </c>
      <c r="G209" t="n">
        <v>0.7</v>
      </c>
      <c r="H209" t="n">
        <v>0</v>
      </c>
      <c r="I209" t="n">
        <v>0</v>
      </c>
      <c r="J209" t="n">
        <v>0</v>
      </c>
      <c r="K209" t="n">
        <v>0</v>
      </c>
      <c r="L209" t="n">
        <v>0</v>
      </c>
      <c r="M209" t="n">
        <v>0</v>
      </c>
      <c r="N209" t="n">
        <v>0</v>
      </c>
      <c r="O209" t="n">
        <v>0</v>
      </c>
      <c r="P209" t="n">
        <v>0</v>
      </c>
      <c r="Q209" t="n">
        <v>0</v>
      </c>
      <c r="R209" s="2" t="inlineStr"/>
    </row>
    <row r="210" ht="15" customHeight="1">
      <c r="A210" t="inlineStr">
        <is>
          <t>A 17920-2021</t>
        </is>
      </c>
      <c r="B210" s="1" t="n">
        <v>44301</v>
      </c>
      <c r="C210" s="1" t="n">
        <v>45940</v>
      </c>
      <c r="D210" t="inlineStr">
        <is>
          <t>GOTLANDS LÄN</t>
        </is>
      </c>
      <c r="E210" t="inlineStr">
        <is>
          <t>GOTLAND</t>
        </is>
      </c>
      <c r="G210" t="n">
        <v>1.7</v>
      </c>
      <c r="H210" t="n">
        <v>0</v>
      </c>
      <c r="I210" t="n">
        <v>0</v>
      </c>
      <c r="J210" t="n">
        <v>0</v>
      </c>
      <c r="K210" t="n">
        <v>0</v>
      </c>
      <c r="L210" t="n">
        <v>0</v>
      </c>
      <c r="M210" t="n">
        <v>0</v>
      </c>
      <c r="N210" t="n">
        <v>0</v>
      </c>
      <c r="O210" t="n">
        <v>0</v>
      </c>
      <c r="P210" t="n">
        <v>0</v>
      </c>
      <c r="Q210" t="n">
        <v>0</v>
      </c>
      <c r="R210" s="2" t="inlineStr"/>
    </row>
    <row r="211" ht="15" customHeight="1">
      <c r="A211" t="inlineStr">
        <is>
          <t>A 8700-2021</t>
        </is>
      </c>
      <c r="B211" s="1" t="n">
        <v>44246</v>
      </c>
      <c r="C211" s="1" t="n">
        <v>45940</v>
      </c>
      <c r="D211" t="inlineStr">
        <is>
          <t>GOTLANDS LÄN</t>
        </is>
      </c>
      <c r="E211" t="inlineStr">
        <is>
          <t>GOTLAND</t>
        </is>
      </c>
      <c r="G211" t="n">
        <v>0.1</v>
      </c>
      <c r="H211" t="n">
        <v>0</v>
      </c>
      <c r="I211" t="n">
        <v>0</v>
      </c>
      <c r="J211" t="n">
        <v>0</v>
      </c>
      <c r="K211" t="n">
        <v>0</v>
      </c>
      <c r="L211" t="n">
        <v>0</v>
      </c>
      <c r="M211" t="n">
        <v>0</v>
      </c>
      <c r="N211" t="n">
        <v>0</v>
      </c>
      <c r="O211" t="n">
        <v>0</v>
      </c>
      <c r="P211" t="n">
        <v>0</v>
      </c>
      <c r="Q211" t="n">
        <v>0</v>
      </c>
      <c r="R211" s="2" t="inlineStr"/>
    </row>
    <row r="212" ht="15" customHeight="1">
      <c r="A212" t="inlineStr">
        <is>
          <t>A 12318-2021</t>
        </is>
      </c>
      <c r="B212" s="1" t="n">
        <v>44266</v>
      </c>
      <c r="C212" s="1" t="n">
        <v>45940</v>
      </c>
      <c r="D212" t="inlineStr">
        <is>
          <t>GOTLANDS LÄN</t>
        </is>
      </c>
      <c r="E212" t="inlineStr">
        <is>
          <t>GOTLAND</t>
        </is>
      </c>
      <c r="G212" t="n">
        <v>1</v>
      </c>
      <c r="H212" t="n">
        <v>0</v>
      </c>
      <c r="I212" t="n">
        <v>0</v>
      </c>
      <c r="J212" t="n">
        <v>0</v>
      </c>
      <c r="K212" t="n">
        <v>0</v>
      </c>
      <c r="L212" t="n">
        <v>0</v>
      </c>
      <c r="M212" t="n">
        <v>0</v>
      </c>
      <c r="N212" t="n">
        <v>0</v>
      </c>
      <c r="O212" t="n">
        <v>0</v>
      </c>
      <c r="P212" t="n">
        <v>0</v>
      </c>
      <c r="Q212" t="n">
        <v>0</v>
      </c>
      <c r="R212" s="2" t="inlineStr"/>
    </row>
    <row r="213" ht="15" customHeight="1">
      <c r="A213" t="inlineStr">
        <is>
          <t>A 15127-2021</t>
        </is>
      </c>
      <c r="B213" s="1" t="n">
        <v>44283</v>
      </c>
      <c r="C213" s="1" t="n">
        <v>45940</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45940</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24123-2022</t>
        </is>
      </c>
      <c r="B215" s="1" t="n">
        <v>44725.4384375</v>
      </c>
      <c r="C215" s="1" t="n">
        <v>45940</v>
      </c>
      <c r="D215" t="inlineStr">
        <is>
          <t>GOTLANDS LÄN</t>
        </is>
      </c>
      <c r="E215" t="inlineStr">
        <is>
          <t>GOTLAND</t>
        </is>
      </c>
      <c r="G215" t="n">
        <v>6</v>
      </c>
      <c r="H215" t="n">
        <v>0</v>
      </c>
      <c r="I215" t="n">
        <v>0</v>
      </c>
      <c r="J215" t="n">
        <v>0</v>
      </c>
      <c r="K215" t="n">
        <v>0</v>
      </c>
      <c r="L215" t="n">
        <v>0</v>
      </c>
      <c r="M215" t="n">
        <v>0</v>
      </c>
      <c r="N215" t="n">
        <v>0</v>
      </c>
      <c r="O215" t="n">
        <v>0</v>
      </c>
      <c r="P215" t="n">
        <v>0</v>
      </c>
      <c r="Q215" t="n">
        <v>0</v>
      </c>
      <c r="R215" s="2" t="inlineStr"/>
    </row>
    <row r="216" ht="15" customHeight="1">
      <c r="A216" t="inlineStr">
        <is>
          <t>A 44207-2022</t>
        </is>
      </c>
      <c r="B216" s="1" t="n">
        <v>44839</v>
      </c>
      <c r="C216" s="1" t="n">
        <v>45940</v>
      </c>
      <c r="D216" t="inlineStr">
        <is>
          <t>GOTLANDS LÄN</t>
        </is>
      </c>
      <c r="E216" t="inlineStr">
        <is>
          <t>GOTLAND</t>
        </is>
      </c>
      <c r="G216" t="n">
        <v>3.8</v>
      </c>
      <c r="H216" t="n">
        <v>0</v>
      </c>
      <c r="I216" t="n">
        <v>0</v>
      </c>
      <c r="J216" t="n">
        <v>0</v>
      </c>
      <c r="K216" t="n">
        <v>0</v>
      </c>
      <c r="L216" t="n">
        <v>0</v>
      </c>
      <c r="M216" t="n">
        <v>0</v>
      </c>
      <c r="N216" t="n">
        <v>0</v>
      </c>
      <c r="O216" t="n">
        <v>0</v>
      </c>
      <c r="P216" t="n">
        <v>0</v>
      </c>
      <c r="Q216" t="n">
        <v>0</v>
      </c>
      <c r="R216" s="2" t="inlineStr"/>
    </row>
    <row r="217" ht="15" customHeight="1">
      <c r="A217" t="inlineStr">
        <is>
          <t>A 19447-2021</t>
        </is>
      </c>
      <c r="B217" s="1" t="n">
        <v>44310.72780092592</v>
      </c>
      <c r="C217" s="1" t="n">
        <v>45940</v>
      </c>
      <c r="D217" t="inlineStr">
        <is>
          <t>GOTLANDS LÄN</t>
        </is>
      </c>
      <c r="E217" t="inlineStr">
        <is>
          <t>GOTLAND</t>
        </is>
      </c>
      <c r="G217" t="n">
        <v>0.4</v>
      </c>
      <c r="H217" t="n">
        <v>0</v>
      </c>
      <c r="I217" t="n">
        <v>0</v>
      </c>
      <c r="J217" t="n">
        <v>0</v>
      </c>
      <c r="K217" t="n">
        <v>0</v>
      </c>
      <c r="L217" t="n">
        <v>0</v>
      </c>
      <c r="M217" t="n">
        <v>0</v>
      </c>
      <c r="N217" t="n">
        <v>0</v>
      </c>
      <c r="O217" t="n">
        <v>0</v>
      </c>
      <c r="P217" t="n">
        <v>0</v>
      </c>
      <c r="Q217" t="n">
        <v>0</v>
      </c>
      <c r="R217" s="2" t="inlineStr"/>
    </row>
    <row r="218" ht="15" customHeight="1">
      <c r="A218" t="inlineStr">
        <is>
          <t>A 32691-2021</t>
        </is>
      </c>
      <c r="B218" s="1" t="n">
        <v>44375</v>
      </c>
      <c r="C218" s="1" t="n">
        <v>45940</v>
      </c>
      <c r="D218" t="inlineStr">
        <is>
          <t>GOTLANDS LÄN</t>
        </is>
      </c>
      <c r="E218" t="inlineStr">
        <is>
          <t>GOTLAND</t>
        </is>
      </c>
      <c r="G218" t="n">
        <v>0.8</v>
      </c>
      <c r="H218" t="n">
        <v>0</v>
      </c>
      <c r="I218" t="n">
        <v>0</v>
      </c>
      <c r="J218" t="n">
        <v>0</v>
      </c>
      <c r="K218" t="n">
        <v>0</v>
      </c>
      <c r="L218" t="n">
        <v>0</v>
      </c>
      <c r="M218" t="n">
        <v>0</v>
      </c>
      <c r="N218" t="n">
        <v>0</v>
      </c>
      <c r="O218" t="n">
        <v>0</v>
      </c>
      <c r="P218" t="n">
        <v>0</v>
      </c>
      <c r="Q218" t="n">
        <v>0</v>
      </c>
      <c r="R218" s="2" t="inlineStr"/>
    </row>
    <row r="219" ht="15" customHeight="1">
      <c r="A219" t="inlineStr">
        <is>
          <t>A 60607-2021</t>
        </is>
      </c>
      <c r="B219" s="1" t="n">
        <v>44496.58627314815</v>
      </c>
      <c r="C219" s="1" t="n">
        <v>45940</v>
      </c>
      <c r="D219" t="inlineStr">
        <is>
          <t>GOTLANDS LÄN</t>
        </is>
      </c>
      <c r="E219" t="inlineStr">
        <is>
          <t>GOTLAND</t>
        </is>
      </c>
      <c r="G219" t="n">
        <v>0.6</v>
      </c>
      <c r="H219" t="n">
        <v>0</v>
      </c>
      <c r="I219" t="n">
        <v>0</v>
      </c>
      <c r="J219" t="n">
        <v>0</v>
      </c>
      <c r="K219" t="n">
        <v>0</v>
      </c>
      <c r="L219" t="n">
        <v>0</v>
      </c>
      <c r="M219" t="n">
        <v>0</v>
      </c>
      <c r="N219" t="n">
        <v>0</v>
      </c>
      <c r="O219" t="n">
        <v>0</v>
      </c>
      <c r="P219" t="n">
        <v>0</v>
      </c>
      <c r="Q219" t="n">
        <v>0</v>
      </c>
      <c r="R219" s="2" t="inlineStr"/>
    </row>
    <row r="220" ht="15" customHeight="1">
      <c r="A220" t="inlineStr">
        <is>
          <t>A 17354-2022</t>
        </is>
      </c>
      <c r="B220" s="1" t="n">
        <v>44678</v>
      </c>
      <c r="C220" s="1" t="n">
        <v>45940</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45940</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47369-2021</t>
        </is>
      </c>
      <c r="B222" s="1" t="n">
        <v>44447</v>
      </c>
      <c r="C222" s="1" t="n">
        <v>45940</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11029-2022</t>
        </is>
      </c>
      <c r="B223" s="1" t="n">
        <v>44628</v>
      </c>
      <c r="C223" s="1" t="n">
        <v>45940</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37037-2021</t>
        </is>
      </c>
      <c r="B224" s="1" t="n">
        <v>44393.84688657407</v>
      </c>
      <c r="C224" s="1" t="n">
        <v>45940</v>
      </c>
      <c r="D224" t="inlineStr">
        <is>
          <t>GOTLANDS LÄN</t>
        </is>
      </c>
      <c r="E224" t="inlineStr">
        <is>
          <t>GOTLAND</t>
        </is>
      </c>
      <c r="G224" t="n">
        <v>10.2</v>
      </c>
      <c r="H224" t="n">
        <v>0</v>
      </c>
      <c r="I224" t="n">
        <v>0</v>
      </c>
      <c r="J224" t="n">
        <v>0</v>
      </c>
      <c r="K224" t="n">
        <v>0</v>
      </c>
      <c r="L224" t="n">
        <v>0</v>
      </c>
      <c r="M224" t="n">
        <v>0</v>
      </c>
      <c r="N224" t="n">
        <v>0</v>
      </c>
      <c r="O224" t="n">
        <v>0</v>
      </c>
      <c r="P224" t="n">
        <v>0</v>
      </c>
      <c r="Q224" t="n">
        <v>0</v>
      </c>
      <c r="R224" s="2" t="inlineStr"/>
    </row>
    <row r="225" ht="15" customHeight="1">
      <c r="A225" t="inlineStr">
        <is>
          <t>A 64380-2020</t>
        </is>
      </c>
      <c r="B225" s="1" t="n">
        <v>44168.60128472222</v>
      </c>
      <c r="C225" s="1" t="n">
        <v>45940</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2608-2021</t>
        </is>
      </c>
      <c r="B226" s="1" t="n">
        <v>44214</v>
      </c>
      <c r="C226" s="1" t="n">
        <v>45940</v>
      </c>
      <c r="D226" t="inlineStr">
        <is>
          <t>GOTLANDS LÄN</t>
        </is>
      </c>
      <c r="E226" t="inlineStr">
        <is>
          <t>GOTLAND</t>
        </is>
      </c>
      <c r="G226" t="n">
        <v>3.9</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45940</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31239-2022</t>
        </is>
      </c>
      <c r="B228" s="1" t="n">
        <v>44771.49383101852</v>
      </c>
      <c r="C228" s="1" t="n">
        <v>45940</v>
      </c>
      <c r="D228" t="inlineStr">
        <is>
          <t>GOTLANDS LÄN</t>
        </is>
      </c>
      <c r="E228" t="inlineStr">
        <is>
          <t>GOTLAND</t>
        </is>
      </c>
      <c r="G228" t="n">
        <v>1.9</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45940</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44942-2022</t>
        </is>
      </c>
      <c r="B230" s="1" t="n">
        <v>44841</v>
      </c>
      <c r="C230" s="1" t="n">
        <v>45940</v>
      </c>
      <c r="D230" t="inlineStr">
        <is>
          <t>GOTLANDS LÄN</t>
        </is>
      </c>
      <c r="E230" t="inlineStr">
        <is>
          <t>GOTLAND</t>
        </is>
      </c>
      <c r="G230" t="n">
        <v>2</v>
      </c>
      <c r="H230" t="n">
        <v>0</v>
      </c>
      <c r="I230" t="n">
        <v>0</v>
      </c>
      <c r="J230" t="n">
        <v>0</v>
      </c>
      <c r="K230" t="n">
        <v>0</v>
      </c>
      <c r="L230" t="n">
        <v>0</v>
      </c>
      <c r="M230" t="n">
        <v>0</v>
      </c>
      <c r="N230" t="n">
        <v>0</v>
      </c>
      <c r="O230" t="n">
        <v>0</v>
      </c>
      <c r="P230" t="n">
        <v>0</v>
      </c>
      <c r="Q230" t="n">
        <v>0</v>
      </c>
      <c r="R230" s="2" t="inlineStr"/>
    </row>
    <row r="231" ht="15" customHeight="1">
      <c r="A231" t="inlineStr">
        <is>
          <t>A 58224-2021</t>
        </is>
      </c>
      <c r="B231" s="1" t="n">
        <v>44487</v>
      </c>
      <c r="C231" s="1" t="n">
        <v>45940</v>
      </c>
      <c r="D231" t="inlineStr">
        <is>
          <t>GOTLANDS LÄN</t>
        </is>
      </c>
      <c r="E231" t="inlineStr">
        <is>
          <t>GOTLAND</t>
        </is>
      </c>
      <c r="G231" t="n">
        <v>1.4</v>
      </c>
      <c r="H231" t="n">
        <v>0</v>
      </c>
      <c r="I231" t="n">
        <v>0</v>
      </c>
      <c r="J231" t="n">
        <v>0</v>
      </c>
      <c r="K231" t="n">
        <v>0</v>
      </c>
      <c r="L231" t="n">
        <v>0</v>
      </c>
      <c r="M231" t="n">
        <v>0</v>
      </c>
      <c r="N231" t="n">
        <v>0</v>
      </c>
      <c r="O231" t="n">
        <v>0</v>
      </c>
      <c r="P231" t="n">
        <v>0</v>
      </c>
      <c r="Q231" t="n">
        <v>0</v>
      </c>
      <c r="R231" s="2" t="inlineStr"/>
    </row>
    <row r="232" ht="15" customHeight="1">
      <c r="A232" t="inlineStr">
        <is>
          <t>A 58815-2021</t>
        </is>
      </c>
      <c r="B232" s="1" t="n">
        <v>44489</v>
      </c>
      <c r="C232" s="1" t="n">
        <v>45940</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53225-2022</t>
        </is>
      </c>
      <c r="B233" s="1" t="n">
        <v>44876</v>
      </c>
      <c r="C233" s="1" t="n">
        <v>45940</v>
      </c>
      <c r="D233" t="inlineStr">
        <is>
          <t>GOTLANDS LÄN</t>
        </is>
      </c>
      <c r="E233" t="inlineStr">
        <is>
          <t>GOTLAND</t>
        </is>
      </c>
      <c r="F233" t="inlineStr">
        <is>
          <t>Kyrkan</t>
        </is>
      </c>
      <c r="G233" t="n">
        <v>0.9</v>
      </c>
      <c r="H233" t="n">
        <v>0</v>
      </c>
      <c r="I233" t="n">
        <v>0</v>
      </c>
      <c r="J233" t="n">
        <v>0</v>
      </c>
      <c r="K233" t="n">
        <v>0</v>
      </c>
      <c r="L233" t="n">
        <v>0</v>
      </c>
      <c r="M233" t="n">
        <v>0</v>
      </c>
      <c r="N233" t="n">
        <v>0</v>
      </c>
      <c r="O233" t="n">
        <v>0</v>
      </c>
      <c r="P233" t="n">
        <v>0</v>
      </c>
      <c r="Q233" t="n">
        <v>0</v>
      </c>
      <c r="R233" s="2" t="inlineStr"/>
    </row>
    <row r="234" ht="15" customHeight="1">
      <c r="A234" t="inlineStr">
        <is>
          <t>A 22155-2021</t>
        </is>
      </c>
      <c r="B234" s="1" t="n">
        <v>44325.49369212963</v>
      </c>
      <c r="C234" s="1" t="n">
        <v>45940</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30055-2021</t>
        </is>
      </c>
      <c r="B235" s="1" t="n">
        <v>44363</v>
      </c>
      <c r="C235" s="1" t="n">
        <v>45940</v>
      </c>
      <c r="D235" t="inlineStr">
        <is>
          <t>GOTLANDS LÄN</t>
        </is>
      </c>
      <c r="E235" t="inlineStr">
        <is>
          <t>GOTLAND</t>
        </is>
      </c>
      <c r="G235" t="n">
        <v>1.8</v>
      </c>
      <c r="H235" t="n">
        <v>0</v>
      </c>
      <c r="I235" t="n">
        <v>0</v>
      </c>
      <c r="J235" t="n">
        <v>0</v>
      </c>
      <c r="K235" t="n">
        <v>0</v>
      </c>
      <c r="L235" t="n">
        <v>0</v>
      </c>
      <c r="M235" t="n">
        <v>0</v>
      </c>
      <c r="N235" t="n">
        <v>0</v>
      </c>
      <c r="O235" t="n">
        <v>0</v>
      </c>
      <c r="P235" t="n">
        <v>0</v>
      </c>
      <c r="Q235" t="n">
        <v>0</v>
      </c>
      <c r="R235" s="2" t="inlineStr"/>
    </row>
    <row r="236" ht="15" customHeight="1">
      <c r="A236" t="inlineStr">
        <is>
          <t>A 65393-2021</t>
        </is>
      </c>
      <c r="B236" s="1" t="n">
        <v>44515</v>
      </c>
      <c r="C236" s="1" t="n">
        <v>45940</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1229-2021</t>
        </is>
      </c>
      <c r="B237" s="1" t="n">
        <v>44208</v>
      </c>
      <c r="C237" s="1" t="n">
        <v>45940</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62120-2020</t>
        </is>
      </c>
      <c r="B238" s="1" t="n">
        <v>44158</v>
      </c>
      <c r="C238" s="1" t="n">
        <v>45940</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3271-2021</t>
        </is>
      </c>
      <c r="B239" s="1" t="n">
        <v>44217</v>
      </c>
      <c r="C239" s="1" t="n">
        <v>45940</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23910-2021</t>
        </is>
      </c>
      <c r="B240" s="1" t="n">
        <v>44335</v>
      </c>
      <c r="C240" s="1" t="n">
        <v>45940</v>
      </c>
      <c r="D240" t="inlineStr">
        <is>
          <t>GOTLANDS LÄN</t>
        </is>
      </c>
      <c r="E240" t="inlineStr">
        <is>
          <t>GOTLAND</t>
        </is>
      </c>
      <c r="G240" t="n">
        <v>1.5</v>
      </c>
      <c r="H240" t="n">
        <v>0</v>
      </c>
      <c r="I240" t="n">
        <v>0</v>
      </c>
      <c r="J240" t="n">
        <v>0</v>
      </c>
      <c r="K240" t="n">
        <v>0</v>
      </c>
      <c r="L240" t="n">
        <v>0</v>
      </c>
      <c r="M240" t="n">
        <v>0</v>
      </c>
      <c r="N240" t="n">
        <v>0</v>
      </c>
      <c r="O240" t="n">
        <v>0</v>
      </c>
      <c r="P240" t="n">
        <v>0</v>
      </c>
      <c r="Q240" t="n">
        <v>0</v>
      </c>
      <c r="R240" s="2" t="inlineStr"/>
    </row>
    <row r="241" ht="15" customHeight="1">
      <c r="A241" t="inlineStr">
        <is>
          <t>A 20165-2022</t>
        </is>
      </c>
      <c r="B241" s="1" t="n">
        <v>44698.49854166667</v>
      </c>
      <c r="C241" s="1" t="n">
        <v>45940</v>
      </c>
      <c r="D241" t="inlineStr">
        <is>
          <t>GOTLANDS LÄN</t>
        </is>
      </c>
      <c r="E241" t="inlineStr">
        <is>
          <t>GOTLAND</t>
        </is>
      </c>
      <c r="G241" t="n">
        <v>4.1</v>
      </c>
      <c r="H241" t="n">
        <v>0</v>
      </c>
      <c r="I241" t="n">
        <v>0</v>
      </c>
      <c r="J241" t="n">
        <v>0</v>
      </c>
      <c r="K241" t="n">
        <v>0</v>
      </c>
      <c r="L241" t="n">
        <v>0</v>
      </c>
      <c r="M241" t="n">
        <v>0</v>
      </c>
      <c r="N241" t="n">
        <v>0</v>
      </c>
      <c r="O241" t="n">
        <v>0</v>
      </c>
      <c r="P241" t="n">
        <v>0</v>
      </c>
      <c r="Q241" t="n">
        <v>0</v>
      </c>
      <c r="R241" s="2" t="inlineStr"/>
    </row>
    <row r="242" ht="15" customHeight="1">
      <c r="A242" t="inlineStr">
        <is>
          <t>A 31264-2021</t>
        </is>
      </c>
      <c r="B242" s="1" t="n">
        <v>44368</v>
      </c>
      <c r="C242" s="1" t="n">
        <v>45940</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33876-2024</t>
        </is>
      </c>
      <c r="B243" s="1" t="n">
        <v>45521.87988425926</v>
      </c>
      <c r="C243" s="1" t="n">
        <v>45940</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42201-2023</t>
        </is>
      </c>
      <c r="B244" s="1" t="n">
        <v>45179</v>
      </c>
      <c r="C244" s="1" t="n">
        <v>45940</v>
      </c>
      <c r="D244" t="inlineStr">
        <is>
          <t>GOTLANDS LÄN</t>
        </is>
      </c>
      <c r="E244" t="inlineStr">
        <is>
          <t>GOTLAND</t>
        </is>
      </c>
      <c r="G244" t="n">
        <v>11.9</v>
      </c>
      <c r="H244" t="n">
        <v>0</v>
      </c>
      <c r="I244" t="n">
        <v>0</v>
      </c>
      <c r="J244" t="n">
        <v>0</v>
      </c>
      <c r="K244" t="n">
        <v>0</v>
      </c>
      <c r="L244" t="n">
        <v>0</v>
      </c>
      <c r="M244" t="n">
        <v>0</v>
      </c>
      <c r="N244" t="n">
        <v>0</v>
      </c>
      <c r="O244" t="n">
        <v>0</v>
      </c>
      <c r="P244" t="n">
        <v>0</v>
      </c>
      <c r="Q244" t="n">
        <v>0</v>
      </c>
      <c r="R244" s="2" t="inlineStr"/>
    </row>
    <row r="245" ht="15" customHeight="1">
      <c r="A245" t="inlineStr">
        <is>
          <t>A 3150-2025</t>
        </is>
      </c>
      <c r="B245" s="1" t="n">
        <v>45679.28974537037</v>
      </c>
      <c r="C245" s="1" t="n">
        <v>45940</v>
      </c>
      <c r="D245" t="inlineStr">
        <is>
          <t>GOTLANDS LÄN</t>
        </is>
      </c>
      <c r="E245" t="inlineStr">
        <is>
          <t>GOTLAND</t>
        </is>
      </c>
      <c r="G245" t="n">
        <v>2.5</v>
      </c>
      <c r="H245" t="n">
        <v>0</v>
      </c>
      <c r="I245" t="n">
        <v>0</v>
      </c>
      <c r="J245" t="n">
        <v>0</v>
      </c>
      <c r="K245" t="n">
        <v>0</v>
      </c>
      <c r="L245" t="n">
        <v>0</v>
      </c>
      <c r="M245" t="n">
        <v>0</v>
      </c>
      <c r="N245" t="n">
        <v>0</v>
      </c>
      <c r="O245" t="n">
        <v>0</v>
      </c>
      <c r="P245" t="n">
        <v>0</v>
      </c>
      <c r="Q245" t="n">
        <v>0</v>
      </c>
      <c r="R245" s="2" t="inlineStr"/>
    </row>
    <row r="246" ht="15" customHeight="1">
      <c r="A246" t="inlineStr">
        <is>
          <t>A 43223-2023</t>
        </is>
      </c>
      <c r="B246" s="1" t="n">
        <v>45183.45642361111</v>
      </c>
      <c r="C246" s="1" t="n">
        <v>45940</v>
      </c>
      <c r="D246" t="inlineStr">
        <is>
          <t>GOTLANDS LÄN</t>
        </is>
      </c>
      <c r="E246" t="inlineStr">
        <is>
          <t>GOTLAND</t>
        </is>
      </c>
      <c r="G246" t="n">
        <v>1.8</v>
      </c>
      <c r="H246" t="n">
        <v>0</v>
      </c>
      <c r="I246" t="n">
        <v>0</v>
      </c>
      <c r="J246" t="n">
        <v>0</v>
      </c>
      <c r="K246" t="n">
        <v>0</v>
      </c>
      <c r="L246" t="n">
        <v>0</v>
      </c>
      <c r="M246" t="n">
        <v>0</v>
      </c>
      <c r="N246" t="n">
        <v>0</v>
      </c>
      <c r="O246" t="n">
        <v>0</v>
      </c>
      <c r="P246" t="n">
        <v>0</v>
      </c>
      <c r="Q246" t="n">
        <v>0</v>
      </c>
      <c r="R246" s="2" t="inlineStr"/>
    </row>
    <row r="247" ht="15" customHeight="1">
      <c r="A247" t="inlineStr">
        <is>
          <t>A 13498-2022</t>
        </is>
      </c>
      <c r="B247" s="1" t="n">
        <v>44647.78866898148</v>
      </c>
      <c r="C247" s="1" t="n">
        <v>45940</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13500-2022</t>
        </is>
      </c>
      <c r="B248" s="1" t="n">
        <v>44647.79513888889</v>
      </c>
      <c r="C248" s="1" t="n">
        <v>45940</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61962-2024</t>
        </is>
      </c>
      <c r="B249" s="1" t="n">
        <v>45653.54340277778</v>
      </c>
      <c r="C249" s="1" t="n">
        <v>45940</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71010-2021</t>
        </is>
      </c>
      <c r="B250" s="1" t="n">
        <v>44538.63775462963</v>
      </c>
      <c r="C250" s="1" t="n">
        <v>45940</v>
      </c>
      <c r="D250" t="inlineStr">
        <is>
          <t>GOTLANDS LÄN</t>
        </is>
      </c>
      <c r="E250" t="inlineStr">
        <is>
          <t>GOTLAND</t>
        </is>
      </c>
      <c r="G250" t="n">
        <v>0.5</v>
      </c>
      <c r="H250" t="n">
        <v>0</v>
      </c>
      <c r="I250" t="n">
        <v>0</v>
      </c>
      <c r="J250" t="n">
        <v>0</v>
      </c>
      <c r="K250" t="n">
        <v>0</v>
      </c>
      <c r="L250" t="n">
        <v>0</v>
      </c>
      <c r="M250" t="n">
        <v>0</v>
      </c>
      <c r="N250" t="n">
        <v>0</v>
      </c>
      <c r="O250" t="n">
        <v>0</v>
      </c>
      <c r="P250" t="n">
        <v>0</v>
      </c>
      <c r="Q250" t="n">
        <v>0</v>
      </c>
      <c r="R250" s="2" t="inlineStr"/>
    </row>
    <row r="251" ht="15" customHeight="1">
      <c r="A251" t="inlineStr">
        <is>
          <t>A 27930-2021</t>
        </is>
      </c>
      <c r="B251" s="1" t="n">
        <v>44354</v>
      </c>
      <c r="C251" s="1" t="n">
        <v>45940</v>
      </c>
      <c r="D251" t="inlineStr">
        <is>
          <t>GOTLANDS LÄN</t>
        </is>
      </c>
      <c r="E251" t="inlineStr">
        <is>
          <t>GOTLAND</t>
        </is>
      </c>
      <c r="G251" t="n">
        <v>2.5</v>
      </c>
      <c r="H251" t="n">
        <v>0</v>
      </c>
      <c r="I251" t="n">
        <v>0</v>
      </c>
      <c r="J251" t="n">
        <v>0</v>
      </c>
      <c r="K251" t="n">
        <v>0</v>
      </c>
      <c r="L251" t="n">
        <v>0</v>
      </c>
      <c r="M251" t="n">
        <v>0</v>
      </c>
      <c r="N251" t="n">
        <v>0</v>
      </c>
      <c r="O251" t="n">
        <v>0</v>
      </c>
      <c r="P251" t="n">
        <v>0</v>
      </c>
      <c r="Q251" t="n">
        <v>0</v>
      </c>
      <c r="R251" s="2" t="inlineStr"/>
    </row>
    <row r="252" ht="15" customHeight="1">
      <c r="A252" t="inlineStr">
        <is>
          <t>A 59469-2024</t>
        </is>
      </c>
      <c r="B252" s="1" t="n">
        <v>45638</v>
      </c>
      <c r="C252" s="1" t="n">
        <v>45940</v>
      </c>
      <c r="D252" t="inlineStr">
        <is>
          <t>GOTLANDS LÄN</t>
        </is>
      </c>
      <c r="E252" t="inlineStr">
        <is>
          <t>GOTLAND</t>
        </is>
      </c>
      <c r="G252" t="n">
        <v>0.4</v>
      </c>
      <c r="H252" t="n">
        <v>0</v>
      </c>
      <c r="I252" t="n">
        <v>0</v>
      </c>
      <c r="J252" t="n">
        <v>0</v>
      </c>
      <c r="K252" t="n">
        <v>0</v>
      </c>
      <c r="L252" t="n">
        <v>0</v>
      </c>
      <c r="M252" t="n">
        <v>0</v>
      </c>
      <c r="N252" t="n">
        <v>0</v>
      </c>
      <c r="O252" t="n">
        <v>0</v>
      </c>
      <c r="P252" t="n">
        <v>0</v>
      </c>
      <c r="Q252" t="n">
        <v>0</v>
      </c>
      <c r="R252" s="2" t="inlineStr"/>
    </row>
    <row r="253" ht="15" customHeight="1">
      <c r="A253" t="inlineStr">
        <is>
          <t>A 42041-2024</t>
        </is>
      </c>
      <c r="B253" s="1" t="n">
        <v>45561</v>
      </c>
      <c r="C253" s="1" t="n">
        <v>45940</v>
      </c>
      <c r="D253" t="inlineStr">
        <is>
          <t>GOTLANDS LÄN</t>
        </is>
      </c>
      <c r="E253" t="inlineStr">
        <is>
          <t>GOTLAND</t>
        </is>
      </c>
      <c r="G253" t="n">
        <v>3.2</v>
      </c>
      <c r="H253" t="n">
        <v>0</v>
      </c>
      <c r="I253" t="n">
        <v>0</v>
      </c>
      <c r="J253" t="n">
        <v>0</v>
      </c>
      <c r="K253" t="n">
        <v>0</v>
      </c>
      <c r="L253" t="n">
        <v>0</v>
      </c>
      <c r="M253" t="n">
        <v>0</v>
      </c>
      <c r="N253" t="n">
        <v>0</v>
      </c>
      <c r="O253" t="n">
        <v>0</v>
      </c>
      <c r="P253" t="n">
        <v>0</v>
      </c>
      <c r="Q253" t="n">
        <v>0</v>
      </c>
      <c r="R253" s="2" t="inlineStr"/>
    </row>
    <row r="254" ht="15" customHeight="1">
      <c r="A254" t="inlineStr">
        <is>
          <t>A 5751-2024</t>
        </is>
      </c>
      <c r="B254" s="1" t="n">
        <v>45335.32702546296</v>
      </c>
      <c r="C254" s="1" t="n">
        <v>45940</v>
      </c>
      <c r="D254" t="inlineStr">
        <is>
          <t>GOTLANDS LÄN</t>
        </is>
      </c>
      <c r="E254" t="inlineStr">
        <is>
          <t>GOTLAND</t>
        </is>
      </c>
      <c r="G254" t="n">
        <v>4.2</v>
      </c>
      <c r="H254" t="n">
        <v>0</v>
      </c>
      <c r="I254" t="n">
        <v>0</v>
      </c>
      <c r="J254" t="n">
        <v>0</v>
      </c>
      <c r="K254" t="n">
        <v>0</v>
      </c>
      <c r="L254" t="n">
        <v>0</v>
      </c>
      <c r="M254" t="n">
        <v>0</v>
      </c>
      <c r="N254" t="n">
        <v>0</v>
      </c>
      <c r="O254" t="n">
        <v>0</v>
      </c>
      <c r="P254" t="n">
        <v>0</v>
      </c>
      <c r="Q254" t="n">
        <v>0</v>
      </c>
      <c r="R254" s="2" t="inlineStr"/>
    </row>
    <row r="255" ht="15" customHeight="1">
      <c r="A255" t="inlineStr">
        <is>
          <t>A 6696-2023</t>
        </is>
      </c>
      <c r="B255" s="1" t="n">
        <v>44966.66425925926</v>
      </c>
      <c r="C255" s="1" t="n">
        <v>45940</v>
      </c>
      <c r="D255" t="inlineStr">
        <is>
          <t>GOTLANDS LÄN</t>
        </is>
      </c>
      <c r="E255" t="inlineStr">
        <is>
          <t>GOTLAND</t>
        </is>
      </c>
      <c r="G255" t="n">
        <v>1.5</v>
      </c>
      <c r="H255" t="n">
        <v>0</v>
      </c>
      <c r="I255" t="n">
        <v>0</v>
      </c>
      <c r="J255" t="n">
        <v>0</v>
      </c>
      <c r="K255" t="n">
        <v>0</v>
      </c>
      <c r="L255" t="n">
        <v>0</v>
      </c>
      <c r="M255" t="n">
        <v>0</v>
      </c>
      <c r="N255" t="n">
        <v>0</v>
      </c>
      <c r="O255" t="n">
        <v>0</v>
      </c>
      <c r="P255" t="n">
        <v>0</v>
      </c>
      <c r="Q255" t="n">
        <v>0</v>
      </c>
      <c r="R255" s="2" t="inlineStr"/>
    </row>
    <row r="256" ht="15" customHeight="1">
      <c r="A256" t="inlineStr">
        <is>
          <t>A 28480-2023</t>
        </is>
      </c>
      <c r="B256" s="1" t="n">
        <v>45103</v>
      </c>
      <c r="C256" s="1" t="n">
        <v>45940</v>
      </c>
      <c r="D256" t="inlineStr">
        <is>
          <t>GOTLANDS LÄN</t>
        </is>
      </c>
      <c r="E256" t="inlineStr">
        <is>
          <t>GOTLAND</t>
        </is>
      </c>
      <c r="G256" t="n">
        <v>5.7</v>
      </c>
      <c r="H256" t="n">
        <v>0</v>
      </c>
      <c r="I256" t="n">
        <v>0</v>
      </c>
      <c r="J256" t="n">
        <v>0</v>
      </c>
      <c r="K256" t="n">
        <v>0</v>
      </c>
      <c r="L256" t="n">
        <v>0</v>
      </c>
      <c r="M256" t="n">
        <v>0</v>
      </c>
      <c r="N256" t="n">
        <v>0</v>
      </c>
      <c r="O256" t="n">
        <v>0</v>
      </c>
      <c r="P256" t="n">
        <v>0</v>
      </c>
      <c r="Q256" t="n">
        <v>0</v>
      </c>
      <c r="R256" s="2" t="inlineStr"/>
    </row>
    <row r="257" ht="15" customHeight="1">
      <c r="A257" t="inlineStr">
        <is>
          <t>A 28485-2023</t>
        </is>
      </c>
      <c r="B257" s="1" t="n">
        <v>45103.43731481482</v>
      </c>
      <c r="C257" s="1" t="n">
        <v>45940</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4990-2025</t>
        </is>
      </c>
      <c r="B258" s="1" t="n">
        <v>45691</v>
      </c>
      <c r="C258" s="1" t="n">
        <v>45940</v>
      </c>
      <c r="D258" t="inlineStr">
        <is>
          <t>GOTLANDS LÄN</t>
        </is>
      </c>
      <c r="E258" t="inlineStr">
        <is>
          <t>GOTLAND</t>
        </is>
      </c>
      <c r="G258" t="n">
        <v>7.7</v>
      </c>
      <c r="H258" t="n">
        <v>0</v>
      </c>
      <c r="I258" t="n">
        <v>0</v>
      </c>
      <c r="J258" t="n">
        <v>0</v>
      </c>
      <c r="K258" t="n">
        <v>0</v>
      </c>
      <c r="L258" t="n">
        <v>0</v>
      </c>
      <c r="M258" t="n">
        <v>0</v>
      </c>
      <c r="N258" t="n">
        <v>0</v>
      </c>
      <c r="O258" t="n">
        <v>0</v>
      </c>
      <c r="P258" t="n">
        <v>0</v>
      </c>
      <c r="Q258" t="n">
        <v>0</v>
      </c>
      <c r="R258" s="2" t="inlineStr"/>
    </row>
    <row r="259" ht="15" customHeight="1">
      <c r="A259" t="inlineStr">
        <is>
          <t>A 21507-2021</t>
        </is>
      </c>
      <c r="B259" s="1" t="n">
        <v>44321</v>
      </c>
      <c r="C259" s="1" t="n">
        <v>45940</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38165-2023</t>
        </is>
      </c>
      <c r="B260" s="1" t="n">
        <v>45161</v>
      </c>
      <c r="C260" s="1" t="n">
        <v>45940</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57219-2021</t>
        </is>
      </c>
      <c r="B261" s="1" t="n">
        <v>44483</v>
      </c>
      <c r="C261" s="1" t="n">
        <v>45940</v>
      </c>
      <c r="D261" t="inlineStr">
        <is>
          <t>GOTLANDS LÄN</t>
        </is>
      </c>
      <c r="E261" t="inlineStr">
        <is>
          <t>GOTLAND</t>
        </is>
      </c>
      <c r="F261" t="inlineStr">
        <is>
          <t>Kyrkan</t>
        </is>
      </c>
      <c r="G261" t="n">
        <v>4</v>
      </c>
      <c r="H261" t="n">
        <v>0</v>
      </c>
      <c r="I261" t="n">
        <v>0</v>
      </c>
      <c r="J261" t="n">
        <v>0</v>
      </c>
      <c r="K261" t="n">
        <v>0</v>
      </c>
      <c r="L261" t="n">
        <v>0</v>
      </c>
      <c r="M261" t="n">
        <v>0</v>
      </c>
      <c r="N261" t="n">
        <v>0</v>
      </c>
      <c r="O261" t="n">
        <v>0</v>
      </c>
      <c r="P261" t="n">
        <v>0</v>
      </c>
      <c r="Q261" t="n">
        <v>0</v>
      </c>
      <c r="R261" s="2" t="inlineStr"/>
    </row>
    <row r="262" ht="15" customHeight="1">
      <c r="A262" t="inlineStr">
        <is>
          <t>A 21164-2024</t>
        </is>
      </c>
      <c r="B262" s="1" t="n">
        <v>45440</v>
      </c>
      <c r="C262" s="1" t="n">
        <v>45940</v>
      </c>
      <c r="D262" t="inlineStr">
        <is>
          <t>GOTLANDS LÄN</t>
        </is>
      </c>
      <c r="E262" t="inlineStr">
        <is>
          <t>GOTLAND</t>
        </is>
      </c>
      <c r="G262" t="n">
        <v>6.3</v>
      </c>
      <c r="H262" t="n">
        <v>0</v>
      </c>
      <c r="I262" t="n">
        <v>0</v>
      </c>
      <c r="J262" t="n">
        <v>0</v>
      </c>
      <c r="K262" t="n">
        <v>0</v>
      </c>
      <c r="L262" t="n">
        <v>0</v>
      </c>
      <c r="M262" t="n">
        <v>0</v>
      </c>
      <c r="N262" t="n">
        <v>0</v>
      </c>
      <c r="O262" t="n">
        <v>0</v>
      </c>
      <c r="P262" t="n">
        <v>0</v>
      </c>
      <c r="Q262" t="n">
        <v>0</v>
      </c>
      <c r="R262" s="2" t="inlineStr"/>
    </row>
    <row r="263" ht="15" customHeight="1">
      <c r="A263" t="inlineStr">
        <is>
          <t>A 17541-2024</t>
        </is>
      </c>
      <c r="B263" s="1" t="n">
        <v>45415</v>
      </c>
      <c r="C263" s="1" t="n">
        <v>45940</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883-2025</t>
        </is>
      </c>
      <c r="B264" s="1" t="n">
        <v>45665</v>
      </c>
      <c r="C264" s="1" t="n">
        <v>45940</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13910-2025</t>
        </is>
      </c>
      <c r="B265" s="1" t="n">
        <v>45737</v>
      </c>
      <c r="C265" s="1" t="n">
        <v>45940</v>
      </c>
      <c r="D265" t="inlineStr">
        <is>
          <t>GOTLANDS LÄN</t>
        </is>
      </c>
      <c r="E265" t="inlineStr">
        <is>
          <t>GOTLAND</t>
        </is>
      </c>
      <c r="F265" t="inlineStr">
        <is>
          <t>Kommuner</t>
        </is>
      </c>
      <c r="G265" t="n">
        <v>3.2</v>
      </c>
      <c r="H265" t="n">
        <v>0</v>
      </c>
      <c r="I265" t="n">
        <v>0</v>
      </c>
      <c r="J265" t="n">
        <v>0</v>
      </c>
      <c r="K265" t="n">
        <v>0</v>
      </c>
      <c r="L265" t="n">
        <v>0</v>
      </c>
      <c r="M265" t="n">
        <v>0</v>
      </c>
      <c r="N265" t="n">
        <v>0</v>
      </c>
      <c r="O265" t="n">
        <v>0</v>
      </c>
      <c r="P265" t="n">
        <v>0</v>
      </c>
      <c r="Q265" t="n">
        <v>0</v>
      </c>
      <c r="R265" s="2" t="inlineStr"/>
    </row>
    <row r="266" ht="15" customHeight="1">
      <c r="A266" t="inlineStr">
        <is>
          <t>A 15436-2025</t>
        </is>
      </c>
      <c r="B266" s="1" t="n">
        <v>45747.47462962963</v>
      </c>
      <c r="C266" s="1" t="n">
        <v>45940</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20794-2025</t>
        </is>
      </c>
      <c r="B267" s="1" t="n">
        <v>45776</v>
      </c>
      <c r="C267" s="1" t="n">
        <v>45940</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53641-2020</t>
        </is>
      </c>
      <c r="B268" s="1" t="n">
        <v>44124</v>
      </c>
      <c r="C268" s="1" t="n">
        <v>45940</v>
      </c>
      <c r="D268" t="inlineStr">
        <is>
          <t>GOTLANDS LÄN</t>
        </is>
      </c>
      <c r="E268" t="inlineStr">
        <is>
          <t>GOTLAND</t>
        </is>
      </c>
      <c r="G268" t="n">
        <v>3.2</v>
      </c>
      <c r="H268" t="n">
        <v>0</v>
      </c>
      <c r="I268" t="n">
        <v>0</v>
      </c>
      <c r="J268" t="n">
        <v>0</v>
      </c>
      <c r="K268" t="n">
        <v>0</v>
      </c>
      <c r="L268" t="n">
        <v>0</v>
      </c>
      <c r="M268" t="n">
        <v>0</v>
      </c>
      <c r="N268" t="n">
        <v>0</v>
      </c>
      <c r="O268" t="n">
        <v>0</v>
      </c>
      <c r="P268" t="n">
        <v>0</v>
      </c>
      <c r="Q268" t="n">
        <v>0</v>
      </c>
      <c r="R268" s="2" t="inlineStr"/>
    </row>
    <row r="269" ht="15" customHeight="1">
      <c r="A269" t="inlineStr">
        <is>
          <t>A 21247-2022</t>
        </is>
      </c>
      <c r="B269" s="1" t="n">
        <v>44705.38832175926</v>
      </c>
      <c r="C269" s="1" t="n">
        <v>45940</v>
      </c>
      <c r="D269" t="inlineStr">
        <is>
          <t>GOTLANDS LÄN</t>
        </is>
      </c>
      <c r="E269" t="inlineStr">
        <is>
          <t>GOTLAND</t>
        </is>
      </c>
      <c r="G269" t="n">
        <v>16.2</v>
      </c>
      <c r="H269" t="n">
        <v>0</v>
      </c>
      <c r="I269" t="n">
        <v>0</v>
      </c>
      <c r="J269" t="n">
        <v>0</v>
      </c>
      <c r="K269" t="n">
        <v>0</v>
      </c>
      <c r="L269" t="n">
        <v>0</v>
      </c>
      <c r="M269" t="n">
        <v>0</v>
      </c>
      <c r="N269" t="n">
        <v>0</v>
      </c>
      <c r="O269" t="n">
        <v>0</v>
      </c>
      <c r="P269" t="n">
        <v>0</v>
      </c>
      <c r="Q269" t="n">
        <v>0</v>
      </c>
      <c r="R269" s="2" t="inlineStr"/>
    </row>
    <row r="270" ht="15" customHeight="1">
      <c r="A270" t="inlineStr">
        <is>
          <t>A 20805-2025</t>
        </is>
      </c>
      <c r="B270" s="1" t="n">
        <v>45776</v>
      </c>
      <c r="C270" s="1" t="n">
        <v>45940</v>
      </c>
      <c r="D270" t="inlineStr">
        <is>
          <t>GOTLANDS LÄN</t>
        </is>
      </c>
      <c r="E270" t="inlineStr">
        <is>
          <t>GOTLAND</t>
        </is>
      </c>
      <c r="G270" t="n">
        <v>3.1</v>
      </c>
      <c r="H270" t="n">
        <v>0</v>
      </c>
      <c r="I270" t="n">
        <v>0</v>
      </c>
      <c r="J270" t="n">
        <v>0</v>
      </c>
      <c r="K270" t="n">
        <v>0</v>
      </c>
      <c r="L270" t="n">
        <v>0</v>
      </c>
      <c r="M270" t="n">
        <v>0</v>
      </c>
      <c r="N270" t="n">
        <v>0</v>
      </c>
      <c r="O270" t="n">
        <v>0</v>
      </c>
      <c r="P270" t="n">
        <v>0</v>
      </c>
      <c r="Q270" t="n">
        <v>0</v>
      </c>
      <c r="R270" s="2" t="inlineStr"/>
    </row>
    <row r="271" ht="15" customHeight="1">
      <c r="A271" t="inlineStr">
        <is>
          <t>A 17901-2023</t>
        </is>
      </c>
      <c r="B271" s="1" t="n">
        <v>45039</v>
      </c>
      <c r="C271" s="1" t="n">
        <v>45940</v>
      </c>
      <c r="D271" t="inlineStr">
        <is>
          <t>GOTLANDS LÄN</t>
        </is>
      </c>
      <c r="E271" t="inlineStr">
        <is>
          <t>GOTLAND</t>
        </is>
      </c>
      <c r="F271" t="inlineStr">
        <is>
          <t>Kyrkan</t>
        </is>
      </c>
      <c r="G271" t="n">
        <v>0.6</v>
      </c>
      <c r="H271" t="n">
        <v>0</v>
      </c>
      <c r="I271" t="n">
        <v>0</v>
      </c>
      <c r="J271" t="n">
        <v>0</v>
      </c>
      <c r="K271" t="n">
        <v>0</v>
      </c>
      <c r="L271" t="n">
        <v>0</v>
      </c>
      <c r="M271" t="n">
        <v>0</v>
      </c>
      <c r="N271" t="n">
        <v>0</v>
      </c>
      <c r="O271" t="n">
        <v>0</v>
      </c>
      <c r="P271" t="n">
        <v>0</v>
      </c>
      <c r="Q271" t="n">
        <v>0</v>
      </c>
      <c r="R271" s="2" t="inlineStr"/>
    </row>
    <row r="272" ht="15" customHeight="1">
      <c r="A272" t="inlineStr">
        <is>
          <t>A 21389-2025</t>
        </is>
      </c>
      <c r="B272" s="1" t="n">
        <v>45782</v>
      </c>
      <c r="C272" s="1" t="n">
        <v>45940</v>
      </c>
      <c r="D272" t="inlineStr">
        <is>
          <t>GOTLANDS LÄN</t>
        </is>
      </c>
      <c r="E272" t="inlineStr">
        <is>
          <t>GOTLAND</t>
        </is>
      </c>
      <c r="G272" t="n">
        <v>4.1</v>
      </c>
      <c r="H272" t="n">
        <v>0</v>
      </c>
      <c r="I272" t="n">
        <v>0</v>
      </c>
      <c r="J272" t="n">
        <v>0</v>
      </c>
      <c r="K272" t="n">
        <v>0</v>
      </c>
      <c r="L272" t="n">
        <v>0</v>
      </c>
      <c r="M272" t="n">
        <v>0</v>
      </c>
      <c r="N272" t="n">
        <v>0</v>
      </c>
      <c r="O272" t="n">
        <v>0</v>
      </c>
      <c r="P272" t="n">
        <v>0</v>
      </c>
      <c r="Q272" t="n">
        <v>0</v>
      </c>
      <c r="R272" s="2" t="inlineStr"/>
    </row>
    <row r="273" ht="15" customHeight="1">
      <c r="A273" t="inlineStr">
        <is>
          <t>A 49693-2023</t>
        </is>
      </c>
      <c r="B273" s="1" t="n">
        <v>45212.38138888889</v>
      </c>
      <c r="C273" s="1" t="n">
        <v>45940</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49697-2023</t>
        </is>
      </c>
      <c r="B274" s="1" t="n">
        <v>45212.38909722222</v>
      </c>
      <c r="C274" s="1" t="n">
        <v>45940</v>
      </c>
      <c r="D274" t="inlineStr">
        <is>
          <t>GOTLANDS LÄN</t>
        </is>
      </c>
      <c r="E274" t="inlineStr">
        <is>
          <t>GOTLAND</t>
        </is>
      </c>
      <c r="G274" t="n">
        <v>4.4</v>
      </c>
      <c r="H274" t="n">
        <v>0</v>
      </c>
      <c r="I274" t="n">
        <v>0</v>
      </c>
      <c r="J274" t="n">
        <v>0</v>
      </c>
      <c r="K274" t="n">
        <v>0</v>
      </c>
      <c r="L274" t="n">
        <v>0</v>
      </c>
      <c r="M274" t="n">
        <v>0</v>
      </c>
      <c r="N274" t="n">
        <v>0</v>
      </c>
      <c r="O274" t="n">
        <v>0</v>
      </c>
      <c r="P274" t="n">
        <v>0</v>
      </c>
      <c r="Q274" t="n">
        <v>0</v>
      </c>
      <c r="R274" s="2" t="inlineStr"/>
    </row>
    <row r="275" ht="15" customHeight="1">
      <c r="A275" t="inlineStr">
        <is>
          <t>A 34312-2024</t>
        </is>
      </c>
      <c r="B275" s="1" t="n">
        <v>45524.69703703704</v>
      </c>
      <c r="C275" s="1" t="n">
        <v>45940</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456-2023</t>
        </is>
      </c>
      <c r="B276" s="1" t="n">
        <v>44929.87122685185</v>
      </c>
      <c r="C276" s="1" t="n">
        <v>45940</v>
      </c>
      <c r="D276" t="inlineStr">
        <is>
          <t>GOTLANDS LÄN</t>
        </is>
      </c>
      <c r="E276" t="inlineStr">
        <is>
          <t>GOTLAND</t>
        </is>
      </c>
      <c r="G276" t="n">
        <v>3.2</v>
      </c>
      <c r="H276" t="n">
        <v>0</v>
      </c>
      <c r="I276" t="n">
        <v>0</v>
      </c>
      <c r="J276" t="n">
        <v>0</v>
      </c>
      <c r="K276" t="n">
        <v>0</v>
      </c>
      <c r="L276" t="n">
        <v>0</v>
      </c>
      <c r="M276" t="n">
        <v>0</v>
      </c>
      <c r="N276" t="n">
        <v>0</v>
      </c>
      <c r="O276" t="n">
        <v>0</v>
      </c>
      <c r="P276" t="n">
        <v>0</v>
      </c>
      <c r="Q276" t="n">
        <v>0</v>
      </c>
      <c r="R276" s="2" t="inlineStr"/>
    </row>
    <row r="277" ht="15" customHeight="1">
      <c r="A277" t="inlineStr">
        <is>
          <t>A 17780-2022</t>
        </is>
      </c>
      <c r="B277" s="1" t="n">
        <v>44682.82622685185</v>
      </c>
      <c r="C277" s="1" t="n">
        <v>45940</v>
      </c>
      <c r="D277" t="inlineStr">
        <is>
          <t>GOTLANDS LÄN</t>
        </is>
      </c>
      <c r="E277" t="inlineStr">
        <is>
          <t>GOTLAND</t>
        </is>
      </c>
      <c r="G277" t="n">
        <v>2.2</v>
      </c>
      <c r="H277" t="n">
        <v>0</v>
      </c>
      <c r="I277" t="n">
        <v>0</v>
      </c>
      <c r="J277" t="n">
        <v>0</v>
      </c>
      <c r="K277" t="n">
        <v>0</v>
      </c>
      <c r="L277" t="n">
        <v>0</v>
      </c>
      <c r="M277" t="n">
        <v>0</v>
      </c>
      <c r="N277" t="n">
        <v>0</v>
      </c>
      <c r="O277" t="n">
        <v>0</v>
      </c>
      <c r="P277" t="n">
        <v>0</v>
      </c>
      <c r="Q277" t="n">
        <v>0</v>
      </c>
      <c r="R277" s="2" t="inlineStr"/>
    </row>
    <row r="278" ht="15" customHeight="1">
      <c r="A278" t="inlineStr">
        <is>
          <t>A 63516-2023</t>
        </is>
      </c>
      <c r="B278" s="1" t="n">
        <v>45274</v>
      </c>
      <c r="C278" s="1" t="n">
        <v>45940</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48503-2023</t>
        </is>
      </c>
      <c r="B279" s="1" t="n">
        <v>45207</v>
      </c>
      <c r="C279" s="1" t="n">
        <v>45940</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21651-2025</t>
        </is>
      </c>
      <c r="B280" s="1" t="n">
        <v>45783</v>
      </c>
      <c r="C280" s="1" t="n">
        <v>45940</v>
      </c>
      <c r="D280" t="inlineStr">
        <is>
          <t>GOTLANDS LÄN</t>
        </is>
      </c>
      <c r="E280" t="inlineStr">
        <is>
          <t>GOTLAND</t>
        </is>
      </c>
      <c r="G280" t="n">
        <v>4.2</v>
      </c>
      <c r="H280" t="n">
        <v>0</v>
      </c>
      <c r="I280" t="n">
        <v>0</v>
      </c>
      <c r="J280" t="n">
        <v>0</v>
      </c>
      <c r="K280" t="n">
        <v>0</v>
      </c>
      <c r="L280" t="n">
        <v>0</v>
      </c>
      <c r="M280" t="n">
        <v>0</v>
      </c>
      <c r="N280" t="n">
        <v>0</v>
      </c>
      <c r="O280" t="n">
        <v>0</v>
      </c>
      <c r="P280" t="n">
        <v>0</v>
      </c>
      <c r="Q280" t="n">
        <v>0</v>
      </c>
      <c r="R280" s="2" t="inlineStr"/>
    </row>
    <row r="281" ht="15" customHeight="1">
      <c r="A281" t="inlineStr">
        <is>
          <t>A 53935-2024</t>
        </is>
      </c>
      <c r="B281" s="1" t="n">
        <v>45615</v>
      </c>
      <c r="C281" s="1" t="n">
        <v>45940</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24825-2024</t>
        </is>
      </c>
      <c r="B282" s="1" t="n">
        <v>45461</v>
      </c>
      <c r="C282" s="1" t="n">
        <v>45940</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69112-2021</t>
        </is>
      </c>
      <c r="B283" s="1" t="n">
        <v>44530</v>
      </c>
      <c r="C283" s="1" t="n">
        <v>45940</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48734-2022</t>
        </is>
      </c>
      <c r="B284" s="1" t="n">
        <v>44855</v>
      </c>
      <c r="C284" s="1" t="n">
        <v>45940</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23516-2023</t>
        </is>
      </c>
      <c r="B285" s="1" t="n">
        <v>45076.93391203704</v>
      </c>
      <c r="C285" s="1" t="n">
        <v>45940</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43231-2023</t>
        </is>
      </c>
      <c r="B286" s="1" t="n">
        <v>45183.47025462963</v>
      </c>
      <c r="C286" s="1" t="n">
        <v>45940</v>
      </c>
      <c r="D286" t="inlineStr">
        <is>
          <t>GOTLANDS LÄN</t>
        </is>
      </c>
      <c r="E286" t="inlineStr">
        <is>
          <t>GOTLAND</t>
        </is>
      </c>
      <c r="G286" t="n">
        <v>3.6</v>
      </c>
      <c r="H286" t="n">
        <v>0</v>
      </c>
      <c r="I286" t="n">
        <v>0</v>
      </c>
      <c r="J286" t="n">
        <v>0</v>
      </c>
      <c r="K286" t="n">
        <v>0</v>
      </c>
      <c r="L286" t="n">
        <v>0</v>
      </c>
      <c r="M286" t="n">
        <v>0</v>
      </c>
      <c r="N286" t="n">
        <v>0</v>
      </c>
      <c r="O286" t="n">
        <v>0</v>
      </c>
      <c r="P286" t="n">
        <v>0</v>
      </c>
      <c r="Q286" t="n">
        <v>0</v>
      </c>
      <c r="R286" s="2" t="inlineStr"/>
    </row>
    <row r="287" ht="15" customHeight="1">
      <c r="A287" t="inlineStr">
        <is>
          <t>A 22031-2024</t>
        </is>
      </c>
      <c r="B287" s="1" t="n">
        <v>45443.60075231481</v>
      </c>
      <c r="C287" s="1" t="n">
        <v>45940</v>
      </c>
      <c r="D287" t="inlineStr">
        <is>
          <t>GOTLANDS LÄN</t>
        </is>
      </c>
      <c r="E287" t="inlineStr">
        <is>
          <t>GOTLAND</t>
        </is>
      </c>
      <c r="G287" t="n">
        <v>2.3</v>
      </c>
      <c r="H287" t="n">
        <v>0</v>
      </c>
      <c r="I287" t="n">
        <v>0</v>
      </c>
      <c r="J287" t="n">
        <v>0</v>
      </c>
      <c r="K287" t="n">
        <v>0</v>
      </c>
      <c r="L287" t="n">
        <v>0</v>
      </c>
      <c r="M287" t="n">
        <v>0</v>
      </c>
      <c r="N287" t="n">
        <v>0</v>
      </c>
      <c r="O287" t="n">
        <v>0</v>
      </c>
      <c r="P287" t="n">
        <v>0</v>
      </c>
      <c r="Q287" t="n">
        <v>0</v>
      </c>
      <c r="R287" s="2" t="inlineStr"/>
    </row>
    <row r="288" ht="15" customHeight="1">
      <c r="A288" t="inlineStr">
        <is>
          <t>A 17688-2024</t>
        </is>
      </c>
      <c r="B288" s="1" t="n">
        <v>45418.43575231481</v>
      </c>
      <c r="C288" s="1" t="n">
        <v>45940</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58476-2022</t>
        </is>
      </c>
      <c r="B289" s="1" t="n">
        <v>44902</v>
      </c>
      <c r="C289" s="1" t="n">
        <v>45940</v>
      </c>
      <c r="D289" t="inlineStr">
        <is>
          <t>GOTLANDS LÄN</t>
        </is>
      </c>
      <c r="E289" t="inlineStr">
        <is>
          <t>GOTLAND</t>
        </is>
      </c>
      <c r="G289" t="n">
        <v>0.9</v>
      </c>
      <c r="H289" t="n">
        <v>0</v>
      </c>
      <c r="I289" t="n">
        <v>0</v>
      </c>
      <c r="J289" t="n">
        <v>0</v>
      </c>
      <c r="K289" t="n">
        <v>0</v>
      </c>
      <c r="L289" t="n">
        <v>0</v>
      </c>
      <c r="M289" t="n">
        <v>0</v>
      </c>
      <c r="N289" t="n">
        <v>0</v>
      </c>
      <c r="O289" t="n">
        <v>0</v>
      </c>
      <c r="P289" t="n">
        <v>0</v>
      </c>
      <c r="Q289" t="n">
        <v>0</v>
      </c>
      <c r="R289" s="2" t="inlineStr"/>
    </row>
    <row r="290" ht="15" customHeight="1">
      <c r="A290" t="inlineStr">
        <is>
          <t>A 58230-2024</t>
        </is>
      </c>
      <c r="B290" s="1" t="n">
        <v>45632.51625</v>
      </c>
      <c r="C290" s="1" t="n">
        <v>45940</v>
      </c>
      <c r="D290" t="inlineStr">
        <is>
          <t>GOTLANDS LÄN</t>
        </is>
      </c>
      <c r="E290" t="inlineStr">
        <is>
          <t>GOTLAND</t>
        </is>
      </c>
      <c r="G290" t="n">
        <v>7.3</v>
      </c>
      <c r="H290" t="n">
        <v>0</v>
      </c>
      <c r="I290" t="n">
        <v>0</v>
      </c>
      <c r="J290" t="n">
        <v>0</v>
      </c>
      <c r="K290" t="n">
        <v>0</v>
      </c>
      <c r="L290" t="n">
        <v>0</v>
      </c>
      <c r="M290" t="n">
        <v>0</v>
      </c>
      <c r="N290" t="n">
        <v>0</v>
      </c>
      <c r="O290" t="n">
        <v>0</v>
      </c>
      <c r="P290" t="n">
        <v>0</v>
      </c>
      <c r="Q290" t="n">
        <v>0</v>
      </c>
      <c r="R290" s="2" t="inlineStr"/>
    </row>
    <row r="291" ht="15" customHeight="1">
      <c r="A291" t="inlineStr">
        <is>
          <t>A 64555-2023</t>
        </is>
      </c>
      <c r="B291" s="1" t="n">
        <v>45281</v>
      </c>
      <c r="C291" s="1" t="n">
        <v>45940</v>
      </c>
      <c r="D291" t="inlineStr">
        <is>
          <t>GOTLANDS LÄN</t>
        </is>
      </c>
      <c r="E291" t="inlineStr">
        <is>
          <t>GOTLAND</t>
        </is>
      </c>
      <c r="G291" t="n">
        <v>3.5</v>
      </c>
      <c r="H291" t="n">
        <v>0</v>
      </c>
      <c r="I291" t="n">
        <v>0</v>
      </c>
      <c r="J291" t="n">
        <v>0</v>
      </c>
      <c r="K291" t="n">
        <v>0</v>
      </c>
      <c r="L291" t="n">
        <v>0</v>
      </c>
      <c r="M291" t="n">
        <v>0</v>
      </c>
      <c r="N291" t="n">
        <v>0</v>
      </c>
      <c r="O291" t="n">
        <v>0</v>
      </c>
      <c r="P291" t="n">
        <v>0</v>
      </c>
      <c r="Q291" t="n">
        <v>0</v>
      </c>
      <c r="R291" s="2" t="inlineStr"/>
    </row>
    <row r="292" ht="15" customHeight="1">
      <c r="A292" t="inlineStr">
        <is>
          <t>A 457-2023</t>
        </is>
      </c>
      <c r="B292" s="1" t="n">
        <v>44929.87238425926</v>
      </c>
      <c r="C292" s="1" t="n">
        <v>45940</v>
      </c>
      <c r="D292" t="inlineStr">
        <is>
          <t>GOTLANDS LÄN</t>
        </is>
      </c>
      <c r="E292" t="inlineStr">
        <is>
          <t>GOTLAND</t>
        </is>
      </c>
      <c r="G292" t="n">
        <v>2.4</v>
      </c>
      <c r="H292" t="n">
        <v>0</v>
      </c>
      <c r="I292" t="n">
        <v>0</v>
      </c>
      <c r="J292" t="n">
        <v>0</v>
      </c>
      <c r="K292" t="n">
        <v>0</v>
      </c>
      <c r="L292" t="n">
        <v>0</v>
      </c>
      <c r="M292" t="n">
        <v>0</v>
      </c>
      <c r="N292" t="n">
        <v>0</v>
      </c>
      <c r="O292" t="n">
        <v>0</v>
      </c>
      <c r="P292" t="n">
        <v>0</v>
      </c>
      <c r="Q292" t="n">
        <v>0</v>
      </c>
      <c r="R292" s="2" t="inlineStr"/>
    </row>
    <row r="293" ht="15" customHeight="1">
      <c r="A293" t="inlineStr">
        <is>
          <t>A 459-2023</t>
        </is>
      </c>
      <c r="B293" s="1" t="n">
        <v>44929.87423611111</v>
      </c>
      <c r="C293" s="1" t="n">
        <v>45940</v>
      </c>
      <c r="D293" t="inlineStr">
        <is>
          <t>GOTLANDS LÄN</t>
        </is>
      </c>
      <c r="E293" t="inlineStr">
        <is>
          <t>GOTLAND</t>
        </is>
      </c>
      <c r="G293" t="n">
        <v>4.2</v>
      </c>
      <c r="H293" t="n">
        <v>0</v>
      </c>
      <c r="I293" t="n">
        <v>0</v>
      </c>
      <c r="J293" t="n">
        <v>0</v>
      </c>
      <c r="K293" t="n">
        <v>0</v>
      </c>
      <c r="L293" t="n">
        <v>0</v>
      </c>
      <c r="M293" t="n">
        <v>0</v>
      </c>
      <c r="N293" t="n">
        <v>0</v>
      </c>
      <c r="O293" t="n">
        <v>0</v>
      </c>
      <c r="P293" t="n">
        <v>0</v>
      </c>
      <c r="Q293" t="n">
        <v>0</v>
      </c>
      <c r="R293" s="2" t="inlineStr"/>
    </row>
    <row r="294" ht="15" customHeight="1">
      <c r="A294" t="inlineStr">
        <is>
          <t>A 6796-2025</t>
        </is>
      </c>
      <c r="B294" s="1" t="n">
        <v>45700.66559027778</v>
      </c>
      <c r="C294" s="1" t="n">
        <v>45940</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63229-2021</t>
        </is>
      </c>
      <c r="B295" s="1" t="n">
        <v>44508.34518518519</v>
      </c>
      <c r="C295" s="1" t="n">
        <v>45940</v>
      </c>
      <c r="D295" t="inlineStr">
        <is>
          <t>GOTLANDS LÄN</t>
        </is>
      </c>
      <c r="E295" t="inlineStr">
        <is>
          <t>GOTLAND</t>
        </is>
      </c>
      <c r="F295" t="inlineStr">
        <is>
          <t>Kyrkan</t>
        </is>
      </c>
      <c r="G295" t="n">
        <v>3.8</v>
      </c>
      <c r="H295" t="n">
        <v>0</v>
      </c>
      <c r="I295" t="n">
        <v>0</v>
      </c>
      <c r="J295" t="n">
        <v>0</v>
      </c>
      <c r="K295" t="n">
        <v>0</v>
      </c>
      <c r="L295" t="n">
        <v>0</v>
      </c>
      <c r="M295" t="n">
        <v>0</v>
      </c>
      <c r="N295" t="n">
        <v>0</v>
      </c>
      <c r="O295" t="n">
        <v>0</v>
      </c>
      <c r="P295" t="n">
        <v>0</v>
      </c>
      <c r="Q295" t="n">
        <v>0</v>
      </c>
      <c r="R295" s="2" t="inlineStr"/>
    </row>
    <row r="296" ht="15" customHeight="1">
      <c r="A296" t="inlineStr">
        <is>
          <t>A 61596-2023</t>
        </is>
      </c>
      <c r="B296" s="1" t="n">
        <v>45265</v>
      </c>
      <c r="C296" s="1" t="n">
        <v>45940</v>
      </c>
      <c r="D296" t="inlineStr">
        <is>
          <t>GOTLANDS LÄN</t>
        </is>
      </c>
      <c r="E296" t="inlineStr">
        <is>
          <t>GOTLAND</t>
        </is>
      </c>
      <c r="G296" t="n">
        <v>1.7</v>
      </c>
      <c r="H296" t="n">
        <v>0</v>
      </c>
      <c r="I296" t="n">
        <v>0</v>
      </c>
      <c r="J296" t="n">
        <v>0</v>
      </c>
      <c r="K296" t="n">
        <v>0</v>
      </c>
      <c r="L296" t="n">
        <v>0</v>
      </c>
      <c r="M296" t="n">
        <v>0</v>
      </c>
      <c r="N296" t="n">
        <v>0</v>
      </c>
      <c r="O296" t="n">
        <v>0</v>
      </c>
      <c r="P296" t="n">
        <v>0</v>
      </c>
      <c r="Q296" t="n">
        <v>0</v>
      </c>
      <c r="R296" s="2" t="inlineStr"/>
    </row>
    <row r="297" ht="15" customHeight="1">
      <c r="A297" t="inlineStr">
        <is>
          <t>A 876-2024</t>
        </is>
      </c>
      <c r="B297" s="1" t="n">
        <v>45301</v>
      </c>
      <c r="C297" s="1" t="n">
        <v>45940</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873-2024</t>
        </is>
      </c>
      <c r="B298" s="1" t="n">
        <v>45301</v>
      </c>
      <c r="C298" s="1" t="n">
        <v>45940</v>
      </c>
      <c r="D298" t="inlineStr">
        <is>
          <t>GOTLANDS LÄN</t>
        </is>
      </c>
      <c r="E298" t="inlineStr">
        <is>
          <t>GOTLAND</t>
        </is>
      </c>
      <c r="G298" t="n">
        <v>2.7</v>
      </c>
      <c r="H298" t="n">
        <v>0</v>
      </c>
      <c r="I298" t="n">
        <v>0</v>
      </c>
      <c r="J298" t="n">
        <v>0</v>
      </c>
      <c r="K298" t="n">
        <v>0</v>
      </c>
      <c r="L298" t="n">
        <v>0</v>
      </c>
      <c r="M298" t="n">
        <v>0</v>
      </c>
      <c r="N298" t="n">
        <v>0</v>
      </c>
      <c r="O298" t="n">
        <v>0</v>
      </c>
      <c r="P298" t="n">
        <v>0</v>
      </c>
      <c r="Q298" t="n">
        <v>0</v>
      </c>
      <c r="R298" s="2" t="inlineStr"/>
    </row>
    <row r="299" ht="15" customHeight="1">
      <c r="A299" t="inlineStr">
        <is>
          <t>A 26891-2024</t>
        </is>
      </c>
      <c r="B299" s="1" t="n">
        <v>45470.65540509259</v>
      </c>
      <c r="C299" s="1" t="n">
        <v>45940</v>
      </c>
      <c r="D299" t="inlineStr">
        <is>
          <t>GOTLANDS LÄN</t>
        </is>
      </c>
      <c r="E299" t="inlineStr">
        <is>
          <t>GOTLAND</t>
        </is>
      </c>
      <c r="G299" t="n">
        <v>0.8</v>
      </c>
      <c r="H299" t="n">
        <v>0</v>
      </c>
      <c r="I299" t="n">
        <v>0</v>
      </c>
      <c r="J299" t="n">
        <v>0</v>
      </c>
      <c r="K299" t="n">
        <v>0</v>
      </c>
      <c r="L299" t="n">
        <v>0</v>
      </c>
      <c r="M299" t="n">
        <v>0</v>
      </c>
      <c r="N299" t="n">
        <v>0</v>
      </c>
      <c r="O299" t="n">
        <v>0</v>
      </c>
      <c r="P299" t="n">
        <v>0</v>
      </c>
      <c r="Q299" t="n">
        <v>0</v>
      </c>
      <c r="R299" s="2" t="inlineStr"/>
    </row>
    <row r="300" ht="15" customHeight="1">
      <c r="A300" t="inlineStr">
        <is>
          <t>A 44228-2022</t>
        </is>
      </c>
      <c r="B300" s="1" t="n">
        <v>44839.51599537037</v>
      </c>
      <c r="C300" s="1" t="n">
        <v>45940</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61386-2023</t>
        </is>
      </c>
      <c r="B301" s="1" t="n">
        <v>45264</v>
      </c>
      <c r="C301" s="1" t="n">
        <v>45940</v>
      </c>
      <c r="D301" t="inlineStr">
        <is>
          <t>GOTLANDS LÄN</t>
        </is>
      </c>
      <c r="E301" t="inlineStr">
        <is>
          <t>GOTLAND</t>
        </is>
      </c>
      <c r="G301" t="n">
        <v>0.7</v>
      </c>
      <c r="H301" t="n">
        <v>0</v>
      </c>
      <c r="I301" t="n">
        <v>0</v>
      </c>
      <c r="J301" t="n">
        <v>0</v>
      </c>
      <c r="K301" t="n">
        <v>0</v>
      </c>
      <c r="L301" t="n">
        <v>0</v>
      </c>
      <c r="M301" t="n">
        <v>0</v>
      </c>
      <c r="N301" t="n">
        <v>0</v>
      </c>
      <c r="O301" t="n">
        <v>0</v>
      </c>
      <c r="P301" t="n">
        <v>0</v>
      </c>
      <c r="Q301" t="n">
        <v>0</v>
      </c>
      <c r="R301" s="2" t="inlineStr"/>
    </row>
    <row r="302" ht="15" customHeight="1">
      <c r="A302" t="inlineStr">
        <is>
          <t>A 14536-2021</t>
        </is>
      </c>
      <c r="B302" s="1" t="n">
        <v>44279.66168981481</v>
      </c>
      <c r="C302" s="1" t="n">
        <v>45940</v>
      </c>
      <c r="D302" t="inlineStr">
        <is>
          <t>GOTLANDS LÄN</t>
        </is>
      </c>
      <c r="E302" t="inlineStr">
        <is>
          <t>GOTLAND</t>
        </is>
      </c>
      <c r="G302" t="n">
        <v>8.5</v>
      </c>
      <c r="H302" t="n">
        <v>0</v>
      </c>
      <c r="I302" t="n">
        <v>0</v>
      </c>
      <c r="J302" t="n">
        <v>0</v>
      </c>
      <c r="K302" t="n">
        <v>0</v>
      </c>
      <c r="L302" t="n">
        <v>0</v>
      </c>
      <c r="M302" t="n">
        <v>0</v>
      </c>
      <c r="N302" t="n">
        <v>0</v>
      </c>
      <c r="O302" t="n">
        <v>0</v>
      </c>
      <c r="P302" t="n">
        <v>0</v>
      </c>
      <c r="Q302" t="n">
        <v>0</v>
      </c>
      <c r="R302" s="2" t="inlineStr"/>
    </row>
    <row r="303" ht="15" customHeight="1">
      <c r="A303" t="inlineStr">
        <is>
          <t>A 27694-2024</t>
        </is>
      </c>
      <c r="B303" s="1" t="n">
        <v>45475</v>
      </c>
      <c r="C303" s="1" t="n">
        <v>45940</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21420-2024</t>
        </is>
      </c>
      <c r="B304" s="1" t="n">
        <v>45441.38293981482</v>
      </c>
      <c r="C304" s="1" t="n">
        <v>45940</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5923-2023</t>
        </is>
      </c>
      <c r="B305" s="1" t="n">
        <v>44963.69503472222</v>
      </c>
      <c r="C305" s="1" t="n">
        <v>45940</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10656-2024</t>
        </is>
      </c>
      <c r="B306" s="1" t="n">
        <v>45368</v>
      </c>
      <c r="C306" s="1" t="n">
        <v>45940</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57356-2023</t>
        </is>
      </c>
      <c r="B307" s="1" t="n">
        <v>45240</v>
      </c>
      <c r="C307" s="1" t="n">
        <v>45940</v>
      </c>
      <c r="D307" t="inlineStr">
        <is>
          <t>GOTLANDS LÄN</t>
        </is>
      </c>
      <c r="E307" t="inlineStr">
        <is>
          <t>GOTLAND</t>
        </is>
      </c>
      <c r="G307" t="n">
        <v>6.4</v>
      </c>
      <c r="H307" t="n">
        <v>0</v>
      </c>
      <c r="I307" t="n">
        <v>0</v>
      </c>
      <c r="J307" t="n">
        <v>0</v>
      </c>
      <c r="K307" t="n">
        <v>0</v>
      </c>
      <c r="L307" t="n">
        <v>0</v>
      </c>
      <c r="M307" t="n">
        <v>0</v>
      </c>
      <c r="N307" t="n">
        <v>0</v>
      </c>
      <c r="O307" t="n">
        <v>0</v>
      </c>
      <c r="P307" t="n">
        <v>0</v>
      </c>
      <c r="Q307" t="n">
        <v>0</v>
      </c>
      <c r="R307" s="2" t="inlineStr"/>
    </row>
    <row r="308" ht="15" customHeight="1">
      <c r="A308" t="inlineStr">
        <is>
          <t>A 39764-2022</t>
        </is>
      </c>
      <c r="B308" s="1" t="n">
        <v>44819</v>
      </c>
      <c r="C308" s="1" t="n">
        <v>45940</v>
      </c>
      <c r="D308" t="inlineStr">
        <is>
          <t>GOTLANDS LÄN</t>
        </is>
      </c>
      <c r="E308" t="inlineStr">
        <is>
          <t>GOTLAND</t>
        </is>
      </c>
      <c r="F308" t="inlineStr">
        <is>
          <t>Kyrkan</t>
        </is>
      </c>
      <c r="G308" t="n">
        <v>3.7</v>
      </c>
      <c r="H308" t="n">
        <v>0</v>
      </c>
      <c r="I308" t="n">
        <v>0</v>
      </c>
      <c r="J308" t="n">
        <v>0</v>
      </c>
      <c r="K308" t="n">
        <v>0</v>
      </c>
      <c r="L308" t="n">
        <v>0</v>
      </c>
      <c r="M308" t="n">
        <v>0</v>
      </c>
      <c r="N308" t="n">
        <v>0</v>
      </c>
      <c r="O308" t="n">
        <v>0</v>
      </c>
      <c r="P308" t="n">
        <v>0</v>
      </c>
      <c r="Q308" t="n">
        <v>0</v>
      </c>
      <c r="R308" s="2" t="inlineStr"/>
    </row>
    <row r="309" ht="15" customHeight="1">
      <c r="A309" t="inlineStr">
        <is>
          <t>A 6099-2024</t>
        </is>
      </c>
      <c r="B309" s="1" t="n">
        <v>45337</v>
      </c>
      <c r="C309" s="1" t="n">
        <v>45940</v>
      </c>
      <c r="D309" t="inlineStr">
        <is>
          <t>GOTLANDS LÄN</t>
        </is>
      </c>
      <c r="E309" t="inlineStr">
        <is>
          <t>GOTLAND</t>
        </is>
      </c>
      <c r="G309" t="n">
        <v>12.6</v>
      </c>
      <c r="H309" t="n">
        <v>0</v>
      </c>
      <c r="I309" t="n">
        <v>0</v>
      </c>
      <c r="J309" t="n">
        <v>0</v>
      </c>
      <c r="K309" t="n">
        <v>0</v>
      </c>
      <c r="L309" t="n">
        <v>0</v>
      </c>
      <c r="M309" t="n">
        <v>0</v>
      </c>
      <c r="N309" t="n">
        <v>0</v>
      </c>
      <c r="O309" t="n">
        <v>0</v>
      </c>
      <c r="P309" t="n">
        <v>0</v>
      </c>
      <c r="Q309" t="n">
        <v>0</v>
      </c>
      <c r="R309" s="2" t="inlineStr"/>
    </row>
    <row r="310" ht="15" customHeight="1">
      <c r="A310" t="inlineStr">
        <is>
          <t>A 8260-2023</t>
        </is>
      </c>
      <c r="B310" s="1" t="n">
        <v>44974.61608796296</v>
      </c>
      <c r="C310" s="1" t="n">
        <v>45940</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50482-2024</t>
        </is>
      </c>
      <c r="B311" s="1" t="n">
        <v>45601.48114583334</v>
      </c>
      <c r="C311" s="1" t="n">
        <v>45940</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28506-2023</t>
        </is>
      </c>
      <c r="B312" s="1" t="n">
        <v>45103</v>
      </c>
      <c r="C312" s="1" t="n">
        <v>45940</v>
      </c>
      <c r="D312" t="inlineStr">
        <is>
          <t>GOTLANDS LÄN</t>
        </is>
      </c>
      <c r="E312" t="inlineStr">
        <is>
          <t>GOTLAND</t>
        </is>
      </c>
      <c r="G312" t="n">
        <v>3.2</v>
      </c>
      <c r="H312" t="n">
        <v>0</v>
      </c>
      <c r="I312" t="n">
        <v>0</v>
      </c>
      <c r="J312" t="n">
        <v>0</v>
      </c>
      <c r="K312" t="n">
        <v>0</v>
      </c>
      <c r="L312" t="n">
        <v>0</v>
      </c>
      <c r="M312" t="n">
        <v>0</v>
      </c>
      <c r="N312" t="n">
        <v>0</v>
      </c>
      <c r="O312" t="n">
        <v>0</v>
      </c>
      <c r="P312" t="n">
        <v>0</v>
      </c>
      <c r="Q312" t="n">
        <v>0</v>
      </c>
      <c r="R312" s="2" t="inlineStr"/>
    </row>
    <row r="313" ht="15" customHeight="1">
      <c r="A313" t="inlineStr">
        <is>
          <t>A 27593-2023</t>
        </is>
      </c>
      <c r="B313" s="1" t="n">
        <v>45097</v>
      </c>
      <c r="C313" s="1" t="n">
        <v>45940</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25129-2023</t>
        </is>
      </c>
      <c r="B314" s="1" t="n">
        <v>45086.44261574074</v>
      </c>
      <c r="C314" s="1" t="n">
        <v>45940</v>
      </c>
      <c r="D314" t="inlineStr">
        <is>
          <t>GOTLANDS LÄN</t>
        </is>
      </c>
      <c r="E314" t="inlineStr">
        <is>
          <t>GOTLAND</t>
        </is>
      </c>
      <c r="G314" t="n">
        <v>1.5</v>
      </c>
      <c r="H314" t="n">
        <v>0</v>
      </c>
      <c r="I314" t="n">
        <v>0</v>
      </c>
      <c r="J314" t="n">
        <v>0</v>
      </c>
      <c r="K314" t="n">
        <v>0</v>
      </c>
      <c r="L314" t="n">
        <v>0</v>
      </c>
      <c r="M314" t="n">
        <v>0</v>
      </c>
      <c r="N314" t="n">
        <v>0</v>
      </c>
      <c r="O314" t="n">
        <v>0</v>
      </c>
      <c r="P314" t="n">
        <v>0</v>
      </c>
      <c r="Q314" t="n">
        <v>0</v>
      </c>
      <c r="R314" s="2" t="inlineStr"/>
    </row>
    <row r="315" ht="15" customHeight="1">
      <c r="A315" t="inlineStr">
        <is>
          <t>A 23188-2025</t>
        </is>
      </c>
      <c r="B315" s="1" t="n">
        <v>45791</v>
      </c>
      <c r="C315" s="1" t="n">
        <v>45940</v>
      </c>
      <c r="D315" t="inlineStr">
        <is>
          <t>GOTLANDS LÄN</t>
        </is>
      </c>
      <c r="E315" t="inlineStr">
        <is>
          <t>GOTLAND</t>
        </is>
      </c>
      <c r="G315" t="n">
        <v>6.2</v>
      </c>
      <c r="H315" t="n">
        <v>0</v>
      </c>
      <c r="I315" t="n">
        <v>0</v>
      </c>
      <c r="J315" t="n">
        <v>0</v>
      </c>
      <c r="K315" t="n">
        <v>0</v>
      </c>
      <c r="L315" t="n">
        <v>0</v>
      </c>
      <c r="M315" t="n">
        <v>0</v>
      </c>
      <c r="N315" t="n">
        <v>0</v>
      </c>
      <c r="O315" t="n">
        <v>0</v>
      </c>
      <c r="P315" t="n">
        <v>0</v>
      </c>
      <c r="Q315" t="n">
        <v>0</v>
      </c>
      <c r="R315" s="2" t="inlineStr"/>
    </row>
    <row r="316" ht="15" customHeight="1">
      <c r="A316" t="inlineStr">
        <is>
          <t>A 22287-2022</t>
        </is>
      </c>
      <c r="B316" s="1" t="n">
        <v>44712</v>
      </c>
      <c r="C316" s="1" t="n">
        <v>45940</v>
      </c>
      <c r="D316" t="inlineStr">
        <is>
          <t>GOTLANDS LÄN</t>
        </is>
      </c>
      <c r="E316" t="inlineStr">
        <is>
          <t>GOTLAND</t>
        </is>
      </c>
      <c r="G316" t="n">
        <v>6.1</v>
      </c>
      <c r="H316" t="n">
        <v>0</v>
      </c>
      <c r="I316" t="n">
        <v>0</v>
      </c>
      <c r="J316" t="n">
        <v>0</v>
      </c>
      <c r="K316" t="n">
        <v>0</v>
      </c>
      <c r="L316" t="n">
        <v>0</v>
      </c>
      <c r="M316" t="n">
        <v>0</v>
      </c>
      <c r="N316" t="n">
        <v>0</v>
      </c>
      <c r="O316" t="n">
        <v>0</v>
      </c>
      <c r="P316" t="n">
        <v>0</v>
      </c>
      <c r="Q316" t="n">
        <v>0</v>
      </c>
      <c r="R316" s="2" t="inlineStr"/>
    </row>
    <row r="317" ht="15" customHeight="1">
      <c r="A317" t="inlineStr">
        <is>
          <t>A 5943-2024</t>
        </is>
      </c>
      <c r="B317" s="1" t="n">
        <v>45336</v>
      </c>
      <c r="C317" s="1" t="n">
        <v>45940</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57534-2022</t>
        </is>
      </c>
      <c r="B318" s="1" t="n">
        <v>44896</v>
      </c>
      <c r="C318" s="1" t="n">
        <v>45940</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38234-2023</t>
        </is>
      </c>
      <c r="B319" s="1" t="n">
        <v>45161.56663194444</v>
      </c>
      <c r="C319" s="1" t="n">
        <v>45940</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1273-2023</t>
        </is>
      </c>
      <c r="B320" s="1" t="n">
        <v>44936</v>
      </c>
      <c r="C320" s="1" t="n">
        <v>45940</v>
      </c>
      <c r="D320" t="inlineStr">
        <is>
          <t>GOTLANDS LÄN</t>
        </is>
      </c>
      <c r="E320" t="inlineStr">
        <is>
          <t>GOTLAND</t>
        </is>
      </c>
      <c r="G320" t="n">
        <v>4.5</v>
      </c>
      <c r="H320" t="n">
        <v>0</v>
      </c>
      <c r="I320" t="n">
        <v>0</v>
      </c>
      <c r="J320" t="n">
        <v>0</v>
      </c>
      <c r="K320" t="n">
        <v>0</v>
      </c>
      <c r="L320" t="n">
        <v>0</v>
      </c>
      <c r="M320" t="n">
        <v>0</v>
      </c>
      <c r="N320" t="n">
        <v>0</v>
      </c>
      <c r="O320" t="n">
        <v>0</v>
      </c>
      <c r="P320" t="n">
        <v>0</v>
      </c>
      <c r="Q320" t="n">
        <v>0</v>
      </c>
      <c r="R320" s="2" t="inlineStr"/>
    </row>
    <row r="321" ht="15" customHeight="1">
      <c r="A321" t="inlineStr">
        <is>
          <t>A 23856-2025</t>
        </is>
      </c>
      <c r="B321" s="1" t="n">
        <v>45793</v>
      </c>
      <c r="C321" s="1" t="n">
        <v>45940</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23473-2025</t>
        </is>
      </c>
      <c r="B322" s="1" t="n">
        <v>45792</v>
      </c>
      <c r="C322" s="1" t="n">
        <v>45940</v>
      </c>
      <c r="D322" t="inlineStr">
        <is>
          <t>GOTLANDS LÄN</t>
        </is>
      </c>
      <c r="E322" t="inlineStr">
        <is>
          <t>GOTLAND</t>
        </is>
      </c>
      <c r="G322" t="n">
        <v>3.6</v>
      </c>
      <c r="H322" t="n">
        <v>0</v>
      </c>
      <c r="I322" t="n">
        <v>0</v>
      </c>
      <c r="J322" t="n">
        <v>0</v>
      </c>
      <c r="K322" t="n">
        <v>0</v>
      </c>
      <c r="L322" t="n">
        <v>0</v>
      </c>
      <c r="M322" t="n">
        <v>0</v>
      </c>
      <c r="N322" t="n">
        <v>0</v>
      </c>
      <c r="O322" t="n">
        <v>0</v>
      </c>
      <c r="P322" t="n">
        <v>0</v>
      </c>
      <c r="Q322" t="n">
        <v>0</v>
      </c>
      <c r="R322" s="2" t="inlineStr"/>
    </row>
    <row r="323" ht="15" customHeight="1">
      <c r="A323" t="inlineStr">
        <is>
          <t>A 23698-2025</t>
        </is>
      </c>
      <c r="B323" s="1" t="n">
        <v>45793</v>
      </c>
      <c r="C323" s="1" t="n">
        <v>45940</v>
      </c>
      <c r="D323" t="inlineStr">
        <is>
          <t>GOTLANDS LÄN</t>
        </is>
      </c>
      <c r="E323" t="inlineStr">
        <is>
          <t>GOTLAND</t>
        </is>
      </c>
      <c r="G323" t="n">
        <v>0.8</v>
      </c>
      <c r="H323" t="n">
        <v>0</v>
      </c>
      <c r="I323" t="n">
        <v>0</v>
      </c>
      <c r="J323" t="n">
        <v>0</v>
      </c>
      <c r="K323" t="n">
        <v>0</v>
      </c>
      <c r="L323" t="n">
        <v>0</v>
      </c>
      <c r="M323" t="n">
        <v>0</v>
      </c>
      <c r="N323" t="n">
        <v>0</v>
      </c>
      <c r="O323" t="n">
        <v>0</v>
      </c>
      <c r="P323" t="n">
        <v>0</v>
      </c>
      <c r="Q323" t="n">
        <v>0</v>
      </c>
      <c r="R323" s="2" t="inlineStr"/>
    </row>
    <row r="324" ht="15" customHeight="1">
      <c r="A324" t="inlineStr">
        <is>
          <t>A 15073-2025</t>
        </is>
      </c>
      <c r="B324" s="1" t="n">
        <v>45743</v>
      </c>
      <c r="C324" s="1" t="n">
        <v>45940</v>
      </c>
      <c r="D324" t="inlineStr">
        <is>
          <t>GOTLANDS LÄN</t>
        </is>
      </c>
      <c r="E324" t="inlineStr">
        <is>
          <t>GOTLAND</t>
        </is>
      </c>
      <c r="G324" t="n">
        <v>12.1</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45940</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17724-2024</t>
        </is>
      </c>
      <c r="B326" s="1" t="n">
        <v>45418.55096064815</v>
      </c>
      <c r="C326" s="1" t="n">
        <v>45940</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56009-2024</t>
        </is>
      </c>
      <c r="B327" s="1" t="n">
        <v>45623.80864583333</v>
      </c>
      <c r="C327" s="1" t="n">
        <v>45940</v>
      </c>
      <c r="D327" t="inlineStr">
        <is>
          <t>GOTLANDS LÄN</t>
        </is>
      </c>
      <c r="E327" t="inlineStr">
        <is>
          <t>GOTLAND</t>
        </is>
      </c>
      <c r="G327" t="n">
        <v>2.8</v>
      </c>
      <c r="H327" t="n">
        <v>0</v>
      </c>
      <c r="I327" t="n">
        <v>0</v>
      </c>
      <c r="J327" t="n">
        <v>0</v>
      </c>
      <c r="K327" t="n">
        <v>0</v>
      </c>
      <c r="L327" t="n">
        <v>0</v>
      </c>
      <c r="M327" t="n">
        <v>0</v>
      </c>
      <c r="N327" t="n">
        <v>0</v>
      </c>
      <c r="O327" t="n">
        <v>0</v>
      </c>
      <c r="P327" t="n">
        <v>0</v>
      </c>
      <c r="Q327" t="n">
        <v>0</v>
      </c>
      <c r="R327" s="2" t="inlineStr"/>
    </row>
    <row r="328" ht="15" customHeight="1">
      <c r="A328" t="inlineStr">
        <is>
          <t>A 54073-2022</t>
        </is>
      </c>
      <c r="B328" s="1" t="n">
        <v>44881.50380787037</v>
      </c>
      <c r="C328" s="1" t="n">
        <v>45940</v>
      </c>
      <c r="D328" t="inlineStr">
        <is>
          <t>GOTLANDS LÄN</t>
        </is>
      </c>
      <c r="E328" t="inlineStr">
        <is>
          <t>GOTLAND</t>
        </is>
      </c>
      <c r="G328" t="n">
        <v>3.8</v>
      </c>
      <c r="H328" t="n">
        <v>0</v>
      </c>
      <c r="I328" t="n">
        <v>0</v>
      </c>
      <c r="J328" t="n">
        <v>0</v>
      </c>
      <c r="K328" t="n">
        <v>0</v>
      </c>
      <c r="L328" t="n">
        <v>0</v>
      </c>
      <c r="M328" t="n">
        <v>0</v>
      </c>
      <c r="N328" t="n">
        <v>0</v>
      </c>
      <c r="O328" t="n">
        <v>0</v>
      </c>
      <c r="P328" t="n">
        <v>0</v>
      </c>
      <c r="Q328" t="n">
        <v>0</v>
      </c>
      <c r="R328" s="2" t="inlineStr"/>
    </row>
    <row r="329" ht="15" customHeight="1">
      <c r="A329" t="inlineStr">
        <is>
          <t>A 23978-2023</t>
        </is>
      </c>
      <c r="B329" s="1" t="n">
        <v>45078</v>
      </c>
      <c r="C329" s="1" t="n">
        <v>45940</v>
      </c>
      <c r="D329" t="inlineStr">
        <is>
          <t>GOTLANDS LÄN</t>
        </is>
      </c>
      <c r="E329" t="inlineStr">
        <is>
          <t>GOTLAND</t>
        </is>
      </c>
      <c r="F329" t="inlineStr">
        <is>
          <t>Naturvårdsverket</t>
        </is>
      </c>
      <c r="G329" t="n">
        <v>1.7</v>
      </c>
      <c r="H329" t="n">
        <v>0</v>
      </c>
      <c r="I329" t="n">
        <v>0</v>
      </c>
      <c r="J329" t="n">
        <v>0</v>
      </c>
      <c r="K329" t="n">
        <v>0</v>
      </c>
      <c r="L329" t="n">
        <v>0</v>
      </c>
      <c r="M329" t="n">
        <v>0</v>
      </c>
      <c r="N329" t="n">
        <v>0</v>
      </c>
      <c r="O329" t="n">
        <v>0</v>
      </c>
      <c r="P329" t="n">
        <v>0</v>
      </c>
      <c r="Q329" t="n">
        <v>0</v>
      </c>
      <c r="R329" s="2" t="inlineStr"/>
    </row>
    <row r="330" ht="15" customHeight="1">
      <c r="A330" t="inlineStr">
        <is>
          <t>A 49884-2023</t>
        </is>
      </c>
      <c r="B330" s="1" t="n">
        <v>45213</v>
      </c>
      <c r="C330" s="1" t="n">
        <v>45940</v>
      </c>
      <c r="D330" t="inlineStr">
        <is>
          <t>GOTLANDS LÄN</t>
        </is>
      </c>
      <c r="E330" t="inlineStr">
        <is>
          <t>GOTLAND</t>
        </is>
      </c>
      <c r="G330" t="n">
        <v>8.9</v>
      </c>
      <c r="H330" t="n">
        <v>0</v>
      </c>
      <c r="I330" t="n">
        <v>0</v>
      </c>
      <c r="J330" t="n">
        <v>0</v>
      </c>
      <c r="K330" t="n">
        <v>0</v>
      </c>
      <c r="L330" t="n">
        <v>0</v>
      </c>
      <c r="M330" t="n">
        <v>0</v>
      </c>
      <c r="N330" t="n">
        <v>0</v>
      </c>
      <c r="O330" t="n">
        <v>0</v>
      </c>
      <c r="P330" t="n">
        <v>0</v>
      </c>
      <c r="Q330" t="n">
        <v>0</v>
      </c>
      <c r="R330" s="2" t="inlineStr"/>
    </row>
    <row r="331" ht="15" customHeight="1">
      <c r="A331" t="inlineStr">
        <is>
          <t>A 6749-2025</t>
        </is>
      </c>
      <c r="B331" s="1" t="n">
        <v>45700</v>
      </c>
      <c r="C331" s="1" t="n">
        <v>45940</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3964-2024</t>
        </is>
      </c>
      <c r="B332" s="1" t="n">
        <v>45322</v>
      </c>
      <c r="C332" s="1" t="n">
        <v>45940</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12846-2025</t>
        </is>
      </c>
      <c r="B333" s="1" t="n">
        <v>45733.65049768519</v>
      </c>
      <c r="C333" s="1" t="n">
        <v>45940</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20855-2023</t>
        </is>
      </c>
      <c r="B334" s="1" t="n">
        <v>45058.82172453704</v>
      </c>
      <c r="C334" s="1" t="n">
        <v>45940</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43200-2023</t>
        </is>
      </c>
      <c r="B335" s="1" t="n">
        <v>45183</v>
      </c>
      <c r="C335" s="1" t="n">
        <v>45940</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45106-2024</t>
        </is>
      </c>
      <c r="B336" s="1" t="n">
        <v>45575</v>
      </c>
      <c r="C336" s="1" t="n">
        <v>45940</v>
      </c>
      <c r="D336" t="inlineStr">
        <is>
          <t>GOTLANDS LÄN</t>
        </is>
      </c>
      <c r="E336" t="inlineStr">
        <is>
          <t>GOTLAND</t>
        </is>
      </c>
      <c r="G336" t="n">
        <v>10</v>
      </c>
      <c r="H336" t="n">
        <v>0</v>
      </c>
      <c r="I336" t="n">
        <v>0</v>
      </c>
      <c r="J336" t="n">
        <v>0</v>
      </c>
      <c r="K336" t="n">
        <v>0</v>
      </c>
      <c r="L336" t="n">
        <v>0</v>
      </c>
      <c r="M336" t="n">
        <v>0</v>
      </c>
      <c r="N336" t="n">
        <v>0</v>
      </c>
      <c r="O336" t="n">
        <v>0</v>
      </c>
      <c r="P336" t="n">
        <v>0</v>
      </c>
      <c r="Q336" t="n">
        <v>0</v>
      </c>
      <c r="R336" s="2" t="inlineStr"/>
    </row>
    <row r="337" ht="15" customHeight="1">
      <c r="A337" t="inlineStr">
        <is>
          <t>A 45112-2024</t>
        </is>
      </c>
      <c r="B337" s="1" t="n">
        <v>45575</v>
      </c>
      <c r="C337" s="1" t="n">
        <v>45940</v>
      </c>
      <c r="D337" t="inlineStr">
        <is>
          <t>GOTLANDS LÄN</t>
        </is>
      </c>
      <c r="E337" t="inlineStr">
        <is>
          <t>GOTLAND</t>
        </is>
      </c>
      <c r="G337" t="n">
        <v>5.1</v>
      </c>
      <c r="H337" t="n">
        <v>0</v>
      </c>
      <c r="I337" t="n">
        <v>0</v>
      </c>
      <c r="J337" t="n">
        <v>0</v>
      </c>
      <c r="K337" t="n">
        <v>0</v>
      </c>
      <c r="L337" t="n">
        <v>0</v>
      </c>
      <c r="M337" t="n">
        <v>0</v>
      </c>
      <c r="N337" t="n">
        <v>0</v>
      </c>
      <c r="O337" t="n">
        <v>0</v>
      </c>
      <c r="P337" t="n">
        <v>0</v>
      </c>
      <c r="Q337" t="n">
        <v>0</v>
      </c>
      <c r="R337" s="2" t="inlineStr"/>
    </row>
    <row r="338" ht="15" customHeight="1">
      <c r="A338" t="inlineStr">
        <is>
          <t>A 7026-2023</t>
        </is>
      </c>
      <c r="B338" s="1" t="n">
        <v>44968.30340277778</v>
      </c>
      <c r="C338" s="1" t="n">
        <v>45940</v>
      </c>
      <c r="D338" t="inlineStr">
        <is>
          <t>GOTLANDS LÄN</t>
        </is>
      </c>
      <c r="E338" t="inlineStr">
        <is>
          <t>GOTLAND</t>
        </is>
      </c>
      <c r="G338" t="n">
        <v>2.9</v>
      </c>
      <c r="H338" t="n">
        <v>0</v>
      </c>
      <c r="I338" t="n">
        <v>0</v>
      </c>
      <c r="J338" t="n">
        <v>0</v>
      </c>
      <c r="K338" t="n">
        <v>0</v>
      </c>
      <c r="L338" t="n">
        <v>0</v>
      </c>
      <c r="M338" t="n">
        <v>0</v>
      </c>
      <c r="N338" t="n">
        <v>0</v>
      </c>
      <c r="O338" t="n">
        <v>0</v>
      </c>
      <c r="P338" t="n">
        <v>0</v>
      </c>
      <c r="Q338" t="n">
        <v>0</v>
      </c>
      <c r="R338" s="2" t="inlineStr"/>
    </row>
    <row r="339" ht="15" customHeight="1">
      <c r="A339" t="inlineStr">
        <is>
          <t>A 60709-2023</t>
        </is>
      </c>
      <c r="B339" s="1" t="n">
        <v>45260</v>
      </c>
      <c r="C339" s="1" t="n">
        <v>45940</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5462-2025</t>
        </is>
      </c>
      <c r="B340" s="1" t="n">
        <v>45693.29331018519</v>
      </c>
      <c r="C340" s="1" t="n">
        <v>45940</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1000-2024</t>
        </is>
      </c>
      <c r="B341" s="1" t="n">
        <v>45301.63371527778</v>
      </c>
      <c r="C341" s="1" t="n">
        <v>45940</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1010-2024</t>
        </is>
      </c>
      <c r="B342" s="1" t="n">
        <v>45301</v>
      </c>
      <c r="C342" s="1" t="n">
        <v>45940</v>
      </c>
      <c r="D342" t="inlineStr">
        <is>
          <t>GOTLANDS LÄN</t>
        </is>
      </c>
      <c r="E342" t="inlineStr">
        <is>
          <t>GOTLAND</t>
        </is>
      </c>
      <c r="G342" t="n">
        <v>2.4</v>
      </c>
      <c r="H342" t="n">
        <v>0</v>
      </c>
      <c r="I342" t="n">
        <v>0</v>
      </c>
      <c r="J342" t="n">
        <v>0</v>
      </c>
      <c r="K342" t="n">
        <v>0</v>
      </c>
      <c r="L342" t="n">
        <v>0</v>
      </c>
      <c r="M342" t="n">
        <v>0</v>
      </c>
      <c r="N342" t="n">
        <v>0</v>
      </c>
      <c r="O342" t="n">
        <v>0</v>
      </c>
      <c r="P342" t="n">
        <v>0</v>
      </c>
      <c r="Q342" t="n">
        <v>0</v>
      </c>
      <c r="R342" s="2" t="inlineStr"/>
    </row>
    <row r="343" ht="15" customHeight="1">
      <c r="A343" t="inlineStr">
        <is>
          <t>A 65249-2023</t>
        </is>
      </c>
      <c r="B343" s="1" t="n">
        <v>45290</v>
      </c>
      <c r="C343" s="1" t="n">
        <v>45940</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3935-2025</t>
        </is>
      </c>
      <c r="B344" s="1" t="n">
        <v>45684.46070601852</v>
      </c>
      <c r="C344" s="1" t="n">
        <v>45940</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52892-2021</t>
        </is>
      </c>
      <c r="B345" s="1" t="n">
        <v>44467.49048611111</v>
      </c>
      <c r="C345" s="1" t="n">
        <v>45940</v>
      </c>
      <c r="D345" t="inlineStr">
        <is>
          <t>GOTLANDS LÄN</t>
        </is>
      </c>
      <c r="E345" t="inlineStr">
        <is>
          <t>GOTLAND</t>
        </is>
      </c>
      <c r="G345" t="n">
        <v>2</v>
      </c>
      <c r="H345" t="n">
        <v>0</v>
      </c>
      <c r="I345" t="n">
        <v>0</v>
      </c>
      <c r="J345" t="n">
        <v>0</v>
      </c>
      <c r="K345" t="n">
        <v>0</v>
      </c>
      <c r="L345" t="n">
        <v>0</v>
      </c>
      <c r="M345" t="n">
        <v>0</v>
      </c>
      <c r="N345" t="n">
        <v>0</v>
      </c>
      <c r="O345" t="n">
        <v>0</v>
      </c>
      <c r="P345" t="n">
        <v>0</v>
      </c>
      <c r="Q345" t="n">
        <v>0</v>
      </c>
      <c r="R345" s="2" t="inlineStr"/>
    </row>
    <row r="346" ht="15" customHeight="1">
      <c r="A346" t="inlineStr">
        <is>
          <t>A 1351-2025</t>
        </is>
      </c>
      <c r="B346" s="1" t="n">
        <v>45667.62246527777</v>
      </c>
      <c r="C346" s="1" t="n">
        <v>45940</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30956-2024</t>
        </is>
      </c>
      <c r="B347" s="1" t="n">
        <v>45499.42527777778</v>
      </c>
      <c r="C347" s="1" t="n">
        <v>45940</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49874-2024</t>
        </is>
      </c>
      <c r="B348" s="1" t="n">
        <v>45597.49274305555</v>
      </c>
      <c r="C348" s="1" t="n">
        <v>45940</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21792-2024</t>
        </is>
      </c>
      <c r="B349" s="1" t="n">
        <v>45442.64326388889</v>
      </c>
      <c r="C349" s="1" t="n">
        <v>45940</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12596-2023</t>
        </is>
      </c>
      <c r="B350" s="1" t="n">
        <v>45000.43310185185</v>
      </c>
      <c r="C350" s="1" t="n">
        <v>45940</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8045-2022</t>
        </is>
      </c>
      <c r="B351" s="1" t="n">
        <v>44609</v>
      </c>
      <c r="C351" s="1" t="n">
        <v>45940</v>
      </c>
      <c r="D351" t="inlineStr">
        <is>
          <t>GOTLANDS LÄN</t>
        </is>
      </c>
      <c r="E351" t="inlineStr">
        <is>
          <t>GOTLAND</t>
        </is>
      </c>
      <c r="G351" t="n">
        <v>7</v>
      </c>
      <c r="H351" t="n">
        <v>0</v>
      </c>
      <c r="I351" t="n">
        <v>0</v>
      </c>
      <c r="J351" t="n">
        <v>0</v>
      </c>
      <c r="K351" t="n">
        <v>0</v>
      </c>
      <c r="L351" t="n">
        <v>0</v>
      </c>
      <c r="M351" t="n">
        <v>0</v>
      </c>
      <c r="N351" t="n">
        <v>0</v>
      </c>
      <c r="O351" t="n">
        <v>0</v>
      </c>
      <c r="P351" t="n">
        <v>0</v>
      </c>
      <c r="Q351" t="n">
        <v>0</v>
      </c>
      <c r="R351" s="2" t="inlineStr"/>
    </row>
    <row r="352" ht="15" customHeight="1">
      <c r="A352" t="inlineStr">
        <is>
          <t>A 25796-2025</t>
        </is>
      </c>
      <c r="B352" s="1" t="n">
        <v>45804.39543981481</v>
      </c>
      <c r="C352" s="1" t="n">
        <v>45940</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48843-2024</t>
        </is>
      </c>
      <c r="B353" s="1" t="n">
        <v>45593</v>
      </c>
      <c r="C353" s="1" t="n">
        <v>45940</v>
      </c>
      <c r="D353" t="inlineStr">
        <is>
          <t>GOTLANDS LÄN</t>
        </is>
      </c>
      <c r="E353" t="inlineStr">
        <is>
          <t>GOTLAND</t>
        </is>
      </c>
      <c r="G353" t="n">
        <v>0.5</v>
      </c>
      <c r="H353" t="n">
        <v>0</v>
      </c>
      <c r="I353" t="n">
        <v>0</v>
      </c>
      <c r="J353" t="n">
        <v>0</v>
      </c>
      <c r="K353" t="n">
        <v>0</v>
      </c>
      <c r="L353" t="n">
        <v>0</v>
      </c>
      <c r="M353" t="n">
        <v>0</v>
      </c>
      <c r="N353" t="n">
        <v>0</v>
      </c>
      <c r="O353" t="n">
        <v>0</v>
      </c>
      <c r="P353" t="n">
        <v>0</v>
      </c>
      <c r="Q353" t="n">
        <v>0</v>
      </c>
      <c r="R353" s="2" t="inlineStr"/>
    </row>
    <row r="354" ht="15" customHeight="1">
      <c r="A354" t="inlineStr">
        <is>
          <t>A 51782-2023</t>
        </is>
      </c>
      <c r="B354" s="1" t="n">
        <v>45222.80952546297</v>
      </c>
      <c r="C354" s="1" t="n">
        <v>45940</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60675-2021</t>
        </is>
      </c>
      <c r="B355" s="1" t="n">
        <v>44496.64855324074</v>
      </c>
      <c r="C355" s="1" t="n">
        <v>45940</v>
      </c>
      <c r="D355" t="inlineStr">
        <is>
          <t>GOTLANDS LÄN</t>
        </is>
      </c>
      <c r="E355" t="inlineStr">
        <is>
          <t>GOTLAND</t>
        </is>
      </c>
      <c r="G355" t="n">
        <v>4.6</v>
      </c>
      <c r="H355" t="n">
        <v>0</v>
      </c>
      <c r="I355" t="n">
        <v>0</v>
      </c>
      <c r="J355" t="n">
        <v>0</v>
      </c>
      <c r="K355" t="n">
        <v>0</v>
      </c>
      <c r="L355" t="n">
        <v>0</v>
      </c>
      <c r="M355" t="n">
        <v>0</v>
      </c>
      <c r="N355" t="n">
        <v>0</v>
      </c>
      <c r="O355" t="n">
        <v>0</v>
      </c>
      <c r="P355" t="n">
        <v>0</v>
      </c>
      <c r="Q355" t="n">
        <v>0</v>
      </c>
      <c r="R355" s="2" t="inlineStr"/>
    </row>
    <row r="356" ht="15" customHeight="1">
      <c r="A356" t="inlineStr">
        <is>
          <t>A 999-2024</t>
        </is>
      </c>
      <c r="B356" s="1" t="n">
        <v>45301</v>
      </c>
      <c r="C356" s="1" t="n">
        <v>45940</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65901-2021</t>
        </is>
      </c>
      <c r="B357" s="1" t="n">
        <v>44516</v>
      </c>
      <c r="C357" s="1" t="n">
        <v>45940</v>
      </c>
      <c r="D357" t="inlineStr">
        <is>
          <t>GOTLANDS LÄN</t>
        </is>
      </c>
      <c r="E357" t="inlineStr">
        <is>
          <t>GOTLAND</t>
        </is>
      </c>
      <c r="G357" t="n">
        <v>4.9</v>
      </c>
      <c r="H357" t="n">
        <v>0</v>
      </c>
      <c r="I357" t="n">
        <v>0</v>
      </c>
      <c r="J357" t="n">
        <v>0</v>
      </c>
      <c r="K357" t="n">
        <v>0</v>
      </c>
      <c r="L357" t="n">
        <v>0</v>
      </c>
      <c r="M357" t="n">
        <v>0</v>
      </c>
      <c r="N357" t="n">
        <v>0</v>
      </c>
      <c r="O357" t="n">
        <v>0</v>
      </c>
      <c r="P357" t="n">
        <v>0</v>
      </c>
      <c r="Q357" t="n">
        <v>0</v>
      </c>
      <c r="R357" s="2" t="inlineStr"/>
    </row>
    <row r="358" ht="15" customHeight="1">
      <c r="A358" t="inlineStr">
        <is>
          <t>A 5217-2023</t>
        </is>
      </c>
      <c r="B358" s="1" t="n">
        <v>44959.39582175926</v>
      </c>
      <c r="C358" s="1" t="n">
        <v>45940</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47762-2023</t>
        </is>
      </c>
      <c r="B359" s="1" t="n">
        <v>45203.86256944444</v>
      </c>
      <c r="C359" s="1" t="n">
        <v>45940</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14638-2025</t>
        </is>
      </c>
      <c r="B360" s="1" t="n">
        <v>45742</v>
      </c>
      <c r="C360" s="1" t="n">
        <v>45940</v>
      </c>
      <c r="D360" t="inlineStr">
        <is>
          <t>GOTLANDS LÄN</t>
        </is>
      </c>
      <c r="E360" t="inlineStr">
        <is>
          <t>GOTLAND</t>
        </is>
      </c>
      <c r="G360" t="n">
        <v>13.4</v>
      </c>
      <c r="H360" t="n">
        <v>0</v>
      </c>
      <c r="I360" t="n">
        <v>0</v>
      </c>
      <c r="J360" t="n">
        <v>0</v>
      </c>
      <c r="K360" t="n">
        <v>0</v>
      </c>
      <c r="L360" t="n">
        <v>0</v>
      </c>
      <c r="M360" t="n">
        <v>0</v>
      </c>
      <c r="N360" t="n">
        <v>0</v>
      </c>
      <c r="O360" t="n">
        <v>0</v>
      </c>
      <c r="P360" t="n">
        <v>0</v>
      </c>
      <c r="Q360" t="n">
        <v>0</v>
      </c>
      <c r="R360" s="2" t="inlineStr"/>
    </row>
    <row r="361" ht="15" customHeight="1">
      <c r="A361" t="inlineStr">
        <is>
          <t>A 4421-2024</t>
        </is>
      </c>
      <c r="B361" s="1" t="n">
        <v>45327.45173611111</v>
      </c>
      <c r="C361" s="1" t="n">
        <v>45940</v>
      </c>
      <c r="D361" t="inlineStr">
        <is>
          <t>GOTLANDS LÄN</t>
        </is>
      </c>
      <c r="E361" t="inlineStr">
        <is>
          <t>GOTLAND</t>
        </is>
      </c>
      <c r="G361" t="n">
        <v>5.1</v>
      </c>
      <c r="H361" t="n">
        <v>0</v>
      </c>
      <c r="I361" t="n">
        <v>0</v>
      </c>
      <c r="J361" t="n">
        <v>0</v>
      </c>
      <c r="K361" t="n">
        <v>0</v>
      </c>
      <c r="L361" t="n">
        <v>0</v>
      </c>
      <c r="M361" t="n">
        <v>0</v>
      </c>
      <c r="N361" t="n">
        <v>0</v>
      </c>
      <c r="O361" t="n">
        <v>0</v>
      </c>
      <c r="P361" t="n">
        <v>0</v>
      </c>
      <c r="Q361" t="n">
        <v>0</v>
      </c>
      <c r="R361" s="2" t="inlineStr"/>
    </row>
    <row r="362" ht="15" customHeight="1">
      <c r="A362" t="inlineStr">
        <is>
          <t>A 10653-2023</t>
        </is>
      </c>
      <c r="B362" s="1" t="n">
        <v>44988.48859953704</v>
      </c>
      <c r="C362" s="1" t="n">
        <v>45940</v>
      </c>
      <c r="D362" t="inlineStr">
        <is>
          <t>GOTLANDS LÄN</t>
        </is>
      </c>
      <c r="E362" t="inlineStr">
        <is>
          <t>GOTLAND</t>
        </is>
      </c>
      <c r="F362" t="inlineStr">
        <is>
          <t>Kyrkan</t>
        </is>
      </c>
      <c r="G362" t="n">
        <v>3</v>
      </c>
      <c r="H362" t="n">
        <v>0</v>
      </c>
      <c r="I362" t="n">
        <v>0</v>
      </c>
      <c r="J362" t="n">
        <v>0</v>
      </c>
      <c r="K362" t="n">
        <v>0</v>
      </c>
      <c r="L362" t="n">
        <v>0</v>
      </c>
      <c r="M362" t="n">
        <v>0</v>
      </c>
      <c r="N362" t="n">
        <v>0</v>
      </c>
      <c r="O362" t="n">
        <v>0</v>
      </c>
      <c r="P362" t="n">
        <v>0</v>
      </c>
      <c r="Q362" t="n">
        <v>0</v>
      </c>
      <c r="R362" s="2" t="inlineStr"/>
    </row>
    <row r="363" ht="15" customHeight="1">
      <c r="A363" t="inlineStr">
        <is>
          <t>A 40294-2022</t>
        </is>
      </c>
      <c r="B363" s="1" t="n">
        <v>44821</v>
      </c>
      <c r="C363" s="1" t="n">
        <v>45940</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27602-2023</t>
        </is>
      </c>
      <c r="B364" s="1" t="n">
        <v>45097</v>
      </c>
      <c r="C364" s="1" t="n">
        <v>45940</v>
      </c>
      <c r="D364" t="inlineStr">
        <is>
          <t>GOTLANDS LÄN</t>
        </is>
      </c>
      <c r="E364" t="inlineStr">
        <is>
          <t>GOTLAND</t>
        </is>
      </c>
      <c r="G364" t="n">
        <v>2.7</v>
      </c>
      <c r="H364" t="n">
        <v>0</v>
      </c>
      <c r="I364" t="n">
        <v>0</v>
      </c>
      <c r="J364" t="n">
        <v>0</v>
      </c>
      <c r="K364" t="n">
        <v>0</v>
      </c>
      <c r="L364" t="n">
        <v>0</v>
      </c>
      <c r="M364" t="n">
        <v>0</v>
      </c>
      <c r="N364" t="n">
        <v>0</v>
      </c>
      <c r="O364" t="n">
        <v>0</v>
      </c>
      <c r="P364" t="n">
        <v>0</v>
      </c>
      <c r="Q364" t="n">
        <v>0</v>
      </c>
      <c r="R364" s="2" t="inlineStr"/>
    </row>
    <row r="365" ht="15" customHeight="1">
      <c r="A365" t="inlineStr">
        <is>
          <t>A 58780-2024</t>
        </is>
      </c>
      <c r="B365" s="1" t="n">
        <v>45635.84113425926</v>
      </c>
      <c r="C365" s="1" t="n">
        <v>45940</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12322-2025</t>
        </is>
      </c>
      <c r="B366" s="1" t="n">
        <v>45730</v>
      </c>
      <c r="C366" s="1" t="n">
        <v>45940</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35512-2023</t>
        </is>
      </c>
      <c r="B367" s="1" t="n">
        <v>45147.25623842593</v>
      </c>
      <c r="C367" s="1" t="n">
        <v>45940</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46836-2025</t>
        </is>
      </c>
      <c r="B368" s="1" t="n">
        <v>45928.31511574074</v>
      </c>
      <c r="C368" s="1" t="n">
        <v>45940</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24192-2023</t>
        </is>
      </c>
      <c r="B369" s="1" t="n">
        <v>45079</v>
      </c>
      <c r="C369" s="1" t="n">
        <v>45940</v>
      </c>
      <c r="D369" t="inlineStr">
        <is>
          <t>GOTLANDS LÄN</t>
        </is>
      </c>
      <c r="E369" t="inlineStr">
        <is>
          <t>GOTLAND</t>
        </is>
      </c>
      <c r="G369" t="n">
        <v>2.1</v>
      </c>
      <c r="H369" t="n">
        <v>0</v>
      </c>
      <c r="I369" t="n">
        <v>0</v>
      </c>
      <c r="J369" t="n">
        <v>0</v>
      </c>
      <c r="K369" t="n">
        <v>0</v>
      </c>
      <c r="L369" t="n">
        <v>0</v>
      </c>
      <c r="M369" t="n">
        <v>0</v>
      </c>
      <c r="N369" t="n">
        <v>0</v>
      </c>
      <c r="O369" t="n">
        <v>0</v>
      </c>
      <c r="P369" t="n">
        <v>0</v>
      </c>
      <c r="Q369" t="n">
        <v>0</v>
      </c>
      <c r="R369" s="2" t="inlineStr"/>
    </row>
    <row r="370" ht="15" customHeight="1">
      <c r="A370" t="inlineStr">
        <is>
          <t>A 30282-2022</t>
        </is>
      </c>
      <c r="B370" s="1" t="n">
        <v>44760</v>
      </c>
      <c r="C370" s="1" t="n">
        <v>45940</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11874-2024</t>
        </is>
      </c>
      <c r="B371" s="1" t="n">
        <v>45376.46956018519</v>
      </c>
      <c r="C371" s="1" t="n">
        <v>45940</v>
      </c>
      <c r="D371" t="inlineStr">
        <is>
          <t>GOTLANDS LÄN</t>
        </is>
      </c>
      <c r="E371" t="inlineStr">
        <is>
          <t>GOTLAND</t>
        </is>
      </c>
      <c r="G371" t="n">
        <v>0.8</v>
      </c>
      <c r="H371" t="n">
        <v>0</v>
      </c>
      <c r="I371" t="n">
        <v>0</v>
      </c>
      <c r="J371" t="n">
        <v>0</v>
      </c>
      <c r="K371" t="n">
        <v>0</v>
      </c>
      <c r="L371" t="n">
        <v>0</v>
      </c>
      <c r="M371" t="n">
        <v>0</v>
      </c>
      <c r="N371" t="n">
        <v>0</v>
      </c>
      <c r="O371" t="n">
        <v>0</v>
      </c>
      <c r="P371" t="n">
        <v>0</v>
      </c>
      <c r="Q371" t="n">
        <v>0</v>
      </c>
      <c r="R371" s="2" t="inlineStr"/>
    </row>
    <row r="372" ht="15" customHeight="1">
      <c r="A372" t="inlineStr">
        <is>
          <t>A 7835-2024</t>
        </is>
      </c>
      <c r="B372" s="1" t="n">
        <v>45349.83138888889</v>
      </c>
      <c r="C372" s="1" t="n">
        <v>45940</v>
      </c>
      <c r="D372" t="inlineStr">
        <is>
          <t>GOTLANDS LÄN</t>
        </is>
      </c>
      <c r="E372" t="inlineStr">
        <is>
          <t>GOTLAND</t>
        </is>
      </c>
      <c r="G372" t="n">
        <v>3.8</v>
      </c>
      <c r="H372" t="n">
        <v>0</v>
      </c>
      <c r="I372" t="n">
        <v>0</v>
      </c>
      <c r="J372" t="n">
        <v>0</v>
      </c>
      <c r="K372" t="n">
        <v>0</v>
      </c>
      <c r="L372" t="n">
        <v>0</v>
      </c>
      <c r="M372" t="n">
        <v>0</v>
      </c>
      <c r="N372" t="n">
        <v>0</v>
      </c>
      <c r="O372" t="n">
        <v>0</v>
      </c>
      <c r="P372" t="n">
        <v>0</v>
      </c>
      <c r="Q372" t="n">
        <v>0</v>
      </c>
      <c r="R372" s="2" t="inlineStr"/>
    </row>
    <row r="373" ht="15" customHeight="1">
      <c r="A373" t="inlineStr">
        <is>
          <t>A 26391-2025</t>
        </is>
      </c>
      <c r="B373" s="1" t="n">
        <v>45806</v>
      </c>
      <c r="C373" s="1" t="n">
        <v>45940</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26465-2025</t>
        </is>
      </c>
      <c r="B374" s="1" t="n">
        <v>45807.44377314814</v>
      </c>
      <c r="C374" s="1" t="n">
        <v>45940</v>
      </c>
      <c r="D374" t="inlineStr">
        <is>
          <t>GOTLANDS LÄN</t>
        </is>
      </c>
      <c r="E374" t="inlineStr">
        <is>
          <t>GOTLAND</t>
        </is>
      </c>
      <c r="G374" t="n">
        <v>4.5</v>
      </c>
      <c r="H374" t="n">
        <v>0</v>
      </c>
      <c r="I374" t="n">
        <v>0</v>
      </c>
      <c r="J374" t="n">
        <v>0</v>
      </c>
      <c r="K374" t="n">
        <v>0</v>
      </c>
      <c r="L374" t="n">
        <v>0</v>
      </c>
      <c r="M374" t="n">
        <v>0</v>
      </c>
      <c r="N374" t="n">
        <v>0</v>
      </c>
      <c r="O374" t="n">
        <v>0</v>
      </c>
      <c r="P374" t="n">
        <v>0</v>
      </c>
      <c r="Q374" t="n">
        <v>0</v>
      </c>
      <c r="R374" s="2" t="inlineStr"/>
    </row>
    <row r="375" ht="15" customHeight="1">
      <c r="A375" t="inlineStr">
        <is>
          <t>A 10650-2022</t>
        </is>
      </c>
      <c r="B375" s="1" t="n">
        <v>44624.57945601852</v>
      </c>
      <c r="C375" s="1" t="n">
        <v>45940</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26457-2025</t>
        </is>
      </c>
      <c r="B376" s="1" t="n">
        <v>45807.42773148148</v>
      </c>
      <c r="C376" s="1" t="n">
        <v>45940</v>
      </c>
      <c r="D376" t="inlineStr">
        <is>
          <t>GOTLANDS LÄN</t>
        </is>
      </c>
      <c r="E376" t="inlineStr">
        <is>
          <t>GOTLAND</t>
        </is>
      </c>
      <c r="G376" t="n">
        <v>5.7</v>
      </c>
      <c r="H376" t="n">
        <v>0</v>
      </c>
      <c r="I376" t="n">
        <v>0</v>
      </c>
      <c r="J376" t="n">
        <v>0</v>
      </c>
      <c r="K376" t="n">
        <v>0</v>
      </c>
      <c r="L376" t="n">
        <v>0</v>
      </c>
      <c r="M376" t="n">
        <v>0</v>
      </c>
      <c r="N376" t="n">
        <v>0</v>
      </c>
      <c r="O376" t="n">
        <v>0</v>
      </c>
      <c r="P376" t="n">
        <v>0</v>
      </c>
      <c r="Q376" t="n">
        <v>0</v>
      </c>
      <c r="R376" s="2" t="inlineStr"/>
    </row>
    <row r="377" ht="15" customHeight="1">
      <c r="A377" t="inlineStr">
        <is>
          <t>A 26467-2025</t>
        </is>
      </c>
      <c r="B377" s="1" t="n">
        <v>45807.44640046296</v>
      </c>
      <c r="C377" s="1" t="n">
        <v>45940</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26810-2021</t>
        </is>
      </c>
      <c r="B378" s="1" t="n">
        <v>44349.55087962963</v>
      </c>
      <c r="C378" s="1" t="n">
        <v>45940</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20225-2025</t>
        </is>
      </c>
      <c r="B379" s="1" t="n">
        <v>45772.65802083333</v>
      </c>
      <c r="C379" s="1" t="n">
        <v>45940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1677-2023</t>
        </is>
      </c>
      <c r="B380" s="1" t="n">
        <v>44938</v>
      </c>
      <c r="C380" s="1" t="n">
        <v>45940</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26660-2025</t>
        </is>
      </c>
      <c r="B381" s="1" t="n">
        <v>45810.39737268518</v>
      </c>
      <c r="C381" s="1" t="n">
        <v>45940</v>
      </c>
      <c r="D381" t="inlineStr">
        <is>
          <t>GOTLANDS LÄN</t>
        </is>
      </c>
      <c r="E381" t="inlineStr">
        <is>
          <t>GOTLAND</t>
        </is>
      </c>
      <c r="G381" t="n">
        <v>1.8</v>
      </c>
      <c r="H381" t="n">
        <v>0</v>
      </c>
      <c r="I381" t="n">
        <v>0</v>
      </c>
      <c r="J381" t="n">
        <v>0</v>
      </c>
      <c r="K381" t="n">
        <v>0</v>
      </c>
      <c r="L381" t="n">
        <v>0</v>
      </c>
      <c r="M381" t="n">
        <v>0</v>
      </c>
      <c r="N381" t="n">
        <v>0</v>
      </c>
      <c r="O381" t="n">
        <v>0</v>
      </c>
      <c r="P381" t="n">
        <v>0</v>
      </c>
      <c r="Q381" t="n">
        <v>0</v>
      </c>
      <c r="R381" s="2" t="inlineStr"/>
    </row>
    <row r="382" ht="15" customHeight="1">
      <c r="A382" t="inlineStr">
        <is>
          <t>A 64831-2023</t>
        </is>
      </c>
      <c r="B382" s="1" t="n">
        <v>45282.44924768519</v>
      </c>
      <c r="C382" s="1" t="n">
        <v>45940</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28425-2023</t>
        </is>
      </c>
      <c r="B383" s="1" t="n">
        <v>45102</v>
      </c>
      <c r="C383" s="1" t="n">
        <v>45940</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13037-2025</t>
        </is>
      </c>
      <c r="B384" s="1" t="n">
        <v>45734</v>
      </c>
      <c r="C384" s="1" t="n">
        <v>45940</v>
      </c>
      <c r="D384" t="inlineStr">
        <is>
          <t>GOTLANDS LÄN</t>
        </is>
      </c>
      <c r="E384" t="inlineStr">
        <is>
          <t>GOTLAND</t>
        </is>
      </c>
      <c r="G384" t="n">
        <v>9.5</v>
      </c>
      <c r="H384" t="n">
        <v>0</v>
      </c>
      <c r="I384" t="n">
        <v>0</v>
      </c>
      <c r="J384" t="n">
        <v>0</v>
      </c>
      <c r="K384" t="n">
        <v>0</v>
      </c>
      <c r="L384" t="n">
        <v>0</v>
      </c>
      <c r="M384" t="n">
        <v>0</v>
      </c>
      <c r="N384" t="n">
        <v>0</v>
      </c>
      <c r="O384" t="n">
        <v>0</v>
      </c>
      <c r="P384" t="n">
        <v>0</v>
      </c>
      <c r="Q384" t="n">
        <v>0</v>
      </c>
      <c r="R384" s="2" t="inlineStr"/>
    </row>
    <row r="385" ht="15" customHeight="1">
      <c r="A385" t="inlineStr">
        <is>
          <t>A 27355-2025</t>
        </is>
      </c>
      <c r="B385" s="1" t="n">
        <v>45812</v>
      </c>
      <c r="C385" s="1" t="n">
        <v>45940</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8036-2022</t>
        </is>
      </c>
      <c r="B386" s="1" t="n">
        <v>44609.44362268518</v>
      </c>
      <c r="C386" s="1" t="n">
        <v>45940</v>
      </c>
      <c r="D386" t="inlineStr">
        <is>
          <t>GOTLANDS LÄN</t>
        </is>
      </c>
      <c r="E386" t="inlineStr">
        <is>
          <t>GOTLAND</t>
        </is>
      </c>
      <c r="G386" t="n">
        <v>6.1</v>
      </c>
      <c r="H386" t="n">
        <v>0</v>
      </c>
      <c r="I386" t="n">
        <v>0</v>
      </c>
      <c r="J386" t="n">
        <v>0</v>
      </c>
      <c r="K386" t="n">
        <v>0</v>
      </c>
      <c r="L386" t="n">
        <v>0</v>
      </c>
      <c r="M386" t="n">
        <v>0</v>
      </c>
      <c r="N386" t="n">
        <v>0</v>
      </c>
      <c r="O386" t="n">
        <v>0</v>
      </c>
      <c r="P386" t="n">
        <v>0</v>
      </c>
      <c r="Q386" t="n">
        <v>0</v>
      </c>
      <c r="R386" s="2" t="inlineStr"/>
    </row>
    <row r="387" ht="15" customHeight="1">
      <c r="A387" t="inlineStr">
        <is>
          <t>A 27371-2025</t>
        </is>
      </c>
      <c r="B387" s="1" t="n">
        <v>45812</v>
      </c>
      <c r="C387" s="1" t="n">
        <v>45940</v>
      </c>
      <c r="D387" t="inlineStr">
        <is>
          <t>GOTLANDS LÄN</t>
        </is>
      </c>
      <c r="E387" t="inlineStr">
        <is>
          <t>GOTLAND</t>
        </is>
      </c>
      <c r="G387" t="n">
        <v>8</v>
      </c>
      <c r="H387" t="n">
        <v>0</v>
      </c>
      <c r="I387" t="n">
        <v>0</v>
      </c>
      <c r="J387" t="n">
        <v>0</v>
      </c>
      <c r="K387" t="n">
        <v>0</v>
      </c>
      <c r="L387" t="n">
        <v>0</v>
      </c>
      <c r="M387" t="n">
        <v>0</v>
      </c>
      <c r="N387" t="n">
        <v>0</v>
      </c>
      <c r="O387" t="n">
        <v>0</v>
      </c>
      <c r="P387" t="n">
        <v>0</v>
      </c>
      <c r="Q387" t="n">
        <v>0</v>
      </c>
      <c r="R387" s="2" t="inlineStr"/>
    </row>
    <row r="388" ht="15" customHeight="1">
      <c r="A388" t="inlineStr">
        <is>
          <t>A 46375-2024</t>
        </is>
      </c>
      <c r="B388" s="1" t="n">
        <v>45582</v>
      </c>
      <c r="C388" s="1" t="n">
        <v>45940</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62915-2021</t>
        </is>
      </c>
      <c r="B389" s="1" t="n">
        <v>44504</v>
      </c>
      <c r="C389" s="1" t="n">
        <v>45940</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10746-2025</t>
        </is>
      </c>
      <c r="B390" s="1" t="n">
        <v>45722.42766203704</v>
      </c>
      <c r="C390" s="1" t="n">
        <v>45940</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7638-2025</t>
        </is>
      </c>
      <c r="B391" s="1" t="n">
        <v>45705.77306712963</v>
      </c>
      <c r="C391" s="1" t="n">
        <v>45940</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7850-2025</t>
        </is>
      </c>
      <c r="B392" s="1" t="n">
        <v>45706</v>
      </c>
      <c r="C392" s="1" t="n">
        <v>45940</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6739-2025</t>
        </is>
      </c>
      <c r="B393" s="1" t="n">
        <v>45700</v>
      </c>
      <c r="C393" s="1" t="n">
        <v>45940</v>
      </c>
      <c r="D393" t="inlineStr">
        <is>
          <t>GOTLANDS LÄN</t>
        </is>
      </c>
      <c r="E393" t="inlineStr">
        <is>
          <t>GOTLAND</t>
        </is>
      </c>
      <c r="G393" t="n">
        <v>4.5</v>
      </c>
      <c r="H393" t="n">
        <v>0</v>
      </c>
      <c r="I393" t="n">
        <v>0</v>
      </c>
      <c r="J393" t="n">
        <v>0</v>
      </c>
      <c r="K393" t="n">
        <v>0</v>
      </c>
      <c r="L393" t="n">
        <v>0</v>
      </c>
      <c r="M393" t="n">
        <v>0</v>
      </c>
      <c r="N393" t="n">
        <v>0</v>
      </c>
      <c r="O393" t="n">
        <v>0</v>
      </c>
      <c r="P393" t="n">
        <v>0</v>
      </c>
      <c r="Q393" t="n">
        <v>0</v>
      </c>
      <c r="R393" s="2" t="inlineStr"/>
    </row>
    <row r="394" ht="15" customHeight="1">
      <c r="A394" t="inlineStr">
        <is>
          <t>A 4377-2023</t>
        </is>
      </c>
      <c r="B394" s="1" t="n">
        <v>44955.5502662037</v>
      </c>
      <c r="C394" s="1" t="n">
        <v>45940</v>
      </c>
      <c r="D394" t="inlineStr">
        <is>
          <t>GOTLANDS LÄN</t>
        </is>
      </c>
      <c r="E394" t="inlineStr">
        <is>
          <t>GOTLAND</t>
        </is>
      </c>
      <c r="F394" t="inlineStr">
        <is>
          <t>Kyrkan</t>
        </is>
      </c>
      <c r="G394" t="n">
        <v>0.6</v>
      </c>
      <c r="H394" t="n">
        <v>0</v>
      </c>
      <c r="I394" t="n">
        <v>0</v>
      </c>
      <c r="J394" t="n">
        <v>0</v>
      </c>
      <c r="K394" t="n">
        <v>0</v>
      </c>
      <c r="L394" t="n">
        <v>0</v>
      </c>
      <c r="M394" t="n">
        <v>0</v>
      </c>
      <c r="N394" t="n">
        <v>0</v>
      </c>
      <c r="O394" t="n">
        <v>0</v>
      </c>
      <c r="P394" t="n">
        <v>0</v>
      </c>
      <c r="Q394" t="n">
        <v>0</v>
      </c>
      <c r="R394" s="2" t="inlineStr"/>
    </row>
    <row r="395" ht="15" customHeight="1">
      <c r="A395" t="inlineStr">
        <is>
          <t>A 12599-2025</t>
        </is>
      </c>
      <c r="B395" s="1" t="n">
        <v>45733.29546296296</v>
      </c>
      <c r="C395" s="1" t="n">
        <v>45940</v>
      </c>
      <c r="D395" t="inlineStr">
        <is>
          <t>GOTLANDS LÄN</t>
        </is>
      </c>
      <c r="E395" t="inlineStr">
        <is>
          <t>GOTLAND</t>
        </is>
      </c>
      <c r="G395" t="n">
        <v>4.7</v>
      </c>
      <c r="H395" t="n">
        <v>0</v>
      </c>
      <c r="I395" t="n">
        <v>0</v>
      </c>
      <c r="J395" t="n">
        <v>0</v>
      </c>
      <c r="K395" t="n">
        <v>0</v>
      </c>
      <c r="L395" t="n">
        <v>0</v>
      </c>
      <c r="M395" t="n">
        <v>0</v>
      </c>
      <c r="N395" t="n">
        <v>0</v>
      </c>
      <c r="O395" t="n">
        <v>0</v>
      </c>
      <c r="P395" t="n">
        <v>0</v>
      </c>
      <c r="Q395" t="n">
        <v>0</v>
      </c>
      <c r="R395" s="2" t="inlineStr"/>
    </row>
    <row r="396" ht="15" customHeight="1">
      <c r="A396" t="inlineStr">
        <is>
          <t>A 43901-2023</t>
        </is>
      </c>
      <c r="B396" s="1" t="n">
        <v>45187</v>
      </c>
      <c r="C396" s="1" t="n">
        <v>45940</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17532-2024</t>
        </is>
      </c>
      <c r="B397" s="1" t="n">
        <v>45415</v>
      </c>
      <c r="C397" s="1" t="n">
        <v>45940</v>
      </c>
      <c r="D397" t="inlineStr">
        <is>
          <t>GOTLANDS LÄN</t>
        </is>
      </c>
      <c r="E397" t="inlineStr">
        <is>
          <t>GOTLAND</t>
        </is>
      </c>
      <c r="G397" t="n">
        <v>4.3</v>
      </c>
      <c r="H397" t="n">
        <v>0</v>
      </c>
      <c r="I397" t="n">
        <v>0</v>
      </c>
      <c r="J397" t="n">
        <v>0</v>
      </c>
      <c r="K397" t="n">
        <v>0</v>
      </c>
      <c r="L397" t="n">
        <v>0</v>
      </c>
      <c r="M397" t="n">
        <v>0</v>
      </c>
      <c r="N397" t="n">
        <v>0</v>
      </c>
      <c r="O397" t="n">
        <v>0</v>
      </c>
      <c r="P397" t="n">
        <v>0</v>
      </c>
      <c r="Q397" t="n">
        <v>0</v>
      </c>
      <c r="R397" s="2" t="inlineStr"/>
    </row>
    <row r="398" ht="15" customHeight="1">
      <c r="A398" t="inlineStr">
        <is>
          <t>A 45692-2023</t>
        </is>
      </c>
      <c r="B398" s="1" t="n">
        <v>45195</v>
      </c>
      <c r="C398" s="1" t="n">
        <v>45940</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8444-2025</t>
        </is>
      </c>
      <c r="B399" s="1" t="n">
        <v>45709</v>
      </c>
      <c r="C399" s="1" t="n">
        <v>45940</v>
      </c>
      <c r="D399" t="inlineStr">
        <is>
          <t>GOTLANDS LÄN</t>
        </is>
      </c>
      <c r="E399" t="inlineStr">
        <is>
          <t>GOTLAND</t>
        </is>
      </c>
      <c r="G399" t="n">
        <v>5.2</v>
      </c>
      <c r="H399" t="n">
        <v>0</v>
      </c>
      <c r="I399" t="n">
        <v>0</v>
      </c>
      <c r="J399" t="n">
        <v>0</v>
      </c>
      <c r="K399" t="n">
        <v>0</v>
      </c>
      <c r="L399" t="n">
        <v>0</v>
      </c>
      <c r="M399" t="n">
        <v>0</v>
      </c>
      <c r="N399" t="n">
        <v>0</v>
      </c>
      <c r="O399" t="n">
        <v>0</v>
      </c>
      <c r="P399" t="n">
        <v>0</v>
      </c>
      <c r="Q399" t="n">
        <v>0</v>
      </c>
      <c r="R399" s="2" t="inlineStr"/>
    </row>
    <row r="400" ht="15" customHeight="1">
      <c r="A400" t="inlineStr">
        <is>
          <t>A 19905-2025</t>
        </is>
      </c>
      <c r="B400" s="1" t="n">
        <v>45771</v>
      </c>
      <c r="C400" s="1" t="n">
        <v>45940</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37222-2021</t>
        </is>
      </c>
      <c r="B401" s="1" t="n">
        <v>44396</v>
      </c>
      <c r="C401" s="1" t="n">
        <v>45940</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46396-2023</t>
        </is>
      </c>
      <c r="B402" s="1" t="n">
        <v>45197</v>
      </c>
      <c r="C402" s="1" t="n">
        <v>45940</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58388-2022</t>
        </is>
      </c>
      <c r="B403" s="1" t="n">
        <v>44894</v>
      </c>
      <c r="C403" s="1" t="n">
        <v>45940</v>
      </c>
      <c r="D403" t="inlineStr">
        <is>
          <t>GOTLANDS LÄN</t>
        </is>
      </c>
      <c r="E403" t="inlineStr">
        <is>
          <t>GOTLAND</t>
        </is>
      </c>
      <c r="F403" t="inlineStr">
        <is>
          <t>Övriga statliga verk och myndigheter</t>
        </is>
      </c>
      <c r="G403" t="n">
        <v>3.1</v>
      </c>
      <c r="H403" t="n">
        <v>0</v>
      </c>
      <c r="I403" t="n">
        <v>0</v>
      </c>
      <c r="J403" t="n">
        <v>0</v>
      </c>
      <c r="K403" t="n">
        <v>0</v>
      </c>
      <c r="L403" t="n">
        <v>0</v>
      </c>
      <c r="M403" t="n">
        <v>0</v>
      </c>
      <c r="N403" t="n">
        <v>0</v>
      </c>
      <c r="O403" t="n">
        <v>0</v>
      </c>
      <c r="P403" t="n">
        <v>0</v>
      </c>
      <c r="Q403" t="n">
        <v>0</v>
      </c>
      <c r="R403" s="2" t="inlineStr"/>
    </row>
    <row r="404" ht="15" customHeight="1">
      <c r="A404" t="inlineStr">
        <is>
          <t>A 43229-2023</t>
        </is>
      </c>
      <c r="B404" s="1" t="n">
        <v>45183.46704861111</v>
      </c>
      <c r="C404" s="1" t="n">
        <v>45940</v>
      </c>
      <c r="D404" t="inlineStr">
        <is>
          <t>GOTLANDS LÄN</t>
        </is>
      </c>
      <c r="E404" t="inlineStr">
        <is>
          <t>GOTLAND</t>
        </is>
      </c>
      <c r="G404" t="n">
        <v>7.1</v>
      </c>
      <c r="H404" t="n">
        <v>0</v>
      </c>
      <c r="I404" t="n">
        <v>0</v>
      </c>
      <c r="J404" t="n">
        <v>0</v>
      </c>
      <c r="K404" t="n">
        <v>0</v>
      </c>
      <c r="L404" t="n">
        <v>0</v>
      </c>
      <c r="M404" t="n">
        <v>0</v>
      </c>
      <c r="N404" t="n">
        <v>0</v>
      </c>
      <c r="O404" t="n">
        <v>0</v>
      </c>
      <c r="P404" t="n">
        <v>0</v>
      </c>
      <c r="Q404" t="n">
        <v>0</v>
      </c>
      <c r="R404" s="2" t="inlineStr"/>
    </row>
    <row r="405" ht="15" customHeight="1">
      <c r="A405" t="inlineStr">
        <is>
          <t>A 41038-2023</t>
        </is>
      </c>
      <c r="B405" s="1" t="n">
        <v>45173.60959490741</v>
      </c>
      <c r="C405" s="1" t="n">
        <v>45940</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29207-2025</t>
        </is>
      </c>
      <c r="B406" s="1" t="n">
        <v>45823</v>
      </c>
      <c r="C406" s="1" t="n">
        <v>45940</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29196-2025</t>
        </is>
      </c>
      <c r="B407" s="1" t="n">
        <v>45822</v>
      </c>
      <c r="C407" s="1" t="n">
        <v>45940</v>
      </c>
      <c r="D407" t="inlineStr">
        <is>
          <t>GOTLANDS LÄN</t>
        </is>
      </c>
      <c r="E407" t="inlineStr">
        <is>
          <t>GOTLAND</t>
        </is>
      </c>
      <c r="G407" t="n">
        <v>0.5</v>
      </c>
      <c r="H407" t="n">
        <v>0</v>
      </c>
      <c r="I407" t="n">
        <v>0</v>
      </c>
      <c r="J407" t="n">
        <v>0</v>
      </c>
      <c r="K407" t="n">
        <v>0</v>
      </c>
      <c r="L407" t="n">
        <v>0</v>
      </c>
      <c r="M407" t="n">
        <v>0</v>
      </c>
      <c r="N407" t="n">
        <v>0</v>
      </c>
      <c r="O407" t="n">
        <v>0</v>
      </c>
      <c r="P407" t="n">
        <v>0</v>
      </c>
      <c r="Q407" t="n">
        <v>0</v>
      </c>
      <c r="R407" s="2" t="inlineStr"/>
    </row>
    <row r="408" ht="15" customHeight="1">
      <c r="A408" t="inlineStr">
        <is>
          <t>A 53934-2024</t>
        </is>
      </c>
      <c r="B408" s="1" t="n">
        <v>45615</v>
      </c>
      <c r="C408" s="1" t="n">
        <v>45940</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24966-2023</t>
        </is>
      </c>
      <c r="B409" s="1" t="n">
        <v>45085</v>
      </c>
      <c r="C409" s="1" t="n">
        <v>45940</v>
      </c>
      <c r="D409" t="inlineStr">
        <is>
          <t>GOTLANDS LÄN</t>
        </is>
      </c>
      <c r="E409" t="inlineStr">
        <is>
          <t>GOTLAND</t>
        </is>
      </c>
      <c r="G409" t="n">
        <v>7</v>
      </c>
      <c r="H409" t="n">
        <v>0</v>
      </c>
      <c r="I409" t="n">
        <v>0</v>
      </c>
      <c r="J409" t="n">
        <v>0</v>
      </c>
      <c r="K409" t="n">
        <v>0</v>
      </c>
      <c r="L409" t="n">
        <v>0</v>
      </c>
      <c r="M409" t="n">
        <v>0</v>
      </c>
      <c r="N409" t="n">
        <v>0</v>
      </c>
      <c r="O409" t="n">
        <v>0</v>
      </c>
      <c r="P409" t="n">
        <v>0</v>
      </c>
      <c r="Q409" t="n">
        <v>0</v>
      </c>
      <c r="R409" s="2" t="inlineStr"/>
    </row>
    <row r="410" ht="15" customHeight="1">
      <c r="A410" t="inlineStr">
        <is>
          <t>A 58132-2023</t>
        </is>
      </c>
      <c r="B410" s="1" t="n">
        <v>45250</v>
      </c>
      <c r="C410" s="1" t="n">
        <v>45940</v>
      </c>
      <c r="D410" t="inlineStr">
        <is>
          <t>GOTLANDS LÄN</t>
        </is>
      </c>
      <c r="E410" t="inlineStr">
        <is>
          <t>GOTLAND</t>
        </is>
      </c>
      <c r="G410" t="n">
        <v>3.1</v>
      </c>
      <c r="H410" t="n">
        <v>0</v>
      </c>
      <c r="I410" t="n">
        <v>0</v>
      </c>
      <c r="J410" t="n">
        <v>0</v>
      </c>
      <c r="K410" t="n">
        <v>0</v>
      </c>
      <c r="L410" t="n">
        <v>0</v>
      </c>
      <c r="M410" t="n">
        <v>0</v>
      </c>
      <c r="N410" t="n">
        <v>0</v>
      </c>
      <c r="O410" t="n">
        <v>0</v>
      </c>
      <c r="P410" t="n">
        <v>0</v>
      </c>
      <c r="Q410" t="n">
        <v>0</v>
      </c>
      <c r="R410" s="2" t="inlineStr"/>
    </row>
    <row r="411" ht="15" customHeight="1">
      <c r="A411" t="inlineStr">
        <is>
          <t>A 57652-2023</t>
        </is>
      </c>
      <c r="B411" s="1" t="n">
        <v>45246</v>
      </c>
      <c r="C411" s="1" t="n">
        <v>45940</v>
      </c>
      <c r="D411" t="inlineStr">
        <is>
          <t>GOTLANDS LÄN</t>
        </is>
      </c>
      <c r="E411" t="inlineStr">
        <is>
          <t>GOTLAND</t>
        </is>
      </c>
      <c r="G411" t="n">
        <v>7.2</v>
      </c>
      <c r="H411" t="n">
        <v>0</v>
      </c>
      <c r="I411" t="n">
        <v>0</v>
      </c>
      <c r="J411" t="n">
        <v>0</v>
      </c>
      <c r="K411" t="n">
        <v>0</v>
      </c>
      <c r="L411" t="n">
        <v>0</v>
      </c>
      <c r="M411" t="n">
        <v>0</v>
      </c>
      <c r="N411" t="n">
        <v>0</v>
      </c>
      <c r="O411" t="n">
        <v>0</v>
      </c>
      <c r="P411" t="n">
        <v>0</v>
      </c>
      <c r="Q411" t="n">
        <v>0</v>
      </c>
      <c r="R411" s="2" t="inlineStr"/>
    </row>
    <row r="412" ht="15" customHeight="1">
      <c r="A412" t="inlineStr">
        <is>
          <t>A 22899-2023</t>
        </is>
      </c>
      <c r="B412" s="1" t="n">
        <v>45072</v>
      </c>
      <c r="C412" s="1" t="n">
        <v>45940</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46189-2022</t>
        </is>
      </c>
      <c r="B413" s="1" t="n">
        <v>44847</v>
      </c>
      <c r="C413" s="1" t="n">
        <v>45940</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28285-2024</t>
        </is>
      </c>
      <c r="B414" s="1" t="n">
        <v>45477</v>
      </c>
      <c r="C414" s="1" t="n">
        <v>45940</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57522-2022</t>
        </is>
      </c>
      <c r="B415" s="1" t="n">
        <v>44896</v>
      </c>
      <c r="C415" s="1" t="n">
        <v>45940</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30061-2025</t>
        </is>
      </c>
      <c r="B416" s="1" t="n">
        <v>45826.61488425926</v>
      </c>
      <c r="C416" s="1" t="n">
        <v>45940</v>
      </c>
      <c r="D416" t="inlineStr">
        <is>
          <t>GOTLANDS LÄN</t>
        </is>
      </c>
      <c r="E416" t="inlineStr">
        <is>
          <t>GOTLAND</t>
        </is>
      </c>
      <c r="G416" t="n">
        <v>4.1</v>
      </c>
      <c r="H416" t="n">
        <v>0</v>
      </c>
      <c r="I416" t="n">
        <v>0</v>
      </c>
      <c r="J416" t="n">
        <v>0</v>
      </c>
      <c r="K416" t="n">
        <v>0</v>
      </c>
      <c r="L416" t="n">
        <v>0</v>
      </c>
      <c r="M416" t="n">
        <v>0</v>
      </c>
      <c r="N416" t="n">
        <v>0</v>
      </c>
      <c r="O416" t="n">
        <v>0</v>
      </c>
      <c r="P416" t="n">
        <v>0</v>
      </c>
      <c r="Q416" t="n">
        <v>0</v>
      </c>
      <c r="R416" s="2" t="inlineStr"/>
    </row>
    <row r="417" ht="15" customHeight="1">
      <c r="A417" t="inlineStr">
        <is>
          <t>A 14797-2024</t>
        </is>
      </c>
      <c r="B417" s="1" t="n">
        <v>45397.87030092593</v>
      </c>
      <c r="C417" s="1" t="n">
        <v>45940</v>
      </c>
      <c r="D417" t="inlineStr">
        <is>
          <t>GOTLANDS LÄN</t>
        </is>
      </c>
      <c r="E417" t="inlineStr">
        <is>
          <t>GOTLAND</t>
        </is>
      </c>
      <c r="G417" t="n">
        <v>8.1</v>
      </c>
      <c r="H417" t="n">
        <v>0</v>
      </c>
      <c r="I417" t="n">
        <v>0</v>
      </c>
      <c r="J417" t="n">
        <v>0</v>
      </c>
      <c r="K417" t="n">
        <v>0</v>
      </c>
      <c r="L417" t="n">
        <v>0</v>
      </c>
      <c r="M417" t="n">
        <v>0</v>
      </c>
      <c r="N417" t="n">
        <v>0</v>
      </c>
      <c r="O417" t="n">
        <v>0</v>
      </c>
      <c r="P417" t="n">
        <v>0</v>
      </c>
      <c r="Q417" t="n">
        <v>0</v>
      </c>
      <c r="R417" s="2" t="inlineStr"/>
    </row>
    <row r="418" ht="15" customHeight="1">
      <c r="A418" t="inlineStr">
        <is>
          <t>A 51963-2024</t>
        </is>
      </c>
      <c r="B418" s="1" t="n">
        <v>45607.64833333333</v>
      </c>
      <c r="C418" s="1" t="n">
        <v>45940</v>
      </c>
      <c r="D418" t="inlineStr">
        <is>
          <t>GOTLANDS LÄN</t>
        </is>
      </c>
      <c r="E418" t="inlineStr">
        <is>
          <t>GOTLAND</t>
        </is>
      </c>
      <c r="G418" t="n">
        <v>2.4</v>
      </c>
      <c r="H418" t="n">
        <v>0</v>
      </c>
      <c r="I418" t="n">
        <v>0</v>
      </c>
      <c r="J418" t="n">
        <v>0</v>
      </c>
      <c r="K418" t="n">
        <v>0</v>
      </c>
      <c r="L418" t="n">
        <v>0</v>
      </c>
      <c r="M418" t="n">
        <v>0</v>
      </c>
      <c r="N418" t="n">
        <v>0</v>
      </c>
      <c r="O418" t="n">
        <v>0</v>
      </c>
      <c r="P418" t="n">
        <v>0</v>
      </c>
      <c r="Q418" t="n">
        <v>0</v>
      </c>
      <c r="R418" s="2" t="inlineStr"/>
    </row>
    <row r="419" ht="15" customHeight="1">
      <c r="A419" t="inlineStr">
        <is>
          <t>A 7837-2024</t>
        </is>
      </c>
      <c r="B419" s="1" t="n">
        <v>45349.83787037037</v>
      </c>
      <c r="C419" s="1" t="n">
        <v>45940</v>
      </c>
      <c r="D419" t="inlineStr">
        <is>
          <t>GOTLANDS LÄN</t>
        </is>
      </c>
      <c r="E419" t="inlineStr">
        <is>
          <t>GOTLAND</t>
        </is>
      </c>
      <c r="G419" t="n">
        <v>5</v>
      </c>
      <c r="H419" t="n">
        <v>0</v>
      </c>
      <c r="I419" t="n">
        <v>0</v>
      </c>
      <c r="J419" t="n">
        <v>0</v>
      </c>
      <c r="K419" t="n">
        <v>0</v>
      </c>
      <c r="L419" t="n">
        <v>0</v>
      </c>
      <c r="M419" t="n">
        <v>0</v>
      </c>
      <c r="N419" t="n">
        <v>0</v>
      </c>
      <c r="O419" t="n">
        <v>0</v>
      </c>
      <c r="P419" t="n">
        <v>0</v>
      </c>
      <c r="Q419" t="n">
        <v>0</v>
      </c>
      <c r="R419" s="2" t="inlineStr"/>
    </row>
    <row r="420" ht="15" customHeight="1">
      <c r="A420" t="inlineStr">
        <is>
          <t>A 1734-2025</t>
        </is>
      </c>
      <c r="B420" s="1" t="n">
        <v>45671.3840625</v>
      </c>
      <c r="C420" s="1" t="n">
        <v>45940</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30365-2024</t>
        </is>
      </c>
      <c r="B421" s="1" t="n">
        <v>45491.3716087963</v>
      </c>
      <c r="C421" s="1" t="n">
        <v>45940</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2674-2023</t>
        </is>
      </c>
      <c r="B422" s="1" t="n">
        <v>44944</v>
      </c>
      <c r="C422" s="1" t="n">
        <v>45940</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61100-2022</t>
        </is>
      </c>
      <c r="B423" s="1" t="n">
        <v>44915</v>
      </c>
      <c r="C423" s="1" t="n">
        <v>45940</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58160-2024</t>
        </is>
      </c>
      <c r="B424" s="1" t="n">
        <v>45632.44927083333</v>
      </c>
      <c r="C424" s="1" t="n">
        <v>45940</v>
      </c>
      <c r="D424" t="inlineStr">
        <is>
          <t>GOTLANDS LÄN</t>
        </is>
      </c>
      <c r="E424" t="inlineStr">
        <is>
          <t>GOTLAND</t>
        </is>
      </c>
      <c r="G424" t="n">
        <v>5.6</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45940</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581-2023</t>
        </is>
      </c>
      <c r="B426" s="1" t="n">
        <v>44930</v>
      </c>
      <c r="C426" s="1" t="n">
        <v>45940</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2676-2023</t>
        </is>
      </c>
      <c r="B427" s="1" t="n">
        <v>44944</v>
      </c>
      <c r="C427" s="1" t="n">
        <v>45940</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4387-2023</t>
        </is>
      </c>
      <c r="B428" s="1" t="n">
        <v>44955.73359953704</v>
      </c>
      <c r="C428" s="1" t="n">
        <v>45940</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10655-2023</t>
        </is>
      </c>
      <c r="B429" s="1" t="n">
        <v>44988.49543981482</v>
      </c>
      <c r="C429" s="1" t="n">
        <v>45940</v>
      </c>
      <c r="D429" t="inlineStr">
        <is>
          <t>GOTLANDS LÄN</t>
        </is>
      </c>
      <c r="E429" t="inlineStr">
        <is>
          <t>GOTLAND</t>
        </is>
      </c>
      <c r="F429" t="inlineStr">
        <is>
          <t>Kyrkan</t>
        </is>
      </c>
      <c r="G429" t="n">
        <v>2</v>
      </c>
      <c r="H429" t="n">
        <v>0</v>
      </c>
      <c r="I429" t="n">
        <v>0</v>
      </c>
      <c r="J429" t="n">
        <v>0</v>
      </c>
      <c r="K429" t="n">
        <v>0</v>
      </c>
      <c r="L429" t="n">
        <v>0</v>
      </c>
      <c r="M429" t="n">
        <v>0</v>
      </c>
      <c r="N429" t="n">
        <v>0</v>
      </c>
      <c r="O429" t="n">
        <v>0</v>
      </c>
      <c r="P429" t="n">
        <v>0</v>
      </c>
      <c r="Q429" t="n">
        <v>0</v>
      </c>
      <c r="R429" s="2" t="inlineStr"/>
    </row>
    <row r="430" ht="15" customHeight="1">
      <c r="A430" t="inlineStr">
        <is>
          <t>A 20356-2022</t>
        </is>
      </c>
      <c r="B430" s="1" t="n">
        <v>44699</v>
      </c>
      <c r="C430" s="1" t="n">
        <v>45940</v>
      </c>
      <c r="D430" t="inlineStr">
        <is>
          <t>GOTLANDS LÄN</t>
        </is>
      </c>
      <c r="E430" t="inlineStr">
        <is>
          <t>GOTLAND</t>
        </is>
      </c>
      <c r="F430" t="inlineStr">
        <is>
          <t>Övriga Aktiebolag</t>
        </is>
      </c>
      <c r="G430" t="n">
        <v>4.4</v>
      </c>
      <c r="H430" t="n">
        <v>0</v>
      </c>
      <c r="I430" t="n">
        <v>0</v>
      </c>
      <c r="J430" t="n">
        <v>0</v>
      </c>
      <c r="K430" t="n">
        <v>0</v>
      </c>
      <c r="L430" t="n">
        <v>0</v>
      </c>
      <c r="M430" t="n">
        <v>0</v>
      </c>
      <c r="N430" t="n">
        <v>0</v>
      </c>
      <c r="O430" t="n">
        <v>0</v>
      </c>
      <c r="P430" t="n">
        <v>0</v>
      </c>
      <c r="Q430" t="n">
        <v>0</v>
      </c>
      <c r="R430" s="2" t="inlineStr"/>
    </row>
    <row r="431" ht="15" customHeight="1">
      <c r="A431" t="inlineStr">
        <is>
          <t>A 49411-2023</t>
        </is>
      </c>
      <c r="B431" s="1" t="n">
        <v>45205</v>
      </c>
      <c r="C431" s="1" t="n">
        <v>45940</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37728-2024</t>
        </is>
      </c>
      <c r="B432" s="1" t="n">
        <v>45541</v>
      </c>
      <c r="C432" s="1" t="n">
        <v>45940</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44649-2021</t>
        </is>
      </c>
      <c r="B433" s="1" t="n">
        <v>44437</v>
      </c>
      <c r="C433" s="1" t="n">
        <v>45940</v>
      </c>
      <c r="D433" t="inlineStr">
        <is>
          <t>GOTLANDS LÄN</t>
        </is>
      </c>
      <c r="E433" t="inlineStr">
        <is>
          <t>GOTLAND</t>
        </is>
      </c>
      <c r="G433" t="n">
        <v>8.1</v>
      </c>
      <c r="H433" t="n">
        <v>0</v>
      </c>
      <c r="I433" t="n">
        <v>0</v>
      </c>
      <c r="J433" t="n">
        <v>0</v>
      </c>
      <c r="K433" t="n">
        <v>0</v>
      </c>
      <c r="L433" t="n">
        <v>0</v>
      </c>
      <c r="M433" t="n">
        <v>0</v>
      </c>
      <c r="N433" t="n">
        <v>0</v>
      </c>
      <c r="O433" t="n">
        <v>0</v>
      </c>
      <c r="P433" t="n">
        <v>0</v>
      </c>
      <c r="Q433" t="n">
        <v>0</v>
      </c>
      <c r="R433" s="2" t="inlineStr"/>
    </row>
    <row r="434" ht="15" customHeight="1">
      <c r="A434" t="inlineStr">
        <is>
          <t>A 2241-2025</t>
        </is>
      </c>
      <c r="B434" s="1" t="n">
        <v>45673.48710648148</v>
      </c>
      <c r="C434" s="1" t="n">
        <v>45940</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8484-2025</t>
        </is>
      </c>
      <c r="B435" s="1" t="n">
        <v>45709</v>
      </c>
      <c r="C435" s="1" t="n">
        <v>45940</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16373-2025</t>
        </is>
      </c>
      <c r="B436" s="1" t="n">
        <v>45751</v>
      </c>
      <c r="C436" s="1" t="n">
        <v>45940</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22275-2023</t>
        </is>
      </c>
      <c r="B437" s="1" t="n">
        <v>45070.39875</v>
      </c>
      <c r="C437" s="1" t="n">
        <v>45940</v>
      </c>
      <c r="D437" t="inlineStr">
        <is>
          <t>GOTLANDS LÄN</t>
        </is>
      </c>
      <c r="E437" t="inlineStr">
        <is>
          <t>GOTLAND</t>
        </is>
      </c>
      <c r="G437" t="n">
        <v>7.2</v>
      </c>
      <c r="H437" t="n">
        <v>0</v>
      </c>
      <c r="I437" t="n">
        <v>0</v>
      </c>
      <c r="J437" t="n">
        <v>0</v>
      </c>
      <c r="K437" t="n">
        <v>0</v>
      </c>
      <c r="L437" t="n">
        <v>0</v>
      </c>
      <c r="M437" t="n">
        <v>0</v>
      </c>
      <c r="N437" t="n">
        <v>0</v>
      </c>
      <c r="O437" t="n">
        <v>0</v>
      </c>
      <c r="P437" t="n">
        <v>0</v>
      </c>
      <c r="Q437" t="n">
        <v>0</v>
      </c>
      <c r="R437" s="2" t="inlineStr"/>
    </row>
    <row r="438" ht="15" customHeight="1">
      <c r="A438" t="inlineStr">
        <is>
          <t>A 16109-2025</t>
        </is>
      </c>
      <c r="B438" s="1" t="n">
        <v>45750</v>
      </c>
      <c r="C438" s="1" t="n">
        <v>45940</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32467-2025</t>
        </is>
      </c>
      <c r="B439" s="1" t="n">
        <v>45838.42111111111</v>
      </c>
      <c r="C439" s="1" t="n">
        <v>45940</v>
      </c>
      <c r="D439" t="inlineStr">
        <is>
          <t>GOTLANDS LÄN</t>
        </is>
      </c>
      <c r="E439" t="inlineStr">
        <is>
          <t>GOTLAND</t>
        </is>
      </c>
      <c r="G439" t="n">
        <v>4.3</v>
      </c>
      <c r="H439" t="n">
        <v>0</v>
      </c>
      <c r="I439" t="n">
        <v>0</v>
      </c>
      <c r="J439" t="n">
        <v>0</v>
      </c>
      <c r="K439" t="n">
        <v>0</v>
      </c>
      <c r="L439" t="n">
        <v>0</v>
      </c>
      <c r="M439" t="n">
        <v>0</v>
      </c>
      <c r="N439" t="n">
        <v>0</v>
      </c>
      <c r="O439" t="n">
        <v>0</v>
      </c>
      <c r="P439" t="n">
        <v>0</v>
      </c>
      <c r="Q439" t="n">
        <v>0</v>
      </c>
      <c r="R439" s="2" t="inlineStr"/>
    </row>
    <row r="440" ht="15" customHeight="1">
      <c r="A440" t="inlineStr">
        <is>
          <t>A 14635-2023</t>
        </is>
      </c>
      <c r="B440" s="1" t="n">
        <v>45013.69365740741</v>
      </c>
      <c r="C440" s="1" t="n">
        <v>45940</v>
      </c>
      <c r="D440" t="inlineStr">
        <is>
          <t>GOTLANDS LÄN</t>
        </is>
      </c>
      <c r="E440" t="inlineStr">
        <is>
          <t>GOTLAND</t>
        </is>
      </c>
      <c r="G440" t="n">
        <v>3.1</v>
      </c>
      <c r="H440" t="n">
        <v>0</v>
      </c>
      <c r="I440" t="n">
        <v>0</v>
      </c>
      <c r="J440" t="n">
        <v>0</v>
      </c>
      <c r="K440" t="n">
        <v>0</v>
      </c>
      <c r="L440" t="n">
        <v>0</v>
      </c>
      <c r="M440" t="n">
        <v>0</v>
      </c>
      <c r="N440" t="n">
        <v>0</v>
      </c>
      <c r="O440" t="n">
        <v>0</v>
      </c>
      <c r="P440" t="n">
        <v>0</v>
      </c>
      <c r="Q440" t="n">
        <v>0</v>
      </c>
      <c r="R440" s="2" t="inlineStr"/>
    </row>
    <row r="441" ht="15" customHeight="1">
      <c r="A441" t="inlineStr">
        <is>
          <t>A 63763-2023</t>
        </is>
      </c>
      <c r="B441" s="1" t="n">
        <v>45278.33944444444</v>
      </c>
      <c r="C441" s="1" t="n">
        <v>45940</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7635-2025</t>
        </is>
      </c>
      <c r="B442" s="1" t="n">
        <v>45705</v>
      </c>
      <c r="C442" s="1" t="n">
        <v>45940</v>
      </c>
      <c r="D442" t="inlineStr">
        <is>
          <t>GOTLANDS LÄN</t>
        </is>
      </c>
      <c r="E442" t="inlineStr">
        <is>
          <t>GOTLAND</t>
        </is>
      </c>
      <c r="G442" t="n">
        <v>0.9</v>
      </c>
      <c r="H442" t="n">
        <v>0</v>
      </c>
      <c r="I442" t="n">
        <v>0</v>
      </c>
      <c r="J442" t="n">
        <v>0</v>
      </c>
      <c r="K442" t="n">
        <v>0</v>
      </c>
      <c r="L442" t="n">
        <v>0</v>
      </c>
      <c r="M442" t="n">
        <v>0</v>
      </c>
      <c r="N442" t="n">
        <v>0</v>
      </c>
      <c r="O442" t="n">
        <v>0</v>
      </c>
      <c r="P442" t="n">
        <v>0</v>
      </c>
      <c r="Q442" t="n">
        <v>0</v>
      </c>
      <c r="R442" s="2" t="inlineStr"/>
    </row>
    <row r="443" ht="15" customHeight="1">
      <c r="A443" t="inlineStr">
        <is>
          <t>A 7636-2025</t>
        </is>
      </c>
      <c r="B443" s="1" t="n">
        <v>45705.7687962963</v>
      </c>
      <c r="C443" s="1" t="n">
        <v>45940</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7639-2025</t>
        </is>
      </c>
      <c r="B444" s="1" t="n">
        <v>45705.77465277778</v>
      </c>
      <c r="C444" s="1" t="n">
        <v>45940</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61682-2024</t>
        </is>
      </c>
      <c r="B445" s="1" t="n">
        <v>45647.48824074074</v>
      </c>
      <c r="C445" s="1" t="n">
        <v>45940</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15434-2024</t>
        </is>
      </c>
      <c r="B446" s="1" t="n">
        <v>45401.38836805556</v>
      </c>
      <c r="C446" s="1" t="n">
        <v>45940</v>
      </c>
      <c r="D446" t="inlineStr">
        <is>
          <t>GOTLANDS LÄN</t>
        </is>
      </c>
      <c r="E446" t="inlineStr">
        <is>
          <t>GOTLAND</t>
        </is>
      </c>
      <c r="G446" t="n">
        <v>2.5</v>
      </c>
      <c r="H446" t="n">
        <v>0</v>
      </c>
      <c r="I446" t="n">
        <v>0</v>
      </c>
      <c r="J446" t="n">
        <v>0</v>
      </c>
      <c r="K446" t="n">
        <v>0</v>
      </c>
      <c r="L446" t="n">
        <v>0</v>
      </c>
      <c r="M446" t="n">
        <v>0</v>
      </c>
      <c r="N446" t="n">
        <v>0</v>
      </c>
      <c r="O446" t="n">
        <v>0</v>
      </c>
      <c r="P446" t="n">
        <v>0</v>
      </c>
      <c r="Q446" t="n">
        <v>0</v>
      </c>
      <c r="R446" s="2" t="inlineStr"/>
    </row>
    <row r="447" ht="15" customHeight="1">
      <c r="A447" t="inlineStr">
        <is>
          <t>A 32378-2025</t>
        </is>
      </c>
      <c r="B447" s="1" t="n">
        <v>45837</v>
      </c>
      <c r="C447" s="1" t="n">
        <v>45940</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32379-2025</t>
        </is>
      </c>
      <c r="B448" s="1" t="n">
        <v>45837</v>
      </c>
      <c r="C448" s="1" t="n">
        <v>45940</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7034-2023</t>
        </is>
      </c>
      <c r="B449" s="1" t="n">
        <v>44968.32108796296</v>
      </c>
      <c r="C449" s="1" t="n">
        <v>45940</v>
      </c>
      <c r="D449" t="inlineStr">
        <is>
          <t>GOTLANDS LÄN</t>
        </is>
      </c>
      <c r="E449" t="inlineStr">
        <is>
          <t>GOTLAND</t>
        </is>
      </c>
      <c r="G449" t="n">
        <v>1.6</v>
      </c>
      <c r="H449" t="n">
        <v>0</v>
      </c>
      <c r="I449" t="n">
        <v>0</v>
      </c>
      <c r="J449" t="n">
        <v>0</v>
      </c>
      <c r="K449" t="n">
        <v>0</v>
      </c>
      <c r="L449" t="n">
        <v>0</v>
      </c>
      <c r="M449" t="n">
        <v>0</v>
      </c>
      <c r="N449" t="n">
        <v>0</v>
      </c>
      <c r="O449" t="n">
        <v>0</v>
      </c>
      <c r="P449" t="n">
        <v>0</v>
      </c>
      <c r="Q449" t="n">
        <v>0</v>
      </c>
      <c r="R449" s="2" t="inlineStr"/>
    </row>
    <row r="450" ht="15" customHeight="1">
      <c r="A450" t="inlineStr">
        <is>
          <t>A 7042-2023</t>
        </is>
      </c>
      <c r="B450" s="1" t="n">
        <v>44968</v>
      </c>
      <c r="C450" s="1" t="n">
        <v>45940</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2292-2021</t>
        </is>
      </c>
      <c r="B451" s="1" t="n">
        <v>44212</v>
      </c>
      <c r="C451" s="1" t="n">
        <v>45940</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2180-2025</t>
        </is>
      </c>
      <c r="B452" s="1" t="n">
        <v>45673</v>
      </c>
      <c r="C452" s="1" t="n">
        <v>45940</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49962-2023</t>
        </is>
      </c>
      <c r="B453" s="1" t="n">
        <v>45215.38775462963</v>
      </c>
      <c r="C453" s="1" t="n">
        <v>45940</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33078-2025</t>
        </is>
      </c>
      <c r="B454" s="1" t="n">
        <v>45840</v>
      </c>
      <c r="C454" s="1" t="n">
        <v>45940</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35142-2025</t>
        </is>
      </c>
      <c r="B455" s="1" t="n">
        <v>45852.65532407408</v>
      </c>
      <c r="C455" s="1" t="n">
        <v>45940</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33007-2025</t>
        </is>
      </c>
      <c r="B456" s="1" t="n">
        <v>45840</v>
      </c>
      <c r="C456" s="1" t="n">
        <v>45940</v>
      </c>
      <c r="D456" t="inlineStr">
        <is>
          <t>GOTLANDS LÄN</t>
        </is>
      </c>
      <c r="E456" t="inlineStr">
        <is>
          <t>GOTLAND</t>
        </is>
      </c>
      <c r="G456" t="n">
        <v>4.9</v>
      </c>
      <c r="H456" t="n">
        <v>0</v>
      </c>
      <c r="I456" t="n">
        <v>0</v>
      </c>
      <c r="J456" t="n">
        <v>0</v>
      </c>
      <c r="K456" t="n">
        <v>0</v>
      </c>
      <c r="L456" t="n">
        <v>0</v>
      </c>
      <c r="M456" t="n">
        <v>0</v>
      </c>
      <c r="N456" t="n">
        <v>0</v>
      </c>
      <c r="O456" t="n">
        <v>0</v>
      </c>
      <c r="P456" t="n">
        <v>0</v>
      </c>
      <c r="Q456" t="n">
        <v>0</v>
      </c>
      <c r="R456" s="2" t="inlineStr"/>
    </row>
    <row r="457" ht="15" customHeight="1">
      <c r="A457" t="inlineStr">
        <is>
          <t>A 33011-2025</t>
        </is>
      </c>
      <c r="B457" s="1" t="n">
        <v>45840</v>
      </c>
      <c r="C457" s="1" t="n">
        <v>45940</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50744-2024</t>
        </is>
      </c>
      <c r="B458" s="1" t="n">
        <v>45602.4187037037</v>
      </c>
      <c r="C458" s="1" t="n">
        <v>45940</v>
      </c>
      <c r="D458" t="inlineStr">
        <is>
          <t>GOTLANDS LÄN</t>
        </is>
      </c>
      <c r="E458" t="inlineStr">
        <is>
          <t>GOTLAND</t>
        </is>
      </c>
      <c r="G458" t="n">
        <v>3.2</v>
      </c>
      <c r="H458" t="n">
        <v>0</v>
      </c>
      <c r="I458" t="n">
        <v>0</v>
      </c>
      <c r="J458" t="n">
        <v>0</v>
      </c>
      <c r="K458" t="n">
        <v>0</v>
      </c>
      <c r="L458" t="n">
        <v>0</v>
      </c>
      <c r="M458" t="n">
        <v>0</v>
      </c>
      <c r="N458" t="n">
        <v>0</v>
      </c>
      <c r="O458" t="n">
        <v>0</v>
      </c>
      <c r="P458" t="n">
        <v>0</v>
      </c>
      <c r="Q458" t="n">
        <v>0</v>
      </c>
      <c r="R458" s="2" t="inlineStr"/>
    </row>
    <row r="459" ht="15" customHeight="1">
      <c r="A459" t="inlineStr">
        <is>
          <t>A 45244-2024</t>
        </is>
      </c>
      <c r="B459" s="1" t="n">
        <v>45576</v>
      </c>
      <c r="C459" s="1" t="n">
        <v>45940</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38787-2023</t>
        </is>
      </c>
      <c r="B460" s="1" t="n">
        <v>45163</v>
      </c>
      <c r="C460" s="1" t="n">
        <v>45940</v>
      </c>
      <c r="D460" t="inlineStr">
        <is>
          <t>GOTLANDS LÄN</t>
        </is>
      </c>
      <c r="E460" t="inlineStr">
        <is>
          <t>GOTLAND</t>
        </is>
      </c>
      <c r="G460" t="n">
        <v>0.4</v>
      </c>
      <c r="H460" t="n">
        <v>0</v>
      </c>
      <c r="I460" t="n">
        <v>0</v>
      </c>
      <c r="J460" t="n">
        <v>0</v>
      </c>
      <c r="K460" t="n">
        <v>0</v>
      </c>
      <c r="L460" t="n">
        <v>0</v>
      </c>
      <c r="M460" t="n">
        <v>0</v>
      </c>
      <c r="N460" t="n">
        <v>0</v>
      </c>
      <c r="O460" t="n">
        <v>0</v>
      </c>
      <c r="P460" t="n">
        <v>0</v>
      </c>
      <c r="Q460" t="n">
        <v>0</v>
      </c>
      <c r="R460" s="2" t="inlineStr"/>
    </row>
    <row r="461" ht="15" customHeight="1">
      <c r="A461" t="inlineStr">
        <is>
          <t>A 54074-2022</t>
        </is>
      </c>
      <c r="B461" s="1" t="n">
        <v>44881</v>
      </c>
      <c r="C461" s="1" t="n">
        <v>45940</v>
      </c>
      <c r="D461" t="inlineStr">
        <is>
          <t>GOTLANDS LÄN</t>
        </is>
      </c>
      <c r="E461" t="inlineStr">
        <is>
          <t>GOTLAND</t>
        </is>
      </c>
      <c r="G461" t="n">
        <v>0.9</v>
      </c>
      <c r="H461" t="n">
        <v>0</v>
      </c>
      <c r="I461" t="n">
        <v>0</v>
      </c>
      <c r="J461" t="n">
        <v>0</v>
      </c>
      <c r="K461" t="n">
        <v>0</v>
      </c>
      <c r="L461" t="n">
        <v>0</v>
      </c>
      <c r="M461" t="n">
        <v>0</v>
      </c>
      <c r="N461" t="n">
        <v>0</v>
      </c>
      <c r="O461" t="n">
        <v>0</v>
      </c>
      <c r="P461" t="n">
        <v>0</v>
      </c>
      <c r="Q461" t="n">
        <v>0</v>
      </c>
      <c r="R461" s="2" t="inlineStr"/>
    </row>
    <row r="462" ht="15" customHeight="1">
      <c r="A462" t="inlineStr">
        <is>
          <t>A 2714-2023</t>
        </is>
      </c>
      <c r="B462" s="1" t="n">
        <v>44944.54896990741</v>
      </c>
      <c r="C462" s="1" t="n">
        <v>45940</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22897-2023</t>
        </is>
      </c>
      <c r="B463" s="1" t="n">
        <v>45072.55239583334</v>
      </c>
      <c r="C463" s="1" t="n">
        <v>45940</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61694-2023</t>
        </is>
      </c>
      <c r="B464" s="1" t="n">
        <v>45264</v>
      </c>
      <c r="C464" s="1" t="n">
        <v>45940</v>
      </c>
      <c r="D464" t="inlineStr">
        <is>
          <t>GOTLANDS LÄN</t>
        </is>
      </c>
      <c r="E464" t="inlineStr">
        <is>
          <t>GOTLAND</t>
        </is>
      </c>
      <c r="G464" t="n">
        <v>4.6</v>
      </c>
      <c r="H464" t="n">
        <v>0</v>
      </c>
      <c r="I464" t="n">
        <v>0</v>
      </c>
      <c r="J464" t="n">
        <v>0</v>
      </c>
      <c r="K464" t="n">
        <v>0</v>
      </c>
      <c r="L464" t="n">
        <v>0</v>
      </c>
      <c r="M464" t="n">
        <v>0</v>
      </c>
      <c r="N464" t="n">
        <v>0</v>
      </c>
      <c r="O464" t="n">
        <v>0</v>
      </c>
      <c r="P464" t="n">
        <v>0</v>
      </c>
      <c r="Q464" t="n">
        <v>0</v>
      </c>
      <c r="R464" s="2" t="inlineStr"/>
    </row>
    <row r="465" ht="15" customHeight="1">
      <c r="A465" t="inlineStr">
        <is>
          <t>A 4568-2025</t>
        </is>
      </c>
      <c r="B465" s="1" t="n">
        <v>45687</v>
      </c>
      <c r="C465" s="1" t="n">
        <v>45940</v>
      </c>
      <c r="D465" t="inlineStr">
        <is>
          <t>GOTLANDS LÄN</t>
        </is>
      </c>
      <c r="E465" t="inlineStr">
        <is>
          <t>GOTLAND</t>
        </is>
      </c>
      <c r="G465" t="n">
        <v>1.9</v>
      </c>
      <c r="H465" t="n">
        <v>0</v>
      </c>
      <c r="I465" t="n">
        <v>0</v>
      </c>
      <c r="J465" t="n">
        <v>0</v>
      </c>
      <c r="K465" t="n">
        <v>0</v>
      </c>
      <c r="L465" t="n">
        <v>0</v>
      </c>
      <c r="M465" t="n">
        <v>0</v>
      </c>
      <c r="N465" t="n">
        <v>0</v>
      </c>
      <c r="O465" t="n">
        <v>0</v>
      </c>
      <c r="P465" t="n">
        <v>0</v>
      </c>
      <c r="Q465" t="n">
        <v>0</v>
      </c>
      <c r="R465" s="2" t="inlineStr"/>
    </row>
    <row r="466" ht="15" customHeight="1">
      <c r="A466" t="inlineStr">
        <is>
          <t>A 1681-2023</t>
        </is>
      </c>
      <c r="B466" s="1" t="n">
        <v>44938.39715277778</v>
      </c>
      <c r="C466" s="1" t="n">
        <v>45940</v>
      </c>
      <c r="D466" t="inlineStr">
        <is>
          <t>GOTLANDS LÄN</t>
        </is>
      </c>
      <c r="E466" t="inlineStr">
        <is>
          <t>GOTLAND</t>
        </is>
      </c>
      <c r="G466" t="n">
        <v>2.4</v>
      </c>
      <c r="H466" t="n">
        <v>0</v>
      </c>
      <c r="I466" t="n">
        <v>0</v>
      </c>
      <c r="J466" t="n">
        <v>0</v>
      </c>
      <c r="K466" t="n">
        <v>0</v>
      </c>
      <c r="L466" t="n">
        <v>0</v>
      </c>
      <c r="M466" t="n">
        <v>0</v>
      </c>
      <c r="N466" t="n">
        <v>0</v>
      </c>
      <c r="O466" t="n">
        <v>0</v>
      </c>
      <c r="P466" t="n">
        <v>0</v>
      </c>
      <c r="Q466" t="n">
        <v>0</v>
      </c>
      <c r="R466" s="2" t="inlineStr"/>
    </row>
    <row r="467" ht="15" customHeight="1">
      <c r="A467" t="inlineStr">
        <is>
          <t>A 64208-2021</t>
        </is>
      </c>
      <c r="B467" s="1" t="n">
        <v>44510</v>
      </c>
      <c r="C467" s="1" t="n">
        <v>45940</v>
      </c>
      <c r="D467" t="inlineStr">
        <is>
          <t>GOTLANDS LÄN</t>
        </is>
      </c>
      <c r="E467" t="inlineStr">
        <is>
          <t>GOTLAND</t>
        </is>
      </c>
      <c r="G467" t="n">
        <v>4.7</v>
      </c>
      <c r="H467" t="n">
        <v>0</v>
      </c>
      <c r="I467" t="n">
        <v>0</v>
      </c>
      <c r="J467" t="n">
        <v>0</v>
      </c>
      <c r="K467" t="n">
        <v>0</v>
      </c>
      <c r="L467" t="n">
        <v>0</v>
      </c>
      <c r="M467" t="n">
        <v>0</v>
      </c>
      <c r="N467" t="n">
        <v>0</v>
      </c>
      <c r="O467" t="n">
        <v>0</v>
      </c>
      <c r="P467" t="n">
        <v>0</v>
      </c>
      <c r="Q467" t="n">
        <v>0</v>
      </c>
      <c r="R467" s="2" t="inlineStr"/>
    </row>
    <row r="468" ht="15" customHeight="1">
      <c r="A468" t="inlineStr">
        <is>
          <t>A 42338-2023</t>
        </is>
      </c>
      <c r="B468" s="1" t="n">
        <v>45180</v>
      </c>
      <c r="C468" s="1" t="n">
        <v>45940</v>
      </c>
      <c r="D468" t="inlineStr">
        <is>
          <t>GOTLANDS LÄN</t>
        </is>
      </c>
      <c r="E468" t="inlineStr">
        <is>
          <t>GOTLAND</t>
        </is>
      </c>
      <c r="G468" t="n">
        <v>0.7</v>
      </c>
      <c r="H468" t="n">
        <v>0</v>
      </c>
      <c r="I468" t="n">
        <v>0</v>
      </c>
      <c r="J468" t="n">
        <v>0</v>
      </c>
      <c r="K468" t="n">
        <v>0</v>
      </c>
      <c r="L468" t="n">
        <v>0</v>
      </c>
      <c r="M468" t="n">
        <v>0</v>
      </c>
      <c r="N468" t="n">
        <v>0</v>
      </c>
      <c r="O468" t="n">
        <v>0</v>
      </c>
      <c r="P468" t="n">
        <v>0</v>
      </c>
      <c r="Q468" t="n">
        <v>0</v>
      </c>
      <c r="R468" s="2" t="inlineStr"/>
    </row>
    <row r="469" ht="15" customHeight="1">
      <c r="A469" t="inlineStr">
        <is>
          <t>A 18918-2025</t>
        </is>
      </c>
      <c r="B469" s="1" t="n">
        <v>45764</v>
      </c>
      <c r="C469" s="1" t="n">
        <v>45940</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11013-2024</t>
        </is>
      </c>
      <c r="B470" s="1" t="n">
        <v>45370</v>
      </c>
      <c r="C470" s="1" t="n">
        <v>45940</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54268-2022</t>
        </is>
      </c>
      <c r="B471" s="1" t="n">
        <v>44882</v>
      </c>
      <c r="C471" s="1" t="n">
        <v>45940</v>
      </c>
      <c r="D471" t="inlineStr">
        <is>
          <t>GOTLANDS LÄN</t>
        </is>
      </c>
      <c r="E471" t="inlineStr">
        <is>
          <t>GOTLAND</t>
        </is>
      </c>
      <c r="G471" t="n">
        <v>2.7</v>
      </c>
      <c r="H471" t="n">
        <v>0</v>
      </c>
      <c r="I471" t="n">
        <v>0</v>
      </c>
      <c r="J471" t="n">
        <v>0</v>
      </c>
      <c r="K471" t="n">
        <v>0</v>
      </c>
      <c r="L471" t="n">
        <v>0</v>
      </c>
      <c r="M471" t="n">
        <v>0</v>
      </c>
      <c r="N471" t="n">
        <v>0</v>
      </c>
      <c r="O471" t="n">
        <v>0</v>
      </c>
      <c r="P471" t="n">
        <v>0</v>
      </c>
      <c r="Q471" t="n">
        <v>0</v>
      </c>
      <c r="R471" s="2" t="inlineStr"/>
    </row>
    <row r="472" ht="15" customHeight="1">
      <c r="A472" t="inlineStr">
        <is>
          <t>A 35141-2025</t>
        </is>
      </c>
      <c r="B472" s="1" t="n">
        <v>45852.65206018519</v>
      </c>
      <c r="C472" s="1" t="n">
        <v>45940</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1446-2025</t>
        </is>
      </c>
      <c r="B473" s="1" t="n">
        <v>45669.86035879629</v>
      </c>
      <c r="C473" s="1" t="n">
        <v>45940</v>
      </c>
      <c r="D473" t="inlineStr">
        <is>
          <t>GOTLANDS LÄN</t>
        </is>
      </c>
      <c r="E473" t="inlineStr">
        <is>
          <t>GOTLAND</t>
        </is>
      </c>
      <c r="G473" t="n">
        <v>3.1</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45940</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45084-2024</t>
        </is>
      </c>
      <c r="B475" s="1" t="n">
        <v>45575</v>
      </c>
      <c r="C475" s="1" t="n">
        <v>45940</v>
      </c>
      <c r="D475" t="inlineStr">
        <is>
          <t>GOTLANDS LÄN</t>
        </is>
      </c>
      <c r="E475" t="inlineStr">
        <is>
          <t>GOTLAND</t>
        </is>
      </c>
      <c r="G475" t="n">
        <v>6.8</v>
      </c>
      <c r="H475" t="n">
        <v>0</v>
      </c>
      <c r="I475" t="n">
        <v>0</v>
      </c>
      <c r="J475" t="n">
        <v>0</v>
      </c>
      <c r="K475" t="n">
        <v>0</v>
      </c>
      <c r="L475" t="n">
        <v>0</v>
      </c>
      <c r="M475" t="n">
        <v>0</v>
      </c>
      <c r="N475" t="n">
        <v>0</v>
      </c>
      <c r="O475" t="n">
        <v>0</v>
      </c>
      <c r="P475" t="n">
        <v>0</v>
      </c>
      <c r="Q475" t="n">
        <v>0</v>
      </c>
      <c r="R475" s="2" t="inlineStr"/>
    </row>
    <row r="476" ht="15" customHeight="1">
      <c r="A476" t="inlineStr">
        <is>
          <t>A 20356-2022</t>
        </is>
      </c>
      <c r="B476" s="1" t="n">
        <v>44699</v>
      </c>
      <c r="C476" s="1" t="n">
        <v>45940</v>
      </c>
      <c r="D476" t="inlineStr">
        <is>
          <t>GOTLANDS LÄN</t>
        </is>
      </c>
      <c r="E476" t="inlineStr">
        <is>
          <t>GOTLAND</t>
        </is>
      </c>
      <c r="F476" t="inlineStr">
        <is>
          <t>Övriga Aktiebolag</t>
        </is>
      </c>
      <c r="G476" t="n">
        <v>4.4</v>
      </c>
      <c r="H476" t="n">
        <v>0</v>
      </c>
      <c r="I476" t="n">
        <v>0</v>
      </c>
      <c r="J476" t="n">
        <v>0</v>
      </c>
      <c r="K476" t="n">
        <v>0</v>
      </c>
      <c r="L476" t="n">
        <v>0</v>
      </c>
      <c r="M476" t="n">
        <v>0</v>
      </c>
      <c r="N476" t="n">
        <v>0</v>
      </c>
      <c r="O476" t="n">
        <v>0</v>
      </c>
      <c r="P476" t="n">
        <v>0</v>
      </c>
      <c r="Q476" t="n">
        <v>0</v>
      </c>
      <c r="R476" s="2" t="inlineStr"/>
    </row>
    <row r="477" ht="15" customHeight="1">
      <c r="A477" t="inlineStr">
        <is>
          <t>A 57685-2022</t>
        </is>
      </c>
      <c r="B477" s="1" t="n">
        <v>44897.4777662037</v>
      </c>
      <c r="C477" s="1" t="n">
        <v>45940</v>
      </c>
      <c r="D477" t="inlineStr">
        <is>
          <t>GOTLANDS LÄN</t>
        </is>
      </c>
      <c r="E477" t="inlineStr">
        <is>
          <t>GOTLAND</t>
        </is>
      </c>
      <c r="G477" t="n">
        <v>3.7</v>
      </c>
      <c r="H477" t="n">
        <v>0</v>
      </c>
      <c r="I477" t="n">
        <v>0</v>
      </c>
      <c r="J477" t="n">
        <v>0</v>
      </c>
      <c r="K477" t="n">
        <v>0</v>
      </c>
      <c r="L477" t="n">
        <v>0</v>
      </c>
      <c r="M477" t="n">
        <v>0</v>
      </c>
      <c r="N477" t="n">
        <v>0</v>
      </c>
      <c r="O477" t="n">
        <v>0</v>
      </c>
      <c r="P477" t="n">
        <v>0</v>
      </c>
      <c r="Q477" t="n">
        <v>0</v>
      </c>
      <c r="R477" s="2" t="inlineStr"/>
    </row>
    <row r="478" ht="15" customHeight="1">
      <c r="A478" t="inlineStr">
        <is>
          <t>A 4868-2024</t>
        </is>
      </c>
      <c r="B478" s="1" t="n">
        <v>45329</v>
      </c>
      <c r="C478" s="1" t="n">
        <v>45940</v>
      </c>
      <c r="D478" t="inlineStr">
        <is>
          <t>GOTLANDS LÄN</t>
        </is>
      </c>
      <c r="E478" t="inlineStr">
        <is>
          <t>GOTLAND</t>
        </is>
      </c>
      <c r="G478" t="n">
        <v>7.1</v>
      </c>
      <c r="H478" t="n">
        <v>0</v>
      </c>
      <c r="I478" t="n">
        <v>0</v>
      </c>
      <c r="J478" t="n">
        <v>0</v>
      </c>
      <c r="K478" t="n">
        <v>0</v>
      </c>
      <c r="L478" t="n">
        <v>0</v>
      </c>
      <c r="M478" t="n">
        <v>0</v>
      </c>
      <c r="N478" t="n">
        <v>0</v>
      </c>
      <c r="O478" t="n">
        <v>0</v>
      </c>
      <c r="P478" t="n">
        <v>0</v>
      </c>
      <c r="Q478" t="n">
        <v>0</v>
      </c>
      <c r="R478" s="2" t="inlineStr"/>
    </row>
    <row r="479" ht="15" customHeight="1">
      <c r="A479" t="inlineStr">
        <is>
          <t>A 9613-2025</t>
        </is>
      </c>
      <c r="B479" s="1" t="n">
        <v>45715</v>
      </c>
      <c r="C479" s="1" t="n">
        <v>45940</v>
      </c>
      <c r="D479" t="inlineStr">
        <is>
          <t>GOTLANDS LÄN</t>
        </is>
      </c>
      <c r="E479" t="inlineStr">
        <is>
          <t>GOTLAND</t>
        </is>
      </c>
      <c r="G479" t="n">
        <v>3.5</v>
      </c>
      <c r="H479" t="n">
        <v>0</v>
      </c>
      <c r="I479" t="n">
        <v>0</v>
      </c>
      <c r="J479" t="n">
        <v>0</v>
      </c>
      <c r="K479" t="n">
        <v>0</v>
      </c>
      <c r="L479" t="n">
        <v>0</v>
      </c>
      <c r="M479" t="n">
        <v>0</v>
      </c>
      <c r="N479" t="n">
        <v>0</v>
      </c>
      <c r="O479" t="n">
        <v>0</v>
      </c>
      <c r="P479" t="n">
        <v>0</v>
      </c>
      <c r="Q479" t="n">
        <v>0</v>
      </c>
      <c r="R479" s="2" t="inlineStr"/>
    </row>
    <row r="480" ht="15" customHeight="1">
      <c r="A480" t="inlineStr">
        <is>
          <t>A 811-2023</t>
        </is>
      </c>
      <c r="B480" s="1" t="n">
        <v>44931</v>
      </c>
      <c r="C480" s="1" t="n">
        <v>45940</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5386-2023</t>
        </is>
      </c>
      <c r="B481" s="1" t="n">
        <v>44959</v>
      </c>
      <c r="C481" s="1" t="n">
        <v>45940</v>
      </c>
      <c r="D481" t="inlineStr">
        <is>
          <t>GOTLANDS LÄN</t>
        </is>
      </c>
      <c r="E481" t="inlineStr">
        <is>
          <t>GOTLAND</t>
        </is>
      </c>
      <c r="G481" t="n">
        <v>5.4</v>
      </c>
      <c r="H481" t="n">
        <v>0</v>
      </c>
      <c r="I481" t="n">
        <v>0</v>
      </c>
      <c r="J481" t="n">
        <v>0</v>
      </c>
      <c r="K481" t="n">
        <v>0</v>
      </c>
      <c r="L481" t="n">
        <v>0</v>
      </c>
      <c r="M481" t="n">
        <v>0</v>
      </c>
      <c r="N481" t="n">
        <v>0</v>
      </c>
      <c r="O481" t="n">
        <v>0</v>
      </c>
      <c r="P481" t="n">
        <v>0</v>
      </c>
      <c r="Q481" t="n">
        <v>0</v>
      </c>
      <c r="R481" s="2" t="inlineStr"/>
    </row>
    <row r="482" ht="15" customHeight="1">
      <c r="A482" t="inlineStr">
        <is>
          <t>A 5905-2024</t>
        </is>
      </c>
      <c r="B482" s="1" t="n">
        <v>45335.88993055555</v>
      </c>
      <c r="C482" s="1" t="n">
        <v>45940</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3431-2025</t>
        </is>
      </c>
      <c r="B483" s="1" t="n">
        <v>45680.42935185185</v>
      </c>
      <c r="C483" s="1" t="n">
        <v>45940</v>
      </c>
      <c r="D483" t="inlineStr">
        <is>
          <t>GOTLANDS LÄN</t>
        </is>
      </c>
      <c r="E483" t="inlineStr">
        <is>
          <t>GOTLAND</t>
        </is>
      </c>
      <c r="G483" t="n">
        <v>4.8</v>
      </c>
      <c r="H483" t="n">
        <v>0</v>
      </c>
      <c r="I483" t="n">
        <v>0</v>
      </c>
      <c r="J483" t="n">
        <v>0</v>
      </c>
      <c r="K483" t="n">
        <v>0</v>
      </c>
      <c r="L483" t="n">
        <v>0</v>
      </c>
      <c r="M483" t="n">
        <v>0</v>
      </c>
      <c r="N483" t="n">
        <v>0</v>
      </c>
      <c r="O483" t="n">
        <v>0</v>
      </c>
      <c r="P483" t="n">
        <v>0</v>
      </c>
      <c r="Q483" t="n">
        <v>0</v>
      </c>
      <c r="R483" s="2" t="inlineStr"/>
    </row>
    <row r="484" ht="15" customHeight="1">
      <c r="A484" t="inlineStr">
        <is>
          <t>A 34407-2023</t>
        </is>
      </c>
      <c r="B484" s="1" t="n">
        <v>45132</v>
      </c>
      <c r="C484" s="1" t="n">
        <v>45940</v>
      </c>
      <c r="D484" t="inlineStr">
        <is>
          <t>GOTLANDS LÄN</t>
        </is>
      </c>
      <c r="E484" t="inlineStr">
        <is>
          <t>GOTLAND</t>
        </is>
      </c>
      <c r="G484" t="n">
        <v>4.4</v>
      </c>
      <c r="H484" t="n">
        <v>0</v>
      </c>
      <c r="I484" t="n">
        <v>0</v>
      </c>
      <c r="J484" t="n">
        <v>0</v>
      </c>
      <c r="K484" t="n">
        <v>0</v>
      </c>
      <c r="L484" t="n">
        <v>0</v>
      </c>
      <c r="M484" t="n">
        <v>0</v>
      </c>
      <c r="N484" t="n">
        <v>0</v>
      </c>
      <c r="O484" t="n">
        <v>0</v>
      </c>
      <c r="P484" t="n">
        <v>0</v>
      </c>
      <c r="Q484" t="n">
        <v>0</v>
      </c>
      <c r="R484" s="2" t="inlineStr"/>
    </row>
    <row r="485" ht="15" customHeight="1">
      <c r="A485" t="inlineStr">
        <is>
          <t>A 58211-2024</t>
        </is>
      </c>
      <c r="B485" s="1" t="n">
        <v>45632.49292824074</v>
      </c>
      <c r="C485" s="1" t="n">
        <v>45940</v>
      </c>
      <c r="D485" t="inlineStr">
        <is>
          <t>GOTLANDS LÄN</t>
        </is>
      </c>
      <c r="E485" t="inlineStr">
        <is>
          <t>GOTLAND</t>
        </is>
      </c>
      <c r="G485" t="n">
        <v>5.4</v>
      </c>
      <c r="H485" t="n">
        <v>0</v>
      </c>
      <c r="I485" t="n">
        <v>0</v>
      </c>
      <c r="J485" t="n">
        <v>0</v>
      </c>
      <c r="K485" t="n">
        <v>0</v>
      </c>
      <c r="L485" t="n">
        <v>0</v>
      </c>
      <c r="M485" t="n">
        <v>0</v>
      </c>
      <c r="N485" t="n">
        <v>0</v>
      </c>
      <c r="O485" t="n">
        <v>0</v>
      </c>
      <c r="P485" t="n">
        <v>0</v>
      </c>
      <c r="Q485" t="n">
        <v>0</v>
      </c>
      <c r="R485" s="2" t="inlineStr"/>
    </row>
    <row r="486" ht="15" customHeight="1">
      <c r="A486" t="inlineStr">
        <is>
          <t>A 30892-2024</t>
        </is>
      </c>
      <c r="B486" s="1" t="n">
        <v>45491</v>
      </c>
      <c r="C486" s="1" t="n">
        <v>45940</v>
      </c>
      <c r="D486" t="inlineStr">
        <is>
          <t>GOTLANDS LÄN</t>
        </is>
      </c>
      <c r="E486" t="inlineStr">
        <is>
          <t>GOTLAND</t>
        </is>
      </c>
      <c r="G486" t="n">
        <v>6.1</v>
      </c>
      <c r="H486" t="n">
        <v>0</v>
      </c>
      <c r="I486" t="n">
        <v>0</v>
      </c>
      <c r="J486" t="n">
        <v>0</v>
      </c>
      <c r="K486" t="n">
        <v>0</v>
      </c>
      <c r="L486" t="n">
        <v>0</v>
      </c>
      <c r="M486" t="n">
        <v>0</v>
      </c>
      <c r="N486" t="n">
        <v>0</v>
      </c>
      <c r="O486" t="n">
        <v>0</v>
      </c>
      <c r="P486" t="n">
        <v>0</v>
      </c>
      <c r="Q486" t="n">
        <v>0</v>
      </c>
      <c r="R486" s="2" t="inlineStr"/>
    </row>
    <row r="487" ht="15" customHeight="1">
      <c r="A487" t="inlineStr">
        <is>
          <t>A 32958-2021</t>
        </is>
      </c>
      <c r="B487" s="1" t="n">
        <v>44376</v>
      </c>
      <c r="C487" s="1" t="n">
        <v>45940</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11634-2024</t>
        </is>
      </c>
      <c r="B488" s="1" t="n">
        <v>45373</v>
      </c>
      <c r="C488" s="1" t="n">
        <v>45940</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15413-2025</t>
        </is>
      </c>
      <c r="B489" s="1" t="n">
        <v>45747.451875</v>
      </c>
      <c r="C489" s="1" t="n">
        <v>45940</v>
      </c>
      <c r="D489" t="inlineStr">
        <is>
          <t>GOTLANDS LÄN</t>
        </is>
      </c>
      <c r="E489" t="inlineStr">
        <is>
          <t>GOTLAND</t>
        </is>
      </c>
      <c r="G489" t="n">
        <v>0.6</v>
      </c>
      <c r="H489" t="n">
        <v>0</v>
      </c>
      <c r="I489" t="n">
        <v>0</v>
      </c>
      <c r="J489" t="n">
        <v>0</v>
      </c>
      <c r="K489" t="n">
        <v>0</v>
      </c>
      <c r="L489" t="n">
        <v>0</v>
      </c>
      <c r="M489" t="n">
        <v>0</v>
      </c>
      <c r="N489" t="n">
        <v>0</v>
      </c>
      <c r="O489" t="n">
        <v>0</v>
      </c>
      <c r="P489" t="n">
        <v>0</v>
      </c>
      <c r="Q489" t="n">
        <v>0</v>
      </c>
      <c r="R489" s="2" t="inlineStr"/>
    </row>
    <row r="490" ht="15" customHeight="1">
      <c r="A490" t="inlineStr">
        <is>
          <t>A 5884-2025</t>
        </is>
      </c>
      <c r="B490" s="1" t="n">
        <v>45695.37482638889</v>
      </c>
      <c r="C490" s="1" t="n">
        <v>45940</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5897-2025</t>
        </is>
      </c>
      <c r="B491" s="1" t="n">
        <v>45695.39273148148</v>
      </c>
      <c r="C491" s="1" t="n">
        <v>45940</v>
      </c>
      <c r="D491" t="inlineStr">
        <is>
          <t>GOTLANDS LÄN</t>
        </is>
      </c>
      <c r="E491" t="inlineStr">
        <is>
          <t>GOTLAND</t>
        </is>
      </c>
      <c r="G491" t="n">
        <v>3.7</v>
      </c>
      <c r="H491" t="n">
        <v>0</v>
      </c>
      <c r="I491" t="n">
        <v>0</v>
      </c>
      <c r="J491" t="n">
        <v>0</v>
      </c>
      <c r="K491" t="n">
        <v>0</v>
      </c>
      <c r="L491" t="n">
        <v>0</v>
      </c>
      <c r="M491" t="n">
        <v>0</v>
      </c>
      <c r="N491" t="n">
        <v>0</v>
      </c>
      <c r="O491" t="n">
        <v>0</v>
      </c>
      <c r="P491" t="n">
        <v>0</v>
      </c>
      <c r="Q491" t="n">
        <v>0</v>
      </c>
      <c r="R491" s="2" t="inlineStr"/>
    </row>
    <row r="492" ht="15" customHeight="1">
      <c r="A492" t="inlineStr">
        <is>
          <t>A 5909-2025</t>
        </is>
      </c>
      <c r="B492" s="1" t="n">
        <v>45695.40634259259</v>
      </c>
      <c r="C492" s="1" t="n">
        <v>45940</v>
      </c>
      <c r="D492" t="inlineStr">
        <is>
          <t>GOTLANDS LÄN</t>
        </is>
      </c>
      <c r="E492" t="inlineStr">
        <is>
          <t>GOTLAND</t>
        </is>
      </c>
      <c r="G492" t="n">
        <v>2.9</v>
      </c>
      <c r="H492" t="n">
        <v>0</v>
      </c>
      <c r="I492" t="n">
        <v>0</v>
      </c>
      <c r="J492" t="n">
        <v>0</v>
      </c>
      <c r="K492" t="n">
        <v>0</v>
      </c>
      <c r="L492" t="n">
        <v>0</v>
      </c>
      <c r="M492" t="n">
        <v>0</v>
      </c>
      <c r="N492" t="n">
        <v>0</v>
      </c>
      <c r="O492" t="n">
        <v>0</v>
      </c>
      <c r="P492" t="n">
        <v>0</v>
      </c>
      <c r="Q492" t="n">
        <v>0</v>
      </c>
      <c r="R492" s="2" t="inlineStr"/>
    </row>
    <row r="493" ht="15" customHeight="1">
      <c r="A493" t="inlineStr">
        <is>
          <t>A 35096-2025</t>
        </is>
      </c>
      <c r="B493" s="1" t="n">
        <v>45852.54356481481</v>
      </c>
      <c r="C493" s="1" t="n">
        <v>45940</v>
      </c>
      <c r="D493" t="inlineStr">
        <is>
          <t>GOTLANDS LÄN</t>
        </is>
      </c>
      <c r="E493" t="inlineStr">
        <is>
          <t>GOTLAND</t>
        </is>
      </c>
      <c r="F493" t="inlineStr">
        <is>
          <t>Kyrkan</t>
        </is>
      </c>
      <c r="G493" t="n">
        <v>1</v>
      </c>
      <c r="H493" t="n">
        <v>0</v>
      </c>
      <c r="I493" t="n">
        <v>0</v>
      </c>
      <c r="J493" t="n">
        <v>0</v>
      </c>
      <c r="K493" t="n">
        <v>0</v>
      </c>
      <c r="L493" t="n">
        <v>0</v>
      </c>
      <c r="M493" t="n">
        <v>0</v>
      </c>
      <c r="N493" t="n">
        <v>0</v>
      </c>
      <c r="O493" t="n">
        <v>0</v>
      </c>
      <c r="P493" t="n">
        <v>0</v>
      </c>
      <c r="Q493" t="n">
        <v>0</v>
      </c>
      <c r="R493" s="2" t="inlineStr"/>
    </row>
    <row r="494" ht="15" customHeight="1">
      <c r="A494" t="inlineStr">
        <is>
          <t>A 35123-2025</t>
        </is>
      </c>
      <c r="B494" s="1" t="n">
        <v>45852.614375</v>
      </c>
      <c r="C494" s="1" t="n">
        <v>45940</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7858-2025</t>
        </is>
      </c>
      <c r="B495" s="1" t="n">
        <v>45706.68633101852</v>
      </c>
      <c r="C495" s="1" t="n">
        <v>45940</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46545-2024</t>
        </is>
      </c>
      <c r="B496" s="1" t="n">
        <v>45582.65831018519</v>
      </c>
      <c r="C496" s="1" t="n">
        <v>45940</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999-2023</t>
        </is>
      </c>
      <c r="B497" s="1" t="n">
        <v>44935</v>
      </c>
      <c r="C497" s="1" t="n">
        <v>45940</v>
      </c>
      <c r="D497" t="inlineStr">
        <is>
          <t>GOTLANDS LÄN</t>
        </is>
      </c>
      <c r="E497" t="inlineStr">
        <is>
          <t>GOTLAND</t>
        </is>
      </c>
      <c r="G497" t="n">
        <v>4.7</v>
      </c>
      <c r="H497" t="n">
        <v>0</v>
      </c>
      <c r="I497" t="n">
        <v>0</v>
      </c>
      <c r="J497" t="n">
        <v>0</v>
      </c>
      <c r="K497" t="n">
        <v>0</v>
      </c>
      <c r="L497" t="n">
        <v>0</v>
      </c>
      <c r="M497" t="n">
        <v>0</v>
      </c>
      <c r="N497" t="n">
        <v>0</v>
      </c>
      <c r="O497" t="n">
        <v>0</v>
      </c>
      <c r="P497" t="n">
        <v>0</v>
      </c>
      <c r="Q497" t="n">
        <v>0</v>
      </c>
      <c r="R497" s="2" t="inlineStr"/>
    </row>
    <row r="498" ht="15" customHeight="1">
      <c r="A498" t="inlineStr">
        <is>
          <t>A 60086-2022</t>
        </is>
      </c>
      <c r="B498" s="1" t="n">
        <v>44909</v>
      </c>
      <c r="C498" s="1" t="n">
        <v>45940</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1364-2025</t>
        </is>
      </c>
      <c r="B499" s="1" t="n">
        <v>45667.63929398148</v>
      </c>
      <c r="C499" s="1" t="n">
        <v>45940</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2125-2025</t>
        </is>
      </c>
      <c r="B500" s="1" t="n">
        <v>45672.64940972222</v>
      </c>
      <c r="C500" s="1" t="n">
        <v>45940</v>
      </c>
      <c r="D500" t="inlineStr">
        <is>
          <t>GOTLANDS LÄN</t>
        </is>
      </c>
      <c r="E500" t="inlineStr">
        <is>
          <t>GOTLAND</t>
        </is>
      </c>
      <c r="G500" t="n">
        <v>2.3</v>
      </c>
      <c r="H500" t="n">
        <v>0</v>
      </c>
      <c r="I500" t="n">
        <v>0</v>
      </c>
      <c r="J500" t="n">
        <v>0</v>
      </c>
      <c r="K500" t="n">
        <v>0</v>
      </c>
      <c r="L500" t="n">
        <v>0</v>
      </c>
      <c r="M500" t="n">
        <v>0</v>
      </c>
      <c r="N500" t="n">
        <v>0</v>
      </c>
      <c r="O500" t="n">
        <v>0</v>
      </c>
      <c r="P500" t="n">
        <v>0</v>
      </c>
      <c r="Q500" t="n">
        <v>0</v>
      </c>
      <c r="R500" s="2" t="inlineStr"/>
    </row>
    <row r="501" ht="15" customHeight="1">
      <c r="A501" t="inlineStr">
        <is>
          <t>A 22704-2023</t>
        </is>
      </c>
      <c r="B501" s="1" t="n">
        <v>45071</v>
      </c>
      <c r="C501" s="1" t="n">
        <v>45940</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47637-2025</t>
        </is>
      </c>
      <c r="B502" s="1" t="n">
        <v>45931.49753472222</v>
      </c>
      <c r="C502" s="1" t="n">
        <v>45940</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35290-2025</t>
        </is>
      </c>
      <c r="B503" s="1" t="n">
        <v>45854.38502314815</v>
      </c>
      <c r="C503" s="1" t="n">
        <v>45940</v>
      </c>
      <c r="D503" t="inlineStr">
        <is>
          <t>GOTLANDS LÄN</t>
        </is>
      </c>
      <c r="E503" t="inlineStr">
        <is>
          <t>GOTLAND</t>
        </is>
      </c>
      <c r="G503" t="n">
        <v>5.4</v>
      </c>
      <c r="H503" t="n">
        <v>0</v>
      </c>
      <c r="I503" t="n">
        <v>0</v>
      </c>
      <c r="J503" t="n">
        <v>0</v>
      </c>
      <c r="K503" t="n">
        <v>0</v>
      </c>
      <c r="L503" t="n">
        <v>0</v>
      </c>
      <c r="M503" t="n">
        <v>0</v>
      </c>
      <c r="N503" t="n">
        <v>0</v>
      </c>
      <c r="O503" t="n">
        <v>0</v>
      </c>
      <c r="P503" t="n">
        <v>0</v>
      </c>
      <c r="Q503" t="n">
        <v>0</v>
      </c>
      <c r="R503" s="2" t="inlineStr"/>
    </row>
    <row r="504" ht="15" customHeight="1">
      <c r="A504" t="inlineStr">
        <is>
          <t>A 47147-2025</t>
        </is>
      </c>
      <c r="B504" s="1" t="n">
        <v>45929.71716435185</v>
      </c>
      <c r="C504" s="1" t="n">
        <v>45940</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30104-2025</t>
        </is>
      </c>
      <c r="B505" s="1" t="n">
        <v>45826.68806712963</v>
      </c>
      <c r="C505" s="1" t="n">
        <v>45940</v>
      </c>
      <c r="D505" t="inlineStr">
        <is>
          <t>GOTLANDS LÄN</t>
        </is>
      </c>
      <c r="E505" t="inlineStr">
        <is>
          <t>GOTLAND</t>
        </is>
      </c>
      <c r="G505" t="n">
        <v>15.4</v>
      </c>
      <c r="H505" t="n">
        <v>0</v>
      </c>
      <c r="I505" t="n">
        <v>0</v>
      </c>
      <c r="J505" t="n">
        <v>0</v>
      </c>
      <c r="K505" t="n">
        <v>0</v>
      </c>
      <c r="L505" t="n">
        <v>0</v>
      </c>
      <c r="M505" t="n">
        <v>0</v>
      </c>
      <c r="N505" t="n">
        <v>0</v>
      </c>
      <c r="O505" t="n">
        <v>0</v>
      </c>
      <c r="P505" t="n">
        <v>0</v>
      </c>
      <c r="Q505" t="n">
        <v>0</v>
      </c>
      <c r="R505" s="2" t="inlineStr"/>
    </row>
    <row r="506" ht="15" customHeight="1">
      <c r="A506" t="inlineStr">
        <is>
          <t>A 32669-2024</t>
        </is>
      </c>
      <c r="B506" s="1" t="n">
        <v>45514</v>
      </c>
      <c r="C506" s="1" t="n">
        <v>45940</v>
      </c>
      <c r="D506" t="inlineStr">
        <is>
          <t>GOTLANDS LÄN</t>
        </is>
      </c>
      <c r="E506" t="inlineStr">
        <is>
          <t>GOTLAND</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41551-2025</t>
        </is>
      </c>
      <c r="B507" s="1" t="n">
        <v>45901.58854166666</v>
      </c>
      <c r="C507" s="1" t="n">
        <v>45940</v>
      </c>
      <c r="D507" t="inlineStr">
        <is>
          <t>GOTLANDS LÄN</t>
        </is>
      </c>
      <c r="E507" t="inlineStr">
        <is>
          <t>GOTLAND</t>
        </is>
      </c>
      <c r="G507" t="n">
        <v>5.6</v>
      </c>
      <c r="H507" t="n">
        <v>0</v>
      </c>
      <c r="I507" t="n">
        <v>0</v>
      </c>
      <c r="J507" t="n">
        <v>0</v>
      </c>
      <c r="K507" t="n">
        <v>0</v>
      </c>
      <c r="L507" t="n">
        <v>0</v>
      </c>
      <c r="M507" t="n">
        <v>0</v>
      </c>
      <c r="N507" t="n">
        <v>0</v>
      </c>
      <c r="O507" t="n">
        <v>0</v>
      </c>
      <c r="P507" t="n">
        <v>0</v>
      </c>
      <c r="Q507" t="n">
        <v>0</v>
      </c>
      <c r="R507" s="2" t="inlineStr"/>
    </row>
    <row r="508" ht="15" customHeight="1">
      <c r="A508" t="inlineStr">
        <is>
          <t>A 35550-2025</t>
        </is>
      </c>
      <c r="B508" s="1" t="n">
        <v>45856.49324074074</v>
      </c>
      <c r="C508" s="1" t="n">
        <v>45940</v>
      </c>
      <c r="D508" t="inlineStr">
        <is>
          <t>GOTLANDS LÄN</t>
        </is>
      </c>
      <c r="E508" t="inlineStr">
        <is>
          <t>GOTLAND</t>
        </is>
      </c>
      <c r="G508" t="n">
        <v>3.2</v>
      </c>
      <c r="H508" t="n">
        <v>0</v>
      </c>
      <c r="I508" t="n">
        <v>0</v>
      </c>
      <c r="J508" t="n">
        <v>0</v>
      </c>
      <c r="K508" t="n">
        <v>0</v>
      </c>
      <c r="L508" t="n">
        <v>0</v>
      </c>
      <c r="M508" t="n">
        <v>0</v>
      </c>
      <c r="N508" t="n">
        <v>0</v>
      </c>
      <c r="O508" t="n">
        <v>0</v>
      </c>
      <c r="P508" t="n">
        <v>0</v>
      </c>
      <c r="Q508" t="n">
        <v>0</v>
      </c>
      <c r="R508" s="2" t="inlineStr"/>
    </row>
    <row r="509" ht="15" customHeight="1">
      <c r="A509" t="inlineStr">
        <is>
          <t>A 14141-2024</t>
        </is>
      </c>
      <c r="B509" s="1" t="n">
        <v>45392.85193287037</v>
      </c>
      <c r="C509" s="1" t="n">
        <v>45940</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39278-2025</t>
        </is>
      </c>
      <c r="B510" s="1" t="n">
        <v>45889</v>
      </c>
      <c r="C510" s="1" t="n">
        <v>45940</v>
      </c>
      <c r="D510" t="inlineStr">
        <is>
          <t>GOTLANDS LÄN</t>
        </is>
      </c>
      <c r="E510" t="inlineStr">
        <is>
          <t>GOTLAND</t>
        </is>
      </c>
      <c r="G510" t="n">
        <v>3.7</v>
      </c>
      <c r="H510" t="n">
        <v>0</v>
      </c>
      <c r="I510" t="n">
        <v>0</v>
      </c>
      <c r="J510" t="n">
        <v>0</v>
      </c>
      <c r="K510" t="n">
        <v>0</v>
      </c>
      <c r="L510" t="n">
        <v>0</v>
      </c>
      <c r="M510" t="n">
        <v>0</v>
      </c>
      <c r="N510" t="n">
        <v>0</v>
      </c>
      <c r="O510" t="n">
        <v>0</v>
      </c>
      <c r="P510" t="n">
        <v>0</v>
      </c>
      <c r="Q510" t="n">
        <v>0</v>
      </c>
      <c r="R510" s="2" t="inlineStr"/>
    </row>
    <row r="511" ht="15" customHeight="1">
      <c r="A511" t="inlineStr">
        <is>
          <t>A 39849-2025</t>
        </is>
      </c>
      <c r="B511" s="1" t="n">
        <v>45891.58502314815</v>
      </c>
      <c r="C511" s="1" t="n">
        <v>45940</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25866-2022</t>
        </is>
      </c>
      <c r="B512" s="1" t="n">
        <v>44733</v>
      </c>
      <c r="C512" s="1" t="n">
        <v>45940</v>
      </c>
      <c r="D512" t="inlineStr">
        <is>
          <t>GOTLANDS LÄN</t>
        </is>
      </c>
      <c r="E512" t="inlineStr">
        <is>
          <t>GOTLAND</t>
        </is>
      </c>
      <c r="G512" t="n">
        <v>2.9</v>
      </c>
      <c r="H512" t="n">
        <v>0</v>
      </c>
      <c r="I512" t="n">
        <v>0</v>
      </c>
      <c r="J512" t="n">
        <v>0</v>
      </c>
      <c r="K512" t="n">
        <v>0</v>
      </c>
      <c r="L512" t="n">
        <v>0</v>
      </c>
      <c r="M512" t="n">
        <v>0</v>
      </c>
      <c r="N512" t="n">
        <v>0</v>
      </c>
      <c r="O512" t="n">
        <v>0</v>
      </c>
      <c r="P512" t="n">
        <v>0</v>
      </c>
      <c r="Q512" t="n">
        <v>0</v>
      </c>
      <c r="R512" s="2" t="inlineStr"/>
    </row>
    <row r="513" ht="15" customHeight="1">
      <c r="A513" t="inlineStr">
        <is>
          <t>A 12155-2023</t>
        </is>
      </c>
      <c r="B513" s="1" t="n">
        <v>44998.49106481481</v>
      </c>
      <c r="C513" s="1" t="n">
        <v>45940</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35537-2025</t>
        </is>
      </c>
      <c r="B514" s="1" t="n">
        <v>45856</v>
      </c>
      <c r="C514" s="1" t="n">
        <v>45940</v>
      </c>
      <c r="D514" t="inlineStr">
        <is>
          <t>GOTLANDS LÄN</t>
        </is>
      </c>
      <c r="E514" t="inlineStr">
        <is>
          <t>GOTLAND</t>
        </is>
      </c>
      <c r="G514" t="n">
        <v>16.8</v>
      </c>
      <c r="H514" t="n">
        <v>0</v>
      </c>
      <c r="I514" t="n">
        <v>0</v>
      </c>
      <c r="J514" t="n">
        <v>0</v>
      </c>
      <c r="K514" t="n">
        <v>0</v>
      </c>
      <c r="L514" t="n">
        <v>0</v>
      </c>
      <c r="M514" t="n">
        <v>0</v>
      </c>
      <c r="N514" t="n">
        <v>0</v>
      </c>
      <c r="O514" t="n">
        <v>0</v>
      </c>
      <c r="P514" t="n">
        <v>0</v>
      </c>
      <c r="Q514" t="n">
        <v>0</v>
      </c>
      <c r="R514" s="2" t="inlineStr"/>
    </row>
    <row r="515" ht="15" customHeight="1">
      <c r="A515" t="inlineStr">
        <is>
          <t>A 41435-2025</t>
        </is>
      </c>
      <c r="B515" s="1" t="n">
        <v>45901.39974537037</v>
      </c>
      <c r="C515" s="1" t="n">
        <v>45940</v>
      </c>
      <c r="D515" t="inlineStr">
        <is>
          <t>GOTLANDS LÄN</t>
        </is>
      </c>
      <c r="E515" t="inlineStr">
        <is>
          <t>GOTLAND</t>
        </is>
      </c>
      <c r="G515" t="n">
        <v>4.9</v>
      </c>
      <c r="H515" t="n">
        <v>0</v>
      </c>
      <c r="I515" t="n">
        <v>0</v>
      </c>
      <c r="J515" t="n">
        <v>0</v>
      </c>
      <c r="K515" t="n">
        <v>0</v>
      </c>
      <c r="L515" t="n">
        <v>0</v>
      </c>
      <c r="M515" t="n">
        <v>0</v>
      </c>
      <c r="N515" t="n">
        <v>0</v>
      </c>
      <c r="O515" t="n">
        <v>0</v>
      </c>
      <c r="P515" t="n">
        <v>0</v>
      </c>
      <c r="Q515" t="n">
        <v>0</v>
      </c>
      <c r="R515" s="2" t="inlineStr"/>
    </row>
    <row r="516" ht="15" customHeight="1">
      <c r="A516" t="inlineStr">
        <is>
          <t>A 39814-2025</t>
        </is>
      </c>
      <c r="B516" s="1" t="n">
        <v>45891.52694444444</v>
      </c>
      <c r="C516" s="1" t="n">
        <v>45940</v>
      </c>
      <c r="D516" t="inlineStr">
        <is>
          <t>GOTLANDS LÄN</t>
        </is>
      </c>
      <c r="E516" t="inlineStr">
        <is>
          <t>GOTLAND</t>
        </is>
      </c>
      <c r="G516" t="n">
        <v>4.5</v>
      </c>
      <c r="H516" t="n">
        <v>0</v>
      </c>
      <c r="I516" t="n">
        <v>0</v>
      </c>
      <c r="J516" t="n">
        <v>0</v>
      </c>
      <c r="K516" t="n">
        <v>0</v>
      </c>
      <c r="L516" t="n">
        <v>0</v>
      </c>
      <c r="M516" t="n">
        <v>0</v>
      </c>
      <c r="N516" t="n">
        <v>0</v>
      </c>
      <c r="O516" t="n">
        <v>0</v>
      </c>
      <c r="P516" t="n">
        <v>0</v>
      </c>
      <c r="Q516" t="n">
        <v>0</v>
      </c>
      <c r="R516" s="2" t="inlineStr"/>
    </row>
    <row r="517" ht="15" customHeight="1">
      <c r="A517" t="inlineStr">
        <is>
          <t>A 39819-2025</t>
        </is>
      </c>
      <c r="B517" s="1" t="n">
        <v>45891.53418981482</v>
      </c>
      <c r="C517" s="1" t="n">
        <v>45940</v>
      </c>
      <c r="D517" t="inlineStr">
        <is>
          <t>GOTLANDS LÄN</t>
        </is>
      </c>
      <c r="E517" t="inlineStr">
        <is>
          <t>GOTLAND</t>
        </is>
      </c>
      <c r="G517" t="n">
        <v>3.1</v>
      </c>
      <c r="H517" t="n">
        <v>0</v>
      </c>
      <c r="I517" t="n">
        <v>0</v>
      </c>
      <c r="J517" t="n">
        <v>0</v>
      </c>
      <c r="K517" t="n">
        <v>0</v>
      </c>
      <c r="L517" t="n">
        <v>0</v>
      </c>
      <c r="M517" t="n">
        <v>0</v>
      </c>
      <c r="N517" t="n">
        <v>0</v>
      </c>
      <c r="O517" t="n">
        <v>0</v>
      </c>
      <c r="P517" t="n">
        <v>0</v>
      </c>
      <c r="Q517" t="n">
        <v>0</v>
      </c>
      <c r="R517" s="2" t="inlineStr"/>
    </row>
    <row r="518" ht="15" customHeight="1">
      <c r="A518" t="inlineStr">
        <is>
          <t>A 2774-2024</t>
        </is>
      </c>
      <c r="B518" s="1" t="n">
        <v>45314.62375</v>
      </c>
      <c r="C518" s="1" t="n">
        <v>45940</v>
      </c>
      <c r="D518" t="inlineStr">
        <is>
          <t>GOTLANDS LÄN</t>
        </is>
      </c>
      <c r="E518" t="inlineStr">
        <is>
          <t>GOTLAND</t>
        </is>
      </c>
      <c r="G518" t="n">
        <v>1</v>
      </c>
      <c r="H518" t="n">
        <v>0</v>
      </c>
      <c r="I518" t="n">
        <v>0</v>
      </c>
      <c r="J518" t="n">
        <v>0</v>
      </c>
      <c r="K518" t="n">
        <v>0</v>
      </c>
      <c r="L518" t="n">
        <v>0</v>
      </c>
      <c r="M518" t="n">
        <v>0</v>
      </c>
      <c r="N518" t="n">
        <v>0</v>
      </c>
      <c r="O518" t="n">
        <v>0</v>
      </c>
      <c r="P518" t="n">
        <v>0</v>
      </c>
      <c r="Q518" t="n">
        <v>0</v>
      </c>
      <c r="R518" s="2" t="inlineStr"/>
    </row>
    <row r="519" ht="15" customHeight="1">
      <c r="A519" t="inlineStr">
        <is>
          <t>A 9947-2024</t>
        </is>
      </c>
      <c r="B519" s="1" t="n">
        <v>45363</v>
      </c>
      <c r="C519" s="1" t="n">
        <v>45940</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42007-2023</t>
        </is>
      </c>
      <c r="B520" s="1" t="n">
        <v>45177</v>
      </c>
      <c r="C520" s="1" t="n">
        <v>45940</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47578-2025</t>
        </is>
      </c>
      <c r="B521" s="1" t="n">
        <v>45931</v>
      </c>
      <c r="C521" s="1" t="n">
        <v>45940</v>
      </c>
      <c r="D521" t="inlineStr">
        <is>
          <t>GOTLANDS LÄN</t>
        </is>
      </c>
      <c r="E521" t="inlineStr">
        <is>
          <t>GOTLAND</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39752-2025</t>
        </is>
      </c>
      <c r="B522" s="1" t="n">
        <v>45891</v>
      </c>
      <c r="C522" s="1" t="n">
        <v>45940</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39816-2025</t>
        </is>
      </c>
      <c r="B523" s="1" t="n">
        <v>45891</v>
      </c>
      <c r="C523" s="1" t="n">
        <v>45940</v>
      </c>
      <c r="D523" t="inlineStr">
        <is>
          <t>GOTLANDS LÄN</t>
        </is>
      </c>
      <c r="E523" t="inlineStr">
        <is>
          <t>GOTLAND</t>
        </is>
      </c>
      <c r="G523" t="n">
        <v>0.9</v>
      </c>
      <c r="H523" t="n">
        <v>0</v>
      </c>
      <c r="I523" t="n">
        <v>0</v>
      </c>
      <c r="J523" t="n">
        <v>0</v>
      </c>
      <c r="K523" t="n">
        <v>0</v>
      </c>
      <c r="L523" t="n">
        <v>0</v>
      </c>
      <c r="M523" t="n">
        <v>0</v>
      </c>
      <c r="N523" t="n">
        <v>0</v>
      </c>
      <c r="O523" t="n">
        <v>0</v>
      </c>
      <c r="P523" t="n">
        <v>0</v>
      </c>
      <c r="Q523" t="n">
        <v>0</v>
      </c>
      <c r="R523" s="2" t="inlineStr"/>
    </row>
    <row r="524" ht="15" customHeight="1">
      <c r="A524" t="inlineStr">
        <is>
          <t>A 40372-2025</t>
        </is>
      </c>
      <c r="B524" s="1" t="n">
        <v>45895.5162037037</v>
      </c>
      <c r="C524" s="1" t="n">
        <v>45940</v>
      </c>
      <c r="D524" t="inlineStr">
        <is>
          <t>GOTLANDS LÄN</t>
        </is>
      </c>
      <c r="E524" t="inlineStr">
        <is>
          <t>GOTLAND</t>
        </is>
      </c>
      <c r="G524" t="n">
        <v>3.3</v>
      </c>
      <c r="H524" t="n">
        <v>0</v>
      </c>
      <c r="I524" t="n">
        <v>0</v>
      </c>
      <c r="J524" t="n">
        <v>0</v>
      </c>
      <c r="K524" t="n">
        <v>0</v>
      </c>
      <c r="L524" t="n">
        <v>0</v>
      </c>
      <c r="M524" t="n">
        <v>0</v>
      </c>
      <c r="N524" t="n">
        <v>0</v>
      </c>
      <c r="O524" t="n">
        <v>0</v>
      </c>
      <c r="P524" t="n">
        <v>0</v>
      </c>
      <c r="Q524" t="n">
        <v>0</v>
      </c>
      <c r="R524" s="2" t="inlineStr"/>
    </row>
    <row r="525" ht="15" customHeight="1">
      <c r="A525" t="inlineStr">
        <is>
          <t>A 42608-2025</t>
        </is>
      </c>
      <c r="B525" s="1" t="n">
        <v>45905</v>
      </c>
      <c r="C525" s="1" t="n">
        <v>45940</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40373-2025</t>
        </is>
      </c>
      <c r="B526" s="1" t="n">
        <v>45895.51821759259</v>
      </c>
      <c r="C526" s="1" t="n">
        <v>45940</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9887-2025</t>
        </is>
      </c>
      <c r="B527" s="1" t="n">
        <v>45716</v>
      </c>
      <c r="C527" s="1" t="n">
        <v>45940</v>
      </c>
      <c r="D527" t="inlineStr">
        <is>
          <t>GOTLANDS LÄN</t>
        </is>
      </c>
      <c r="E527" t="inlineStr">
        <is>
          <t>GOTLAND</t>
        </is>
      </c>
      <c r="G527" t="n">
        <v>7.5</v>
      </c>
      <c r="H527" t="n">
        <v>0</v>
      </c>
      <c r="I527" t="n">
        <v>0</v>
      </c>
      <c r="J527" t="n">
        <v>0</v>
      </c>
      <c r="K527" t="n">
        <v>0</v>
      </c>
      <c r="L527" t="n">
        <v>0</v>
      </c>
      <c r="M527" t="n">
        <v>0</v>
      </c>
      <c r="N527" t="n">
        <v>0</v>
      </c>
      <c r="O527" t="n">
        <v>0</v>
      </c>
      <c r="P527" t="n">
        <v>0</v>
      </c>
      <c r="Q527" t="n">
        <v>0</v>
      </c>
      <c r="R527" s="2" t="inlineStr"/>
    </row>
    <row r="528" ht="15" customHeight="1">
      <c r="A528" t="inlineStr">
        <is>
          <t>A 12209-2024</t>
        </is>
      </c>
      <c r="B528" s="1" t="n">
        <v>45378</v>
      </c>
      <c r="C528" s="1" t="n">
        <v>45940</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12210-2024</t>
        </is>
      </c>
      <c r="B529" s="1" t="n">
        <v>45378</v>
      </c>
      <c r="C529" s="1" t="n">
        <v>45940</v>
      </c>
      <c r="D529" t="inlineStr">
        <is>
          <t>GOTLANDS LÄN</t>
        </is>
      </c>
      <c r="E529" t="inlineStr">
        <is>
          <t>GOTLAND</t>
        </is>
      </c>
      <c r="G529" t="n">
        <v>4.1</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45940</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31802-2024</t>
        </is>
      </c>
      <c r="B531" s="1" t="n">
        <v>45509</v>
      </c>
      <c r="C531" s="1" t="n">
        <v>45940</v>
      </c>
      <c r="D531" t="inlineStr">
        <is>
          <t>GOTLANDS LÄN</t>
        </is>
      </c>
      <c r="E531" t="inlineStr">
        <is>
          <t>GOTLAND</t>
        </is>
      </c>
      <c r="G531" t="n">
        <v>2.8</v>
      </c>
      <c r="H531" t="n">
        <v>0</v>
      </c>
      <c r="I531" t="n">
        <v>0</v>
      </c>
      <c r="J531" t="n">
        <v>0</v>
      </c>
      <c r="K531" t="n">
        <v>0</v>
      </c>
      <c r="L531" t="n">
        <v>0</v>
      </c>
      <c r="M531" t="n">
        <v>0</v>
      </c>
      <c r="N531" t="n">
        <v>0</v>
      </c>
      <c r="O531" t="n">
        <v>0</v>
      </c>
      <c r="P531" t="n">
        <v>0</v>
      </c>
      <c r="Q531" t="n">
        <v>0</v>
      </c>
      <c r="R531" s="2" t="inlineStr"/>
    </row>
    <row r="532" ht="15" customHeight="1">
      <c r="A532" t="inlineStr">
        <is>
          <t>A 44304-2021</t>
        </is>
      </c>
      <c r="B532" s="1" t="n">
        <v>44434</v>
      </c>
      <c r="C532" s="1" t="n">
        <v>45940</v>
      </c>
      <c r="D532" t="inlineStr">
        <is>
          <t>GOTLANDS LÄN</t>
        </is>
      </c>
      <c r="E532" t="inlineStr">
        <is>
          <t>GOTLAND</t>
        </is>
      </c>
      <c r="G532" t="n">
        <v>5.8</v>
      </c>
      <c r="H532" t="n">
        <v>0</v>
      </c>
      <c r="I532" t="n">
        <v>0</v>
      </c>
      <c r="J532" t="n">
        <v>0</v>
      </c>
      <c r="K532" t="n">
        <v>0</v>
      </c>
      <c r="L532" t="n">
        <v>0</v>
      </c>
      <c r="M532" t="n">
        <v>0</v>
      </c>
      <c r="N532" t="n">
        <v>0</v>
      </c>
      <c r="O532" t="n">
        <v>0</v>
      </c>
      <c r="P532" t="n">
        <v>0</v>
      </c>
      <c r="Q532" t="n">
        <v>0</v>
      </c>
      <c r="R532" s="2" t="inlineStr"/>
    </row>
    <row r="533" ht="15" customHeight="1">
      <c r="A533" t="inlineStr">
        <is>
          <t>A 20993-2023</t>
        </is>
      </c>
      <c r="B533" s="1" t="n">
        <v>45056</v>
      </c>
      <c r="C533" s="1" t="n">
        <v>45940</v>
      </c>
      <c r="D533" t="inlineStr">
        <is>
          <t>GOTLANDS LÄN</t>
        </is>
      </c>
      <c r="E533" t="inlineStr">
        <is>
          <t>GOTLAND</t>
        </is>
      </c>
      <c r="G533" t="n">
        <v>7.1</v>
      </c>
      <c r="H533" t="n">
        <v>0</v>
      </c>
      <c r="I533" t="n">
        <v>0</v>
      </c>
      <c r="J533" t="n">
        <v>0</v>
      </c>
      <c r="K533" t="n">
        <v>0</v>
      </c>
      <c r="L533" t="n">
        <v>0</v>
      </c>
      <c r="M533" t="n">
        <v>0</v>
      </c>
      <c r="N533" t="n">
        <v>0</v>
      </c>
      <c r="O533" t="n">
        <v>0</v>
      </c>
      <c r="P533" t="n">
        <v>0</v>
      </c>
      <c r="Q533" t="n">
        <v>0</v>
      </c>
      <c r="R533" s="2" t="inlineStr"/>
    </row>
    <row r="534" ht="15" customHeight="1">
      <c r="A534" t="inlineStr">
        <is>
          <t>A 15042-2025</t>
        </is>
      </c>
      <c r="B534" s="1" t="n">
        <v>45743</v>
      </c>
      <c r="C534" s="1" t="n">
        <v>45940</v>
      </c>
      <c r="D534" t="inlineStr">
        <is>
          <t>GOTLANDS LÄN</t>
        </is>
      </c>
      <c r="E534" t="inlineStr">
        <is>
          <t>GOTLAND</t>
        </is>
      </c>
      <c r="G534" t="n">
        <v>8.5</v>
      </c>
      <c r="H534" t="n">
        <v>0</v>
      </c>
      <c r="I534" t="n">
        <v>0</v>
      </c>
      <c r="J534" t="n">
        <v>0</v>
      </c>
      <c r="K534" t="n">
        <v>0</v>
      </c>
      <c r="L534" t="n">
        <v>0</v>
      </c>
      <c r="M534" t="n">
        <v>0</v>
      </c>
      <c r="N534" t="n">
        <v>0</v>
      </c>
      <c r="O534" t="n">
        <v>0</v>
      </c>
      <c r="P534" t="n">
        <v>0</v>
      </c>
      <c r="Q534" t="n">
        <v>0</v>
      </c>
      <c r="R534" s="2" t="inlineStr"/>
    </row>
    <row r="535" ht="15" customHeight="1">
      <c r="A535" t="inlineStr">
        <is>
          <t>A 15083-2025</t>
        </is>
      </c>
      <c r="B535" s="1" t="n">
        <v>45743</v>
      </c>
      <c r="C535" s="1" t="n">
        <v>45940</v>
      </c>
      <c r="D535" t="inlineStr">
        <is>
          <t>GOTLANDS LÄN</t>
        </is>
      </c>
      <c r="E535" t="inlineStr">
        <is>
          <t>GOTLAND</t>
        </is>
      </c>
      <c r="G535" t="n">
        <v>2.3</v>
      </c>
      <c r="H535" t="n">
        <v>0</v>
      </c>
      <c r="I535" t="n">
        <v>0</v>
      </c>
      <c r="J535" t="n">
        <v>0</v>
      </c>
      <c r="K535" t="n">
        <v>0</v>
      </c>
      <c r="L535" t="n">
        <v>0</v>
      </c>
      <c r="M535" t="n">
        <v>0</v>
      </c>
      <c r="N535" t="n">
        <v>0</v>
      </c>
      <c r="O535" t="n">
        <v>0</v>
      </c>
      <c r="P535" t="n">
        <v>0</v>
      </c>
      <c r="Q535" t="n">
        <v>0</v>
      </c>
      <c r="R535" s="2" t="inlineStr"/>
    </row>
    <row r="536" ht="15" customHeight="1">
      <c r="A536" t="inlineStr">
        <is>
          <t>A 40103-2025</t>
        </is>
      </c>
      <c r="B536" s="1" t="n">
        <v>45894.4880324074</v>
      </c>
      <c r="C536" s="1" t="n">
        <v>45940</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38649-2025</t>
        </is>
      </c>
      <c r="B537" s="1" t="n">
        <v>45884</v>
      </c>
      <c r="C537" s="1" t="n">
        <v>45940</v>
      </c>
      <c r="D537" t="inlineStr">
        <is>
          <t>GOTLANDS LÄN</t>
        </is>
      </c>
      <c r="E537" t="inlineStr">
        <is>
          <t>GOTLAND</t>
        </is>
      </c>
      <c r="G537" t="n">
        <v>1.5</v>
      </c>
      <c r="H537" t="n">
        <v>0</v>
      </c>
      <c r="I537" t="n">
        <v>0</v>
      </c>
      <c r="J537" t="n">
        <v>0</v>
      </c>
      <c r="K537" t="n">
        <v>0</v>
      </c>
      <c r="L537" t="n">
        <v>0</v>
      </c>
      <c r="M537" t="n">
        <v>0</v>
      </c>
      <c r="N537" t="n">
        <v>0</v>
      </c>
      <c r="O537" t="n">
        <v>0</v>
      </c>
      <c r="P537" t="n">
        <v>0</v>
      </c>
      <c r="Q537" t="n">
        <v>0</v>
      </c>
      <c r="R537" s="2" t="inlineStr"/>
    </row>
    <row r="538" ht="15" customHeight="1">
      <c r="A538" t="inlineStr">
        <is>
          <t>A 30488-2025</t>
        </is>
      </c>
      <c r="B538" s="1" t="n">
        <v>45830</v>
      </c>
      <c r="C538" s="1" t="n">
        <v>45940</v>
      </c>
      <c r="D538" t="inlineStr">
        <is>
          <t>GOTLANDS LÄN</t>
        </is>
      </c>
      <c r="E538" t="inlineStr">
        <is>
          <t>GOTLAND</t>
        </is>
      </c>
      <c r="F538" t="inlineStr">
        <is>
          <t>Kyrkan</t>
        </is>
      </c>
      <c r="G538" t="n">
        <v>3.9</v>
      </c>
      <c r="H538" t="n">
        <v>0</v>
      </c>
      <c r="I538" t="n">
        <v>0</v>
      </c>
      <c r="J538" t="n">
        <v>0</v>
      </c>
      <c r="K538" t="n">
        <v>0</v>
      </c>
      <c r="L538" t="n">
        <v>0</v>
      </c>
      <c r="M538" t="n">
        <v>0</v>
      </c>
      <c r="N538" t="n">
        <v>0</v>
      </c>
      <c r="O538" t="n">
        <v>0</v>
      </c>
      <c r="P538" t="n">
        <v>0</v>
      </c>
      <c r="Q538" t="n">
        <v>0</v>
      </c>
      <c r="R538" s="2" t="inlineStr"/>
    </row>
    <row r="539" ht="15" customHeight="1">
      <c r="A539" t="inlineStr">
        <is>
          <t>A 15216-2025</t>
        </is>
      </c>
      <c r="B539" s="1" t="n">
        <v>45744</v>
      </c>
      <c r="C539" s="1" t="n">
        <v>45940</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15001-2025</t>
        </is>
      </c>
      <c r="B540" s="1" t="n">
        <v>45743</v>
      </c>
      <c r="C540" s="1" t="n">
        <v>45940</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43790-2024</t>
        </is>
      </c>
      <c r="B541" s="1" t="n">
        <v>45571</v>
      </c>
      <c r="C541" s="1" t="n">
        <v>45940</v>
      </c>
      <c r="D541" t="inlineStr">
        <is>
          <t>GOTLANDS LÄN</t>
        </is>
      </c>
      <c r="E541" t="inlineStr">
        <is>
          <t>GOTLAND</t>
        </is>
      </c>
      <c r="G541" t="n">
        <v>3.5</v>
      </c>
      <c r="H541" t="n">
        <v>0</v>
      </c>
      <c r="I541" t="n">
        <v>0</v>
      </c>
      <c r="J541" t="n">
        <v>0</v>
      </c>
      <c r="K541" t="n">
        <v>0</v>
      </c>
      <c r="L541" t="n">
        <v>0</v>
      </c>
      <c r="M541" t="n">
        <v>0</v>
      </c>
      <c r="N541" t="n">
        <v>0</v>
      </c>
      <c r="O541" t="n">
        <v>0</v>
      </c>
      <c r="P541" t="n">
        <v>0</v>
      </c>
      <c r="Q541" t="n">
        <v>0</v>
      </c>
      <c r="R541" s="2" t="inlineStr"/>
    </row>
    <row r="542" ht="15" customHeight="1">
      <c r="A542" t="inlineStr">
        <is>
          <t>A 17847-2025</t>
        </is>
      </c>
      <c r="B542" s="1" t="n">
        <v>45758</v>
      </c>
      <c r="C542" s="1" t="n">
        <v>45940</v>
      </c>
      <c r="D542" t="inlineStr">
        <is>
          <t>GOTLANDS LÄN</t>
        </is>
      </c>
      <c r="E542" t="inlineStr">
        <is>
          <t>GOTLAND</t>
        </is>
      </c>
      <c r="G542" t="n">
        <v>1.9</v>
      </c>
      <c r="H542" t="n">
        <v>0</v>
      </c>
      <c r="I542" t="n">
        <v>0</v>
      </c>
      <c r="J542" t="n">
        <v>0</v>
      </c>
      <c r="K542" t="n">
        <v>0</v>
      </c>
      <c r="L542" t="n">
        <v>0</v>
      </c>
      <c r="M542" t="n">
        <v>0</v>
      </c>
      <c r="N542" t="n">
        <v>0</v>
      </c>
      <c r="O542" t="n">
        <v>0</v>
      </c>
      <c r="P542" t="n">
        <v>0</v>
      </c>
      <c r="Q542" t="n">
        <v>0</v>
      </c>
      <c r="R542" s="2" t="inlineStr"/>
    </row>
    <row r="543" ht="15" customHeight="1">
      <c r="A543" t="inlineStr">
        <is>
          <t>A 12327-2025</t>
        </is>
      </c>
      <c r="B543" s="1" t="n">
        <v>45730</v>
      </c>
      <c r="C543" s="1" t="n">
        <v>45940</v>
      </c>
      <c r="D543" t="inlineStr">
        <is>
          <t>GOTLANDS LÄN</t>
        </is>
      </c>
      <c r="E543" t="inlineStr">
        <is>
          <t>GOTLAND</t>
        </is>
      </c>
      <c r="G543" t="n">
        <v>1.8</v>
      </c>
      <c r="H543" t="n">
        <v>0</v>
      </c>
      <c r="I543" t="n">
        <v>0</v>
      </c>
      <c r="J543" t="n">
        <v>0</v>
      </c>
      <c r="K543" t="n">
        <v>0</v>
      </c>
      <c r="L543" t="n">
        <v>0</v>
      </c>
      <c r="M543" t="n">
        <v>0</v>
      </c>
      <c r="N543" t="n">
        <v>0</v>
      </c>
      <c r="O543" t="n">
        <v>0</v>
      </c>
      <c r="P543" t="n">
        <v>0</v>
      </c>
      <c r="Q543" t="n">
        <v>0</v>
      </c>
      <c r="R543" s="2" t="inlineStr"/>
    </row>
    <row r="544" ht="15" customHeight="1">
      <c r="A544" t="inlineStr">
        <is>
          <t>A 36319-2025</t>
        </is>
      </c>
      <c r="B544" s="1" t="n">
        <v>45868</v>
      </c>
      <c r="C544" s="1" t="n">
        <v>45940</v>
      </c>
      <c r="D544" t="inlineStr">
        <is>
          <t>GOTLANDS LÄN</t>
        </is>
      </c>
      <c r="E544" t="inlineStr">
        <is>
          <t>GOTLAND</t>
        </is>
      </c>
      <c r="G544" t="n">
        <v>2.9</v>
      </c>
      <c r="H544" t="n">
        <v>0</v>
      </c>
      <c r="I544" t="n">
        <v>0</v>
      </c>
      <c r="J544" t="n">
        <v>0</v>
      </c>
      <c r="K544" t="n">
        <v>0</v>
      </c>
      <c r="L544" t="n">
        <v>0</v>
      </c>
      <c r="M544" t="n">
        <v>0</v>
      </c>
      <c r="N544" t="n">
        <v>0</v>
      </c>
      <c r="O544" t="n">
        <v>0</v>
      </c>
      <c r="P544" t="n">
        <v>0</v>
      </c>
      <c r="Q544" t="n">
        <v>0</v>
      </c>
      <c r="R544" s="2" t="inlineStr"/>
    </row>
    <row r="545" ht="15" customHeight="1">
      <c r="A545" t="inlineStr">
        <is>
          <t>A 18742-2025</t>
        </is>
      </c>
      <c r="B545" s="1" t="n">
        <v>45763</v>
      </c>
      <c r="C545" s="1" t="n">
        <v>45940</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4420-2025</t>
        </is>
      </c>
      <c r="B546" s="1" t="n">
        <v>45686.47157407407</v>
      </c>
      <c r="C546" s="1" t="n">
        <v>45940</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40499-2025</t>
        </is>
      </c>
      <c r="B547" s="1" t="n">
        <v>45896.32517361111</v>
      </c>
      <c r="C547" s="1" t="n">
        <v>45940</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35129-2025</t>
        </is>
      </c>
      <c r="B548" s="1" t="n">
        <v>45852.63224537037</v>
      </c>
      <c r="C548" s="1" t="n">
        <v>45940</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49690-2025</t>
        </is>
      </c>
      <c r="B549" s="1" t="n">
        <v>45939.66730324074</v>
      </c>
      <c r="C549" s="1" t="n">
        <v>45940</v>
      </c>
      <c r="D549" t="inlineStr">
        <is>
          <t>GOTLANDS LÄN</t>
        </is>
      </c>
      <c r="E549" t="inlineStr">
        <is>
          <t>GOTLAND</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14427-2024</t>
        </is>
      </c>
      <c r="B550" s="1" t="n">
        <v>45394</v>
      </c>
      <c r="C550" s="1" t="n">
        <v>45940</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49724-2025</t>
        </is>
      </c>
      <c r="B551" s="1" t="n">
        <v>45939.83730324074</v>
      </c>
      <c r="C551" s="1" t="n">
        <v>45940</v>
      </c>
      <c r="D551" t="inlineStr">
        <is>
          <t>GOTLANDS LÄN</t>
        </is>
      </c>
      <c r="E551" t="inlineStr">
        <is>
          <t>GOTLAND</t>
        </is>
      </c>
      <c r="F551" t="inlineStr">
        <is>
          <t>Kyrkan</t>
        </is>
      </c>
      <c r="G551" t="n">
        <v>3.1</v>
      </c>
      <c r="H551" t="n">
        <v>0</v>
      </c>
      <c r="I551" t="n">
        <v>0</v>
      </c>
      <c r="J551" t="n">
        <v>0</v>
      </c>
      <c r="K551" t="n">
        <v>0</v>
      </c>
      <c r="L551" t="n">
        <v>0</v>
      </c>
      <c r="M551" t="n">
        <v>0</v>
      </c>
      <c r="N551" t="n">
        <v>0</v>
      </c>
      <c r="O551" t="n">
        <v>0</v>
      </c>
      <c r="P551" t="n">
        <v>0</v>
      </c>
      <c r="Q551" t="n">
        <v>0</v>
      </c>
      <c r="R551" s="2" t="inlineStr"/>
    </row>
    <row r="552" ht="15" customHeight="1">
      <c r="A552" t="inlineStr">
        <is>
          <t>A 49730-2025</t>
        </is>
      </c>
      <c r="B552" s="1" t="n">
        <v>45939.87613425926</v>
      </c>
      <c r="C552" s="1" t="n">
        <v>45940</v>
      </c>
      <c r="D552" t="inlineStr">
        <is>
          <t>GOTLANDS LÄN</t>
        </is>
      </c>
      <c r="E552" t="inlineStr">
        <is>
          <t>GOTLAND</t>
        </is>
      </c>
      <c r="G552" t="n">
        <v>1.1</v>
      </c>
      <c r="H552" t="n">
        <v>0</v>
      </c>
      <c r="I552" t="n">
        <v>0</v>
      </c>
      <c r="J552" t="n">
        <v>0</v>
      </c>
      <c r="K552" t="n">
        <v>0</v>
      </c>
      <c r="L552" t="n">
        <v>0</v>
      </c>
      <c r="M552" t="n">
        <v>0</v>
      </c>
      <c r="N552" t="n">
        <v>0</v>
      </c>
      <c r="O552" t="n">
        <v>0</v>
      </c>
      <c r="P552" t="n">
        <v>0</v>
      </c>
      <c r="Q552" t="n">
        <v>0</v>
      </c>
      <c r="R552" s="2" t="inlineStr"/>
    </row>
    <row r="553" ht="15" customHeight="1">
      <c r="A553" t="inlineStr">
        <is>
          <t>A 1066-2024</t>
        </is>
      </c>
      <c r="B553" s="1" t="n">
        <v>45302.285</v>
      </c>
      <c r="C553" s="1" t="n">
        <v>45940</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43951-2025</t>
        </is>
      </c>
      <c r="B554" s="1" t="n">
        <v>45915.38119212963</v>
      </c>
      <c r="C554" s="1" t="n">
        <v>45940</v>
      </c>
      <c r="D554" t="inlineStr">
        <is>
          <t>GOTLANDS LÄN</t>
        </is>
      </c>
      <c r="E554" t="inlineStr">
        <is>
          <t>GOTLAND</t>
        </is>
      </c>
      <c r="G554" t="n">
        <v>4.4</v>
      </c>
      <c r="H554" t="n">
        <v>0</v>
      </c>
      <c r="I554" t="n">
        <v>0</v>
      </c>
      <c r="J554" t="n">
        <v>0</v>
      </c>
      <c r="K554" t="n">
        <v>0</v>
      </c>
      <c r="L554" t="n">
        <v>0</v>
      </c>
      <c r="M554" t="n">
        <v>0</v>
      </c>
      <c r="N554" t="n">
        <v>0</v>
      </c>
      <c r="O554" t="n">
        <v>0</v>
      </c>
      <c r="P554" t="n">
        <v>0</v>
      </c>
      <c r="Q554" t="n">
        <v>0</v>
      </c>
      <c r="R554" s="2" t="inlineStr"/>
    </row>
    <row r="555" ht="15" customHeight="1">
      <c r="A555" t="inlineStr">
        <is>
          <t>A 37202-2024</t>
        </is>
      </c>
      <c r="B555" s="1" t="n">
        <v>45539.67310185185</v>
      </c>
      <c r="C555" s="1" t="n">
        <v>45940</v>
      </c>
      <c r="D555" t="inlineStr">
        <is>
          <t>GOTLANDS LÄN</t>
        </is>
      </c>
      <c r="E555" t="inlineStr">
        <is>
          <t>GOTLAND</t>
        </is>
      </c>
      <c r="G555" t="n">
        <v>0.3</v>
      </c>
      <c r="H555" t="n">
        <v>0</v>
      </c>
      <c r="I555" t="n">
        <v>0</v>
      </c>
      <c r="J555" t="n">
        <v>0</v>
      </c>
      <c r="K555" t="n">
        <v>0</v>
      </c>
      <c r="L555" t="n">
        <v>0</v>
      </c>
      <c r="M555" t="n">
        <v>0</v>
      </c>
      <c r="N555" t="n">
        <v>0</v>
      </c>
      <c r="O555" t="n">
        <v>0</v>
      </c>
      <c r="P555" t="n">
        <v>0</v>
      </c>
      <c r="Q555" t="n">
        <v>0</v>
      </c>
      <c r="R555" s="2" t="inlineStr"/>
    </row>
    <row r="556" ht="15" customHeight="1">
      <c r="A556" t="inlineStr">
        <is>
          <t>A 43911-2025</t>
        </is>
      </c>
      <c r="B556" s="1" t="n">
        <v>45914.3881712963</v>
      </c>
      <c r="C556" s="1" t="n">
        <v>45940</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45940</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44405-2025</t>
        </is>
      </c>
      <c r="B558" s="1" t="n">
        <v>45916.52405092592</v>
      </c>
      <c r="C558" s="1" t="n">
        <v>45940</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49315-2024</t>
        </is>
      </c>
      <c r="B559" s="1" t="n">
        <v>45595</v>
      </c>
      <c r="C559" s="1" t="n">
        <v>45940</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30815-2023</t>
        </is>
      </c>
      <c r="B560" s="1" t="n">
        <v>45112</v>
      </c>
      <c r="C560" s="1" t="n">
        <v>45940</v>
      </c>
      <c r="D560" t="inlineStr">
        <is>
          <t>GOTLANDS LÄN</t>
        </is>
      </c>
      <c r="E560" t="inlineStr">
        <is>
          <t>GOTLAND</t>
        </is>
      </c>
      <c r="G560" t="n">
        <v>6</v>
      </c>
      <c r="H560" t="n">
        <v>0</v>
      </c>
      <c r="I560" t="n">
        <v>0</v>
      </c>
      <c r="J560" t="n">
        <v>0</v>
      </c>
      <c r="K560" t="n">
        <v>0</v>
      </c>
      <c r="L560" t="n">
        <v>0</v>
      </c>
      <c r="M560" t="n">
        <v>0</v>
      </c>
      <c r="N560" t="n">
        <v>0</v>
      </c>
      <c r="O560" t="n">
        <v>0</v>
      </c>
      <c r="P560" t="n">
        <v>0</v>
      </c>
      <c r="Q560" t="n">
        <v>0</v>
      </c>
      <c r="R560" s="2" t="inlineStr"/>
    </row>
    <row r="561" ht="15" customHeight="1">
      <c r="A561" t="inlineStr">
        <is>
          <t>A 46400-2023</t>
        </is>
      </c>
      <c r="B561" s="1" t="n">
        <v>45197.49290509259</v>
      </c>
      <c r="C561" s="1" t="n">
        <v>45940</v>
      </c>
      <c r="D561" t="inlineStr">
        <is>
          <t>GOTLANDS LÄN</t>
        </is>
      </c>
      <c r="E561" t="inlineStr">
        <is>
          <t>GOTLAND</t>
        </is>
      </c>
      <c r="G561" t="n">
        <v>0.8</v>
      </c>
      <c r="H561" t="n">
        <v>0</v>
      </c>
      <c r="I561" t="n">
        <v>0</v>
      </c>
      <c r="J561" t="n">
        <v>0</v>
      </c>
      <c r="K561" t="n">
        <v>0</v>
      </c>
      <c r="L561" t="n">
        <v>0</v>
      </c>
      <c r="M561" t="n">
        <v>0</v>
      </c>
      <c r="N561" t="n">
        <v>0</v>
      </c>
      <c r="O561" t="n">
        <v>0</v>
      </c>
      <c r="P561" t="n">
        <v>0</v>
      </c>
      <c r="Q561" t="n">
        <v>0</v>
      </c>
      <c r="R561" s="2" t="inlineStr"/>
    </row>
    <row r="562" ht="15" customHeight="1">
      <c r="A562" t="inlineStr">
        <is>
          <t>A 10492-2023</t>
        </is>
      </c>
      <c r="B562" s="1" t="n">
        <v>44987</v>
      </c>
      <c r="C562" s="1" t="n">
        <v>45940</v>
      </c>
      <c r="D562" t="inlineStr">
        <is>
          <t>GOTLANDS LÄN</t>
        </is>
      </c>
      <c r="E562" t="inlineStr">
        <is>
          <t>GOTLAND</t>
        </is>
      </c>
      <c r="G562" t="n">
        <v>1</v>
      </c>
      <c r="H562" t="n">
        <v>0</v>
      </c>
      <c r="I562" t="n">
        <v>0</v>
      </c>
      <c r="J562" t="n">
        <v>0</v>
      </c>
      <c r="K562" t="n">
        <v>0</v>
      </c>
      <c r="L562" t="n">
        <v>0</v>
      </c>
      <c r="M562" t="n">
        <v>0</v>
      </c>
      <c r="N562" t="n">
        <v>0</v>
      </c>
      <c r="O562" t="n">
        <v>0</v>
      </c>
      <c r="P562" t="n">
        <v>0</v>
      </c>
      <c r="Q562" t="n">
        <v>0</v>
      </c>
      <c r="R562" s="2" t="inlineStr"/>
    </row>
    <row r="563" ht="15" customHeight="1">
      <c r="A563" t="inlineStr">
        <is>
          <t>A 44410-2025</t>
        </is>
      </c>
      <c r="B563" s="1" t="n">
        <v>45916.53699074074</v>
      </c>
      <c r="C563" s="1" t="n">
        <v>45940</v>
      </c>
      <c r="D563" t="inlineStr">
        <is>
          <t>GOTLANDS LÄN</t>
        </is>
      </c>
      <c r="E563" t="inlineStr">
        <is>
          <t>GOTLAND</t>
        </is>
      </c>
      <c r="G563" t="n">
        <v>2.3</v>
      </c>
      <c r="H563" t="n">
        <v>0</v>
      </c>
      <c r="I563" t="n">
        <v>0</v>
      </c>
      <c r="J563" t="n">
        <v>0</v>
      </c>
      <c r="K563" t="n">
        <v>0</v>
      </c>
      <c r="L563" t="n">
        <v>0</v>
      </c>
      <c r="M563" t="n">
        <v>0</v>
      </c>
      <c r="N563" t="n">
        <v>0</v>
      </c>
      <c r="O563" t="n">
        <v>0</v>
      </c>
      <c r="P563" t="n">
        <v>0</v>
      </c>
      <c r="Q563" t="n">
        <v>0</v>
      </c>
      <c r="R563" s="2" t="inlineStr"/>
    </row>
    <row r="564" ht="15" customHeight="1">
      <c r="A564" t="inlineStr">
        <is>
          <t>A 44919-2022</t>
        </is>
      </c>
      <c r="B564" s="1" t="n">
        <v>44841</v>
      </c>
      <c r="C564" s="1" t="n">
        <v>45940</v>
      </c>
      <c r="D564" t="inlineStr">
        <is>
          <t>GOTLANDS LÄN</t>
        </is>
      </c>
      <c r="E564" t="inlineStr">
        <is>
          <t>GOTLAND</t>
        </is>
      </c>
      <c r="G564" t="n">
        <v>2.2</v>
      </c>
      <c r="H564" t="n">
        <v>0</v>
      </c>
      <c r="I564" t="n">
        <v>0</v>
      </c>
      <c r="J564" t="n">
        <v>0</v>
      </c>
      <c r="K564" t="n">
        <v>0</v>
      </c>
      <c r="L564" t="n">
        <v>0</v>
      </c>
      <c r="M564" t="n">
        <v>0</v>
      </c>
      <c r="N564" t="n">
        <v>0</v>
      </c>
      <c r="O564" t="n">
        <v>0</v>
      </c>
      <c r="P564" t="n">
        <v>0</v>
      </c>
      <c r="Q564" t="n">
        <v>0</v>
      </c>
      <c r="R564" s="2" t="inlineStr"/>
    </row>
    <row r="565" ht="15" customHeight="1">
      <c r="A565" t="inlineStr">
        <is>
          <t>A 16501-2023</t>
        </is>
      </c>
      <c r="B565" s="1" t="n">
        <v>45029</v>
      </c>
      <c r="C565" s="1" t="n">
        <v>45940</v>
      </c>
      <c r="D565" t="inlineStr">
        <is>
          <t>GOTLANDS LÄN</t>
        </is>
      </c>
      <c r="E565" t="inlineStr">
        <is>
          <t>GOTLAND</t>
        </is>
      </c>
      <c r="G565" t="n">
        <v>3.1</v>
      </c>
      <c r="H565" t="n">
        <v>0</v>
      </c>
      <c r="I565" t="n">
        <v>0</v>
      </c>
      <c r="J565" t="n">
        <v>0</v>
      </c>
      <c r="K565" t="n">
        <v>0</v>
      </c>
      <c r="L565" t="n">
        <v>0</v>
      </c>
      <c r="M565" t="n">
        <v>0</v>
      </c>
      <c r="N565" t="n">
        <v>0</v>
      </c>
      <c r="O565" t="n">
        <v>0</v>
      </c>
      <c r="P565" t="n">
        <v>0</v>
      </c>
      <c r="Q565" t="n">
        <v>0</v>
      </c>
      <c r="R565" s="2" t="inlineStr"/>
    </row>
    <row r="566" ht="15" customHeight="1">
      <c r="A566" t="inlineStr">
        <is>
          <t>A 10158-2025</t>
        </is>
      </c>
      <c r="B566" s="1" t="n">
        <v>45719</v>
      </c>
      <c r="C566" s="1" t="n">
        <v>45940</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27095-2022</t>
        </is>
      </c>
      <c r="B567" s="1" t="n">
        <v>44741</v>
      </c>
      <c r="C567" s="1" t="n">
        <v>45940</v>
      </c>
      <c r="D567" t="inlineStr">
        <is>
          <t>GOTLANDS LÄN</t>
        </is>
      </c>
      <c r="E567" t="inlineStr">
        <is>
          <t>GOTLAND</t>
        </is>
      </c>
      <c r="F567" t="inlineStr">
        <is>
          <t>Övriga Aktiebolag</t>
        </is>
      </c>
      <c r="G567" t="n">
        <v>2.9</v>
      </c>
      <c r="H567" t="n">
        <v>0</v>
      </c>
      <c r="I567" t="n">
        <v>0</v>
      </c>
      <c r="J567" t="n">
        <v>0</v>
      </c>
      <c r="K567" t="n">
        <v>0</v>
      </c>
      <c r="L567" t="n">
        <v>0</v>
      </c>
      <c r="M567" t="n">
        <v>0</v>
      </c>
      <c r="N567" t="n">
        <v>0</v>
      </c>
      <c r="O567" t="n">
        <v>0</v>
      </c>
      <c r="P567" t="n">
        <v>0</v>
      </c>
      <c r="Q567" t="n">
        <v>0</v>
      </c>
      <c r="R567" s="2" t="inlineStr"/>
    </row>
    <row r="568" ht="15" customHeight="1">
      <c r="A568" t="inlineStr">
        <is>
          <t>A 458-2023</t>
        </is>
      </c>
      <c r="B568" s="1" t="n">
        <v>44929</v>
      </c>
      <c r="C568" s="1" t="n">
        <v>45940</v>
      </c>
      <c r="D568" t="inlineStr">
        <is>
          <t>GOTLANDS LÄN</t>
        </is>
      </c>
      <c r="E568" t="inlineStr">
        <is>
          <t>GOTLAND</t>
        </is>
      </c>
      <c r="G568" t="n">
        <v>3.6</v>
      </c>
      <c r="H568" t="n">
        <v>0</v>
      </c>
      <c r="I568" t="n">
        <v>0</v>
      </c>
      <c r="J568" t="n">
        <v>0</v>
      </c>
      <c r="K568" t="n">
        <v>0</v>
      </c>
      <c r="L568" t="n">
        <v>0</v>
      </c>
      <c r="M568" t="n">
        <v>0</v>
      </c>
      <c r="N568" t="n">
        <v>0</v>
      </c>
      <c r="O568" t="n">
        <v>0</v>
      </c>
      <c r="P568" t="n">
        <v>0</v>
      </c>
      <c r="Q568" t="n">
        <v>0</v>
      </c>
      <c r="R568" s="2" t="inlineStr"/>
    </row>
    <row r="569" ht="15" customHeight="1">
      <c r="A569" t="inlineStr">
        <is>
          <t>A 1291-2023</t>
        </is>
      </c>
      <c r="B569" s="1" t="n">
        <v>44936.47561342592</v>
      </c>
      <c r="C569" s="1" t="n">
        <v>45940</v>
      </c>
      <c r="D569" t="inlineStr">
        <is>
          <t>GOTLANDS LÄN</t>
        </is>
      </c>
      <c r="E569" t="inlineStr">
        <is>
          <t>GOTLAND</t>
        </is>
      </c>
      <c r="G569" t="n">
        <v>7.4</v>
      </c>
      <c r="H569" t="n">
        <v>0</v>
      </c>
      <c r="I569" t="n">
        <v>0</v>
      </c>
      <c r="J569" t="n">
        <v>0</v>
      </c>
      <c r="K569" t="n">
        <v>0</v>
      </c>
      <c r="L569" t="n">
        <v>0</v>
      </c>
      <c r="M569" t="n">
        <v>0</v>
      </c>
      <c r="N569" t="n">
        <v>0</v>
      </c>
      <c r="O569" t="n">
        <v>0</v>
      </c>
      <c r="P569" t="n">
        <v>0</v>
      </c>
      <c r="Q569" t="n">
        <v>0</v>
      </c>
      <c r="R569" s="2" t="inlineStr"/>
    </row>
    <row r="570" ht="15" customHeight="1">
      <c r="A570" t="inlineStr">
        <is>
          <t>A 30489-2025</t>
        </is>
      </c>
      <c r="B570" s="1" t="n">
        <v>45830</v>
      </c>
      <c r="C570" s="1" t="n">
        <v>45940</v>
      </c>
      <c r="D570" t="inlineStr">
        <is>
          <t>GOTLANDS LÄN</t>
        </is>
      </c>
      <c r="E570" t="inlineStr">
        <is>
          <t>GOTLAND</t>
        </is>
      </c>
      <c r="G570" t="n">
        <v>4.6</v>
      </c>
      <c r="H570" t="n">
        <v>0</v>
      </c>
      <c r="I570" t="n">
        <v>0</v>
      </c>
      <c r="J570" t="n">
        <v>0</v>
      </c>
      <c r="K570" t="n">
        <v>0</v>
      </c>
      <c r="L570" t="n">
        <v>0</v>
      </c>
      <c r="M570" t="n">
        <v>0</v>
      </c>
      <c r="N570" t="n">
        <v>0</v>
      </c>
      <c r="O570" t="n">
        <v>0</v>
      </c>
      <c r="P570" t="n">
        <v>0</v>
      </c>
      <c r="Q570" t="n">
        <v>0</v>
      </c>
      <c r="R570" s="2" t="inlineStr"/>
    </row>
    <row r="571" ht="15" customHeight="1">
      <c r="A571" t="inlineStr">
        <is>
          <t>A 21142-2025</t>
        </is>
      </c>
      <c r="B571" s="1" t="n">
        <v>45779</v>
      </c>
      <c r="C571" s="1" t="n">
        <v>45940</v>
      </c>
      <c r="D571" t="inlineStr">
        <is>
          <t>GOTLANDS LÄN</t>
        </is>
      </c>
      <c r="E571" t="inlineStr">
        <is>
          <t>GOTLAND</t>
        </is>
      </c>
      <c r="G571" t="n">
        <v>1.3</v>
      </c>
      <c r="H571" t="n">
        <v>0</v>
      </c>
      <c r="I571" t="n">
        <v>0</v>
      </c>
      <c r="J571" t="n">
        <v>0</v>
      </c>
      <c r="K571" t="n">
        <v>0</v>
      </c>
      <c r="L571" t="n">
        <v>0</v>
      </c>
      <c r="M571" t="n">
        <v>0</v>
      </c>
      <c r="N571" t="n">
        <v>0</v>
      </c>
      <c r="O571" t="n">
        <v>0</v>
      </c>
      <c r="P571" t="n">
        <v>0</v>
      </c>
      <c r="Q571" t="n">
        <v>0</v>
      </c>
      <c r="R571" s="2" t="inlineStr"/>
    </row>
    <row r="572" ht="15" customHeight="1">
      <c r="A572" t="inlineStr">
        <is>
          <t>A 6108-2025</t>
        </is>
      </c>
      <c r="B572" s="1" t="n">
        <v>45698.29880787037</v>
      </c>
      <c r="C572" s="1" t="n">
        <v>45940</v>
      </c>
      <c r="D572" t="inlineStr">
        <is>
          <t>GOTLANDS LÄN</t>
        </is>
      </c>
      <c r="E572" t="inlineStr">
        <is>
          <t>GOTLAND</t>
        </is>
      </c>
      <c r="G572" t="n">
        <v>2.8</v>
      </c>
      <c r="H572" t="n">
        <v>0</v>
      </c>
      <c r="I572" t="n">
        <v>0</v>
      </c>
      <c r="J572" t="n">
        <v>0</v>
      </c>
      <c r="K572" t="n">
        <v>0</v>
      </c>
      <c r="L572" t="n">
        <v>0</v>
      </c>
      <c r="M572" t="n">
        <v>0</v>
      </c>
      <c r="N572" t="n">
        <v>0</v>
      </c>
      <c r="O572" t="n">
        <v>0</v>
      </c>
      <c r="P572" t="n">
        <v>0</v>
      </c>
      <c r="Q572" t="n">
        <v>0</v>
      </c>
      <c r="R572" s="2" t="inlineStr"/>
    </row>
    <row r="573" ht="15" customHeight="1">
      <c r="A573" t="inlineStr">
        <is>
          <t>A 27596-2023</t>
        </is>
      </c>
      <c r="B573" s="1" t="n">
        <v>45097</v>
      </c>
      <c r="C573" s="1" t="n">
        <v>45940</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56115-2023</t>
        </is>
      </c>
      <c r="B574" s="1" t="n">
        <v>45236</v>
      </c>
      <c r="C574" s="1" t="n">
        <v>45940</v>
      </c>
      <c r="D574" t="inlineStr">
        <is>
          <t>GOTLANDS LÄN</t>
        </is>
      </c>
      <c r="E574" t="inlineStr">
        <is>
          <t>GOTLAND</t>
        </is>
      </c>
      <c r="G574" t="n">
        <v>2</v>
      </c>
      <c r="H574" t="n">
        <v>0</v>
      </c>
      <c r="I574" t="n">
        <v>0</v>
      </c>
      <c r="J574" t="n">
        <v>0</v>
      </c>
      <c r="K574" t="n">
        <v>0</v>
      </c>
      <c r="L574" t="n">
        <v>0</v>
      </c>
      <c r="M574" t="n">
        <v>0</v>
      </c>
      <c r="N574" t="n">
        <v>0</v>
      </c>
      <c r="O574" t="n">
        <v>0</v>
      </c>
      <c r="P574" t="n">
        <v>0</v>
      </c>
      <c r="Q574" t="n">
        <v>0</v>
      </c>
      <c r="R574" s="2" t="inlineStr"/>
    </row>
    <row r="575" ht="15" customHeight="1">
      <c r="A575" t="inlineStr">
        <is>
          <t>A 32330-2024</t>
        </is>
      </c>
      <c r="B575" s="1" t="n">
        <v>45512</v>
      </c>
      <c r="C575" s="1" t="n">
        <v>45940</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64969-2023</t>
        </is>
      </c>
      <c r="B576" s="1" t="n">
        <v>45284.54009259259</v>
      </c>
      <c r="C576" s="1" t="n">
        <v>45940</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5891-2025</t>
        </is>
      </c>
      <c r="B577" s="1" t="n">
        <v>45695.38327546296</v>
      </c>
      <c r="C577" s="1" t="n">
        <v>45940</v>
      </c>
      <c r="D577" t="inlineStr">
        <is>
          <t>GOTLANDS LÄN</t>
        </is>
      </c>
      <c r="E577" t="inlineStr">
        <is>
          <t>GOTLAND</t>
        </is>
      </c>
      <c r="G577" t="n">
        <v>0.8</v>
      </c>
      <c r="H577" t="n">
        <v>0</v>
      </c>
      <c r="I577" t="n">
        <v>0</v>
      </c>
      <c r="J577" t="n">
        <v>0</v>
      </c>
      <c r="K577" t="n">
        <v>0</v>
      </c>
      <c r="L577" t="n">
        <v>0</v>
      </c>
      <c r="M577" t="n">
        <v>0</v>
      </c>
      <c r="N577" t="n">
        <v>0</v>
      </c>
      <c r="O577" t="n">
        <v>0</v>
      </c>
      <c r="P577" t="n">
        <v>0</v>
      </c>
      <c r="Q577" t="n">
        <v>0</v>
      </c>
      <c r="R577" s="2" t="inlineStr"/>
    </row>
    <row r="578" ht="15" customHeight="1">
      <c r="A578" t="inlineStr">
        <is>
          <t>A 17343-2025</t>
        </is>
      </c>
      <c r="B578" s="1" t="n">
        <v>45756.6687037037</v>
      </c>
      <c r="C578" s="1" t="n">
        <v>45940</v>
      </c>
      <c r="D578" t="inlineStr">
        <is>
          <t>GOTLANDS LÄN</t>
        </is>
      </c>
      <c r="E578" t="inlineStr">
        <is>
          <t>GOTLAND</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33853-2024</t>
        </is>
      </c>
      <c r="B579" s="1" t="n">
        <v>45520.64298611111</v>
      </c>
      <c r="C579" s="1" t="n">
        <v>45940</v>
      </c>
      <c r="D579" t="inlineStr">
        <is>
          <t>GOTLANDS LÄN</t>
        </is>
      </c>
      <c r="E579" t="inlineStr">
        <is>
          <t>GOTLAND</t>
        </is>
      </c>
      <c r="G579" t="n">
        <v>3.9</v>
      </c>
      <c r="H579" t="n">
        <v>0</v>
      </c>
      <c r="I579" t="n">
        <v>0</v>
      </c>
      <c r="J579" t="n">
        <v>0</v>
      </c>
      <c r="K579" t="n">
        <v>0</v>
      </c>
      <c r="L579" t="n">
        <v>0</v>
      </c>
      <c r="M579" t="n">
        <v>0</v>
      </c>
      <c r="N579" t="n">
        <v>0</v>
      </c>
      <c r="O579" t="n">
        <v>0</v>
      </c>
      <c r="P579" t="n">
        <v>0</v>
      </c>
      <c r="Q579" t="n">
        <v>0</v>
      </c>
      <c r="R579" s="2" t="inlineStr"/>
    </row>
    <row r="580" ht="15" customHeight="1">
      <c r="A580" t="inlineStr">
        <is>
          <t>A 14804-2021</t>
        </is>
      </c>
      <c r="B580" s="1" t="n">
        <v>44280</v>
      </c>
      <c r="C580" s="1" t="n">
        <v>45940</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18938-2025</t>
        </is>
      </c>
      <c r="B581" s="1" t="n">
        <v>45764.49172453704</v>
      </c>
      <c r="C581" s="1" t="n">
        <v>45940</v>
      </c>
      <c r="D581" t="inlineStr">
        <is>
          <t>GOTLANDS LÄN</t>
        </is>
      </c>
      <c r="E581" t="inlineStr">
        <is>
          <t>GOTLAND</t>
        </is>
      </c>
      <c r="G581" t="n">
        <v>1.1</v>
      </c>
      <c r="H581" t="n">
        <v>0</v>
      </c>
      <c r="I581" t="n">
        <v>0</v>
      </c>
      <c r="J581" t="n">
        <v>0</v>
      </c>
      <c r="K581" t="n">
        <v>0</v>
      </c>
      <c r="L581" t="n">
        <v>0</v>
      </c>
      <c r="M581" t="n">
        <v>0</v>
      </c>
      <c r="N581" t="n">
        <v>0</v>
      </c>
      <c r="O581" t="n">
        <v>0</v>
      </c>
      <c r="P581" t="n">
        <v>0</v>
      </c>
      <c r="Q581" t="n">
        <v>0</v>
      </c>
      <c r="R581" s="2" t="inlineStr"/>
    </row>
    <row r="582" ht="15" customHeight="1">
      <c r="A582" t="inlineStr">
        <is>
          <t>A 20307-2025</t>
        </is>
      </c>
      <c r="B582" s="1" t="n">
        <v>45774.95546296296</v>
      </c>
      <c r="C582" s="1" t="n">
        <v>45940</v>
      </c>
      <c r="D582" t="inlineStr">
        <is>
          <t>GOTLANDS LÄN</t>
        </is>
      </c>
      <c r="E582" t="inlineStr">
        <is>
          <t>GOTLAND</t>
        </is>
      </c>
      <c r="G582" t="n">
        <v>6.8</v>
      </c>
      <c r="H582" t="n">
        <v>0</v>
      </c>
      <c r="I582" t="n">
        <v>0</v>
      </c>
      <c r="J582" t="n">
        <v>0</v>
      </c>
      <c r="K582" t="n">
        <v>0</v>
      </c>
      <c r="L582" t="n">
        <v>0</v>
      </c>
      <c r="M582" t="n">
        <v>0</v>
      </c>
      <c r="N582" t="n">
        <v>0</v>
      </c>
      <c r="O582" t="n">
        <v>0</v>
      </c>
      <c r="P582" t="n">
        <v>0</v>
      </c>
      <c r="Q582" t="n">
        <v>0</v>
      </c>
      <c r="R582" s="2" t="inlineStr"/>
    </row>
    <row r="583" ht="15" customHeight="1">
      <c r="A583" t="inlineStr">
        <is>
          <t>A 18223-2025</t>
        </is>
      </c>
      <c r="B583" s="1" t="n">
        <v>45761</v>
      </c>
      <c r="C583" s="1" t="n">
        <v>45940</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44944.55361111111</v>
      </c>
      <c r="C584" s="1" t="n">
        <v>45940</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17144-2025</t>
        </is>
      </c>
      <c r="B585" s="1" t="n">
        <v>45755.9499537037</v>
      </c>
      <c r="C585" s="1" t="n">
        <v>45940</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49314-2024</t>
        </is>
      </c>
      <c r="B586" s="1" t="n">
        <v>45595.55893518519</v>
      </c>
      <c r="C586" s="1" t="n">
        <v>45940</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9875-2025</t>
        </is>
      </c>
      <c r="B587" s="1" t="n">
        <v>45716</v>
      </c>
      <c r="C587" s="1" t="n">
        <v>45940</v>
      </c>
      <c r="D587" t="inlineStr">
        <is>
          <t>GOTLANDS LÄN</t>
        </is>
      </c>
      <c r="E587" t="inlineStr">
        <is>
          <t>GOTLAND</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46949-2024</t>
        </is>
      </c>
      <c r="B588" s="1" t="n">
        <v>45585</v>
      </c>
      <c r="C588" s="1" t="n">
        <v>45940</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29809-2022</t>
        </is>
      </c>
      <c r="B589" s="1" t="n">
        <v>44755.8713425926</v>
      </c>
      <c r="C589" s="1" t="n">
        <v>45940</v>
      </c>
      <c r="D589" t="inlineStr">
        <is>
          <t>GOTLANDS LÄN</t>
        </is>
      </c>
      <c r="E589" t="inlineStr">
        <is>
          <t>GOTLAND</t>
        </is>
      </c>
      <c r="G589" t="n">
        <v>11.5</v>
      </c>
      <c r="H589" t="n">
        <v>0</v>
      </c>
      <c r="I589" t="n">
        <v>0</v>
      </c>
      <c r="J589" t="n">
        <v>0</v>
      </c>
      <c r="K589" t="n">
        <v>0</v>
      </c>
      <c r="L589" t="n">
        <v>0</v>
      </c>
      <c r="M589" t="n">
        <v>0</v>
      </c>
      <c r="N589" t="n">
        <v>0</v>
      </c>
      <c r="O589" t="n">
        <v>0</v>
      </c>
      <c r="P589" t="n">
        <v>0</v>
      </c>
      <c r="Q589" t="n">
        <v>0</v>
      </c>
      <c r="R589" s="2" t="inlineStr"/>
    </row>
    <row r="590" ht="15" customHeight="1">
      <c r="A590" t="inlineStr">
        <is>
          <t>A 24001-2021</t>
        </is>
      </c>
      <c r="B590" s="1" t="n">
        <v>44335</v>
      </c>
      <c r="C590" s="1" t="n">
        <v>45940</v>
      </c>
      <c r="D590" t="inlineStr">
        <is>
          <t>GOTLANDS LÄN</t>
        </is>
      </c>
      <c r="E590" t="inlineStr">
        <is>
          <t>GOTLAND</t>
        </is>
      </c>
      <c r="G590" t="n">
        <v>3.4</v>
      </c>
      <c r="H590" t="n">
        <v>0</v>
      </c>
      <c r="I590" t="n">
        <v>0</v>
      </c>
      <c r="J590" t="n">
        <v>0</v>
      </c>
      <c r="K590" t="n">
        <v>0</v>
      </c>
      <c r="L590" t="n">
        <v>0</v>
      </c>
      <c r="M590" t="n">
        <v>0</v>
      </c>
      <c r="N590" t="n">
        <v>0</v>
      </c>
      <c r="O590" t="n">
        <v>0</v>
      </c>
      <c r="P590" t="n">
        <v>0</v>
      </c>
      <c r="Q590" t="n">
        <v>0</v>
      </c>
      <c r="R590" s="2" t="inlineStr"/>
    </row>
    <row r="591" ht="15" customHeight="1">
      <c r="A591" t="inlineStr">
        <is>
          <t>A 39479-2022</t>
        </is>
      </c>
      <c r="B591" s="1" t="n">
        <v>44818</v>
      </c>
      <c r="C591" s="1" t="n">
        <v>45940</v>
      </c>
      <c r="D591" t="inlineStr">
        <is>
          <t>GOTLANDS LÄN</t>
        </is>
      </c>
      <c r="E591" t="inlineStr">
        <is>
          <t>GOTLAND</t>
        </is>
      </c>
      <c r="G591" t="n">
        <v>1.1</v>
      </c>
      <c r="H591" t="n">
        <v>0</v>
      </c>
      <c r="I591" t="n">
        <v>0</v>
      </c>
      <c r="J591" t="n">
        <v>0</v>
      </c>
      <c r="K591" t="n">
        <v>0</v>
      </c>
      <c r="L591" t="n">
        <v>0</v>
      </c>
      <c r="M591" t="n">
        <v>0</v>
      </c>
      <c r="N591" t="n">
        <v>0</v>
      </c>
      <c r="O591" t="n">
        <v>0</v>
      </c>
      <c r="P591" t="n">
        <v>0</v>
      </c>
      <c r="Q591" t="n">
        <v>0</v>
      </c>
      <c r="R591" s="2" t="inlineStr"/>
    </row>
    <row r="592" ht="15" customHeight="1">
      <c r="A592" t="inlineStr">
        <is>
          <t>A 39496-2022</t>
        </is>
      </c>
      <c r="B592" s="1" t="n">
        <v>44818</v>
      </c>
      <c r="C592" s="1" t="n">
        <v>45940</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16361-2024</t>
        </is>
      </c>
      <c r="B593" s="1" t="n">
        <v>45407</v>
      </c>
      <c r="C593" s="1" t="n">
        <v>45940</v>
      </c>
      <c r="D593" t="inlineStr">
        <is>
          <t>GOTLANDS LÄN</t>
        </is>
      </c>
      <c r="E593" t="inlineStr">
        <is>
          <t>GOTLAND</t>
        </is>
      </c>
      <c r="G593" t="n">
        <v>6</v>
      </c>
      <c r="H593" t="n">
        <v>0</v>
      </c>
      <c r="I593" t="n">
        <v>0</v>
      </c>
      <c r="J593" t="n">
        <v>0</v>
      </c>
      <c r="K593" t="n">
        <v>0</v>
      </c>
      <c r="L593" t="n">
        <v>0</v>
      </c>
      <c r="M593" t="n">
        <v>0</v>
      </c>
      <c r="N593" t="n">
        <v>0</v>
      </c>
      <c r="O593" t="n">
        <v>0</v>
      </c>
      <c r="P593" t="n">
        <v>0</v>
      </c>
      <c r="Q593" t="n">
        <v>0</v>
      </c>
      <c r="R593" s="2" t="inlineStr"/>
    </row>
    <row r="594" ht="15" customHeight="1">
      <c r="A594" t="inlineStr">
        <is>
          <t>A 43081-2022</t>
        </is>
      </c>
      <c r="B594" s="1" t="n">
        <v>44833</v>
      </c>
      <c r="C594" s="1" t="n">
        <v>45940</v>
      </c>
      <c r="D594" t="inlineStr">
        <is>
          <t>GOTLANDS LÄN</t>
        </is>
      </c>
      <c r="E594" t="inlineStr">
        <is>
          <t>GOTLAND</t>
        </is>
      </c>
      <c r="G594" t="n">
        <v>6.8</v>
      </c>
      <c r="H594" t="n">
        <v>0</v>
      </c>
      <c r="I594" t="n">
        <v>0</v>
      </c>
      <c r="J594" t="n">
        <v>0</v>
      </c>
      <c r="K594" t="n">
        <v>0</v>
      </c>
      <c r="L594" t="n">
        <v>0</v>
      </c>
      <c r="M594" t="n">
        <v>0</v>
      </c>
      <c r="N594" t="n">
        <v>0</v>
      </c>
      <c r="O594" t="n">
        <v>0</v>
      </c>
      <c r="P594" t="n">
        <v>0</v>
      </c>
      <c r="Q594" t="n">
        <v>0</v>
      </c>
      <c r="R594" s="2" t="inlineStr"/>
    </row>
    <row r="595" ht="15" customHeight="1">
      <c r="A595" t="inlineStr">
        <is>
          <t>A 1175-2025</t>
        </is>
      </c>
      <c r="B595" s="1" t="n">
        <v>45667.34449074074</v>
      </c>
      <c r="C595" s="1" t="n">
        <v>45940</v>
      </c>
      <c r="D595" t="inlineStr">
        <is>
          <t>GOTLANDS LÄN</t>
        </is>
      </c>
      <c r="E595" t="inlineStr">
        <is>
          <t>GOTLAND</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46389-2021</t>
        </is>
      </c>
      <c r="B596" s="1" t="n">
        <v>44443</v>
      </c>
      <c r="C596" s="1" t="n">
        <v>45940</v>
      </c>
      <c r="D596" t="inlineStr">
        <is>
          <t>GOTLANDS LÄN</t>
        </is>
      </c>
      <c r="E596" t="inlineStr">
        <is>
          <t>GOTLAND</t>
        </is>
      </c>
      <c r="F596" t="inlineStr">
        <is>
          <t>Kyrkan</t>
        </is>
      </c>
      <c r="G596" t="n">
        <v>2.1</v>
      </c>
      <c r="H596" t="n">
        <v>0</v>
      </c>
      <c r="I596" t="n">
        <v>0</v>
      </c>
      <c r="J596" t="n">
        <v>0</v>
      </c>
      <c r="K596" t="n">
        <v>0</v>
      </c>
      <c r="L596" t="n">
        <v>0</v>
      </c>
      <c r="M596" t="n">
        <v>0</v>
      </c>
      <c r="N596" t="n">
        <v>0</v>
      </c>
      <c r="O596" t="n">
        <v>0</v>
      </c>
      <c r="P596" t="n">
        <v>0</v>
      </c>
      <c r="Q596" t="n">
        <v>0</v>
      </c>
      <c r="R596" s="2" t="inlineStr"/>
    </row>
    <row r="597" ht="15" customHeight="1">
      <c r="A597" t="inlineStr">
        <is>
          <t>A 18993-2025</t>
        </is>
      </c>
      <c r="B597" s="1" t="n">
        <v>45764</v>
      </c>
      <c r="C597" s="1" t="n">
        <v>45940</v>
      </c>
      <c r="D597" t="inlineStr">
        <is>
          <t>GOTLANDS LÄN</t>
        </is>
      </c>
      <c r="E597" t="inlineStr">
        <is>
          <t>GOTLAND</t>
        </is>
      </c>
      <c r="G597" t="n">
        <v>3</v>
      </c>
      <c r="H597" t="n">
        <v>0</v>
      </c>
      <c r="I597" t="n">
        <v>0</v>
      </c>
      <c r="J597" t="n">
        <v>0</v>
      </c>
      <c r="K597" t="n">
        <v>0</v>
      </c>
      <c r="L597" t="n">
        <v>0</v>
      </c>
      <c r="M597" t="n">
        <v>0</v>
      </c>
      <c r="N597" t="n">
        <v>0</v>
      </c>
      <c r="O597" t="n">
        <v>0</v>
      </c>
      <c r="P597" t="n">
        <v>0</v>
      </c>
      <c r="Q597" t="n">
        <v>0</v>
      </c>
      <c r="R597" s="2" t="inlineStr"/>
    </row>
    <row r="598" ht="15" customHeight="1">
      <c r="A598" t="inlineStr">
        <is>
          <t>A 30135-2025</t>
        </is>
      </c>
      <c r="B598" s="1" t="n">
        <v>45826</v>
      </c>
      <c r="C598" s="1" t="n">
        <v>45940</v>
      </c>
      <c r="D598" t="inlineStr">
        <is>
          <t>GOTLANDS LÄN</t>
        </is>
      </c>
      <c r="E598" t="inlineStr">
        <is>
          <t>GOTLAND</t>
        </is>
      </c>
      <c r="G598" t="n">
        <v>2.7</v>
      </c>
      <c r="H598" t="n">
        <v>0</v>
      </c>
      <c r="I598" t="n">
        <v>0</v>
      </c>
      <c r="J598" t="n">
        <v>0</v>
      </c>
      <c r="K598" t="n">
        <v>0</v>
      </c>
      <c r="L598" t="n">
        <v>0</v>
      </c>
      <c r="M598" t="n">
        <v>0</v>
      </c>
      <c r="N598" t="n">
        <v>0</v>
      </c>
      <c r="O598" t="n">
        <v>0</v>
      </c>
      <c r="P598" t="n">
        <v>0</v>
      </c>
      <c r="Q598" t="n">
        <v>0</v>
      </c>
      <c r="R598" s="2" t="inlineStr"/>
    </row>
    <row r="599" ht="15" customHeight="1">
      <c r="A599" t="inlineStr">
        <is>
          <t>A 44949-2023</t>
        </is>
      </c>
      <c r="B599" s="1" t="n">
        <v>45190.69520833333</v>
      </c>
      <c r="C599" s="1" t="n">
        <v>45940</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17682-2024</t>
        </is>
      </c>
      <c r="B600" s="1" t="n">
        <v>45418.42966435185</v>
      </c>
      <c r="C600" s="1" t="n">
        <v>45940</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61897-2024</t>
        </is>
      </c>
      <c r="B601" s="1" t="n">
        <v>45652.75685185185</v>
      </c>
      <c r="C601" s="1" t="n">
        <v>45940</v>
      </c>
      <c r="D601" t="inlineStr">
        <is>
          <t>GOTLANDS LÄN</t>
        </is>
      </c>
      <c r="E601" t="inlineStr">
        <is>
          <t>GOTLAND</t>
        </is>
      </c>
      <c r="G601" t="n">
        <v>6.4</v>
      </c>
      <c r="H601" t="n">
        <v>0</v>
      </c>
      <c r="I601" t="n">
        <v>0</v>
      </c>
      <c r="J601" t="n">
        <v>0</v>
      </c>
      <c r="K601" t="n">
        <v>0</v>
      </c>
      <c r="L601" t="n">
        <v>0</v>
      </c>
      <c r="M601" t="n">
        <v>0</v>
      </c>
      <c r="N601" t="n">
        <v>0</v>
      </c>
      <c r="O601" t="n">
        <v>0</v>
      </c>
      <c r="P601" t="n">
        <v>0</v>
      </c>
      <c r="Q601" t="n">
        <v>0</v>
      </c>
      <c r="R601" s="2" t="inlineStr"/>
    </row>
    <row r="602" ht="15" customHeight="1">
      <c r="A602" t="inlineStr">
        <is>
          <t>A 12032-2025</t>
        </is>
      </c>
      <c r="B602" s="1" t="n">
        <v>45728.64472222222</v>
      </c>
      <c r="C602" s="1" t="n">
        <v>45940</v>
      </c>
      <c r="D602" t="inlineStr">
        <is>
          <t>GOTLANDS LÄN</t>
        </is>
      </c>
      <c r="E602" t="inlineStr">
        <is>
          <t>GOTLAND</t>
        </is>
      </c>
      <c r="G602" t="n">
        <v>1.4</v>
      </c>
      <c r="H602" t="n">
        <v>0</v>
      </c>
      <c r="I602" t="n">
        <v>0</v>
      </c>
      <c r="J602" t="n">
        <v>0</v>
      </c>
      <c r="K602" t="n">
        <v>0</v>
      </c>
      <c r="L602" t="n">
        <v>0</v>
      </c>
      <c r="M602" t="n">
        <v>0</v>
      </c>
      <c r="N602" t="n">
        <v>0</v>
      </c>
      <c r="O602" t="n">
        <v>0</v>
      </c>
      <c r="P602" t="n">
        <v>0</v>
      </c>
      <c r="Q602" t="n">
        <v>0</v>
      </c>
      <c r="R602" s="2" t="inlineStr"/>
    </row>
    <row r="603">
      <c r="A603" t="inlineStr">
        <is>
          <t>A 15595-2024</t>
        </is>
      </c>
      <c r="B603" s="1" t="n">
        <v>45401.81480324074</v>
      </c>
      <c r="C603" s="1" t="n">
        <v>45940</v>
      </c>
      <c r="D603" t="inlineStr">
        <is>
          <t>GOTLANDS LÄN</t>
        </is>
      </c>
      <c r="E603" t="inlineStr">
        <is>
          <t>GOTLAND</t>
        </is>
      </c>
      <c r="G603" t="n">
        <v>6.4</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2025-10-10T12:39:21Z</dcterms:created>
  <dcterms:modified xmlns:dcterms="http://purl.org/dc/terms/" xmlns:xsi="http://www.w3.org/2001/XMLSchema-instance" xsi:type="dcterms:W3CDTF">2025-10-10T12:39:22Z</dcterms:modified>
</cp:coreProperties>
</file>