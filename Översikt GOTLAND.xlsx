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46073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46073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46073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46073</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46073</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46073</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46073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46073</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46073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46073</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6153-2024</t>
        </is>
      </c>
      <c r="B25" s="1" t="n">
        <v>45337</v>
      </c>
      <c r="C25" s="1" t="n">
        <v>46073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24575-2025</t>
        </is>
      </c>
      <c r="B26" s="1" t="n">
        <v>45798</v>
      </c>
      <c r="C26" s="1" t="n">
        <v>46073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34100-2024</t>
        </is>
      </c>
      <c r="B27" s="1" t="n">
        <v>45523</v>
      </c>
      <c r="C27" s="1" t="n">
        <v>46073</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46073</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Dactylorhiza incarnata subsp. incarnata
Fläcknycklar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46073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46073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46073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46073</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46073</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46073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46073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46073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46073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46073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46073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46073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46073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46073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46073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46073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46073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46073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46073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46073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45248-2024</t>
        </is>
      </c>
      <c r="B52" s="1" t="n">
        <v>45576</v>
      </c>
      <c r="C52" s="1" t="n">
        <v>46073</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584-2023</t>
        </is>
      </c>
      <c r="B53" s="1" t="n">
        <v>44930</v>
      </c>
      <c r="C53" s="1" t="n">
        <v>46073</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33153-2024</t>
        </is>
      </c>
      <c r="B54" s="1" t="n">
        <v>45518</v>
      </c>
      <c r="C54" s="1" t="n">
        <v>46073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46073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46073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46073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46073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46073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46073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46073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46073</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46073</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4984-2025</t>
        </is>
      </c>
      <c r="B64" s="1" t="n">
        <v>45691.29891203704</v>
      </c>
      <c r="C64" s="1" t="n">
        <v>46073</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46073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46073</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27280-2023</t>
        </is>
      </c>
      <c r="B67" s="1" t="n">
        <v>45096</v>
      </c>
      <c r="C67" s="1" t="n">
        <v>46073</v>
      </c>
      <c r="D67" t="inlineStr">
        <is>
          <t>GOTLANDS LÄN</t>
        </is>
      </c>
      <c r="E67" t="inlineStr">
        <is>
          <t>GOTLAND</t>
        </is>
      </c>
      <c r="G67" t="n">
        <v>2.7</v>
      </c>
      <c r="H67" t="n">
        <v>7</v>
      </c>
      <c r="I67" t="n">
        <v>2</v>
      </c>
      <c r="J67" t="n">
        <v>1</v>
      </c>
      <c r="K67" t="n">
        <v>0</v>
      </c>
      <c r="L67" t="n">
        <v>0</v>
      </c>
      <c r="M67" t="n">
        <v>0</v>
      </c>
      <c r="N67" t="n">
        <v>0</v>
      </c>
      <c r="O67" t="n">
        <v>1</v>
      </c>
      <c r="P67" t="n">
        <v>0</v>
      </c>
      <c r="Q67" t="n">
        <v>7</v>
      </c>
      <c r="R67" s="2" t="inlineStr">
        <is>
          <t>Mindre hackspett
Skogsknipprot
Tvåblad
Brudsporre
Fläcknycklar
Grönvit nattviol
Nattviol</t>
        </is>
      </c>
      <c r="S67">
        <f>HYPERLINK("https://klasma.github.io/Logging_0980/artfynd/A 27280-2023 artfynd.xlsx", "A 27280-2023")</f>
        <v/>
      </c>
      <c r="T67">
        <f>HYPERLINK("https://klasma.github.io/Logging_0980/kartor/A 27280-2023 karta.png", "A 27280-2023")</f>
        <v/>
      </c>
      <c r="V67">
        <f>HYPERLINK("https://klasma.github.io/Logging_0980/klagomål/A 27280-2023 FSC-klagomål.docx", "A 27280-2023")</f>
        <v/>
      </c>
      <c r="W67">
        <f>HYPERLINK("https://klasma.github.io/Logging_0980/klagomålsmail/A 27280-2023 FSC-klagomål mail.docx", "A 27280-2023")</f>
        <v/>
      </c>
      <c r="X67">
        <f>HYPERLINK("https://klasma.github.io/Logging_0980/tillsyn/A 27280-2023 tillsynsbegäran.docx", "A 27280-2023")</f>
        <v/>
      </c>
      <c r="Y67">
        <f>HYPERLINK("https://klasma.github.io/Logging_0980/tillsynsmail/A 27280-2023 tillsynsbegäran mail.docx", "A 27280-2023")</f>
        <v/>
      </c>
      <c r="Z67">
        <f>HYPERLINK("https://klasma.github.io/Logging_0980/fåglar/A 27280-2023 prioriterade fågelarter.docx", "A 27280-2023")</f>
        <v/>
      </c>
    </row>
    <row r="68" ht="15" customHeight="1">
      <c r="A68" t="inlineStr">
        <is>
          <t>A 34142-2024</t>
        </is>
      </c>
      <c r="B68" s="1" t="n">
        <v>45524.36521990741</v>
      </c>
      <c r="C68" s="1" t="n">
        <v>46073</v>
      </c>
      <c r="D68" t="inlineStr">
        <is>
          <t>GOTLANDS LÄN</t>
        </is>
      </c>
      <c r="E68" t="inlineStr">
        <is>
          <t>GOTLAND</t>
        </is>
      </c>
      <c r="G68" t="n">
        <v>6</v>
      </c>
      <c r="H68" t="n">
        <v>1</v>
      </c>
      <c r="I68" t="n">
        <v>4</v>
      </c>
      <c r="J68" t="n">
        <v>2</v>
      </c>
      <c r="K68" t="n">
        <v>1</v>
      </c>
      <c r="L68" t="n">
        <v>0</v>
      </c>
      <c r="M68" t="n">
        <v>0</v>
      </c>
      <c r="N68" t="n">
        <v>0</v>
      </c>
      <c r="O68" t="n">
        <v>3</v>
      </c>
      <c r="P68" t="n">
        <v>1</v>
      </c>
      <c r="Q68" t="n">
        <v>7</v>
      </c>
      <c r="R68" s="2" t="inlineStr">
        <is>
          <t>Duvspindling
Igelkott
Odörspindling
Anisspindling
Blå slemspindling
Nästrot
Rödfläckig zontaggsvamp</t>
        </is>
      </c>
      <c r="S68">
        <f>HYPERLINK("https://klasma.github.io/Logging_0980/artfynd/A 34142-2024 artfynd.xlsx", "A 34142-2024")</f>
        <v/>
      </c>
      <c r="T68">
        <f>HYPERLINK("https://klasma.github.io/Logging_0980/kartor/A 34142-2024 karta.png", "A 34142-2024")</f>
        <v/>
      </c>
      <c r="V68">
        <f>HYPERLINK("https://klasma.github.io/Logging_0980/klagomål/A 34142-2024 FSC-klagomål.docx", "A 34142-2024")</f>
        <v/>
      </c>
      <c r="W68">
        <f>HYPERLINK("https://klasma.github.io/Logging_0980/klagomålsmail/A 34142-2024 FSC-klagomål mail.docx", "A 34142-2024")</f>
        <v/>
      </c>
      <c r="X68">
        <f>HYPERLINK("https://klasma.github.io/Logging_0980/tillsyn/A 34142-2024 tillsynsbegäran.docx", "A 34142-2024")</f>
        <v/>
      </c>
      <c r="Y68">
        <f>HYPERLINK("https://klasma.github.io/Logging_0980/tillsynsmail/A 34142-2024 tillsynsbegäran mail.docx", "A 34142-2024")</f>
        <v/>
      </c>
    </row>
    <row r="69" ht="15" customHeight="1">
      <c r="A69" t="inlineStr">
        <is>
          <t>A 27168-2022</t>
        </is>
      </c>
      <c r="B69" s="1" t="n">
        <v>44741</v>
      </c>
      <c r="C69" s="1" t="n">
        <v>46073</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46073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446-2023</t>
        </is>
      </c>
      <c r="B71" s="1" t="n">
        <v>44929</v>
      </c>
      <c r="C71" s="1" t="n">
        <v>46073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46073</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2085-2023</t>
        </is>
      </c>
      <c r="B73" s="1" t="n">
        <v>44939</v>
      </c>
      <c r="C73" s="1" t="n">
        <v>46073</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16823-2024</t>
        </is>
      </c>
      <c r="B74" s="1" t="n">
        <v>45411</v>
      </c>
      <c r="C74" s="1" t="n">
        <v>46073</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54527-2023</t>
        </is>
      </c>
      <c r="B75" s="1" t="n">
        <v>45233</v>
      </c>
      <c r="C75" s="1" t="n">
        <v>46073</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46073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46073</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46073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46073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46073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46073</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46073</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46073</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6839-2026</t>
        </is>
      </c>
      <c r="B84" s="1" t="n">
        <v>46057.41193287037</v>
      </c>
      <c r="C84" s="1" t="n">
        <v>46073</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39425-2023</t>
        </is>
      </c>
      <c r="B85" s="1" t="n">
        <v>45166</v>
      </c>
      <c r="C85" s="1" t="n">
        <v>46073</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52245-2025</t>
        </is>
      </c>
      <c r="B86" s="1" t="n">
        <v>45953.47115740741</v>
      </c>
      <c r="C86" s="1" t="n">
        <v>46073</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2213-2023</t>
        </is>
      </c>
      <c r="B87" s="1" t="n">
        <v>44942</v>
      </c>
      <c r="C87" s="1" t="n">
        <v>46073</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46073</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46073</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46073</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46073</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6159-2023</t>
        </is>
      </c>
      <c r="B92" s="1" t="n">
        <v>44964</v>
      </c>
      <c r="C92" s="1" t="n">
        <v>46073</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46073</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1971-2023</t>
        </is>
      </c>
      <c r="B94" s="1" t="n">
        <v>44939</v>
      </c>
      <c r="C94" s="1" t="n">
        <v>46073</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20833-2024</t>
        </is>
      </c>
      <c r="B95" s="1" t="n">
        <v>45439</v>
      </c>
      <c r="C95" s="1" t="n">
        <v>46073</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46073</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6836-2026</t>
        </is>
      </c>
      <c r="B97" s="1" t="n">
        <v>46057.40902777778</v>
      </c>
      <c r="C97" s="1" t="n">
        <v>46073</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52250-2025</t>
        </is>
      </c>
      <c r="B98" s="1" t="n">
        <v>45953.48998842593</v>
      </c>
      <c r="C98" s="1" t="n">
        <v>46073</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44933-2022</t>
        </is>
      </c>
      <c r="B99" s="1" t="n">
        <v>44841</v>
      </c>
      <c r="C99" s="1" t="n">
        <v>46073</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57463-2025</t>
        </is>
      </c>
      <c r="B100" s="1" t="n">
        <v>45980.54174768519</v>
      </c>
      <c r="C100" s="1" t="n">
        <v>46073</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2485-2025</t>
        </is>
      </c>
      <c r="B101" s="1" t="n">
        <v>45673</v>
      </c>
      <c r="C101" s="1" t="n">
        <v>46073</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46073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46073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46073</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46073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46073</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46073</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46073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49709-2025</t>
        </is>
      </c>
      <c r="B110" s="1" t="n">
        <v>45939.68228009259</v>
      </c>
      <c r="C110" s="1" t="n">
        <v>46073</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55334-2024</t>
        </is>
      </c>
      <c r="B111" s="1" t="n">
        <v>45621</v>
      </c>
      <c r="C111" s="1" t="n">
        <v>46073</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30490-2025</t>
        </is>
      </c>
      <c r="B112" s="1" t="n">
        <v>45830</v>
      </c>
      <c r="C112" s="1" t="n">
        <v>46073</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1520-2026</t>
        </is>
      </c>
      <c r="B113" s="1" t="n">
        <v>46034.35891203704</v>
      </c>
      <c r="C113" s="1" t="n">
        <v>46073</v>
      </c>
      <c r="D113" t="inlineStr">
        <is>
          <t>GOTLANDS LÄN</t>
        </is>
      </c>
      <c r="E113" t="inlineStr">
        <is>
          <t>GOTLAND</t>
        </is>
      </c>
      <c r="G113" t="n">
        <v>7.4</v>
      </c>
      <c r="H113" t="n">
        <v>0</v>
      </c>
      <c r="I113" t="n">
        <v>1</v>
      </c>
      <c r="J113" t="n">
        <v>0</v>
      </c>
      <c r="K113" t="n">
        <v>2</v>
      </c>
      <c r="L113" t="n">
        <v>0</v>
      </c>
      <c r="M113" t="n">
        <v>0</v>
      </c>
      <c r="N113" t="n">
        <v>0</v>
      </c>
      <c r="O113" t="n">
        <v>2</v>
      </c>
      <c r="P113" t="n">
        <v>2</v>
      </c>
      <c r="Q113" t="n">
        <v>3</v>
      </c>
      <c r="R113" s="2" t="inlineStr">
        <is>
          <t>Granrotsspindling
Gulsträngad fagerspindling
Brandmusseron</t>
        </is>
      </c>
      <c r="S113">
        <f>HYPERLINK("https://klasma.github.io/Logging_0980/artfynd/A 1520-2026 artfynd.xlsx", "A 1520-2026")</f>
        <v/>
      </c>
      <c r="T113">
        <f>HYPERLINK("https://klasma.github.io/Logging_0980/kartor/A 1520-2026 karta.png", "A 1520-2026")</f>
        <v/>
      </c>
      <c r="V113">
        <f>HYPERLINK("https://klasma.github.io/Logging_0980/klagomål/A 1520-2026 FSC-klagomål.docx", "A 1520-2026")</f>
        <v/>
      </c>
      <c r="W113">
        <f>HYPERLINK("https://klasma.github.io/Logging_0980/klagomålsmail/A 1520-2026 FSC-klagomål mail.docx", "A 1520-2026")</f>
        <v/>
      </c>
      <c r="X113">
        <f>HYPERLINK("https://klasma.github.io/Logging_0980/tillsyn/A 1520-2026 tillsynsbegäran.docx", "A 1520-2026")</f>
        <v/>
      </c>
      <c r="Y113">
        <f>HYPERLINK("https://klasma.github.io/Logging_0980/tillsynsmail/A 1520-2026 tillsynsbegäran mail.docx", "A 1520-2026")</f>
        <v/>
      </c>
    </row>
    <row r="114" ht="15" customHeight="1">
      <c r="A114" t="inlineStr">
        <is>
          <t>A 20831-2024</t>
        </is>
      </c>
      <c r="B114" s="1" t="n">
        <v>45439</v>
      </c>
      <c r="C114" s="1" t="n">
        <v>46073</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43013-2022</t>
        </is>
      </c>
      <c r="B115" s="1" t="n">
        <v>44833</v>
      </c>
      <c r="C115" s="1" t="n">
        <v>46073</v>
      </c>
      <c r="D115" t="inlineStr">
        <is>
          <t>GOTLANDS LÄN</t>
        </is>
      </c>
      <c r="E115" t="inlineStr">
        <is>
          <t>GOTLAND</t>
        </is>
      </c>
      <c r="G115" t="n">
        <v>9.300000000000001</v>
      </c>
      <c r="H115" t="n">
        <v>0</v>
      </c>
      <c r="I115" t="n">
        <v>2</v>
      </c>
      <c r="J115" t="n">
        <v>0</v>
      </c>
      <c r="K115" t="n">
        <v>1</v>
      </c>
      <c r="L115" t="n">
        <v>0</v>
      </c>
      <c r="M115" t="n">
        <v>0</v>
      </c>
      <c r="N115" t="n">
        <v>0</v>
      </c>
      <c r="O115" t="n">
        <v>1</v>
      </c>
      <c r="P115" t="n">
        <v>1</v>
      </c>
      <c r="Q115" t="n">
        <v>3</v>
      </c>
      <c r="R115" s="2" t="inlineStr">
        <is>
          <t>Violettfläckig spindling
Anisspindling
Blå slemspindling</t>
        </is>
      </c>
      <c r="S115">
        <f>HYPERLINK("https://klasma.github.io/Logging_0980/artfynd/A 43013-2022 artfynd.xlsx", "A 43013-2022")</f>
        <v/>
      </c>
      <c r="T115">
        <f>HYPERLINK("https://klasma.github.io/Logging_0980/kartor/A 43013-2022 karta.png", "A 43013-2022")</f>
        <v/>
      </c>
      <c r="V115">
        <f>HYPERLINK("https://klasma.github.io/Logging_0980/klagomål/A 43013-2022 FSC-klagomål.docx", "A 43013-2022")</f>
        <v/>
      </c>
      <c r="W115">
        <f>HYPERLINK("https://klasma.github.io/Logging_0980/klagomålsmail/A 43013-2022 FSC-klagomål mail.docx", "A 43013-2022")</f>
        <v/>
      </c>
      <c r="X115">
        <f>HYPERLINK("https://klasma.github.io/Logging_0980/tillsyn/A 43013-2022 tillsynsbegäran.docx", "A 43013-2022")</f>
        <v/>
      </c>
      <c r="Y115">
        <f>HYPERLINK("https://klasma.github.io/Logging_0980/tillsynsmail/A 43013-2022 tillsynsbegäran mail.docx", "A 43013-2022")</f>
        <v/>
      </c>
    </row>
    <row r="116" ht="15" customHeight="1">
      <c r="A116" t="inlineStr">
        <is>
          <t>A 5235-2025</t>
        </is>
      </c>
      <c r="B116" s="1" t="n">
        <v>45692.26797453704</v>
      </c>
      <c r="C116" s="1" t="n">
        <v>46073</v>
      </c>
      <c r="D116" t="inlineStr">
        <is>
          <t>GOTLANDS LÄN</t>
        </is>
      </c>
      <c r="E116" t="inlineStr">
        <is>
          <t>GOTLAND</t>
        </is>
      </c>
      <c r="G116" t="n">
        <v>7.6</v>
      </c>
      <c r="H116" t="n">
        <v>1</v>
      </c>
      <c r="I116" t="n">
        <v>2</v>
      </c>
      <c r="J116" t="n">
        <v>1</v>
      </c>
      <c r="K116" t="n">
        <v>0</v>
      </c>
      <c r="L116" t="n">
        <v>0</v>
      </c>
      <c r="M116" t="n">
        <v>0</v>
      </c>
      <c r="N116" t="n">
        <v>0</v>
      </c>
      <c r="O116" t="n">
        <v>1</v>
      </c>
      <c r="P116" t="n">
        <v>0</v>
      </c>
      <c r="Q116" t="n">
        <v>3</v>
      </c>
      <c r="R116" s="2" t="inlineStr">
        <is>
          <t>Svinrot
Blåmossa
Tvåblad</t>
        </is>
      </c>
      <c r="S116">
        <f>HYPERLINK("https://klasma.github.io/Logging_0980/artfynd/A 5235-2025 artfynd.xlsx", "A 5235-2025")</f>
        <v/>
      </c>
      <c r="T116">
        <f>HYPERLINK("https://klasma.github.io/Logging_0980/kartor/A 5235-2025 karta.png", "A 5235-2025")</f>
        <v/>
      </c>
      <c r="V116">
        <f>HYPERLINK("https://klasma.github.io/Logging_0980/klagomål/A 5235-2025 FSC-klagomål.docx", "A 5235-2025")</f>
        <v/>
      </c>
      <c r="W116">
        <f>HYPERLINK("https://klasma.github.io/Logging_0980/klagomålsmail/A 5235-2025 FSC-klagomål mail.docx", "A 5235-2025")</f>
        <v/>
      </c>
      <c r="X116">
        <f>HYPERLINK("https://klasma.github.io/Logging_0980/tillsyn/A 5235-2025 tillsynsbegäran.docx", "A 5235-2025")</f>
        <v/>
      </c>
      <c r="Y116">
        <f>HYPERLINK("https://klasma.github.io/Logging_0980/tillsynsmail/A 5235-2025 tillsynsbegäran mail.docx", "A 5235-2025")</f>
        <v/>
      </c>
    </row>
    <row r="117" ht="15" customHeight="1">
      <c r="A117" t="inlineStr">
        <is>
          <t>A 53552-2021</t>
        </is>
      </c>
      <c r="B117" s="1" t="n">
        <v>44468</v>
      </c>
      <c r="C117" s="1" t="n">
        <v>46073</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17982-2023</t>
        </is>
      </c>
      <c r="B118" s="1" t="n">
        <v>45040</v>
      </c>
      <c r="C118" s="1" t="n">
        <v>46073</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46073</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46073</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46073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46073</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46073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46073</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46073</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46073</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46073</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21879-2025</t>
        </is>
      </c>
      <c r="B129" s="1" t="n">
        <v>45784.40533564815</v>
      </c>
      <c r="C129" s="1" t="n">
        <v>46073</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26077-2024</t>
        </is>
      </c>
      <c r="B130" s="1" t="n">
        <v>45467</v>
      </c>
      <c r="C130" s="1" t="n">
        <v>46073</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63162-2025</t>
        </is>
      </c>
      <c r="B131" s="1" t="n">
        <v>46010.37629629629</v>
      </c>
      <c r="C131" s="1" t="n">
        <v>46073</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20838-2024</t>
        </is>
      </c>
      <c r="B132" s="1" t="n">
        <v>45439</v>
      </c>
      <c r="C132" s="1" t="n">
        <v>46073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54357-2024</t>
        </is>
      </c>
      <c r="B133" s="1" t="n">
        <v>45617.40662037037</v>
      </c>
      <c r="C133" s="1" t="n">
        <v>46073</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62760-2025</t>
        </is>
      </c>
      <c r="B134" s="1" t="n">
        <v>46008</v>
      </c>
      <c r="C134" s="1" t="n">
        <v>46073</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7070-2022</t>
        </is>
      </c>
      <c r="B135" s="1" t="n">
        <v>44603</v>
      </c>
      <c r="C135" s="1" t="n">
        <v>46073</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43219-2023</t>
        </is>
      </c>
      <c r="B136" s="1" t="n">
        <v>45183</v>
      </c>
      <c r="C136" s="1" t="n">
        <v>46073</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46073</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46073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46073</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46073</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46073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46073</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37591-2023</t>
        </is>
      </c>
      <c r="B144" s="1" t="n">
        <v>45159</v>
      </c>
      <c r="C144" s="1" t="n">
        <v>46073</v>
      </c>
      <c r="D144" t="inlineStr">
        <is>
          <t>GOTLANDS LÄN</t>
        </is>
      </c>
      <c r="E144" t="inlineStr">
        <is>
          <t>GOTLAND</t>
        </is>
      </c>
      <c r="G144" t="n">
        <v>8.300000000000001</v>
      </c>
      <c r="H144" t="n">
        <v>0</v>
      </c>
      <c r="I144" t="n">
        <v>0</v>
      </c>
      <c r="J144" t="n">
        <v>1</v>
      </c>
      <c r="K144" t="n">
        <v>0</v>
      </c>
      <c r="L144" t="n">
        <v>0</v>
      </c>
      <c r="M144" t="n">
        <v>0</v>
      </c>
      <c r="N144" t="n">
        <v>0</v>
      </c>
      <c r="O144" t="n">
        <v>1</v>
      </c>
      <c r="P144" t="n">
        <v>0</v>
      </c>
      <c r="Q144" t="n">
        <v>1</v>
      </c>
      <c r="R144" s="2" t="inlineStr">
        <is>
          <t>Ängsstarr</t>
        </is>
      </c>
      <c r="S144">
        <f>HYPERLINK("https://klasma.github.io/Logging_0980/artfynd/A 37591-2023 artfynd.xlsx", "A 37591-2023")</f>
        <v/>
      </c>
      <c r="T144">
        <f>HYPERLINK("https://klasma.github.io/Logging_0980/kartor/A 37591-2023 karta.png", "A 37591-2023")</f>
        <v/>
      </c>
      <c r="V144">
        <f>HYPERLINK("https://klasma.github.io/Logging_0980/klagomål/A 37591-2023 FSC-klagomål.docx", "A 37591-2023")</f>
        <v/>
      </c>
      <c r="W144">
        <f>HYPERLINK("https://klasma.github.io/Logging_0980/klagomålsmail/A 37591-2023 FSC-klagomål mail.docx", "A 37591-2023")</f>
        <v/>
      </c>
      <c r="X144">
        <f>HYPERLINK("https://klasma.github.io/Logging_0980/tillsyn/A 37591-2023 tillsynsbegäran.docx", "A 37591-2023")</f>
        <v/>
      </c>
      <c r="Y144">
        <f>HYPERLINK("https://klasma.github.io/Logging_0980/tillsynsmail/A 37591-2023 tillsynsbegäran mail.docx", "A 37591-2023")</f>
        <v/>
      </c>
    </row>
    <row r="145" ht="15" customHeight="1">
      <c r="A145" t="inlineStr">
        <is>
          <t>A 12379-2024</t>
        </is>
      </c>
      <c r="B145" s="1" t="n">
        <v>45379.28155092592</v>
      </c>
      <c r="C145" s="1" t="n">
        <v>46073</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46073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21466-2025</t>
        </is>
      </c>
      <c r="B147" s="1" t="n">
        <v>45782</v>
      </c>
      <c r="C147" s="1" t="n">
        <v>46073</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39812-2025</t>
        </is>
      </c>
      <c r="B148" s="1" t="n">
        <v>45891</v>
      </c>
      <c r="C148" s="1" t="n">
        <v>46073</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10440-2024</t>
        </is>
      </c>
      <c r="B149" s="1" t="n">
        <v>45366.32818287037</v>
      </c>
      <c r="C149" s="1" t="n">
        <v>46073</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44304-2021</t>
        </is>
      </c>
      <c r="B150" s="1" t="n">
        <v>44434</v>
      </c>
      <c r="C150" s="1" t="n">
        <v>46073</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49726-2025</t>
        </is>
      </c>
      <c r="B151" s="1" t="n">
        <v>45939.84466435185</v>
      </c>
      <c r="C151" s="1" t="n">
        <v>46073</v>
      </c>
      <c r="D151" t="inlineStr">
        <is>
          <t>GOTLANDS LÄN</t>
        </is>
      </c>
      <c r="E151" t="inlineStr">
        <is>
          <t>GOTLAND</t>
        </is>
      </c>
      <c r="F151" t="inlineStr">
        <is>
          <t>Kyrkan</t>
        </is>
      </c>
      <c r="G151" t="n">
        <v>5.4</v>
      </c>
      <c r="H151" t="n">
        <v>0</v>
      </c>
      <c r="I151" t="n">
        <v>0</v>
      </c>
      <c r="J151" t="n">
        <v>1</v>
      </c>
      <c r="K151" t="n">
        <v>0</v>
      </c>
      <c r="L151" t="n">
        <v>0</v>
      </c>
      <c r="M151" t="n">
        <v>0</v>
      </c>
      <c r="N151" t="n">
        <v>0</v>
      </c>
      <c r="O151" t="n">
        <v>1</v>
      </c>
      <c r="P151" t="n">
        <v>0</v>
      </c>
      <c r="Q151" t="n">
        <v>1</v>
      </c>
      <c r="R151" s="2" t="inlineStr">
        <is>
          <t>Odörspindling</t>
        </is>
      </c>
      <c r="S151">
        <f>HYPERLINK("https://klasma.github.io/Logging_0980/artfynd/A 49726-2025 artfynd.xlsx", "A 49726-2025")</f>
        <v/>
      </c>
      <c r="T151">
        <f>HYPERLINK("https://klasma.github.io/Logging_0980/kartor/A 49726-2025 karta.png", "A 49726-2025")</f>
        <v/>
      </c>
      <c r="V151">
        <f>HYPERLINK("https://klasma.github.io/Logging_0980/klagomål/A 49726-2025 FSC-klagomål.docx", "A 49726-2025")</f>
        <v/>
      </c>
      <c r="W151">
        <f>HYPERLINK("https://klasma.github.io/Logging_0980/klagomålsmail/A 49726-2025 FSC-klagomål mail.docx", "A 49726-2025")</f>
        <v/>
      </c>
      <c r="X151">
        <f>HYPERLINK("https://klasma.github.io/Logging_0980/tillsyn/A 49726-2025 tillsynsbegäran.docx", "A 49726-2025")</f>
        <v/>
      </c>
      <c r="Y151">
        <f>HYPERLINK("https://klasma.github.io/Logging_0980/tillsynsmail/A 49726-2025 tillsynsbegäran mail.docx", "A 49726-2025")</f>
        <v/>
      </c>
    </row>
    <row r="152" ht="15" customHeight="1">
      <c r="A152" t="inlineStr">
        <is>
          <t>A 20429-2025</t>
        </is>
      </c>
      <c r="B152" s="1" t="n">
        <v>45775.47728009259</v>
      </c>
      <c r="C152" s="1" t="n">
        <v>46073</v>
      </c>
      <c r="D152" t="inlineStr">
        <is>
          <t>GOTLANDS LÄN</t>
        </is>
      </c>
      <c r="E152" t="inlineStr">
        <is>
          <t>GOTLAND</t>
        </is>
      </c>
      <c r="G152" t="n">
        <v>1.4</v>
      </c>
      <c r="H152" t="n">
        <v>1</v>
      </c>
      <c r="I152" t="n">
        <v>0</v>
      </c>
      <c r="J152" t="n">
        <v>0</v>
      </c>
      <c r="K152" t="n">
        <v>0</v>
      </c>
      <c r="L152" t="n">
        <v>0</v>
      </c>
      <c r="M152" t="n">
        <v>0</v>
      </c>
      <c r="N152" t="n">
        <v>0</v>
      </c>
      <c r="O152" t="n">
        <v>0</v>
      </c>
      <c r="P152" t="n">
        <v>0</v>
      </c>
      <c r="Q152" t="n">
        <v>1</v>
      </c>
      <c r="R152" s="2" t="inlineStr">
        <is>
          <t>Äkta lopplummer</t>
        </is>
      </c>
      <c r="S152">
        <f>HYPERLINK("https://klasma.github.io/Logging_0980/artfynd/A 20429-2025 artfynd.xlsx", "A 20429-2025")</f>
        <v/>
      </c>
      <c r="T152">
        <f>HYPERLINK("https://klasma.github.io/Logging_0980/kartor/A 20429-2025 karta.png", "A 20429-2025")</f>
        <v/>
      </c>
      <c r="V152">
        <f>HYPERLINK("https://klasma.github.io/Logging_0980/klagomål/A 20429-2025 FSC-klagomål.docx", "A 20429-2025")</f>
        <v/>
      </c>
      <c r="W152">
        <f>HYPERLINK("https://klasma.github.io/Logging_0980/klagomålsmail/A 20429-2025 FSC-klagomål mail.docx", "A 20429-2025")</f>
        <v/>
      </c>
      <c r="X152">
        <f>HYPERLINK("https://klasma.github.io/Logging_0980/tillsyn/A 20429-2025 tillsynsbegäran.docx", "A 20429-2025")</f>
        <v/>
      </c>
      <c r="Y152">
        <f>HYPERLINK("https://klasma.github.io/Logging_0980/tillsynsmail/A 20429-2025 tillsynsbegäran mail.docx", "A 20429-2025")</f>
        <v/>
      </c>
    </row>
    <row r="153" ht="15" customHeight="1">
      <c r="A153" t="inlineStr">
        <is>
          <t>A 25977-2024</t>
        </is>
      </c>
      <c r="B153" s="1" t="n">
        <v>45467.69356481481</v>
      </c>
      <c r="C153" s="1" t="n">
        <v>46073</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35467-2021</t>
        </is>
      </c>
      <c r="B154" s="1" t="n">
        <v>44385</v>
      </c>
      <c r="C154" s="1" t="n">
        <v>46073</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46073</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26461-2025</t>
        </is>
      </c>
      <c r="B156" s="1" t="n">
        <v>45807.43337962963</v>
      </c>
      <c r="C156" s="1" t="n">
        <v>46073</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65927-2021</t>
        </is>
      </c>
      <c r="B157" s="1" t="n">
        <v>44516</v>
      </c>
      <c r="C157" s="1" t="n">
        <v>46073</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61796-2022</t>
        </is>
      </c>
      <c r="B158" s="1" t="n">
        <v>44917</v>
      </c>
      <c r="C158" s="1" t="n">
        <v>46073</v>
      </c>
      <c r="D158" t="inlineStr">
        <is>
          <t>GOTLANDS LÄN</t>
        </is>
      </c>
      <c r="E158" t="inlineStr">
        <is>
          <t>GOTLAND</t>
        </is>
      </c>
      <c r="G158" t="n">
        <v>1.5</v>
      </c>
      <c r="H158" t="n">
        <v>1</v>
      </c>
      <c r="I158" t="n">
        <v>0</v>
      </c>
      <c r="J158" t="n">
        <v>0</v>
      </c>
      <c r="K158" t="n">
        <v>0</v>
      </c>
      <c r="L158" t="n">
        <v>0</v>
      </c>
      <c r="M158" t="n">
        <v>0</v>
      </c>
      <c r="N158" t="n">
        <v>0</v>
      </c>
      <c r="O158" t="n">
        <v>0</v>
      </c>
      <c r="P158" t="n">
        <v>0</v>
      </c>
      <c r="Q158" t="n">
        <v>1</v>
      </c>
      <c r="R158" s="2" t="inlineStr">
        <is>
          <t>Skogsduva</t>
        </is>
      </c>
      <c r="S158">
        <f>HYPERLINK("https://klasma.github.io/Logging_0980/artfynd/A 61796-2022 artfynd.xlsx", "A 61796-2022")</f>
        <v/>
      </c>
      <c r="T158">
        <f>HYPERLINK("https://klasma.github.io/Logging_0980/kartor/A 61796-2022 karta.png", "A 61796-2022")</f>
        <v/>
      </c>
      <c r="V158">
        <f>HYPERLINK("https://klasma.github.io/Logging_0980/klagomål/A 61796-2022 FSC-klagomål.docx", "A 61796-2022")</f>
        <v/>
      </c>
      <c r="W158">
        <f>HYPERLINK("https://klasma.github.io/Logging_0980/klagomålsmail/A 61796-2022 FSC-klagomål mail.docx", "A 61796-2022")</f>
        <v/>
      </c>
      <c r="X158">
        <f>HYPERLINK("https://klasma.github.io/Logging_0980/tillsyn/A 61796-2022 tillsynsbegäran.docx", "A 61796-2022")</f>
        <v/>
      </c>
      <c r="Y158">
        <f>HYPERLINK("https://klasma.github.io/Logging_0980/tillsynsmail/A 61796-2022 tillsynsbegäran mail.docx", "A 61796-2022")</f>
        <v/>
      </c>
      <c r="Z158">
        <f>HYPERLINK("https://klasma.github.io/Logging_0980/fåglar/A 61796-2022 prioriterade fågelarter.docx", "A 61796-2022")</f>
        <v/>
      </c>
    </row>
    <row r="159" ht="15" customHeight="1">
      <c r="A159" t="inlineStr">
        <is>
          <t>A 15637-2024</t>
        </is>
      </c>
      <c r="B159" s="1" t="n">
        <v>45403.6684837963</v>
      </c>
      <c r="C159" s="1" t="n">
        <v>46073</v>
      </c>
      <c r="D159" t="inlineStr">
        <is>
          <t>GOTLANDS LÄN</t>
        </is>
      </c>
      <c r="E159" t="inlineStr">
        <is>
          <t>GOTLAND</t>
        </is>
      </c>
      <c r="G159" t="n">
        <v>4.1</v>
      </c>
      <c r="H159" t="n">
        <v>1</v>
      </c>
      <c r="I159" t="n">
        <v>0</v>
      </c>
      <c r="J159" t="n">
        <v>0</v>
      </c>
      <c r="K159" t="n">
        <v>0</v>
      </c>
      <c r="L159" t="n">
        <v>0</v>
      </c>
      <c r="M159" t="n">
        <v>0</v>
      </c>
      <c r="N159" t="n">
        <v>0</v>
      </c>
      <c r="O159" t="n">
        <v>0</v>
      </c>
      <c r="P159" t="n">
        <v>0</v>
      </c>
      <c r="Q159" t="n">
        <v>1</v>
      </c>
      <c r="R159" s="2" t="inlineStr">
        <is>
          <t>Blåsippa</t>
        </is>
      </c>
      <c r="S159">
        <f>HYPERLINK("https://klasma.github.io/Logging_0980/artfynd/A 15637-2024 artfynd.xlsx", "A 15637-2024")</f>
        <v/>
      </c>
      <c r="T159">
        <f>HYPERLINK("https://klasma.github.io/Logging_0980/kartor/A 15637-2024 karta.png", "A 15637-2024")</f>
        <v/>
      </c>
      <c r="V159">
        <f>HYPERLINK("https://klasma.github.io/Logging_0980/klagomål/A 15637-2024 FSC-klagomål.docx", "A 15637-2024")</f>
        <v/>
      </c>
      <c r="W159">
        <f>HYPERLINK("https://klasma.github.io/Logging_0980/klagomålsmail/A 15637-2024 FSC-klagomål mail.docx", "A 15637-2024")</f>
        <v/>
      </c>
      <c r="X159">
        <f>HYPERLINK("https://klasma.github.io/Logging_0980/tillsyn/A 15637-2024 tillsynsbegäran.docx", "A 15637-2024")</f>
        <v/>
      </c>
      <c r="Y159">
        <f>HYPERLINK("https://klasma.github.io/Logging_0980/tillsynsmail/A 15637-2024 tillsynsbegäran mail.docx", "A 15637-2024")</f>
        <v/>
      </c>
    </row>
    <row r="160" ht="15" customHeight="1">
      <c r="A160" t="inlineStr">
        <is>
          <t>A 34141-2024</t>
        </is>
      </c>
      <c r="B160" s="1" t="n">
        <v>45524.36229166666</v>
      </c>
      <c r="C160" s="1" t="n">
        <v>46073</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9862-2024</t>
        </is>
      </c>
      <c r="B161" s="1" t="n">
        <v>45363</v>
      </c>
      <c r="C161" s="1" t="n">
        <v>46073</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2476-2025</t>
        </is>
      </c>
      <c r="B162" s="1" t="n">
        <v>45673</v>
      </c>
      <c r="C162" s="1" t="n">
        <v>46073</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12924-2025</t>
        </is>
      </c>
      <c r="B163" s="1" t="n">
        <v>45734</v>
      </c>
      <c r="C163" s="1" t="n">
        <v>46073</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10995-2023</t>
        </is>
      </c>
      <c r="B164" s="1" t="n">
        <v>44986</v>
      </c>
      <c r="C164" s="1" t="n">
        <v>46073</v>
      </c>
      <c r="D164" t="inlineStr">
        <is>
          <t>GOTLANDS LÄN</t>
        </is>
      </c>
      <c r="E164" t="inlineStr">
        <is>
          <t>GOTLAND</t>
        </is>
      </c>
      <c r="G164" t="n">
        <v>2.8</v>
      </c>
      <c r="H164" t="n">
        <v>0</v>
      </c>
      <c r="I164" t="n">
        <v>0</v>
      </c>
      <c r="J164" t="n">
        <v>0</v>
      </c>
      <c r="K164" t="n">
        <v>1</v>
      </c>
      <c r="L164" t="n">
        <v>0</v>
      </c>
      <c r="M164" t="n">
        <v>0</v>
      </c>
      <c r="N164" t="n">
        <v>0</v>
      </c>
      <c r="O164" t="n">
        <v>1</v>
      </c>
      <c r="P164" t="n">
        <v>1</v>
      </c>
      <c r="Q164" t="n">
        <v>1</v>
      </c>
      <c r="R164" s="2" t="inlineStr">
        <is>
          <t>Violettfläckig spindling</t>
        </is>
      </c>
      <c r="S164">
        <f>HYPERLINK("https://klasma.github.io/Logging_0980/artfynd/A 10995-2023 artfynd.xlsx", "A 10995-2023")</f>
        <v/>
      </c>
      <c r="T164">
        <f>HYPERLINK("https://klasma.github.io/Logging_0980/kartor/A 10995-2023 karta.png", "A 10995-2023")</f>
        <v/>
      </c>
      <c r="V164">
        <f>HYPERLINK("https://klasma.github.io/Logging_0980/klagomål/A 10995-2023 FSC-klagomål.docx", "A 10995-2023")</f>
        <v/>
      </c>
      <c r="W164">
        <f>HYPERLINK("https://klasma.github.io/Logging_0980/klagomålsmail/A 10995-2023 FSC-klagomål mail.docx", "A 10995-2023")</f>
        <v/>
      </c>
      <c r="X164">
        <f>HYPERLINK("https://klasma.github.io/Logging_0980/tillsyn/A 10995-2023 tillsynsbegäran.docx", "A 10995-2023")</f>
        <v/>
      </c>
      <c r="Y164">
        <f>HYPERLINK("https://klasma.github.io/Logging_0980/tillsynsmail/A 10995-2023 tillsynsbegäran mail.docx", "A 10995-2023")</f>
        <v/>
      </c>
    </row>
    <row r="165" ht="15" customHeight="1">
      <c r="A165" t="inlineStr">
        <is>
          <t>A 13939-2021</t>
        </is>
      </c>
      <c r="B165" s="1" t="n">
        <v>44277</v>
      </c>
      <c r="C165" s="1" t="n">
        <v>46073</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62552-2022</t>
        </is>
      </c>
      <c r="B166" s="1" t="n">
        <v>44924</v>
      </c>
      <c r="C166" s="1" t="n">
        <v>46073</v>
      </c>
      <c r="D166" t="inlineStr">
        <is>
          <t>GOTLANDS LÄN</t>
        </is>
      </c>
      <c r="E166" t="inlineStr">
        <is>
          <t>GOTLAND</t>
        </is>
      </c>
      <c r="G166" t="n">
        <v>1.6</v>
      </c>
      <c r="H166" t="n">
        <v>0</v>
      </c>
      <c r="I166" t="n">
        <v>0</v>
      </c>
      <c r="J166" t="n">
        <v>1</v>
      </c>
      <c r="K166" t="n">
        <v>0</v>
      </c>
      <c r="L166" t="n">
        <v>0</v>
      </c>
      <c r="M166" t="n">
        <v>0</v>
      </c>
      <c r="N166" t="n">
        <v>0</v>
      </c>
      <c r="O166" t="n">
        <v>1</v>
      </c>
      <c r="P166" t="n">
        <v>0</v>
      </c>
      <c r="Q166" t="n">
        <v>1</v>
      </c>
      <c r="R166" s="2" t="inlineStr">
        <is>
          <t>Äggspindling</t>
        </is>
      </c>
      <c r="S166">
        <f>HYPERLINK("https://klasma.github.io/Logging_0980/artfynd/A 62552-2022 artfynd.xlsx", "A 62552-2022")</f>
        <v/>
      </c>
      <c r="T166">
        <f>HYPERLINK("https://klasma.github.io/Logging_0980/kartor/A 62552-2022 karta.png", "A 62552-2022")</f>
        <v/>
      </c>
      <c r="V166">
        <f>HYPERLINK("https://klasma.github.io/Logging_0980/klagomål/A 62552-2022 FSC-klagomål.docx", "A 62552-2022")</f>
        <v/>
      </c>
      <c r="W166">
        <f>HYPERLINK("https://klasma.github.io/Logging_0980/klagomålsmail/A 62552-2022 FSC-klagomål mail.docx", "A 62552-2022")</f>
        <v/>
      </c>
      <c r="X166">
        <f>HYPERLINK("https://klasma.github.io/Logging_0980/tillsyn/A 62552-2022 tillsynsbegäran.docx", "A 62552-2022")</f>
        <v/>
      </c>
      <c r="Y166">
        <f>HYPERLINK("https://klasma.github.io/Logging_0980/tillsynsmail/A 62552-2022 tillsynsbegäran mail.docx", "A 62552-2022")</f>
        <v/>
      </c>
    </row>
    <row r="167" ht="15" customHeight="1">
      <c r="A167" t="inlineStr">
        <is>
          <t>A 44088-2022</t>
        </is>
      </c>
      <c r="B167" s="1" t="n">
        <v>44839</v>
      </c>
      <c r="C167" s="1" t="n">
        <v>46073</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44308-2021</t>
        </is>
      </c>
      <c r="B168" s="1" t="n">
        <v>44434</v>
      </c>
      <c r="C168" s="1" t="n">
        <v>46073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447-2023</t>
        </is>
      </c>
      <c r="B169" s="1" t="n">
        <v>44929</v>
      </c>
      <c r="C169" s="1" t="n">
        <v>46073</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46073</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46073</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46073</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46073</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46073</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46073</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46073</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63149-2025</t>
        </is>
      </c>
      <c r="B177" s="1" t="n">
        <v>46010</v>
      </c>
      <c r="C177" s="1" t="n">
        <v>46073</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7637-2025</t>
        </is>
      </c>
      <c r="B178" s="1" t="n">
        <v>45705.77181712963</v>
      </c>
      <c r="C178" s="1" t="n">
        <v>46073</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6303-2024</t>
        </is>
      </c>
      <c r="B179" s="1" t="n">
        <v>45338.35376157407</v>
      </c>
      <c r="C179" s="1" t="n">
        <v>46073</v>
      </c>
      <c r="D179" t="inlineStr">
        <is>
          <t>GOTLANDS LÄN</t>
        </is>
      </c>
      <c r="E179" t="inlineStr">
        <is>
          <t>GOTLAND</t>
        </is>
      </c>
      <c r="G179" t="n">
        <v>0.6</v>
      </c>
      <c r="H179" t="n">
        <v>0</v>
      </c>
      <c r="I179" t="n">
        <v>1</v>
      </c>
      <c r="J179" t="n">
        <v>0</v>
      </c>
      <c r="K179" t="n">
        <v>0</v>
      </c>
      <c r="L179" t="n">
        <v>0</v>
      </c>
      <c r="M179" t="n">
        <v>0</v>
      </c>
      <c r="N179" t="n">
        <v>0</v>
      </c>
      <c r="O179" t="n">
        <v>0</v>
      </c>
      <c r="P179" t="n">
        <v>0</v>
      </c>
      <c r="Q179" t="n">
        <v>1</v>
      </c>
      <c r="R179" s="2" t="inlineStr">
        <is>
          <t>Strävlosta</t>
        </is>
      </c>
      <c r="S179">
        <f>HYPERLINK("https://klasma.github.io/Logging_0980/artfynd/A 6303-2024 artfynd.xlsx", "A 6303-2024")</f>
        <v/>
      </c>
      <c r="T179">
        <f>HYPERLINK("https://klasma.github.io/Logging_0980/kartor/A 6303-2024 karta.png", "A 6303-2024")</f>
        <v/>
      </c>
      <c r="V179">
        <f>HYPERLINK("https://klasma.github.io/Logging_0980/klagomål/A 6303-2024 FSC-klagomål.docx", "A 6303-2024")</f>
        <v/>
      </c>
      <c r="W179">
        <f>HYPERLINK("https://klasma.github.io/Logging_0980/klagomålsmail/A 6303-2024 FSC-klagomål mail.docx", "A 6303-2024")</f>
        <v/>
      </c>
      <c r="X179">
        <f>HYPERLINK("https://klasma.github.io/Logging_0980/tillsyn/A 6303-2024 tillsynsbegäran.docx", "A 6303-2024")</f>
        <v/>
      </c>
      <c r="Y179">
        <f>HYPERLINK("https://klasma.github.io/Logging_0980/tillsynsmail/A 6303-2024 tillsynsbegäran mail.docx", "A 6303-2024")</f>
        <v/>
      </c>
    </row>
    <row r="180" ht="15" customHeight="1">
      <c r="A180" t="inlineStr">
        <is>
          <t>A 34809-2024</t>
        </is>
      </c>
      <c r="B180" s="1" t="n">
        <v>45526</v>
      </c>
      <c r="C180" s="1" t="n">
        <v>46073</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61561-2023</t>
        </is>
      </c>
      <c r="B181" s="1" t="n">
        <v>45265</v>
      </c>
      <c r="C181" s="1" t="n">
        <v>46073</v>
      </c>
      <c r="D181" t="inlineStr">
        <is>
          <t>GOTLANDS LÄN</t>
        </is>
      </c>
      <c r="E181" t="inlineStr">
        <is>
          <t>GOTLAND</t>
        </is>
      </c>
      <c r="G181" t="n">
        <v>7.4</v>
      </c>
      <c r="H181" t="n">
        <v>0</v>
      </c>
      <c r="I181" t="n">
        <v>0</v>
      </c>
      <c r="J181" t="n">
        <v>1</v>
      </c>
      <c r="K181" t="n">
        <v>0</v>
      </c>
      <c r="L181" t="n">
        <v>0</v>
      </c>
      <c r="M181" t="n">
        <v>0</v>
      </c>
      <c r="N181" t="n">
        <v>0</v>
      </c>
      <c r="O181" t="n">
        <v>1</v>
      </c>
      <c r="P181" t="n">
        <v>0</v>
      </c>
      <c r="Q181" t="n">
        <v>1</v>
      </c>
      <c r="R181" s="2" t="inlineStr">
        <is>
          <t>Loppstarr</t>
        </is>
      </c>
      <c r="S181">
        <f>HYPERLINK("https://klasma.github.io/Logging_0980/artfynd/A 61561-2023 artfynd.xlsx", "A 61561-2023")</f>
        <v/>
      </c>
      <c r="T181">
        <f>HYPERLINK("https://klasma.github.io/Logging_0980/kartor/A 61561-2023 karta.png", "A 61561-2023")</f>
        <v/>
      </c>
      <c r="V181">
        <f>HYPERLINK("https://klasma.github.io/Logging_0980/klagomål/A 61561-2023 FSC-klagomål.docx", "A 61561-2023")</f>
        <v/>
      </c>
      <c r="W181">
        <f>HYPERLINK("https://klasma.github.io/Logging_0980/klagomålsmail/A 61561-2023 FSC-klagomål mail.docx", "A 61561-2023")</f>
        <v/>
      </c>
      <c r="X181">
        <f>HYPERLINK("https://klasma.github.io/Logging_0980/tillsyn/A 61561-2023 tillsynsbegäran.docx", "A 61561-2023")</f>
        <v/>
      </c>
      <c r="Y181">
        <f>HYPERLINK("https://klasma.github.io/Logging_0980/tillsynsmail/A 61561-2023 tillsynsbegäran mail.docx", "A 61561-2023")</f>
        <v/>
      </c>
    </row>
    <row r="182" ht="15" customHeight="1">
      <c r="A182" t="inlineStr">
        <is>
          <t>A 22782-2023</t>
        </is>
      </c>
      <c r="B182" s="1" t="n">
        <v>45072</v>
      </c>
      <c r="C182" s="1" t="n">
        <v>46073</v>
      </c>
      <c r="D182" t="inlineStr">
        <is>
          <t>GOTLANDS LÄN</t>
        </is>
      </c>
      <c r="E182" t="inlineStr">
        <is>
          <t>GOTLAND</t>
        </is>
      </c>
      <c r="F182" t="inlineStr">
        <is>
          <t>Kyrkan</t>
        </is>
      </c>
      <c r="G182" t="n">
        <v>3.1</v>
      </c>
      <c r="H182" t="n">
        <v>1</v>
      </c>
      <c r="I182" t="n">
        <v>0</v>
      </c>
      <c r="J182" t="n">
        <v>0</v>
      </c>
      <c r="K182" t="n">
        <v>0</v>
      </c>
      <c r="L182" t="n">
        <v>0</v>
      </c>
      <c r="M182" t="n">
        <v>0</v>
      </c>
      <c r="N182" t="n">
        <v>0</v>
      </c>
      <c r="O182" t="n">
        <v>0</v>
      </c>
      <c r="P182" t="n">
        <v>0</v>
      </c>
      <c r="Q182" t="n">
        <v>1</v>
      </c>
      <c r="R182" s="2" t="inlineStr">
        <is>
          <t>Ängsnycklar × skogsnycklar</t>
        </is>
      </c>
      <c r="S182">
        <f>HYPERLINK("https://klasma.github.io/Logging_0980/artfynd/A 22782-2023 artfynd.xlsx", "A 22782-2023")</f>
        <v/>
      </c>
      <c r="T182">
        <f>HYPERLINK("https://klasma.github.io/Logging_0980/kartor/A 22782-2023 karta.png", "A 22782-2023")</f>
        <v/>
      </c>
      <c r="V182">
        <f>HYPERLINK("https://klasma.github.io/Logging_0980/klagomål/A 22782-2023 FSC-klagomål.docx", "A 22782-2023")</f>
        <v/>
      </c>
      <c r="W182">
        <f>HYPERLINK("https://klasma.github.io/Logging_0980/klagomålsmail/A 22782-2023 FSC-klagomål mail.docx", "A 22782-2023")</f>
        <v/>
      </c>
      <c r="X182">
        <f>HYPERLINK("https://klasma.github.io/Logging_0980/tillsyn/A 22782-2023 tillsynsbegäran.docx", "A 22782-2023")</f>
        <v/>
      </c>
      <c r="Y182">
        <f>HYPERLINK("https://klasma.github.io/Logging_0980/tillsynsmail/A 22782-2023 tillsynsbegäran mail.docx", "A 22782-2023")</f>
        <v/>
      </c>
    </row>
    <row r="183" ht="15" customHeight="1">
      <c r="A183" t="inlineStr">
        <is>
          <t>A 22883-2024</t>
        </is>
      </c>
      <c r="B183" s="1" t="n">
        <v>45448.66368055555</v>
      </c>
      <c r="C183" s="1" t="n">
        <v>46073</v>
      </c>
      <c r="D183" t="inlineStr">
        <is>
          <t>GOTLANDS LÄN</t>
        </is>
      </c>
      <c r="E183" t="inlineStr">
        <is>
          <t>GOTLAND</t>
        </is>
      </c>
      <c r="G183" t="n">
        <v>0.5</v>
      </c>
      <c r="H183" t="n">
        <v>0</v>
      </c>
      <c r="I183" t="n">
        <v>0</v>
      </c>
      <c r="J183" t="n">
        <v>0</v>
      </c>
      <c r="K183" t="n">
        <v>1</v>
      </c>
      <c r="L183" t="n">
        <v>0</v>
      </c>
      <c r="M183" t="n">
        <v>0</v>
      </c>
      <c r="N183" t="n">
        <v>0</v>
      </c>
      <c r="O183" t="n">
        <v>1</v>
      </c>
      <c r="P183" t="n">
        <v>1</v>
      </c>
      <c r="Q183" t="n">
        <v>1</v>
      </c>
      <c r="R183" s="2" t="inlineStr">
        <is>
          <t>Gotlandsmåra</t>
        </is>
      </c>
      <c r="S183">
        <f>HYPERLINK("https://klasma.github.io/Logging_0980/artfynd/A 22883-2024 artfynd.xlsx", "A 22883-2024")</f>
        <v/>
      </c>
      <c r="T183">
        <f>HYPERLINK("https://klasma.github.io/Logging_0980/kartor/A 22883-2024 karta.png", "A 22883-2024")</f>
        <v/>
      </c>
      <c r="V183">
        <f>HYPERLINK("https://klasma.github.io/Logging_0980/klagomål/A 22883-2024 FSC-klagomål.docx", "A 22883-2024")</f>
        <v/>
      </c>
      <c r="W183">
        <f>HYPERLINK("https://klasma.github.io/Logging_0980/klagomålsmail/A 22883-2024 FSC-klagomål mail.docx", "A 22883-2024")</f>
        <v/>
      </c>
      <c r="X183">
        <f>HYPERLINK("https://klasma.github.io/Logging_0980/tillsyn/A 22883-2024 tillsynsbegäran.docx", "A 22883-2024")</f>
        <v/>
      </c>
      <c r="Y183">
        <f>HYPERLINK("https://klasma.github.io/Logging_0980/tillsynsmail/A 22883-2024 tillsynsbegäran mail.docx", "A 22883-2024")</f>
        <v/>
      </c>
    </row>
    <row r="184" ht="15" customHeight="1">
      <c r="A184" t="inlineStr">
        <is>
          <t>A 24245-2022</t>
        </is>
      </c>
      <c r="B184" s="1" t="n">
        <v>44725</v>
      </c>
      <c r="C184" s="1" t="n">
        <v>46073</v>
      </c>
      <c r="D184" t="inlineStr">
        <is>
          <t>GOTLANDS LÄN</t>
        </is>
      </c>
      <c r="E184" t="inlineStr">
        <is>
          <t>GOTLAND</t>
        </is>
      </c>
      <c r="G184" t="n">
        <v>4.9</v>
      </c>
      <c r="H184" t="n">
        <v>0</v>
      </c>
      <c r="I184" t="n">
        <v>0</v>
      </c>
      <c r="J184" t="n">
        <v>0</v>
      </c>
      <c r="K184" t="n">
        <v>0</v>
      </c>
      <c r="L184" t="n">
        <v>1</v>
      </c>
      <c r="M184" t="n">
        <v>0</v>
      </c>
      <c r="N184" t="n">
        <v>0</v>
      </c>
      <c r="O184" t="n">
        <v>1</v>
      </c>
      <c r="P184" t="n">
        <v>1</v>
      </c>
      <c r="Q184" t="n">
        <v>1</v>
      </c>
      <c r="R184" s="2" t="inlineStr">
        <is>
          <t>Slät taggsvamp</t>
        </is>
      </c>
      <c r="S184">
        <f>HYPERLINK("https://klasma.github.io/Logging_0980/artfynd/A 24245-2022 artfynd.xlsx", "A 24245-2022")</f>
        <v/>
      </c>
      <c r="T184">
        <f>HYPERLINK("https://klasma.github.io/Logging_0980/kartor/A 24245-2022 karta.png", "A 24245-2022")</f>
        <v/>
      </c>
      <c r="V184">
        <f>HYPERLINK("https://klasma.github.io/Logging_0980/klagomål/A 24245-2022 FSC-klagomål.docx", "A 24245-2022")</f>
        <v/>
      </c>
      <c r="W184">
        <f>HYPERLINK("https://klasma.github.io/Logging_0980/klagomålsmail/A 24245-2022 FSC-klagomål mail.docx", "A 24245-2022")</f>
        <v/>
      </c>
      <c r="X184">
        <f>HYPERLINK("https://klasma.github.io/Logging_0980/tillsyn/A 24245-2022 tillsynsbegäran.docx", "A 24245-2022")</f>
        <v/>
      </c>
      <c r="Y184">
        <f>HYPERLINK("https://klasma.github.io/Logging_0980/tillsynsmail/A 24245-2022 tillsynsbegäran mail.docx", "A 24245-2022")</f>
        <v/>
      </c>
    </row>
    <row r="185" ht="15" customHeight="1">
      <c r="A185" t="inlineStr">
        <is>
          <t>A 49847-2023</t>
        </is>
      </c>
      <c r="B185" s="1" t="n">
        <v>45212</v>
      </c>
      <c r="C185" s="1" t="n">
        <v>46073</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46527-2023</t>
        </is>
      </c>
      <c r="B186" s="1" t="n">
        <v>45197</v>
      </c>
      <c r="C186" s="1" t="n">
        <v>46073</v>
      </c>
      <c r="D186" t="inlineStr">
        <is>
          <t>GOTLANDS LÄN</t>
        </is>
      </c>
      <c r="E186" t="inlineStr">
        <is>
          <t>GOTLAND</t>
        </is>
      </c>
      <c r="G186" t="n">
        <v>0.9</v>
      </c>
      <c r="H186" t="n">
        <v>0</v>
      </c>
      <c r="I186" t="n">
        <v>0</v>
      </c>
      <c r="J186" t="n">
        <v>1</v>
      </c>
      <c r="K186" t="n">
        <v>0</v>
      </c>
      <c r="L186" t="n">
        <v>0</v>
      </c>
      <c r="M186" t="n">
        <v>0</v>
      </c>
      <c r="N186" t="n">
        <v>0</v>
      </c>
      <c r="O186" t="n">
        <v>1</v>
      </c>
      <c r="P186" t="n">
        <v>0</v>
      </c>
      <c r="Q186" t="n">
        <v>1</v>
      </c>
      <c r="R186" s="2" t="inlineStr">
        <is>
          <t>Guldgräshoppa</t>
        </is>
      </c>
      <c r="S186">
        <f>HYPERLINK("https://klasma.github.io/Logging_0980/artfynd/A 46527-2023 artfynd.xlsx", "A 46527-2023")</f>
        <v/>
      </c>
      <c r="T186">
        <f>HYPERLINK("https://klasma.github.io/Logging_0980/kartor/A 46527-2023 karta.png", "A 46527-2023")</f>
        <v/>
      </c>
      <c r="V186">
        <f>HYPERLINK("https://klasma.github.io/Logging_0980/klagomål/A 46527-2023 FSC-klagomål.docx", "A 46527-2023")</f>
        <v/>
      </c>
      <c r="W186">
        <f>HYPERLINK("https://klasma.github.io/Logging_0980/klagomålsmail/A 46527-2023 FSC-klagomål mail.docx", "A 46527-2023")</f>
        <v/>
      </c>
      <c r="X186">
        <f>HYPERLINK("https://klasma.github.io/Logging_0980/tillsyn/A 46527-2023 tillsynsbegäran.docx", "A 46527-2023")</f>
        <v/>
      </c>
      <c r="Y186">
        <f>HYPERLINK("https://klasma.github.io/Logging_0980/tillsynsmail/A 46527-2023 tillsynsbegäran mail.docx", "A 46527-2023")</f>
        <v/>
      </c>
    </row>
    <row r="187" ht="15" customHeight="1">
      <c r="A187" t="inlineStr">
        <is>
          <t>A 12324-2025</t>
        </is>
      </c>
      <c r="B187" s="1" t="n">
        <v>45730</v>
      </c>
      <c r="C187" s="1" t="n">
        <v>46073</v>
      </c>
      <c r="D187" t="inlineStr">
        <is>
          <t>GOTLANDS LÄN</t>
        </is>
      </c>
      <c r="E187" t="inlineStr">
        <is>
          <t>GOTLAND</t>
        </is>
      </c>
      <c r="G187" t="n">
        <v>5</v>
      </c>
      <c r="H187" t="n">
        <v>0</v>
      </c>
      <c r="I187" t="n">
        <v>0</v>
      </c>
      <c r="J187" t="n">
        <v>0</v>
      </c>
      <c r="K187" t="n">
        <v>1</v>
      </c>
      <c r="L187" t="n">
        <v>0</v>
      </c>
      <c r="M187" t="n">
        <v>0</v>
      </c>
      <c r="N187" t="n">
        <v>0</v>
      </c>
      <c r="O187" t="n">
        <v>1</v>
      </c>
      <c r="P187" t="n">
        <v>1</v>
      </c>
      <c r="Q187" t="n">
        <v>1</v>
      </c>
      <c r="R187" s="2" t="inlineStr">
        <is>
          <t>Sommarklynne</t>
        </is>
      </c>
      <c r="S187">
        <f>HYPERLINK("https://klasma.github.io/Logging_0980/artfynd/A 12324-2025 artfynd.xlsx", "A 12324-2025")</f>
        <v/>
      </c>
      <c r="T187">
        <f>HYPERLINK("https://klasma.github.io/Logging_0980/kartor/A 12324-2025 karta.png", "A 12324-2025")</f>
        <v/>
      </c>
      <c r="V187">
        <f>HYPERLINK("https://klasma.github.io/Logging_0980/klagomål/A 12324-2025 FSC-klagomål.docx", "A 12324-2025")</f>
        <v/>
      </c>
      <c r="W187">
        <f>HYPERLINK("https://klasma.github.io/Logging_0980/klagomålsmail/A 12324-2025 FSC-klagomål mail.docx", "A 12324-2025")</f>
        <v/>
      </c>
      <c r="X187">
        <f>HYPERLINK("https://klasma.github.io/Logging_0980/tillsyn/A 12324-2025 tillsynsbegäran.docx", "A 12324-2025")</f>
        <v/>
      </c>
      <c r="Y187">
        <f>HYPERLINK("https://klasma.github.io/Logging_0980/tillsynsmail/A 12324-2025 tillsynsbegäran mail.docx", "A 12324-2025")</f>
        <v/>
      </c>
    </row>
    <row r="188" ht="15" customHeight="1">
      <c r="A188" t="inlineStr">
        <is>
          <t>A 19901-2021</t>
        </is>
      </c>
      <c r="B188" s="1" t="n">
        <v>44312</v>
      </c>
      <c r="C188" s="1" t="n">
        <v>46073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46073</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46073</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46073</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46073</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46073</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46073</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46073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46073</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46073</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46073</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46073</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46073</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46073</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46073</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46073</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46073</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46073</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46073</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46073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46073</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46073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46073</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46073</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46073</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46073</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46073</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46073</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46073</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46073</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46073</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46073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46073</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46073</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46073</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46073</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53935-2024</t>
        </is>
      </c>
      <c r="B236" s="1" t="n">
        <v>45615</v>
      </c>
      <c r="C236" s="1" t="n">
        <v>46073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18223-2025</t>
        </is>
      </c>
      <c r="B237" s="1" t="n">
        <v>45761</v>
      </c>
      <c r="C237" s="1" t="n">
        <v>46073</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4420-2025</t>
        </is>
      </c>
      <c r="B238" s="1" t="n">
        <v>45686.47157407407</v>
      </c>
      <c r="C238" s="1" t="n">
        <v>46073</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32330-2024</t>
        </is>
      </c>
      <c r="B239" s="1" t="n">
        <v>45512</v>
      </c>
      <c r="C239" s="1" t="n">
        <v>46073</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9613-2025</t>
        </is>
      </c>
      <c r="B240" s="1" t="n">
        <v>45715</v>
      </c>
      <c r="C240" s="1" t="n">
        <v>46073</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5891-2025</t>
        </is>
      </c>
      <c r="B241" s="1" t="n">
        <v>45695.38327546296</v>
      </c>
      <c r="C241" s="1" t="n">
        <v>46073</v>
      </c>
      <c r="D241" t="inlineStr">
        <is>
          <t>GOTLANDS LÄN</t>
        </is>
      </c>
      <c r="E241" t="inlineStr">
        <is>
          <t>GOTLAND</t>
        </is>
      </c>
      <c r="G241" t="n">
        <v>0.8</v>
      </c>
      <c r="H241" t="n">
        <v>0</v>
      </c>
      <c r="I241" t="n">
        <v>0</v>
      </c>
      <c r="J241" t="n">
        <v>0</v>
      </c>
      <c r="K241" t="n">
        <v>0</v>
      </c>
      <c r="L241" t="n">
        <v>0</v>
      </c>
      <c r="M241" t="n">
        <v>0</v>
      </c>
      <c r="N241" t="n">
        <v>0</v>
      </c>
      <c r="O241" t="n">
        <v>0</v>
      </c>
      <c r="P241" t="n">
        <v>0</v>
      </c>
      <c r="Q241" t="n">
        <v>0</v>
      </c>
      <c r="R241" s="2" t="inlineStr"/>
    </row>
    <row r="242" ht="15" customHeight="1">
      <c r="A242" t="inlineStr">
        <is>
          <t>A 15595-2024</t>
        </is>
      </c>
      <c r="B242" s="1" t="n">
        <v>45401.81480324074</v>
      </c>
      <c r="C242" s="1" t="n">
        <v>46073</v>
      </c>
      <c r="D242" t="inlineStr">
        <is>
          <t>GOTLANDS LÄN</t>
        </is>
      </c>
      <c r="E242" t="inlineStr">
        <is>
          <t>GOTLAND</t>
        </is>
      </c>
      <c r="G242" t="n">
        <v>6.4</v>
      </c>
      <c r="H242" t="n">
        <v>0</v>
      </c>
      <c r="I242" t="n">
        <v>0</v>
      </c>
      <c r="J242" t="n">
        <v>0</v>
      </c>
      <c r="K242" t="n">
        <v>0</v>
      </c>
      <c r="L242" t="n">
        <v>0</v>
      </c>
      <c r="M242" t="n">
        <v>0</v>
      </c>
      <c r="N242" t="n">
        <v>0</v>
      </c>
      <c r="O242" t="n">
        <v>0</v>
      </c>
      <c r="P242" t="n">
        <v>0</v>
      </c>
      <c r="Q242" t="n">
        <v>0</v>
      </c>
      <c r="R242" s="2" t="inlineStr"/>
    </row>
    <row r="243" ht="15" customHeight="1">
      <c r="A243" t="inlineStr">
        <is>
          <t>A 5751-2024</t>
        </is>
      </c>
      <c r="B243" s="1" t="n">
        <v>45335.32702546296</v>
      </c>
      <c r="C243" s="1" t="n">
        <v>46073</v>
      </c>
      <c r="D243" t="inlineStr">
        <is>
          <t>GOTLANDS LÄN</t>
        </is>
      </c>
      <c r="E243" t="inlineStr">
        <is>
          <t>GOTLAND</t>
        </is>
      </c>
      <c r="G243" t="n">
        <v>4.2</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46073</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47637-2025</t>
        </is>
      </c>
      <c r="B245" s="1" t="n">
        <v>45931.49753472222</v>
      </c>
      <c r="C245" s="1" t="n">
        <v>46073</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7835-2024</t>
        </is>
      </c>
      <c r="B246" s="1" t="n">
        <v>45349.83138888889</v>
      </c>
      <c r="C246" s="1" t="n">
        <v>46073</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20794-2025</t>
        </is>
      </c>
      <c r="B247" s="1" t="n">
        <v>45776</v>
      </c>
      <c r="C247" s="1" t="n">
        <v>46073</v>
      </c>
      <c r="D247" t="inlineStr">
        <is>
          <t>GOTLANDS LÄN</t>
        </is>
      </c>
      <c r="E247" t="inlineStr">
        <is>
          <t>GOTLAND</t>
        </is>
      </c>
      <c r="G247" t="n">
        <v>6</v>
      </c>
      <c r="H247" t="n">
        <v>0</v>
      </c>
      <c r="I247" t="n">
        <v>0</v>
      </c>
      <c r="J247" t="n">
        <v>0</v>
      </c>
      <c r="K247" t="n">
        <v>0</v>
      </c>
      <c r="L247" t="n">
        <v>0</v>
      </c>
      <c r="M247" t="n">
        <v>0</v>
      </c>
      <c r="N247" t="n">
        <v>0</v>
      </c>
      <c r="O247" t="n">
        <v>0</v>
      </c>
      <c r="P247" t="n">
        <v>0</v>
      </c>
      <c r="Q247" t="n">
        <v>0</v>
      </c>
      <c r="R247" s="2" t="inlineStr"/>
    </row>
    <row r="248" ht="15" customHeight="1">
      <c r="A248" t="inlineStr">
        <is>
          <t>A 24966-2023</t>
        </is>
      </c>
      <c r="B248" s="1" t="n">
        <v>45085</v>
      </c>
      <c r="C248" s="1" t="n">
        <v>46073</v>
      </c>
      <c r="D248" t="inlineStr">
        <is>
          <t>GOTLANDS LÄN</t>
        </is>
      </c>
      <c r="E248" t="inlineStr">
        <is>
          <t>GOTLAND</t>
        </is>
      </c>
      <c r="G248" t="n">
        <v>7</v>
      </c>
      <c r="H248" t="n">
        <v>0</v>
      </c>
      <c r="I248" t="n">
        <v>0</v>
      </c>
      <c r="J248" t="n">
        <v>0</v>
      </c>
      <c r="K248" t="n">
        <v>0</v>
      </c>
      <c r="L248" t="n">
        <v>0</v>
      </c>
      <c r="M248" t="n">
        <v>0</v>
      </c>
      <c r="N248" t="n">
        <v>0</v>
      </c>
      <c r="O248" t="n">
        <v>0</v>
      </c>
      <c r="P248" t="n">
        <v>0</v>
      </c>
      <c r="Q248" t="n">
        <v>0</v>
      </c>
      <c r="R248" s="2" t="inlineStr"/>
    </row>
    <row r="249" ht="15" customHeight="1">
      <c r="A249" t="inlineStr">
        <is>
          <t>A 20805-2025</t>
        </is>
      </c>
      <c r="B249" s="1" t="n">
        <v>45776</v>
      </c>
      <c r="C249" s="1" t="n">
        <v>46073</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46189-2022</t>
        </is>
      </c>
      <c r="B250" s="1" t="n">
        <v>44847</v>
      </c>
      <c r="C250" s="1" t="n">
        <v>46073</v>
      </c>
      <c r="D250" t="inlineStr">
        <is>
          <t>GOTLANDS LÄN</t>
        </is>
      </c>
      <c r="E250" t="inlineStr">
        <is>
          <t>GOTLAND</t>
        </is>
      </c>
      <c r="G250" t="n">
        <v>0.4</v>
      </c>
      <c r="H250" t="n">
        <v>0</v>
      </c>
      <c r="I250" t="n">
        <v>0</v>
      </c>
      <c r="J250" t="n">
        <v>0</v>
      </c>
      <c r="K250" t="n">
        <v>0</v>
      </c>
      <c r="L250" t="n">
        <v>0</v>
      </c>
      <c r="M250" t="n">
        <v>0</v>
      </c>
      <c r="N250" t="n">
        <v>0</v>
      </c>
      <c r="O250" t="n">
        <v>0</v>
      </c>
      <c r="P250" t="n">
        <v>0</v>
      </c>
      <c r="Q250" t="n">
        <v>0</v>
      </c>
      <c r="R250" s="2" t="inlineStr"/>
    </row>
    <row r="251" ht="15" customHeight="1">
      <c r="A251" t="inlineStr">
        <is>
          <t>A 32378-2025</t>
        </is>
      </c>
      <c r="B251" s="1" t="n">
        <v>45837</v>
      </c>
      <c r="C251" s="1" t="n">
        <v>46073</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35550-2025</t>
        </is>
      </c>
      <c r="B252" s="1" t="n">
        <v>45856.49324074074</v>
      </c>
      <c r="C252" s="1" t="n">
        <v>46073</v>
      </c>
      <c r="D252" t="inlineStr">
        <is>
          <t>GOTLANDS LÄN</t>
        </is>
      </c>
      <c r="E252" t="inlineStr">
        <is>
          <t>GOTLAND</t>
        </is>
      </c>
      <c r="G252" t="n">
        <v>3.2</v>
      </c>
      <c r="H252" t="n">
        <v>0</v>
      </c>
      <c r="I252" t="n">
        <v>0</v>
      </c>
      <c r="J252" t="n">
        <v>0</v>
      </c>
      <c r="K252" t="n">
        <v>0</v>
      </c>
      <c r="L252" t="n">
        <v>0</v>
      </c>
      <c r="M252" t="n">
        <v>0</v>
      </c>
      <c r="N252" t="n">
        <v>0</v>
      </c>
      <c r="O252" t="n">
        <v>0</v>
      </c>
      <c r="P252" t="n">
        <v>0</v>
      </c>
      <c r="Q252" t="n">
        <v>0</v>
      </c>
      <c r="R252" s="2" t="inlineStr"/>
    </row>
    <row r="253" ht="15" customHeight="1">
      <c r="A253" t="inlineStr">
        <is>
          <t>A 21389-2025</t>
        </is>
      </c>
      <c r="B253" s="1" t="n">
        <v>45782</v>
      </c>
      <c r="C253" s="1" t="n">
        <v>46073</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18993-2025</t>
        </is>
      </c>
      <c r="B254" s="1" t="n">
        <v>45764</v>
      </c>
      <c r="C254" s="1" t="n">
        <v>46073</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22031-2024</t>
        </is>
      </c>
      <c r="B255" s="1" t="n">
        <v>45443.60075231481</v>
      </c>
      <c r="C255" s="1" t="n">
        <v>46073</v>
      </c>
      <c r="D255" t="inlineStr">
        <is>
          <t>GOTLANDS LÄN</t>
        </is>
      </c>
      <c r="E255" t="inlineStr">
        <is>
          <t>GOTLAND</t>
        </is>
      </c>
      <c r="G255" t="n">
        <v>2.3</v>
      </c>
      <c r="H255" t="n">
        <v>0</v>
      </c>
      <c r="I255" t="n">
        <v>0</v>
      </c>
      <c r="J255" t="n">
        <v>0</v>
      </c>
      <c r="K255" t="n">
        <v>0</v>
      </c>
      <c r="L255" t="n">
        <v>0</v>
      </c>
      <c r="M255" t="n">
        <v>0</v>
      </c>
      <c r="N255" t="n">
        <v>0</v>
      </c>
      <c r="O255" t="n">
        <v>0</v>
      </c>
      <c r="P255" t="n">
        <v>0</v>
      </c>
      <c r="Q255" t="n">
        <v>0</v>
      </c>
      <c r="R255" s="2" t="inlineStr"/>
    </row>
    <row r="256" ht="15" customHeight="1">
      <c r="A256" t="inlineStr">
        <is>
          <t>A 21651-2025</t>
        </is>
      </c>
      <c r="B256" s="1" t="n">
        <v>45783</v>
      </c>
      <c r="C256" s="1" t="n">
        <v>46073</v>
      </c>
      <c r="D256" t="inlineStr">
        <is>
          <t>GOTLANDS LÄN</t>
        </is>
      </c>
      <c r="E256" t="inlineStr">
        <is>
          <t>GOTLAND</t>
        </is>
      </c>
      <c r="G256" t="n">
        <v>4.2</v>
      </c>
      <c r="H256" t="n">
        <v>0</v>
      </c>
      <c r="I256" t="n">
        <v>0</v>
      </c>
      <c r="J256" t="n">
        <v>0</v>
      </c>
      <c r="K256" t="n">
        <v>0</v>
      </c>
      <c r="L256" t="n">
        <v>0</v>
      </c>
      <c r="M256" t="n">
        <v>0</v>
      </c>
      <c r="N256" t="n">
        <v>0</v>
      </c>
      <c r="O256" t="n">
        <v>0</v>
      </c>
      <c r="P256" t="n">
        <v>0</v>
      </c>
      <c r="Q256" t="n">
        <v>0</v>
      </c>
      <c r="R256" s="2" t="inlineStr"/>
    </row>
    <row r="257" ht="15" customHeight="1">
      <c r="A257" t="inlineStr">
        <is>
          <t>A 49314-2024</t>
        </is>
      </c>
      <c r="B257" s="1" t="n">
        <v>45595.55893518519</v>
      </c>
      <c r="C257" s="1" t="n">
        <v>46073</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30135-2025</t>
        </is>
      </c>
      <c r="B258" s="1" t="n">
        <v>45826</v>
      </c>
      <c r="C258" s="1" t="n">
        <v>46073</v>
      </c>
      <c r="D258" t="inlineStr">
        <is>
          <t>GOTLANDS LÄN</t>
        </is>
      </c>
      <c r="E258" t="inlineStr">
        <is>
          <t>GOTLAND</t>
        </is>
      </c>
      <c r="G258" t="n">
        <v>2.7</v>
      </c>
      <c r="H258" t="n">
        <v>0</v>
      </c>
      <c r="I258" t="n">
        <v>0</v>
      </c>
      <c r="J258" t="n">
        <v>0</v>
      </c>
      <c r="K258" t="n">
        <v>0</v>
      </c>
      <c r="L258" t="n">
        <v>0</v>
      </c>
      <c r="M258" t="n">
        <v>0</v>
      </c>
      <c r="N258" t="n">
        <v>0</v>
      </c>
      <c r="O258" t="n">
        <v>0</v>
      </c>
      <c r="P258" t="n">
        <v>0</v>
      </c>
      <c r="Q258" t="n">
        <v>0</v>
      </c>
      <c r="R258" s="2" t="inlineStr"/>
    </row>
    <row r="259" ht="15" customHeight="1">
      <c r="A259" t="inlineStr">
        <is>
          <t>A 12599-2025</t>
        </is>
      </c>
      <c r="B259" s="1" t="n">
        <v>45733.29546296296</v>
      </c>
      <c r="C259" s="1" t="n">
        <v>46073</v>
      </c>
      <c r="D259" t="inlineStr">
        <is>
          <t>GOTLANDS LÄN</t>
        </is>
      </c>
      <c r="E259" t="inlineStr">
        <is>
          <t>GOTLAND</t>
        </is>
      </c>
      <c r="G259" t="n">
        <v>4.7</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46073</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44919-2022</t>
        </is>
      </c>
      <c r="B261" s="1" t="n">
        <v>44841</v>
      </c>
      <c r="C261" s="1" t="n">
        <v>46073</v>
      </c>
      <c r="D261" t="inlineStr">
        <is>
          <t>GOTLANDS LÄN</t>
        </is>
      </c>
      <c r="E261" t="inlineStr">
        <is>
          <t>GOTLAND</t>
        </is>
      </c>
      <c r="G261" t="n">
        <v>2.2</v>
      </c>
      <c r="H261" t="n">
        <v>0</v>
      </c>
      <c r="I261" t="n">
        <v>0</v>
      </c>
      <c r="J261" t="n">
        <v>0</v>
      </c>
      <c r="K261" t="n">
        <v>0</v>
      </c>
      <c r="L261" t="n">
        <v>0</v>
      </c>
      <c r="M261" t="n">
        <v>0</v>
      </c>
      <c r="N261" t="n">
        <v>0</v>
      </c>
      <c r="O261" t="n">
        <v>0</v>
      </c>
      <c r="P261" t="n">
        <v>0</v>
      </c>
      <c r="Q261" t="n">
        <v>0</v>
      </c>
      <c r="R261" s="2" t="inlineStr"/>
    </row>
    <row r="262" ht="15" customHeight="1">
      <c r="A262" t="inlineStr">
        <is>
          <t>A 35142-2025</t>
        </is>
      </c>
      <c r="B262" s="1" t="n">
        <v>45852.65532407408</v>
      </c>
      <c r="C262" s="1" t="n">
        <v>46073</v>
      </c>
      <c r="D262" t="inlineStr">
        <is>
          <t>GOTLANDS LÄN</t>
        </is>
      </c>
      <c r="E262" t="inlineStr">
        <is>
          <t>GOTLAND</t>
        </is>
      </c>
      <c r="G262" t="n">
        <v>2.4</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46073</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46073</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47578-2025</t>
        </is>
      </c>
      <c r="B265" s="1" t="n">
        <v>45931</v>
      </c>
      <c r="C265" s="1" t="n">
        <v>46073</v>
      </c>
      <c r="D265" t="inlineStr">
        <is>
          <t>GOTLANDS LÄN</t>
        </is>
      </c>
      <c r="E265" t="inlineStr">
        <is>
          <t>GOTLAND</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39814-2025</t>
        </is>
      </c>
      <c r="B266" s="1" t="n">
        <v>45891.52694444444</v>
      </c>
      <c r="C266" s="1" t="n">
        <v>46073</v>
      </c>
      <c r="D266" t="inlineStr">
        <is>
          <t>GOTLANDS LÄN</t>
        </is>
      </c>
      <c r="E266" t="inlineStr">
        <is>
          <t>GOTLAND</t>
        </is>
      </c>
      <c r="G266" t="n">
        <v>4.5</v>
      </c>
      <c r="H266" t="n">
        <v>0</v>
      </c>
      <c r="I266" t="n">
        <v>0</v>
      </c>
      <c r="J266" t="n">
        <v>0</v>
      </c>
      <c r="K266" t="n">
        <v>0</v>
      </c>
      <c r="L266" t="n">
        <v>0</v>
      </c>
      <c r="M266" t="n">
        <v>0</v>
      </c>
      <c r="N266" t="n">
        <v>0</v>
      </c>
      <c r="O266" t="n">
        <v>0</v>
      </c>
      <c r="P266" t="n">
        <v>0</v>
      </c>
      <c r="Q266" t="n">
        <v>0</v>
      </c>
      <c r="R266" s="2" t="inlineStr"/>
    </row>
    <row r="267" ht="15" customHeight="1">
      <c r="A267" t="inlineStr">
        <is>
          <t>A 65901-2021</t>
        </is>
      </c>
      <c r="B267" s="1" t="n">
        <v>44516</v>
      </c>
      <c r="C267" s="1" t="n">
        <v>46073</v>
      </c>
      <c r="D267" t="inlineStr">
        <is>
          <t>GOTLANDS LÄN</t>
        </is>
      </c>
      <c r="E267" t="inlineStr">
        <is>
          <t>GOTLAND</t>
        </is>
      </c>
      <c r="G267" t="n">
        <v>4.9</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46073</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46073</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46073</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46073</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46073</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40499-2025</t>
        </is>
      </c>
      <c r="B273" s="1" t="n">
        <v>45896.32517361111</v>
      </c>
      <c r="C273" s="1" t="n">
        <v>46073</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40372-2025</t>
        </is>
      </c>
      <c r="B274" s="1" t="n">
        <v>45895.5162037037</v>
      </c>
      <c r="C274" s="1" t="n">
        <v>46073</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57356-2023</t>
        </is>
      </c>
      <c r="B275" s="1" t="n">
        <v>45240</v>
      </c>
      <c r="C275" s="1" t="n">
        <v>46073</v>
      </c>
      <c r="D275" t="inlineStr">
        <is>
          <t>GOTLANDS LÄN</t>
        </is>
      </c>
      <c r="E275" t="inlineStr">
        <is>
          <t>GOTLAND</t>
        </is>
      </c>
      <c r="G275" t="n">
        <v>6.4</v>
      </c>
      <c r="H275" t="n">
        <v>0</v>
      </c>
      <c r="I275" t="n">
        <v>0</v>
      </c>
      <c r="J275" t="n">
        <v>0</v>
      </c>
      <c r="K275" t="n">
        <v>0</v>
      </c>
      <c r="L275" t="n">
        <v>0</v>
      </c>
      <c r="M275" t="n">
        <v>0</v>
      </c>
      <c r="N275" t="n">
        <v>0</v>
      </c>
      <c r="O275" t="n">
        <v>0</v>
      </c>
      <c r="P275" t="n">
        <v>0</v>
      </c>
      <c r="Q275" t="n">
        <v>0</v>
      </c>
      <c r="R275" s="2" t="inlineStr"/>
    </row>
    <row r="276" ht="15" customHeight="1">
      <c r="A276" t="inlineStr">
        <is>
          <t>A 44649-2021</t>
        </is>
      </c>
      <c r="B276" s="1" t="n">
        <v>44437</v>
      </c>
      <c r="C276" s="1" t="n">
        <v>46073</v>
      </c>
      <c r="D276" t="inlineStr">
        <is>
          <t>GOTLANDS LÄN</t>
        </is>
      </c>
      <c r="E276" t="inlineStr">
        <is>
          <t>GOTLAND</t>
        </is>
      </c>
      <c r="G276" t="n">
        <v>8.1</v>
      </c>
      <c r="H276" t="n">
        <v>0</v>
      </c>
      <c r="I276" t="n">
        <v>0</v>
      </c>
      <c r="J276" t="n">
        <v>0</v>
      </c>
      <c r="K276" t="n">
        <v>0</v>
      </c>
      <c r="L276" t="n">
        <v>0</v>
      </c>
      <c r="M276" t="n">
        <v>0</v>
      </c>
      <c r="N276" t="n">
        <v>0</v>
      </c>
      <c r="O276" t="n">
        <v>0</v>
      </c>
      <c r="P276" t="n">
        <v>0</v>
      </c>
      <c r="Q276" t="n">
        <v>0</v>
      </c>
      <c r="R276" s="2" t="inlineStr"/>
    </row>
    <row r="277" ht="15" customHeight="1">
      <c r="A277" t="inlineStr">
        <is>
          <t>A 10656-2024</t>
        </is>
      </c>
      <c r="B277" s="1" t="n">
        <v>45368</v>
      </c>
      <c r="C277" s="1" t="n">
        <v>46073</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9947-2024</t>
        </is>
      </c>
      <c r="B278" s="1" t="n">
        <v>45363</v>
      </c>
      <c r="C278" s="1" t="n">
        <v>46073</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28506-2023</t>
        </is>
      </c>
      <c r="B279" s="1" t="n">
        <v>45103</v>
      </c>
      <c r="C279" s="1" t="n">
        <v>46073</v>
      </c>
      <c r="D279" t="inlineStr">
        <is>
          <t>GOTLANDS LÄN</t>
        </is>
      </c>
      <c r="E279" t="inlineStr">
        <is>
          <t>GOTLAND</t>
        </is>
      </c>
      <c r="G279" t="n">
        <v>3.2</v>
      </c>
      <c r="H279" t="n">
        <v>0</v>
      </c>
      <c r="I279" t="n">
        <v>0</v>
      </c>
      <c r="J279" t="n">
        <v>0</v>
      </c>
      <c r="K279" t="n">
        <v>0</v>
      </c>
      <c r="L279" t="n">
        <v>0</v>
      </c>
      <c r="M279" t="n">
        <v>0</v>
      </c>
      <c r="N279" t="n">
        <v>0</v>
      </c>
      <c r="O279" t="n">
        <v>0</v>
      </c>
      <c r="P279" t="n">
        <v>0</v>
      </c>
      <c r="Q279" t="n">
        <v>0</v>
      </c>
      <c r="R279" s="2" t="inlineStr"/>
    </row>
    <row r="280" ht="15" customHeight="1">
      <c r="A280" t="inlineStr">
        <is>
          <t>A 39278-2025</t>
        </is>
      </c>
      <c r="B280" s="1" t="n">
        <v>45889</v>
      </c>
      <c r="C280" s="1" t="n">
        <v>46073</v>
      </c>
      <c r="D280" t="inlineStr">
        <is>
          <t>GOTLANDS LÄN</t>
        </is>
      </c>
      <c r="E280" t="inlineStr">
        <is>
          <t>GOTLAND</t>
        </is>
      </c>
      <c r="G280" t="n">
        <v>3.7</v>
      </c>
      <c r="H280" t="n">
        <v>0</v>
      </c>
      <c r="I280" t="n">
        <v>0</v>
      </c>
      <c r="J280" t="n">
        <v>0</v>
      </c>
      <c r="K280" t="n">
        <v>0</v>
      </c>
      <c r="L280" t="n">
        <v>0</v>
      </c>
      <c r="M280" t="n">
        <v>0</v>
      </c>
      <c r="N280" t="n">
        <v>0</v>
      </c>
      <c r="O280" t="n">
        <v>0</v>
      </c>
      <c r="P280" t="n">
        <v>0</v>
      </c>
      <c r="Q280" t="n">
        <v>0</v>
      </c>
      <c r="R280" s="2" t="inlineStr"/>
    </row>
    <row r="281" ht="15" customHeight="1">
      <c r="A281" t="inlineStr">
        <is>
          <t>A 21420-2024</t>
        </is>
      </c>
      <c r="B281" s="1" t="n">
        <v>45441.38293981482</v>
      </c>
      <c r="C281" s="1" t="n">
        <v>46073</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23188-2025</t>
        </is>
      </c>
      <c r="B282" s="1" t="n">
        <v>45791</v>
      </c>
      <c r="C282" s="1" t="n">
        <v>46073</v>
      </c>
      <c r="D282" t="inlineStr">
        <is>
          <t>GOTLANDS LÄN</t>
        </is>
      </c>
      <c r="E282" t="inlineStr">
        <is>
          <t>GOTLAND</t>
        </is>
      </c>
      <c r="G282" t="n">
        <v>6.2</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46073</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46073</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23473-2025</t>
        </is>
      </c>
      <c r="B285" s="1" t="n">
        <v>45792</v>
      </c>
      <c r="C285" s="1" t="n">
        <v>46073</v>
      </c>
      <c r="D285" t="inlineStr">
        <is>
          <t>GOTLANDS LÄN</t>
        </is>
      </c>
      <c r="E285" t="inlineStr">
        <is>
          <t>GOTLAND</t>
        </is>
      </c>
      <c r="G285" t="n">
        <v>3.6</v>
      </c>
      <c r="H285" t="n">
        <v>0</v>
      </c>
      <c r="I285" t="n">
        <v>0</v>
      </c>
      <c r="J285" t="n">
        <v>0</v>
      </c>
      <c r="K285" t="n">
        <v>0</v>
      </c>
      <c r="L285" t="n">
        <v>0</v>
      </c>
      <c r="M285" t="n">
        <v>0</v>
      </c>
      <c r="N285" t="n">
        <v>0</v>
      </c>
      <c r="O285" t="n">
        <v>0</v>
      </c>
      <c r="P285" t="n">
        <v>0</v>
      </c>
      <c r="Q285" t="n">
        <v>0</v>
      </c>
      <c r="R285" s="2" t="inlineStr"/>
    </row>
    <row r="286" ht="15" customHeight="1">
      <c r="A286" t="inlineStr">
        <is>
          <t>A 41435-2025</t>
        </is>
      </c>
      <c r="B286" s="1" t="n">
        <v>45901.39974537037</v>
      </c>
      <c r="C286" s="1" t="n">
        <v>46073</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27593-2023</t>
        </is>
      </c>
      <c r="B287" s="1" t="n">
        <v>45097</v>
      </c>
      <c r="C287" s="1" t="n">
        <v>46073</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23856-2025</t>
        </is>
      </c>
      <c r="B288" s="1" t="n">
        <v>45793</v>
      </c>
      <c r="C288" s="1" t="n">
        <v>46073</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41551-2025</t>
        </is>
      </c>
      <c r="B289" s="1" t="n">
        <v>45901.58854166666</v>
      </c>
      <c r="C289" s="1" t="n">
        <v>46073</v>
      </c>
      <c r="D289" t="inlineStr">
        <is>
          <t>GOTLANDS LÄN</t>
        </is>
      </c>
      <c r="E289" t="inlineStr">
        <is>
          <t>GOTLAND</t>
        </is>
      </c>
      <c r="G289" t="n">
        <v>5.6</v>
      </c>
      <c r="H289" t="n">
        <v>0</v>
      </c>
      <c r="I289" t="n">
        <v>0</v>
      </c>
      <c r="J289" t="n">
        <v>0</v>
      </c>
      <c r="K289" t="n">
        <v>0</v>
      </c>
      <c r="L289" t="n">
        <v>0</v>
      </c>
      <c r="M289" t="n">
        <v>0</v>
      </c>
      <c r="N289" t="n">
        <v>0</v>
      </c>
      <c r="O289" t="n">
        <v>0</v>
      </c>
      <c r="P289" t="n">
        <v>0</v>
      </c>
      <c r="Q289" t="n">
        <v>0</v>
      </c>
      <c r="R289" s="2" t="inlineStr"/>
    </row>
    <row r="290" ht="15" customHeight="1">
      <c r="A290" t="inlineStr">
        <is>
          <t>A 15073-2025</t>
        </is>
      </c>
      <c r="B290" s="1" t="n">
        <v>45743</v>
      </c>
      <c r="C290" s="1" t="n">
        <v>46073</v>
      </c>
      <c r="D290" t="inlineStr">
        <is>
          <t>GOTLANDS LÄN</t>
        </is>
      </c>
      <c r="E290" t="inlineStr">
        <is>
          <t>GOTLAND</t>
        </is>
      </c>
      <c r="G290" t="n">
        <v>12.1</v>
      </c>
      <c r="H290" t="n">
        <v>0</v>
      </c>
      <c r="I290" t="n">
        <v>0</v>
      </c>
      <c r="J290" t="n">
        <v>0</v>
      </c>
      <c r="K290" t="n">
        <v>0</v>
      </c>
      <c r="L290" t="n">
        <v>0</v>
      </c>
      <c r="M290" t="n">
        <v>0</v>
      </c>
      <c r="N290" t="n">
        <v>0</v>
      </c>
      <c r="O290" t="n">
        <v>0</v>
      </c>
      <c r="P290" t="n">
        <v>0</v>
      </c>
      <c r="Q290" t="n">
        <v>0</v>
      </c>
      <c r="R290" s="2" t="inlineStr"/>
    </row>
    <row r="291" ht="15" customHeight="1">
      <c r="A291" t="inlineStr">
        <is>
          <t>A 49724-2025</t>
        </is>
      </c>
      <c r="B291" s="1" t="n">
        <v>45939.83730324074</v>
      </c>
      <c r="C291" s="1" t="n">
        <v>46073</v>
      </c>
      <c r="D291" t="inlineStr">
        <is>
          <t>GOTLANDS LÄN</t>
        </is>
      </c>
      <c r="E291" t="inlineStr">
        <is>
          <t>GOTLAND</t>
        </is>
      </c>
      <c r="F291" t="inlineStr">
        <is>
          <t>Kyrkan</t>
        </is>
      </c>
      <c r="G291" t="n">
        <v>3.1</v>
      </c>
      <c r="H291" t="n">
        <v>0</v>
      </c>
      <c r="I291" t="n">
        <v>0</v>
      </c>
      <c r="J291" t="n">
        <v>0</v>
      </c>
      <c r="K291" t="n">
        <v>0</v>
      </c>
      <c r="L291" t="n">
        <v>0</v>
      </c>
      <c r="M291" t="n">
        <v>0</v>
      </c>
      <c r="N291" t="n">
        <v>0</v>
      </c>
      <c r="O291" t="n">
        <v>0</v>
      </c>
      <c r="P291" t="n">
        <v>0</v>
      </c>
      <c r="Q291" t="n">
        <v>0</v>
      </c>
      <c r="R291" s="2" t="inlineStr"/>
    </row>
    <row r="292" ht="15" customHeight="1">
      <c r="A292" t="inlineStr">
        <is>
          <t>A 49730-2025</t>
        </is>
      </c>
      <c r="B292" s="1" t="n">
        <v>45939.87613425926</v>
      </c>
      <c r="C292" s="1" t="n">
        <v>46073</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49690-2025</t>
        </is>
      </c>
      <c r="B293" s="1" t="n">
        <v>45939.66730324074</v>
      </c>
      <c r="C293" s="1" t="n">
        <v>46073</v>
      </c>
      <c r="D293" t="inlineStr">
        <is>
          <t>GOTLANDS LÄN</t>
        </is>
      </c>
      <c r="E293" t="inlineStr">
        <is>
          <t>GOTLAND</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33011-2025</t>
        </is>
      </c>
      <c r="B294" s="1" t="n">
        <v>45840</v>
      </c>
      <c r="C294" s="1" t="n">
        <v>46073</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50421-2025</t>
        </is>
      </c>
      <c r="B295" s="1" t="n">
        <v>45944.66049768519</v>
      </c>
      <c r="C295" s="1" t="n">
        <v>46073</v>
      </c>
      <c r="D295" t="inlineStr">
        <is>
          <t>GOTLANDS LÄN</t>
        </is>
      </c>
      <c r="E295" t="inlineStr">
        <is>
          <t>GOTLAND</t>
        </is>
      </c>
      <c r="G295" t="n">
        <v>3.9</v>
      </c>
      <c r="H295" t="n">
        <v>0</v>
      </c>
      <c r="I295" t="n">
        <v>0</v>
      </c>
      <c r="J295" t="n">
        <v>0</v>
      </c>
      <c r="K295" t="n">
        <v>0</v>
      </c>
      <c r="L295" t="n">
        <v>0</v>
      </c>
      <c r="M295" t="n">
        <v>0</v>
      </c>
      <c r="N295" t="n">
        <v>0</v>
      </c>
      <c r="O295" t="n">
        <v>0</v>
      </c>
      <c r="P295" t="n">
        <v>0</v>
      </c>
      <c r="Q295" t="n">
        <v>0</v>
      </c>
      <c r="R295" s="2" t="inlineStr"/>
    </row>
    <row r="296" ht="15" customHeight="1">
      <c r="A296" t="inlineStr">
        <is>
          <t>A 63516-2023</t>
        </is>
      </c>
      <c r="B296" s="1" t="n">
        <v>45274</v>
      </c>
      <c r="C296" s="1" t="n">
        <v>46073</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50431-2025</t>
        </is>
      </c>
      <c r="B297" s="1" t="n">
        <v>45944.68453703704</v>
      </c>
      <c r="C297" s="1" t="n">
        <v>46073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50928-2025</t>
        </is>
      </c>
      <c r="B298" s="1" t="n">
        <v>45946.67896990741</v>
      </c>
      <c r="C298" s="1" t="n">
        <v>46073</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6749-2025</t>
        </is>
      </c>
      <c r="B299" s="1" t="n">
        <v>45700</v>
      </c>
      <c r="C299" s="1" t="n">
        <v>46073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23698-2025</t>
        </is>
      </c>
      <c r="B300" s="1" t="n">
        <v>45793</v>
      </c>
      <c r="C300" s="1" t="n">
        <v>46073</v>
      </c>
      <c r="D300" t="inlineStr">
        <is>
          <t>GOTLANDS LÄN</t>
        </is>
      </c>
      <c r="E300" t="inlineStr">
        <is>
          <t>GOTLAND</t>
        </is>
      </c>
      <c r="G300" t="n">
        <v>0.8</v>
      </c>
      <c r="H300" t="n">
        <v>0</v>
      </c>
      <c r="I300" t="n">
        <v>0</v>
      </c>
      <c r="J300" t="n">
        <v>0</v>
      </c>
      <c r="K300" t="n">
        <v>0</v>
      </c>
      <c r="L300" t="n">
        <v>0</v>
      </c>
      <c r="M300" t="n">
        <v>0</v>
      </c>
      <c r="N300" t="n">
        <v>0</v>
      </c>
      <c r="O300" t="n">
        <v>0</v>
      </c>
      <c r="P300" t="n">
        <v>0</v>
      </c>
      <c r="Q300" t="n">
        <v>0</v>
      </c>
      <c r="R300" s="2" t="inlineStr"/>
    </row>
    <row r="301" ht="15" customHeight="1">
      <c r="A301" t="inlineStr">
        <is>
          <t>A 24001-2021</t>
        </is>
      </c>
      <c r="B301" s="1" t="n">
        <v>44335</v>
      </c>
      <c r="C301" s="1" t="n">
        <v>46073</v>
      </c>
      <c r="D301" t="inlineStr">
        <is>
          <t>GOTLANDS LÄN</t>
        </is>
      </c>
      <c r="E301" t="inlineStr">
        <is>
          <t>GOTLAND</t>
        </is>
      </c>
      <c r="G301" t="n">
        <v>3.4</v>
      </c>
      <c r="H301" t="n">
        <v>0</v>
      </c>
      <c r="I301" t="n">
        <v>0</v>
      </c>
      <c r="J301" t="n">
        <v>0</v>
      </c>
      <c r="K301" t="n">
        <v>0</v>
      </c>
      <c r="L301" t="n">
        <v>0</v>
      </c>
      <c r="M301" t="n">
        <v>0</v>
      </c>
      <c r="N301" t="n">
        <v>0</v>
      </c>
      <c r="O301" t="n">
        <v>0</v>
      </c>
      <c r="P301" t="n">
        <v>0</v>
      </c>
      <c r="Q301" t="n">
        <v>0</v>
      </c>
      <c r="R301" s="2" t="inlineStr"/>
    </row>
    <row r="302" ht="15" customHeight="1">
      <c r="A302" t="inlineStr">
        <is>
          <t>A 51262-2025</t>
        </is>
      </c>
      <c r="B302" s="1" t="n">
        <v>45949.49872685185</v>
      </c>
      <c r="C302" s="1" t="n">
        <v>46073</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30365-2024</t>
        </is>
      </c>
      <c r="B303" s="1" t="n">
        <v>45491.3716087963</v>
      </c>
      <c r="C303" s="1" t="n">
        <v>46073</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42608-2025</t>
        </is>
      </c>
      <c r="B304" s="1" t="n">
        <v>45905</v>
      </c>
      <c r="C304" s="1" t="n">
        <v>46073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1681-2023</t>
        </is>
      </c>
      <c r="B305" s="1" t="n">
        <v>44938.39715277778</v>
      </c>
      <c r="C305" s="1" t="n">
        <v>46073</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52249-2025</t>
        </is>
      </c>
      <c r="B306" s="1" t="n">
        <v>45953.48637731482</v>
      </c>
      <c r="C306" s="1" t="n">
        <v>46073</v>
      </c>
      <c r="D306" t="inlineStr">
        <is>
          <t>GOTLANDS LÄN</t>
        </is>
      </c>
      <c r="E306" t="inlineStr">
        <is>
          <t>GOTLAND</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52637-2025</t>
        </is>
      </c>
      <c r="B307" s="1" t="n">
        <v>45954.75099537037</v>
      </c>
      <c r="C307" s="1" t="n">
        <v>46073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6099-2024</t>
        </is>
      </c>
      <c r="B308" s="1" t="n">
        <v>45337</v>
      </c>
      <c r="C308" s="1" t="n">
        <v>46073</v>
      </c>
      <c r="D308" t="inlineStr">
        <is>
          <t>GOTLANDS LÄN</t>
        </is>
      </c>
      <c r="E308" t="inlineStr">
        <is>
          <t>GOTLAND</t>
        </is>
      </c>
      <c r="G308" t="n">
        <v>12.6</v>
      </c>
      <c r="H308" t="n">
        <v>0</v>
      </c>
      <c r="I308" t="n">
        <v>0</v>
      </c>
      <c r="J308" t="n">
        <v>0</v>
      </c>
      <c r="K308" t="n">
        <v>0</v>
      </c>
      <c r="L308" t="n">
        <v>0</v>
      </c>
      <c r="M308" t="n">
        <v>0</v>
      </c>
      <c r="N308" t="n">
        <v>0</v>
      </c>
      <c r="O308" t="n">
        <v>0</v>
      </c>
      <c r="P308" t="n">
        <v>0</v>
      </c>
      <c r="Q308" t="n">
        <v>0</v>
      </c>
      <c r="R308" s="2" t="inlineStr"/>
    </row>
    <row r="309" ht="15" customHeight="1">
      <c r="A309" t="inlineStr">
        <is>
          <t>A 16373-2025</t>
        </is>
      </c>
      <c r="B309" s="1" t="n">
        <v>45751</v>
      </c>
      <c r="C309" s="1" t="n">
        <v>46073</v>
      </c>
      <c r="D309" t="inlineStr">
        <is>
          <t>GOTLANDS LÄN</t>
        </is>
      </c>
      <c r="E309" t="inlineStr">
        <is>
          <t>GOTLAND</t>
        </is>
      </c>
      <c r="G309" t="n">
        <v>1.5</v>
      </c>
      <c r="H309" t="n">
        <v>0</v>
      </c>
      <c r="I309" t="n">
        <v>0</v>
      </c>
      <c r="J309" t="n">
        <v>0</v>
      </c>
      <c r="K309" t="n">
        <v>0</v>
      </c>
      <c r="L309" t="n">
        <v>0</v>
      </c>
      <c r="M309" t="n">
        <v>0</v>
      </c>
      <c r="N309" t="n">
        <v>0</v>
      </c>
      <c r="O309" t="n">
        <v>0</v>
      </c>
      <c r="P309" t="n">
        <v>0</v>
      </c>
      <c r="Q309" t="n">
        <v>0</v>
      </c>
      <c r="R309" s="2" t="inlineStr"/>
    </row>
    <row r="310" ht="15" customHeight="1">
      <c r="A310" t="inlineStr">
        <is>
          <t>A 53569-2025</t>
        </is>
      </c>
      <c r="B310" s="1" t="n">
        <v>45960.41155092593</v>
      </c>
      <c r="C310" s="1" t="n">
        <v>46073</v>
      </c>
      <c r="D310" t="inlineStr">
        <is>
          <t>GOTLANDS LÄN</t>
        </is>
      </c>
      <c r="E310" t="inlineStr">
        <is>
          <t>GOTLAND</t>
        </is>
      </c>
      <c r="F310" t="inlineStr">
        <is>
          <t>Övriga Aktiebolag</t>
        </is>
      </c>
      <c r="G310" t="n">
        <v>11.3</v>
      </c>
      <c r="H310" t="n">
        <v>0</v>
      </c>
      <c r="I310" t="n">
        <v>0</v>
      </c>
      <c r="J310" t="n">
        <v>0</v>
      </c>
      <c r="K310" t="n">
        <v>0</v>
      </c>
      <c r="L310" t="n">
        <v>0</v>
      </c>
      <c r="M310" t="n">
        <v>0</v>
      </c>
      <c r="N310" t="n">
        <v>0</v>
      </c>
      <c r="O310" t="n">
        <v>0</v>
      </c>
      <c r="P310" t="n">
        <v>0</v>
      </c>
      <c r="Q310" t="n">
        <v>0</v>
      </c>
      <c r="R310" s="2" t="inlineStr"/>
    </row>
    <row r="311" ht="15" customHeight="1">
      <c r="A311" t="inlineStr">
        <is>
          <t>A 1273-2023</t>
        </is>
      </c>
      <c r="B311" s="1" t="n">
        <v>44936</v>
      </c>
      <c r="C311" s="1" t="n">
        <v>46073</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53577-2025</t>
        </is>
      </c>
      <c r="B312" s="1" t="n">
        <v>45960.42224537037</v>
      </c>
      <c r="C312" s="1" t="n">
        <v>46073</v>
      </c>
      <c r="D312" t="inlineStr">
        <is>
          <t>GOTLANDS LÄN</t>
        </is>
      </c>
      <c r="E312" t="inlineStr">
        <is>
          <t>GOTLAND</t>
        </is>
      </c>
      <c r="F312" t="inlineStr">
        <is>
          <t>Övriga Aktiebolag</t>
        </is>
      </c>
      <c r="G312" t="n">
        <v>3.3</v>
      </c>
      <c r="H312" t="n">
        <v>0</v>
      </c>
      <c r="I312" t="n">
        <v>0</v>
      </c>
      <c r="J312" t="n">
        <v>0</v>
      </c>
      <c r="K312" t="n">
        <v>0</v>
      </c>
      <c r="L312" t="n">
        <v>0</v>
      </c>
      <c r="M312" t="n">
        <v>0</v>
      </c>
      <c r="N312" t="n">
        <v>0</v>
      </c>
      <c r="O312" t="n">
        <v>0</v>
      </c>
      <c r="P312" t="n">
        <v>0</v>
      </c>
      <c r="Q312" t="n">
        <v>0</v>
      </c>
      <c r="R312" s="2" t="inlineStr"/>
    </row>
    <row r="313" ht="15" customHeight="1">
      <c r="A313" t="inlineStr">
        <is>
          <t>A 5462-2025</t>
        </is>
      </c>
      <c r="B313" s="1" t="n">
        <v>45693.29331018519</v>
      </c>
      <c r="C313" s="1" t="n">
        <v>46073</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58780-2024</t>
        </is>
      </c>
      <c r="B314" s="1" t="n">
        <v>45635.84113425926</v>
      </c>
      <c r="C314" s="1" t="n">
        <v>46073</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45692-2023</t>
        </is>
      </c>
      <c r="B315" s="1" t="n">
        <v>45195</v>
      </c>
      <c r="C315" s="1" t="n">
        <v>46073</v>
      </c>
      <c r="D315" t="inlineStr">
        <is>
          <t>GOTLANDS LÄN</t>
        </is>
      </c>
      <c r="E315" t="inlineStr">
        <is>
          <t>GOTLAND</t>
        </is>
      </c>
      <c r="G315" t="n">
        <v>5.3</v>
      </c>
      <c r="H315" t="n">
        <v>0</v>
      </c>
      <c r="I315" t="n">
        <v>0</v>
      </c>
      <c r="J315" t="n">
        <v>0</v>
      </c>
      <c r="K315" t="n">
        <v>0</v>
      </c>
      <c r="L315" t="n">
        <v>0</v>
      </c>
      <c r="M315" t="n">
        <v>0</v>
      </c>
      <c r="N315" t="n">
        <v>0</v>
      </c>
      <c r="O315" t="n">
        <v>0</v>
      </c>
      <c r="P315" t="n">
        <v>0</v>
      </c>
      <c r="Q315" t="n">
        <v>0</v>
      </c>
      <c r="R315" s="2" t="inlineStr"/>
    </row>
    <row r="316" ht="15" customHeight="1">
      <c r="A316" t="inlineStr">
        <is>
          <t>A 10158-2025</t>
        </is>
      </c>
      <c r="B316" s="1" t="n">
        <v>45719</v>
      </c>
      <c r="C316" s="1" t="n">
        <v>46073</v>
      </c>
      <c r="D316" t="inlineStr">
        <is>
          <t>GOTLANDS LÄN</t>
        </is>
      </c>
      <c r="E316" t="inlineStr">
        <is>
          <t>GOTLAND</t>
        </is>
      </c>
      <c r="G316" t="n">
        <v>3.5</v>
      </c>
      <c r="H316" t="n">
        <v>0</v>
      </c>
      <c r="I316" t="n">
        <v>0</v>
      </c>
      <c r="J316" t="n">
        <v>0</v>
      </c>
      <c r="K316" t="n">
        <v>0</v>
      </c>
      <c r="L316" t="n">
        <v>0</v>
      </c>
      <c r="M316" t="n">
        <v>0</v>
      </c>
      <c r="N316" t="n">
        <v>0</v>
      </c>
      <c r="O316" t="n">
        <v>0</v>
      </c>
      <c r="P316" t="n">
        <v>0</v>
      </c>
      <c r="Q316" t="n">
        <v>0</v>
      </c>
      <c r="R316" s="2" t="inlineStr"/>
    </row>
    <row r="317" ht="15" customHeight="1">
      <c r="A317" t="inlineStr">
        <is>
          <t>A 25796-2025</t>
        </is>
      </c>
      <c r="B317" s="1" t="n">
        <v>45804.39543981481</v>
      </c>
      <c r="C317" s="1" t="n">
        <v>46073</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33876-2024</t>
        </is>
      </c>
      <c r="B318" s="1" t="n">
        <v>45521.87988425926</v>
      </c>
      <c r="C318" s="1" t="n">
        <v>46073</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43911-2025</t>
        </is>
      </c>
      <c r="B319" s="1" t="n">
        <v>45914.3881712963</v>
      </c>
      <c r="C319" s="1" t="n">
        <v>46073</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46073</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43951-2025</t>
        </is>
      </c>
      <c r="B321" s="1" t="n">
        <v>45915.38119212963</v>
      </c>
      <c r="C321" s="1" t="n">
        <v>46073</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44405-2025</t>
        </is>
      </c>
      <c r="B322" s="1" t="n">
        <v>45916.52405092592</v>
      </c>
      <c r="C322" s="1" t="n">
        <v>46073</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28285-2024</t>
        </is>
      </c>
      <c r="B323" s="1" t="n">
        <v>45477</v>
      </c>
      <c r="C323" s="1" t="n">
        <v>46073</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61100-2022</t>
        </is>
      </c>
      <c r="B324" s="1" t="n">
        <v>44915</v>
      </c>
      <c r="C324" s="1" t="n">
        <v>46073</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61682-2024</t>
        </is>
      </c>
      <c r="B325" s="1" t="n">
        <v>45647.48824074074</v>
      </c>
      <c r="C325" s="1" t="n">
        <v>46073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26457-2025</t>
        </is>
      </c>
      <c r="B326" s="1" t="n">
        <v>45807.42773148148</v>
      </c>
      <c r="C326" s="1" t="n">
        <v>46073</v>
      </c>
      <c r="D326" t="inlineStr">
        <is>
          <t>GOTLANDS LÄN</t>
        </is>
      </c>
      <c r="E326" t="inlineStr">
        <is>
          <t>GOTLAND</t>
        </is>
      </c>
      <c r="G326" t="n">
        <v>5.7</v>
      </c>
      <c r="H326" t="n">
        <v>0</v>
      </c>
      <c r="I326" t="n">
        <v>0</v>
      </c>
      <c r="J326" t="n">
        <v>0</v>
      </c>
      <c r="K326" t="n">
        <v>0</v>
      </c>
      <c r="L326" t="n">
        <v>0</v>
      </c>
      <c r="M326" t="n">
        <v>0</v>
      </c>
      <c r="N326" t="n">
        <v>0</v>
      </c>
      <c r="O326" t="n">
        <v>0</v>
      </c>
      <c r="P326" t="n">
        <v>0</v>
      </c>
      <c r="Q326" t="n">
        <v>0</v>
      </c>
      <c r="R326" s="2" t="inlineStr"/>
    </row>
    <row r="327" ht="15" customHeight="1">
      <c r="A327" t="inlineStr">
        <is>
          <t>A 26467-2025</t>
        </is>
      </c>
      <c r="B327" s="1" t="n">
        <v>45807.44640046296</v>
      </c>
      <c r="C327" s="1" t="n">
        <v>46073</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26465-2025</t>
        </is>
      </c>
      <c r="B328" s="1" t="n">
        <v>45807.44377314814</v>
      </c>
      <c r="C328" s="1" t="n">
        <v>46073</v>
      </c>
      <c r="D328" t="inlineStr">
        <is>
          <t>GOTLANDS LÄN</t>
        </is>
      </c>
      <c r="E328" t="inlineStr">
        <is>
          <t>GOTLAND</t>
        </is>
      </c>
      <c r="G328" t="n">
        <v>4.5</v>
      </c>
      <c r="H328" t="n">
        <v>0</v>
      </c>
      <c r="I328" t="n">
        <v>0</v>
      </c>
      <c r="J328" t="n">
        <v>0</v>
      </c>
      <c r="K328" t="n">
        <v>0</v>
      </c>
      <c r="L328" t="n">
        <v>0</v>
      </c>
      <c r="M328" t="n">
        <v>0</v>
      </c>
      <c r="N328" t="n">
        <v>0</v>
      </c>
      <c r="O328" t="n">
        <v>0</v>
      </c>
      <c r="P328" t="n">
        <v>0</v>
      </c>
      <c r="Q328" t="n">
        <v>0</v>
      </c>
      <c r="R328" s="2" t="inlineStr"/>
    </row>
    <row r="329" ht="15" customHeight="1">
      <c r="A329" t="inlineStr">
        <is>
          <t>A 26660-2025</t>
        </is>
      </c>
      <c r="B329" s="1" t="n">
        <v>45810.39737268518</v>
      </c>
      <c r="C329" s="1" t="n">
        <v>46073</v>
      </c>
      <c r="D329" t="inlineStr">
        <is>
          <t>GOTLANDS LÄN</t>
        </is>
      </c>
      <c r="E329" t="inlineStr">
        <is>
          <t>GOTLAND</t>
        </is>
      </c>
      <c r="G329" t="n">
        <v>1.8</v>
      </c>
      <c r="H329" t="n">
        <v>0</v>
      </c>
      <c r="I329" t="n">
        <v>0</v>
      </c>
      <c r="J329" t="n">
        <v>0</v>
      </c>
      <c r="K329" t="n">
        <v>0</v>
      </c>
      <c r="L329" t="n">
        <v>0</v>
      </c>
      <c r="M329" t="n">
        <v>0</v>
      </c>
      <c r="N329" t="n">
        <v>0</v>
      </c>
      <c r="O329" t="n">
        <v>0</v>
      </c>
      <c r="P329" t="n">
        <v>0</v>
      </c>
      <c r="Q329" t="n">
        <v>0</v>
      </c>
      <c r="R329" s="2" t="inlineStr"/>
    </row>
    <row r="330" ht="15" customHeight="1">
      <c r="A330" t="inlineStr">
        <is>
          <t>A 58388-2022</t>
        </is>
      </c>
      <c r="B330" s="1" t="n">
        <v>44894</v>
      </c>
      <c r="C330" s="1" t="n">
        <v>46073</v>
      </c>
      <c r="D330" t="inlineStr">
        <is>
          <t>GOTLANDS LÄN</t>
        </is>
      </c>
      <c r="E330" t="inlineStr">
        <is>
          <t>GOTLAND</t>
        </is>
      </c>
      <c r="F330" t="inlineStr">
        <is>
          <t>Övriga statliga verk och myndigheter</t>
        </is>
      </c>
      <c r="G330" t="n">
        <v>3.1</v>
      </c>
      <c r="H330" t="n">
        <v>0</v>
      </c>
      <c r="I330" t="n">
        <v>0</v>
      </c>
      <c r="J330" t="n">
        <v>0</v>
      </c>
      <c r="K330" t="n">
        <v>0</v>
      </c>
      <c r="L330" t="n">
        <v>0</v>
      </c>
      <c r="M330" t="n">
        <v>0</v>
      </c>
      <c r="N330" t="n">
        <v>0</v>
      </c>
      <c r="O330" t="n">
        <v>0</v>
      </c>
      <c r="P330" t="n">
        <v>0</v>
      </c>
      <c r="Q330" t="n">
        <v>0</v>
      </c>
      <c r="R330" s="2" t="inlineStr"/>
    </row>
    <row r="331" ht="15" customHeight="1">
      <c r="A331" t="inlineStr">
        <is>
          <t>A 27371-2025</t>
        </is>
      </c>
      <c r="B331" s="1" t="n">
        <v>45812</v>
      </c>
      <c r="C331" s="1" t="n">
        <v>46073</v>
      </c>
      <c r="D331" t="inlineStr">
        <is>
          <t>GOTLANDS LÄN</t>
        </is>
      </c>
      <c r="E331" t="inlineStr">
        <is>
          <t>GOTLAND</t>
        </is>
      </c>
      <c r="G331" t="n">
        <v>8</v>
      </c>
      <c r="H331" t="n">
        <v>0</v>
      </c>
      <c r="I331" t="n">
        <v>0</v>
      </c>
      <c r="J331" t="n">
        <v>0</v>
      </c>
      <c r="K331" t="n">
        <v>0</v>
      </c>
      <c r="L331" t="n">
        <v>0</v>
      </c>
      <c r="M331" t="n">
        <v>0</v>
      </c>
      <c r="N331" t="n">
        <v>0</v>
      </c>
      <c r="O331" t="n">
        <v>0</v>
      </c>
      <c r="P331" t="n">
        <v>0</v>
      </c>
      <c r="Q331" t="n">
        <v>0</v>
      </c>
      <c r="R331" s="2" t="inlineStr"/>
    </row>
    <row r="332" ht="15" customHeight="1">
      <c r="A332" t="inlineStr">
        <is>
          <t>A 27355-2025</t>
        </is>
      </c>
      <c r="B332" s="1" t="n">
        <v>45812</v>
      </c>
      <c r="C332" s="1" t="n">
        <v>46073</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21792-2024</t>
        </is>
      </c>
      <c r="B333" s="1" t="n">
        <v>45442.64326388889</v>
      </c>
      <c r="C333" s="1" t="n">
        <v>46073</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46073</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6739-2025</t>
        </is>
      </c>
      <c r="B335" s="1" t="n">
        <v>45700</v>
      </c>
      <c r="C335" s="1" t="n">
        <v>46073</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7850-2025</t>
        </is>
      </c>
      <c r="B336" s="1" t="n">
        <v>45706</v>
      </c>
      <c r="C336" s="1" t="n">
        <v>46073</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8444-2025</t>
        </is>
      </c>
      <c r="B337" s="1" t="n">
        <v>45709</v>
      </c>
      <c r="C337" s="1" t="n">
        <v>46073</v>
      </c>
      <c r="D337" t="inlineStr">
        <is>
          <t>GOTLANDS LÄN</t>
        </is>
      </c>
      <c r="E337" t="inlineStr">
        <is>
          <t>GOTLAND</t>
        </is>
      </c>
      <c r="G337" t="n">
        <v>5.2</v>
      </c>
      <c r="H337" t="n">
        <v>0</v>
      </c>
      <c r="I337" t="n">
        <v>0</v>
      </c>
      <c r="J337" t="n">
        <v>0</v>
      </c>
      <c r="K337" t="n">
        <v>0</v>
      </c>
      <c r="L337" t="n">
        <v>0</v>
      </c>
      <c r="M337" t="n">
        <v>0</v>
      </c>
      <c r="N337" t="n">
        <v>0</v>
      </c>
      <c r="O337" t="n">
        <v>0</v>
      </c>
      <c r="P337" t="n">
        <v>0</v>
      </c>
      <c r="Q337" t="n">
        <v>0</v>
      </c>
      <c r="R337" s="2" t="inlineStr"/>
    </row>
    <row r="338" ht="15" customHeight="1">
      <c r="A338" t="inlineStr">
        <is>
          <t>A 46836-2025</t>
        </is>
      </c>
      <c r="B338" s="1" t="n">
        <v>45928.31511574074</v>
      </c>
      <c r="C338" s="1" t="n">
        <v>46073</v>
      </c>
      <c r="D338" t="inlineStr">
        <is>
          <t>GOTLANDS LÄN</t>
        </is>
      </c>
      <c r="E338" t="inlineStr">
        <is>
          <t>GOTLAND</t>
        </is>
      </c>
      <c r="G338" t="n">
        <v>2.8</v>
      </c>
      <c r="H338" t="n">
        <v>0</v>
      </c>
      <c r="I338" t="n">
        <v>0</v>
      </c>
      <c r="J338" t="n">
        <v>0</v>
      </c>
      <c r="K338" t="n">
        <v>0</v>
      </c>
      <c r="L338" t="n">
        <v>0</v>
      </c>
      <c r="M338" t="n">
        <v>0</v>
      </c>
      <c r="N338" t="n">
        <v>0</v>
      </c>
      <c r="O338" t="n">
        <v>0</v>
      </c>
      <c r="P338" t="n">
        <v>0</v>
      </c>
      <c r="Q338" t="n">
        <v>0</v>
      </c>
      <c r="R338" s="2" t="inlineStr"/>
    </row>
    <row r="339" ht="15" customHeight="1">
      <c r="A339" t="inlineStr">
        <is>
          <t>A 17688-2024</t>
        </is>
      </c>
      <c r="B339" s="1" t="n">
        <v>45418.43575231481</v>
      </c>
      <c r="C339" s="1" t="n">
        <v>46073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7837-2024</t>
        </is>
      </c>
      <c r="B340" s="1" t="n">
        <v>45349.83787037037</v>
      </c>
      <c r="C340" s="1" t="n">
        <v>46073</v>
      </c>
      <c r="D340" t="inlineStr">
        <is>
          <t>GOTLANDS LÄN</t>
        </is>
      </c>
      <c r="E340" t="inlineStr">
        <is>
          <t>GOTLAND</t>
        </is>
      </c>
      <c r="G340" t="n">
        <v>5</v>
      </c>
      <c r="H340" t="n">
        <v>0</v>
      </c>
      <c r="I340" t="n">
        <v>0</v>
      </c>
      <c r="J340" t="n">
        <v>0</v>
      </c>
      <c r="K340" t="n">
        <v>0</v>
      </c>
      <c r="L340" t="n">
        <v>0</v>
      </c>
      <c r="M340" t="n">
        <v>0</v>
      </c>
      <c r="N340" t="n">
        <v>0</v>
      </c>
      <c r="O340" t="n">
        <v>0</v>
      </c>
      <c r="P340" t="n">
        <v>0</v>
      </c>
      <c r="Q340" t="n">
        <v>0</v>
      </c>
      <c r="R340" s="2" t="inlineStr"/>
    </row>
    <row r="341" ht="15" customHeight="1">
      <c r="A341" t="inlineStr">
        <is>
          <t>A 19905-2025</t>
        </is>
      </c>
      <c r="B341" s="1" t="n">
        <v>45771</v>
      </c>
      <c r="C341" s="1" t="n">
        <v>46073</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4568-2025</t>
        </is>
      </c>
      <c r="B342" s="1" t="n">
        <v>45687</v>
      </c>
      <c r="C342" s="1" t="n">
        <v>46073</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29196-2025</t>
        </is>
      </c>
      <c r="B343" s="1" t="n">
        <v>45822</v>
      </c>
      <c r="C343" s="1" t="n">
        <v>46073</v>
      </c>
      <c r="D343" t="inlineStr">
        <is>
          <t>GOTLANDS LÄN</t>
        </is>
      </c>
      <c r="E343" t="inlineStr">
        <is>
          <t>GOTLAND</t>
        </is>
      </c>
      <c r="G343" t="n">
        <v>0.5</v>
      </c>
      <c r="H343" t="n">
        <v>0</v>
      </c>
      <c r="I343" t="n">
        <v>0</v>
      </c>
      <c r="J343" t="n">
        <v>0</v>
      </c>
      <c r="K343" t="n">
        <v>0</v>
      </c>
      <c r="L343" t="n">
        <v>0</v>
      </c>
      <c r="M343" t="n">
        <v>0</v>
      </c>
      <c r="N343" t="n">
        <v>0</v>
      </c>
      <c r="O343" t="n">
        <v>0</v>
      </c>
      <c r="P343" t="n">
        <v>0</v>
      </c>
      <c r="Q343" t="n">
        <v>0</v>
      </c>
      <c r="R343" s="2" t="inlineStr"/>
    </row>
    <row r="344" ht="15" customHeight="1">
      <c r="A344" t="inlineStr">
        <is>
          <t>A 56799-2025</t>
        </is>
      </c>
      <c r="B344" s="1" t="n">
        <v>45978.43392361111</v>
      </c>
      <c r="C344" s="1" t="n">
        <v>46073</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29207-2025</t>
        </is>
      </c>
      <c r="B345" s="1" t="n">
        <v>45823</v>
      </c>
      <c r="C345" s="1" t="n">
        <v>46073</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35512-2023</t>
        </is>
      </c>
      <c r="B346" s="1" t="n">
        <v>45147.25623842593</v>
      </c>
      <c r="C346" s="1" t="n">
        <v>46073</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5905-2024</t>
        </is>
      </c>
      <c r="B347" s="1" t="n">
        <v>45335.88993055555</v>
      </c>
      <c r="C347" s="1" t="n">
        <v>46073</v>
      </c>
      <c r="D347" t="inlineStr">
        <is>
          <t>GOTLANDS LÄN</t>
        </is>
      </c>
      <c r="E347" t="inlineStr">
        <is>
          <t>GOTLAND</t>
        </is>
      </c>
      <c r="G347" t="n">
        <v>3</v>
      </c>
      <c r="H347" t="n">
        <v>0</v>
      </c>
      <c r="I347" t="n">
        <v>0</v>
      </c>
      <c r="J347" t="n">
        <v>0</v>
      </c>
      <c r="K347" t="n">
        <v>0</v>
      </c>
      <c r="L347" t="n">
        <v>0</v>
      </c>
      <c r="M347" t="n">
        <v>0</v>
      </c>
      <c r="N347" t="n">
        <v>0</v>
      </c>
      <c r="O347" t="n">
        <v>0</v>
      </c>
      <c r="P347" t="n">
        <v>0</v>
      </c>
      <c r="Q347" t="n">
        <v>0</v>
      </c>
      <c r="R347" s="2" t="inlineStr"/>
    </row>
    <row r="348" ht="15" customHeight="1">
      <c r="A348" t="inlineStr">
        <is>
          <t>A 30061-2025</t>
        </is>
      </c>
      <c r="B348" s="1" t="n">
        <v>45826.61488425926</v>
      </c>
      <c r="C348" s="1" t="n">
        <v>46073</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56688-2025</t>
        </is>
      </c>
      <c r="B349" s="1" t="n">
        <v>45975.84331018518</v>
      </c>
      <c r="C349" s="1" t="n">
        <v>46073</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58160-2024</t>
        </is>
      </c>
      <c r="B350" s="1" t="n">
        <v>45632.44927083333</v>
      </c>
      <c r="C350" s="1" t="n">
        <v>46073</v>
      </c>
      <c r="D350" t="inlineStr">
        <is>
          <t>GOTLANDS LÄN</t>
        </is>
      </c>
      <c r="E350" t="inlineStr">
        <is>
          <t>GOTLAND</t>
        </is>
      </c>
      <c r="G350" t="n">
        <v>5.6</v>
      </c>
      <c r="H350" t="n">
        <v>0</v>
      </c>
      <c r="I350" t="n">
        <v>0</v>
      </c>
      <c r="J350" t="n">
        <v>0</v>
      </c>
      <c r="K350" t="n">
        <v>0</v>
      </c>
      <c r="L350" t="n">
        <v>0</v>
      </c>
      <c r="M350" t="n">
        <v>0</v>
      </c>
      <c r="N350" t="n">
        <v>0</v>
      </c>
      <c r="O350" t="n">
        <v>0</v>
      </c>
      <c r="P350" t="n">
        <v>0</v>
      </c>
      <c r="Q350" t="n">
        <v>0</v>
      </c>
      <c r="R350" s="2" t="inlineStr"/>
    </row>
    <row r="351" ht="15" customHeight="1">
      <c r="A351" t="inlineStr">
        <is>
          <t>A 1291-2023</t>
        </is>
      </c>
      <c r="B351" s="1" t="n">
        <v>44936.47561342592</v>
      </c>
      <c r="C351" s="1" t="n">
        <v>46073</v>
      </c>
      <c r="D351" t="inlineStr">
        <is>
          <t>GOTLANDS LÄN</t>
        </is>
      </c>
      <c r="E351" t="inlineStr">
        <is>
          <t>GOTLAND</t>
        </is>
      </c>
      <c r="G351" t="n">
        <v>7.4</v>
      </c>
      <c r="H351" t="n">
        <v>0</v>
      </c>
      <c r="I351" t="n">
        <v>0</v>
      </c>
      <c r="J351" t="n">
        <v>0</v>
      </c>
      <c r="K351" t="n">
        <v>0</v>
      </c>
      <c r="L351" t="n">
        <v>0</v>
      </c>
      <c r="M351" t="n">
        <v>0</v>
      </c>
      <c r="N351" t="n">
        <v>0</v>
      </c>
      <c r="O351" t="n">
        <v>0</v>
      </c>
      <c r="P351" t="n">
        <v>0</v>
      </c>
      <c r="Q351" t="n">
        <v>0</v>
      </c>
      <c r="R351" s="2" t="inlineStr"/>
    </row>
    <row r="352" ht="15" customHeight="1">
      <c r="A352" t="inlineStr">
        <is>
          <t>A 57652-2023</t>
        </is>
      </c>
      <c r="B352" s="1" t="n">
        <v>45246</v>
      </c>
      <c r="C352" s="1" t="n">
        <v>46073</v>
      </c>
      <c r="D352" t="inlineStr">
        <is>
          <t>GOTLANDS LÄN</t>
        </is>
      </c>
      <c r="E352" t="inlineStr">
        <is>
          <t>GOTLAND</t>
        </is>
      </c>
      <c r="G352" t="n">
        <v>7.2</v>
      </c>
      <c r="H352" t="n">
        <v>0</v>
      </c>
      <c r="I352" t="n">
        <v>0</v>
      </c>
      <c r="J352" t="n">
        <v>0</v>
      </c>
      <c r="K352" t="n">
        <v>0</v>
      </c>
      <c r="L352" t="n">
        <v>0</v>
      </c>
      <c r="M352" t="n">
        <v>0</v>
      </c>
      <c r="N352" t="n">
        <v>0</v>
      </c>
      <c r="O352" t="n">
        <v>0</v>
      </c>
      <c r="P352" t="n">
        <v>0</v>
      </c>
      <c r="Q352" t="n">
        <v>0</v>
      </c>
      <c r="R352" s="2" t="inlineStr"/>
    </row>
    <row r="353" ht="15" customHeight="1">
      <c r="A353" t="inlineStr">
        <is>
          <t>A 49315-2024</t>
        </is>
      </c>
      <c r="B353" s="1" t="n">
        <v>45595</v>
      </c>
      <c r="C353" s="1" t="n">
        <v>46073</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45106-2024</t>
        </is>
      </c>
      <c r="B354" s="1" t="n">
        <v>45575</v>
      </c>
      <c r="C354" s="1" t="n">
        <v>46073</v>
      </c>
      <c r="D354" t="inlineStr">
        <is>
          <t>GOTLANDS LÄN</t>
        </is>
      </c>
      <c r="E354" t="inlineStr">
        <is>
          <t>GOTLAND</t>
        </is>
      </c>
      <c r="G354" t="n">
        <v>10</v>
      </c>
      <c r="H354" t="n">
        <v>0</v>
      </c>
      <c r="I354" t="n">
        <v>0</v>
      </c>
      <c r="J354" t="n">
        <v>0</v>
      </c>
      <c r="K354" t="n">
        <v>0</v>
      </c>
      <c r="L354" t="n">
        <v>0</v>
      </c>
      <c r="M354" t="n">
        <v>0</v>
      </c>
      <c r="N354" t="n">
        <v>0</v>
      </c>
      <c r="O354" t="n">
        <v>0</v>
      </c>
      <c r="P354" t="n">
        <v>0</v>
      </c>
      <c r="Q354" t="n">
        <v>0</v>
      </c>
      <c r="R354" s="2" t="inlineStr"/>
    </row>
    <row r="355" ht="15" customHeight="1">
      <c r="A355" t="inlineStr">
        <is>
          <t>A 45112-2024</t>
        </is>
      </c>
      <c r="B355" s="1" t="n">
        <v>45575</v>
      </c>
      <c r="C355" s="1" t="n">
        <v>46073</v>
      </c>
      <c r="D355" t="inlineStr">
        <is>
          <t>GOTLANDS LÄN</t>
        </is>
      </c>
      <c r="E355" t="inlineStr">
        <is>
          <t>GOTLAND</t>
        </is>
      </c>
      <c r="G355" t="n">
        <v>5.1</v>
      </c>
      <c r="H355" t="n">
        <v>0</v>
      </c>
      <c r="I355" t="n">
        <v>0</v>
      </c>
      <c r="J355" t="n">
        <v>0</v>
      </c>
      <c r="K355" t="n">
        <v>0</v>
      </c>
      <c r="L355" t="n">
        <v>0</v>
      </c>
      <c r="M355" t="n">
        <v>0</v>
      </c>
      <c r="N355" t="n">
        <v>0</v>
      </c>
      <c r="O355" t="n">
        <v>0</v>
      </c>
      <c r="P355" t="n">
        <v>0</v>
      </c>
      <c r="Q355" t="n">
        <v>0</v>
      </c>
      <c r="R355" s="2" t="inlineStr"/>
    </row>
    <row r="356" ht="15" customHeight="1">
      <c r="A356" t="inlineStr">
        <is>
          <t>A 2676-2023</t>
        </is>
      </c>
      <c r="B356" s="1" t="n">
        <v>44944</v>
      </c>
      <c r="C356" s="1" t="n">
        <v>46073</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3150-2025</t>
        </is>
      </c>
      <c r="B357" s="1" t="n">
        <v>45679.28974537037</v>
      </c>
      <c r="C357" s="1" t="n">
        <v>46073</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8484-2025</t>
        </is>
      </c>
      <c r="B358" s="1" t="n">
        <v>45709</v>
      </c>
      <c r="C358" s="1" t="n">
        <v>46073</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7635-2025</t>
        </is>
      </c>
      <c r="B359" s="1" t="n">
        <v>45705</v>
      </c>
      <c r="C359" s="1" t="n">
        <v>46073</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7636-2025</t>
        </is>
      </c>
      <c r="B360" s="1" t="n">
        <v>45705.7687962963</v>
      </c>
      <c r="C360" s="1" t="n">
        <v>46073</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7639-2025</t>
        </is>
      </c>
      <c r="B361" s="1" t="n">
        <v>45705.77465277778</v>
      </c>
      <c r="C361" s="1" t="n">
        <v>46073</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32379-2025</t>
        </is>
      </c>
      <c r="B362" s="1" t="n">
        <v>45837</v>
      </c>
      <c r="C362" s="1" t="n">
        <v>46073</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20356-2022</t>
        </is>
      </c>
      <c r="B363" s="1" t="n">
        <v>44699</v>
      </c>
      <c r="C363" s="1" t="n">
        <v>46073</v>
      </c>
      <c r="D363" t="inlineStr">
        <is>
          <t>GOTLANDS LÄN</t>
        </is>
      </c>
      <c r="E363" t="inlineStr">
        <is>
          <t>GOTLAND</t>
        </is>
      </c>
      <c r="F363" t="inlineStr">
        <is>
          <t>Övriga Aktiebolag</t>
        </is>
      </c>
      <c r="G363" t="n">
        <v>4.4</v>
      </c>
      <c r="H363" t="n">
        <v>0</v>
      </c>
      <c r="I363" t="n">
        <v>0</v>
      </c>
      <c r="J363" t="n">
        <v>0</v>
      </c>
      <c r="K363" t="n">
        <v>0</v>
      </c>
      <c r="L363" t="n">
        <v>0</v>
      </c>
      <c r="M363" t="n">
        <v>0</v>
      </c>
      <c r="N363" t="n">
        <v>0</v>
      </c>
      <c r="O363" t="n">
        <v>0</v>
      </c>
      <c r="P363" t="n">
        <v>0</v>
      </c>
      <c r="Q363" t="n">
        <v>0</v>
      </c>
      <c r="R363" s="2" t="inlineStr"/>
    </row>
    <row r="364" ht="15" customHeight="1">
      <c r="A364" t="inlineStr">
        <is>
          <t>A 48734-2022</t>
        </is>
      </c>
      <c r="B364" s="1" t="n">
        <v>44855</v>
      </c>
      <c r="C364" s="1" t="n">
        <v>46073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32467-2025</t>
        </is>
      </c>
      <c r="B365" s="1" t="n">
        <v>45838.42111111111</v>
      </c>
      <c r="C365" s="1" t="n">
        <v>46073</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14141-2024</t>
        </is>
      </c>
      <c r="B366" s="1" t="n">
        <v>45392.85193287037</v>
      </c>
      <c r="C366" s="1" t="n">
        <v>46073</v>
      </c>
      <c r="D366" t="inlineStr">
        <is>
          <t>GOTLANDS LÄN</t>
        </is>
      </c>
      <c r="E366" t="inlineStr">
        <is>
          <t>GOTLAND</t>
        </is>
      </c>
      <c r="G366" t="n">
        <v>5.3</v>
      </c>
      <c r="H366" t="n">
        <v>0</v>
      </c>
      <c r="I366" t="n">
        <v>0</v>
      </c>
      <c r="J366" t="n">
        <v>0</v>
      </c>
      <c r="K366" t="n">
        <v>0</v>
      </c>
      <c r="L366" t="n">
        <v>0</v>
      </c>
      <c r="M366" t="n">
        <v>0</v>
      </c>
      <c r="N366" t="n">
        <v>0</v>
      </c>
      <c r="O366" t="n">
        <v>0</v>
      </c>
      <c r="P366" t="n">
        <v>0</v>
      </c>
      <c r="Q366" t="n">
        <v>0</v>
      </c>
      <c r="R366" s="2" t="inlineStr"/>
    </row>
    <row r="367" ht="15" customHeight="1">
      <c r="A367" t="inlineStr">
        <is>
          <t>A 29809-2022</t>
        </is>
      </c>
      <c r="B367" s="1" t="n">
        <v>44755.8713425926</v>
      </c>
      <c r="C367" s="1" t="n">
        <v>46073</v>
      </c>
      <c r="D367" t="inlineStr">
        <is>
          <t>GOTLANDS LÄN</t>
        </is>
      </c>
      <c r="E367" t="inlineStr">
        <is>
          <t>GOTLAND</t>
        </is>
      </c>
      <c r="G367" t="n">
        <v>11.5</v>
      </c>
      <c r="H367" t="n">
        <v>0</v>
      </c>
      <c r="I367" t="n">
        <v>0</v>
      </c>
      <c r="J367" t="n">
        <v>0</v>
      </c>
      <c r="K367" t="n">
        <v>0</v>
      </c>
      <c r="L367" t="n">
        <v>0</v>
      </c>
      <c r="M367" t="n">
        <v>0</v>
      </c>
      <c r="N367" t="n">
        <v>0</v>
      </c>
      <c r="O367" t="n">
        <v>0</v>
      </c>
      <c r="P367" t="n">
        <v>0</v>
      </c>
      <c r="Q367" t="n">
        <v>0</v>
      </c>
      <c r="R367" s="2" t="inlineStr"/>
    </row>
    <row r="368" ht="15" customHeight="1">
      <c r="A368" t="inlineStr">
        <is>
          <t>A 16109-2025</t>
        </is>
      </c>
      <c r="B368" s="1" t="n">
        <v>45750</v>
      </c>
      <c r="C368" s="1" t="n">
        <v>46073</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33007-2025</t>
        </is>
      </c>
      <c r="B369" s="1" t="n">
        <v>45840</v>
      </c>
      <c r="C369" s="1" t="n">
        <v>46073</v>
      </c>
      <c r="D369" t="inlineStr">
        <is>
          <t>GOTLANDS LÄN</t>
        </is>
      </c>
      <c r="E369" t="inlineStr">
        <is>
          <t>GOTLAND</t>
        </is>
      </c>
      <c r="G369" t="n">
        <v>4.9</v>
      </c>
      <c r="H369" t="n">
        <v>0</v>
      </c>
      <c r="I369" t="n">
        <v>0</v>
      </c>
      <c r="J369" t="n">
        <v>0</v>
      </c>
      <c r="K369" t="n">
        <v>0</v>
      </c>
      <c r="L369" t="n">
        <v>0</v>
      </c>
      <c r="M369" t="n">
        <v>0</v>
      </c>
      <c r="N369" t="n">
        <v>0</v>
      </c>
      <c r="O369" t="n">
        <v>0</v>
      </c>
      <c r="P369" t="n">
        <v>0</v>
      </c>
      <c r="Q369" t="n">
        <v>0</v>
      </c>
      <c r="R369" s="2" t="inlineStr"/>
    </row>
    <row r="370" ht="15" customHeight="1">
      <c r="A370" t="inlineStr">
        <is>
          <t>A 57685-2022</t>
        </is>
      </c>
      <c r="B370" s="1" t="n">
        <v>44897.4777662037</v>
      </c>
      <c r="C370" s="1" t="n">
        <v>46073</v>
      </c>
      <c r="D370" t="inlineStr">
        <is>
          <t>GOTLANDS LÄN</t>
        </is>
      </c>
      <c r="E370" t="inlineStr">
        <is>
          <t>GOTLAND</t>
        </is>
      </c>
      <c r="G370" t="n">
        <v>3.7</v>
      </c>
      <c r="H370" t="n">
        <v>0</v>
      </c>
      <c r="I370" t="n">
        <v>0</v>
      </c>
      <c r="J370" t="n">
        <v>0</v>
      </c>
      <c r="K370" t="n">
        <v>0</v>
      </c>
      <c r="L370" t="n">
        <v>0</v>
      </c>
      <c r="M370" t="n">
        <v>0</v>
      </c>
      <c r="N370" t="n">
        <v>0</v>
      </c>
      <c r="O370" t="n">
        <v>0</v>
      </c>
      <c r="P370" t="n">
        <v>0</v>
      </c>
      <c r="Q370" t="n">
        <v>0</v>
      </c>
      <c r="R370" s="2" t="inlineStr"/>
    </row>
    <row r="371" ht="15" customHeight="1">
      <c r="A371" t="inlineStr">
        <is>
          <t>A 30815-2023</t>
        </is>
      </c>
      <c r="B371" s="1" t="n">
        <v>45112</v>
      </c>
      <c r="C371" s="1" t="n">
        <v>46073</v>
      </c>
      <c r="D371" t="inlineStr">
        <is>
          <t>GOTLANDS LÄN</t>
        </is>
      </c>
      <c r="E371" t="inlineStr">
        <is>
          <t>GOTLAND</t>
        </is>
      </c>
      <c r="G371" t="n">
        <v>6</v>
      </c>
      <c r="H371" t="n">
        <v>0</v>
      </c>
      <c r="I371" t="n">
        <v>0</v>
      </c>
      <c r="J371" t="n">
        <v>0</v>
      </c>
      <c r="K371" t="n">
        <v>0</v>
      </c>
      <c r="L371" t="n">
        <v>0</v>
      </c>
      <c r="M371" t="n">
        <v>0</v>
      </c>
      <c r="N371" t="n">
        <v>0</v>
      </c>
      <c r="O371" t="n">
        <v>0</v>
      </c>
      <c r="P371" t="n">
        <v>0</v>
      </c>
      <c r="Q371" t="n">
        <v>0</v>
      </c>
      <c r="R371" s="2" t="inlineStr"/>
    </row>
    <row r="372" ht="15" customHeight="1">
      <c r="A372" t="inlineStr">
        <is>
          <t>A 7034-2023</t>
        </is>
      </c>
      <c r="B372" s="1" t="n">
        <v>44968.32108796296</v>
      </c>
      <c r="C372" s="1" t="n">
        <v>46073</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7042-2023</t>
        </is>
      </c>
      <c r="B373" s="1" t="n">
        <v>44968</v>
      </c>
      <c r="C373" s="1" t="n">
        <v>46073</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59197-2025</t>
        </is>
      </c>
      <c r="B374" s="1" t="n">
        <v>45988.59846064815</v>
      </c>
      <c r="C374" s="1" t="n">
        <v>46073</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23516-2023</t>
        </is>
      </c>
      <c r="B375" s="1" t="n">
        <v>45076.93391203704</v>
      </c>
      <c r="C375" s="1" t="n">
        <v>46073</v>
      </c>
      <c r="D375" t="inlineStr">
        <is>
          <t>GOTLANDS LÄN</t>
        </is>
      </c>
      <c r="E375" t="inlineStr">
        <is>
          <t>GOTLAND</t>
        </is>
      </c>
      <c r="G375" t="n">
        <v>1.4</v>
      </c>
      <c r="H375" t="n">
        <v>0</v>
      </c>
      <c r="I375" t="n">
        <v>0</v>
      </c>
      <c r="J375" t="n">
        <v>0</v>
      </c>
      <c r="K375" t="n">
        <v>0</v>
      </c>
      <c r="L375" t="n">
        <v>0</v>
      </c>
      <c r="M375" t="n">
        <v>0</v>
      </c>
      <c r="N375" t="n">
        <v>0</v>
      </c>
      <c r="O375" t="n">
        <v>0</v>
      </c>
      <c r="P375" t="n">
        <v>0</v>
      </c>
      <c r="Q375" t="n">
        <v>0</v>
      </c>
      <c r="R375" s="2" t="inlineStr"/>
    </row>
    <row r="376" ht="15" customHeight="1">
      <c r="A376" t="inlineStr">
        <is>
          <t>A 1355-2026</t>
        </is>
      </c>
      <c r="B376" s="1" t="n">
        <v>46031.59909722222</v>
      </c>
      <c r="C376" s="1" t="n">
        <v>46073</v>
      </c>
      <c r="D376" t="inlineStr">
        <is>
          <t>GOTLANDS LÄN</t>
        </is>
      </c>
      <c r="E376" t="inlineStr">
        <is>
          <t>GOTLAND</t>
        </is>
      </c>
      <c r="G376" t="n">
        <v>3.1</v>
      </c>
      <c r="H376" t="n">
        <v>0</v>
      </c>
      <c r="I376" t="n">
        <v>0</v>
      </c>
      <c r="J376" t="n">
        <v>0</v>
      </c>
      <c r="K376" t="n">
        <v>0</v>
      </c>
      <c r="L376" t="n">
        <v>0</v>
      </c>
      <c r="M376" t="n">
        <v>0</v>
      </c>
      <c r="N376" t="n">
        <v>0</v>
      </c>
      <c r="O376" t="n">
        <v>0</v>
      </c>
      <c r="P376" t="n">
        <v>0</v>
      </c>
      <c r="Q376" t="n">
        <v>0</v>
      </c>
      <c r="R376" s="2" t="inlineStr"/>
    </row>
    <row r="377" ht="15" customHeight="1">
      <c r="A377" t="inlineStr">
        <is>
          <t>A 15413-2025</t>
        </is>
      </c>
      <c r="B377" s="1" t="n">
        <v>45747.451875</v>
      </c>
      <c r="C377" s="1" t="n">
        <v>46073</v>
      </c>
      <c r="D377" t="inlineStr">
        <is>
          <t>GOTLANDS LÄN</t>
        </is>
      </c>
      <c r="E377" t="inlineStr">
        <is>
          <t>GOTLAND</t>
        </is>
      </c>
      <c r="G377" t="n">
        <v>0.6</v>
      </c>
      <c r="H377" t="n">
        <v>0</v>
      </c>
      <c r="I377" t="n">
        <v>0</v>
      </c>
      <c r="J377" t="n">
        <v>0</v>
      </c>
      <c r="K377" t="n">
        <v>0</v>
      </c>
      <c r="L377" t="n">
        <v>0</v>
      </c>
      <c r="M377" t="n">
        <v>0</v>
      </c>
      <c r="N377" t="n">
        <v>0</v>
      </c>
      <c r="O377" t="n">
        <v>0</v>
      </c>
      <c r="P377" t="n">
        <v>0</v>
      </c>
      <c r="Q377" t="n">
        <v>0</v>
      </c>
      <c r="R377" s="2" t="inlineStr"/>
    </row>
    <row r="378" ht="15" customHeight="1">
      <c r="A378" t="inlineStr">
        <is>
          <t>A 35123-2025</t>
        </is>
      </c>
      <c r="B378" s="1" t="n">
        <v>45852.614375</v>
      </c>
      <c r="C378" s="1" t="n">
        <v>46073</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64660-2023</t>
        </is>
      </c>
      <c r="B379" s="1" t="n">
        <v>45281.60122685185</v>
      </c>
      <c r="C379" s="1" t="n">
        <v>46073</v>
      </c>
      <c r="D379" t="inlineStr">
        <is>
          <t>GOTLANDS LÄN</t>
        </is>
      </c>
      <c r="E379" t="inlineStr">
        <is>
          <t>GOTLAND</t>
        </is>
      </c>
      <c r="G379" t="n">
        <v>6.3</v>
      </c>
      <c r="H379" t="n">
        <v>0</v>
      </c>
      <c r="I379" t="n">
        <v>0</v>
      </c>
      <c r="J379" t="n">
        <v>0</v>
      </c>
      <c r="K379" t="n">
        <v>0</v>
      </c>
      <c r="L379" t="n">
        <v>0</v>
      </c>
      <c r="M379" t="n">
        <v>0</v>
      </c>
      <c r="N379" t="n">
        <v>0</v>
      </c>
      <c r="O379" t="n">
        <v>0</v>
      </c>
      <c r="P379" t="n">
        <v>0</v>
      </c>
      <c r="Q379" t="n">
        <v>0</v>
      </c>
      <c r="R379" s="2" t="inlineStr"/>
    </row>
    <row r="380" ht="15" customHeight="1">
      <c r="A380" t="inlineStr">
        <is>
          <t>A 35096-2025</t>
        </is>
      </c>
      <c r="B380" s="1" t="n">
        <v>45852.54356481481</v>
      </c>
      <c r="C380" s="1" t="n">
        <v>46073</v>
      </c>
      <c r="D380" t="inlineStr">
        <is>
          <t>GOTLANDS LÄN</t>
        </is>
      </c>
      <c r="E380" t="inlineStr">
        <is>
          <t>GOTLAND</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63763-2023</t>
        </is>
      </c>
      <c r="B381" s="1" t="n">
        <v>45278.33944444444</v>
      </c>
      <c r="C381" s="1" t="n">
        <v>46073</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30104-2025</t>
        </is>
      </c>
      <c r="B382" s="1" t="n">
        <v>45826.68806712963</v>
      </c>
      <c r="C382" s="1" t="n">
        <v>46073</v>
      </c>
      <c r="D382" t="inlineStr">
        <is>
          <t>GOTLANDS LÄN</t>
        </is>
      </c>
      <c r="E382" t="inlineStr">
        <is>
          <t>GOTLAND</t>
        </is>
      </c>
      <c r="G382" t="n">
        <v>15.4</v>
      </c>
      <c r="H382" t="n">
        <v>0</v>
      </c>
      <c r="I382" t="n">
        <v>0</v>
      </c>
      <c r="J382" t="n">
        <v>0</v>
      </c>
      <c r="K382" t="n">
        <v>0</v>
      </c>
      <c r="L382" t="n">
        <v>0</v>
      </c>
      <c r="M382" t="n">
        <v>0</v>
      </c>
      <c r="N382" t="n">
        <v>0</v>
      </c>
      <c r="O382" t="n">
        <v>0</v>
      </c>
      <c r="P382" t="n">
        <v>0</v>
      </c>
      <c r="Q382" t="n">
        <v>0</v>
      </c>
      <c r="R382" s="2" t="inlineStr"/>
    </row>
    <row r="383" ht="15" customHeight="1">
      <c r="A383" t="inlineStr">
        <is>
          <t>A 35290-2025</t>
        </is>
      </c>
      <c r="B383" s="1" t="n">
        <v>45854.38502314815</v>
      </c>
      <c r="C383" s="1" t="n">
        <v>46073</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32669-2024</t>
        </is>
      </c>
      <c r="B384" s="1" t="n">
        <v>45514</v>
      </c>
      <c r="C384" s="1" t="n">
        <v>46073</v>
      </c>
      <c r="D384" t="inlineStr">
        <is>
          <t>GOTLANDS LÄN</t>
        </is>
      </c>
      <c r="E384" t="inlineStr">
        <is>
          <t>GOTLAND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2415-2026</t>
        </is>
      </c>
      <c r="B385" s="1" t="n">
        <v>46036.76203703704</v>
      </c>
      <c r="C385" s="1" t="n">
        <v>46073</v>
      </c>
      <c r="D385" t="inlineStr">
        <is>
          <t>GOTLANDS LÄN</t>
        </is>
      </c>
      <c r="E385" t="inlineStr">
        <is>
          <t>GOTLAND</t>
        </is>
      </c>
      <c r="G385" t="n">
        <v>6.9</v>
      </c>
      <c r="H385" t="n">
        <v>0</v>
      </c>
      <c r="I385" t="n">
        <v>0</v>
      </c>
      <c r="J385" t="n">
        <v>0</v>
      </c>
      <c r="K385" t="n">
        <v>0</v>
      </c>
      <c r="L385" t="n">
        <v>0</v>
      </c>
      <c r="M385" t="n">
        <v>0</v>
      </c>
      <c r="N385" t="n">
        <v>0</v>
      </c>
      <c r="O385" t="n">
        <v>0</v>
      </c>
      <c r="P385" t="n">
        <v>0</v>
      </c>
      <c r="Q385" t="n">
        <v>0</v>
      </c>
      <c r="R385" s="2" t="inlineStr"/>
    </row>
    <row r="386" ht="15" customHeight="1">
      <c r="A386" t="inlineStr">
        <is>
          <t>A 35537-2025</t>
        </is>
      </c>
      <c r="B386" s="1" t="n">
        <v>45856</v>
      </c>
      <c r="C386" s="1" t="n">
        <v>46073</v>
      </c>
      <c r="D386" t="inlineStr">
        <is>
          <t>GOTLANDS LÄN</t>
        </is>
      </c>
      <c r="E386" t="inlineStr">
        <is>
          <t>GOTLAND</t>
        </is>
      </c>
      <c r="G386" t="n">
        <v>16.8</v>
      </c>
      <c r="H386" t="n">
        <v>0</v>
      </c>
      <c r="I386" t="n">
        <v>0</v>
      </c>
      <c r="J386" t="n">
        <v>0</v>
      </c>
      <c r="K386" t="n">
        <v>0</v>
      </c>
      <c r="L386" t="n">
        <v>0</v>
      </c>
      <c r="M386" t="n">
        <v>0</v>
      </c>
      <c r="N386" t="n">
        <v>0</v>
      </c>
      <c r="O386" t="n">
        <v>0</v>
      </c>
      <c r="P386" t="n">
        <v>0</v>
      </c>
      <c r="Q386" t="n">
        <v>0</v>
      </c>
      <c r="R386" s="2" t="inlineStr"/>
    </row>
    <row r="387" ht="15" customHeight="1">
      <c r="A387" t="inlineStr">
        <is>
          <t>A 36319-2025</t>
        </is>
      </c>
      <c r="B387" s="1" t="n">
        <v>45868</v>
      </c>
      <c r="C387" s="1" t="n">
        <v>46073</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63229-2021</t>
        </is>
      </c>
      <c r="B388" s="1" t="n">
        <v>44508.34518518519</v>
      </c>
      <c r="C388" s="1" t="n">
        <v>46073</v>
      </c>
      <c r="D388" t="inlineStr">
        <is>
          <t>GOTLANDS LÄN</t>
        </is>
      </c>
      <c r="E388" t="inlineStr">
        <is>
          <t>GOTLAND</t>
        </is>
      </c>
      <c r="F388" t="inlineStr">
        <is>
          <t>Kyrkan</t>
        </is>
      </c>
      <c r="G388" t="n">
        <v>3.8</v>
      </c>
      <c r="H388" t="n">
        <v>0</v>
      </c>
      <c r="I388" t="n">
        <v>0</v>
      </c>
      <c r="J388" t="n">
        <v>0</v>
      </c>
      <c r="K388" t="n">
        <v>0</v>
      </c>
      <c r="L388" t="n">
        <v>0</v>
      </c>
      <c r="M388" t="n">
        <v>0</v>
      </c>
      <c r="N388" t="n">
        <v>0</v>
      </c>
      <c r="O388" t="n">
        <v>0</v>
      </c>
      <c r="P388" t="n">
        <v>0</v>
      </c>
      <c r="Q388" t="n">
        <v>0</v>
      </c>
      <c r="R388" s="2" t="inlineStr"/>
    </row>
    <row r="389" ht="15" customHeight="1">
      <c r="A389" t="inlineStr">
        <is>
          <t>A 46375-2024</t>
        </is>
      </c>
      <c r="B389" s="1" t="n">
        <v>45582</v>
      </c>
      <c r="C389" s="1" t="n">
        <v>46073</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1839-2026</t>
        </is>
      </c>
      <c r="B390" s="1" t="n">
        <v>46035.3942824074</v>
      </c>
      <c r="C390" s="1" t="n">
        <v>46073</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1854-2026</t>
        </is>
      </c>
      <c r="B391" s="1" t="n">
        <v>46035.4171875</v>
      </c>
      <c r="C391" s="1" t="n">
        <v>46073</v>
      </c>
      <c r="D391" t="inlineStr">
        <is>
          <t>GOTLANDS LÄN</t>
        </is>
      </c>
      <c r="E391" t="inlineStr">
        <is>
          <t>GOTLAND</t>
        </is>
      </c>
      <c r="G391" t="n">
        <v>3</v>
      </c>
      <c r="H391" t="n">
        <v>0</v>
      </c>
      <c r="I391" t="n">
        <v>0</v>
      </c>
      <c r="J391" t="n">
        <v>0</v>
      </c>
      <c r="K391" t="n">
        <v>0</v>
      </c>
      <c r="L391" t="n">
        <v>0</v>
      </c>
      <c r="M391" t="n">
        <v>0</v>
      </c>
      <c r="N391" t="n">
        <v>0</v>
      </c>
      <c r="O391" t="n">
        <v>0</v>
      </c>
      <c r="P391" t="n">
        <v>0</v>
      </c>
      <c r="Q391" t="n">
        <v>0</v>
      </c>
      <c r="R391" s="2" t="inlineStr"/>
    </row>
    <row r="392" ht="15" customHeight="1">
      <c r="A392" t="inlineStr">
        <is>
          <t>A 15216-2025</t>
        </is>
      </c>
      <c r="B392" s="1" t="n">
        <v>45744</v>
      </c>
      <c r="C392" s="1" t="n">
        <v>46073</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43790-2024</t>
        </is>
      </c>
      <c r="B393" s="1" t="n">
        <v>45571</v>
      </c>
      <c r="C393" s="1" t="n">
        <v>46073</v>
      </c>
      <c r="D393" t="inlineStr">
        <is>
          <t>GOTLANDS LÄN</t>
        </is>
      </c>
      <c r="E393" t="inlineStr">
        <is>
          <t>GOTLAND</t>
        </is>
      </c>
      <c r="G393" t="n">
        <v>3.5</v>
      </c>
      <c r="H393" t="n">
        <v>0</v>
      </c>
      <c r="I393" t="n">
        <v>0</v>
      </c>
      <c r="J393" t="n">
        <v>0</v>
      </c>
      <c r="K393" t="n">
        <v>0</v>
      </c>
      <c r="L393" t="n">
        <v>0</v>
      </c>
      <c r="M393" t="n">
        <v>0</v>
      </c>
      <c r="N393" t="n">
        <v>0</v>
      </c>
      <c r="O393" t="n">
        <v>0</v>
      </c>
      <c r="P393" t="n">
        <v>0</v>
      </c>
      <c r="Q393" t="n">
        <v>0</v>
      </c>
      <c r="R393" s="2" t="inlineStr"/>
    </row>
    <row r="394" ht="15" customHeight="1">
      <c r="A394" t="inlineStr">
        <is>
          <t>A 15001-2025</t>
        </is>
      </c>
      <c r="B394" s="1" t="n">
        <v>45743</v>
      </c>
      <c r="C394" s="1" t="n">
        <v>46073</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30488-2025</t>
        </is>
      </c>
      <c r="B395" s="1" t="n">
        <v>45830</v>
      </c>
      <c r="C395" s="1" t="n">
        <v>46073</v>
      </c>
      <c r="D395" t="inlineStr">
        <is>
          <t>GOTLANDS LÄN</t>
        </is>
      </c>
      <c r="E395" t="inlineStr">
        <is>
          <t>GOTLAND</t>
        </is>
      </c>
      <c r="F395" t="inlineStr">
        <is>
          <t>Kyrkan</t>
        </is>
      </c>
      <c r="G395" t="n">
        <v>3.9</v>
      </c>
      <c r="H395" t="n">
        <v>0</v>
      </c>
      <c r="I395" t="n">
        <v>0</v>
      </c>
      <c r="J395" t="n">
        <v>0</v>
      </c>
      <c r="K395" t="n">
        <v>0</v>
      </c>
      <c r="L395" t="n">
        <v>0</v>
      </c>
      <c r="M395" t="n">
        <v>0</v>
      </c>
      <c r="N395" t="n">
        <v>0</v>
      </c>
      <c r="O395" t="n">
        <v>0</v>
      </c>
      <c r="P395" t="n">
        <v>0</v>
      </c>
      <c r="Q395" t="n">
        <v>0</v>
      </c>
      <c r="R395" s="2" t="inlineStr"/>
    </row>
    <row r="396" ht="15" customHeight="1">
      <c r="A396" t="inlineStr">
        <is>
          <t>A 17847-2025</t>
        </is>
      </c>
      <c r="B396" s="1" t="n">
        <v>45758</v>
      </c>
      <c r="C396" s="1" t="n">
        <v>46073</v>
      </c>
      <c r="D396" t="inlineStr">
        <is>
          <t>GOTLANDS LÄN</t>
        </is>
      </c>
      <c r="E396" t="inlineStr">
        <is>
          <t>GOTLAND</t>
        </is>
      </c>
      <c r="G396" t="n">
        <v>1.9</v>
      </c>
      <c r="H396" t="n">
        <v>0</v>
      </c>
      <c r="I396" t="n">
        <v>0</v>
      </c>
      <c r="J396" t="n">
        <v>0</v>
      </c>
      <c r="K396" t="n">
        <v>0</v>
      </c>
      <c r="L396" t="n">
        <v>0</v>
      </c>
      <c r="M396" t="n">
        <v>0</v>
      </c>
      <c r="N396" t="n">
        <v>0</v>
      </c>
      <c r="O396" t="n">
        <v>0</v>
      </c>
      <c r="P396" t="n">
        <v>0</v>
      </c>
      <c r="Q396" t="n">
        <v>0</v>
      </c>
      <c r="R396" s="2" t="inlineStr"/>
    </row>
    <row r="397" ht="15" customHeight="1">
      <c r="A397" t="inlineStr">
        <is>
          <t>A 18742-2025</t>
        </is>
      </c>
      <c r="B397" s="1" t="n">
        <v>45763</v>
      </c>
      <c r="C397" s="1" t="n">
        <v>46073</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2135-2026</t>
        </is>
      </c>
      <c r="B398" s="1" t="n">
        <v>46036</v>
      </c>
      <c r="C398" s="1" t="n">
        <v>46073</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35129-2025</t>
        </is>
      </c>
      <c r="B399" s="1" t="n">
        <v>45852.63224537037</v>
      </c>
      <c r="C399" s="1" t="n">
        <v>46073</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2134-2026</t>
        </is>
      </c>
      <c r="B400" s="1" t="n">
        <v>46036</v>
      </c>
      <c r="C400" s="1" t="n">
        <v>46073</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1898-2026</t>
        </is>
      </c>
      <c r="B401" s="1" t="n">
        <v>46035.52024305556</v>
      </c>
      <c r="C401" s="1" t="n">
        <v>46073</v>
      </c>
      <c r="D401" t="inlineStr">
        <is>
          <t>GOTLANDS LÄN</t>
        </is>
      </c>
      <c r="E401" t="inlineStr">
        <is>
          <t>GOTLAND</t>
        </is>
      </c>
      <c r="G401" t="n">
        <v>3.7</v>
      </c>
      <c r="H401" t="n">
        <v>0</v>
      </c>
      <c r="I401" t="n">
        <v>0</v>
      </c>
      <c r="J401" t="n">
        <v>0</v>
      </c>
      <c r="K401" t="n">
        <v>0</v>
      </c>
      <c r="L401" t="n">
        <v>0</v>
      </c>
      <c r="M401" t="n">
        <v>0</v>
      </c>
      <c r="N401" t="n">
        <v>0</v>
      </c>
      <c r="O401" t="n">
        <v>0</v>
      </c>
      <c r="P401" t="n">
        <v>0</v>
      </c>
      <c r="Q401" t="n">
        <v>0</v>
      </c>
      <c r="R401" s="2" t="inlineStr"/>
    </row>
    <row r="402" ht="15" customHeight="1">
      <c r="A402" t="inlineStr">
        <is>
          <t>A 1734-2025</t>
        </is>
      </c>
      <c r="B402" s="1" t="n">
        <v>45671.3840625</v>
      </c>
      <c r="C402" s="1" t="n">
        <v>46073</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20993-2023</t>
        </is>
      </c>
      <c r="B403" s="1" t="n">
        <v>45056</v>
      </c>
      <c r="C403" s="1" t="n">
        <v>46073</v>
      </c>
      <c r="D403" t="inlineStr">
        <is>
          <t>GOTLANDS LÄN</t>
        </is>
      </c>
      <c r="E403" t="inlineStr">
        <is>
          <t>GOTLAND</t>
        </is>
      </c>
      <c r="G403" t="n">
        <v>7.1</v>
      </c>
      <c r="H403" t="n">
        <v>0</v>
      </c>
      <c r="I403" t="n">
        <v>0</v>
      </c>
      <c r="J403" t="n">
        <v>0</v>
      </c>
      <c r="K403" t="n">
        <v>0</v>
      </c>
      <c r="L403" t="n">
        <v>0</v>
      </c>
      <c r="M403" t="n">
        <v>0</v>
      </c>
      <c r="N403" t="n">
        <v>0</v>
      </c>
      <c r="O403" t="n">
        <v>0</v>
      </c>
      <c r="P403" t="n">
        <v>0</v>
      </c>
      <c r="Q403" t="n">
        <v>0</v>
      </c>
      <c r="R403" s="2" t="inlineStr"/>
    </row>
    <row r="404" ht="15" customHeight="1">
      <c r="A404" t="inlineStr">
        <is>
          <t>A 12596-2023</t>
        </is>
      </c>
      <c r="B404" s="1" t="n">
        <v>45000.43310185185</v>
      </c>
      <c r="C404" s="1" t="n">
        <v>46073</v>
      </c>
      <c r="D404" t="inlineStr">
        <is>
          <t>GOTLANDS LÄN</t>
        </is>
      </c>
      <c r="E404" t="inlineStr">
        <is>
          <t>GOTLAND</t>
        </is>
      </c>
      <c r="G404" t="n">
        <v>4.1</v>
      </c>
      <c r="H404" t="n">
        <v>0</v>
      </c>
      <c r="I404" t="n">
        <v>0</v>
      </c>
      <c r="J404" t="n">
        <v>0</v>
      </c>
      <c r="K404" t="n">
        <v>0</v>
      </c>
      <c r="L404" t="n">
        <v>0</v>
      </c>
      <c r="M404" t="n">
        <v>0</v>
      </c>
      <c r="N404" t="n">
        <v>0</v>
      </c>
      <c r="O404" t="n">
        <v>0</v>
      </c>
      <c r="P404" t="n">
        <v>0</v>
      </c>
      <c r="Q404" t="n">
        <v>0</v>
      </c>
      <c r="R404" s="2" t="inlineStr"/>
    </row>
    <row r="405" ht="15" customHeight="1">
      <c r="A405" t="inlineStr">
        <is>
          <t>A 2125-2025</t>
        </is>
      </c>
      <c r="B405" s="1" t="n">
        <v>45672.64940972222</v>
      </c>
      <c r="C405" s="1" t="n">
        <v>46073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12155-2023</t>
        </is>
      </c>
      <c r="B406" s="1" t="n">
        <v>44998.49106481481</v>
      </c>
      <c r="C406" s="1" t="n">
        <v>46073</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457-2023</t>
        </is>
      </c>
      <c r="B407" s="1" t="n">
        <v>44929.87238425926</v>
      </c>
      <c r="C407" s="1" t="n">
        <v>46073</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459-2023</t>
        </is>
      </c>
      <c r="B408" s="1" t="n">
        <v>44929.87423611111</v>
      </c>
      <c r="C408" s="1" t="n">
        <v>46073</v>
      </c>
      <c r="D408" t="inlineStr">
        <is>
          <t>GOTLANDS LÄN</t>
        </is>
      </c>
      <c r="E408" t="inlineStr">
        <is>
          <t>GOTLAND</t>
        </is>
      </c>
      <c r="G408" t="n">
        <v>4.2</v>
      </c>
      <c r="H408" t="n">
        <v>0</v>
      </c>
      <c r="I408" t="n">
        <v>0</v>
      </c>
      <c r="J408" t="n">
        <v>0</v>
      </c>
      <c r="K408" t="n">
        <v>0</v>
      </c>
      <c r="L408" t="n">
        <v>0</v>
      </c>
      <c r="M408" t="n">
        <v>0</v>
      </c>
      <c r="N408" t="n">
        <v>0</v>
      </c>
      <c r="O408" t="n">
        <v>0</v>
      </c>
      <c r="P408" t="n">
        <v>0</v>
      </c>
      <c r="Q408" t="n">
        <v>0</v>
      </c>
      <c r="R408" s="2" t="inlineStr"/>
    </row>
    <row r="409" ht="15" customHeight="1">
      <c r="A409" t="inlineStr">
        <is>
          <t>A 38234-2023</t>
        </is>
      </c>
      <c r="B409" s="1" t="n">
        <v>45161.56663194444</v>
      </c>
      <c r="C409" s="1" t="n">
        <v>46073</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50744-2024</t>
        </is>
      </c>
      <c r="B410" s="1" t="n">
        <v>45602.4187037037</v>
      </c>
      <c r="C410" s="1" t="n">
        <v>46073</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53934-2024</t>
        </is>
      </c>
      <c r="B411" s="1" t="n">
        <v>45615</v>
      </c>
      <c r="C411" s="1" t="n">
        <v>46073</v>
      </c>
      <c r="D411" t="inlineStr">
        <is>
          <t>GOTLANDS LÄN</t>
        </is>
      </c>
      <c r="E411" t="inlineStr">
        <is>
          <t>GOTLAND</t>
        </is>
      </c>
      <c r="G411" t="n">
        <v>5</v>
      </c>
      <c r="H411" t="n">
        <v>0</v>
      </c>
      <c r="I411" t="n">
        <v>0</v>
      </c>
      <c r="J411" t="n">
        <v>0</v>
      </c>
      <c r="K411" t="n">
        <v>0</v>
      </c>
      <c r="L411" t="n">
        <v>0</v>
      </c>
      <c r="M411" t="n">
        <v>0</v>
      </c>
      <c r="N411" t="n">
        <v>0</v>
      </c>
      <c r="O411" t="n">
        <v>0</v>
      </c>
      <c r="P411" t="n">
        <v>0</v>
      </c>
      <c r="Q411" t="n">
        <v>0</v>
      </c>
      <c r="R411" s="2" t="inlineStr"/>
    </row>
    <row r="412" ht="15" customHeight="1">
      <c r="A412" t="inlineStr">
        <is>
          <t>A 6108-2025</t>
        </is>
      </c>
      <c r="B412" s="1" t="n">
        <v>45698.29880787037</v>
      </c>
      <c r="C412" s="1" t="n">
        <v>46073</v>
      </c>
      <c r="D412" t="inlineStr">
        <is>
          <t>GOTLANDS LÄN</t>
        </is>
      </c>
      <c r="E412" t="inlineStr">
        <is>
          <t>GOTLAND</t>
        </is>
      </c>
      <c r="G412" t="n">
        <v>2.8</v>
      </c>
      <c r="H412" t="n">
        <v>0</v>
      </c>
      <c r="I412" t="n">
        <v>0</v>
      </c>
      <c r="J412" t="n">
        <v>0</v>
      </c>
      <c r="K412" t="n">
        <v>0</v>
      </c>
      <c r="L412" t="n">
        <v>0</v>
      </c>
      <c r="M412" t="n">
        <v>0</v>
      </c>
      <c r="N412" t="n">
        <v>0</v>
      </c>
      <c r="O412" t="n">
        <v>0</v>
      </c>
      <c r="P412" t="n">
        <v>0</v>
      </c>
      <c r="Q412" t="n">
        <v>0</v>
      </c>
      <c r="R412" s="2" t="inlineStr"/>
    </row>
    <row r="413" ht="15" customHeight="1">
      <c r="A413" t="inlineStr">
        <is>
          <t>A 21142-2025</t>
        </is>
      </c>
      <c r="B413" s="1" t="n">
        <v>45779</v>
      </c>
      <c r="C413" s="1" t="n">
        <v>46073</v>
      </c>
      <c r="D413" t="inlineStr">
        <is>
          <t>GOTLANDS LÄN</t>
        </is>
      </c>
      <c r="E413" t="inlineStr">
        <is>
          <t>GOTLAND</t>
        </is>
      </c>
      <c r="G413" t="n">
        <v>1.3</v>
      </c>
      <c r="H413" t="n">
        <v>0</v>
      </c>
      <c r="I413" t="n">
        <v>0</v>
      </c>
      <c r="J413" t="n">
        <v>0</v>
      </c>
      <c r="K413" t="n">
        <v>0</v>
      </c>
      <c r="L413" t="n">
        <v>0</v>
      </c>
      <c r="M413" t="n">
        <v>0</v>
      </c>
      <c r="N413" t="n">
        <v>0</v>
      </c>
      <c r="O413" t="n">
        <v>0</v>
      </c>
      <c r="P413" t="n">
        <v>0</v>
      </c>
      <c r="Q413" t="n">
        <v>0</v>
      </c>
      <c r="R413" s="2" t="inlineStr"/>
    </row>
    <row r="414" ht="15" customHeight="1">
      <c r="A414" t="inlineStr">
        <is>
          <t>A 17343-2025</t>
        </is>
      </c>
      <c r="B414" s="1" t="n">
        <v>45756.6687037037</v>
      </c>
      <c r="C414" s="1" t="n">
        <v>46073</v>
      </c>
      <c r="D414" t="inlineStr">
        <is>
          <t>GOTLANDS LÄN</t>
        </is>
      </c>
      <c r="E414" t="inlineStr">
        <is>
          <t>GOTLAND</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18938-2025</t>
        </is>
      </c>
      <c r="B415" s="1" t="n">
        <v>45764.49172453704</v>
      </c>
      <c r="C415" s="1" t="n">
        <v>46073</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30489-2025</t>
        </is>
      </c>
      <c r="B416" s="1" t="n">
        <v>45830</v>
      </c>
      <c r="C416" s="1" t="n">
        <v>46073</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20307-2025</t>
        </is>
      </c>
      <c r="B417" s="1" t="n">
        <v>45774.95546296296</v>
      </c>
      <c r="C417" s="1" t="n">
        <v>46073</v>
      </c>
      <c r="D417" t="inlineStr">
        <is>
          <t>GOTLANDS LÄN</t>
        </is>
      </c>
      <c r="E417" t="inlineStr">
        <is>
          <t>GOTLAND</t>
        </is>
      </c>
      <c r="G417" t="n">
        <v>6.8</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46073</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31264-2021</t>
        </is>
      </c>
      <c r="B419" s="1" t="n">
        <v>44368</v>
      </c>
      <c r="C419" s="1" t="n">
        <v>46073</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43901-2023</t>
        </is>
      </c>
      <c r="B420" s="1" t="n">
        <v>45187</v>
      </c>
      <c r="C420" s="1" t="n">
        <v>46073</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10746-2025</t>
        </is>
      </c>
      <c r="B421" s="1" t="n">
        <v>45722.42766203704</v>
      </c>
      <c r="C421" s="1" t="n">
        <v>46073</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3067-2026</t>
        </is>
      </c>
      <c r="B422" s="1" t="n">
        <v>46040.59025462963</v>
      </c>
      <c r="C422" s="1" t="n">
        <v>46073</v>
      </c>
      <c r="D422" t="inlineStr">
        <is>
          <t>GOTLANDS LÄN</t>
        </is>
      </c>
      <c r="E422" t="inlineStr">
        <is>
          <t>GOTLAND</t>
        </is>
      </c>
      <c r="G422" t="n">
        <v>7.8</v>
      </c>
      <c r="H422" t="n">
        <v>0</v>
      </c>
      <c r="I422" t="n">
        <v>0</v>
      </c>
      <c r="J422" t="n">
        <v>0</v>
      </c>
      <c r="K422" t="n">
        <v>0</v>
      </c>
      <c r="L422" t="n">
        <v>0</v>
      </c>
      <c r="M422" t="n">
        <v>0</v>
      </c>
      <c r="N422" t="n">
        <v>0</v>
      </c>
      <c r="O422" t="n">
        <v>0</v>
      </c>
      <c r="P422" t="n">
        <v>0</v>
      </c>
      <c r="Q422" t="n">
        <v>0</v>
      </c>
      <c r="R422" s="2" t="inlineStr"/>
    </row>
    <row r="423" ht="15" customHeight="1">
      <c r="A423" t="inlineStr">
        <is>
          <t>A 16501-2023</t>
        </is>
      </c>
      <c r="B423" s="1" t="n">
        <v>45029</v>
      </c>
      <c r="C423" s="1" t="n">
        <v>46073</v>
      </c>
      <c r="D423" t="inlineStr">
        <is>
          <t>GOTLANDS LÄN</t>
        </is>
      </c>
      <c r="E423" t="inlineStr">
        <is>
          <t>GOTLAND</t>
        </is>
      </c>
      <c r="G423" t="n">
        <v>3.1</v>
      </c>
      <c r="H423" t="n">
        <v>0</v>
      </c>
      <c r="I423" t="n">
        <v>0</v>
      </c>
      <c r="J423" t="n">
        <v>0</v>
      </c>
      <c r="K423" t="n">
        <v>0</v>
      </c>
      <c r="L423" t="n">
        <v>0</v>
      </c>
      <c r="M423" t="n">
        <v>0</v>
      </c>
      <c r="N423" t="n">
        <v>0</v>
      </c>
      <c r="O423" t="n">
        <v>0</v>
      </c>
      <c r="P423" t="n">
        <v>0</v>
      </c>
      <c r="Q423" t="n">
        <v>0</v>
      </c>
      <c r="R423" s="2" t="inlineStr"/>
    </row>
    <row r="424" ht="15" customHeight="1">
      <c r="A424" t="inlineStr">
        <is>
          <t>A 3253-2026</t>
        </is>
      </c>
      <c r="B424" s="1" t="n">
        <v>46041.58902777778</v>
      </c>
      <c r="C424" s="1" t="n">
        <v>46073</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27930-2021</t>
        </is>
      </c>
      <c r="B425" s="1" t="n">
        <v>44354</v>
      </c>
      <c r="C425" s="1" t="n">
        <v>46073</v>
      </c>
      <c r="D425" t="inlineStr">
        <is>
          <t>GOTLANDS LÄN</t>
        </is>
      </c>
      <c r="E425" t="inlineStr">
        <is>
          <t>GOTLAND</t>
        </is>
      </c>
      <c r="G425" t="n">
        <v>2.5</v>
      </c>
      <c r="H425" t="n">
        <v>0</v>
      </c>
      <c r="I425" t="n">
        <v>0</v>
      </c>
      <c r="J425" t="n">
        <v>0</v>
      </c>
      <c r="K425" t="n">
        <v>0</v>
      </c>
      <c r="L425" t="n">
        <v>0</v>
      </c>
      <c r="M425" t="n">
        <v>0</v>
      </c>
      <c r="N425" t="n">
        <v>0</v>
      </c>
      <c r="O425" t="n">
        <v>0</v>
      </c>
      <c r="P425" t="n">
        <v>0</v>
      </c>
      <c r="Q425" t="n">
        <v>0</v>
      </c>
      <c r="R425" s="2" t="inlineStr"/>
    </row>
    <row r="426" ht="15" customHeight="1">
      <c r="A426" t="inlineStr">
        <is>
          <t>A 61962-2024</t>
        </is>
      </c>
      <c r="B426" s="1" t="n">
        <v>45653.54340277778</v>
      </c>
      <c r="C426" s="1" t="n">
        <v>46073</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10492-2023</t>
        </is>
      </c>
      <c r="B427" s="1" t="n">
        <v>44987</v>
      </c>
      <c r="C427" s="1" t="n">
        <v>46073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5909-2025</t>
        </is>
      </c>
      <c r="B428" s="1" t="n">
        <v>45695.40634259259</v>
      </c>
      <c r="C428" s="1" t="n">
        <v>46073</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10653-2023</t>
        </is>
      </c>
      <c r="B429" s="1" t="n">
        <v>44988.48859953704</v>
      </c>
      <c r="C429" s="1" t="n">
        <v>46073</v>
      </c>
      <c r="D429" t="inlineStr">
        <is>
          <t>GOTLANDS LÄN</t>
        </is>
      </c>
      <c r="E429" t="inlineStr">
        <is>
          <t>GOTLAND</t>
        </is>
      </c>
      <c r="F429" t="inlineStr">
        <is>
          <t>Kyrkan</t>
        </is>
      </c>
      <c r="G429" t="n">
        <v>3</v>
      </c>
      <c r="H429" t="n">
        <v>0</v>
      </c>
      <c r="I429" t="n">
        <v>0</v>
      </c>
      <c r="J429" t="n">
        <v>0</v>
      </c>
      <c r="K429" t="n">
        <v>0</v>
      </c>
      <c r="L429" t="n">
        <v>0</v>
      </c>
      <c r="M429" t="n">
        <v>0</v>
      </c>
      <c r="N429" t="n">
        <v>0</v>
      </c>
      <c r="O429" t="n">
        <v>0</v>
      </c>
      <c r="P429" t="n">
        <v>0</v>
      </c>
      <c r="Q429" t="n">
        <v>0</v>
      </c>
      <c r="R429" s="2" t="inlineStr"/>
    </row>
    <row r="430" ht="15" customHeight="1">
      <c r="A430" t="inlineStr">
        <is>
          <t>A 4990-2025</t>
        </is>
      </c>
      <c r="B430" s="1" t="n">
        <v>45691</v>
      </c>
      <c r="C430" s="1" t="n">
        <v>46073</v>
      </c>
      <c r="D430" t="inlineStr">
        <is>
          <t>GOTLANDS LÄN</t>
        </is>
      </c>
      <c r="E430" t="inlineStr">
        <is>
          <t>GOTLAND</t>
        </is>
      </c>
      <c r="G430" t="n">
        <v>7.7</v>
      </c>
      <c r="H430" t="n">
        <v>0</v>
      </c>
      <c r="I430" t="n">
        <v>0</v>
      </c>
      <c r="J430" t="n">
        <v>0</v>
      </c>
      <c r="K430" t="n">
        <v>0</v>
      </c>
      <c r="L430" t="n">
        <v>0</v>
      </c>
      <c r="M430" t="n">
        <v>0</v>
      </c>
      <c r="N430" t="n">
        <v>0</v>
      </c>
      <c r="O430" t="n">
        <v>0</v>
      </c>
      <c r="P430" t="n">
        <v>0</v>
      </c>
      <c r="Q430" t="n">
        <v>0</v>
      </c>
      <c r="R430" s="2" t="inlineStr"/>
    </row>
    <row r="431" ht="15" customHeight="1">
      <c r="A431" t="inlineStr">
        <is>
          <t>A 4662-2026</t>
        </is>
      </c>
      <c r="B431" s="1" t="n">
        <v>46048.40949074074</v>
      </c>
      <c r="C431" s="1" t="n">
        <v>46073</v>
      </c>
      <c r="D431" t="inlineStr">
        <is>
          <t>GOTLANDS LÄN</t>
        </is>
      </c>
      <c r="E431" t="inlineStr">
        <is>
          <t>GOTLAND</t>
        </is>
      </c>
      <c r="G431" t="n">
        <v>7.6</v>
      </c>
      <c r="H431" t="n">
        <v>0</v>
      </c>
      <c r="I431" t="n">
        <v>0</v>
      </c>
      <c r="J431" t="n">
        <v>0</v>
      </c>
      <c r="K431" t="n">
        <v>0</v>
      </c>
      <c r="L431" t="n">
        <v>0</v>
      </c>
      <c r="M431" t="n">
        <v>0</v>
      </c>
      <c r="N431" t="n">
        <v>0</v>
      </c>
      <c r="O431" t="n">
        <v>0</v>
      </c>
      <c r="P431" t="n">
        <v>0</v>
      </c>
      <c r="Q431" t="n">
        <v>0</v>
      </c>
      <c r="R431" s="2" t="inlineStr"/>
    </row>
    <row r="432" ht="15" customHeight="1">
      <c r="A432" t="inlineStr">
        <is>
          <t>A 4634-2026</t>
        </is>
      </c>
      <c r="B432" s="1" t="n">
        <v>46048.39304398148</v>
      </c>
      <c r="C432" s="1" t="n">
        <v>46073</v>
      </c>
      <c r="D432" t="inlineStr">
        <is>
          <t>GOTLANDS LÄN</t>
        </is>
      </c>
      <c r="E432" t="inlineStr">
        <is>
          <t>GOTLAND</t>
        </is>
      </c>
      <c r="G432" t="n">
        <v>7.8</v>
      </c>
      <c r="H432" t="n">
        <v>0</v>
      </c>
      <c r="I432" t="n">
        <v>0</v>
      </c>
      <c r="J432" t="n">
        <v>0</v>
      </c>
      <c r="K432" t="n">
        <v>0</v>
      </c>
      <c r="L432" t="n">
        <v>0</v>
      </c>
      <c r="M432" t="n">
        <v>0</v>
      </c>
      <c r="N432" t="n">
        <v>0</v>
      </c>
      <c r="O432" t="n">
        <v>0</v>
      </c>
      <c r="P432" t="n">
        <v>0</v>
      </c>
      <c r="Q432" t="n">
        <v>0</v>
      </c>
      <c r="R432" s="2" t="inlineStr"/>
    </row>
    <row r="433" ht="15" customHeight="1">
      <c r="A433" t="inlineStr">
        <is>
          <t>A 4646-2026</t>
        </is>
      </c>
      <c r="B433" s="1" t="n">
        <v>46048.40357638889</v>
      </c>
      <c r="C433" s="1" t="n">
        <v>46073</v>
      </c>
      <c r="D433" t="inlineStr">
        <is>
          <t>GOTLANDS LÄN</t>
        </is>
      </c>
      <c r="E433" t="inlineStr">
        <is>
          <t>GOTLAND</t>
        </is>
      </c>
      <c r="G433" t="n">
        <v>2.7</v>
      </c>
      <c r="H433" t="n">
        <v>0</v>
      </c>
      <c r="I433" t="n">
        <v>0</v>
      </c>
      <c r="J433" t="n">
        <v>0</v>
      </c>
      <c r="K433" t="n">
        <v>0</v>
      </c>
      <c r="L433" t="n">
        <v>0</v>
      </c>
      <c r="M433" t="n">
        <v>0</v>
      </c>
      <c r="N433" t="n">
        <v>0</v>
      </c>
      <c r="O433" t="n">
        <v>0</v>
      </c>
      <c r="P433" t="n">
        <v>0</v>
      </c>
      <c r="Q433" t="n">
        <v>0</v>
      </c>
      <c r="R433" s="2" t="inlineStr"/>
    </row>
    <row r="434" ht="15" customHeight="1">
      <c r="A434" t="inlineStr">
        <is>
          <t>A 4670-2026</t>
        </is>
      </c>
      <c r="B434" s="1" t="n">
        <v>46048.41733796296</v>
      </c>
      <c r="C434" s="1" t="n">
        <v>46073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43081-2022</t>
        </is>
      </c>
      <c r="B435" s="1" t="n">
        <v>44833</v>
      </c>
      <c r="C435" s="1" t="n">
        <v>46073</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46073</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62066-2025</t>
        </is>
      </c>
      <c r="B437" s="1" t="n">
        <v>46006.34738425926</v>
      </c>
      <c r="C437" s="1" t="n">
        <v>46073</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4639-2026</t>
        </is>
      </c>
      <c r="B438" s="1" t="n">
        <v>46048.39880787037</v>
      </c>
      <c r="C438" s="1" t="n">
        <v>46073</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5884-2025</t>
        </is>
      </c>
      <c r="B439" s="1" t="n">
        <v>45695.37482638889</v>
      </c>
      <c r="C439" s="1" t="n">
        <v>46073</v>
      </c>
      <c r="D439" t="inlineStr">
        <is>
          <t>GOTLANDS LÄN</t>
        </is>
      </c>
      <c r="E439" t="inlineStr">
        <is>
          <t>GOTLAND</t>
        </is>
      </c>
      <c r="G439" t="n">
        <v>2.1</v>
      </c>
      <c r="H439" t="n">
        <v>0</v>
      </c>
      <c r="I439" t="n">
        <v>0</v>
      </c>
      <c r="J439" t="n">
        <v>0</v>
      </c>
      <c r="K439" t="n">
        <v>0</v>
      </c>
      <c r="L439" t="n">
        <v>0</v>
      </c>
      <c r="M439" t="n">
        <v>0</v>
      </c>
      <c r="N439" t="n">
        <v>0</v>
      </c>
      <c r="O439" t="n">
        <v>0</v>
      </c>
      <c r="P439" t="n">
        <v>0</v>
      </c>
      <c r="Q439" t="n">
        <v>0</v>
      </c>
      <c r="R439" s="2" t="inlineStr"/>
    </row>
    <row r="440" ht="15" customHeight="1">
      <c r="A440" t="inlineStr">
        <is>
          <t>A 5897-2025</t>
        </is>
      </c>
      <c r="B440" s="1" t="n">
        <v>45695.39273148148</v>
      </c>
      <c r="C440" s="1" t="n">
        <v>46073</v>
      </c>
      <c r="D440" t="inlineStr">
        <is>
          <t>GOTLANDS LÄN</t>
        </is>
      </c>
      <c r="E440" t="inlineStr">
        <is>
          <t>GOTLAND</t>
        </is>
      </c>
      <c r="G440" t="n">
        <v>3.7</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v>
      </c>
      <c r="C441" s="1" t="n">
        <v>46073</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49693-2023</t>
        </is>
      </c>
      <c r="B442" s="1" t="n">
        <v>45212.38138888889</v>
      </c>
      <c r="C442" s="1" t="n">
        <v>46073</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49697-2023</t>
        </is>
      </c>
      <c r="B443" s="1" t="n">
        <v>45212.38909722222</v>
      </c>
      <c r="C443" s="1" t="n">
        <v>46073</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62751-2025</t>
        </is>
      </c>
      <c r="B444" s="1" t="n">
        <v>46008</v>
      </c>
      <c r="C444" s="1" t="n">
        <v>46073</v>
      </c>
      <c r="D444" t="inlineStr">
        <is>
          <t>GOTLANDS LÄN</t>
        </is>
      </c>
      <c r="E444" t="inlineStr">
        <is>
          <t>GOTLAND</t>
        </is>
      </c>
      <c r="F444" t="inlineStr">
        <is>
          <t>Övriga Aktiebolag</t>
        </is>
      </c>
      <c r="G444" t="n">
        <v>7.8</v>
      </c>
      <c r="H444" t="n">
        <v>0</v>
      </c>
      <c r="I444" t="n">
        <v>0</v>
      </c>
      <c r="J444" t="n">
        <v>0</v>
      </c>
      <c r="K444" t="n">
        <v>0</v>
      </c>
      <c r="L444" t="n">
        <v>0</v>
      </c>
      <c r="M444" t="n">
        <v>0</v>
      </c>
      <c r="N444" t="n">
        <v>0</v>
      </c>
      <c r="O444" t="n">
        <v>0</v>
      </c>
      <c r="P444" t="n">
        <v>0</v>
      </c>
      <c r="Q444" t="n">
        <v>0</v>
      </c>
      <c r="R444" s="2" t="inlineStr"/>
    </row>
    <row r="445" ht="15" customHeight="1">
      <c r="A445" t="inlineStr">
        <is>
          <t>A 17901-2023</t>
        </is>
      </c>
      <c r="B445" s="1" t="n">
        <v>45039</v>
      </c>
      <c r="C445" s="1" t="n">
        <v>46073</v>
      </c>
      <c r="D445" t="inlineStr">
        <is>
          <t>GOTLANDS LÄN</t>
        </is>
      </c>
      <c r="E445" t="inlineStr">
        <is>
          <t>GOTLAND</t>
        </is>
      </c>
      <c r="F445" t="inlineStr">
        <is>
          <t>Kyrkan</t>
        </is>
      </c>
      <c r="G445" t="n">
        <v>0.6</v>
      </c>
      <c r="H445" t="n">
        <v>0</v>
      </c>
      <c r="I445" t="n">
        <v>0</v>
      </c>
      <c r="J445" t="n">
        <v>0</v>
      </c>
      <c r="K445" t="n">
        <v>0</v>
      </c>
      <c r="L445" t="n">
        <v>0</v>
      </c>
      <c r="M445" t="n">
        <v>0</v>
      </c>
      <c r="N445" t="n">
        <v>0</v>
      </c>
      <c r="O445" t="n">
        <v>0</v>
      </c>
      <c r="P445" t="n">
        <v>0</v>
      </c>
      <c r="Q445" t="n">
        <v>0</v>
      </c>
      <c r="R445" s="2" t="inlineStr"/>
    </row>
    <row r="446" ht="15" customHeight="1">
      <c r="A446" t="inlineStr">
        <is>
          <t>A 62754-2025</t>
        </is>
      </c>
      <c r="B446" s="1" t="n">
        <v>46008</v>
      </c>
      <c r="C446" s="1" t="n">
        <v>46073</v>
      </c>
      <c r="D446" t="inlineStr">
        <is>
          <t>GOTLANDS LÄN</t>
        </is>
      </c>
      <c r="E446" t="inlineStr">
        <is>
          <t>GOTLAND</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44467.49048611111</v>
      </c>
      <c r="C447" s="1" t="n">
        <v>46073</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46396-2023</t>
        </is>
      </c>
      <c r="B448" s="1" t="n">
        <v>45197</v>
      </c>
      <c r="C448" s="1" t="n">
        <v>46073</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63000-2025</t>
        </is>
      </c>
      <c r="B449" s="1" t="n">
        <v>46009</v>
      </c>
      <c r="C449" s="1" t="n">
        <v>46073</v>
      </c>
      <c r="D449" t="inlineStr">
        <is>
          <t>GOTLANDS LÄN</t>
        </is>
      </c>
      <c r="E449" t="inlineStr">
        <is>
          <t>GOTLAND</t>
        </is>
      </c>
      <c r="F449" t="inlineStr">
        <is>
          <t>Övriga Aktiebolag</t>
        </is>
      </c>
      <c r="G449" t="n">
        <v>1.7</v>
      </c>
      <c r="H449" t="n">
        <v>0</v>
      </c>
      <c r="I449" t="n">
        <v>0</v>
      </c>
      <c r="J449" t="n">
        <v>0</v>
      </c>
      <c r="K449" t="n">
        <v>0</v>
      </c>
      <c r="L449" t="n">
        <v>0</v>
      </c>
      <c r="M449" t="n">
        <v>0</v>
      </c>
      <c r="N449" t="n">
        <v>0</v>
      </c>
      <c r="O449" t="n">
        <v>0</v>
      </c>
      <c r="P449" t="n">
        <v>0</v>
      </c>
      <c r="Q449" t="n">
        <v>0</v>
      </c>
      <c r="R449" s="2" t="inlineStr"/>
    </row>
    <row r="450" ht="15" customHeight="1">
      <c r="A450" t="inlineStr">
        <is>
          <t>A 47147-2025</t>
        </is>
      </c>
      <c r="B450" s="1" t="n">
        <v>45929</v>
      </c>
      <c r="C450" s="1" t="n">
        <v>46073</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17724-2024</t>
        </is>
      </c>
      <c r="B451" s="1" t="n">
        <v>45418.55096064815</v>
      </c>
      <c r="C451" s="1" t="n">
        <v>46073</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34312-2024</t>
        </is>
      </c>
      <c r="B452" s="1" t="n">
        <v>45524.69703703704</v>
      </c>
      <c r="C452" s="1" t="n">
        <v>46073</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5863-2026</t>
        </is>
      </c>
      <c r="B453" s="1" t="n">
        <v>46052.36697916667</v>
      </c>
      <c r="C453" s="1" t="n">
        <v>46073</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63002-2025</t>
        </is>
      </c>
      <c r="B454" s="1" t="n">
        <v>46009.56564814815</v>
      </c>
      <c r="C454" s="1" t="n">
        <v>46073</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6218-2026</t>
        </is>
      </c>
      <c r="B455" s="1" t="n">
        <v>46055.42859953704</v>
      </c>
      <c r="C455" s="1" t="n">
        <v>46073</v>
      </c>
      <c r="D455" t="inlineStr">
        <is>
          <t>GOTLANDS LÄN</t>
        </is>
      </c>
      <c r="E455" t="inlineStr">
        <is>
          <t>GOTLAND</t>
        </is>
      </c>
      <c r="G455" t="n">
        <v>4.3</v>
      </c>
      <c r="H455" t="n">
        <v>0</v>
      </c>
      <c r="I455" t="n">
        <v>0</v>
      </c>
      <c r="J455" t="n">
        <v>0</v>
      </c>
      <c r="K455" t="n">
        <v>0</v>
      </c>
      <c r="L455" t="n">
        <v>0</v>
      </c>
      <c r="M455" t="n">
        <v>0</v>
      </c>
      <c r="N455" t="n">
        <v>0</v>
      </c>
      <c r="O455" t="n">
        <v>0</v>
      </c>
      <c r="P455" t="n">
        <v>0</v>
      </c>
      <c r="Q455" t="n">
        <v>0</v>
      </c>
      <c r="R455" s="2" t="inlineStr"/>
    </row>
    <row r="456" ht="15" customHeight="1">
      <c r="A456" t="inlineStr">
        <is>
          <t>A 69112-2021</t>
        </is>
      </c>
      <c r="B456" s="1" t="n">
        <v>44530</v>
      </c>
      <c r="C456" s="1" t="n">
        <v>46073</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7638-2025</t>
        </is>
      </c>
      <c r="B457" s="1" t="n">
        <v>45705.77306712963</v>
      </c>
      <c r="C457" s="1" t="n">
        <v>46073</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50482-2024</t>
        </is>
      </c>
      <c r="B458" s="1" t="n">
        <v>45601.48114583334</v>
      </c>
      <c r="C458" s="1" t="n">
        <v>46073</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1394-2023</t>
        </is>
      </c>
      <c r="B459" s="1" t="n">
        <v>44936.72997685185</v>
      </c>
      <c r="C459" s="1" t="n">
        <v>46073</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54584-2025</t>
        </is>
      </c>
      <c r="B460" s="1" t="n">
        <v>45965.71788194445</v>
      </c>
      <c r="C460" s="1" t="n">
        <v>46073</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6207-2026</t>
        </is>
      </c>
      <c r="B461" s="1" t="n">
        <v>46055.42083333333</v>
      </c>
      <c r="C461" s="1" t="n">
        <v>46073</v>
      </c>
      <c r="D461" t="inlineStr">
        <is>
          <t>GOTLANDS LÄN</t>
        </is>
      </c>
      <c r="E461" t="inlineStr">
        <is>
          <t>GOTLAND</t>
        </is>
      </c>
      <c r="G461" t="n">
        <v>7.6</v>
      </c>
      <c r="H461" t="n">
        <v>0</v>
      </c>
      <c r="I461" t="n">
        <v>0</v>
      </c>
      <c r="J461" t="n">
        <v>0</v>
      </c>
      <c r="K461" t="n">
        <v>0</v>
      </c>
      <c r="L461" t="n">
        <v>0</v>
      </c>
      <c r="M461" t="n">
        <v>0</v>
      </c>
      <c r="N461" t="n">
        <v>0</v>
      </c>
      <c r="O461" t="n">
        <v>0</v>
      </c>
      <c r="P461" t="n">
        <v>0</v>
      </c>
      <c r="Q461" t="n">
        <v>0</v>
      </c>
      <c r="R461" s="2" t="inlineStr"/>
    </row>
    <row r="462" ht="15" customHeight="1">
      <c r="A462" t="inlineStr">
        <is>
          <t>A 58230-2024</t>
        </is>
      </c>
      <c r="B462" s="1" t="n">
        <v>45632.51625</v>
      </c>
      <c r="C462" s="1" t="n">
        <v>46073</v>
      </c>
      <c r="D462" t="inlineStr">
        <is>
          <t>GOTLANDS LÄN</t>
        </is>
      </c>
      <c r="E462" t="inlineStr">
        <is>
          <t>GOTLAND</t>
        </is>
      </c>
      <c r="G462" t="n">
        <v>7.3</v>
      </c>
      <c r="H462" t="n">
        <v>0</v>
      </c>
      <c r="I462" t="n">
        <v>0</v>
      </c>
      <c r="J462" t="n">
        <v>0</v>
      </c>
      <c r="K462" t="n">
        <v>0</v>
      </c>
      <c r="L462" t="n">
        <v>0</v>
      </c>
      <c r="M462" t="n">
        <v>0</v>
      </c>
      <c r="N462" t="n">
        <v>0</v>
      </c>
      <c r="O462" t="n">
        <v>0</v>
      </c>
      <c r="P462" t="n">
        <v>0</v>
      </c>
      <c r="Q462" t="n">
        <v>0</v>
      </c>
      <c r="R462" s="2" t="inlineStr"/>
    </row>
    <row r="463" ht="15" customHeight="1">
      <c r="A463" t="inlineStr">
        <is>
          <t>A 1462-2025</t>
        </is>
      </c>
      <c r="B463" s="1" t="n">
        <v>45670.36319444444</v>
      </c>
      <c r="C463" s="1" t="n">
        <v>46073</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6960-2026</t>
        </is>
      </c>
      <c r="B464" s="1" t="n">
        <v>46057.58105324074</v>
      </c>
      <c r="C464" s="1" t="n">
        <v>46073</v>
      </c>
      <c r="D464" t="inlineStr">
        <is>
          <t>GOTLANDS LÄN</t>
        </is>
      </c>
      <c r="E464" t="inlineStr">
        <is>
          <t>GOTLAND</t>
        </is>
      </c>
      <c r="F464" t="inlineStr">
        <is>
          <t>Kyrkan</t>
        </is>
      </c>
      <c r="G464" t="n">
        <v>2.4</v>
      </c>
      <c r="H464" t="n">
        <v>0</v>
      </c>
      <c r="I464" t="n">
        <v>0</v>
      </c>
      <c r="J464" t="n">
        <v>0</v>
      </c>
      <c r="K464" t="n">
        <v>0</v>
      </c>
      <c r="L464" t="n">
        <v>0</v>
      </c>
      <c r="M464" t="n">
        <v>0</v>
      </c>
      <c r="N464" t="n">
        <v>0</v>
      </c>
      <c r="O464" t="n">
        <v>0</v>
      </c>
      <c r="P464" t="n">
        <v>0</v>
      </c>
      <c r="Q464" t="n">
        <v>0</v>
      </c>
      <c r="R464" s="2" t="inlineStr"/>
    </row>
    <row r="465" ht="15" customHeight="1">
      <c r="A465" t="inlineStr">
        <is>
          <t>A 6959-2026</t>
        </is>
      </c>
      <c r="B465" s="1" t="n">
        <v>46057.580625</v>
      </c>
      <c r="C465" s="1" t="n">
        <v>46073</v>
      </c>
      <c r="D465" t="inlineStr">
        <is>
          <t>GOTLANDS LÄN</t>
        </is>
      </c>
      <c r="E465" t="inlineStr">
        <is>
          <t>GOTLAND</t>
        </is>
      </c>
      <c r="F465" t="inlineStr">
        <is>
          <t>Kyrkan</t>
        </is>
      </c>
      <c r="G465" t="n">
        <v>1.2</v>
      </c>
      <c r="H465" t="n">
        <v>0</v>
      </c>
      <c r="I465" t="n">
        <v>0</v>
      </c>
      <c r="J465" t="n">
        <v>0</v>
      </c>
      <c r="K465" t="n">
        <v>0</v>
      </c>
      <c r="L465" t="n">
        <v>0</v>
      </c>
      <c r="M465" t="n">
        <v>0</v>
      </c>
      <c r="N465" t="n">
        <v>0</v>
      </c>
      <c r="O465" t="n">
        <v>0</v>
      </c>
      <c r="P465" t="n">
        <v>0</v>
      </c>
      <c r="Q465" t="n">
        <v>0</v>
      </c>
      <c r="R465" s="2" t="inlineStr"/>
    </row>
    <row r="466" ht="15" customHeight="1">
      <c r="A466" t="inlineStr">
        <is>
          <t>A 25129-2023</t>
        </is>
      </c>
      <c r="B466" s="1" t="n">
        <v>45086.44261574074</v>
      </c>
      <c r="C466" s="1" t="n">
        <v>46073</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24192-2023</t>
        </is>
      </c>
      <c r="B467" s="1" t="n">
        <v>45079</v>
      </c>
      <c r="C467" s="1" t="n">
        <v>46073</v>
      </c>
      <c r="D467" t="inlineStr">
        <is>
          <t>GOTLANDS LÄN</t>
        </is>
      </c>
      <c r="E467" t="inlineStr">
        <is>
          <t>GOTLAND</t>
        </is>
      </c>
      <c r="G467" t="n">
        <v>2.1</v>
      </c>
      <c r="H467" t="n">
        <v>0</v>
      </c>
      <c r="I467" t="n">
        <v>0</v>
      </c>
      <c r="J467" t="n">
        <v>0</v>
      </c>
      <c r="K467" t="n">
        <v>0</v>
      </c>
      <c r="L467" t="n">
        <v>0</v>
      </c>
      <c r="M467" t="n">
        <v>0</v>
      </c>
      <c r="N467" t="n">
        <v>0</v>
      </c>
      <c r="O467" t="n">
        <v>0</v>
      </c>
      <c r="P467" t="n">
        <v>0</v>
      </c>
      <c r="Q467" t="n">
        <v>0</v>
      </c>
      <c r="R467" s="2" t="inlineStr"/>
    </row>
    <row r="468" ht="15" customHeight="1">
      <c r="A468" t="inlineStr">
        <is>
          <t>A 5386-2023</t>
        </is>
      </c>
      <c r="B468" s="1" t="n">
        <v>44959</v>
      </c>
      <c r="C468" s="1" t="n">
        <v>46073</v>
      </c>
      <c r="D468" t="inlineStr">
        <is>
          <t>GOTLANDS LÄN</t>
        </is>
      </c>
      <c r="E468" t="inlineStr">
        <is>
          <t>GOTLAND</t>
        </is>
      </c>
      <c r="G468" t="n">
        <v>5.4</v>
      </c>
      <c r="H468" t="n">
        <v>0</v>
      </c>
      <c r="I468" t="n">
        <v>0</v>
      </c>
      <c r="J468" t="n">
        <v>0</v>
      </c>
      <c r="K468" t="n">
        <v>0</v>
      </c>
      <c r="L468" t="n">
        <v>0</v>
      </c>
      <c r="M468" t="n">
        <v>0</v>
      </c>
      <c r="N468" t="n">
        <v>0</v>
      </c>
      <c r="O468" t="n">
        <v>0</v>
      </c>
      <c r="P468" t="n">
        <v>0</v>
      </c>
      <c r="Q468" t="n">
        <v>0</v>
      </c>
      <c r="R468" s="2" t="inlineStr"/>
    </row>
    <row r="469" ht="15" customHeight="1">
      <c r="A469" t="inlineStr">
        <is>
          <t>A 7026-2023</t>
        </is>
      </c>
      <c r="B469" s="1" t="n">
        <v>44968.30340277778</v>
      </c>
      <c r="C469" s="1" t="n">
        <v>46073</v>
      </c>
      <c r="D469" t="inlineStr">
        <is>
          <t>GOTLANDS LÄN</t>
        </is>
      </c>
      <c r="E469" t="inlineStr">
        <is>
          <t>GOTLAND</t>
        </is>
      </c>
      <c r="G469" t="n">
        <v>2.9</v>
      </c>
      <c r="H469" t="n">
        <v>0</v>
      </c>
      <c r="I469" t="n">
        <v>0</v>
      </c>
      <c r="J469" t="n">
        <v>0</v>
      </c>
      <c r="K469" t="n">
        <v>0</v>
      </c>
      <c r="L469" t="n">
        <v>0</v>
      </c>
      <c r="M469" t="n">
        <v>0</v>
      </c>
      <c r="N469" t="n">
        <v>0</v>
      </c>
      <c r="O469" t="n">
        <v>0</v>
      </c>
      <c r="P469" t="n">
        <v>0</v>
      </c>
      <c r="Q469" t="n">
        <v>0</v>
      </c>
      <c r="R469" s="2" t="inlineStr"/>
    </row>
    <row r="470" ht="15" customHeight="1">
      <c r="A470" t="inlineStr">
        <is>
          <t>A 20855-2023</t>
        </is>
      </c>
      <c r="B470" s="1" t="n">
        <v>45058.82172453704</v>
      </c>
      <c r="C470" s="1" t="n">
        <v>46073</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38649-2025</t>
        </is>
      </c>
      <c r="B471" s="1" t="n">
        <v>45884</v>
      </c>
      <c r="C471" s="1" t="n">
        <v>46073</v>
      </c>
      <c r="D471" t="inlineStr">
        <is>
          <t>GOTLANDS LÄN</t>
        </is>
      </c>
      <c r="E471" t="inlineStr">
        <is>
          <t>GOTLAND</t>
        </is>
      </c>
      <c r="G471" t="n">
        <v>1.5</v>
      </c>
      <c r="H471" t="n">
        <v>0</v>
      </c>
      <c r="I471" t="n">
        <v>0</v>
      </c>
      <c r="J471" t="n">
        <v>0</v>
      </c>
      <c r="K471" t="n">
        <v>0</v>
      </c>
      <c r="L471" t="n">
        <v>0</v>
      </c>
      <c r="M471" t="n">
        <v>0</v>
      </c>
      <c r="N471" t="n">
        <v>0</v>
      </c>
      <c r="O471" t="n">
        <v>0</v>
      </c>
      <c r="P471" t="n">
        <v>0</v>
      </c>
      <c r="Q471" t="n">
        <v>0</v>
      </c>
      <c r="R471" s="2" t="inlineStr"/>
    </row>
    <row r="472" ht="15" customHeight="1">
      <c r="A472" t="inlineStr">
        <is>
          <t>A 1000-2024</t>
        </is>
      </c>
      <c r="B472" s="1" t="n">
        <v>45301.63371527778</v>
      </c>
      <c r="C472" s="1" t="n">
        <v>46073</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1010-2024</t>
        </is>
      </c>
      <c r="B473" s="1" t="n">
        <v>45301</v>
      </c>
      <c r="C473" s="1" t="n">
        <v>46073</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61078-2025</t>
        </is>
      </c>
      <c r="B474" s="1" t="n">
        <v>46000</v>
      </c>
      <c r="C474" s="1" t="n">
        <v>46073</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7625-2026</t>
        </is>
      </c>
      <c r="B475" s="1" t="n">
        <v>46062.35135416667</v>
      </c>
      <c r="C475" s="1" t="n">
        <v>46073</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7627-2026</t>
        </is>
      </c>
      <c r="B476" s="1" t="n">
        <v>46062.35465277778</v>
      </c>
      <c r="C476" s="1" t="n">
        <v>46073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47762-2023</t>
        </is>
      </c>
      <c r="B477" s="1" t="n">
        <v>45203.86256944444</v>
      </c>
      <c r="C477" s="1" t="n">
        <v>46073</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46545-2024</t>
        </is>
      </c>
      <c r="B478" s="1" t="n">
        <v>45582.65831018519</v>
      </c>
      <c r="C478" s="1" t="n">
        <v>46073</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60086-2022</t>
        </is>
      </c>
      <c r="B479" s="1" t="n">
        <v>44909</v>
      </c>
      <c r="C479" s="1" t="n">
        <v>46073</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28480-2023</t>
        </is>
      </c>
      <c r="B480" s="1" t="n">
        <v>45103</v>
      </c>
      <c r="C480" s="1" t="n">
        <v>46073</v>
      </c>
      <c r="D480" t="inlineStr">
        <is>
          <t>GOTLANDS LÄN</t>
        </is>
      </c>
      <c r="E480" t="inlineStr">
        <is>
          <t>GOTLAND</t>
        </is>
      </c>
      <c r="G480" t="n">
        <v>5.7</v>
      </c>
      <c r="H480" t="n">
        <v>0</v>
      </c>
      <c r="I480" t="n">
        <v>0</v>
      </c>
      <c r="J480" t="n">
        <v>0</v>
      </c>
      <c r="K480" t="n">
        <v>0</v>
      </c>
      <c r="L480" t="n">
        <v>0</v>
      </c>
      <c r="M480" t="n">
        <v>0</v>
      </c>
      <c r="N480" t="n">
        <v>0</v>
      </c>
      <c r="O480" t="n">
        <v>0</v>
      </c>
      <c r="P480" t="n">
        <v>0</v>
      </c>
      <c r="Q480" t="n">
        <v>0</v>
      </c>
      <c r="R480" s="2" t="inlineStr"/>
    </row>
    <row r="481" ht="15" customHeight="1">
      <c r="A481" t="inlineStr">
        <is>
          <t>A 28485-2023</t>
        </is>
      </c>
      <c r="B481" s="1" t="n">
        <v>45103.43731481482</v>
      </c>
      <c r="C481" s="1" t="n">
        <v>46073</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46073</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44949-2023</t>
        </is>
      </c>
      <c r="B483" s="1" t="n">
        <v>45190.69520833333</v>
      </c>
      <c r="C483" s="1" t="n">
        <v>46073</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61080-2025</t>
        </is>
      </c>
      <c r="B484" s="1" t="n">
        <v>46000</v>
      </c>
      <c r="C484" s="1" t="n">
        <v>46073</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37222-2021</t>
        </is>
      </c>
      <c r="B485" s="1" t="n">
        <v>44396</v>
      </c>
      <c r="C485" s="1" t="n">
        <v>46073</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36-2026</t>
        </is>
      </c>
      <c r="B486" s="1" t="n">
        <v>46024.38886574074</v>
      </c>
      <c r="C486" s="1" t="n">
        <v>46073</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3964-2024</t>
        </is>
      </c>
      <c r="B487" s="1" t="n">
        <v>45322</v>
      </c>
      <c r="C487" s="1" t="n">
        <v>46073</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45084-2024</t>
        </is>
      </c>
      <c r="B488" s="1" t="n">
        <v>45575</v>
      </c>
      <c r="C488" s="1" t="n">
        <v>46073</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62674-2025</t>
        </is>
      </c>
      <c r="B489" s="1" t="n">
        <v>46008</v>
      </c>
      <c r="C489" s="1" t="n">
        <v>46073</v>
      </c>
      <c r="D489" t="inlineStr">
        <is>
          <t>GOTLANDS LÄN</t>
        </is>
      </c>
      <c r="E489" t="inlineStr">
        <is>
          <t>GOTLAND</t>
        </is>
      </c>
      <c r="G489" t="n">
        <v>5</v>
      </c>
      <c r="H489" t="n">
        <v>0</v>
      </c>
      <c r="I489" t="n">
        <v>0</v>
      </c>
      <c r="J489" t="n">
        <v>0</v>
      </c>
      <c r="K489" t="n">
        <v>0</v>
      </c>
      <c r="L489" t="n">
        <v>0</v>
      </c>
      <c r="M489" t="n">
        <v>0</v>
      </c>
      <c r="N489" t="n">
        <v>0</v>
      </c>
      <c r="O489" t="n">
        <v>0</v>
      </c>
      <c r="P489" t="n">
        <v>0</v>
      </c>
      <c r="Q489" t="n">
        <v>0</v>
      </c>
      <c r="R489" s="2" t="inlineStr"/>
    </row>
    <row r="490" ht="15" customHeight="1">
      <c r="A490" t="inlineStr">
        <is>
          <t>A 53561-2025</t>
        </is>
      </c>
      <c r="B490" s="1" t="n">
        <v>45960.4059375</v>
      </c>
      <c r="C490" s="1" t="n">
        <v>46073</v>
      </c>
      <c r="D490" t="inlineStr">
        <is>
          <t>GOTLANDS LÄN</t>
        </is>
      </c>
      <c r="E490" t="inlineStr">
        <is>
          <t>GOTLAND</t>
        </is>
      </c>
      <c r="F490" t="inlineStr">
        <is>
          <t>Övriga Aktiebolag</t>
        </is>
      </c>
      <c r="G490" t="n">
        <v>2.4</v>
      </c>
      <c r="H490" t="n">
        <v>0</v>
      </c>
      <c r="I490" t="n">
        <v>0</v>
      </c>
      <c r="J490" t="n">
        <v>0</v>
      </c>
      <c r="K490" t="n">
        <v>0</v>
      </c>
      <c r="L490" t="n">
        <v>0</v>
      </c>
      <c r="M490" t="n">
        <v>0</v>
      </c>
      <c r="N490" t="n">
        <v>0</v>
      </c>
      <c r="O490" t="n">
        <v>0</v>
      </c>
      <c r="P490" t="n">
        <v>0</v>
      </c>
      <c r="Q490" t="n">
        <v>0</v>
      </c>
      <c r="R490" s="2" t="inlineStr"/>
    </row>
    <row r="491" ht="15" customHeight="1">
      <c r="A491" t="inlineStr">
        <is>
          <t>A 60384-2025</t>
        </is>
      </c>
      <c r="B491" s="1" t="n">
        <v>45995</v>
      </c>
      <c r="C491" s="1" t="n">
        <v>46073</v>
      </c>
      <c r="D491" t="inlineStr">
        <is>
          <t>GOTLANDS LÄN</t>
        </is>
      </c>
      <c r="E491" t="inlineStr">
        <is>
          <t>GOTLAND</t>
        </is>
      </c>
      <c r="G491" t="n">
        <v>2.5</v>
      </c>
      <c r="H491" t="n">
        <v>0</v>
      </c>
      <c r="I491" t="n">
        <v>0</v>
      </c>
      <c r="J491" t="n">
        <v>0</v>
      </c>
      <c r="K491" t="n">
        <v>0</v>
      </c>
      <c r="L491" t="n">
        <v>0</v>
      </c>
      <c r="M491" t="n">
        <v>0</v>
      </c>
      <c r="N491" t="n">
        <v>0</v>
      </c>
      <c r="O491" t="n">
        <v>0</v>
      </c>
      <c r="P491" t="n">
        <v>0</v>
      </c>
      <c r="Q491" t="n">
        <v>0</v>
      </c>
      <c r="R491" s="2" t="inlineStr"/>
    </row>
    <row r="492" ht="15" customHeight="1">
      <c r="A492" t="inlineStr">
        <is>
          <t>A 53587-2025</t>
        </is>
      </c>
      <c r="B492" s="1" t="n">
        <v>45960.43681712963</v>
      </c>
      <c r="C492" s="1" t="n">
        <v>46073</v>
      </c>
      <c r="D492" t="inlineStr">
        <is>
          <t>GOTLANDS LÄN</t>
        </is>
      </c>
      <c r="E492" t="inlineStr">
        <is>
          <t>GOTLAND</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5217-2023</t>
        </is>
      </c>
      <c r="B493" s="1" t="n">
        <v>44959.39582175926</v>
      </c>
      <c r="C493" s="1" t="n">
        <v>46073</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1677-2023</t>
        </is>
      </c>
      <c r="B494" s="1" t="n">
        <v>44938</v>
      </c>
      <c r="C494" s="1" t="n">
        <v>46073</v>
      </c>
      <c r="D494" t="inlineStr">
        <is>
          <t>GOTLANDS LÄN</t>
        </is>
      </c>
      <c r="E494" t="inlineStr">
        <is>
          <t>GOTLAND</t>
        </is>
      </c>
      <c r="G494" t="n">
        <v>1.6</v>
      </c>
      <c r="H494" t="n">
        <v>0</v>
      </c>
      <c r="I494" t="n">
        <v>0</v>
      </c>
      <c r="J494" t="n">
        <v>0</v>
      </c>
      <c r="K494" t="n">
        <v>0</v>
      </c>
      <c r="L494" t="n">
        <v>0</v>
      </c>
      <c r="M494" t="n">
        <v>0</v>
      </c>
      <c r="N494" t="n">
        <v>0</v>
      </c>
      <c r="O494" t="n">
        <v>0</v>
      </c>
      <c r="P494" t="n">
        <v>0</v>
      </c>
      <c r="Q494" t="n">
        <v>0</v>
      </c>
      <c r="R494" s="2" t="inlineStr"/>
    </row>
    <row r="495" ht="15" customHeight="1">
      <c r="A495" t="inlineStr">
        <is>
          <t>A 45244-2024</t>
        </is>
      </c>
      <c r="B495" s="1" t="n">
        <v>45576</v>
      </c>
      <c r="C495" s="1" t="n">
        <v>46073</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46071.62486111111</v>
      </c>
      <c r="C496" s="1" t="n">
        <v>46073</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9521-2026</t>
        </is>
      </c>
      <c r="B497" s="1" t="n">
        <v>46071.59969907408</v>
      </c>
      <c r="C497" s="1" t="n">
        <v>46073</v>
      </c>
      <c r="D497" t="inlineStr">
        <is>
          <t>GOTLANDS LÄN</t>
        </is>
      </c>
      <c r="E497" t="inlineStr">
        <is>
          <t>GOTLAND</t>
        </is>
      </c>
      <c r="G497" t="n">
        <v>3.9</v>
      </c>
      <c r="H497" t="n">
        <v>0</v>
      </c>
      <c r="I497" t="n">
        <v>0</v>
      </c>
      <c r="J497" t="n">
        <v>0</v>
      </c>
      <c r="K497" t="n">
        <v>0</v>
      </c>
      <c r="L497" t="n">
        <v>0</v>
      </c>
      <c r="M497" t="n">
        <v>0</v>
      </c>
      <c r="N497" t="n">
        <v>0</v>
      </c>
      <c r="O497" t="n">
        <v>0</v>
      </c>
      <c r="P497" t="n">
        <v>0</v>
      </c>
      <c r="Q497" t="n">
        <v>0</v>
      </c>
      <c r="R497" s="2" t="inlineStr"/>
    </row>
    <row r="498" ht="15" customHeight="1">
      <c r="A498" t="inlineStr">
        <is>
          <t>A 9524-2026</t>
        </is>
      </c>
      <c r="B498" s="1" t="n">
        <v>46071.60108796296</v>
      </c>
      <c r="C498" s="1" t="n">
        <v>46073</v>
      </c>
      <c r="D498" t="inlineStr">
        <is>
          <t>GOTLANDS LÄN</t>
        </is>
      </c>
      <c r="E498" t="inlineStr">
        <is>
          <t>GOTLAND</t>
        </is>
      </c>
      <c r="G498" t="n">
        <v>2.5</v>
      </c>
      <c r="H498" t="n">
        <v>0</v>
      </c>
      <c r="I498" t="n">
        <v>0</v>
      </c>
      <c r="J498" t="n">
        <v>0</v>
      </c>
      <c r="K498" t="n">
        <v>0</v>
      </c>
      <c r="L498" t="n">
        <v>0</v>
      </c>
      <c r="M498" t="n">
        <v>0</v>
      </c>
      <c r="N498" t="n">
        <v>0</v>
      </c>
      <c r="O498" t="n">
        <v>0</v>
      </c>
      <c r="P498" t="n">
        <v>0</v>
      </c>
      <c r="Q498" t="n">
        <v>0</v>
      </c>
      <c r="R498" s="2" t="inlineStr"/>
    </row>
    <row r="499" ht="15" customHeight="1">
      <c r="A499" t="inlineStr">
        <is>
          <t>A 8260-2023</t>
        </is>
      </c>
      <c r="B499" s="1" t="n">
        <v>44974.61608796296</v>
      </c>
      <c r="C499" s="1" t="n">
        <v>46073</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9518-2026</t>
        </is>
      </c>
      <c r="B500" s="1" t="n">
        <v>46071.59653935185</v>
      </c>
      <c r="C500" s="1" t="n">
        <v>46073</v>
      </c>
      <c r="D500" t="inlineStr">
        <is>
          <t>GOTLANDS LÄN</t>
        </is>
      </c>
      <c r="E500" t="inlineStr">
        <is>
          <t>GOTLAND</t>
        </is>
      </c>
      <c r="G500" t="n">
        <v>6.2</v>
      </c>
      <c r="H500" t="n">
        <v>0</v>
      </c>
      <c r="I500" t="n">
        <v>0</v>
      </c>
      <c r="J500" t="n">
        <v>0</v>
      </c>
      <c r="K500" t="n">
        <v>0</v>
      </c>
      <c r="L500" t="n">
        <v>0</v>
      </c>
      <c r="M500" t="n">
        <v>0</v>
      </c>
      <c r="N500" t="n">
        <v>0</v>
      </c>
      <c r="O500" t="n">
        <v>0</v>
      </c>
      <c r="P500" t="n">
        <v>0</v>
      </c>
      <c r="Q500" t="n">
        <v>0</v>
      </c>
      <c r="R500" s="2" t="inlineStr"/>
    </row>
    <row r="501" ht="15" customHeight="1">
      <c r="A501" t="inlineStr">
        <is>
          <t>A 64969-2023</t>
        </is>
      </c>
      <c r="B501" s="1" t="n">
        <v>45284.54009259259</v>
      </c>
      <c r="C501" s="1" t="n">
        <v>46073</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48843-2024</t>
        </is>
      </c>
      <c r="B502" s="1" t="n">
        <v>45593</v>
      </c>
      <c r="C502" s="1" t="n">
        <v>46073</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17541-2024</t>
        </is>
      </c>
      <c r="B503" s="1" t="n">
        <v>45415</v>
      </c>
      <c r="C503" s="1" t="n">
        <v>46073</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9519-2026</t>
        </is>
      </c>
      <c r="B504" s="1" t="n">
        <v>46071.59820601852</v>
      </c>
      <c r="C504" s="1" t="n">
        <v>46073</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9540-2026</t>
        </is>
      </c>
      <c r="B505" s="1" t="n">
        <v>46071.61961805556</v>
      </c>
      <c r="C505" s="1" t="n">
        <v>46073</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2241-2025</t>
        </is>
      </c>
      <c r="B506" s="1" t="n">
        <v>45673.48710648148</v>
      </c>
      <c r="C506" s="1" t="n">
        <v>46073</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9504-2026</t>
        </is>
      </c>
      <c r="B507" s="1" t="n">
        <v>46071.57730324074</v>
      </c>
      <c r="C507" s="1" t="n">
        <v>46073</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63105-2025</t>
        </is>
      </c>
      <c r="B508" s="1" t="n">
        <v>46009</v>
      </c>
      <c r="C508" s="1" t="n">
        <v>46073</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63152-2025</t>
        </is>
      </c>
      <c r="B509" s="1" t="n">
        <v>46010</v>
      </c>
      <c r="C509" s="1" t="n">
        <v>46073</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62836-2025</t>
        </is>
      </c>
      <c r="B510" s="1" t="n">
        <v>46008</v>
      </c>
      <c r="C510" s="1" t="n">
        <v>46073</v>
      </c>
      <c r="D510" t="inlineStr">
        <is>
          <t>GOTLANDS LÄN</t>
        </is>
      </c>
      <c r="E510" t="inlineStr">
        <is>
          <t>GOTLAND</t>
        </is>
      </c>
      <c r="G510" t="n">
        <v>6.5</v>
      </c>
      <c r="H510" t="n">
        <v>0</v>
      </c>
      <c r="I510" t="n">
        <v>0</v>
      </c>
      <c r="J510" t="n">
        <v>0</v>
      </c>
      <c r="K510" t="n">
        <v>0</v>
      </c>
      <c r="L510" t="n">
        <v>0</v>
      </c>
      <c r="M510" t="n">
        <v>0</v>
      </c>
      <c r="N510" t="n">
        <v>0</v>
      </c>
      <c r="O510" t="n">
        <v>0</v>
      </c>
      <c r="P510" t="n">
        <v>0</v>
      </c>
      <c r="Q510" t="n">
        <v>0</v>
      </c>
      <c r="R510" s="2" t="inlineStr"/>
    </row>
    <row r="511" ht="15" customHeight="1">
      <c r="A511" t="inlineStr">
        <is>
          <t>A 15434-2024</t>
        </is>
      </c>
      <c r="B511" s="1" t="n">
        <v>45401.38836805556</v>
      </c>
      <c r="C511" s="1" t="n">
        <v>46073</v>
      </c>
      <c r="D511" t="inlineStr">
        <is>
          <t>GOTLANDS LÄN</t>
        </is>
      </c>
      <c r="E511" t="inlineStr">
        <is>
          <t>GOTLAND</t>
        </is>
      </c>
      <c r="G511" t="n">
        <v>2.5</v>
      </c>
      <c r="H511" t="n">
        <v>0</v>
      </c>
      <c r="I511" t="n">
        <v>0</v>
      </c>
      <c r="J511" t="n">
        <v>0</v>
      </c>
      <c r="K511" t="n">
        <v>0</v>
      </c>
      <c r="L511" t="n">
        <v>0</v>
      </c>
      <c r="M511" t="n">
        <v>0</v>
      </c>
      <c r="N511" t="n">
        <v>0</v>
      </c>
      <c r="O511" t="n">
        <v>0</v>
      </c>
      <c r="P511" t="n">
        <v>0</v>
      </c>
      <c r="Q511" t="n">
        <v>0</v>
      </c>
      <c r="R511" s="2" t="inlineStr"/>
    </row>
    <row r="512" ht="15" customHeight="1">
      <c r="A512" t="inlineStr">
        <is>
          <t>A 5943-2024</t>
        </is>
      </c>
      <c r="B512" s="1" t="n">
        <v>45336</v>
      </c>
      <c r="C512" s="1" t="n">
        <v>46073</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54073-2022</t>
        </is>
      </c>
      <c r="B513" s="1" t="n">
        <v>44881.50380787037</v>
      </c>
      <c r="C513" s="1" t="n">
        <v>46073</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16361-2024</t>
        </is>
      </c>
      <c r="B514" s="1" t="n">
        <v>45407</v>
      </c>
      <c r="C514" s="1" t="n">
        <v>46073</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41038-2023</t>
        </is>
      </c>
      <c r="B515" s="1" t="n">
        <v>45173.60959490741</v>
      </c>
      <c r="C515" s="1" t="n">
        <v>46073</v>
      </c>
      <c r="D515" t="inlineStr">
        <is>
          <t>GOTLANDS LÄN</t>
        </is>
      </c>
      <c r="E515" t="inlineStr">
        <is>
          <t>GOTLAND</t>
        </is>
      </c>
      <c r="G515" t="n">
        <v>2.7</v>
      </c>
      <c r="H515" t="n">
        <v>0</v>
      </c>
      <c r="I515" t="n">
        <v>0</v>
      </c>
      <c r="J515" t="n">
        <v>0</v>
      </c>
      <c r="K515" t="n">
        <v>0</v>
      </c>
      <c r="L515" t="n">
        <v>0</v>
      </c>
      <c r="M515" t="n">
        <v>0</v>
      </c>
      <c r="N515" t="n">
        <v>0</v>
      </c>
      <c r="O515" t="n">
        <v>0</v>
      </c>
      <c r="P515" t="n">
        <v>0</v>
      </c>
      <c r="Q515" t="n">
        <v>0</v>
      </c>
      <c r="R515" s="2" t="inlineStr"/>
    </row>
    <row r="516" ht="15" customHeight="1">
      <c r="A516" t="inlineStr">
        <is>
          <t>A 14427-2024</t>
        </is>
      </c>
      <c r="B516" s="1" t="n">
        <v>45394</v>
      </c>
      <c r="C516" s="1" t="n">
        <v>46073</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31802-2024</t>
        </is>
      </c>
      <c r="B517" s="1" t="n">
        <v>45509</v>
      </c>
      <c r="C517" s="1" t="n">
        <v>46073</v>
      </c>
      <c r="D517" t="inlineStr">
        <is>
          <t>GOTLANDS LÄN</t>
        </is>
      </c>
      <c r="E517" t="inlineStr">
        <is>
          <t>GOTLAND</t>
        </is>
      </c>
      <c r="G517" t="n">
        <v>2.8</v>
      </c>
      <c r="H517" t="n">
        <v>0</v>
      </c>
      <c r="I517" t="n">
        <v>0</v>
      </c>
      <c r="J517" t="n">
        <v>0</v>
      </c>
      <c r="K517" t="n">
        <v>0</v>
      </c>
      <c r="L517" t="n">
        <v>0</v>
      </c>
      <c r="M517" t="n">
        <v>0</v>
      </c>
      <c r="N517" t="n">
        <v>0</v>
      </c>
      <c r="O517" t="n">
        <v>0</v>
      </c>
      <c r="P517" t="n">
        <v>0</v>
      </c>
      <c r="Q517" t="n">
        <v>0</v>
      </c>
      <c r="R517" s="2" t="inlineStr"/>
    </row>
    <row r="518" ht="15" customHeight="1">
      <c r="A518" t="inlineStr">
        <is>
          <t>A 8036-2022</t>
        </is>
      </c>
      <c r="B518" s="1" t="n">
        <v>44609.44362268518</v>
      </c>
      <c r="C518" s="1" t="n">
        <v>46073</v>
      </c>
      <c r="D518" t="inlineStr">
        <is>
          <t>GOTLANDS LÄN</t>
        </is>
      </c>
      <c r="E518" t="inlineStr">
        <is>
          <t>GOTLAND</t>
        </is>
      </c>
      <c r="G518" t="n">
        <v>6.1</v>
      </c>
      <c r="H518" t="n">
        <v>0</v>
      </c>
      <c r="I518" t="n">
        <v>0</v>
      </c>
      <c r="J518" t="n">
        <v>0</v>
      </c>
      <c r="K518" t="n">
        <v>0</v>
      </c>
      <c r="L518" t="n">
        <v>0</v>
      </c>
      <c r="M518" t="n">
        <v>0</v>
      </c>
      <c r="N518" t="n">
        <v>0</v>
      </c>
      <c r="O518" t="n">
        <v>0</v>
      </c>
      <c r="P518" t="n">
        <v>0</v>
      </c>
      <c r="Q518" t="n">
        <v>0</v>
      </c>
      <c r="R518" s="2" t="inlineStr"/>
    </row>
    <row r="519" ht="15" customHeight="1">
      <c r="A519" t="inlineStr">
        <is>
          <t>A 12846-2025</t>
        </is>
      </c>
      <c r="B519" s="1" t="n">
        <v>45733.65049768519</v>
      </c>
      <c r="C519" s="1" t="n">
        <v>46073</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46949-2024</t>
        </is>
      </c>
      <c r="B520" s="1" t="n">
        <v>45585</v>
      </c>
      <c r="C520" s="1" t="n">
        <v>46073</v>
      </c>
      <c r="D520" t="inlineStr">
        <is>
          <t>GOTLANDS LÄN</t>
        </is>
      </c>
      <c r="E520" t="inlineStr">
        <is>
          <t>GOTLAND</t>
        </is>
      </c>
      <c r="G520" t="n">
        <v>0.6</v>
      </c>
      <c r="H520" t="n">
        <v>0</v>
      </c>
      <c r="I520" t="n">
        <v>0</v>
      </c>
      <c r="J520" t="n">
        <v>0</v>
      </c>
      <c r="K520" t="n">
        <v>0</v>
      </c>
      <c r="L520" t="n">
        <v>0</v>
      </c>
      <c r="M520" t="n">
        <v>0</v>
      </c>
      <c r="N520" t="n">
        <v>0</v>
      </c>
      <c r="O520" t="n">
        <v>0</v>
      </c>
      <c r="P520" t="n">
        <v>0</v>
      </c>
      <c r="Q520" t="n">
        <v>0</v>
      </c>
      <c r="R520" s="2" t="inlineStr"/>
    </row>
    <row r="521" ht="15" customHeight="1">
      <c r="A521" t="inlineStr">
        <is>
          <t>A 10650-2022</t>
        </is>
      </c>
      <c r="B521" s="1" t="n">
        <v>44624.57945601852</v>
      </c>
      <c r="C521" s="1" t="n">
        <v>46073</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11634-2024</t>
        </is>
      </c>
      <c r="B522" s="1" t="n">
        <v>45373</v>
      </c>
      <c r="C522" s="1" t="n">
        <v>46073</v>
      </c>
      <c r="D522" t="inlineStr">
        <is>
          <t>GOTLANDS LÄN</t>
        </is>
      </c>
      <c r="E522" t="inlineStr">
        <is>
          <t>GOTLAND</t>
        </is>
      </c>
      <c r="G522" t="n">
        <v>3</v>
      </c>
      <c r="H522" t="n">
        <v>0</v>
      </c>
      <c r="I522" t="n">
        <v>0</v>
      </c>
      <c r="J522" t="n">
        <v>0</v>
      </c>
      <c r="K522" t="n">
        <v>0</v>
      </c>
      <c r="L522" t="n">
        <v>0</v>
      </c>
      <c r="M522" t="n">
        <v>0</v>
      </c>
      <c r="N522" t="n">
        <v>0</v>
      </c>
      <c r="O522" t="n">
        <v>0</v>
      </c>
      <c r="P522" t="n">
        <v>0</v>
      </c>
      <c r="Q522" t="n">
        <v>0</v>
      </c>
      <c r="R522" s="2" t="inlineStr"/>
    </row>
    <row r="523" ht="15" customHeight="1">
      <c r="A523" t="inlineStr">
        <is>
          <t>A 1351-2025</t>
        </is>
      </c>
      <c r="B523" s="1" t="n">
        <v>45667.62246527777</v>
      </c>
      <c r="C523" s="1" t="n">
        <v>46073</v>
      </c>
      <c r="D523" t="inlineStr">
        <is>
          <t>GOTLANDS LÄN</t>
        </is>
      </c>
      <c r="E523" t="inlineStr">
        <is>
          <t>GOTLAND</t>
        </is>
      </c>
      <c r="G523" t="n">
        <v>1.3</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46073</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49874-2024</t>
        </is>
      </c>
      <c r="B525" s="1" t="n">
        <v>45597.49274305555</v>
      </c>
      <c r="C525" s="1" t="n">
        <v>46073</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42201-2023</t>
        </is>
      </c>
      <c r="B526" s="1" t="n">
        <v>45179</v>
      </c>
      <c r="C526" s="1" t="n">
        <v>46073</v>
      </c>
      <c r="D526" t="inlineStr">
        <is>
          <t>GOTLANDS LÄN</t>
        </is>
      </c>
      <c r="E526" t="inlineStr">
        <is>
          <t>GOTLAND</t>
        </is>
      </c>
      <c r="G526" t="n">
        <v>11.9</v>
      </c>
      <c r="H526" t="n">
        <v>0</v>
      </c>
      <c r="I526" t="n">
        <v>0</v>
      </c>
      <c r="J526" t="n">
        <v>0</v>
      </c>
      <c r="K526" t="n">
        <v>0</v>
      </c>
      <c r="L526" t="n">
        <v>0</v>
      </c>
      <c r="M526" t="n">
        <v>0</v>
      </c>
      <c r="N526" t="n">
        <v>0</v>
      </c>
      <c r="O526" t="n">
        <v>0</v>
      </c>
      <c r="P526" t="n">
        <v>0</v>
      </c>
      <c r="Q526" t="n">
        <v>0</v>
      </c>
      <c r="R526" s="2" t="inlineStr"/>
    </row>
    <row r="527" ht="15" customHeight="1">
      <c r="A527" t="inlineStr">
        <is>
          <t>A 46400-2023</t>
        </is>
      </c>
      <c r="B527" s="1" t="n">
        <v>45197.49290509259</v>
      </c>
      <c r="C527" s="1" t="n">
        <v>46073</v>
      </c>
      <c r="D527" t="inlineStr">
        <is>
          <t>GOTLANDS LÄN</t>
        </is>
      </c>
      <c r="E527" t="inlineStr">
        <is>
          <t>GOTLAND</t>
        </is>
      </c>
      <c r="G527" t="n">
        <v>0.8</v>
      </c>
      <c r="H527" t="n">
        <v>0</v>
      </c>
      <c r="I527" t="n">
        <v>0</v>
      </c>
      <c r="J527" t="n">
        <v>0</v>
      </c>
      <c r="K527" t="n">
        <v>0</v>
      </c>
      <c r="L527" t="n">
        <v>0</v>
      </c>
      <c r="M527" t="n">
        <v>0</v>
      </c>
      <c r="N527" t="n">
        <v>0</v>
      </c>
      <c r="O527" t="n">
        <v>0</v>
      </c>
      <c r="P527" t="n">
        <v>0</v>
      </c>
      <c r="Q527" t="n">
        <v>0</v>
      </c>
      <c r="R527" s="2" t="inlineStr"/>
    </row>
    <row r="528" ht="15" customHeight="1">
      <c r="A528" t="inlineStr">
        <is>
          <t>A 9875-2025</t>
        </is>
      </c>
      <c r="B528" s="1" t="n">
        <v>45716</v>
      </c>
      <c r="C528" s="1" t="n">
        <v>46073</v>
      </c>
      <c r="D528" t="inlineStr">
        <is>
          <t>GOTLANDS LÄN</t>
        </is>
      </c>
      <c r="E528" t="inlineStr">
        <is>
          <t>GOTLAND</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21164-2024</t>
        </is>
      </c>
      <c r="B529" s="1" t="n">
        <v>45440</v>
      </c>
      <c r="C529" s="1" t="n">
        <v>46073</v>
      </c>
      <c r="D529" t="inlineStr">
        <is>
          <t>GOTLANDS LÄN</t>
        </is>
      </c>
      <c r="E529" t="inlineStr">
        <is>
          <t>GOTLAND</t>
        </is>
      </c>
      <c r="G529" t="n">
        <v>6.3</v>
      </c>
      <c r="H529" t="n">
        <v>0</v>
      </c>
      <c r="I529" t="n">
        <v>0</v>
      </c>
      <c r="J529" t="n">
        <v>0</v>
      </c>
      <c r="K529" t="n">
        <v>0</v>
      </c>
      <c r="L529" t="n">
        <v>0</v>
      </c>
      <c r="M529" t="n">
        <v>0</v>
      </c>
      <c r="N529" t="n">
        <v>0</v>
      </c>
      <c r="O529" t="n">
        <v>0</v>
      </c>
      <c r="P529" t="n">
        <v>0</v>
      </c>
      <c r="Q529" t="n">
        <v>0</v>
      </c>
      <c r="R529" s="2" t="inlineStr"/>
    </row>
    <row r="530" ht="15" customHeight="1">
      <c r="A530" t="inlineStr">
        <is>
          <t>A 8045-2022</t>
        </is>
      </c>
      <c r="B530" s="1" t="n">
        <v>44609</v>
      </c>
      <c r="C530" s="1" t="n">
        <v>46073</v>
      </c>
      <c r="D530" t="inlineStr">
        <is>
          <t>GOTLANDS LÄN</t>
        </is>
      </c>
      <c r="E530" t="inlineStr">
        <is>
          <t>GOTLAND</t>
        </is>
      </c>
      <c r="G530" t="n">
        <v>7</v>
      </c>
      <c r="H530" t="n">
        <v>0</v>
      </c>
      <c r="I530" t="n">
        <v>0</v>
      </c>
      <c r="J530" t="n">
        <v>0</v>
      </c>
      <c r="K530" t="n">
        <v>0</v>
      </c>
      <c r="L530" t="n">
        <v>0</v>
      </c>
      <c r="M530" t="n">
        <v>0</v>
      </c>
      <c r="N530" t="n">
        <v>0</v>
      </c>
      <c r="O530" t="n">
        <v>0</v>
      </c>
      <c r="P530" t="n">
        <v>0</v>
      </c>
      <c r="Q530" t="n">
        <v>0</v>
      </c>
      <c r="R530" s="2" t="inlineStr"/>
    </row>
    <row r="531" ht="15" customHeight="1">
      <c r="A531" t="inlineStr">
        <is>
          <t>A 22897-2023</t>
        </is>
      </c>
      <c r="B531" s="1" t="n">
        <v>45072.55239583334</v>
      </c>
      <c r="C531" s="1" t="n">
        <v>46073</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61897-2024</t>
        </is>
      </c>
      <c r="B532" s="1" t="n">
        <v>45652.75685185185</v>
      </c>
      <c r="C532" s="1" t="n">
        <v>46073</v>
      </c>
      <c r="D532" t="inlineStr">
        <is>
          <t>GOTLANDS LÄN</t>
        </is>
      </c>
      <c r="E532" t="inlineStr">
        <is>
          <t>GOTLAND</t>
        </is>
      </c>
      <c r="G532" t="n">
        <v>6.4</v>
      </c>
      <c r="H532" t="n">
        <v>0</v>
      </c>
      <c r="I532" t="n">
        <v>0</v>
      </c>
      <c r="J532" t="n">
        <v>0</v>
      </c>
      <c r="K532" t="n">
        <v>0</v>
      </c>
      <c r="L532" t="n">
        <v>0</v>
      </c>
      <c r="M532" t="n">
        <v>0</v>
      </c>
      <c r="N532" t="n">
        <v>0</v>
      </c>
      <c r="O532" t="n">
        <v>0</v>
      </c>
      <c r="P532" t="n">
        <v>0</v>
      </c>
      <c r="Q532" t="n">
        <v>0</v>
      </c>
      <c r="R532" s="2" t="inlineStr"/>
    </row>
    <row r="533" ht="15" customHeight="1">
      <c r="A533" t="inlineStr">
        <is>
          <t>A 49962-2023</t>
        </is>
      </c>
      <c r="B533" s="1" t="n">
        <v>45215.38775462963</v>
      </c>
      <c r="C533" s="1" t="n">
        <v>46073</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20165-2022</t>
        </is>
      </c>
      <c r="B534" s="1" t="n">
        <v>44698.49854166667</v>
      </c>
      <c r="C534" s="1" t="n">
        <v>46073</v>
      </c>
      <c r="D534" t="inlineStr">
        <is>
          <t>GOTLANDS LÄN</t>
        </is>
      </c>
      <c r="E534" t="inlineStr">
        <is>
          <t>GOTLAND</t>
        </is>
      </c>
      <c r="G534" t="n">
        <v>4.1</v>
      </c>
      <c r="H534" t="n">
        <v>0</v>
      </c>
      <c r="I534" t="n">
        <v>0</v>
      </c>
      <c r="J534" t="n">
        <v>0</v>
      </c>
      <c r="K534" t="n">
        <v>0</v>
      </c>
      <c r="L534" t="n">
        <v>0</v>
      </c>
      <c r="M534" t="n">
        <v>0</v>
      </c>
      <c r="N534" t="n">
        <v>0</v>
      </c>
      <c r="O534" t="n">
        <v>0</v>
      </c>
      <c r="P534" t="n">
        <v>0</v>
      </c>
      <c r="Q534" t="n">
        <v>0</v>
      </c>
      <c r="R534" s="2" t="inlineStr"/>
    </row>
    <row r="535" ht="15" customHeight="1">
      <c r="A535" t="inlineStr">
        <is>
          <t>A 40294-2022</t>
        </is>
      </c>
      <c r="B535" s="1" t="n">
        <v>44821</v>
      </c>
      <c r="C535" s="1" t="n">
        <v>46073</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12032-2025</t>
        </is>
      </c>
      <c r="B536" s="1" t="n">
        <v>45728.64472222222</v>
      </c>
      <c r="C536" s="1" t="n">
        <v>46073</v>
      </c>
      <c r="D536" t="inlineStr">
        <is>
          <t>GOTLANDS LÄN</t>
        </is>
      </c>
      <c r="E536" t="inlineStr">
        <is>
          <t>GOTLAND</t>
        </is>
      </c>
      <c r="G536" t="n">
        <v>1.4</v>
      </c>
      <c r="H536" t="n">
        <v>0</v>
      </c>
      <c r="I536" t="n">
        <v>0</v>
      </c>
      <c r="J536" t="n">
        <v>0</v>
      </c>
      <c r="K536" t="n">
        <v>0</v>
      </c>
      <c r="L536" t="n">
        <v>0</v>
      </c>
      <c r="M536" t="n">
        <v>0</v>
      </c>
      <c r="N536" t="n">
        <v>0</v>
      </c>
      <c r="O536" t="n">
        <v>0</v>
      </c>
      <c r="P536" t="n">
        <v>0</v>
      </c>
      <c r="Q536" t="n">
        <v>0</v>
      </c>
      <c r="R536" s="2" t="inlineStr"/>
    </row>
    <row r="537" ht="15" customHeight="1">
      <c r="A537" t="inlineStr">
        <is>
          <t>A 38787-2023</t>
        </is>
      </c>
      <c r="B537" s="1" t="n">
        <v>45163</v>
      </c>
      <c r="C537" s="1" t="n">
        <v>46073</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46073</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17532-2024</t>
        </is>
      </c>
      <c r="B539" s="1" t="n">
        <v>45415</v>
      </c>
      <c r="C539" s="1" t="n">
        <v>46073</v>
      </c>
      <c r="D539" t="inlineStr">
        <is>
          <t>GOTLANDS LÄN</t>
        </is>
      </c>
      <c r="E539" t="inlineStr">
        <is>
          <t>GOTLAND</t>
        </is>
      </c>
      <c r="G539" t="n">
        <v>4.3</v>
      </c>
      <c r="H539" t="n">
        <v>0</v>
      </c>
      <c r="I539" t="n">
        <v>0</v>
      </c>
      <c r="J539" t="n">
        <v>0</v>
      </c>
      <c r="K539" t="n">
        <v>0</v>
      </c>
      <c r="L539" t="n">
        <v>0</v>
      </c>
      <c r="M539" t="n">
        <v>0</v>
      </c>
      <c r="N539" t="n">
        <v>0</v>
      </c>
      <c r="O539" t="n">
        <v>0</v>
      </c>
      <c r="P539" t="n">
        <v>0</v>
      </c>
      <c r="Q539" t="n">
        <v>0</v>
      </c>
      <c r="R539" s="2" t="inlineStr"/>
    </row>
    <row r="540" ht="15" customHeight="1">
      <c r="A540" t="inlineStr">
        <is>
          <t>A 3935-2025</t>
        </is>
      </c>
      <c r="B540" s="1" t="n">
        <v>45684.46070601852</v>
      </c>
      <c r="C540" s="1" t="n">
        <v>46073</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46073</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883-2025</t>
        </is>
      </c>
      <c r="B542" s="1" t="n">
        <v>45665</v>
      </c>
      <c r="C542" s="1" t="n">
        <v>46073</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1066-2024</t>
        </is>
      </c>
      <c r="B543" s="1" t="n">
        <v>45302.285</v>
      </c>
      <c r="C543" s="1" t="n">
        <v>46073</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17144-2025</t>
        </is>
      </c>
      <c r="B544" s="1" t="n">
        <v>45755.9499537037</v>
      </c>
      <c r="C544" s="1" t="n">
        <v>46073</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56009-2024</t>
        </is>
      </c>
      <c r="B545" s="1" t="n">
        <v>45623.80864583333</v>
      </c>
      <c r="C545" s="1" t="n">
        <v>46073</v>
      </c>
      <c r="D545" t="inlineStr">
        <is>
          <t>GOTLANDS LÄN</t>
        </is>
      </c>
      <c r="E545" t="inlineStr">
        <is>
          <t>GOTLAND</t>
        </is>
      </c>
      <c r="G545" t="n">
        <v>2.8</v>
      </c>
      <c r="H545" t="n">
        <v>0</v>
      </c>
      <c r="I545" t="n">
        <v>0</v>
      </c>
      <c r="J545" t="n">
        <v>0</v>
      </c>
      <c r="K545" t="n">
        <v>0</v>
      </c>
      <c r="L545" t="n">
        <v>0</v>
      </c>
      <c r="M545" t="n">
        <v>0</v>
      </c>
      <c r="N545" t="n">
        <v>0</v>
      </c>
      <c r="O545" t="n">
        <v>0</v>
      </c>
      <c r="P545" t="n">
        <v>0</v>
      </c>
      <c r="Q545" t="n">
        <v>0</v>
      </c>
      <c r="R545" s="2" t="inlineStr"/>
    </row>
    <row r="546" ht="15" customHeight="1">
      <c r="A546" t="inlineStr">
        <is>
          <t>A 42338-2023</t>
        </is>
      </c>
      <c r="B546" s="1" t="n">
        <v>45180</v>
      </c>
      <c r="C546" s="1" t="n">
        <v>46073</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46073</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61386-2023</t>
        </is>
      </c>
      <c r="B548" s="1" t="n">
        <v>45264</v>
      </c>
      <c r="C548" s="1" t="n">
        <v>46073</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873-2024</t>
        </is>
      </c>
      <c r="B549" s="1" t="n">
        <v>45301</v>
      </c>
      <c r="C549" s="1" t="n">
        <v>46073</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49411-2023</t>
        </is>
      </c>
      <c r="B550" s="1" t="n">
        <v>45205</v>
      </c>
      <c r="C550" s="1" t="n">
        <v>46073</v>
      </c>
      <c r="D550" t="inlineStr">
        <is>
          <t>GOTLANDS LÄN</t>
        </is>
      </c>
      <c r="E550" t="inlineStr">
        <is>
          <t>GOTLAND</t>
        </is>
      </c>
      <c r="G550" t="n">
        <v>2</v>
      </c>
      <c r="H550" t="n">
        <v>0</v>
      </c>
      <c r="I550" t="n">
        <v>0</v>
      </c>
      <c r="J550" t="n">
        <v>0</v>
      </c>
      <c r="K550" t="n">
        <v>0</v>
      </c>
      <c r="L550" t="n">
        <v>0</v>
      </c>
      <c r="M550" t="n">
        <v>0</v>
      </c>
      <c r="N550" t="n">
        <v>0</v>
      </c>
      <c r="O550" t="n">
        <v>0</v>
      </c>
      <c r="P550" t="n">
        <v>0</v>
      </c>
      <c r="Q550" t="n">
        <v>0</v>
      </c>
      <c r="R550" s="2" t="inlineStr"/>
    </row>
    <row r="551" ht="15" customHeight="1">
      <c r="A551" t="inlineStr">
        <is>
          <t>A 22275-2023</t>
        </is>
      </c>
      <c r="B551" s="1" t="n">
        <v>45070.39875</v>
      </c>
      <c r="C551" s="1" t="n">
        <v>46073</v>
      </c>
      <c r="D551" t="inlineStr">
        <is>
          <t>GOTLANDS LÄN</t>
        </is>
      </c>
      <c r="E551" t="inlineStr">
        <is>
          <t>GOTLAND</t>
        </is>
      </c>
      <c r="G551" t="n">
        <v>7.2</v>
      </c>
      <c r="H551" t="n">
        <v>0</v>
      </c>
      <c r="I551" t="n">
        <v>0</v>
      </c>
      <c r="J551" t="n">
        <v>0</v>
      </c>
      <c r="K551" t="n">
        <v>0</v>
      </c>
      <c r="L551" t="n">
        <v>0</v>
      </c>
      <c r="M551" t="n">
        <v>0</v>
      </c>
      <c r="N551" t="n">
        <v>0</v>
      </c>
      <c r="O551" t="n">
        <v>0</v>
      </c>
      <c r="P551" t="n">
        <v>0</v>
      </c>
      <c r="Q551" t="n">
        <v>0</v>
      </c>
      <c r="R551" s="2" t="inlineStr"/>
    </row>
    <row r="552" ht="15" customHeight="1">
      <c r="A552" t="inlineStr">
        <is>
          <t>A 12322-2025</t>
        </is>
      </c>
      <c r="B552" s="1" t="n">
        <v>45730</v>
      </c>
      <c r="C552" s="1" t="n">
        <v>46073</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14797-2024</t>
        </is>
      </c>
      <c r="B553" s="1" t="n">
        <v>45397.87030092593</v>
      </c>
      <c r="C553" s="1" t="n">
        <v>46073</v>
      </c>
      <c r="D553" t="inlineStr">
        <is>
          <t>GOTLANDS LÄN</t>
        </is>
      </c>
      <c r="E553" t="inlineStr">
        <is>
          <t>GOTLAND</t>
        </is>
      </c>
      <c r="G553" t="n">
        <v>8.1</v>
      </c>
      <c r="H553" t="n">
        <v>0</v>
      </c>
      <c r="I553" t="n">
        <v>0</v>
      </c>
      <c r="J553" t="n">
        <v>0</v>
      </c>
      <c r="K553" t="n">
        <v>0</v>
      </c>
      <c r="L553" t="n">
        <v>0</v>
      </c>
      <c r="M553" t="n">
        <v>0</v>
      </c>
      <c r="N553" t="n">
        <v>0</v>
      </c>
      <c r="O553" t="n">
        <v>0</v>
      </c>
      <c r="P553" t="n">
        <v>0</v>
      </c>
      <c r="Q553" t="n">
        <v>0</v>
      </c>
      <c r="R553" s="2" t="inlineStr"/>
    </row>
    <row r="554" ht="15" customHeight="1">
      <c r="A554" t="inlineStr">
        <is>
          <t>A 999-2024</t>
        </is>
      </c>
      <c r="B554" s="1" t="n">
        <v>45301</v>
      </c>
      <c r="C554" s="1" t="n">
        <v>46073</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61596-2023</t>
        </is>
      </c>
      <c r="B555" s="1" t="n">
        <v>45265</v>
      </c>
      <c r="C555" s="1" t="n">
        <v>46073</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14638-2025</t>
        </is>
      </c>
      <c r="B556" s="1" t="n">
        <v>45742</v>
      </c>
      <c r="C556" s="1" t="n">
        <v>46073</v>
      </c>
      <c r="D556" t="inlineStr">
        <is>
          <t>GOTLANDS LÄN</t>
        </is>
      </c>
      <c r="E556" t="inlineStr">
        <is>
          <t>GOTLAND</t>
        </is>
      </c>
      <c r="G556" t="n">
        <v>13.4</v>
      </c>
      <c r="H556" t="n">
        <v>0</v>
      </c>
      <c r="I556" t="n">
        <v>0</v>
      </c>
      <c r="J556" t="n">
        <v>0</v>
      </c>
      <c r="K556" t="n">
        <v>0</v>
      </c>
      <c r="L556" t="n">
        <v>0</v>
      </c>
      <c r="M556" t="n">
        <v>0</v>
      </c>
      <c r="N556" t="n">
        <v>0</v>
      </c>
      <c r="O556" t="n">
        <v>0</v>
      </c>
      <c r="P556" t="n">
        <v>0</v>
      </c>
      <c r="Q556" t="n">
        <v>0</v>
      </c>
      <c r="R556" s="2" t="inlineStr"/>
    </row>
    <row r="557" ht="15" customHeight="1">
      <c r="A557" t="inlineStr">
        <is>
          <t>A 60675-2021</t>
        </is>
      </c>
      <c r="B557" s="1" t="n">
        <v>44496.64855324074</v>
      </c>
      <c r="C557" s="1" t="n">
        <v>46073</v>
      </c>
      <c r="D557" t="inlineStr">
        <is>
          <t>GOTLANDS LÄN</t>
        </is>
      </c>
      <c r="E557" t="inlineStr">
        <is>
          <t>GOTLAND</t>
        </is>
      </c>
      <c r="G557" t="n">
        <v>4.6</v>
      </c>
      <c r="H557" t="n">
        <v>0</v>
      </c>
      <c r="I557" t="n">
        <v>0</v>
      </c>
      <c r="J557" t="n">
        <v>0</v>
      </c>
      <c r="K557" t="n">
        <v>0</v>
      </c>
      <c r="L557" t="n">
        <v>0</v>
      </c>
      <c r="M557" t="n">
        <v>0</v>
      </c>
      <c r="N557" t="n">
        <v>0</v>
      </c>
      <c r="O557" t="n">
        <v>0</v>
      </c>
      <c r="P557" t="n">
        <v>0</v>
      </c>
      <c r="Q557" t="n">
        <v>0</v>
      </c>
      <c r="R557" s="2" t="inlineStr"/>
    </row>
    <row r="558" ht="15" customHeight="1">
      <c r="A558" t="inlineStr">
        <is>
          <t>A 37728-2024</t>
        </is>
      </c>
      <c r="B558" s="1" t="n">
        <v>45541</v>
      </c>
      <c r="C558" s="1" t="n">
        <v>46073</v>
      </c>
      <c r="D558" t="inlineStr">
        <is>
          <t>GOTLANDS LÄN</t>
        </is>
      </c>
      <c r="E558" t="inlineStr">
        <is>
          <t>GOTLAND</t>
        </is>
      </c>
      <c r="G558" t="n">
        <v>0.4</v>
      </c>
      <c r="H558" t="n">
        <v>0</v>
      </c>
      <c r="I558" t="n">
        <v>0</v>
      </c>
      <c r="J558" t="n">
        <v>0</v>
      </c>
      <c r="K558" t="n">
        <v>0</v>
      </c>
      <c r="L558" t="n">
        <v>0</v>
      </c>
      <c r="M558" t="n">
        <v>0</v>
      </c>
      <c r="N558" t="n">
        <v>0</v>
      </c>
      <c r="O558" t="n">
        <v>0</v>
      </c>
      <c r="P558" t="n">
        <v>0</v>
      </c>
      <c r="Q558" t="n">
        <v>0</v>
      </c>
      <c r="R558" s="2" t="inlineStr"/>
    </row>
    <row r="559" ht="15" customHeight="1">
      <c r="A559" t="inlineStr">
        <is>
          <t>A 22287-2022</t>
        </is>
      </c>
      <c r="B559" s="1" t="n">
        <v>44712</v>
      </c>
      <c r="C559" s="1" t="n">
        <v>46073</v>
      </c>
      <c r="D559" t="inlineStr">
        <is>
          <t>GOTLANDS LÄN</t>
        </is>
      </c>
      <c r="E559" t="inlineStr">
        <is>
          <t>GOTLAND</t>
        </is>
      </c>
      <c r="G559" t="n">
        <v>6.1</v>
      </c>
      <c r="H559" t="n">
        <v>0</v>
      </c>
      <c r="I559" t="n">
        <v>0</v>
      </c>
      <c r="J559" t="n">
        <v>0</v>
      </c>
      <c r="K559" t="n">
        <v>0</v>
      </c>
      <c r="L559" t="n">
        <v>0</v>
      </c>
      <c r="M559" t="n">
        <v>0</v>
      </c>
      <c r="N559" t="n">
        <v>0</v>
      </c>
      <c r="O559" t="n">
        <v>0</v>
      </c>
      <c r="P559" t="n">
        <v>0</v>
      </c>
      <c r="Q559" t="n">
        <v>0</v>
      </c>
      <c r="R559" s="2" t="inlineStr"/>
    </row>
    <row r="560" ht="15" customHeight="1">
      <c r="A560" t="inlineStr">
        <is>
          <t>A 54074-2022</t>
        </is>
      </c>
      <c r="B560" s="1" t="n">
        <v>44881</v>
      </c>
      <c r="C560" s="1" t="n">
        <v>46073</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65249-2023</t>
        </is>
      </c>
      <c r="B561" s="1" t="n">
        <v>45290</v>
      </c>
      <c r="C561" s="1" t="n">
        <v>46073</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13910-2025</t>
        </is>
      </c>
      <c r="B562" s="1" t="n">
        <v>45737</v>
      </c>
      <c r="C562" s="1" t="n">
        <v>46073</v>
      </c>
      <c r="D562" t="inlineStr">
        <is>
          <t>GOTLANDS LÄN</t>
        </is>
      </c>
      <c r="E562" t="inlineStr">
        <is>
          <t>GOTLAND</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17780-2022</t>
        </is>
      </c>
      <c r="B563" s="1" t="n">
        <v>44682.82622685185</v>
      </c>
      <c r="C563" s="1" t="n">
        <v>46073</v>
      </c>
      <c r="D563" t="inlineStr">
        <is>
          <t>GOTLANDS LÄN</t>
        </is>
      </c>
      <c r="E563" t="inlineStr">
        <is>
          <t>GOTLAND</t>
        </is>
      </c>
      <c r="G563" t="n">
        <v>2.2</v>
      </c>
      <c r="H563" t="n">
        <v>0</v>
      </c>
      <c r="I563" t="n">
        <v>0</v>
      </c>
      <c r="J563" t="n">
        <v>0</v>
      </c>
      <c r="K563" t="n">
        <v>0</v>
      </c>
      <c r="L563" t="n">
        <v>0</v>
      </c>
      <c r="M563" t="n">
        <v>0</v>
      </c>
      <c r="N563" t="n">
        <v>0</v>
      </c>
      <c r="O563" t="n">
        <v>0</v>
      </c>
      <c r="P563" t="n">
        <v>0</v>
      </c>
      <c r="Q563" t="n">
        <v>0</v>
      </c>
      <c r="R563" s="2" t="inlineStr"/>
    </row>
    <row r="564" ht="15" customHeight="1">
      <c r="A564" t="inlineStr">
        <is>
          <t>A 59986-2022</t>
        </is>
      </c>
      <c r="B564" s="1" t="n">
        <v>44909</v>
      </c>
      <c r="C564" s="1" t="n">
        <v>46073</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14536-2021</t>
        </is>
      </c>
      <c r="B565" s="1" t="n">
        <v>44279.66168981481</v>
      </c>
      <c r="C565" s="1" t="n">
        <v>46073</v>
      </c>
      <c r="D565" t="inlineStr">
        <is>
          <t>GOTLANDS LÄN</t>
        </is>
      </c>
      <c r="E565" t="inlineStr">
        <is>
          <t>GOTLAND</t>
        </is>
      </c>
      <c r="G565" t="n">
        <v>8.5</v>
      </c>
      <c r="H565" t="n">
        <v>0</v>
      </c>
      <c r="I565" t="n">
        <v>0</v>
      </c>
      <c r="J565" t="n">
        <v>0</v>
      </c>
      <c r="K565" t="n">
        <v>0</v>
      </c>
      <c r="L565" t="n">
        <v>0</v>
      </c>
      <c r="M565" t="n">
        <v>0</v>
      </c>
      <c r="N565" t="n">
        <v>0</v>
      </c>
      <c r="O565" t="n">
        <v>0</v>
      </c>
      <c r="P565" t="n">
        <v>0</v>
      </c>
      <c r="Q565" t="n">
        <v>0</v>
      </c>
      <c r="R565" s="2" t="inlineStr"/>
    </row>
    <row r="566" ht="15" customHeight="1">
      <c r="A566" t="inlineStr">
        <is>
          <t>A 11874-2024</t>
        </is>
      </c>
      <c r="B566" s="1" t="n">
        <v>45376.46956018519</v>
      </c>
      <c r="C566" s="1" t="n">
        <v>46073</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42041-2024</t>
        </is>
      </c>
      <c r="B567" s="1" t="n">
        <v>45561</v>
      </c>
      <c r="C567" s="1" t="n">
        <v>46073</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61694-2023</t>
        </is>
      </c>
      <c r="B568" s="1" t="n">
        <v>45264</v>
      </c>
      <c r="C568" s="1" t="n">
        <v>46073</v>
      </c>
      <c r="D568" t="inlineStr">
        <is>
          <t>GOTLANDS LÄN</t>
        </is>
      </c>
      <c r="E568" t="inlineStr">
        <is>
          <t>GOTLAND</t>
        </is>
      </c>
      <c r="G568" t="n">
        <v>4.6</v>
      </c>
      <c r="H568" t="n">
        <v>0</v>
      </c>
      <c r="I568" t="n">
        <v>0</v>
      </c>
      <c r="J568" t="n">
        <v>0</v>
      </c>
      <c r="K568" t="n">
        <v>0</v>
      </c>
      <c r="L568" t="n">
        <v>0</v>
      </c>
      <c r="M568" t="n">
        <v>0</v>
      </c>
      <c r="N568" t="n">
        <v>0</v>
      </c>
      <c r="O568" t="n">
        <v>0</v>
      </c>
      <c r="P568" t="n">
        <v>0</v>
      </c>
      <c r="Q568" t="n">
        <v>0</v>
      </c>
      <c r="R568" s="2" t="inlineStr"/>
    </row>
    <row r="569" ht="15" customHeight="1">
      <c r="A569" t="inlineStr">
        <is>
          <t>A 64555-2023</t>
        </is>
      </c>
      <c r="B569" s="1" t="n">
        <v>45281</v>
      </c>
      <c r="C569" s="1" t="n">
        <v>46073</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64831-2023</t>
        </is>
      </c>
      <c r="B570" s="1" t="n">
        <v>45282.44924768519</v>
      </c>
      <c r="C570" s="1" t="n">
        <v>46073</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14804-2021</t>
        </is>
      </c>
      <c r="B571" s="1" t="n">
        <v>44280</v>
      </c>
      <c r="C571" s="1" t="n">
        <v>46073</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46073</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27602-2023</t>
        </is>
      </c>
      <c r="B573" s="1" t="n">
        <v>45097</v>
      </c>
      <c r="C573" s="1" t="n">
        <v>46073</v>
      </c>
      <c r="D573" t="inlineStr">
        <is>
          <t>GOTLANDS LÄN</t>
        </is>
      </c>
      <c r="E573" t="inlineStr">
        <is>
          <t>GOTLAND</t>
        </is>
      </c>
      <c r="G573" t="n">
        <v>2.7</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44955.5502662037</v>
      </c>
      <c r="C574" s="1" t="n">
        <v>46073</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44955.73359953704</v>
      </c>
      <c r="C575" s="1" t="n">
        <v>46073</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39479-2022</t>
        </is>
      </c>
      <c r="B576" s="1" t="n">
        <v>44818</v>
      </c>
      <c r="C576" s="1" t="n">
        <v>46073</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51963-2024</t>
        </is>
      </c>
      <c r="B577" s="1" t="n">
        <v>45607.64833333333</v>
      </c>
      <c r="C577" s="1" t="n">
        <v>46073</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46073</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46389-2021</t>
        </is>
      </c>
      <c r="B579" s="1" t="n">
        <v>44443</v>
      </c>
      <c r="C579" s="1" t="n">
        <v>46073</v>
      </c>
      <c r="D579" t="inlineStr">
        <is>
          <t>GOTLANDS LÄN</t>
        </is>
      </c>
      <c r="E579" t="inlineStr">
        <is>
          <t>GOTLAND</t>
        </is>
      </c>
      <c r="F579" t="inlineStr">
        <is>
          <t>Kyrkan</t>
        </is>
      </c>
      <c r="G579" t="n">
        <v>2.1</v>
      </c>
      <c r="H579" t="n">
        <v>0</v>
      </c>
      <c r="I579" t="n">
        <v>0</v>
      </c>
      <c r="J579" t="n">
        <v>0</v>
      </c>
      <c r="K579" t="n">
        <v>0</v>
      </c>
      <c r="L579" t="n">
        <v>0</v>
      </c>
      <c r="M579" t="n">
        <v>0</v>
      </c>
      <c r="N579" t="n">
        <v>0</v>
      </c>
      <c r="O579" t="n">
        <v>0</v>
      </c>
      <c r="P579" t="n">
        <v>0</v>
      </c>
      <c r="Q579" t="n">
        <v>0</v>
      </c>
      <c r="R579" s="2" t="inlineStr"/>
    </row>
    <row r="580" ht="15" customHeight="1">
      <c r="A580" t="inlineStr">
        <is>
          <t>A 26810-2021</t>
        </is>
      </c>
      <c r="B580" s="1" t="n">
        <v>44349.55087962963</v>
      </c>
      <c r="C580" s="1" t="n">
        <v>46073</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44963.69503472222</v>
      </c>
      <c r="C581" s="1" t="n">
        <v>46073</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33853-2024</t>
        </is>
      </c>
      <c r="B582" s="1" t="n">
        <v>45520.64298611111</v>
      </c>
      <c r="C582" s="1" t="n">
        <v>46073</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18918-2025</t>
        </is>
      </c>
      <c r="B583" s="1" t="n">
        <v>45764</v>
      </c>
      <c r="C583" s="1" t="n">
        <v>46073</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46073</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44988.49543981482</v>
      </c>
      <c r="C585" s="1" t="n">
        <v>46073</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2719-2023</t>
        </is>
      </c>
      <c r="B586" s="1" t="n">
        <v>44944.55361111111</v>
      </c>
      <c r="C586" s="1" t="n">
        <v>46073</v>
      </c>
      <c r="D586" t="inlineStr">
        <is>
          <t>GOTLANDS LÄN</t>
        </is>
      </c>
      <c r="E586" t="inlineStr">
        <is>
          <t>GOTLAND</t>
        </is>
      </c>
      <c r="G586" t="n">
        <v>0.5</v>
      </c>
      <c r="H586" t="n">
        <v>0</v>
      </c>
      <c r="I586" t="n">
        <v>0</v>
      </c>
      <c r="J586" t="n">
        <v>0</v>
      </c>
      <c r="K586" t="n">
        <v>0</v>
      </c>
      <c r="L586" t="n">
        <v>0</v>
      </c>
      <c r="M586" t="n">
        <v>0</v>
      </c>
      <c r="N586" t="n">
        <v>0</v>
      </c>
      <c r="O586" t="n">
        <v>0</v>
      </c>
      <c r="P586" t="n">
        <v>0</v>
      </c>
      <c r="Q586" t="n">
        <v>0</v>
      </c>
      <c r="R586" s="2" t="inlineStr"/>
    </row>
    <row r="587" ht="15" customHeight="1">
      <c r="A587" t="inlineStr">
        <is>
          <t>A 26891-2024</t>
        </is>
      </c>
      <c r="B587" s="1" t="n">
        <v>45470.65540509259</v>
      </c>
      <c r="C587" s="1" t="n">
        <v>46073</v>
      </c>
      <c r="D587" t="inlineStr">
        <is>
          <t>GOTLANDS LÄN</t>
        </is>
      </c>
      <c r="E587" t="inlineStr">
        <is>
          <t>GOTLAND</t>
        </is>
      </c>
      <c r="G587" t="n">
        <v>0.8</v>
      </c>
      <c r="H587" t="n">
        <v>0</v>
      </c>
      <c r="I587" t="n">
        <v>0</v>
      </c>
      <c r="J587" t="n">
        <v>0</v>
      </c>
      <c r="K587" t="n">
        <v>0</v>
      </c>
      <c r="L587" t="n">
        <v>0</v>
      </c>
      <c r="M587" t="n">
        <v>0</v>
      </c>
      <c r="N587" t="n">
        <v>0</v>
      </c>
      <c r="O587" t="n">
        <v>0</v>
      </c>
      <c r="P587" t="n">
        <v>0</v>
      </c>
      <c r="Q587" t="n">
        <v>0</v>
      </c>
      <c r="R587" s="2" t="inlineStr"/>
    </row>
    <row r="588" ht="15" customHeight="1">
      <c r="A588" t="inlineStr">
        <is>
          <t>A 42007-2023</t>
        </is>
      </c>
      <c r="B588" s="1" t="n">
        <v>45177</v>
      </c>
      <c r="C588" s="1" t="n">
        <v>46073</v>
      </c>
      <c r="D588" t="inlineStr">
        <is>
          <t>GOTLANDS LÄN</t>
        </is>
      </c>
      <c r="E588" t="inlineStr">
        <is>
          <t>GOTLAND</t>
        </is>
      </c>
      <c r="G588" t="n">
        <v>0.8</v>
      </c>
      <c r="H588" t="n">
        <v>0</v>
      </c>
      <c r="I588" t="n">
        <v>0</v>
      </c>
      <c r="J588" t="n">
        <v>0</v>
      </c>
      <c r="K588" t="n">
        <v>0</v>
      </c>
      <c r="L588" t="n">
        <v>0</v>
      </c>
      <c r="M588" t="n">
        <v>0</v>
      </c>
      <c r="N588" t="n">
        <v>0</v>
      </c>
      <c r="O588" t="n">
        <v>0</v>
      </c>
      <c r="P588" t="n">
        <v>0</v>
      </c>
      <c r="Q588" t="n">
        <v>0</v>
      </c>
      <c r="R588" s="2" t="inlineStr"/>
    </row>
    <row r="589" ht="15" customHeight="1">
      <c r="A589" t="inlineStr">
        <is>
          <t>A 9887-2025</t>
        </is>
      </c>
      <c r="B589" s="1" t="n">
        <v>45716</v>
      </c>
      <c r="C589" s="1" t="n">
        <v>46073</v>
      </c>
      <c r="D589" t="inlineStr">
        <is>
          <t>GOTLANDS LÄN</t>
        </is>
      </c>
      <c r="E589" t="inlineStr">
        <is>
          <t>GOTLAND</t>
        </is>
      </c>
      <c r="G589" t="n">
        <v>7.5</v>
      </c>
      <c r="H589" t="n">
        <v>0</v>
      </c>
      <c r="I589" t="n">
        <v>0</v>
      </c>
      <c r="J589" t="n">
        <v>0</v>
      </c>
      <c r="K589" t="n">
        <v>0</v>
      </c>
      <c r="L589" t="n">
        <v>0</v>
      </c>
      <c r="M589" t="n">
        <v>0</v>
      </c>
      <c r="N589" t="n">
        <v>0</v>
      </c>
      <c r="O589" t="n">
        <v>0</v>
      </c>
      <c r="P589" t="n">
        <v>0</v>
      </c>
      <c r="Q589" t="n">
        <v>0</v>
      </c>
      <c r="R589" s="2" t="inlineStr"/>
    </row>
    <row r="590" ht="15" customHeight="1">
      <c r="A590" t="inlineStr">
        <is>
          <t>A 38165-2023</t>
        </is>
      </c>
      <c r="B590" s="1" t="n">
        <v>45161</v>
      </c>
      <c r="C590" s="1" t="n">
        <v>46073</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27596-2023</t>
        </is>
      </c>
      <c r="B591" s="1" t="n">
        <v>45097</v>
      </c>
      <c r="C591" s="1" t="n">
        <v>46073</v>
      </c>
      <c r="D591" t="inlineStr">
        <is>
          <t>GOTLANDS LÄN</t>
        </is>
      </c>
      <c r="E591" t="inlineStr">
        <is>
          <t>GOTLAND</t>
        </is>
      </c>
      <c r="G591" t="n">
        <v>3.6</v>
      </c>
      <c r="H591" t="n">
        <v>0</v>
      </c>
      <c r="I591" t="n">
        <v>0</v>
      </c>
      <c r="J591" t="n">
        <v>0</v>
      </c>
      <c r="K591" t="n">
        <v>0</v>
      </c>
      <c r="L591" t="n">
        <v>0</v>
      </c>
      <c r="M591" t="n">
        <v>0</v>
      </c>
      <c r="N591" t="n">
        <v>0</v>
      </c>
      <c r="O591" t="n">
        <v>0</v>
      </c>
      <c r="P591" t="n">
        <v>0</v>
      </c>
      <c r="Q591" t="n">
        <v>0</v>
      </c>
      <c r="R591" s="2" t="inlineStr"/>
    </row>
    <row r="592" ht="15" customHeight="1">
      <c r="A592" t="inlineStr">
        <is>
          <t>A 24825-2024</t>
        </is>
      </c>
      <c r="B592" s="1" t="n">
        <v>45461</v>
      </c>
      <c r="C592" s="1" t="n">
        <v>46073</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6696-2023</t>
        </is>
      </c>
      <c r="B593" s="1" t="n">
        <v>44966.66425925926</v>
      </c>
      <c r="C593" s="1" t="n">
        <v>46073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21247-2022</t>
        </is>
      </c>
      <c r="B594" s="1" t="n">
        <v>44705.38832175926</v>
      </c>
      <c r="C594" s="1" t="n">
        <v>46073</v>
      </c>
      <c r="D594" t="inlineStr">
        <is>
          <t>GOTLANDS LÄN</t>
        </is>
      </c>
      <c r="E594" t="inlineStr">
        <is>
          <t>GOTLAND</t>
        </is>
      </c>
      <c r="G594" t="n">
        <v>16.2</v>
      </c>
      <c r="H594" t="n">
        <v>0</v>
      </c>
      <c r="I594" t="n">
        <v>0</v>
      </c>
      <c r="J594" t="n">
        <v>0</v>
      </c>
      <c r="K594" t="n">
        <v>0</v>
      </c>
      <c r="L594" t="n">
        <v>0</v>
      </c>
      <c r="M594" t="n">
        <v>0</v>
      </c>
      <c r="N594" t="n">
        <v>0</v>
      </c>
      <c r="O594" t="n">
        <v>0</v>
      </c>
      <c r="P594" t="n">
        <v>0</v>
      </c>
      <c r="Q594" t="n">
        <v>0</v>
      </c>
      <c r="R594" s="2" t="inlineStr"/>
    </row>
    <row r="595" ht="15" customHeight="1">
      <c r="A595" t="inlineStr">
        <is>
          <t>A 456-2023</t>
        </is>
      </c>
      <c r="B595" s="1" t="n">
        <v>44929.87122685185</v>
      </c>
      <c r="C595" s="1" t="n">
        <v>46073</v>
      </c>
      <c r="D595" t="inlineStr">
        <is>
          <t>GOTLANDS LÄN</t>
        </is>
      </c>
      <c r="E595" t="inlineStr">
        <is>
          <t>GOTLAND</t>
        </is>
      </c>
      <c r="G595" t="n">
        <v>3.2</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44944.54896990741</v>
      </c>
      <c r="C596" s="1" t="n">
        <v>46073</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4421-2024</t>
        </is>
      </c>
      <c r="B597" s="1" t="n">
        <v>45327.45173611111</v>
      </c>
      <c r="C597" s="1" t="n">
        <v>46073</v>
      </c>
      <c r="D597" t="inlineStr">
        <is>
          <t>GOTLANDS LÄN</t>
        </is>
      </c>
      <c r="E597" t="inlineStr">
        <is>
          <t>GOTLAND</t>
        </is>
      </c>
      <c r="G597" t="n">
        <v>5.1</v>
      </c>
      <c r="H597" t="n">
        <v>0</v>
      </c>
      <c r="I597" t="n">
        <v>0</v>
      </c>
      <c r="J597" t="n">
        <v>0</v>
      </c>
      <c r="K597" t="n">
        <v>0</v>
      </c>
      <c r="L597" t="n">
        <v>0</v>
      </c>
      <c r="M597" t="n">
        <v>0</v>
      </c>
      <c r="N597" t="n">
        <v>0</v>
      </c>
      <c r="O597" t="n">
        <v>0</v>
      </c>
      <c r="P597" t="n">
        <v>0</v>
      </c>
      <c r="Q597" t="n">
        <v>0</v>
      </c>
      <c r="R597" s="2" t="inlineStr"/>
    </row>
    <row r="598" ht="15" customHeight="1">
      <c r="A598" t="inlineStr">
        <is>
          <t>A 51782-2023</t>
        </is>
      </c>
      <c r="B598" s="1" t="n">
        <v>45222.80952546297</v>
      </c>
      <c r="C598" s="1" t="n">
        <v>46073</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54268-2022</t>
        </is>
      </c>
      <c r="B599" s="1" t="n">
        <v>44882</v>
      </c>
      <c r="C599" s="1" t="n">
        <v>46073</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57534-2022</t>
        </is>
      </c>
      <c r="B600" s="1" t="n">
        <v>44896</v>
      </c>
      <c r="C600" s="1" t="n">
        <v>46073</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25866-2022</t>
        </is>
      </c>
      <c r="B601" s="1" t="n">
        <v>44733</v>
      </c>
      <c r="C601" s="1" t="n">
        <v>46073</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43229-2023</t>
        </is>
      </c>
      <c r="B602" s="1" t="n">
        <v>45183.46704861111</v>
      </c>
      <c r="C602" s="1" t="n">
        <v>46073</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1175-2025</t>
        </is>
      </c>
      <c r="B603" s="1" t="n">
        <v>45667.34449074074</v>
      </c>
      <c r="C603" s="1" t="n">
        <v>46073</v>
      </c>
      <c r="D603" t="inlineStr">
        <is>
          <t>GOTLANDS LÄN</t>
        </is>
      </c>
      <c r="E603" t="inlineStr">
        <is>
          <t>GOTLAND</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27095-2022</t>
        </is>
      </c>
      <c r="B604" s="1" t="n">
        <v>44741</v>
      </c>
      <c r="C604" s="1" t="n">
        <v>46073</v>
      </c>
      <c r="D604" t="inlineStr">
        <is>
          <t>GOTLANDS LÄN</t>
        </is>
      </c>
      <c r="E604" t="inlineStr">
        <is>
          <t>GOTLAND</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22899-2023</t>
        </is>
      </c>
      <c r="B605" s="1" t="n">
        <v>45072</v>
      </c>
      <c r="C605" s="1" t="n">
        <v>46073</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46073</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34407-2023</t>
        </is>
      </c>
      <c r="B607" s="1" t="n">
        <v>45132</v>
      </c>
      <c r="C607" s="1" t="n">
        <v>46073</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11013-2024</t>
        </is>
      </c>
      <c r="B608" s="1" t="n">
        <v>45370</v>
      </c>
      <c r="C608" s="1" t="n">
        <v>46073</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27694-2024</t>
        </is>
      </c>
      <c r="B609" s="1" t="n">
        <v>45475</v>
      </c>
      <c r="C609" s="1" t="n">
        <v>46073</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15083-2025</t>
        </is>
      </c>
      <c r="B610" s="1" t="n">
        <v>45743</v>
      </c>
      <c r="C610" s="1" t="n">
        <v>46073</v>
      </c>
      <c r="D610" t="inlineStr">
        <is>
          <t>GOTLANDS LÄN</t>
        </is>
      </c>
      <c r="E610" t="inlineStr">
        <is>
          <t>GOTLAND</t>
        </is>
      </c>
      <c r="G610" t="n">
        <v>2.3</v>
      </c>
      <c r="H610" t="n">
        <v>0</v>
      </c>
      <c r="I610" t="n">
        <v>0</v>
      </c>
      <c r="J610" t="n">
        <v>0</v>
      </c>
      <c r="K610" t="n">
        <v>0</v>
      </c>
      <c r="L610" t="n">
        <v>0</v>
      </c>
      <c r="M610" t="n">
        <v>0</v>
      </c>
      <c r="N610" t="n">
        <v>0</v>
      </c>
      <c r="O610" t="n">
        <v>0</v>
      </c>
      <c r="P610" t="n">
        <v>0</v>
      </c>
      <c r="Q610" t="n">
        <v>0</v>
      </c>
      <c r="R610" s="2" t="inlineStr"/>
    </row>
    <row r="611" ht="15" customHeight="1">
      <c r="A611" t="inlineStr">
        <is>
          <t>A 13037-2025</t>
        </is>
      </c>
      <c r="B611" s="1" t="n">
        <v>45734</v>
      </c>
      <c r="C611" s="1" t="n">
        <v>46073</v>
      </c>
      <c r="D611" t="inlineStr">
        <is>
          <t>GOTLANDS LÄN</t>
        </is>
      </c>
      <c r="E611" t="inlineStr">
        <is>
          <t>GOTLAND</t>
        </is>
      </c>
      <c r="G611" t="n">
        <v>9.5</v>
      </c>
      <c r="H611" t="n">
        <v>0</v>
      </c>
      <c r="I611" t="n">
        <v>0</v>
      </c>
      <c r="J611" t="n">
        <v>0</v>
      </c>
      <c r="K611" t="n">
        <v>0</v>
      </c>
      <c r="L611" t="n">
        <v>0</v>
      </c>
      <c r="M611" t="n">
        <v>0</v>
      </c>
      <c r="N611" t="n">
        <v>0</v>
      </c>
      <c r="O611" t="n">
        <v>0</v>
      </c>
      <c r="P611" t="n">
        <v>0</v>
      </c>
      <c r="Q611" t="n">
        <v>0</v>
      </c>
      <c r="R611" s="2" t="inlineStr"/>
    </row>
    <row r="612" ht="15" customHeight="1">
      <c r="A612" t="inlineStr">
        <is>
          <t>A 458-2023</t>
        </is>
      </c>
      <c r="B612" s="1" t="n">
        <v>44929</v>
      </c>
      <c r="C612" s="1" t="n">
        <v>46073</v>
      </c>
      <c r="D612" t="inlineStr">
        <is>
          <t>GOTLANDS LÄN</t>
        </is>
      </c>
      <c r="E612" t="inlineStr">
        <is>
          <t>GOTLAND</t>
        </is>
      </c>
      <c r="G612" t="n">
        <v>3.6</v>
      </c>
      <c r="H612" t="n">
        <v>0</v>
      </c>
      <c r="I612" t="n">
        <v>0</v>
      </c>
      <c r="J612" t="n">
        <v>0</v>
      </c>
      <c r="K612" t="n">
        <v>0</v>
      </c>
      <c r="L612" t="n">
        <v>0</v>
      </c>
      <c r="M612" t="n">
        <v>0</v>
      </c>
      <c r="N612" t="n">
        <v>0</v>
      </c>
      <c r="O612" t="n">
        <v>0</v>
      </c>
      <c r="P612" t="n">
        <v>0</v>
      </c>
      <c r="Q612" t="n">
        <v>0</v>
      </c>
      <c r="R612" s="2" t="inlineStr"/>
    </row>
    <row r="613" ht="15" customHeight="1">
      <c r="A613" t="inlineStr">
        <is>
          <t>A 44228-2022</t>
        </is>
      </c>
      <c r="B613" s="1" t="n">
        <v>44839.51599537037</v>
      </c>
      <c r="C613" s="1" t="n">
        <v>46073</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58132-2023</t>
        </is>
      </c>
      <c r="B614" s="1" t="n">
        <v>45250</v>
      </c>
      <c r="C614" s="1" t="n">
        <v>46073</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49884-2023</t>
        </is>
      </c>
      <c r="B615" s="1" t="n">
        <v>45213</v>
      </c>
      <c r="C615" s="1" t="n">
        <v>46073</v>
      </c>
      <c r="D615" t="inlineStr">
        <is>
          <t>GOTLANDS LÄN</t>
        </is>
      </c>
      <c r="E615" t="inlineStr">
        <is>
          <t>GOTLAND</t>
        </is>
      </c>
      <c r="G615" t="n">
        <v>8.9</v>
      </c>
      <c r="H615" t="n">
        <v>0</v>
      </c>
      <c r="I615" t="n">
        <v>0</v>
      </c>
      <c r="J615" t="n">
        <v>0</v>
      </c>
      <c r="K615" t="n">
        <v>0</v>
      </c>
      <c r="L615" t="n">
        <v>0</v>
      </c>
      <c r="M615" t="n">
        <v>0</v>
      </c>
      <c r="N615" t="n">
        <v>0</v>
      </c>
      <c r="O615" t="n">
        <v>0</v>
      </c>
      <c r="P615" t="n">
        <v>0</v>
      </c>
      <c r="Q615" t="n">
        <v>0</v>
      </c>
      <c r="R615" s="2" t="inlineStr"/>
    </row>
    <row r="616" ht="15" customHeight="1">
      <c r="A616" t="inlineStr">
        <is>
          <t>A 876-2024</t>
        </is>
      </c>
      <c r="B616" s="1" t="n">
        <v>45301</v>
      </c>
      <c r="C616" s="1" t="n">
        <v>46073</v>
      </c>
      <c r="D616" t="inlineStr">
        <is>
          <t>GOTLANDS LÄN</t>
        </is>
      </c>
      <c r="E616" t="inlineStr">
        <is>
          <t>GOTLAND</t>
        </is>
      </c>
      <c r="G616" t="n">
        <v>5.3</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46073</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28425-2023</t>
        </is>
      </c>
      <c r="B618" s="1" t="n">
        <v>45102</v>
      </c>
      <c r="C618" s="1" t="n">
        <v>46073</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58476-2022</t>
        </is>
      </c>
      <c r="B619" s="1" t="n">
        <v>44902</v>
      </c>
      <c r="C619" s="1" t="n">
        <v>46073</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43200-2023</t>
        </is>
      </c>
      <c r="B620" s="1" t="n">
        <v>45183</v>
      </c>
      <c r="C620" s="1" t="n">
        <v>46073</v>
      </c>
      <c r="D620" t="inlineStr">
        <is>
          <t>GOTLANDS LÄN</t>
        </is>
      </c>
      <c r="E620" t="inlineStr">
        <is>
          <t>GOTLAND</t>
        </is>
      </c>
      <c r="G620" t="n">
        <v>0.5</v>
      </c>
      <c r="H620" t="n">
        <v>0</v>
      </c>
      <c r="I620" t="n">
        <v>0</v>
      </c>
      <c r="J620" t="n">
        <v>0</v>
      </c>
      <c r="K620" t="n">
        <v>0</v>
      </c>
      <c r="L620" t="n">
        <v>0</v>
      </c>
      <c r="M620" t="n">
        <v>0</v>
      </c>
      <c r="N620" t="n">
        <v>0</v>
      </c>
      <c r="O620" t="n">
        <v>0</v>
      </c>
      <c r="P620" t="n">
        <v>0</v>
      </c>
      <c r="Q620" t="n">
        <v>0</v>
      </c>
      <c r="R620" s="2" t="inlineStr"/>
    </row>
    <row r="621" ht="15" customHeight="1">
      <c r="A621" t="inlineStr">
        <is>
          <t>A 43223-2023</t>
        </is>
      </c>
      <c r="B621" s="1" t="n">
        <v>45183.45642361111</v>
      </c>
      <c r="C621" s="1" t="n">
        <v>46073</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12327-2025</t>
        </is>
      </c>
      <c r="B622" s="1" t="n">
        <v>45730</v>
      </c>
      <c r="C622" s="1" t="n">
        <v>46073</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3431-2025</t>
        </is>
      </c>
      <c r="B623" s="1" t="n">
        <v>45680.42935185185</v>
      </c>
      <c r="C623" s="1" t="n">
        <v>46073</v>
      </c>
      <c r="D623" t="inlineStr">
        <is>
          <t>GOTLANDS LÄN</t>
        </is>
      </c>
      <c r="E623" t="inlineStr">
        <is>
          <t>GOTLAND</t>
        </is>
      </c>
      <c r="G623" t="n">
        <v>4.8</v>
      </c>
      <c r="H623" t="n">
        <v>0</v>
      </c>
      <c r="I623" t="n">
        <v>0</v>
      </c>
      <c r="J623" t="n">
        <v>0</v>
      </c>
      <c r="K623" t="n">
        <v>0</v>
      </c>
      <c r="L623" t="n">
        <v>0</v>
      </c>
      <c r="M623" t="n">
        <v>0</v>
      </c>
      <c r="N623" t="n">
        <v>0</v>
      </c>
      <c r="O623" t="n">
        <v>0</v>
      </c>
      <c r="P623" t="n">
        <v>0</v>
      </c>
      <c r="Q623" t="n">
        <v>0</v>
      </c>
      <c r="R623" s="2" t="inlineStr"/>
    </row>
    <row r="624" ht="15" customHeight="1">
      <c r="A624" t="inlineStr">
        <is>
          <t>A 12209-2024</t>
        </is>
      </c>
      <c r="B624" s="1" t="n">
        <v>45378</v>
      </c>
      <c r="C624" s="1" t="n">
        <v>46073</v>
      </c>
      <c r="D624" t="inlineStr">
        <is>
          <t>GOTLANDS LÄN</t>
        </is>
      </c>
      <c r="E624" t="inlineStr">
        <is>
          <t>GOTLAND</t>
        </is>
      </c>
      <c r="G624" t="n">
        <v>5.3</v>
      </c>
      <c r="H624" t="n">
        <v>0</v>
      </c>
      <c r="I624" t="n">
        <v>0</v>
      </c>
      <c r="J624" t="n">
        <v>0</v>
      </c>
      <c r="K624" t="n">
        <v>0</v>
      </c>
      <c r="L624" t="n">
        <v>0</v>
      </c>
      <c r="M624" t="n">
        <v>0</v>
      </c>
      <c r="N624" t="n">
        <v>0</v>
      </c>
      <c r="O624" t="n">
        <v>0</v>
      </c>
      <c r="P624" t="n">
        <v>0</v>
      </c>
      <c r="Q624" t="n">
        <v>0</v>
      </c>
      <c r="R624" s="2" t="inlineStr"/>
    </row>
    <row r="625" ht="15" customHeight="1">
      <c r="A625" t="inlineStr">
        <is>
          <t>A 12210-2024</t>
        </is>
      </c>
      <c r="B625" s="1" t="n">
        <v>45378</v>
      </c>
      <c r="C625" s="1" t="n">
        <v>46073</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1364-2025</t>
        </is>
      </c>
      <c r="B626" s="1" t="n">
        <v>45667.63929398148</v>
      </c>
      <c r="C626" s="1" t="n">
        <v>46073</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15042-2025</t>
        </is>
      </c>
      <c r="B627" s="1" t="n">
        <v>45743</v>
      </c>
      <c r="C627" s="1" t="n">
        <v>46073</v>
      </c>
      <c r="D627" t="inlineStr">
        <is>
          <t>GOTLANDS LÄN</t>
        </is>
      </c>
      <c r="E627" t="inlineStr">
        <is>
          <t>GOTLAND</t>
        </is>
      </c>
      <c r="G627" t="n">
        <v>8.5</v>
      </c>
      <c r="H627" t="n">
        <v>0</v>
      </c>
      <c r="I627" t="n">
        <v>0</v>
      </c>
      <c r="J627" t="n">
        <v>0</v>
      </c>
      <c r="K627" t="n">
        <v>0</v>
      </c>
      <c r="L627" t="n">
        <v>0</v>
      </c>
      <c r="M627" t="n">
        <v>0</v>
      </c>
      <c r="N627" t="n">
        <v>0</v>
      </c>
      <c r="O627" t="n">
        <v>0</v>
      </c>
      <c r="P627" t="n">
        <v>0</v>
      </c>
      <c r="Q627" t="n">
        <v>0</v>
      </c>
      <c r="R627" s="2" t="inlineStr"/>
    </row>
    <row r="628" ht="15" customHeight="1">
      <c r="A628" t="inlineStr">
        <is>
          <t>A 2180-2025</t>
        </is>
      </c>
      <c r="B628" s="1" t="n">
        <v>45673</v>
      </c>
      <c r="C628" s="1" t="n">
        <v>46073</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15436-2025</t>
        </is>
      </c>
      <c r="B629" s="1" t="n">
        <v>45747.47462962963</v>
      </c>
      <c r="C629" s="1" t="n">
        <v>46073</v>
      </c>
      <c r="D629" t="inlineStr">
        <is>
          <t>GOTLANDS LÄN</t>
        </is>
      </c>
      <c r="E629" t="inlineStr">
        <is>
          <t>GOTLAND</t>
        </is>
      </c>
      <c r="G629" t="n">
        <v>4.1</v>
      </c>
      <c r="H629" t="n">
        <v>0</v>
      </c>
      <c r="I629" t="n">
        <v>0</v>
      </c>
      <c r="J629" t="n">
        <v>0</v>
      </c>
      <c r="K629" t="n">
        <v>0</v>
      </c>
      <c r="L629" t="n">
        <v>0</v>
      </c>
      <c r="M629" t="n">
        <v>0</v>
      </c>
      <c r="N629" t="n">
        <v>0</v>
      </c>
      <c r="O629" t="n">
        <v>0</v>
      </c>
      <c r="P629" t="n">
        <v>0</v>
      </c>
      <c r="Q629" t="n">
        <v>0</v>
      </c>
      <c r="R629" s="2" t="inlineStr"/>
    </row>
    <row r="630" ht="15" customHeight="1">
      <c r="A630" t="inlineStr">
        <is>
          <t>A 49257-2024</t>
        </is>
      </c>
      <c r="B630" s="1" t="n">
        <v>45595.47627314815</v>
      </c>
      <c r="C630" s="1" t="n">
        <v>46073</v>
      </c>
      <c r="D630" t="inlineStr">
        <is>
          <t>GOTLANDS LÄN</t>
        </is>
      </c>
      <c r="E630" t="inlineStr">
        <is>
          <t>GOTLAND</t>
        </is>
      </c>
      <c r="G630" t="n">
        <v>6.3</v>
      </c>
      <c r="H630" t="n">
        <v>0</v>
      </c>
      <c r="I630" t="n">
        <v>0</v>
      </c>
      <c r="J630" t="n">
        <v>0</v>
      </c>
      <c r="K630" t="n">
        <v>0</v>
      </c>
      <c r="L630" t="n">
        <v>0</v>
      </c>
      <c r="M630" t="n">
        <v>0</v>
      </c>
      <c r="N630" t="n">
        <v>0</v>
      </c>
      <c r="O630" t="n">
        <v>0</v>
      </c>
      <c r="P630" t="n">
        <v>0</v>
      </c>
      <c r="Q630" t="n">
        <v>0</v>
      </c>
      <c r="R630" s="2" t="inlineStr"/>
    </row>
    <row r="631" ht="15" customHeight="1">
      <c r="A631" t="inlineStr">
        <is>
          <t>A 37202-2024</t>
        </is>
      </c>
      <c r="B631" s="1" t="n">
        <v>45539.67310185185</v>
      </c>
      <c r="C631" s="1" t="n">
        <v>46073</v>
      </c>
      <c r="D631" t="inlineStr">
        <is>
          <t>GOTLANDS LÄN</t>
        </is>
      </c>
      <c r="E631" t="inlineStr">
        <is>
          <t>GOTLAND</t>
        </is>
      </c>
      <c r="G631" t="n">
        <v>0.3</v>
      </c>
      <c r="H631" t="n">
        <v>0</v>
      </c>
      <c r="I631" t="n">
        <v>0</v>
      </c>
      <c r="J631" t="n">
        <v>0</v>
      </c>
      <c r="K631" t="n">
        <v>0</v>
      </c>
      <c r="L631" t="n">
        <v>0</v>
      </c>
      <c r="M631" t="n">
        <v>0</v>
      </c>
      <c r="N631" t="n">
        <v>0</v>
      </c>
      <c r="O631" t="n">
        <v>0</v>
      </c>
      <c r="P631" t="n">
        <v>0</v>
      </c>
      <c r="Q631" t="n">
        <v>0</v>
      </c>
      <c r="R631" s="2" t="inlineStr"/>
    </row>
    <row r="632" ht="15" customHeight="1">
      <c r="A632" t="inlineStr">
        <is>
          <t>A 56115-2023</t>
        </is>
      </c>
      <c r="B632" s="1" t="n">
        <v>45236</v>
      </c>
      <c r="C632" s="1" t="n">
        <v>46073</v>
      </c>
      <c r="D632" t="inlineStr">
        <is>
          <t>GOTLANDS LÄN</t>
        </is>
      </c>
      <c r="E632" t="inlineStr">
        <is>
          <t>GOTLAND</t>
        </is>
      </c>
      <c r="G632" t="n">
        <v>2</v>
      </c>
      <c r="H632" t="n">
        <v>0</v>
      </c>
      <c r="I632" t="n">
        <v>0</v>
      </c>
      <c r="J632" t="n">
        <v>0</v>
      </c>
      <c r="K632" t="n">
        <v>0</v>
      </c>
      <c r="L632" t="n">
        <v>0</v>
      </c>
      <c r="M632" t="n">
        <v>0</v>
      </c>
      <c r="N632" t="n">
        <v>0</v>
      </c>
      <c r="O632" t="n">
        <v>0</v>
      </c>
      <c r="P632" t="n">
        <v>0</v>
      </c>
      <c r="Q632" t="n">
        <v>0</v>
      </c>
      <c r="R632" s="2" t="inlineStr"/>
    </row>
    <row r="633" ht="15" customHeight="1">
      <c r="A633" t="inlineStr">
        <is>
          <t>A 2774-2024</t>
        </is>
      </c>
      <c r="B633" s="1" t="n">
        <v>45314.62375</v>
      </c>
      <c r="C633" s="1" t="n">
        <v>46073</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60709-2023</t>
        </is>
      </c>
      <c r="B634" s="1" t="n">
        <v>45260</v>
      </c>
      <c r="C634" s="1" t="n">
        <v>46073</v>
      </c>
      <c r="D634" t="inlineStr">
        <is>
          <t>GOTLANDS LÄN</t>
        </is>
      </c>
      <c r="E634" t="inlineStr">
        <is>
          <t>GOTLAND</t>
        </is>
      </c>
      <c r="G634" t="n">
        <v>1.7</v>
      </c>
      <c r="H634" t="n">
        <v>0</v>
      </c>
      <c r="I634" t="n">
        <v>0</v>
      </c>
      <c r="J634" t="n">
        <v>0</v>
      </c>
      <c r="K634" t="n">
        <v>0</v>
      </c>
      <c r="L634" t="n">
        <v>0</v>
      </c>
      <c r="M634" t="n">
        <v>0</v>
      </c>
      <c r="N634" t="n">
        <v>0</v>
      </c>
      <c r="O634" t="n">
        <v>0</v>
      </c>
      <c r="P634" t="n">
        <v>0</v>
      </c>
      <c r="Q634" t="n">
        <v>0</v>
      </c>
      <c r="R634" s="2" t="inlineStr"/>
    </row>
    <row r="635" ht="15" customHeight="1">
      <c r="A635" t="inlineStr">
        <is>
          <t>A 64208-2021</t>
        </is>
      </c>
      <c r="B635" s="1" t="n">
        <v>44510</v>
      </c>
      <c r="C635" s="1" t="n">
        <v>46073</v>
      </c>
      <c r="D635" t="inlineStr">
        <is>
          <t>GOTLANDS LÄN</t>
        </is>
      </c>
      <c r="E635" t="inlineStr">
        <is>
          <t>GOTLAND</t>
        </is>
      </c>
      <c r="G635" t="n">
        <v>4.7</v>
      </c>
      <c r="H635" t="n">
        <v>0</v>
      </c>
      <c r="I635" t="n">
        <v>0</v>
      </c>
      <c r="J635" t="n">
        <v>0</v>
      </c>
      <c r="K635" t="n">
        <v>0</v>
      </c>
      <c r="L635" t="n">
        <v>0</v>
      </c>
      <c r="M635" t="n">
        <v>0</v>
      </c>
      <c r="N635" t="n">
        <v>0</v>
      </c>
      <c r="O635" t="n">
        <v>0</v>
      </c>
      <c r="P635" t="n">
        <v>0</v>
      </c>
      <c r="Q635" t="n">
        <v>0</v>
      </c>
      <c r="R635" s="2" t="inlineStr"/>
    </row>
    <row r="636" ht="15" customHeight="1">
      <c r="A636" t="inlineStr">
        <is>
          <t>A 39764-2022</t>
        </is>
      </c>
      <c r="B636" s="1" t="n">
        <v>44819</v>
      </c>
      <c r="C636" s="1" t="n">
        <v>46073</v>
      </c>
      <c r="D636" t="inlineStr">
        <is>
          <t>GOTLANDS LÄN</t>
        </is>
      </c>
      <c r="E636" t="inlineStr">
        <is>
          <t>GOTLAND</t>
        </is>
      </c>
      <c r="F636" t="inlineStr">
        <is>
          <t>Kyrkan</t>
        </is>
      </c>
      <c r="G636" t="n">
        <v>3.7</v>
      </c>
      <c r="H636" t="n">
        <v>0</v>
      </c>
      <c r="I636" t="n">
        <v>0</v>
      </c>
      <c r="J636" t="n">
        <v>0</v>
      </c>
      <c r="K636" t="n">
        <v>0</v>
      </c>
      <c r="L636" t="n">
        <v>0</v>
      </c>
      <c r="M636" t="n">
        <v>0</v>
      </c>
      <c r="N636" t="n">
        <v>0</v>
      </c>
      <c r="O636" t="n">
        <v>0</v>
      </c>
      <c r="P636" t="n">
        <v>0</v>
      </c>
      <c r="Q636" t="n">
        <v>0</v>
      </c>
      <c r="R636" s="2" t="inlineStr"/>
    </row>
    <row r="637" ht="15" customHeight="1">
      <c r="A637" t="inlineStr">
        <is>
          <t>A 58211-2024</t>
        </is>
      </c>
      <c r="B637" s="1" t="n">
        <v>45632.49292824074</v>
      </c>
      <c r="C637" s="1" t="n">
        <v>46073</v>
      </c>
      <c r="D637" t="inlineStr">
        <is>
          <t>GOTLANDS LÄN</t>
        </is>
      </c>
      <c r="E637" t="inlineStr">
        <is>
          <t>GOTLAND</t>
        </is>
      </c>
      <c r="G637" t="n">
        <v>5.4</v>
      </c>
      <c r="H637" t="n">
        <v>0</v>
      </c>
      <c r="I637" t="n">
        <v>0</v>
      </c>
      <c r="J637" t="n">
        <v>0</v>
      </c>
      <c r="K637" t="n">
        <v>0</v>
      </c>
      <c r="L637" t="n">
        <v>0</v>
      </c>
      <c r="M637" t="n">
        <v>0</v>
      </c>
      <c r="N637" t="n">
        <v>0</v>
      </c>
      <c r="O637" t="n">
        <v>0</v>
      </c>
      <c r="P637" t="n">
        <v>0</v>
      </c>
      <c r="Q637" t="n">
        <v>0</v>
      </c>
      <c r="R637" s="2" t="inlineStr"/>
    </row>
    <row r="638" ht="15" customHeight="1">
      <c r="A638" t="inlineStr">
        <is>
          <t>A 30956-2024</t>
        </is>
      </c>
      <c r="B638" s="1" t="n">
        <v>45499.42527777778</v>
      </c>
      <c r="C638" s="1" t="n">
        <v>46073</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30892-2024</t>
        </is>
      </c>
      <c r="B639" s="1" t="n">
        <v>45491</v>
      </c>
      <c r="C639" s="1" t="n">
        <v>46073</v>
      </c>
      <c r="D639" t="inlineStr">
        <is>
          <t>GOTLANDS LÄN</t>
        </is>
      </c>
      <c r="E639" t="inlineStr">
        <is>
          <t>GOTLAND</t>
        </is>
      </c>
      <c r="G639" t="n">
        <v>6.1</v>
      </c>
      <c r="H639" t="n">
        <v>0</v>
      </c>
      <c r="I639" t="n">
        <v>0</v>
      </c>
      <c r="J639" t="n">
        <v>0</v>
      </c>
      <c r="K639" t="n">
        <v>0</v>
      </c>
      <c r="L639" t="n">
        <v>0</v>
      </c>
      <c r="M639" t="n">
        <v>0</v>
      </c>
      <c r="N639" t="n">
        <v>0</v>
      </c>
      <c r="O639" t="n">
        <v>0</v>
      </c>
      <c r="P639" t="n">
        <v>0</v>
      </c>
      <c r="Q639" t="n">
        <v>0</v>
      </c>
      <c r="R639" s="2" t="inlineStr"/>
    </row>
    <row r="640" ht="15" customHeight="1">
      <c r="A640" t="inlineStr">
        <is>
          <t>A 14635-2023</t>
        </is>
      </c>
      <c r="B640" s="1" t="n">
        <v>45013.69365740741</v>
      </c>
      <c r="C640" s="1" t="n">
        <v>46073</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59469-2024</t>
        </is>
      </c>
      <c r="B641" s="1" t="n">
        <v>45638</v>
      </c>
      <c r="C641" s="1" t="n">
        <v>46073</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c r="A642" t="inlineStr">
        <is>
          <t>A 7858-2025</t>
        </is>
      </c>
      <c r="B642" s="1" t="n">
        <v>45706.68633101852</v>
      </c>
      <c r="C642" s="1" t="n">
        <v>46073</v>
      </c>
      <c r="D642" t="inlineStr">
        <is>
          <t>GOTLANDS LÄN</t>
        </is>
      </c>
      <c r="E642" t="inlineStr">
        <is>
          <t>GOTLAND</t>
        </is>
      </c>
      <c r="G642" t="n">
        <v>3</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2026-02-20T11:02:21Z</dcterms:created>
  <dcterms:modified xmlns:dcterms="http://purl.org/dc/terms/" xmlns:xsi="http://www.w3.org/2001/XMLSchema-instance" xsi:type="dcterms:W3CDTF">2026-02-20T11:02:22Z</dcterms:modified>
</cp:coreProperties>
</file>