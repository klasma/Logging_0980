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45888</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45888</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45888</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45888</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45888</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45888</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45888</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45888</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4572-2025</t>
        </is>
      </c>
      <c r="B13" s="1" t="n">
        <v>45687</v>
      </c>
      <c r="C13" s="1" t="n">
        <v>45888</v>
      </c>
      <c r="D13" t="inlineStr">
        <is>
          <t>GOTLANDS LÄN</t>
        </is>
      </c>
      <c r="E13" t="inlineStr">
        <is>
          <t>GOTLAND</t>
        </is>
      </c>
      <c r="G13" t="n">
        <v>6.2</v>
      </c>
      <c r="H13" t="n">
        <v>12</v>
      </c>
      <c r="I13" t="n">
        <v>2</v>
      </c>
      <c r="J13" t="n">
        <v>8</v>
      </c>
      <c r="K13" t="n">
        <v>0</v>
      </c>
      <c r="L13" t="n">
        <v>1</v>
      </c>
      <c r="M13" t="n">
        <v>0</v>
      </c>
      <c r="N13" t="n">
        <v>0</v>
      </c>
      <c r="O13" t="n">
        <v>9</v>
      </c>
      <c r="P13" t="n">
        <v>1</v>
      </c>
      <c r="Q13" t="n">
        <v>16</v>
      </c>
      <c r="R13" s="2" t="inlineStr">
        <is>
          <t>Brun glada
Apollofjäril
Axveronika
Backtimjan
Havsörn
Jordtistel
Solvända
Spillkråka
Svartfläckig blåvinge
Purpurknipprot
Skogsknipprot
Brudsporre
Grönvit nattviol
Nattviol
Sankt pers nycklar
Blåsippa</t>
        </is>
      </c>
      <c r="S13">
        <f>HYPERLINK("https://klasma.github.io/Logging_0980/artfynd/A 4572-2025 artfynd.xlsx", "A 4572-2025")</f>
        <v/>
      </c>
      <c r="T13">
        <f>HYPERLINK("https://klasma.github.io/Logging_0980/kartor/A 4572-2025 karta.png", "A 4572-2025")</f>
        <v/>
      </c>
      <c r="V13">
        <f>HYPERLINK("https://klasma.github.io/Logging_0980/klagomål/A 4572-2025 FSC-klagomål.docx", "A 4572-2025")</f>
        <v/>
      </c>
      <c r="W13">
        <f>HYPERLINK("https://klasma.github.io/Logging_0980/klagomålsmail/A 4572-2025 FSC-klagomål mail.docx", "A 4572-2025")</f>
        <v/>
      </c>
      <c r="X13">
        <f>HYPERLINK("https://klasma.github.io/Logging_0980/tillsyn/A 4572-2025 tillsynsbegäran.docx", "A 4572-2025")</f>
        <v/>
      </c>
      <c r="Y13">
        <f>HYPERLINK("https://klasma.github.io/Logging_0980/tillsynsmail/A 4572-2025 tillsynsbegäran mail.docx", "A 4572-2025")</f>
        <v/>
      </c>
      <c r="Z13">
        <f>HYPERLINK("https://klasma.github.io/Logging_0980/fåglar/A 4572-2025 prioriterade fågelarter.docx", "A 4572-2025")</f>
        <v/>
      </c>
    </row>
    <row r="14" ht="15" customHeight="1">
      <c r="A14" t="inlineStr">
        <is>
          <t>A 24575-2025</t>
        </is>
      </c>
      <c r="B14" s="1" t="n">
        <v>45798</v>
      </c>
      <c r="C14" s="1" t="n">
        <v>45888</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61664-2023</t>
        </is>
      </c>
      <c r="B15" s="1" t="n">
        <v>45265</v>
      </c>
      <c r="C15" s="1" t="n">
        <v>45888</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17762-2024</t>
        </is>
      </c>
      <c r="B16" s="1" t="n">
        <v>45418</v>
      </c>
      <c r="C16" s="1" t="n">
        <v>45888</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45888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45888</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45888</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45888</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45888</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45888</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45888</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45888</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35141-2022</t>
        </is>
      </c>
      <c r="B25" s="1" t="n">
        <v>44797.53318287037</v>
      </c>
      <c r="C25" s="1" t="n">
        <v>45888</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45888</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45888</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45888</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2804-2023</t>
        </is>
      </c>
      <c r="B29" s="1" t="n">
        <v>44944</v>
      </c>
      <c r="C29" s="1" t="n">
        <v>45888</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45888</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45888</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45888</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45888</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45888</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45888</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45888</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45888</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45888</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45888</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45888</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45888</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45888</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45888</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45888</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45888</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45888</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45888</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45888</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45888</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45888</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45888</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45888</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45888</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45888</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45888</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45888</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45888</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45888</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45888</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446-2023</t>
        </is>
      </c>
      <c r="B60" s="1" t="n">
        <v>44929</v>
      </c>
      <c r="C60" s="1" t="n">
        <v>45888</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45248-2024</t>
        </is>
      </c>
      <c r="B61" s="1" t="n">
        <v>45576</v>
      </c>
      <c r="C61" s="1" t="n">
        <v>45888</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65819-2020</t>
        </is>
      </c>
      <c r="B62" s="1" t="n">
        <v>44174</v>
      </c>
      <c r="C62" s="1" t="n">
        <v>45888</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7038-2023</t>
        </is>
      </c>
      <c r="B63" s="1" t="n">
        <v>44968</v>
      </c>
      <c r="C63" s="1" t="n">
        <v>45888</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54527-2023</t>
        </is>
      </c>
      <c r="B64" s="1" t="n">
        <v>45233</v>
      </c>
      <c r="C64" s="1" t="n">
        <v>45888</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16823-2024</t>
        </is>
      </c>
      <c r="B65" s="1" t="n">
        <v>45411</v>
      </c>
      <c r="C65" s="1" t="n">
        <v>45888</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45888</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45888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45888</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32326-2024</t>
        </is>
      </c>
      <c r="B69" s="1" t="n">
        <v>45512</v>
      </c>
      <c r="C69" s="1" t="n">
        <v>45888</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45888</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42936-2024</t>
        </is>
      </c>
      <c r="B71" s="1" t="n">
        <v>45567</v>
      </c>
      <c r="C71" s="1" t="n">
        <v>45888</v>
      </c>
      <c r="D71" t="inlineStr">
        <is>
          <t>GOTLANDS LÄN</t>
        </is>
      </c>
      <c r="E71" t="inlineStr">
        <is>
          <t>GOTLAND</t>
        </is>
      </c>
      <c r="G71" t="n">
        <v>3.4</v>
      </c>
      <c r="H71" t="n">
        <v>0</v>
      </c>
      <c r="I71" t="n">
        <v>3</v>
      </c>
      <c r="J71" t="n">
        <v>1</v>
      </c>
      <c r="K71" t="n">
        <v>1</v>
      </c>
      <c r="L71" t="n">
        <v>0</v>
      </c>
      <c r="M71" t="n">
        <v>0</v>
      </c>
      <c r="N71" t="n">
        <v>0</v>
      </c>
      <c r="O71" t="n">
        <v>2</v>
      </c>
      <c r="P71" t="n">
        <v>1</v>
      </c>
      <c r="Q71" t="n">
        <v>5</v>
      </c>
      <c r="R71" s="2" t="inlineStr">
        <is>
          <t>Vit taggsvamp
Äggspindling
Barrfagerspindling
Blå slemspindling
Svavelriska</t>
        </is>
      </c>
      <c r="S71">
        <f>HYPERLINK("https://klasma.github.io/Logging_0980/artfynd/A 42936-2024 artfynd.xlsx", "A 42936-2024")</f>
        <v/>
      </c>
      <c r="T71">
        <f>HYPERLINK("https://klasma.github.io/Logging_0980/kartor/A 42936-2024 karta.png", "A 42936-2024")</f>
        <v/>
      </c>
      <c r="V71">
        <f>HYPERLINK("https://klasma.github.io/Logging_0980/klagomål/A 42936-2024 FSC-klagomål.docx", "A 42936-2024")</f>
        <v/>
      </c>
      <c r="W71">
        <f>HYPERLINK("https://klasma.github.io/Logging_0980/klagomålsmail/A 42936-2024 FSC-klagomål mail.docx", "A 42936-2024")</f>
        <v/>
      </c>
      <c r="X71">
        <f>HYPERLINK("https://klasma.github.io/Logging_0980/tillsyn/A 42936-2024 tillsynsbegäran.docx", "A 42936-2024")</f>
        <v/>
      </c>
      <c r="Y71">
        <f>HYPERLINK("https://klasma.github.io/Logging_0980/tillsynsmail/A 42936-2024 tillsynsbegäran mail.docx", "A 42936-2024")</f>
        <v/>
      </c>
    </row>
    <row r="72" ht="15" customHeight="1">
      <c r="A72" t="inlineStr">
        <is>
          <t>A 54055-2022</t>
        </is>
      </c>
      <c r="B72" s="1" t="n">
        <v>44881</v>
      </c>
      <c r="C72" s="1" t="n">
        <v>45888</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45888</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45888</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64378-2020</t>
        </is>
      </c>
      <c r="B75" s="1" t="n">
        <v>44168</v>
      </c>
      <c r="C75" s="1" t="n">
        <v>45888</v>
      </c>
      <c r="D75" t="inlineStr">
        <is>
          <t>GOTLANDS LÄN</t>
        </is>
      </c>
      <c r="E75" t="inlineStr">
        <is>
          <t>GOTLAND</t>
        </is>
      </c>
      <c r="G75" t="n">
        <v>2.1</v>
      </c>
      <c r="H75" t="n">
        <v>0</v>
      </c>
      <c r="I75" t="n">
        <v>1</v>
      </c>
      <c r="J75" t="n">
        <v>0</v>
      </c>
      <c r="K75" t="n">
        <v>2</v>
      </c>
      <c r="L75" t="n">
        <v>1</v>
      </c>
      <c r="M75" t="n">
        <v>0</v>
      </c>
      <c r="N75" t="n">
        <v>0</v>
      </c>
      <c r="O75" t="n">
        <v>3</v>
      </c>
      <c r="P75" t="n">
        <v>3</v>
      </c>
      <c r="Q75" t="n">
        <v>4</v>
      </c>
      <c r="R75" s="2" t="inlineStr">
        <is>
          <t>Sienamusseron
Bitter taggsvamp
Duvspindling
Fjällig taggsvamp s.str.</t>
        </is>
      </c>
      <c r="S75">
        <f>HYPERLINK("https://klasma.github.io/Logging_0980/artfynd/A 64378-2020 artfynd.xlsx", "A 64378-2020")</f>
        <v/>
      </c>
      <c r="T75">
        <f>HYPERLINK("https://klasma.github.io/Logging_0980/kartor/A 64378-2020 karta.png", "A 64378-2020")</f>
        <v/>
      </c>
      <c r="V75">
        <f>HYPERLINK("https://klasma.github.io/Logging_0980/klagomål/A 64378-2020 FSC-klagomål.docx", "A 64378-2020")</f>
        <v/>
      </c>
      <c r="W75">
        <f>HYPERLINK("https://klasma.github.io/Logging_0980/klagomålsmail/A 64378-2020 FSC-klagomål mail.docx", "A 64378-2020")</f>
        <v/>
      </c>
      <c r="X75">
        <f>HYPERLINK("https://klasma.github.io/Logging_0980/tillsyn/A 64378-2020 tillsynsbegäran.docx", "A 64378-2020")</f>
        <v/>
      </c>
      <c r="Y75">
        <f>HYPERLINK("https://klasma.github.io/Logging_0980/tillsynsmail/A 64378-2020 tillsynsbegäran mail.docx", "A 64378-2020")</f>
        <v/>
      </c>
    </row>
    <row r="76" ht="15" customHeight="1">
      <c r="A76" t="inlineStr">
        <is>
          <t>A 1971-2023</t>
        </is>
      </c>
      <c r="B76" s="1" t="n">
        <v>44939</v>
      </c>
      <c r="C76" s="1" t="n">
        <v>45888</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56717-2024</t>
        </is>
      </c>
      <c r="B77" s="1" t="n">
        <v>45628.3166550926</v>
      </c>
      <c r="C77" s="1" t="n">
        <v>45888</v>
      </c>
      <c r="D77" t="inlineStr">
        <is>
          <t>GOTLANDS LÄN</t>
        </is>
      </c>
      <c r="E77" t="inlineStr">
        <is>
          <t>GOTLAND</t>
        </is>
      </c>
      <c r="G77" t="n">
        <v>9.699999999999999</v>
      </c>
      <c r="H77" t="n">
        <v>0</v>
      </c>
      <c r="I77" t="n">
        <v>2</v>
      </c>
      <c r="J77" t="n">
        <v>2</v>
      </c>
      <c r="K77" t="n">
        <v>0</v>
      </c>
      <c r="L77" t="n">
        <v>0</v>
      </c>
      <c r="M77" t="n">
        <v>0</v>
      </c>
      <c r="N77" t="n">
        <v>0</v>
      </c>
      <c r="O77" t="n">
        <v>2</v>
      </c>
      <c r="P77" t="n">
        <v>0</v>
      </c>
      <c r="Q77" t="n">
        <v>4</v>
      </c>
      <c r="R77" s="2" t="inlineStr">
        <is>
          <t>Ekvaxskivling
Odörspindling
Fjällig taggsvamp s.str.
Kattfotslav</t>
        </is>
      </c>
      <c r="S77">
        <f>HYPERLINK("https://klasma.github.io/Logging_0980/artfynd/A 56717-2024 artfynd.xlsx", "A 56717-2024")</f>
        <v/>
      </c>
      <c r="T77">
        <f>HYPERLINK("https://klasma.github.io/Logging_0980/kartor/A 56717-2024 karta.png", "A 56717-2024")</f>
        <v/>
      </c>
      <c r="V77">
        <f>HYPERLINK("https://klasma.github.io/Logging_0980/klagomål/A 56717-2024 FSC-klagomål.docx", "A 56717-2024")</f>
        <v/>
      </c>
      <c r="W77">
        <f>HYPERLINK("https://klasma.github.io/Logging_0980/klagomålsmail/A 56717-2024 FSC-klagomål mail.docx", "A 56717-2024")</f>
        <v/>
      </c>
      <c r="X77">
        <f>HYPERLINK("https://klasma.github.io/Logging_0980/tillsyn/A 56717-2024 tillsynsbegäran.docx", "A 56717-2024")</f>
        <v/>
      </c>
      <c r="Y77">
        <f>HYPERLINK("https://klasma.github.io/Logging_0980/tillsynsmail/A 56717-2024 tillsynsbegäran mail.docx", "A 56717-2024")</f>
        <v/>
      </c>
    </row>
    <row r="78" ht="15" customHeight="1">
      <c r="A78" t="inlineStr">
        <is>
          <t>A 186-2023</t>
        </is>
      </c>
      <c r="B78" s="1" t="n">
        <v>44928</v>
      </c>
      <c r="C78" s="1" t="n">
        <v>45888</v>
      </c>
      <c r="D78" t="inlineStr">
        <is>
          <t>GOTLANDS LÄN</t>
        </is>
      </c>
      <c r="E78" t="inlineStr">
        <is>
          <t>GOTLAND</t>
        </is>
      </c>
      <c r="G78" t="n">
        <v>2.2</v>
      </c>
      <c r="H78" t="n">
        <v>2</v>
      </c>
      <c r="I78" t="n">
        <v>2</v>
      </c>
      <c r="J78" t="n">
        <v>0</v>
      </c>
      <c r="K78" t="n">
        <v>2</v>
      </c>
      <c r="L78" t="n">
        <v>0</v>
      </c>
      <c r="M78" t="n">
        <v>0</v>
      </c>
      <c r="N78" t="n">
        <v>0</v>
      </c>
      <c r="O78" t="n">
        <v>2</v>
      </c>
      <c r="P78" t="n">
        <v>2</v>
      </c>
      <c r="Q78" t="n">
        <v>4</v>
      </c>
      <c r="R78" s="2" t="inlineStr">
        <is>
          <t>Svartgrön spindling
Vit taggsvamp
Nästrot
Skogsknipprot</t>
        </is>
      </c>
      <c r="S78">
        <f>HYPERLINK("https://klasma.github.io/Logging_0980/artfynd/A 186-2023 artfynd.xlsx", "A 186-2023")</f>
        <v/>
      </c>
      <c r="T78">
        <f>HYPERLINK("https://klasma.github.io/Logging_0980/kartor/A 186-2023 karta.png", "A 186-2023")</f>
        <v/>
      </c>
      <c r="V78">
        <f>HYPERLINK("https://klasma.github.io/Logging_0980/klagomål/A 186-2023 FSC-klagomål.docx", "A 186-2023")</f>
        <v/>
      </c>
      <c r="W78">
        <f>HYPERLINK("https://klasma.github.io/Logging_0980/klagomålsmail/A 186-2023 FSC-klagomål mail.docx", "A 186-2023")</f>
        <v/>
      </c>
      <c r="X78">
        <f>HYPERLINK("https://klasma.github.io/Logging_0980/tillsyn/A 186-2023 tillsynsbegäran.docx", "A 186-2023")</f>
        <v/>
      </c>
      <c r="Y78">
        <f>HYPERLINK("https://klasma.github.io/Logging_0980/tillsynsmail/A 186-2023 tillsynsbegäran mail.docx", "A 186-2023")</f>
        <v/>
      </c>
    </row>
    <row r="79" ht="15" customHeight="1">
      <c r="A79" t="inlineStr">
        <is>
          <t>A 54523-2023</t>
        </is>
      </c>
      <c r="B79" s="1" t="n">
        <v>45233</v>
      </c>
      <c r="C79" s="1" t="n">
        <v>45888</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45888</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6159-2023</t>
        </is>
      </c>
      <c r="B81" s="1" t="n">
        <v>44964</v>
      </c>
      <c r="C81" s="1" t="n">
        <v>45888</v>
      </c>
      <c r="D81" t="inlineStr">
        <is>
          <t>GOTLANDS LÄN</t>
        </is>
      </c>
      <c r="E81" t="inlineStr">
        <is>
          <t>GOTLAND</t>
        </is>
      </c>
      <c r="G81" t="n">
        <v>2</v>
      </c>
      <c r="H81" t="n">
        <v>0</v>
      </c>
      <c r="I81" t="n">
        <v>2</v>
      </c>
      <c r="J81" t="n">
        <v>2</v>
      </c>
      <c r="K81" t="n">
        <v>0</v>
      </c>
      <c r="L81" t="n">
        <v>0</v>
      </c>
      <c r="M81" t="n">
        <v>0</v>
      </c>
      <c r="N81" t="n">
        <v>0</v>
      </c>
      <c r="O81" t="n">
        <v>2</v>
      </c>
      <c r="P81" t="n">
        <v>0</v>
      </c>
      <c r="Q81" t="n">
        <v>4</v>
      </c>
      <c r="R81" s="2" t="inlineStr">
        <is>
          <t>Dofttaggsvamp
Odörspindling
Anisspindling
Olivspindling</t>
        </is>
      </c>
      <c r="S81">
        <f>HYPERLINK("https://klasma.github.io/Logging_0980/artfynd/A 6159-2023 artfynd.xlsx", "A 6159-2023")</f>
        <v/>
      </c>
      <c r="T81">
        <f>HYPERLINK("https://klasma.github.io/Logging_0980/kartor/A 6159-2023 karta.png", "A 6159-2023")</f>
        <v/>
      </c>
      <c r="V81">
        <f>HYPERLINK("https://klasma.github.io/Logging_0980/klagomål/A 6159-2023 FSC-klagomål.docx", "A 6159-2023")</f>
        <v/>
      </c>
      <c r="W81">
        <f>HYPERLINK("https://klasma.github.io/Logging_0980/klagomålsmail/A 6159-2023 FSC-klagomål mail.docx", "A 6159-2023")</f>
        <v/>
      </c>
      <c r="X81">
        <f>HYPERLINK("https://klasma.github.io/Logging_0980/tillsyn/A 6159-2023 tillsynsbegäran.docx", "A 6159-2023")</f>
        <v/>
      </c>
      <c r="Y81">
        <f>HYPERLINK("https://klasma.github.io/Logging_0980/tillsynsmail/A 6159-2023 tillsynsbegäran mail.docx", "A 6159-2023")</f>
        <v/>
      </c>
    </row>
    <row r="82" ht="15" customHeight="1">
      <c r="A82" t="inlineStr">
        <is>
          <t>A 20833-2024</t>
        </is>
      </c>
      <c r="B82" s="1" t="n">
        <v>45439</v>
      </c>
      <c r="C82" s="1" t="n">
        <v>45888</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43197-2023</t>
        </is>
      </c>
      <c r="B83" s="1" t="n">
        <v>45183</v>
      </c>
      <c r="C83" s="1" t="n">
        <v>45888</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5904-2024</t>
        </is>
      </c>
      <c r="B84" s="1" t="n">
        <v>45335</v>
      </c>
      <c r="C84" s="1" t="n">
        <v>45888</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8265-2023</t>
        </is>
      </c>
      <c r="B85" s="1" t="n">
        <v>44974</v>
      </c>
      <c r="C85" s="1" t="n">
        <v>45888</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55029-2020</t>
        </is>
      </c>
      <c r="B86" s="1" t="n">
        <v>44130</v>
      </c>
      <c r="C86" s="1" t="n">
        <v>45888</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45888</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45888</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45888</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45888</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43013-2022</t>
        </is>
      </c>
      <c r="B91" s="1" t="n">
        <v>44833</v>
      </c>
      <c r="C91" s="1" t="n">
        <v>45888</v>
      </c>
      <c r="D91" t="inlineStr">
        <is>
          <t>GOTLANDS LÄN</t>
        </is>
      </c>
      <c r="E91" t="inlineStr">
        <is>
          <t>GOTLAND</t>
        </is>
      </c>
      <c r="G91" t="n">
        <v>9.300000000000001</v>
      </c>
      <c r="H91" t="n">
        <v>0</v>
      </c>
      <c r="I91" t="n">
        <v>2</v>
      </c>
      <c r="J91" t="n">
        <v>0</v>
      </c>
      <c r="K91" t="n">
        <v>1</v>
      </c>
      <c r="L91" t="n">
        <v>0</v>
      </c>
      <c r="M91" t="n">
        <v>0</v>
      </c>
      <c r="N91" t="n">
        <v>0</v>
      </c>
      <c r="O91" t="n">
        <v>1</v>
      </c>
      <c r="P91" t="n">
        <v>1</v>
      </c>
      <c r="Q91" t="n">
        <v>3</v>
      </c>
      <c r="R91" s="2" t="inlineStr">
        <is>
          <t>Violettfläckig spindling
Anisspindling
Blå slemspindling</t>
        </is>
      </c>
      <c r="S91">
        <f>HYPERLINK("https://klasma.github.io/Logging_0980/artfynd/A 43013-2022 artfynd.xlsx", "A 43013-2022")</f>
        <v/>
      </c>
      <c r="T91">
        <f>HYPERLINK("https://klasma.github.io/Logging_0980/kartor/A 43013-2022 karta.png", "A 43013-2022")</f>
        <v/>
      </c>
      <c r="V91">
        <f>HYPERLINK("https://klasma.github.io/Logging_0980/klagomål/A 43013-2022 FSC-klagomål.docx", "A 43013-2022")</f>
        <v/>
      </c>
      <c r="W91">
        <f>HYPERLINK("https://klasma.github.io/Logging_0980/klagomålsmail/A 43013-2022 FSC-klagomål mail.docx", "A 43013-2022")</f>
        <v/>
      </c>
      <c r="X91">
        <f>HYPERLINK("https://klasma.github.io/Logging_0980/tillsyn/A 43013-2022 tillsynsbegäran.docx", "A 43013-2022")</f>
        <v/>
      </c>
      <c r="Y91">
        <f>HYPERLINK("https://klasma.github.io/Logging_0980/tillsynsmail/A 43013-2022 tillsynsbegäran mail.docx", "A 43013-2022")</f>
        <v/>
      </c>
    </row>
    <row r="92" ht="15" customHeight="1">
      <c r="A92" t="inlineStr">
        <is>
          <t>A 2332-2021</t>
        </is>
      </c>
      <c r="B92" s="1" t="n">
        <v>44214</v>
      </c>
      <c r="C92" s="1" t="n">
        <v>45888</v>
      </c>
      <c r="D92" t="inlineStr">
        <is>
          <t>GOTLANDS LÄN</t>
        </is>
      </c>
      <c r="E92" t="inlineStr">
        <is>
          <t>GOTLAND</t>
        </is>
      </c>
      <c r="G92" t="n">
        <v>2.3</v>
      </c>
      <c r="H92" t="n">
        <v>2</v>
      </c>
      <c r="I92" t="n">
        <v>0</v>
      </c>
      <c r="J92" t="n">
        <v>1</v>
      </c>
      <c r="K92" t="n">
        <v>0</v>
      </c>
      <c r="L92" t="n">
        <v>0</v>
      </c>
      <c r="M92" t="n">
        <v>0</v>
      </c>
      <c r="N92" t="n">
        <v>0</v>
      </c>
      <c r="O92" t="n">
        <v>1</v>
      </c>
      <c r="P92" t="n">
        <v>0</v>
      </c>
      <c r="Q92" t="n">
        <v>3</v>
      </c>
      <c r="R92" s="2" t="inlineStr">
        <is>
          <t>Korpnopping
Sankt pers nycklar
Blåsippa</t>
        </is>
      </c>
      <c r="S92">
        <f>HYPERLINK("https://klasma.github.io/Logging_0980/artfynd/A 2332-2021 artfynd.xlsx", "A 2332-2021")</f>
        <v/>
      </c>
      <c r="T92">
        <f>HYPERLINK("https://klasma.github.io/Logging_0980/kartor/A 2332-2021 karta.png", "A 2332-2021")</f>
        <v/>
      </c>
      <c r="V92">
        <f>HYPERLINK("https://klasma.github.io/Logging_0980/klagomål/A 2332-2021 FSC-klagomål.docx", "A 2332-2021")</f>
        <v/>
      </c>
      <c r="W92">
        <f>HYPERLINK("https://klasma.github.io/Logging_0980/klagomålsmail/A 2332-2021 FSC-klagomål mail.docx", "A 2332-2021")</f>
        <v/>
      </c>
      <c r="X92">
        <f>HYPERLINK("https://klasma.github.io/Logging_0980/tillsyn/A 2332-2021 tillsynsbegäran.docx", "A 2332-2021")</f>
        <v/>
      </c>
      <c r="Y92">
        <f>HYPERLINK("https://klasma.github.io/Logging_0980/tillsynsmail/A 2332-2021 tillsynsbegäran mail.docx", "A 2332-2021")</f>
        <v/>
      </c>
    </row>
    <row r="93" ht="15" customHeight="1">
      <c r="A93" t="inlineStr">
        <is>
          <t>A 13499-2022</t>
        </is>
      </c>
      <c r="B93" s="1" t="n">
        <v>44647.79203703703</v>
      </c>
      <c r="C93" s="1" t="n">
        <v>45888</v>
      </c>
      <c r="D93" t="inlineStr">
        <is>
          <t>GOTLANDS LÄN</t>
        </is>
      </c>
      <c r="E93" t="inlineStr">
        <is>
          <t>GOTLAND</t>
        </is>
      </c>
      <c r="G93" t="n">
        <v>6.8</v>
      </c>
      <c r="H93" t="n">
        <v>3</v>
      </c>
      <c r="I93" t="n">
        <v>0</v>
      </c>
      <c r="J93" t="n">
        <v>1</v>
      </c>
      <c r="K93" t="n">
        <v>0</v>
      </c>
      <c r="L93" t="n">
        <v>0</v>
      </c>
      <c r="M93" t="n">
        <v>0</v>
      </c>
      <c r="N93" t="n">
        <v>0</v>
      </c>
      <c r="O93" t="n">
        <v>1</v>
      </c>
      <c r="P93" t="n">
        <v>0</v>
      </c>
      <c r="Q93" t="n">
        <v>3</v>
      </c>
      <c r="R93" s="2" t="inlineStr">
        <is>
          <t>Spillkråka
Sankt pers nycklar
Blåsippa</t>
        </is>
      </c>
      <c r="S93">
        <f>HYPERLINK("https://klasma.github.io/Logging_0980/artfynd/A 13499-2022 artfynd.xlsx", "A 13499-2022")</f>
        <v/>
      </c>
      <c r="T93">
        <f>HYPERLINK("https://klasma.github.io/Logging_0980/kartor/A 13499-2022 karta.png", "A 13499-2022")</f>
        <v/>
      </c>
      <c r="V93">
        <f>HYPERLINK("https://klasma.github.io/Logging_0980/klagomål/A 13499-2022 FSC-klagomål.docx", "A 13499-2022")</f>
        <v/>
      </c>
      <c r="W93">
        <f>HYPERLINK("https://klasma.github.io/Logging_0980/klagomålsmail/A 13499-2022 FSC-klagomål mail.docx", "A 13499-2022")</f>
        <v/>
      </c>
      <c r="X93">
        <f>HYPERLINK("https://klasma.github.io/Logging_0980/tillsyn/A 13499-2022 tillsynsbegäran.docx", "A 13499-2022")</f>
        <v/>
      </c>
      <c r="Y93">
        <f>HYPERLINK("https://klasma.github.io/Logging_0980/tillsynsmail/A 13499-2022 tillsynsbegäran mail.docx", "A 13499-2022")</f>
        <v/>
      </c>
      <c r="Z93">
        <f>HYPERLINK("https://klasma.github.io/Logging_0980/fåglar/A 13499-2022 prioriterade fågelarter.docx", "A 13499-2022")</f>
        <v/>
      </c>
    </row>
    <row r="94" ht="15" customHeight="1">
      <c r="A94" t="inlineStr">
        <is>
          <t>A 5235-2025</t>
        </is>
      </c>
      <c r="B94" s="1" t="n">
        <v>45692.26797453704</v>
      </c>
      <c r="C94" s="1" t="n">
        <v>45888</v>
      </c>
      <c r="D94" t="inlineStr">
        <is>
          <t>GOTLANDS LÄN</t>
        </is>
      </c>
      <c r="E94" t="inlineStr">
        <is>
          <t>GOTLAND</t>
        </is>
      </c>
      <c r="G94" t="n">
        <v>7.6</v>
      </c>
      <c r="H94" t="n">
        <v>1</v>
      </c>
      <c r="I94" t="n">
        <v>2</v>
      </c>
      <c r="J94" t="n">
        <v>1</v>
      </c>
      <c r="K94" t="n">
        <v>0</v>
      </c>
      <c r="L94" t="n">
        <v>0</v>
      </c>
      <c r="M94" t="n">
        <v>0</v>
      </c>
      <c r="N94" t="n">
        <v>0</v>
      </c>
      <c r="O94" t="n">
        <v>1</v>
      </c>
      <c r="P94" t="n">
        <v>0</v>
      </c>
      <c r="Q94" t="n">
        <v>3</v>
      </c>
      <c r="R94" s="2" t="inlineStr">
        <is>
          <t>Svinrot
Blåmossa
Tvåblad</t>
        </is>
      </c>
      <c r="S94">
        <f>HYPERLINK("https://klasma.github.io/Logging_0980/artfynd/A 5235-2025 artfynd.xlsx", "A 5235-2025")</f>
        <v/>
      </c>
      <c r="T94">
        <f>HYPERLINK("https://klasma.github.io/Logging_0980/kartor/A 5235-2025 karta.png", "A 5235-2025")</f>
        <v/>
      </c>
      <c r="V94">
        <f>HYPERLINK("https://klasma.github.io/Logging_0980/klagomål/A 5235-2025 FSC-klagomål.docx", "A 5235-2025")</f>
        <v/>
      </c>
      <c r="W94">
        <f>HYPERLINK("https://klasma.github.io/Logging_0980/klagomålsmail/A 5235-2025 FSC-klagomål mail.docx", "A 5235-2025")</f>
        <v/>
      </c>
      <c r="X94">
        <f>HYPERLINK("https://klasma.github.io/Logging_0980/tillsyn/A 5235-2025 tillsynsbegäran.docx", "A 5235-2025")</f>
        <v/>
      </c>
      <c r="Y94">
        <f>HYPERLINK("https://klasma.github.io/Logging_0980/tillsynsmail/A 5235-2025 tillsynsbegäran mail.docx", "A 5235-2025")</f>
        <v/>
      </c>
    </row>
    <row r="95" ht="15" customHeight="1">
      <c r="A95" t="inlineStr">
        <is>
          <t>A 17982-2023</t>
        </is>
      </c>
      <c r="B95" s="1" t="n">
        <v>45040</v>
      </c>
      <c r="C95" s="1" t="n">
        <v>45888</v>
      </c>
      <c r="D95" t="inlineStr">
        <is>
          <t>GOTLANDS LÄN</t>
        </is>
      </c>
      <c r="E95" t="inlineStr">
        <is>
          <t>GOTLAND</t>
        </is>
      </c>
      <c r="G95" t="n">
        <v>2.2</v>
      </c>
      <c r="H95" t="n">
        <v>0</v>
      </c>
      <c r="I95" t="n">
        <v>0</v>
      </c>
      <c r="J95" t="n">
        <v>2</v>
      </c>
      <c r="K95" t="n">
        <v>0</v>
      </c>
      <c r="L95" t="n">
        <v>0</v>
      </c>
      <c r="M95" t="n">
        <v>1</v>
      </c>
      <c r="N95" t="n">
        <v>0</v>
      </c>
      <c r="O95" t="n">
        <v>3</v>
      </c>
      <c r="P95" t="n">
        <v>1</v>
      </c>
      <c r="Q95" t="n">
        <v>3</v>
      </c>
      <c r="R95" s="2" t="inlineStr">
        <is>
          <t>Lundalm
Krusfrö
Ängsskära</t>
        </is>
      </c>
      <c r="S95">
        <f>HYPERLINK("https://klasma.github.io/Logging_0980/artfynd/A 17982-2023 artfynd.xlsx", "A 17982-2023")</f>
        <v/>
      </c>
      <c r="T95">
        <f>HYPERLINK("https://klasma.github.io/Logging_0980/kartor/A 17982-2023 karta.png", "A 17982-2023")</f>
        <v/>
      </c>
      <c r="V95">
        <f>HYPERLINK("https://klasma.github.io/Logging_0980/klagomål/A 17982-2023 FSC-klagomål.docx", "A 17982-2023")</f>
        <v/>
      </c>
      <c r="W95">
        <f>HYPERLINK("https://klasma.github.io/Logging_0980/klagomålsmail/A 17982-2023 FSC-klagomål mail.docx", "A 17982-2023")</f>
        <v/>
      </c>
      <c r="X95">
        <f>HYPERLINK("https://klasma.github.io/Logging_0980/tillsyn/A 17982-2023 tillsynsbegäran.docx", "A 17982-2023")</f>
        <v/>
      </c>
      <c r="Y95">
        <f>HYPERLINK("https://klasma.github.io/Logging_0980/tillsynsmail/A 17982-2023 tillsynsbegäran mail.docx", "A 17982-2023")</f>
        <v/>
      </c>
    </row>
    <row r="96" ht="15" customHeight="1">
      <c r="A96" t="inlineStr">
        <is>
          <t>A 53552-2021</t>
        </is>
      </c>
      <c r="B96" s="1" t="n">
        <v>44468</v>
      </c>
      <c r="C96" s="1" t="n">
        <v>45888</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45888</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30490-2025</t>
        </is>
      </c>
      <c r="B98" s="1" t="n">
        <v>45830</v>
      </c>
      <c r="C98" s="1" t="n">
        <v>45888</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20831-2024</t>
        </is>
      </c>
      <c r="B99" s="1" t="n">
        <v>45439</v>
      </c>
      <c r="C99" s="1" t="n">
        <v>45888</v>
      </c>
      <c r="D99" t="inlineStr">
        <is>
          <t>GOTLANDS LÄN</t>
        </is>
      </c>
      <c r="E99" t="inlineStr">
        <is>
          <t>GOTLAND</t>
        </is>
      </c>
      <c r="G99" t="n">
        <v>2.9</v>
      </c>
      <c r="H99" t="n">
        <v>2</v>
      </c>
      <c r="I99" t="n">
        <v>1</v>
      </c>
      <c r="J99" t="n">
        <v>2</v>
      </c>
      <c r="K99" t="n">
        <v>0</v>
      </c>
      <c r="L99" t="n">
        <v>0</v>
      </c>
      <c r="M99" t="n">
        <v>0</v>
      </c>
      <c r="N99" t="n">
        <v>0</v>
      </c>
      <c r="O99" t="n">
        <v>2</v>
      </c>
      <c r="P99" t="n">
        <v>0</v>
      </c>
      <c r="Q99" t="n">
        <v>3</v>
      </c>
      <c r="R99" s="2" t="inlineStr">
        <is>
          <t>Dårgräsfjäril
Svinrot
Skogsknipprot</t>
        </is>
      </c>
      <c r="S99">
        <f>HYPERLINK("https://klasma.github.io/Logging_0980/artfynd/A 20831-2024 artfynd.xlsx", "A 20831-2024")</f>
        <v/>
      </c>
      <c r="T99">
        <f>HYPERLINK("https://klasma.github.io/Logging_0980/kartor/A 20831-2024 karta.png", "A 20831-2024")</f>
        <v/>
      </c>
      <c r="V99">
        <f>HYPERLINK("https://klasma.github.io/Logging_0980/klagomål/A 20831-2024 FSC-klagomål.docx", "A 20831-2024")</f>
        <v/>
      </c>
      <c r="W99">
        <f>HYPERLINK("https://klasma.github.io/Logging_0980/klagomålsmail/A 20831-2024 FSC-klagomål mail.docx", "A 20831-2024")</f>
        <v/>
      </c>
      <c r="X99">
        <f>HYPERLINK("https://klasma.github.io/Logging_0980/tillsyn/A 20831-2024 tillsynsbegäran.docx", "A 20831-2024")</f>
        <v/>
      </c>
      <c r="Y99">
        <f>HYPERLINK("https://klasma.github.io/Logging_0980/tillsynsmail/A 20831-2024 tillsynsbegäran mail.docx", "A 20831-2024")</f>
        <v/>
      </c>
    </row>
    <row r="100" ht="15" customHeight="1">
      <c r="A100" t="inlineStr">
        <is>
          <t>A 17975-2024</t>
        </is>
      </c>
      <c r="B100" s="1" t="n">
        <v>45419.85546296297</v>
      </c>
      <c r="C100" s="1" t="n">
        <v>45888</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62326-2020</t>
        </is>
      </c>
      <c r="B101" s="1" t="n">
        <v>44160</v>
      </c>
      <c r="C101" s="1" t="n">
        <v>45888</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45888</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45888</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45888</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60665-2021</t>
        </is>
      </c>
      <c r="B105" s="1" t="n">
        <v>44496</v>
      </c>
      <c r="C105" s="1" t="n">
        <v>45888</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9930-2021</t>
        </is>
      </c>
      <c r="B106" s="1" t="n">
        <v>44252</v>
      </c>
      <c r="C106" s="1" t="n">
        <v>45888</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20218-2022</t>
        </is>
      </c>
      <c r="B107" s="1" t="n">
        <v>44698</v>
      </c>
      <c r="C107" s="1" t="n">
        <v>45888</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45888</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45888</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55649-2024</t>
        </is>
      </c>
      <c r="B110" s="1" t="n">
        <v>45622.63053240741</v>
      </c>
      <c r="C110" s="1" t="n">
        <v>45888</v>
      </c>
      <c r="D110" t="inlineStr">
        <is>
          <t>GOTLANDS LÄN</t>
        </is>
      </c>
      <c r="E110" t="inlineStr">
        <is>
          <t>GOTLAND</t>
        </is>
      </c>
      <c r="G110" t="n">
        <v>4.6</v>
      </c>
      <c r="H110" t="n">
        <v>2</v>
      </c>
      <c r="I110" t="n">
        <v>0</v>
      </c>
      <c r="J110" t="n">
        <v>0</v>
      </c>
      <c r="K110" t="n">
        <v>0</v>
      </c>
      <c r="L110" t="n">
        <v>0</v>
      </c>
      <c r="M110" t="n">
        <v>0</v>
      </c>
      <c r="N110" t="n">
        <v>0</v>
      </c>
      <c r="O110" t="n">
        <v>0</v>
      </c>
      <c r="P110" t="n">
        <v>0</v>
      </c>
      <c r="Q110" t="n">
        <v>2</v>
      </c>
      <c r="R110" s="2" t="inlineStr">
        <is>
          <t>Sankt pers nycklar
Blåsippa</t>
        </is>
      </c>
      <c r="S110">
        <f>HYPERLINK("https://klasma.github.io/Logging_0980/artfynd/A 55649-2024 artfynd.xlsx", "A 55649-2024")</f>
        <v/>
      </c>
      <c r="T110">
        <f>HYPERLINK("https://klasma.github.io/Logging_0980/kartor/A 55649-2024 karta.png", "A 55649-2024")</f>
        <v/>
      </c>
      <c r="V110">
        <f>HYPERLINK("https://klasma.github.io/Logging_0980/klagomål/A 55649-2024 FSC-klagomål.docx", "A 55649-2024")</f>
        <v/>
      </c>
      <c r="W110">
        <f>HYPERLINK("https://klasma.github.io/Logging_0980/klagomålsmail/A 55649-2024 FSC-klagomål mail.docx", "A 55649-2024")</f>
        <v/>
      </c>
      <c r="X110">
        <f>HYPERLINK("https://klasma.github.io/Logging_0980/tillsyn/A 55649-2024 tillsynsbegäran.docx", "A 55649-2024")</f>
        <v/>
      </c>
      <c r="Y110">
        <f>HYPERLINK("https://klasma.github.io/Logging_0980/tillsynsmail/A 55649-2024 tillsynsbegäran mail.docx", "A 55649-2024")</f>
        <v/>
      </c>
    </row>
    <row r="111" ht="15" customHeight="1">
      <c r="A111" t="inlineStr">
        <is>
          <t>A 20838-2024</t>
        </is>
      </c>
      <c r="B111" s="1" t="n">
        <v>45439</v>
      </c>
      <c r="C111" s="1" t="n">
        <v>45888</v>
      </c>
      <c r="D111" t="inlineStr">
        <is>
          <t>GOTLANDS LÄN</t>
        </is>
      </c>
      <c r="E111" t="inlineStr">
        <is>
          <t>GOTLAND</t>
        </is>
      </c>
      <c r="G111" t="n">
        <v>0.7</v>
      </c>
      <c r="H111" t="n">
        <v>2</v>
      </c>
      <c r="I111" t="n">
        <v>1</v>
      </c>
      <c r="J111" t="n">
        <v>1</v>
      </c>
      <c r="K111" t="n">
        <v>0</v>
      </c>
      <c r="L111" t="n">
        <v>0</v>
      </c>
      <c r="M111" t="n">
        <v>0</v>
      </c>
      <c r="N111" t="n">
        <v>0</v>
      </c>
      <c r="O111" t="n">
        <v>1</v>
      </c>
      <c r="P111" t="n">
        <v>0</v>
      </c>
      <c r="Q111" t="n">
        <v>2</v>
      </c>
      <c r="R111" s="2" t="inlineStr">
        <is>
          <t>Spillkråka
Skogsknipprot</t>
        </is>
      </c>
      <c r="S111">
        <f>HYPERLINK("https://klasma.github.io/Logging_0980/artfynd/A 20838-2024 artfynd.xlsx", "A 20838-2024")</f>
        <v/>
      </c>
      <c r="T111">
        <f>HYPERLINK("https://klasma.github.io/Logging_0980/kartor/A 20838-2024 karta.png", "A 20838-2024")</f>
        <v/>
      </c>
      <c r="V111">
        <f>HYPERLINK("https://klasma.github.io/Logging_0980/klagomål/A 20838-2024 FSC-klagomål.docx", "A 20838-2024")</f>
        <v/>
      </c>
      <c r="W111">
        <f>HYPERLINK("https://klasma.github.io/Logging_0980/klagomålsmail/A 20838-2024 FSC-klagomål mail.docx", "A 20838-2024")</f>
        <v/>
      </c>
      <c r="X111">
        <f>HYPERLINK("https://klasma.github.io/Logging_0980/tillsyn/A 20838-2024 tillsynsbegäran.docx", "A 20838-2024")</f>
        <v/>
      </c>
      <c r="Y111">
        <f>HYPERLINK("https://klasma.github.io/Logging_0980/tillsynsmail/A 20838-2024 tillsynsbegäran mail.docx", "A 20838-2024")</f>
        <v/>
      </c>
      <c r="Z111">
        <f>HYPERLINK("https://klasma.github.io/Logging_0980/fåglar/A 20838-2024 prioriterade fågelarter.docx", "A 20838-2024")</f>
        <v/>
      </c>
    </row>
    <row r="112" ht="15" customHeight="1">
      <c r="A112" t="inlineStr">
        <is>
          <t>A 43321-2020</t>
        </is>
      </c>
      <c r="B112" s="1" t="n">
        <v>44081</v>
      </c>
      <c r="C112" s="1" t="n">
        <v>45888</v>
      </c>
      <c r="D112" t="inlineStr">
        <is>
          <t>GOTLANDS LÄN</t>
        </is>
      </c>
      <c r="E112" t="inlineStr">
        <is>
          <t>GOTLAND</t>
        </is>
      </c>
      <c r="G112" t="n">
        <v>10</v>
      </c>
      <c r="H112" t="n">
        <v>1</v>
      </c>
      <c r="I112" t="n">
        <v>0</v>
      </c>
      <c r="J112" t="n">
        <v>2</v>
      </c>
      <c r="K112" t="n">
        <v>0</v>
      </c>
      <c r="L112" t="n">
        <v>0</v>
      </c>
      <c r="M112" t="n">
        <v>0</v>
      </c>
      <c r="N112" t="n">
        <v>0</v>
      </c>
      <c r="O112" t="n">
        <v>2</v>
      </c>
      <c r="P112" t="n">
        <v>0</v>
      </c>
      <c r="Q112" t="n">
        <v>2</v>
      </c>
      <c r="R112" s="2" t="inlineStr">
        <is>
          <t>Buskskvätta
Ängsnätfjäril</t>
        </is>
      </c>
      <c r="S112">
        <f>HYPERLINK("https://klasma.github.io/Logging_0980/artfynd/A 43321-2020 artfynd.xlsx", "A 43321-2020")</f>
        <v/>
      </c>
      <c r="T112">
        <f>HYPERLINK("https://klasma.github.io/Logging_0980/kartor/A 43321-2020 karta.png", "A 43321-2020")</f>
        <v/>
      </c>
      <c r="V112">
        <f>HYPERLINK("https://klasma.github.io/Logging_0980/klagomål/A 43321-2020 FSC-klagomål.docx", "A 43321-2020")</f>
        <v/>
      </c>
      <c r="W112">
        <f>HYPERLINK("https://klasma.github.io/Logging_0980/klagomålsmail/A 43321-2020 FSC-klagomål mail.docx", "A 43321-2020")</f>
        <v/>
      </c>
      <c r="X112">
        <f>HYPERLINK("https://klasma.github.io/Logging_0980/tillsyn/A 43321-2020 tillsynsbegäran.docx", "A 43321-2020")</f>
        <v/>
      </c>
      <c r="Y112">
        <f>HYPERLINK("https://klasma.github.io/Logging_0980/tillsynsmail/A 43321-2020 tillsynsbegäran mail.docx", "A 43321-2020")</f>
        <v/>
      </c>
      <c r="Z112">
        <f>HYPERLINK("https://klasma.github.io/Logging_0980/fåglar/A 43321-2020 prioriterade fågelarter.docx", "A 43321-2020")</f>
        <v/>
      </c>
    </row>
    <row r="113" ht="15" customHeight="1">
      <c r="A113" t="inlineStr">
        <is>
          <t>A 58701-2020</t>
        </is>
      </c>
      <c r="B113" s="1" t="n">
        <v>44146</v>
      </c>
      <c r="C113" s="1" t="n">
        <v>45888</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21879-2025</t>
        </is>
      </c>
      <c r="B114" s="1" t="n">
        <v>45784.40533564815</v>
      </c>
      <c r="C114" s="1" t="n">
        <v>45888</v>
      </c>
      <c r="D114" t="inlineStr">
        <is>
          <t>GOTLANDS LÄN</t>
        </is>
      </c>
      <c r="E114" t="inlineStr">
        <is>
          <t>GOTLAND</t>
        </is>
      </c>
      <c r="G114" t="n">
        <v>11.1</v>
      </c>
      <c r="H114" t="n">
        <v>0</v>
      </c>
      <c r="I114" t="n">
        <v>1</v>
      </c>
      <c r="J114" t="n">
        <v>0</v>
      </c>
      <c r="K114" t="n">
        <v>0</v>
      </c>
      <c r="L114" t="n">
        <v>1</v>
      </c>
      <c r="M114" t="n">
        <v>0</v>
      </c>
      <c r="N114" t="n">
        <v>0</v>
      </c>
      <c r="O114" t="n">
        <v>1</v>
      </c>
      <c r="P114" t="n">
        <v>1</v>
      </c>
      <c r="Q114" t="n">
        <v>2</v>
      </c>
      <c r="R114" s="2" t="inlineStr">
        <is>
          <t>Ask
Murgröna</t>
        </is>
      </c>
      <c r="S114">
        <f>HYPERLINK("https://klasma.github.io/Logging_0980/artfynd/A 21879-2025 artfynd.xlsx", "A 21879-2025")</f>
        <v/>
      </c>
      <c r="T114">
        <f>HYPERLINK("https://klasma.github.io/Logging_0980/kartor/A 21879-2025 karta.png", "A 21879-2025")</f>
        <v/>
      </c>
      <c r="V114">
        <f>HYPERLINK("https://klasma.github.io/Logging_0980/klagomål/A 21879-2025 FSC-klagomål.docx", "A 21879-2025")</f>
        <v/>
      </c>
      <c r="W114">
        <f>HYPERLINK("https://klasma.github.io/Logging_0980/klagomålsmail/A 21879-2025 FSC-klagomål mail.docx", "A 21879-2025")</f>
        <v/>
      </c>
      <c r="X114">
        <f>HYPERLINK("https://klasma.github.io/Logging_0980/tillsyn/A 21879-2025 tillsynsbegäran.docx", "A 21879-2025")</f>
        <v/>
      </c>
      <c r="Y114">
        <f>HYPERLINK("https://klasma.github.io/Logging_0980/tillsynsmail/A 21879-2025 tillsynsbegäran mail.docx", "A 21879-2025")</f>
        <v/>
      </c>
    </row>
    <row r="115" ht="15" customHeight="1">
      <c r="A115" t="inlineStr">
        <is>
          <t>A 48126-2022</t>
        </is>
      </c>
      <c r="B115" s="1" t="n">
        <v>44857</v>
      </c>
      <c r="C115" s="1" t="n">
        <v>45888</v>
      </c>
      <c r="D115" t="inlineStr">
        <is>
          <t>GOTLANDS LÄN</t>
        </is>
      </c>
      <c r="E115" t="inlineStr">
        <is>
          <t>GOTLAND</t>
        </is>
      </c>
      <c r="G115" t="n">
        <v>9.800000000000001</v>
      </c>
      <c r="H115" t="n">
        <v>1</v>
      </c>
      <c r="I115" t="n">
        <v>0</v>
      </c>
      <c r="J115" t="n">
        <v>2</v>
      </c>
      <c r="K115" t="n">
        <v>0</v>
      </c>
      <c r="L115" t="n">
        <v>0</v>
      </c>
      <c r="M115" t="n">
        <v>0</v>
      </c>
      <c r="N115" t="n">
        <v>0</v>
      </c>
      <c r="O115" t="n">
        <v>2</v>
      </c>
      <c r="P115" t="n">
        <v>0</v>
      </c>
      <c r="Q115" t="n">
        <v>2</v>
      </c>
      <c r="R115" s="2" t="inlineStr">
        <is>
          <t>Jordtistel
Spillkråka</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7070-2022</t>
        </is>
      </c>
      <c r="B116" s="1" t="n">
        <v>44603</v>
      </c>
      <c r="C116" s="1" t="n">
        <v>45888</v>
      </c>
      <c r="D116" t="inlineStr">
        <is>
          <t>GOTLANDS LÄN</t>
        </is>
      </c>
      <c r="E116" t="inlineStr">
        <is>
          <t>GOTLAND</t>
        </is>
      </c>
      <c r="G116" t="n">
        <v>2.6</v>
      </c>
      <c r="H116" t="n">
        <v>0</v>
      </c>
      <c r="I116" t="n">
        <v>2</v>
      </c>
      <c r="J116" t="n">
        <v>0</v>
      </c>
      <c r="K116" t="n">
        <v>0</v>
      </c>
      <c r="L116" t="n">
        <v>0</v>
      </c>
      <c r="M116" t="n">
        <v>0</v>
      </c>
      <c r="N116" t="n">
        <v>0</v>
      </c>
      <c r="O116" t="n">
        <v>0</v>
      </c>
      <c r="P116" t="n">
        <v>0</v>
      </c>
      <c r="Q116" t="n">
        <v>2</v>
      </c>
      <c r="R116" s="2" t="inlineStr">
        <is>
          <t>Blåmossa
Kattfotslav</t>
        </is>
      </c>
      <c r="S116">
        <f>HYPERLINK("https://klasma.github.io/Logging_0980/artfynd/A 7070-2022 artfynd.xlsx", "A 7070-2022")</f>
        <v/>
      </c>
      <c r="T116">
        <f>HYPERLINK("https://klasma.github.io/Logging_0980/kartor/A 7070-2022 karta.png", "A 7070-2022")</f>
        <v/>
      </c>
      <c r="V116">
        <f>HYPERLINK("https://klasma.github.io/Logging_0980/klagomål/A 7070-2022 FSC-klagomål.docx", "A 7070-2022")</f>
        <v/>
      </c>
      <c r="W116">
        <f>HYPERLINK("https://klasma.github.io/Logging_0980/klagomålsmail/A 7070-2022 FSC-klagomål mail.docx", "A 7070-2022")</f>
        <v/>
      </c>
      <c r="X116">
        <f>HYPERLINK("https://klasma.github.io/Logging_0980/tillsyn/A 7070-2022 tillsynsbegäran.docx", "A 7070-2022")</f>
        <v/>
      </c>
      <c r="Y116">
        <f>HYPERLINK("https://klasma.github.io/Logging_0980/tillsynsmail/A 7070-2022 tillsynsbegäran mail.docx", "A 7070-2022")</f>
        <v/>
      </c>
    </row>
    <row r="117" ht="15" customHeight="1">
      <c r="A117" t="inlineStr">
        <is>
          <t>A 26077-2024</t>
        </is>
      </c>
      <c r="B117" s="1" t="n">
        <v>45467</v>
      </c>
      <c r="C117" s="1" t="n">
        <v>45888</v>
      </c>
      <c r="D117" t="inlineStr">
        <is>
          <t>GOTLANDS LÄN</t>
        </is>
      </c>
      <c r="E117" t="inlineStr">
        <is>
          <t>GOTLAND</t>
        </is>
      </c>
      <c r="G117" t="n">
        <v>4.6</v>
      </c>
      <c r="H117" t="n">
        <v>0</v>
      </c>
      <c r="I117" t="n">
        <v>0</v>
      </c>
      <c r="J117" t="n">
        <v>1</v>
      </c>
      <c r="K117" t="n">
        <v>0</v>
      </c>
      <c r="L117" t="n">
        <v>1</v>
      </c>
      <c r="M117" t="n">
        <v>0</v>
      </c>
      <c r="N117" t="n">
        <v>0</v>
      </c>
      <c r="O117" t="n">
        <v>2</v>
      </c>
      <c r="P117" t="n">
        <v>1</v>
      </c>
      <c r="Q117" t="n">
        <v>2</v>
      </c>
      <c r="R117" s="2" t="inlineStr">
        <is>
          <t>Ask
Tallticka</t>
        </is>
      </c>
      <c r="S117">
        <f>HYPERLINK("https://klasma.github.io/Logging_0980/artfynd/A 26077-2024 artfynd.xlsx", "A 26077-2024")</f>
        <v/>
      </c>
      <c r="T117">
        <f>HYPERLINK("https://klasma.github.io/Logging_0980/kartor/A 26077-2024 karta.png", "A 26077-2024")</f>
        <v/>
      </c>
      <c r="V117">
        <f>HYPERLINK("https://klasma.github.io/Logging_0980/klagomål/A 26077-2024 FSC-klagomål.docx", "A 26077-2024")</f>
        <v/>
      </c>
      <c r="W117">
        <f>HYPERLINK("https://klasma.github.io/Logging_0980/klagomålsmail/A 26077-2024 FSC-klagomål mail.docx", "A 26077-2024")</f>
        <v/>
      </c>
      <c r="X117">
        <f>HYPERLINK("https://klasma.github.io/Logging_0980/tillsyn/A 26077-2024 tillsynsbegäran.docx", "A 26077-2024")</f>
        <v/>
      </c>
      <c r="Y117">
        <f>HYPERLINK("https://klasma.github.io/Logging_0980/tillsynsmail/A 26077-2024 tillsynsbegäran mail.docx", "A 26077-2024")</f>
        <v/>
      </c>
    </row>
    <row r="118" ht="15" customHeight="1">
      <c r="A118" t="inlineStr">
        <is>
          <t>A 64263-2020</t>
        </is>
      </c>
      <c r="B118" s="1" t="n">
        <v>44168</v>
      </c>
      <c r="C118" s="1" t="n">
        <v>45888</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45888</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45888</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28276-2024</t>
        </is>
      </c>
      <c r="B121" s="1" t="n">
        <v>45477</v>
      </c>
      <c r="C121" s="1" t="n">
        <v>45888</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45888</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45888</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45888</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45888</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45888</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45888</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45888</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2476-2025</t>
        </is>
      </c>
      <c r="B129" s="1" t="n">
        <v>45673</v>
      </c>
      <c r="C129" s="1" t="n">
        <v>45888</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24245-2022</t>
        </is>
      </c>
      <c r="B130" s="1" t="n">
        <v>44725</v>
      </c>
      <c r="C130" s="1" t="n">
        <v>45888</v>
      </c>
      <c r="D130" t="inlineStr">
        <is>
          <t>GOTLANDS LÄN</t>
        </is>
      </c>
      <c r="E130" t="inlineStr">
        <is>
          <t>GOTLAND</t>
        </is>
      </c>
      <c r="G130" t="n">
        <v>4.9</v>
      </c>
      <c r="H130" t="n">
        <v>0</v>
      </c>
      <c r="I130" t="n">
        <v>0</v>
      </c>
      <c r="J130" t="n">
        <v>0</v>
      </c>
      <c r="K130" t="n">
        <v>0</v>
      </c>
      <c r="L130" t="n">
        <v>1</v>
      </c>
      <c r="M130" t="n">
        <v>0</v>
      </c>
      <c r="N130" t="n">
        <v>0</v>
      </c>
      <c r="O130" t="n">
        <v>1</v>
      </c>
      <c r="P130" t="n">
        <v>1</v>
      </c>
      <c r="Q130" t="n">
        <v>1</v>
      </c>
      <c r="R130" s="2" t="inlineStr">
        <is>
          <t>Slät taggsvamp</t>
        </is>
      </c>
      <c r="S130">
        <f>HYPERLINK("https://klasma.github.io/Logging_0980/artfynd/A 24245-2022 artfynd.xlsx", "A 24245-2022")</f>
        <v/>
      </c>
      <c r="T130">
        <f>HYPERLINK("https://klasma.github.io/Logging_0980/kartor/A 24245-2022 karta.png", "A 24245-2022")</f>
        <v/>
      </c>
      <c r="V130">
        <f>HYPERLINK("https://klasma.github.io/Logging_0980/klagomål/A 24245-2022 FSC-klagomål.docx", "A 24245-2022")</f>
        <v/>
      </c>
      <c r="W130">
        <f>HYPERLINK("https://klasma.github.io/Logging_0980/klagomålsmail/A 24245-2022 FSC-klagomål mail.docx", "A 24245-2022")</f>
        <v/>
      </c>
      <c r="X130">
        <f>HYPERLINK("https://klasma.github.io/Logging_0980/tillsyn/A 24245-2022 tillsynsbegäran.docx", "A 24245-2022")</f>
        <v/>
      </c>
      <c r="Y130">
        <f>HYPERLINK("https://klasma.github.io/Logging_0980/tillsynsmail/A 24245-2022 tillsynsbegäran mail.docx", "A 24245-2022")</f>
        <v/>
      </c>
    </row>
    <row r="131" ht="15" customHeight="1">
      <c r="A131" t="inlineStr">
        <is>
          <t>A 447-2023</t>
        </is>
      </c>
      <c r="B131" s="1" t="n">
        <v>44929</v>
      </c>
      <c r="C131" s="1" t="n">
        <v>45888</v>
      </c>
      <c r="D131" t="inlineStr">
        <is>
          <t>GOTLANDS LÄN</t>
        </is>
      </c>
      <c r="E131" t="inlineStr">
        <is>
          <t>GOTLAND</t>
        </is>
      </c>
      <c r="G131" t="n">
        <v>5.1</v>
      </c>
      <c r="H131" t="n">
        <v>0</v>
      </c>
      <c r="I131" t="n">
        <v>0</v>
      </c>
      <c r="J131" t="n">
        <v>1</v>
      </c>
      <c r="K131" t="n">
        <v>0</v>
      </c>
      <c r="L131" t="n">
        <v>0</v>
      </c>
      <c r="M131" t="n">
        <v>0</v>
      </c>
      <c r="N131" t="n">
        <v>0</v>
      </c>
      <c r="O131" t="n">
        <v>1</v>
      </c>
      <c r="P131" t="n">
        <v>0</v>
      </c>
      <c r="Q131" t="n">
        <v>1</v>
      </c>
      <c r="R131" s="2" t="inlineStr">
        <is>
          <t>Äggspindling</t>
        </is>
      </c>
      <c r="S131">
        <f>HYPERLINK("https://klasma.github.io/Logging_0980/artfynd/A 447-2023 artfynd.xlsx", "A 447-2023")</f>
        <v/>
      </c>
      <c r="T131">
        <f>HYPERLINK("https://klasma.github.io/Logging_0980/kartor/A 447-2023 karta.png", "A 447-2023")</f>
        <v/>
      </c>
      <c r="V131">
        <f>HYPERLINK("https://klasma.github.io/Logging_0980/klagomål/A 447-2023 FSC-klagomål.docx", "A 447-2023")</f>
        <v/>
      </c>
      <c r="W131">
        <f>HYPERLINK("https://klasma.github.io/Logging_0980/klagomålsmail/A 447-2023 FSC-klagomål mail.docx", "A 447-2023")</f>
        <v/>
      </c>
      <c r="X131">
        <f>HYPERLINK("https://klasma.github.io/Logging_0980/tillsyn/A 447-2023 tillsynsbegäran.docx", "A 447-2023")</f>
        <v/>
      </c>
      <c r="Y131">
        <f>HYPERLINK("https://klasma.github.io/Logging_0980/tillsynsmail/A 447-2023 tillsynsbegäran mail.docx", "A 447-2023")</f>
        <v/>
      </c>
    </row>
    <row r="132" ht="15" customHeight="1">
      <c r="A132" t="inlineStr">
        <is>
          <t>A 20429-2025</t>
        </is>
      </c>
      <c r="B132" s="1" t="n">
        <v>45775.47728009259</v>
      </c>
      <c r="C132" s="1" t="n">
        <v>45888</v>
      </c>
      <c r="D132" t="inlineStr">
        <is>
          <t>GOTLANDS LÄN</t>
        </is>
      </c>
      <c r="E132" t="inlineStr">
        <is>
          <t>GOTLAND</t>
        </is>
      </c>
      <c r="G132" t="n">
        <v>1.4</v>
      </c>
      <c r="H132" t="n">
        <v>1</v>
      </c>
      <c r="I132" t="n">
        <v>0</v>
      </c>
      <c r="J132" t="n">
        <v>0</v>
      </c>
      <c r="K132" t="n">
        <v>0</v>
      </c>
      <c r="L132" t="n">
        <v>0</v>
      </c>
      <c r="M132" t="n">
        <v>0</v>
      </c>
      <c r="N132" t="n">
        <v>0</v>
      </c>
      <c r="O132" t="n">
        <v>0</v>
      </c>
      <c r="P132" t="n">
        <v>0</v>
      </c>
      <c r="Q132" t="n">
        <v>1</v>
      </c>
      <c r="R132" s="2" t="inlineStr">
        <is>
          <t>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48155-2024</t>
        </is>
      </c>
      <c r="B133" s="1" t="n">
        <v>45589.68863425926</v>
      </c>
      <c r="C133" s="1" t="n">
        <v>45888</v>
      </c>
      <c r="D133" t="inlineStr">
        <is>
          <t>GOTLANDS LÄN</t>
        </is>
      </c>
      <c r="E133" t="inlineStr">
        <is>
          <t>GOTLAND</t>
        </is>
      </c>
      <c r="G133" t="n">
        <v>2.4</v>
      </c>
      <c r="H133" t="n">
        <v>1</v>
      </c>
      <c r="I133" t="n">
        <v>0</v>
      </c>
      <c r="J133" t="n">
        <v>0</v>
      </c>
      <c r="K133" t="n">
        <v>0</v>
      </c>
      <c r="L133" t="n">
        <v>0</v>
      </c>
      <c r="M133" t="n">
        <v>0</v>
      </c>
      <c r="N133" t="n">
        <v>0</v>
      </c>
      <c r="O133" t="n">
        <v>0</v>
      </c>
      <c r="P133" t="n">
        <v>0</v>
      </c>
      <c r="Q133" t="n">
        <v>1</v>
      </c>
      <c r="R133" s="2" t="inlineStr">
        <is>
          <t>Gröngöling</t>
        </is>
      </c>
      <c r="S133">
        <f>HYPERLINK("https://klasma.github.io/Logging_0980/artfynd/A 48155-2024 artfynd.xlsx", "A 48155-2024")</f>
        <v/>
      </c>
      <c r="T133">
        <f>HYPERLINK("https://klasma.github.io/Logging_0980/kartor/A 48155-2024 karta.png", "A 48155-2024")</f>
        <v/>
      </c>
      <c r="V133">
        <f>HYPERLINK("https://klasma.github.io/Logging_0980/klagomål/A 48155-2024 FSC-klagomål.docx", "A 48155-2024")</f>
        <v/>
      </c>
      <c r="W133">
        <f>HYPERLINK("https://klasma.github.io/Logging_0980/klagomålsmail/A 48155-2024 FSC-klagomål mail.docx", "A 48155-2024")</f>
        <v/>
      </c>
      <c r="X133">
        <f>HYPERLINK("https://klasma.github.io/Logging_0980/tillsyn/A 48155-2024 tillsynsbegäran.docx", "A 48155-2024")</f>
        <v/>
      </c>
      <c r="Y133">
        <f>HYPERLINK("https://klasma.github.io/Logging_0980/tillsynsmail/A 48155-2024 tillsynsbegäran mail.docx", "A 48155-2024")</f>
        <v/>
      </c>
      <c r="Z133">
        <f>HYPERLINK("https://klasma.github.io/Logging_0980/fåglar/A 48155-2024 prioriterade fågelarter.docx", "A 48155-2024")</f>
        <v/>
      </c>
    </row>
    <row r="134" ht="15" customHeight="1">
      <c r="A134" t="inlineStr">
        <is>
          <t>A 34809-2024</t>
        </is>
      </c>
      <c r="B134" s="1" t="n">
        <v>45526</v>
      </c>
      <c r="C134" s="1" t="n">
        <v>45888</v>
      </c>
      <c r="D134" t="inlineStr">
        <is>
          <t>GOTLANDS LÄN</t>
        </is>
      </c>
      <c r="E134" t="inlineStr">
        <is>
          <t>GOTLAND</t>
        </is>
      </c>
      <c r="G134" t="n">
        <v>9.9</v>
      </c>
      <c r="H134" t="n">
        <v>1</v>
      </c>
      <c r="I134" t="n">
        <v>0</v>
      </c>
      <c r="J134" t="n">
        <v>1</v>
      </c>
      <c r="K134" t="n">
        <v>0</v>
      </c>
      <c r="L134" t="n">
        <v>0</v>
      </c>
      <c r="M134" t="n">
        <v>0</v>
      </c>
      <c r="N134" t="n">
        <v>0</v>
      </c>
      <c r="O134" t="n">
        <v>1</v>
      </c>
      <c r="P134" t="n">
        <v>0</v>
      </c>
      <c r="Q134" t="n">
        <v>1</v>
      </c>
      <c r="R134" s="2" t="inlineStr">
        <is>
          <t>Brun ögontröst</t>
        </is>
      </c>
      <c r="S134">
        <f>HYPERLINK("https://klasma.github.io/Logging_0980/artfynd/A 34809-2024 artfynd.xlsx", "A 34809-2024")</f>
        <v/>
      </c>
      <c r="T134">
        <f>HYPERLINK("https://klasma.github.io/Logging_0980/kartor/A 34809-2024 karta.png", "A 34809-2024")</f>
        <v/>
      </c>
      <c r="V134">
        <f>HYPERLINK("https://klasma.github.io/Logging_0980/klagomål/A 34809-2024 FSC-klagomål.docx", "A 34809-2024")</f>
        <v/>
      </c>
      <c r="W134">
        <f>HYPERLINK("https://klasma.github.io/Logging_0980/klagomålsmail/A 34809-2024 FSC-klagomål mail.docx", "A 34809-2024")</f>
        <v/>
      </c>
      <c r="X134">
        <f>HYPERLINK("https://klasma.github.io/Logging_0980/tillsyn/A 34809-2024 tillsynsbegäran.docx", "A 34809-2024")</f>
        <v/>
      </c>
      <c r="Y134">
        <f>HYPERLINK("https://klasma.github.io/Logging_0980/tillsynsmail/A 34809-2024 tillsynsbegäran mail.docx", "A 34809-2024")</f>
        <v/>
      </c>
    </row>
    <row r="135" ht="15" customHeight="1">
      <c r="A135" t="inlineStr">
        <is>
          <t>A 10995-2023</t>
        </is>
      </c>
      <c r="B135" s="1" t="n">
        <v>44986</v>
      </c>
      <c r="C135" s="1" t="n">
        <v>45888</v>
      </c>
      <c r="D135" t="inlineStr">
        <is>
          <t>GOTLANDS LÄN</t>
        </is>
      </c>
      <c r="E135" t="inlineStr">
        <is>
          <t>GOTLAND</t>
        </is>
      </c>
      <c r="G135" t="n">
        <v>2.8</v>
      </c>
      <c r="H135" t="n">
        <v>0</v>
      </c>
      <c r="I135" t="n">
        <v>0</v>
      </c>
      <c r="J135" t="n">
        <v>0</v>
      </c>
      <c r="K135" t="n">
        <v>1</v>
      </c>
      <c r="L135" t="n">
        <v>0</v>
      </c>
      <c r="M135" t="n">
        <v>0</v>
      </c>
      <c r="N135" t="n">
        <v>0</v>
      </c>
      <c r="O135" t="n">
        <v>1</v>
      </c>
      <c r="P135" t="n">
        <v>1</v>
      </c>
      <c r="Q135" t="n">
        <v>1</v>
      </c>
      <c r="R135" s="2" t="inlineStr">
        <is>
          <t>Violettfläckig spindling</t>
        </is>
      </c>
      <c r="S135">
        <f>HYPERLINK("https://klasma.github.io/Logging_0980/artfynd/A 10995-2023 artfynd.xlsx", "A 10995-2023")</f>
        <v/>
      </c>
      <c r="T135">
        <f>HYPERLINK("https://klasma.github.io/Logging_0980/kartor/A 10995-2023 karta.png", "A 10995-2023")</f>
        <v/>
      </c>
      <c r="V135">
        <f>HYPERLINK("https://klasma.github.io/Logging_0980/klagomål/A 10995-2023 FSC-klagomål.docx", "A 10995-2023")</f>
        <v/>
      </c>
      <c r="W135">
        <f>HYPERLINK("https://klasma.github.io/Logging_0980/klagomålsmail/A 10995-2023 FSC-klagomål mail.docx", "A 10995-2023")</f>
        <v/>
      </c>
      <c r="X135">
        <f>HYPERLINK("https://klasma.github.io/Logging_0980/tillsyn/A 10995-2023 tillsynsbegäran.docx", "A 10995-2023")</f>
        <v/>
      </c>
      <c r="Y135">
        <f>HYPERLINK("https://klasma.github.io/Logging_0980/tillsynsmail/A 10995-2023 tillsynsbegäran mail.docx", "A 10995-2023")</f>
        <v/>
      </c>
    </row>
    <row r="136" ht="15" customHeight="1">
      <c r="A136" t="inlineStr">
        <is>
          <t>A 44308-2021</t>
        </is>
      </c>
      <c r="B136" s="1" t="n">
        <v>44434</v>
      </c>
      <c r="C136" s="1" t="n">
        <v>45888</v>
      </c>
      <c r="D136" t="inlineStr">
        <is>
          <t>GOTLANDS LÄN</t>
        </is>
      </c>
      <c r="E136" t="inlineStr">
        <is>
          <t>GOTLAND</t>
        </is>
      </c>
      <c r="G136" t="n">
        <v>5.9</v>
      </c>
      <c r="H136" t="n">
        <v>0</v>
      </c>
      <c r="I136" t="n">
        <v>1</v>
      </c>
      <c r="J136" t="n">
        <v>0</v>
      </c>
      <c r="K136" t="n">
        <v>0</v>
      </c>
      <c r="L136" t="n">
        <v>0</v>
      </c>
      <c r="M136" t="n">
        <v>0</v>
      </c>
      <c r="N136" t="n">
        <v>0</v>
      </c>
      <c r="O136" t="n">
        <v>0</v>
      </c>
      <c r="P136" t="n">
        <v>0</v>
      </c>
      <c r="Q136" t="n">
        <v>1</v>
      </c>
      <c r="R136" s="2" t="inlineStr">
        <is>
          <t>Svavelriska</t>
        </is>
      </c>
      <c r="S136">
        <f>HYPERLINK("https://klasma.github.io/Logging_0980/artfynd/A 44308-2021 artfynd.xlsx", "A 44308-2021")</f>
        <v/>
      </c>
      <c r="T136">
        <f>HYPERLINK("https://klasma.github.io/Logging_0980/kartor/A 44308-2021 karta.png", "A 44308-2021")</f>
        <v/>
      </c>
      <c r="V136">
        <f>HYPERLINK("https://klasma.github.io/Logging_0980/klagomål/A 44308-2021 FSC-klagomål.docx", "A 44308-2021")</f>
        <v/>
      </c>
      <c r="W136">
        <f>HYPERLINK("https://klasma.github.io/Logging_0980/klagomålsmail/A 44308-2021 FSC-klagomål mail.docx", "A 44308-2021")</f>
        <v/>
      </c>
      <c r="X136">
        <f>HYPERLINK("https://klasma.github.io/Logging_0980/tillsyn/A 44308-2021 tillsynsbegäran.docx", "A 44308-2021")</f>
        <v/>
      </c>
      <c r="Y136">
        <f>HYPERLINK("https://klasma.github.io/Logging_0980/tillsynsmail/A 44308-2021 tillsynsbegäran mail.docx", "A 44308-2021")</f>
        <v/>
      </c>
    </row>
    <row r="137" ht="15" customHeight="1">
      <c r="A137" t="inlineStr">
        <is>
          <t>A 63576-2021</t>
        </is>
      </c>
      <c r="B137" s="1" t="n">
        <v>44508</v>
      </c>
      <c r="C137" s="1" t="n">
        <v>45888</v>
      </c>
      <c r="D137" t="inlineStr">
        <is>
          <t>GOTLANDS LÄN</t>
        </is>
      </c>
      <c r="E137" t="inlineStr">
        <is>
          <t>GOTLAND</t>
        </is>
      </c>
      <c r="F137" t="inlineStr">
        <is>
          <t>Kyrkan</t>
        </is>
      </c>
      <c r="G137" t="n">
        <v>4.1</v>
      </c>
      <c r="H137" t="n">
        <v>1</v>
      </c>
      <c r="I137" t="n">
        <v>0</v>
      </c>
      <c r="J137" t="n">
        <v>1</v>
      </c>
      <c r="K137" t="n">
        <v>0</v>
      </c>
      <c r="L137" t="n">
        <v>0</v>
      </c>
      <c r="M137" t="n">
        <v>0</v>
      </c>
      <c r="N137" t="n">
        <v>0</v>
      </c>
      <c r="O137" t="n">
        <v>1</v>
      </c>
      <c r="P137" t="n">
        <v>0</v>
      </c>
      <c r="Q137" t="n">
        <v>1</v>
      </c>
      <c r="R137" s="2" t="inlineStr">
        <is>
          <t>Dårgräsfjäril</t>
        </is>
      </c>
      <c r="S137">
        <f>HYPERLINK("https://klasma.github.io/Logging_0980/artfynd/A 63576-2021 artfynd.xlsx", "A 63576-2021")</f>
        <v/>
      </c>
      <c r="T137">
        <f>HYPERLINK("https://klasma.github.io/Logging_0980/kartor/A 63576-2021 karta.png", "A 63576-2021")</f>
        <v/>
      </c>
      <c r="V137">
        <f>HYPERLINK("https://klasma.github.io/Logging_0980/klagomål/A 63576-2021 FSC-klagomål.docx", "A 63576-2021")</f>
        <v/>
      </c>
      <c r="W137">
        <f>HYPERLINK("https://klasma.github.io/Logging_0980/klagomålsmail/A 63576-2021 FSC-klagomål mail.docx", "A 63576-2021")</f>
        <v/>
      </c>
      <c r="X137">
        <f>HYPERLINK("https://klasma.github.io/Logging_0980/tillsyn/A 63576-2021 tillsynsbegäran.docx", "A 63576-2021")</f>
        <v/>
      </c>
      <c r="Y137">
        <f>HYPERLINK("https://klasma.github.io/Logging_0980/tillsynsmail/A 63576-2021 tillsynsbegäran mail.docx", "A 63576-2021")</f>
        <v/>
      </c>
    </row>
    <row r="138" ht="15" customHeight="1">
      <c r="A138" t="inlineStr">
        <is>
          <t>A 12924-2025</t>
        </is>
      </c>
      <c r="B138" s="1" t="n">
        <v>45734</v>
      </c>
      <c r="C138" s="1" t="n">
        <v>45888</v>
      </c>
      <c r="D138" t="inlineStr">
        <is>
          <t>GOTLANDS LÄN</t>
        </is>
      </c>
      <c r="E138" t="inlineStr">
        <is>
          <t>GOTLAND</t>
        </is>
      </c>
      <c r="G138" t="n">
        <v>11.7</v>
      </c>
      <c r="H138" t="n">
        <v>0</v>
      </c>
      <c r="I138" t="n">
        <v>0</v>
      </c>
      <c r="J138" t="n">
        <v>0</v>
      </c>
      <c r="K138" t="n">
        <v>1</v>
      </c>
      <c r="L138" t="n">
        <v>0</v>
      </c>
      <c r="M138" t="n">
        <v>0</v>
      </c>
      <c r="N138" t="n">
        <v>0</v>
      </c>
      <c r="O138" t="n">
        <v>1</v>
      </c>
      <c r="P138" t="n">
        <v>1</v>
      </c>
      <c r="Q138" t="n">
        <v>1</v>
      </c>
      <c r="R138" s="2" t="inlineStr">
        <is>
          <t>Gotlandsmåra</t>
        </is>
      </c>
      <c r="S138">
        <f>HYPERLINK("https://klasma.github.io/Logging_0980/artfynd/A 12924-2025 artfynd.xlsx", "A 12924-2025")</f>
        <v/>
      </c>
      <c r="T138">
        <f>HYPERLINK("https://klasma.github.io/Logging_0980/kartor/A 12924-2025 karta.png", "A 12924-2025")</f>
        <v/>
      </c>
      <c r="V138">
        <f>HYPERLINK("https://klasma.github.io/Logging_0980/klagomål/A 12924-2025 FSC-klagomål.docx", "A 12924-2025")</f>
        <v/>
      </c>
      <c r="W138">
        <f>HYPERLINK("https://klasma.github.io/Logging_0980/klagomålsmail/A 12924-2025 FSC-klagomål mail.docx", "A 12924-2025")</f>
        <v/>
      </c>
      <c r="X138">
        <f>HYPERLINK("https://klasma.github.io/Logging_0980/tillsyn/A 12924-2025 tillsynsbegäran.docx", "A 12924-2025")</f>
        <v/>
      </c>
      <c r="Y138">
        <f>HYPERLINK("https://klasma.github.io/Logging_0980/tillsynsmail/A 12924-2025 tillsynsbegäran mail.docx", "A 12924-2025")</f>
        <v/>
      </c>
    </row>
    <row r="139" ht="15" customHeight="1">
      <c r="A139" t="inlineStr">
        <is>
          <t>A 21466-2025</t>
        </is>
      </c>
      <c r="B139" s="1" t="n">
        <v>45782</v>
      </c>
      <c r="C139" s="1" t="n">
        <v>45888</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49304-2024</t>
        </is>
      </c>
      <c r="B140" s="1" t="n">
        <v>45595.54996527778</v>
      </c>
      <c r="C140" s="1" t="n">
        <v>45888</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46527-2023</t>
        </is>
      </c>
      <c r="B141" s="1" t="n">
        <v>45197</v>
      </c>
      <c r="C141" s="1" t="n">
        <v>45888</v>
      </c>
      <c r="D141" t="inlineStr">
        <is>
          <t>GOTLANDS LÄN</t>
        </is>
      </c>
      <c r="E141" t="inlineStr">
        <is>
          <t>GOTLAND</t>
        </is>
      </c>
      <c r="G141" t="n">
        <v>0.9</v>
      </c>
      <c r="H141" t="n">
        <v>0</v>
      </c>
      <c r="I141" t="n">
        <v>0</v>
      </c>
      <c r="J141" t="n">
        <v>1</v>
      </c>
      <c r="K141" t="n">
        <v>0</v>
      </c>
      <c r="L141" t="n">
        <v>0</v>
      </c>
      <c r="M141" t="n">
        <v>0</v>
      </c>
      <c r="N141" t="n">
        <v>0</v>
      </c>
      <c r="O141" t="n">
        <v>1</v>
      </c>
      <c r="P141" t="n">
        <v>0</v>
      </c>
      <c r="Q141" t="n">
        <v>1</v>
      </c>
      <c r="R141" s="2" t="inlineStr">
        <is>
          <t>Guldgräshoppa</t>
        </is>
      </c>
      <c r="S141">
        <f>HYPERLINK("https://klasma.github.io/Logging_0980/artfynd/A 46527-2023 artfynd.xlsx", "A 46527-2023")</f>
        <v/>
      </c>
      <c r="T141">
        <f>HYPERLINK("https://klasma.github.io/Logging_0980/kartor/A 46527-2023 karta.png", "A 46527-2023")</f>
        <v/>
      </c>
      <c r="V141">
        <f>HYPERLINK("https://klasma.github.io/Logging_0980/klagomål/A 46527-2023 FSC-klagomål.docx", "A 46527-2023")</f>
        <v/>
      </c>
      <c r="W141">
        <f>HYPERLINK("https://klasma.github.io/Logging_0980/klagomålsmail/A 46527-2023 FSC-klagomål mail.docx", "A 46527-2023")</f>
        <v/>
      </c>
      <c r="X141">
        <f>HYPERLINK("https://klasma.github.io/Logging_0980/tillsyn/A 46527-2023 tillsynsbegäran.docx", "A 46527-2023")</f>
        <v/>
      </c>
      <c r="Y141">
        <f>HYPERLINK("https://klasma.github.io/Logging_0980/tillsynsmail/A 46527-2023 tillsynsbegäran mail.docx", "A 46527-2023")</f>
        <v/>
      </c>
    </row>
    <row r="142" ht="15" customHeight="1">
      <c r="A142" t="inlineStr">
        <is>
          <t>A 22782-2023</t>
        </is>
      </c>
      <c r="B142" s="1" t="n">
        <v>45072</v>
      </c>
      <c r="C142" s="1" t="n">
        <v>45888</v>
      </c>
      <c r="D142" t="inlineStr">
        <is>
          <t>GOTLANDS LÄN</t>
        </is>
      </c>
      <c r="E142" t="inlineStr">
        <is>
          <t>GOTLAND</t>
        </is>
      </c>
      <c r="F142" t="inlineStr">
        <is>
          <t>Kyrkan</t>
        </is>
      </c>
      <c r="G142" t="n">
        <v>3.1</v>
      </c>
      <c r="H142" t="n">
        <v>1</v>
      </c>
      <c r="I142" t="n">
        <v>0</v>
      </c>
      <c r="J142" t="n">
        <v>0</v>
      </c>
      <c r="K142" t="n">
        <v>0</v>
      </c>
      <c r="L142" t="n">
        <v>0</v>
      </c>
      <c r="M142" t="n">
        <v>0</v>
      </c>
      <c r="N142" t="n">
        <v>0</v>
      </c>
      <c r="O142" t="n">
        <v>0</v>
      </c>
      <c r="P142" t="n">
        <v>0</v>
      </c>
      <c r="Q142" t="n">
        <v>1</v>
      </c>
      <c r="R142" s="2" t="inlineStr">
        <is>
          <t>Ängsnycklar × skogsnycklar</t>
        </is>
      </c>
      <c r="S142">
        <f>HYPERLINK("https://klasma.github.io/Logging_0980/artfynd/A 22782-2023 artfynd.xlsx", "A 22782-2023")</f>
        <v/>
      </c>
      <c r="T142">
        <f>HYPERLINK("https://klasma.github.io/Logging_0980/kartor/A 22782-2023 karta.png", "A 22782-2023")</f>
        <v/>
      </c>
      <c r="V142">
        <f>HYPERLINK("https://klasma.github.io/Logging_0980/klagomål/A 22782-2023 FSC-klagomål.docx", "A 22782-2023")</f>
        <v/>
      </c>
      <c r="W142">
        <f>HYPERLINK("https://klasma.github.io/Logging_0980/klagomålsmail/A 22782-2023 FSC-klagomål mail.docx", "A 22782-2023")</f>
        <v/>
      </c>
      <c r="X142">
        <f>HYPERLINK("https://klasma.github.io/Logging_0980/tillsyn/A 22782-2023 tillsynsbegäran.docx", "A 22782-2023")</f>
        <v/>
      </c>
      <c r="Y142">
        <f>HYPERLINK("https://klasma.github.io/Logging_0980/tillsynsmail/A 22782-2023 tillsynsbegäran mail.docx", "A 22782-2023")</f>
        <v/>
      </c>
    </row>
    <row r="143" ht="15" customHeight="1">
      <c r="A143" t="inlineStr">
        <is>
          <t>A 17723-2021</t>
        </is>
      </c>
      <c r="B143" s="1" t="n">
        <v>44300</v>
      </c>
      <c r="C143" s="1" t="n">
        <v>45888</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44088-2022</t>
        </is>
      </c>
      <c r="B144" s="1" t="n">
        <v>44839</v>
      </c>
      <c r="C144" s="1" t="n">
        <v>45888</v>
      </c>
      <c r="D144" t="inlineStr">
        <is>
          <t>GOTLANDS LÄN</t>
        </is>
      </c>
      <c r="E144" t="inlineStr">
        <is>
          <t>GOTLAND</t>
        </is>
      </c>
      <c r="G144" t="n">
        <v>1.5</v>
      </c>
      <c r="H144" t="n">
        <v>0</v>
      </c>
      <c r="I144" t="n">
        <v>1</v>
      </c>
      <c r="J144" t="n">
        <v>0</v>
      </c>
      <c r="K144" t="n">
        <v>0</v>
      </c>
      <c r="L144" t="n">
        <v>0</v>
      </c>
      <c r="M144" t="n">
        <v>0</v>
      </c>
      <c r="N144" t="n">
        <v>0</v>
      </c>
      <c r="O144" t="n">
        <v>0</v>
      </c>
      <c r="P144" t="n">
        <v>0</v>
      </c>
      <c r="Q144" t="n">
        <v>1</v>
      </c>
      <c r="R144" s="2" t="inlineStr">
        <is>
          <t>Strävlosta</t>
        </is>
      </c>
      <c r="S144">
        <f>HYPERLINK("https://klasma.github.io/Logging_0980/artfynd/A 44088-2022 artfynd.xlsx", "A 44088-2022")</f>
        <v/>
      </c>
      <c r="T144">
        <f>HYPERLINK("https://klasma.github.io/Logging_0980/kartor/A 44088-2022 karta.png", "A 44088-2022")</f>
        <v/>
      </c>
      <c r="V144">
        <f>HYPERLINK("https://klasma.github.io/Logging_0980/klagomål/A 44088-2022 FSC-klagomål.docx", "A 44088-2022")</f>
        <v/>
      </c>
      <c r="W144">
        <f>HYPERLINK("https://klasma.github.io/Logging_0980/klagomålsmail/A 44088-2022 FSC-klagomål mail.docx", "A 44088-2022")</f>
        <v/>
      </c>
      <c r="X144">
        <f>HYPERLINK("https://klasma.github.io/Logging_0980/tillsyn/A 44088-2022 tillsynsbegäran.docx", "A 44088-2022")</f>
        <v/>
      </c>
      <c r="Y144">
        <f>HYPERLINK("https://klasma.github.io/Logging_0980/tillsynsmail/A 44088-2022 tillsynsbegäran mail.docx", "A 44088-2022")</f>
        <v/>
      </c>
    </row>
    <row r="145" ht="15" customHeight="1">
      <c r="A145" t="inlineStr">
        <is>
          <t>A 2213-2023</t>
        </is>
      </c>
      <c r="B145" s="1" t="n">
        <v>44942</v>
      </c>
      <c r="C145" s="1" t="n">
        <v>45888</v>
      </c>
      <c r="D145" t="inlineStr">
        <is>
          <t>GOTLANDS LÄN</t>
        </is>
      </c>
      <c r="E145" t="inlineStr">
        <is>
          <t>GOTLAND</t>
        </is>
      </c>
      <c r="G145" t="n">
        <v>2.7</v>
      </c>
      <c r="H145" t="n">
        <v>0</v>
      </c>
      <c r="I145" t="n">
        <v>0</v>
      </c>
      <c r="J145" t="n">
        <v>1</v>
      </c>
      <c r="K145" t="n">
        <v>0</v>
      </c>
      <c r="L145" t="n">
        <v>0</v>
      </c>
      <c r="M145" t="n">
        <v>0</v>
      </c>
      <c r="N145" t="n">
        <v>0</v>
      </c>
      <c r="O145" t="n">
        <v>1</v>
      </c>
      <c r="P145" t="n">
        <v>0</v>
      </c>
      <c r="Q145" t="n">
        <v>1</v>
      </c>
      <c r="R145" s="2" t="inlineStr">
        <is>
          <t>Odörspindling</t>
        </is>
      </c>
      <c r="S145">
        <f>HYPERLINK("https://klasma.github.io/Logging_0980/artfynd/A 2213-2023 artfynd.xlsx", "A 2213-2023")</f>
        <v/>
      </c>
      <c r="T145">
        <f>HYPERLINK("https://klasma.github.io/Logging_0980/kartor/A 2213-2023 karta.png", "A 2213-2023")</f>
        <v/>
      </c>
      <c r="V145">
        <f>HYPERLINK("https://klasma.github.io/Logging_0980/klagomål/A 2213-2023 FSC-klagomål.docx", "A 2213-2023")</f>
        <v/>
      </c>
      <c r="W145">
        <f>HYPERLINK("https://klasma.github.io/Logging_0980/klagomålsmail/A 2213-2023 FSC-klagomål mail.docx", "A 2213-2023")</f>
        <v/>
      </c>
      <c r="X145">
        <f>HYPERLINK("https://klasma.github.io/Logging_0980/tillsyn/A 2213-2023 tillsynsbegäran.docx", "A 2213-2023")</f>
        <v/>
      </c>
      <c r="Y145">
        <f>HYPERLINK("https://klasma.github.io/Logging_0980/tillsynsmail/A 2213-2023 tillsynsbegäran mail.docx", "A 2213-2023")</f>
        <v/>
      </c>
    </row>
    <row r="146" ht="15" customHeight="1">
      <c r="A146" t="inlineStr">
        <is>
          <t>A 10440-2024</t>
        </is>
      </c>
      <c r="B146" s="1" t="n">
        <v>45366.32818287037</v>
      </c>
      <c r="C146" s="1" t="n">
        <v>45888</v>
      </c>
      <c r="D146" t="inlineStr">
        <is>
          <t>GOTLANDS LÄN</t>
        </is>
      </c>
      <c r="E146" t="inlineStr">
        <is>
          <t>GOTLAND</t>
        </is>
      </c>
      <c r="G146" t="n">
        <v>2.5</v>
      </c>
      <c r="H146" t="n">
        <v>1</v>
      </c>
      <c r="I146" t="n">
        <v>0</v>
      </c>
      <c r="J146" t="n">
        <v>1</v>
      </c>
      <c r="K146" t="n">
        <v>0</v>
      </c>
      <c r="L146" t="n">
        <v>0</v>
      </c>
      <c r="M146" t="n">
        <v>0</v>
      </c>
      <c r="N146" t="n">
        <v>0</v>
      </c>
      <c r="O146" t="n">
        <v>1</v>
      </c>
      <c r="P146" t="n">
        <v>0</v>
      </c>
      <c r="Q146" t="n">
        <v>1</v>
      </c>
      <c r="R146" s="2" t="inlineStr">
        <is>
          <t>Mindre hackspett</t>
        </is>
      </c>
      <c r="S146">
        <f>HYPERLINK("https://klasma.github.io/Logging_0980/artfynd/A 10440-2024 artfynd.xlsx", "A 10440-2024")</f>
        <v/>
      </c>
      <c r="T146">
        <f>HYPERLINK("https://klasma.github.io/Logging_0980/kartor/A 10440-2024 karta.png", "A 10440-2024")</f>
        <v/>
      </c>
      <c r="V146">
        <f>HYPERLINK("https://klasma.github.io/Logging_0980/klagomål/A 10440-2024 FSC-klagomål.docx", "A 10440-2024")</f>
        <v/>
      </c>
      <c r="W146">
        <f>HYPERLINK("https://klasma.github.io/Logging_0980/klagomålsmail/A 10440-2024 FSC-klagomål mail.docx", "A 10440-2024")</f>
        <v/>
      </c>
      <c r="X146">
        <f>HYPERLINK("https://klasma.github.io/Logging_0980/tillsyn/A 10440-2024 tillsynsbegäran.docx", "A 10440-2024")</f>
        <v/>
      </c>
      <c r="Y146">
        <f>HYPERLINK("https://klasma.github.io/Logging_0980/tillsynsmail/A 10440-2024 tillsynsbegäran mail.docx", "A 10440-2024")</f>
        <v/>
      </c>
      <c r="Z146">
        <f>HYPERLINK("https://klasma.github.io/Logging_0980/fåglar/A 10440-2024 prioriterade fågelarter.docx", "A 10440-2024")</f>
        <v/>
      </c>
    </row>
    <row r="147" ht="15" customHeight="1">
      <c r="A147" t="inlineStr">
        <is>
          <t>A 6303-2024</t>
        </is>
      </c>
      <c r="B147" s="1" t="n">
        <v>45338.35376157407</v>
      </c>
      <c r="C147" s="1" t="n">
        <v>45888</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45888</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27168-2022</t>
        </is>
      </c>
      <c r="B149" s="1" t="n">
        <v>44741</v>
      </c>
      <c r="C149" s="1" t="n">
        <v>45888</v>
      </c>
      <c r="D149" t="inlineStr">
        <is>
          <t>GOTLANDS LÄN</t>
        </is>
      </c>
      <c r="E149" t="inlineStr">
        <is>
          <t>GOTLAND</t>
        </is>
      </c>
      <c r="G149" t="n">
        <v>2.2</v>
      </c>
      <c r="H149" t="n">
        <v>1</v>
      </c>
      <c r="I149" t="n">
        <v>1</v>
      </c>
      <c r="J149" t="n">
        <v>0</v>
      </c>
      <c r="K149" t="n">
        <v>0</v>
      </c>
      <c r="L149" t="n">
        <v>0</v>
      </c>
      <c r="M149" t="n">
        <v>0</v>
      </c>
      <c r="N149" t="n">
        <v>0</v>
      </c>
      <c r="O149" t="n">
        <v>0</v>
      </c>
      <c r="P149" t="n">
        <v>0</v>
      </c>
      <c r="Q149" t="n">
        <v>1</v>
      </c>
      <c r="R149" s="2" t="inlineStr">
        <is>
          <t>Purpurknipprot</t>
        </is>
      </c>
      <c r="S149">
        <f>HYPERLINK("https://klasma.github.io/Logging_0980/artfynd/A 27168-2022 artfynd.xlsx", "A 27168-2022")</f>
        <v/>
      </c>
      <c r="T149">
        <f>HYPERLINK("https://klasma.github.io/Logging_0980/kartor/A 27168-2022 karta.png", "A 27168-2022")</f>
        <v/>
      </c>
      <c r="V149">
        <f>HYPERLINK("https://klasma.github.io/Logging_0980/klagomål/A 27168-2022 FSC-klagomål.docx", "A 27168-2022")</f>
        <v/>
      </c>
      <c r="W149">
        <f>HYPERLINK("https://klasma.github.io/Logging_0980/klagomålsmail/A 27168-2022 FSC-klagomål mail.docx", "A 27168-2022")</f>
        <v/>
      </c>
      <c r="X149">
        <f>HYPERLINK("https://klasma.github.io/Logging_0980/tillsyn/A 27168-2022 tillsynsbegäran.docx", "A 27168-2022")</f>
        <v/>
      </c>
      <c r="Y149">
        <f>HYPERLINK("https://klasma.github.io/Logging_0980/tillsynsmail/A 27168-2022 tillsynsbegäran mail.docx", "A 27168-2022")</f>
        <v/>
      </c>
    </row>
    <row r="150" ht="15" customHeight="1">
      <c r="A150" t="inlineStr">
        <is>
          <t>A 25977-2024</t>
        </is>
      </c>
      <c r="B150" s="1" t="n">
        <v>45467.69356481481</v>
      </c>
      <c r="C150" s="1" t="n">
        <v>45888</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8725-2025</t>
        </is>
      </c>
      <c r="B151" s="1" t="n">
        <v>45712</v>
      </c>
      <c r="C151" s="1" t="n">
        <v>45888</v>
      </c>
      <c r="D151" t="inlineStr">
        <is>
          <t>GOTLANDS LÄN</t>
        </is>
      </c>
      <c r="E151" t="inlineStr">
        <is>
          <t>GOTLAND</t>
        </is>
      </c>
      <c r="G151" t="n">
        <v>4.4</v>
      </c>
      <c r="H151" t="n">
        <v>1</v>
      </c>
      <c r="I151" t="n">
        <v>0</v>
      </c>
      <c r="J151" t="n">
        <v>1</v>
      </c>
      <c r="K151" t="n">
        <v>0</v>
      </c>
      <c r="L151" t="n">
        <v>0</v>
      </c>
      <c r="M151" t="n">
        <v>0</v>
      </c>
      <c r="N151" t="n">
        <v>0</v>
      </c>
      <c r="O151" t="n">
        <v>1</v>
      </c>
      <c r="P151" t="n">
        <v>0</v>
      </c>
      <c r="Q151" t="n">
        <v>1</v>
      </c>
      <c r="R151" s="2" t="inlineStr">
        <is>
          <t>Spillkråka</t>
        </is>
      </c>
      <c r="S151">
        <f>HYPERLINK("https://klasma.github.io/Logging_0980/artfynd/A 8725-2025 artfynd.xlsx", "A 8725-2025")</f>
        <v/>
      </c>
      <c r="T151">
        <f>HYPERLINK("https://klasma.github.io/Logging_0980/kartor/A 8725-2025 karta.png", "A 8725-2025")</f>
        <v/>
      </c>
      <c r="V151">
        <f>HYPERLINK("https://klasma.github.io/Logging_0980/klagomål/A 8725-2025 FSC-klagomål.docx", "A 8725-2025")</f>
        <v/>
      </c>
      <c r="W151">
        <f>HYPERLINK("https://klasma.github.io/Logging_0980/klagomålsmail/A 8725-2025 FSC-klagomål mail.docx", "A 8725-2025")</f>
        <v/>
      </c>
      <c r="X151">
        <f>HYPERLINK("https://klasma.github.io/Logging_0980/tillsyn/A 8725-2025 tillsynsbegäran.docx", "A 8725-2025")</f>
        <v/>
      </c>
      <c r="Y151">
        <f>HYPERLINK("https://klasma.github.io/Logging_0980/tillsynsmail/A 8725-2025 tillsynsbegäran mail.docx", "A 8725-2025")</f>
        <v/>
      </c>
      <c r="Z151">
        <f>HYPERLINK("https://klasma.github.io/Logging_0980/fåglar/A 8725-2025 prioriterade fågelarter.docx", "A 8725-2025")</f>
        <v/>
      </c>
    </row>
    <row r="152" ht="15" customHeight="1">
      <c r="A152" t="inlineStr">
        <is>
          <t>A 27589-2023</t>
        </is>
      </c>
      <c r="B152" s="1" t="n">
        <v>45097</v>
      </c>
      <c r="C152" s="1" t="n">
        <v>45888</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26461-2025</t>
        </is>
      </c>
      <c r="B153" s="1" t="n">
        <v>45807.43337962963</v>
      </c>
      <c r="C153" s="1" t="n">
        <v>45888</v>
      </c>
      <c r="D153" t="inlineStr">
        <is>
          <t>GOTLANDS LÄN</t>
        </is>
      </c>
      <c r="E153" t="inlineStr">
        <is>
          <t>GOTLAND</t>
        </is>
      </c>
      <c r="G153" t="n">
        <v>4.1</v>
      </c>
      <c r="H153" t="n">
        <v>0</v>
      </c>
      <c r="I153" t="n">
        <v>0</v>
      </c>
      <c r="J153" t="n">
        <v>0</v>
      </c>
      <c r="K153" t="n">
        <v>1</v>
      </c>
      <c r="L153" t="n">
        <v>0</v>
      </c>
      <c r="M153" t="n">
        <v>0</v>
      </c>
      <c r="N153" t="n">
        <v>0</v>
      </c>
      <c r="O153" t="n">
        <v>1</v>
      </c>
      <c r="P153" t="n">
        <v>1</v>
      </c>
      <c r="Q153" t="n">
        <v>1</v>
      </c>
      <c r="R153" s="2" t="inlineStr">
        <is>
          <t>Gotlandsmåra</t>
        </is>
      </c>
      <c r="S153">
        <f>HYPERLINK("https://klasma.github.io/Logging_0980/artfynd/A 26461-2025 artfynd.xlsx", "A 26461-2025")</f>
        <v/>
      </c>
      <c r="T153">
        <f>HYPERLINK("https://klasma.github.io/Logging_0980/kartor/A 26461-2025 karta.png", "A 26461-2025")</f>
        <v/>
      </c>
      <c r="V153">
        <f>HYPERLINK("https://klasma.github.io/Logging_0980/klagomål/A 26461-2025 FSC-klagomål.docx", "A 26461-2025")</f>
        <v/>
      </c>
      <c r="W153">
        <f>HYPERLINK("https://klasma.github.io/Logging_0980/klagomålsmail/A 26461-2025 FSC-klagomål mail.docx", "A 26461-2025")</f>
        <v/>
      </c>
      <c r="X153">
        <f>HYPERLINK("https://klasma.github.io/Logging_0980/tillsyn/A 26461-2025 tillsynsbegäran.docx", "A 26461-2025")</f>
        <v/>
      </c>
      <c r="Y153">
        <f>HYPERLINK("https://klasma.github.io/Logging_0980/tillsynsmail/A 26461-2025 tillsynsbegäran mail.docx", "A 26461-2025")</f>
        <v/>
      </c>
    </row>
    <row r="154" ht="15" customHeight="1">
      <c r="A154" t="inlineStr">
        <is>
          <t>A 44468-2024</t>
        </is>
      </c>
      <c r="B154" s="1" t="n">
        <v>45574.36651620371</v>
      </c>
      <c r="C154" s="1" t="n">
        <v>45888</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65927-2021</t>
        </is>
      </c>
      <c r="B155" s="1" t="n">
        <v>44516</v>
      </c>
      <c r="C155" s="1" t="n">
        <v>45888</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947-2023</t>
        </is>
      </c>
      <c r="B156" s="1" t="n">
        <v>44934</v>
      </c>
      <c r="C156" s="1" t="n">
        <v>45888</v>
      </c>
      <c r="D156" t="inlineStr">
        <is>
          <t>GOTLANDS LÄN</t>
        </is>
      </c>
      <c r="E156" t="inlineStr">
        <is>
          <t>GOTLAND</t>
        </is>
      </c>
      <c r="G156" t="n">
        <v>0.7</v>
      </c>
      <c r="H156" t="n">
        <v>1</v>
      </c>
      <c r="I156" t="n">
        <v>0</v>
      </c>
      <c r="J156" t="n">
        <v>0</v>
      </c>
      <c r="K156" t="n">
        <v>1</v>
      </c>
      <c r="L156" t="n">
        <v>0</v>
      </c>
      <c r="M156" t="n">
        <v>0</v>
      </c>
      <c r="N156" t="n">
        <v>0</v>
      </c>
      <c r="O156" t="n">
        <v>1</v>
      </c>
      <c r="P156" t="n">
        <v>1</v>
      </c>
      <c r="Q156" t="n">
        <v>1</v>
      </c>
      <c r="R156" s="2" t="inlineStr">
        <is>
          <t>Garderönn</t>
        </is>
      </c>
      <c r="S156">
        <f>HYPERLINK("https://klasma.github.io/Logging_0980/artfynd/A 947-2023 artfynd.xlsx", "A 947-2023")</f>
        <v/>
      </c>
      <c r="T156">
        <f>HYPERLINK("https://klasma.github.io/Logging_0980/kartor/A 947-2023 karta.png", "A 947-2023")</f>
        <v/>
      </c>
      <c r="V156">
        <f>HYPERLINK("https://klasma.github.io/Logging_0980/klagomål/A 947-2023 FSC-klagomål.docx", "A 947-2023")</f>
        <v/>
      </c>
      <c r="W156">
        <f>HYPERLINK("https://klasma.github.io/Logging_0980/klagomålsmail/A 947-2023 FSC-klagomål mail.docx", "A 947-2023")</f>
        <v/>
      </c>
      <c r="X156">
        <f>HYPERLINK("https://klasma.github.io/Logging_0980/tillsyn/A 947-2023 tillsynsbegäran.docx", "A 947-2023")</f>
        <v/>
      </c>
      <c r="Y156">
        <f>HYPERLINK("https://klasma.github.io/Logging_0980/tillsynsmail/A 947-2023 tillsynsbegäran mail.docx", "A 947-2023")</f>
        <v/>
      </c>
    </row>
    <row r="157" ht="15" customHeight="1">
      <c r="A157" t="inlineStr">
        <is>
          <t>A 61561-2023</t>
        </is>
      </c>
      <c r="B157" s="1" t="n">
        <v>45265</v>
      </c>
      <c r="C157" s="1" t="n">
        <v>45888</v>
      </c>
      <c r="D157" t="inlineStr">
        <is>
          <t>GOTLANDS LÄN</t>
        </is>
      </c>
      <c r="E157" t="inlineStr">
        <is>
          <t>GOTLAND</t>
        </is>
      </c>
      <c r="G157" t="n">
        <v>7.4</v>
      </c>
      <c r="H157" t="n">
        <v>0</v>
      </c>
      <c r="I157" t="n">
        <v>0</v>
      </c>
      <c r="J157" t="n">
        <v>1</v>
      </c>
      <c r="K157" t="n">
        <v>0</v>
      </c>
      <c r="L157" t="n">
        <v>0</v>
      </c>
      <c r="M157" t="n">
        <v>0</v>
      </c>
      <c r="N157" t="n">
        <v>0</v>
      </c>
      <c r="O157" t="n">
        <v>1</v>
      </c>
      <c r="P157" t="n">
        <v>0</v>
      </c>
      <c r="Q157" t="n">
        <v>1</v>
      </c>
      <c r="R157" s="2" t="inlineStr">
        <is>
          <t>Loppstarr</t>
        </is>
      </c>
      <c r="S157">
        <f>HYPERLINK("https://klasma.github.io/Logging_0980/artfynd/A 61561-2023 artfynd.xlsx", "A 61561-2023")</f>
        <v/>
      </c>
      <c r="T157">
        <f>HYPERLINK("https://klasma.github.io/Logging_0980/kartor/A 61561-2023 karta.png", "A 61561-2023")</f>
        <v/>
      </c>
      <c r="V157">
        <f>HYPERLINK("https://klasma.github.io/Logging_0980/klagomål/A 61561-2023 FSC-klagomål.docx", "A 61561-2023")</f>
        <v/>
      </c>
      <c r="W157">
        <f>HYPERLINK("https://klasma.github.io/Logging_0980/klagomålsmail/A 61561-2023 FSC-klagomål mail.docx", "A 61561-2023")</f>
        <v/>
      </c>
      <c r="X157">
        <f>HYPERLINK("https://klasma.github.io/Logging_0980/tillsyn/A 61561-2023 tillsynsbegäran.docx", "A 61561-2023")</f>
        <v/>
      </c>
      <c r="Y157">
        <f>HYPERLINK("https://klasma.github.io/Logging_0980/tillsynsmail/A 61561-2023 tillsynsbegäran mail.docx", "A 61561-2023")</f>
        <v/>
      </c>
    </row>
    <row r="158" ht="15" customHeight="1">
      <c r="A158" t="inlineStr">
        <is>
          <t>A 7637-2025</t>
        </is>
      </c>
      <c r="B158" s="1" t="n">
        <v>45705.77181712963</v>
      </c>
      <c r="C158" s="1" t="n">
        <v>45888</v>
      </c>
      <c r="D158" t="inlineStr">
        <is>
          <t>GOTLANDS LÄN</t>
        </is>
      </c>
      <c r="E158" t="inlineStr">
        <is>
          <t>GOTLAND</t>
        </is>
      </c>
      <c r="G158" t="n">
        <v>3.7</v>
      </c>
      <c r="H158" t="n">
        <v>0</v>
      </c>
      <c r="I158" t="n">
        <v>0</v>
      </c>
      <c r="J158" t="n">
        <v>0</v>
      </c>
      <c r="K158" t="n">
        <v>0</v>
      </c>
      <c r="L158" t="n">
        <v>0</v>
      </c>
      <c r="M158" t="n">
        <v>1</v>
      </c>
      <c r="N158" t="n">
        <v>0</v>
      </c>
      <c r="O158" t="n">
        <v>1</v>
      </c>
      <c r="P158" t="n">
        <v>1</v>
      </c>
      <c r="Q158" t="n">
        <v>1</v>
      </c>
      <c r="R158" s="2" t="inlineStr">
        <is>
          <t>Skogsalm</t>
        </is>
      </c>
      <c r="S158">
        <f>HYPERLINK("https://klasma.github.io/Logging_0980/artfynd/A 7637-2025 artfynd.xlsx", "A 7637-2025")</f>
        <v/>
      </c>
      <c r="T158">
        <f>HYPERLINK("https://klasma.github.io/Logging_0980/kartor/A 7637-2025 karta.png", "A 7637-2025")</f>
        <v/>
      </c>
      <c r="V158">
        <f>HYPERLINK("https://klasma.github.io/Logging_0980/klagomål/A 7637-2025 FSC-klagomål.docx", "A 7637-2025")</f>
        <v/>
      </c>
      <c r="W158">
        <f>HYPERLINK("https://klasma.github.io/Logging_0980/klagomålsmail/A 7637-2025 FSC-klagomål mail.docx", "A 7637-2025")</f>
        <v/>
      </c>
      <c r="X158">
        <f>HYPERLINK("https://klasma.github.io/Logging_0980/tillsyn/A 7637-2025 tillsynsbegäran.docx", "A 7637-2025")</f>
        <v/>
      </c>
      <c r="Y158">
        <f>HYPERLINK("https://klasma.github.io/Logging_0980/tillsynsmail/A 7637-2025 tillsynsbegäran mail.docx", "A 7637-2025")</f>
        <v/>
      </c>
    </row>
    <row r="159" ht="15" customHeight="1">
      <c r="A159" t="inlineStr">
        <is>
          <t>A 61796-2022</t>
        </is>
      </c>
      <c r="B159" s="1" t="n">
        <v>44917</v>
      </c>
      <c r="C159" s="1" t="n">
        <v>45888</v>
      </c>
      <c r="D159" t="inlineStr">
        <is>
          <t>GOTLANDS LÄN</t>
        </is>
      </c>
      <c r="E159" t="inlineStr">
        <is>
          <t>GOTLAND</t>
        </is>
      </c>
      <c r="G159" t="n">
        <v>1.5</v>
      </c>
      <c r="H159" t="n">
        <v>1</v>
      </c>
      <c r="I159" t="n">
        <v>0</v>
      </c>
      <c r="J159" t="n">
        <v>0</v>
      </c>
      <c r="K159" t="n">
        <v>0</v>
      </c>
      <c r="L159" t="n">
        <v>0</v>
      </c>
      <c r="M159" t="n">
        <v>0</v>
      </c>
      <c r="N159" t="n">
        <v>0</v>
      </c>
      <c r="O159" t="n">
        <v>0</v>
      </c>
      <c r="P159" t="n">
        <v>0</v>
      </c>
      <c r="Q159" t="n">
        <v>1</v>
      </c>
      <c r="R159" s="2" t="inlineStr">
        <is>
          <t>Skogsduva</t>
        </is>
      </c>
      <c r="S159">
        <f>HYPERLINK("https://klasma.github.io/Logging_0980/artfynd/A 61796-2022 artfynd.xlsx", "A 61796-2022")</f>
        <v/>
      </c>
      <c r="T159">
        <f>HYPERLINK("https://klasma.github.io/Logging_0980/kartor/A 61796-2022 karta.png", "A 61796-2022")</f>
        <v/>
      </c>
      <c r="V159">
        <f>HYPERLINK("https://klasma.github.io/Logging_0980/klagomål/A 61796-2022 FSC-klagomål.docx", "A 61796-2022")</f>
        <v/>
      </c>
      <c r="W159">
        <f>HYPERLINK("https://klasma.github.io/Logging_0980/klagomålsmail/A 61796-2022 FSC-klagomål mail.docx", "A 61796-2022")</f>
        <v/>
      </c>
      <c r="X159">
        <f>HYPERLINK("https://klasma.github.io/Logging_0980/tillsyn/A 61796-2022 tillsynsbegäran.docx", "A 61796-2022")</f>
        <v/>
      </c>
      <c r="Y159">
        <f>HYPERLINK("https://klasma.github.io/Logging_0980/tillsynsmail/A 61796-2022 tillsynsbegäran mail.docx", "A 61796-2022")</f>
        <v/>
      </c>
      <c r="Z159">
        <f>HYPERLINK("https://klasma.github.io/Logging_0980/fåglar/A 61796-2022 prioriterade fågelarter.docx", "A 61796-2022")</f>
        <v/>
      </c>
    </row>
    <row r="160" ht="15" customHeight="1">
      <c r="A160" t="inlineStr">
        <is>
          <t>A 12324-2025</t>
        </is>
      </c>
      <c r="B160" s="1" t="n">
        <v>45730</v>
      </c>
      <c r="C160" s="1" t="n">
        <v>45888</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44958-2020</t>
        </is>
      </c>
      <c r="B161" s="1" t="n">
        <v>44088</v>
      </c>
      <c r="C161" s="1" t="n">
        <v>45888</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10218-2025</t>
        </is>
      </c>
      <c r="B162" s="1" t="n">
        <v>45720</v>
      </c>
      <c r="C162" s="1" t="n">
        <v>45888</v>
      </c>
      <c r="D162" t="inlineStr">
        <is>
          <t>GOTLANDS LÄN</t>
        </is>
      </c>
      <c r="E162" t="inlineStr">
        <is>
          <t>GOTLAND</t>
        </is>
      </c>
      <c r="G162" t="n">
        <v>8.1</v>
      </c>
      <c r="H162" t="n">
        <v>0</v>
      </c>
      <c r="I162" t="n">
        <v>1</v>
      </c>
      <c r="J162" t="n">
        <v>0</v>
      </c>
      <c r="K162" t="n">
        <v>0</v>
      </c>
      <c r="L162" t="n">
        <v>0</v>
      </c>
      <c r="M162" t="n">
        <v>0</v>
      </c>
      <c r="N162" t="n">
        <v>0</v>
      </c>
      <c r="O162" t="n">
        <v>0</v>
      </c>
      <c r="P162" t="n">
        <v>0</v>
      </c>
      <c r="Q162" t="n">
        <v>1</v>
      </c>
      <c r="R162" s="2" t="inlineStr">
        <is>
          <t>Kalktallört</t>
        </is>
      </c>
      <c r="S162">
        <f>HYPERLINK("https://klasma.github.io/Logging_0980/artfynd/A 10218-2025 artfynd.xlsx", "A 10218-2025")</f>
        <v/>
      </c>
      <c r="T162">
        <f>HYPERLINK("https://klasma.github.io/Logging_0980/kartor/A 10218-2025 karta.png", "A 10218-2025")</f>
        <v/>
      </c>
      <c r="V162">
        <f>HYPERLINK("https://klasma.github.io/Logging_0980/klagomål/A 10218-2025 FSC-klagomål.docx", "A 10218-2025")</f>
        <v/>
      </c>
      <c r="W162">
        <f>HYPERLINK("https://klasma.github.io/Logging_0980/klagomålsmail/A 10218-2025 FSC-klagomål mail.docx", "A 10218-2025")</f>
        <v/>
      </c>
      <c r="X162">
        <f>HYPERLINK("https://klasma.github.io/Logging_0980/tillsyn/A 10218-2025 tillsynsbegäran.docx", "A 10218-2025")</f>
        <v/>
      </c>
      <c r="Y162">
        <f>HYPERLINK("https://klasma.github.io/Logging_0980/tillsynsmail/A 10218-2025 tillsynsbegäran mail.docx", "A 10218-2025")</f>
        <v/>
      </c>
    </row>
    <row r="163" ht="15" customHeight="1">
      <c r="A163" t="inlineStr">
        <is>
          <t>A 12379-2024</t>
        </is>
      </c>
      <c r="B163" s="1" t="n">
        <v>45379.28155092592</v>
      </c>
      <c r="C163" s="1" t="n">
        <v>45888</v>
      </c>
      <c r="D163" t="inlineStr">
        <is>
          <t>GOTLANDS LÄN</t>
        </is>
      </c>
      <c r="E163" t="inlineStr">
        <is>
          <t>GOTLAND</t>
        </is>
      </c>
      <c r="G163" t="n">
        <v>4.4</v>
      </c>
      <c r="H163" t="n">
        <v>0</v>
      </c>
      <c r="I163" t="n">
        <v>0</v>
      </c>
      <c r="J163" t="n">
        <v>1</v>
      </c>
      <c r="K163" t="n">
        <v>0</v>
      </c>
      <c r="L163" t="n">
        <v>0</v>
      </c>
      <c r="M163" t="n">
        <v>0</v>
      </c>
      <c r="N163" t="n">
        <v>0</v>
      </c>
      <c r="O163" t="n">
        <v>1</v>
      </c>
      <c r="P163" t="n">
        <v>0</v>
      </c>
      <c r="Q163" t="n">
        <v>1</v>
      </c>
      <c r="R163" s="2" t="inlineStr">
        <is>
          <t>Svinrot</t>
        </is>
      </c>
      <c r="S163">
        <f>HYPERLINK("https://klasma.github.io/Logging_0980/artfynd/A 12379-2024 artfynd.xlsx", "A 12379-2024")</f>
        <v/>
      </c>
      <c r="T163">
        <f>HYPERLINK("https://klasma.github.io/Logging_0980/kartor/A 12379-2024 karta.png", "A 12379-2024")</f>
        <v/>
      </c>
      <c r="V163">
        <f>HYPERLINK("https://klasma.github.io/Logging_0980/klagomål/A 12379-2024 FSC-klagomål.docx", "A 12379-2024")</f>
        <v/>
      </c>
      <c r="W163">
        <f>HYPERLINK("https://klasma.github.io/Logging_0980/klagomålsmail/A 12379-2024 FSC-klagomål mail.docx", "A 12379-2024")</f>
        <v/>
      </c>
      <c r="X163">
        <f>HYPERLINK("https://klasma.github.io/Logging_0980/tillsyn/A 12379-2024 tillsynsbegäran.docx", "A 12379-2024")</f>
        <v/>
      </c>
      <c r="Y163">
        <f>HYPERLINK("https://klasma.github.io/Logging_0980/tillsynsmail/A 12379-2024 tillsynsbegäran mail.docx", "A 12379-2024")</f>
        <v/>
      </c>
    </row>
    <row r="164" ht="15" customHeight="1">
      <c r="A164" t="inlineStr">
        <is>
          <t>A 64700-2021</t>
        </is>
      </c>
      <c r="B164" s="1" t="n">
        <v>44511</v>
      </c>
      <c r="C164" s="1" t="n">
        <v>45888</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35574-2024</t>
        </is>
      </c>
      <c r="B165" s="1" t="n">
        <v>45531</v>
      </c>
      <c r="C165" s="1" t="n">
        <v>45888</v>
      </c>
      <c r="D165" t="inlineStr">
        <is>
          <t>GOTLANDS LÄN</t>
        </is>
      </c>
      <c r="E165" t="inlineStr">
        <is>
          <t>GOTLAND</t>
        </is>
      </c>
      <c r="G165" t="n">
        <v>5.7</v>
      </c>
      <c r="H165" t="n">
        <v>0</v>
      </c>
      <c r="I165" t="n">
        <v>1</v>
      </c>
      <c r="J165" t="n">
        <v>0</v>
      </c>
      <c r="K165" t="n">
        <v>0</v>
      </c>
      <c r="L165" t="n">
        <v>0</v>
      </c>
      <c r="M165" t="n">
        <v>0</v>
      </c>
      <c r="N165" t="n">
        <v>0</v>
      </c>
      <c r="O165" t="n">
        <v>0</v>
      </c>
      <c r="P165" t="n">
        <v>0</v>
      </c>
      <c r="Q165" t="n">
        <v>1</v>
      </c>
      <c r="R165" s="2" t="inlineStr">
        <is>
          <t>Murgröna</t>
        </is>
      </c>
      <c r="S165">
        <f>HYPERLINK("https://klasma.github.io/Logging_0980/artfynd/A 35574-2024 artfynd.xlsx", "A 35574-2024")</f>
        <v/>
      </c>
      <c r="T165">
        <f>HYPERLINK("https://klasma.github.io/Logging_0980/kartor/A 35574-2024 karta.png", "A 35574-2024")</f>
        <v/>
      </c>
      <c r="V165">
        <f>HYPERLINK("https://klasma.github.io/Logging_0980/klagomål/A 35574-2024 FSC-klagomål.docx", "A 35574-2024")</f>
        <v/>
      </c>
      <c r="W165">
        <f>HYPERLINK("https://klasma.github.io/Logging_0980/klagomålsmail/A 35574-2024 FSC-klagomål mail.docx", "A 35574-2024")</f>
        <v/>
      </c>
      <c r="X165">
        <f>HYPERLINK("https://klasma.github.io/Logging_0980/tillsyn/A 35574-2024 tillsynsbegäran.docx", "A 35574-2024")</f>
        <v/>
      </c>
      <c r="Y165">
        <f>HYPERLINK("https://klasma.github.io/Logging_0980/tillsynsmail/A 35574-2024 tillsynsbegäran mail.docx", "A 35574-2024")</f>
        <v/>
      </c>
    </row>
    <row r="166" ht="15" customHeight="1">
      <c r="A166" t="inlineStr">
        <is>
          <t>A 9862-2024</t>
        </is>
      </c>
      <c r="B166" s="1" t="n">
        <v>45363</v>
      </c>
      <c r="C166" s="1" t="n">
        <v>45888</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34141-2024</t>
        </is>
      </c>
      <c r="B167" s="1" t="n">
        <v>45524.36229166666</v>
      </c>
      <c r="C167" s="1" t="n">
        <v>45888</v>
      </c>
      <c r="D167" t="inlineStr">
        <is>
          <t>GOTLANDS LÄN</t>
        </is>
      </c>
      <c r="E167" t="inlineStr">
        <is>
          <t>GOTLAND</t>
        </is>
      </c>
      <c r="G167" t="n">
        <v>0.9</v>
      </c>
      <c r="H167" t="n">
        <v>0</v>
      </c>
      <c r="I167" t="n">
        <v>1</v>
      </c>
      <c r="J167" t="n">
        <v>0</v>
      </c>
      <c r="K167" t="n">
        <v>0</v>
      </c>
      <c r="L167" t="n">
        <v>0</v>
      </c>
      <c r="M167" t="n">
        <v>0</v>
      </c>
      <c r="N167" t="n">
        <v>0</v>
      </c>
      <c r="O167" t="n">
        <v>0</v>
      </c>
      <c r="P167" t="n">
        <v>0</v>
      </c>
      <c r="Q167" t="n">
        <v>1</v>
      </c>
      <c r="R167" s="2" t="inlineStr">
        <is>
          <t>Strävlosta</t>
        </is>
      </c>
      <c r="S167">
        <f>HYPERLINK("https://klasma.github.io/Logging_0980/artfynd/A 34141-2024 artfynd.xlsx", "A 34141-2024")</f>
        <v/>
      </c>
      <c r="T167">
        <f>HYPERLINK("https://klasma.github.io/Logging_0980/kartor/A 34141-2024 karta.png", "A 34141-2024")</f>
        <v/>
      </c>
      <c r="V167">
        <f>HYPERLINK("https://klasma.github.io/Logging_0980/klagomål/A 34141-2024 FSC-klagomål.docx", "A 34141-2024")</f>
        <v/>
      </c>
      <c r="W167">
        <f>HYPERLINK("https://klasma.github.io/Logging_0980/klagomålsmail/A 34141-2024 FSC-klagomål mail.docx", "A 34141-2024")</f>
        <v/>
      </c>
      <c r="X167">
        <f>HYPERLINK("https://klasma.github.io/Logging_0980/tillsyn/A 34141-2024 tillsynsbegäran.docx", "A 34141-2024")</f>
        <v/>
      </c>
      <c r="Y167">
        <f>HYPERLINK("https://klasma.github.io/Logging_0980/tillsynsmail/A 34141-2024 tillsynsbegäran mail.docx", "A 34141-2024")</f>
        <v/>
      </c>
    </row>
    <row r="168" ht="15" customHeight="1">
      <c r="A168" t="inlineStr">
        <is>
          <t>A 15637-2024</t>
        </is>
      </c>
      <c r="B168" s="1" t="n">
        <v>45403.6684837963</v>
      </c>
      <c r="C168" s="1" t="n">
        <v>45888</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43219-2023</t>
        </is>
      </c>
      <c r="B169" s="1" t="n">
        <v>45183</v>
      </c>
      <c r="C169" s="1" t="n">
        <v>45888</v>
      </c>
      <c r="D169" t="inlineStr">
        <is>
          <t>GOTLANDS LÄN</t>
        </is>
      </c>
      <c r="E169" t="inlineStr">
        <is>
          <t>GOTLAND</t>
        </is>
      </c>
      <c r="G169" t="n">
        <v>3.6</v>
      </c>
      <c r="H169" t="n">
        <v>1</v>
      </c>
      <c r="I169" t="n">
        <v>0</v>
      </c>
      <c r="J169" t="n">
        <v>0</v>
      </c>
      <c r="K169" t="n">
        <v>0</v>
      </c>
      <c r="L169" t="n">
        <v>0</v>
      </c>
      <c r="M169" t="n">
        <v>0</v>
      </c>
      <c r="N169" t="n">
        <v>0</v>
      </c>
      <c r="O169" t="n">
        <v>0</v>
      </c>
      <c r="P169" t="n">
        <v>0</v>
      </c>
      <c r="Q169" t="n">
        <v>1</v>
      </c>
      <c r="R169" s="2" t="inlineStr">
        <is>
          <t>Skogsduva</t>
        </is>
      </c>
      <c r="S169">
        <f>HYPERLINK("https://klasma.github.io/Logging_0980/artfynd/A 43219-2023 artfynd.xlsx", "A 43219-2023")</f>
        <v/>
      </c>
      <c r="T169">
        <f>HYPERLINK("https://klasma.github.io/Logging_0980/kartor/A 43219-2023 karta.png", "A 43219-2023")</f>
        <v/>
      </c>
      <c r="V169">
        <f>HYPERLINK("https://klasma.github.io/Logging_0980/klagomål/A 43219-2023 FSC-klagomål.docx", "A 43219-2023")</f>
        <v/>
      </c>
      <c r="W169">
        <f>HYPERLINK("https://klasma.github.io/Logging_0980/klagomålsmail/A 43219-2023 FSC-klagomål mail.docx", "A 43219-2023")</f>
        <v/>
      </c>
      <c r="X169">
        <f>HYPERLINK("https://klasma.github.io/Logging_0980/tillsyn/A 43219-2023 tillsynsbegäran.docx", "A 43219-2023")</f>
        <v/>
      </c>
      <c r="Y169">
        <f>HYPERLINK("https://klasma.github.io/Logging_0980/tillsynsmail/A 43219-2023 tillsynsbegäran mail.docx", "A 43219-2023")</f>
        <v/>
      </c>
      <c r="Z169">
        <f>HYPERLINK("https://klasma.github.io/Logging_0980/fåglar/A 43219-2023 prioriterade fågelarter.docx", "A 43219-2023")</f>
        <v/>
      </c>
    </row>
    <row r="170" ht="15" customHeight="1">
      <c r="A170" t="inlineStr">
        <is>
          <t>A 63299-2020</t>
        </is>
      </c>
      <c r="B170" s="1" t="n">
        <v>44165</v>
      </c>
      <c r="C170" s="1" t="n">
        <v>45888</v>
      </c>
      <c r="D170" t="inlineStr">
        <is>
          <t>GOTLANDS LÄN</t>
        </is>
      </c>
      <c r="E170" t="inlineStr">
        <is>
          <t>GOTLAND</t>
        </is>
      </c>
      <c r="G170" t="n">
        <v>12.9</v>
      </c>
      <c r="H170" t="n">
        <v>1</v>
      </c>
      <c r="I170" t="n">
        <v>0</v>
      </c>
      <c r="J170" t="n">
        <v>1</v>
      </c>
      <c r="K170" t="n">
        <v>0</v>
      </c>
      <c r="L170" t="n">
        <v>0</v>
      </c>
      <c r="M170" t="n">
        <v>0</v>
      </c>
      <c r="N170" t="n">
        <v>0</v>
      </c>
      <c r="O170" t="n">
        <v>1</v>
      </c>
      <c r="P170" t="n">
        <v>0</v>
      </c>
      <c r="Q170" t="n">
        <v>1</v>
      </c>
      <c r="R170" s="2" t="inlineStr">
        <is>
          <t>Svartfläckig blåvinge</t>
        </is>
      </c>
      <c r="S170">
        <f>HYPERLINK("https://klasma.github.io/Logging_0980/artfynd/A 63299-2020 artfynd.xlsx", "A 63299-2020")</f>
        <v/>
      </c>
      <c r="T170">
        <f>HYPERLINK("https://klasma.github.io/Logging_0980/kartor/A 63299-2020 karta.png", "A 63299-2020")</f>
        <v/>
      </c>
      <c r="V170">
        <f>HYPERLINK("https://klasma.github.io/Logging_0980/klagomål/A 63299-2020 FSC-klagomål.docx", "A 63299-2020")</f>
        <v/>
      </c>
      <c r="W170">
        <f>HYPERLINK("https://klasma.github.io/Logging_0980/klagomålsmail/A 63299-2020 FSC-klagomål mail.docx", "A 63299-2020")</f>
        <v/>
      </c>
      <c r="X170">
        <f>HYPERLINK("https://klasma.github.io/Logging_0980/tillsyn/A 63299-2020 tillsynsbegäran.docx", "A 63299-2020")</f>
        <v/>
      </c>
      <c r="Y170">
        <f>HYPERLINK("https://klasma.github.io/Logging_0980/tillsynsmail/A 63299-2020 tillsynsbegäran mail.docx", "A 63299-2020")</f>
        <v/>
      </c>
    </row>
    <row r="171" ht="15" customHeight="1">
      <c r="A171" t="inlineStr">
        <is>
          <t>A 49847-2023</t>
        </is>
      </c>
      <c r="B171" s="1" t="n">
        <v>45212</v>
      </c>
      <c r="C171" s="1" t="n">
        <v>45888</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19901-2021</t>
        </is>
      </c>
      <c r="B172" s="1" t="n">
        <v>44312</v>
      </c>
      <c r="C172" s="1" t="n">
        <v>45888</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36313-2021</t>
        </is>
      </c>
      <c r="B173" s="1" t="n">
        <v>44390</v>
      </c>
      <c r="C173" s="1" t="n">
        <v>45888</v>
      </c>
      <c r="D173" t="inlineStr">
        <is>
          <t>GOTLANDS LÄN</t>
        </is>
      </c>
      <c r="E173" t="inlineStr">
        <is>
          <t>GOTLAND</t>
        </is>
      </c>
      <c r="G173" t="n">
        <v>2.2</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45888</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45888</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45888</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45888</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45888</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45888</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45888</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45888</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45888</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45888</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45888</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45888</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45888</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45888</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45888</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45888</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45888</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45888</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45888</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45888</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45888</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45888</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45888</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39477-2020</t>
        </is>
      </c>
      <c r="B198" s="1" t="n">
        <v>44064.44814814815</v>
      </c>
      <c r="C198" s="1" t="n">
        <v>45888</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45888</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45888</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45888</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45888</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45888</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45888</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45888</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45888</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45888</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45888</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45888</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45888</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45888</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45888</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45888</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45888</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45888</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62120-2020</t>
        </is>
      </c>
      <c r="B220" s="1" t="n">
        <v>44158</v>
      </c>
      <c r="C220" s="1" t="n">
        <v>45888</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45888</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45888</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45888</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45888</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64380-2020</t>
        </is>
      </c>
      <c r="B225" s="1" t="n">
        <v>44168.60128472222</v>
      </c>
      <c r="C225" s="1" t="n">
        <v>45888</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2608-2021</t>
        </is>
      </c>
      <c r="B226" s="1" t="n">
        <v>44214</v>
      </c>
      <c r="C226" s="1" t="n">
        <v>45888</v>
      </c>
      <c r="D226" t="inlineStr">
        <is>
          <t>GOTLANDS LÄN</t>
        </is>
      </c>
      <c r="E226" t="inlineStr">
        <is>
          <t>GOTLAND</t>
        </is>
      </c>
      <c r="G226" t="n">
        <v>3.9</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45888</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45888</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45888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45888</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53641-2020</t>
        </is>
      </c>
      <c r="B231" s="1" t="n">
        <v>44124</v>
      </c>
      <c r="C231" s="1" t="n">
        <v>45888</v>
      </c>
      <c r="D231" t="inlineStr">
        <is>
          <t>GOTLANDS LÄN</t>
        </is>
      </c>
      <c r="E231" t="inlineStr">
        <is>
          <t>GOTLAND</t>
        </is>
      </c>
      <c r="G231" t="n">
        <v>3.2</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45888</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17354-2022</t>
        </is>
      </c>
      <c r="B233" s="1" t="n">
        <v>44678</v>
      </c>
      <c r="C233" s="1" t="n">
        <v>45888</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44929.87122685185</v>
      </c>
      <c r="C234" s="1" t="n">
        <v>45888</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22495-2022</t>
        </is>
      </c>
      <c r="B235" s="1" t="n">
        <v>44713.6452199074</v>
      </c>
      <c r="C235" s="1" t="n">
        <v>45888</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45888</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6153-2024</t>
        </is>
      </c>
      <c r="B237" s="1" t="n">
        <v>45337</v>
      </c>
      <c r="C237" s="1" t="n">
        <v>45888</v>
      </c>
      <c r="D237" t="inlineStr">
        <is>
          <t>GOTLANDS LÄN</t>
        </is>
      </c>
      <c r="E237" t="inlineStr">
        <is>
          <t>GOTLAND</t>
        </is>
      </c>
      <c r="G237" t="n">
        <v>14.2</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45888</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37037-2021</t>
        </is>
      </c>
      <c r="B239" s="1" t="n">
        <v>44393.84688657407</v>
      </c>
      <c r="C239" s="1" t="n">
        <v>45888</v>
      </c>
      <c r="D239" t="inlineStr">
        <is>
          <t>GOTLANDS LÄN</t>
        </is>
      </c>
      <c r="E239" t="inlineStr">
        <is>
          <t>GOTLAND</t>
        </is>
      </c>
      <c r="G239" t="n">
        <v>10.2</v>
      </c>
      <c r="H239" t="n">
        <v>0</v>
      </c>
      <c r="I239" t="n">
        <v>0</v>
      </c>
      <c r="J239" t="n">
        <v>0</v>
      </c>
      <c r="K239" t="n">
        <v>0</v>
      </c>
      <c r="L239" t="n">
        <v>0</v>
      </c>
      <c r="M239" t="n">
        <v>0</v>
      </c>
      <c r="N239" t="n">
        <v>0</v>
      </c>
      <c r="O239" t="n">
        <v>0</v>
      </c>
      <c r="P239" t="n">
        <v>0</v>
      </c>
      <c r="Q239" t="n">
        <v>0</v>
      </c>
      <c r="R239" s="2" t="inlineStr"/>
    </row>
    <row r="240" ht="15" customHeight="1">
      <c r="A240" t="inlineStr">
        <is>
          <t>A 999-2023</t>
        </is>
      </c>
      <c r="B240" s="1" t="n">
        <v>44935</v>
      </c>
      <c r="C240" s="1" t="n">
        <v>45888</v>
      </c>
      <c r="D240" t="inlineStr">
        <is>
          <t>GOTLANDS LÄN</t>
        </is>
      </c>
      <c r="E240" t="inlineStr">
        <is>
          <t>GOTLAND</t>
        </is>
      </c>
      <c r="G240" t="n">
        <v>4.7</v>
      </c>
      <c r="H240" t="n">
        <v>0</v>
      </c>
      <c r="I240" t="n">
        <v>0</v>
      </c>
      <c r="J240" t="n">
        <v>0</v>
      </c>
      <c r="K240" t="n">
        <v>0</v>
      </c>
      <c r="L240" t="n">
        <v>0</v>
      </c>
      <c r="M240" t="n">
        <v>0</v>
      </c>
      <c r="N240" t="n">
        <v>0</v>
      </c>
      <c r="O240" t="n">
        <v>0</v>
      </c>
      <c r="P240" t="n">
        <v>0</v>
      </c>
      <c r="Q240" t="n">
        <v>0</v>
      </c>
      <c r="R240" s="2" t="inlineStr"/>
    </row>
    <row r="241" ht="15" customHeight="1">
      <c r="A241" t="inlineStr">
        <is>
          <t>A 1364-2025</t>
        </is>
      </c>
      <c r="B241" s="1" t="n">
        <v>45667.63929398148</v>
      </c>
      <c r="C241" s="1" t="n">
        <v>45888</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2125-2025</t>
        </is>
      </c>
      <c r="B242" s="1" t="n">
        <v>45672.64940972222</v>
      </c>
      <c r="C242" s="1" t="n">
        <v>45888</v>
      </c>
      <c r="D242" t="inlineStr">
        <is>
          <t>GOTLANDS LÄN</t>
        </is>
      </c>
      <c r="E242" t="inlineStr">
        <is>
          <t>GOTLAND</t>
        </is>
      </c>
      <c r="G242" t="n">
        <v>2.3</v>
      </c>
      <c r="H242" t="n">
        <v>0</v>
      </c>
      <c r="I242" t="n">
        <v>0</v>
      </c>
      <c r="J242" t="n">
        <v>0</v>
      </c>
      <c r="K242" t="n">
        <v>0</v>
      </c>
      <c r="L242" t="n">
        <v>0</v>
      </c>
      <c r="M242" t="n">
        <v>0</v>
      </c>
      <c r="N242" t="n">
        <v>0</v>
      </c>
      <c r="O242" t="n">
        <v>0</v>
      </c>
      <c r="P242" t="n">
        <v>0</v>
      </c>
      <c r="Q242" t="n">
        <v>0</v>
      </c>
      <c r="R242" s="2" t="inlineStr"/>
    </row>
    <row r="243" ht="15" customHeight="1">
      <c r="A243" t="inlineStr">
        <is>
          <t>A 58476-2022</t>
        </is>
      </c>
      <c r="B243" s="1" t="n">
        <v>44902</v>
      </c>
      <c r="C243" s="1" t="n">
        <v>45888</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8684-2025</t>
        </is>
      </c>
      <c r="B244" s="1" t="n">
        <v>45712.45605324074</v>
      </c>
      <c r="C244" s="1" t="n">
        <v>45888</v>
      </c>
      <c r="D244" t="inlineStr">
        <is>
          <t>GOTLANDS LÄN</t>
        </is>
      </c>
      <c r="E244" t="inlineStr">
        <is>
          <t>GOTLAND</t>
        </is>
      </c>
      <c r="G244" t="n">
        <v>3.5</v>
      </c>
      <c r="H244" t="n">
        <v>0</v>
      </c>
      <c r="I244" t="n">
        <v>0</v>
      </c>
      <c r="J244" t="n">
        <v>0</v>
      </c>
      <c r="K244" t="n">
        <v>0</v>
      </c>
      <c r="L244" t="n">
        <v>0</v>
      </c>
      <c r="M244" t="n">
        <v>0</v>
      </c>
      <c r="N244" t="n">
        <v>0</v>
      </c>
      <c r="O244" t="n">
        <v>0</v>
      </c>
      <c r="P244" t="n">
        <v>0</v>
      </c>
      <c r="Q244" t="n">
        <v>0</v>
      </c>
      <c r="R244" s="2" t="inlineStr"/>
    </row>
    <row r="245" ht="15" customHeight="1">
      <c r="A245" t="inlineStr">
        <is>
          <t>A 14427-2024</t>
        </is>
      </c>
      <c r="B245" s="1" t="n">
        <v>45394</v>
      </c>
      <c r="C245" s="1" t="n">
        <v>45888</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14141-2024</t>
        </is>
      </c>
      <c r="B246" s="1" t="n">
        <v>45392.85193287037</v>
      </c>
      <c r="C246" s="1" t="n">
        <v>45888</v>
      </c>
      <c r="D246" t="inlineStr">
        <is>
          <t>GOTLANDS LÄN</t>
        </is>
      </c>
      <c r="E246" t="inlineStr">
        <is>
          <t>GOTLAND</t>
        </is>
      </c>
      <c r="G246" t="n">
        <v>5.3</v>
      </c>
      <c r="H246" t="n">
        <v>0</v>
      </c>
      <c r="I246" t="n">
        <v>0</v>
      </c>
      <c r="J246" t="n">
        <v>0</v>
      </c>
      <c r="K246" t="n">
        <v>0</v>
      </c>
      <c r="L246" t="n">
        <v>0</v>
      </c>
      <c r="M246" t="n">
        <v>0</v>
      </c>
      <c r="N246" t="n">
        <v>0</v>
      </c>
      <c r="O246" t="n">
        <v>0</v>
      </c>
      <c r="P246" t="n">
        <v>0</v>
      </c>
      <c r="Q246" t="n">
        <v>0</v>
      </c>
      <c r="R246" s="2" t="inlineStr"/>
    </row>
    <row r="247" ht="15" customHeight="1">
      <c r="A247" t="inlineStr">
        <is>
          <t>A 63229-2021</t>
        </is>
      </c>
      <c r="B247" s="1" t="n">
        <v>44508.34518518519</v>
      </c>
      <c r="C247" s="1" t="n">
        <v>45888</v>
      </c>
      <c r="D247" t="inlineStr">
        <is>
          <t>GOTLANDS LÄN</t>
        </is>
      </c>
      <c r="E247" t="inlineStr">
        <is>
          <t>GOTLAND</t>
        </is>
      </c>
      <c r="F247" t="inlineStr">
        <is>
          <t>Kyrkan</t>
        </is>
      </c>
      <c r="G247" t="n">
        <v>3.8</v>
      </c>
      <c r="H247" t="n">
        <v>0</v>
      </c>
      <c r="I247" t="n">
        <v>0</v>
      </c>
      <c r="J247" t="n">
        <v>0</v>
      </c>
      <c r="K247" t="n">
        <v>0</v>
      </c>
      <c r="L247" t="n">
        <v>0</v>
      </c>
      <c r="M247" t="n">
        <v>0</v>
      </c>
      <c r="N247" t="n">
        <v>0</v>
      </c>
      <c r="O247" t="n">
        <v>0</v>
      </c>
      <c r="P247" t="n">
        <v>0</v>
      </c>
      <c r="Q247" t="n">
        <v>0</v>
      </c>
      <c r="R247" s="2" t="inlineStr"/>
    </row>
    <row r="248" ht="15" customHeight="1">
      <c r="A248" t="inlineStr">
        <is>
          <t>A 61596-2023</t>
        </is>
      </c>
      <c r="B248" s="1" t="n">
        <v>45265</v>
      </c>
      <c r="C248" s="1" t="n">
        <v>45888</v>
      </c>
      <c r="D248" t="inlineStr">
        <is>
          <t>GOTLANDS LÄN</t>
        </is>
      </c>
      <c r="E248" t="inlineStr">
        <is>
          <t>GOTLAND</t>
        </is>
      </c>
      <c r="G248" t="n">
        <v>1.7</v>
      </c>
      <c r="H248" t="n">
        <v>0</v>
      </c>
      <c r="I248" t="n">
        <v>0</v>
      </c>
      <c r="J248" t="n">
        <v>0</v>
      </c>
      <c r="K248" t="n">
        <v>0</v>
      </c>
      <c r="L248" t="n">
        <v>0</v>
      </c>
      <c r="M248" t="n">
        <v>0</v>
      </c>
      <c r="N248" t="n">
        <v>0</v>
      </c>
      <c r="O248" t="n">
        <v>0</v>
      </c>
      <c r="P248" t="n">
        <v>0</v>
      </c>
      <c r="Q248" t="n">
        <v>0</v>
      </c>
      <c r="R248" s="2" t="inlineStr"/>
    </row>
    <row r="249" ht="15" customHeight="1">
      <c r="A249" t="inlineStr">
        <is>
          <t>A 12155-2023</t>
        </is>
      </c>
      <c r="B249" s="1" t="n">
        <v>44998.49106481481</v>
      </c>
      <c r="C249" s="1" t="n">
        <v>45888</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45888</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44228-2022</t>
        </is>
      </c>
      <c r="B251" s="1" t="n">
        <v>44839.51599537037</v>
      </c>
      <c r="C251" s="1" t="n">
        <v>45888</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61386-2023</t>
        </is>
      </c>
      <c r="B252" s="1" t="n">
        <v>45264</v>
      </c>
      <c r="C252" s="1" t="n">
        <v>45888</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22883-2024</t>
        </is>
      </c>
      <c r="B253" s="1" t="n">
        <v>45448.66368055555</v>
      </c>
      <c r="C253" s="1" t="n">
        <v>45888</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6108-2025</t>
        </is>
      </c>
      <c r="B254" s="1" t="n">
        <v>45698.29880787037</v>
      </c>
      <c r="C254" s="1" t="n">
        <v>45888</v>
      </c>
      <c r="D254" t="inlineStr">
        <is>
          <t>GOTLANDS LÄN</t>
        </is>
      </c>
      <c r="E254" t="inlineStr">
        <is>
          <t>GOTLAND</t>
        </is>
      </c>
      <c r="G254" t="n">
        <v>2.8</v>
      </c>
      <c r="H254" t="n">
        <v>0</v>
      </c>
      <c r="I254" t="n">
        <v>0</v>
      </c>
      <c r="J254" t="n">
        <v>0</v>
      </c>
      <c r="K254" t="n">
        <v>0</v>
      </c>
      <c r="L254" t="n">
        <v>0</v>
      </c>
      <c r="M254" t="n">
        <v>0</v>
      </c>
      <c r="N254" t="n">
        <v>0</v>
      </c>
      <c r="O254" t="n">
        <v>0</v>
      </c>
      <c r="P254" t="n">
        <v>0</v>
      </c>
      <c r="Q254" t="n">
        <v>0</v>
      </c>
      <c r="R254" s="2" t="inlineStr"/>
    </row>
    <row r="255" ht="15" customHeight="1">
      <c r="A255" t="inlineStr">
        <is>
          <t>A 2774-2024</t>
        </is>
      </c>
      <c r="B255" s="1" t="n">
        <v>45314.62375</v>
      </c>
      <c r="C255" s="1" t="n">
        <v>45888</v>
      </c>
      <c r="D255" t="inlineStr">
        <is>
          <t>GOTLANDS LÄN</t>
        </is>
      </c>
      <c r="E255" t="inlineStr">
        <is>
          <t>GOTLAND</t>
        </is>
      </c>
      <c r="G255" t="n">
        <v>1</v>
      </c>
      <c r="H255" t="n">
        <v>0</v>
      </c>
      <c r="I255" t="n">
        <v>0</v>
      </c>
      <c r="J255" t="n">
        <v>0</v>
      </c>
      <c r="K255" t="n">
        <v>0</v>
      </c>
      <c r="L255" t="n">
        <v>0</v>
      </c>
      <c r="M255" t="n">
        <v>0</v>
      </c>
      <c r="N255" t="n">
        <v>0</v>
      </c>
      <c r="O255" t="n">
        <v>0</v>
      </c>
      <c r="P255" t="n">
        <v>0</v>
      </c>
      <c r="Q255" t="n">
        <v>0</v>
      </c>
      <c r="R255" s="2" t="inlineStr"/>
    </row>
    <row r="256" ht="15" customHeight="1">
      <c r="A256" t="inlineStr">
        <is>
          <t>A 18742-2025</t>
        </is>
      </c>
      <c r="B256" s="1" t="n">
        <v>45763</v>
      </c>
      <c r="C256" s="1" t="n">
        <v>45888</v>
      </c>
      <c r="D256" t="inlineStr">
        <is>
          <t>GOTLANDS LÄN</t>
        </is>
      </c>
      <c r="E256" t="inlineStr">
        <is>
          <t>GOTLAND</t>
        </is>
      </c>
      <c r="G256" t="n">
        <v>3.4</v>
      </c>
      <c r="H256" t="n">
        <v>0</v>
      </c>
      <c r="I256" t="n">
        <v>0</v>
      </c>
      <c r="J256" t="n">
        <v>0</v>
      </c>
      <c r="K256" t="n">
        <v>0</v>
      </c>
      <c r="L256" t="n">
        <v>0</v>
      </c>
      <c r="M256" t="n">
        <v>0</v>
      </c>
      <c r="N256" t="n">
        <v>0</v>
      </c>
      <c r="O256" t="n">
        <v>0</v>
      </c>
      <c r="P256" t="n">
        <v>0</v>
      </c>
      <c r="Q256" t="n">
        <v>0</v>
      </c>
      <c r="R256" s="2" t="inlineStr"/>
    </row>
    <row r="257" ht="15" customHeight="1">
      <c r="A257" t="inlineStr">
        <is>
          <t>A 49257-2024</t>
        </is>
      </c>
      <c r="B257" s="1" t="n">
        <v>45595.47627314815</v>
      </c>
      <c r="C257" s="1" t="n">
        <v>45888</v>
      </c>
      <c r="D257" t="inlineStr">
        <is>
          <t>GOTLANDS LÄN</t>
        </is>
      </c>
      <c r="E257" t="inlineStr">
        <is>
          <t>GOTLAND</t>
        </is>
      </c>
      <c r="G257" t="n">
        <v>6.3</v>
      </c>
      <c r="H257" t="n">
        <v>0</v>
      </c>
      <c r="I257" t="n">
        <v>0</v>
      </c>
      <c r="J257" t="n">
        <v>0</v>
      </c>
      <c r="K257" t="n">
        <v>0</v>
      </c>
      <c r="L257" t="n">
        <v>0</v>
      </c>
      <c r="M257" t="n">
        <v>0</v>
      </c>
      <c r="N257" t="n">
        <v>0</v>
      </c>
      <c r="O257" t="n">
        <v>0</v>
      </c>
      <c r="P257" t="n">
        <v>0</v>
      </c>
      <c r="Q257" t="n">
        <v>0</v>
      </c>
      <c r="R257" s="2" t="inlineStr"/>
    </row>
    <row r="258" ht="15" customHeight="1">
      <c r="A258" t="inlineStr">
        <is>
          <t>A 49315-2024</t>
        </is>
      </c>
      <c r="B258" s="1" t="n">
        <v>45595</v>
      </c>
      <c r="C258" s="1" t="n">
        <v>45888</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9947-2024</t>
        </is>
      </c>
      <c r="B259" s="1" t="n">
        <v>45363</v>
      </c>
      <c r="C259" s="1" t="n">
        <v>45888</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45888</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42007-2023</t>
        </is>
      </c>
      <c r="B261" s="1" t="n">
        <v>45177</v>
      </c>
      <c r="C261" s="1" t="n">
        <v>45888</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25129-2023</t>
        </is>
      </c>
      <c r="B262" s="1" t="n">
        <v>45086.44261574074</v>
      </c>
      <c r="C262" s="1" t="n">
        <v>45888</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2292-2021</t>
        </is>
      </c>
      <c r="B263" s="1" t="n">
        <v>44212</v>
      </c>
      <c r="C263" s="1" t="n">
        <v>45888</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44204-2022</t>
        </is>
      </c>
      <c r="B264" s="1" t="n">
        <v>44839</v>
      </c>
      <c r="C264" s="1" t="n">
        <v>45888</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10497-2025</t>
        </is>
      </c>
      <c r="B265" s="1" t="n">
        <v>45721</v>
      </c>
      <c r="C265" s="1" t="n">
        <v>45888</v>
      </c>
      <c r="D265" t="inlineStr">
        <is>
          <t>GOTLANDS LÄN</t>
        </is>
      </c>
      <c r="E265" t="inlineStr">
        <is>
          <t>GOTLAND</t>
        </is>
      </c>
      <c r="G265" t="n">
        <v>0.9</v>
      </c>
      <c r="H265" t="n">
        <v>0</v>
      </c>
      <c r="I265" t="n">
        <v>0</v>
      </c>
      <c r="J265" t="n">
        <v>0</v>
      </c>
      <c r="K265" t="n">
        <v>0</v>
      </c>
      <c r="L265" t="n">
        <v>0</v>
      </c>
      <c r="M265" t="n">
        <v>0</v>
      </c>
      <c r="N265" t="n">
        <v>0</v>
      </c>
      <c r="O265" t="n">
        <v>0</v>
      </c>
      <c r="P265" t="n">
        <v>0</v>
      </c>
      <c r="Q265" t="n">
        <v>0</v>
      </c>
      <c r="R265" s="2" t="inlineStr"/>
    </row>
    <row r="266" ht="15" customHeight="1">
      <c r="A266" t="inlineStr">
        <is>
          <t>A 2035-2025</t>
        </is>
      </c>
      <c r="B266" s="1" t="n">
        <v>45672</v>
      </c>
      <c r="C266" s="1" t="n">
        <v>45888</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44304-2021</t>
        </is>
      </c>
      <c r="B267" s="1" t="n">
        <v>44434</v>
      </c>
      <c r="C267" s="1" t="n">
        <v>45888</v>
      </c>
      <c r="D267" t="inlineStr">
        <is>
          <t>GOTLANDS LÄN</t>
        </is>
      </c>
      <c r="E267" t="inlineStr">
        <is>
          <t>GOTLAND</t>
        </is>
      </c>
      <c r="G267" t="n">
        <v>5.8</v>
      </c>
      <c r="H267" t="n">
        <v>0</v>
      </c>
      <c r="I267" t="n">
        <v>0</v>
      </c>
      <c r="J267" t="n">
        <v>0</v>
      </c>
      <c r="K267" t="n">
        <v>0</v>
      </c>
      <c r="L267" t="n">
        <v>0</v>
      </c>
      <c r="M267" t="n">
        <v>0</v>
      </c>
      <c r="N267" t="n">
        <v>0</v>
      </c>
      <c r="O267" t="n">
        <v>0</v>
      </c>
      <c r="P267" t="n">
        <v>0</v>
      </c>
      <c r="Q267" t="n">
        <v>0</v>
      </c>
      <c r="R267" s="2" t="inlineStr"/>
    </row>
    <row r="268" ht="15" customHeight="1">
      <c r="A268" t="inlineStr">
        <is>
          <t>A 15083-2025</t>
        </is>
      </c>
      <c r="B268" s="1" t="n">
        <v>45743</v>
      </c>
      <c r="C268" s="1" t="n">
        <v>45888</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56009-2024</t>
        </is>
      </c>
      <c r="B269" s="1" t="n">
        <v>45623.80864583333</v>
      </c>
      <c r="C269" s="1" t="n">
        <v>45888</v>
      </c>
      <c r="D269" t="inlineStr">
        <is>
          <t>GOTLANDS LÄN</t>
        </is>
      </c>
      <c r="E269" t="inlineStr">
        <is>
          <t>GOTLAND</t>
        </is>
      </c>
      <c r="G269" t="n">
        <v>2.8</v>
      </c>
      <c r="H269" t="n">
        <v>0</v>
      </c>
      <c r="I269" t="n">
        <v>0</v>
      </c>
      <c r="J269" t="n">
        <v>0</v>
      </c>
      <c r="K269" t="n">
        <v>0</v>
      </c>
      <c r="L269" t="n">
        <v>0</v>
      </c>
      <c r="M269" t="n">
        <v>0</v>
      </c>
      <c r="N269" t="n">
        <v>0</v>
      </c>
      <c r="O269" t="n">
        <v>0</v>
      </c>
      <c r="P269" t="n">
        <v>0</v>
      </c>
      <c r="Q269" t="n">
        <v>0</v>
      </c>
      <c r="R269" s="2" t="inlineStr"/>
    </row>
    <row r="270" ht="15" customHeight="1">
      <c r="A270" t="inlineStr">
        <is>
          <t>A 54073-2022</t>
        </is>
      </c>
      <c r="B270" s="1" t="n">
        <v>44881.50380787037</v>
      </c>
      <c r="C270" s="1" t="n">
        <v>45888</v>
      </c>
      <c r="D270" t="inlineStr">
        <is>
          <t>GOTLANDS LÄN</t>
        </is>
      </c>
      <c r="E270" t="inlineStr">
        <is>
          <t>GOTLAND</t>
        </is>
      </c>
      <c r="G270" t="n">
        <v>3.8</v>
      </c>
      <c r="H270" t="n">
        <v>0</v>
      </c>
      <c r="I270" t="n">
        <v>0</v>
      </c>
      <c r="J270" t="n">
        <v>0</v>
      </c>
      <c r="K270" t="n">
        <v>0</v>
      </c>
      <c r="L270" t="n">
        <v>0</v>
      </c>
      <c r="M270" t="n">
        <v>0</v>
      </c>
      <c r="N270" t="n">
        <v>0</v>
      </c>
      <c r="O270" t="n">
        <v>0</v>
      </c>
      <c r="P270" t="n">
        <v>0</v>
      </c>
      <c r="Q270" t="n">
        <v>0</v>
      </c>
      <c r="R270" s="2" t="inlineStr"/>
    </row>
    <row r="271" ht="15" customHeight="1">
      <c r="A271" t="inlineStr">
        <is>
          <t>A 27596-2023</t>
        </is>
      </c>
      <c r="B271" s="1" t="n">
        <v>45097</v>
      </c>
      <c r="C271" s="1" t="n">
        <v>45888</v>
      </c>
      <c r="D271" t="inlineStr">
        <is>
          <t>GOTLANDS LÄN</t>
        </is>
      </c>
      <c r="E271" t="inlineStr">
        <is>
          <t>GOTLAND</t>
        </is>
      </c>
      <c r="G271" t="n">
        <v>3.6</v>
      </c>
      <c r="H271" t="n">
        <v>0</v>
      </c>
      <c r="I271" t="n">
        <v>0</v>
      </c>
      <c r="J271" t="n">
        <v>0</v>
      </c>
      <c r="K271" t="n">
        <v>0</v>
      </c>
      <c r="L271" t="n">
        <v>0</v>
      </c>
      <c r="M271" t="n">
        <v>0</v>
      </c>
      <c r="N271" t="n">
        <v>0</v>
      </c>
      <c r="O271" t="n">
        <v>0</v>
      </c>
      <c r="P271" t="n">
        <v>0</v>
      </c>
      <c r="Q271" t="n">
        <v>0</v>
      </c>
      <c r="R271" s="2" t="inlineStr"/>
    </row>
    <row r="272" ht="15" customHeight="1">
      <c r="A272" t="inlineStr">
        <is>
          <t>A 56115-2023</t>
        </is>
      </c>
      <c r="B272" s="1" t="n">
        <v>45236</v>
      </c>
      <c r="C272" s="1" t="n">
        <v>45888</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3964-2024</t>
        </is>
      </c>
      <c r="B273" s="1" t="n">
        <v>45322</v>
      </c>
      <c r="C273" s="1" t="n">
        <v>45888</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64969-2023</t>
        </is>
      </c>
      <c r="B274" s="1" t="n">
        <v>45284.54009259259</v>
      </c>
      <c r="C274" s="1" t="n">
        <v>45888</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33853-2024</t>
        </is>
      </c>
      <c r="B275" s="1" t="n">
        <v>45520.64298611111</v>
      </c>
      <c r="C275" s="1" t="n">
        <v>45888</v>
      </c>
      <c r="D275" t="inlineStr">
        <is>
          <t>GOTLANDS LÄN</t>
        </is>
      </c>
      <c r="E275" t="inlineStr">
        <is>
          <t>GOTLAND</t>
        </is>
      </c>
      <c r="G275" t="n">
        <v>3.9</v>
      </c>
      <c r="H275" t="n">
        <v>0</v>
      </c>
      <c r="I275" t="n">
        <v>0</v>
      </c>
      <c r="J275" t="n">
        <v>0</v>
      </c>
      <c r="K275" t="n">
        <v>0</v>
      </c>
      <c r="L275" t="n">
        <v>0</v>
      </c>
      <c r="M275" t="n">
        <v>0</v>
      </c>
      <c r="N275" t="n">
        <v>0</v>
      </c>
      <c r="O275" t="n">
        <v>0</v>
      </c>
      <c r="P275" t="n">
        <v>0</v>
      </c>
      <c r="Q275" t="n">
        <v>0</v>
      </c>
      <c r="R275" s="2" t="inlineStr"/>
    </row>
    <row r="276" ht="15" customHeight="1">
      <c r="A276" t="inlineStr">
        <is>
          <t>A 14570-2025</t>
        </is>
      </c>
      <c r="B276" s="1" t="n">
        <v>45741.87113425926</v>
      </c>
      <c r="C276" s="1" t="n">
        <v>45888</v>
      </c>
      <c r="D276" t="inlineStr">
        <is>
          <t>GOTLANDS LÄN</t>
        </is>
      </c>
      <c r="E276" t="inlineStr">
        <is>
          <t>GOTLAND</t>
        </is>
      </c>
      <c r="G276" t="n">
        <v>6.2</v>
      </c>
      <c r="H276" t="n">
        <v>0</v>
      </c>
      <c r="I276" t="n">
        <v>0</v>
      </c>
      <c r="J276" t="n">
        <v>0</v>
      </c>
      <c r="K276" t="n">
        <v>0</v>
      </c>
      <c r="L276" t="n">
        <v>0</v>
      </c>
      <c r="M276" t="n">
        <v>0</v>
      </c>
      <c r="N276" t="n">
        <v>0</v>
      </c>
      <c r="O276" t="n">
        <v>0</v>
      </c>
      <c r="P276" t="n">
        <v>0</v>
      </c>
      <c r="Q276" t="n">
        <v>0</v>
      </c>
      <c r="R276" s="2" t="inlineStr"/>
    </row>
    <row r="277" ht="15" customHeight="1">
      <c r="A277" t="inlineStr">
        <is>
          <t>A 45106-2024</t>
        </is>
      </c>
      <c r="B277" s="1" t="n">
        <v>45575</v>
      </c>
      <c r="C277" s="1" t="n">
        <v>45888</v>
      </c>
      <c r="D277" t="inlineStr">
        <is>
          <t>GOTLANDS LÄN</t>
        </is>
      </c>
      <c r="E277" t="inlineStr">
        <is>
          <t>GOTLAND</t>
        </is>
      </c>
      <c r="G277" t="n">
        <v>10</v>
      </c>
      <c r="H277" t="n">
        <v>0</v>
      </c>
      <c r="I277" t="n">
        <v>0</v>
      </c>
      <c r="J277" t="n">
        <v>0</v>
      </c>
      <c r="K277" t="n">
        <v>0</v>
      </c>
      <c r="L277" t="n">
        <v>0</v>
      </c>
      <c r="M277" t="n">
        <v>0</v>
      </c>
      <c r="N277" t="n">
        <v>0</v>
      </c>
      <c r="O277" t="n">
        <v>0</v>
      </c>
      <c r="P277" t="n">
        <v>0</v>
      </c>
      <c r="Q277" t="n">
        <v>0</v>
      </c>
      <c r="R277" s="2" t="inlineStr"/>
    </row>
    <row r="278" ht="15" customHeight="1">
      <c r="A278" t="inlineStr">
        <is>
          <t>A 45112-2024</t>
        </is>
      </c>
      <c r="B278" s="1" t="n">
        <v>45575</v>
      </c>
      <c r="C278" s="1" t="n">
        <v>45888</v>
      </c>
      <c r="D278" t="inlineStr">
        <is>
          <t>GOTLANDS LÄN</t>
        </is>
      </c>
      <c r="E278" t="inlineStr">
        <is>
          <t>GOTLAND</t>
        </is>
      </c>
      <c r="G278" t="n">
        <v>5.1</v>
      </c>
      <c r="H278" t="n">
        <v>0</v>
      </c>
      <c r="I278" t="n">
        <v>0</v>
      </c>
      <c r="J278" t="n">
        <v>0</v>
      </c>
      <c r="K278" t="n">
        <v>0</v>
      </c>
      <c r="L278" t="n">
        <v>0</v>
      </c>
      <c r="M278" t="n">
        <v>0</v>
      </c>
      <c r="N278" t="n">
        <v>0</v>
      </c>
      <c r="O278" t="n">
        <v>0</v>
      </c>
      <c r="P278" t="n">
        <v>0</v>
      </c>
      <c r="Q278" t="n">
        <v>0</v>
      </c>
      <c r="R278" s="2" t="inlineStr"/>
    </row>
    <row r="279" ht="15" customHeight="1">
      <c r="A279" t="inlineStr">
        <is>
          <t>A 18223-2025</t>
        </is>
      </c>
      <c r="B279" s="1" t="n">
        <v>45761</v>
      </c>
      <c r="C279" s="1" t="n">
        <v>45888</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7026-2023</t>
        </is>
      </c>
      <c r="B280" s="1" t="n">
        <v>44968.30340277778</v>
      </c>
      <c r="C280" s="1" t="n">
        <v>45888</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46949-2024</t>
        </is>
      </c>
      <c r="B281" s="1" t="n">
        <v>45585</v>
      </c>
      <c r="C281" s="1" t="n">
        <v>45888</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10652-2025</t>
        </is>
      </c>
      <c r="B282" s="1" t="n">
        <v>45721.68640046296</v>
      </c>
      <c r="C282" s="1" t="n">
        <v>45888</v>
      </c>
      <c r="D282" t="inlineStr">
        <is>
          <t>GOTLANDS LÄN</t>
        </is>
      </c>
      <c r="E282" t="inlineStr">
        <is>
          <t>GOTLAND</t>
        </is>
      </c>
      <c r="G282" t="n">
        <v>3.6</v>
      </c>
      <c r="H282" t="n">
        <v>0</v>
      </c>
      <c r="I282" t="n">
        <v>0</v>
      </c>
      <c r="J282" t="n">
        <v>0</v>
      </c>
      <c r="K282" t="n">
        <v>0</v>
      </c>
      <c r="L282" t="n">
        <v>0</v>
      </c>
      <c r="M282" t="n">
        <v>0</v>
      </c>
      <c r="N282" t="n">
        <v>0</v>
      </c>
      <c r="O282" t="n">
        <v>0</v>
      </c>
      <c r="P282" t="n">
        <v>0</v>
      </c>
      <c r="Q282" t="n">
        <v>0</v>
      </c>
      <c r="R282" s="2" t="inlineStr"/>
    </row>
    <row r="283" ht="15" customHeight="1">
      <c r="A283" t="inlineStr">
        <is>
          <t>A 52892-2021</t>
        </is>
      </c>
      <c r="B283" s="1" t="n">
        <v>44467.49048611111</v>
      </c>
      <c r="C283" s="1" t="n">
        <v>45888</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1351-2025</t>
        </is>
      </c>
      <c r="B284" s="1" t="n">
        <v>45667.62246527777</v>
      </c>
      <c r="C284" s="1" t="n">
        <v>45888</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10813-2025</t>
        </is>
      </c>
      <c r="B285" s="1" t="n">
        <v>45722.54163194444</v>
      </c>
      <c r="C285" s="1" t="n">
        <v>45888</v>
      </c>
      <c r="D285" t="inlineStr">
        <is>
          <t>GOTLANDS LÄN</t>
        </is>
      </c>
      <c r="E285" t="inlineStr">
        <is>
          <t>GOTLAND</t>
        </is>
      </c>
      <c r="G285" t="n">
        <v>1.5</v>
      </c>
      <c r="H285" t="n">
        <v>0</v>
      </c>
      <c r="I285" t="n">
        <v>0</v>
      </c>
      <c r="J285" t="n">
        <v>0</v>
      </c>
      <c r="K285" t="n">
        <v>0</v>
      </c>
      <c r="L285" t="n">
        <v>0</v>
      </c>
      <c r="M285" t="n">
        <v>0</v>
      </c>
      <c r="N285" t="n">
        <v>0</v>
      </c>
      <c r="O285" t="n">
        <v>0</v>
      </c>
      <c r="P285" t="n">
        <v>0</v>
      </c>
      <c r="Q285" t="n">
        <v>0</v>
      </c>
      <c r="R285" s="2" t="inlineStr"/>
    </row>
    <row r="286" ht="15" customHeight="1">
      <c r="A286" t="inlineStr">
        <is>
          <t>A 1066-2024</t>
        </is>
      </c>
      <c r="B286" s="1" t="n">
        <v>45302.285</v>
      </c>
      <c r="C286" s="1" t="n">
        <v>45888</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24001-2021</t>
        </is>
      </c>
      <c r="B287" s="1" t="n">
        <v>44335</v>
      </c>
      <c r="C287" s="1" t="n">
        <v>45888</v>
      </c>
      <c r="D287" t="inlineStr">
        <is>
          <t>GOTLANDS LÄN</t>
        </is>
      </c>
      <c r="E287" t="inlineStr">
        <is>
          <t>GOTLAND</t>
        </is>
      </c>
      <c r="G287" t="n">
        <v>3.4</v>
      </c>
      <c r="H287" t="n">
        <v>0</v>
      </c>
      <c r="I287" t="n">
        <v>0</v>
      </c>
      <c r="J287" t="n">
        <v>0</v>
      </c>
      <c r="K287" t="n">
        <v>0</v>
      </c>
      <c r="L287" t="n">
        <v>0</v>
      </c>
      <c r="M287" t="n">
        <v>0</v>
      </c>
      <c r="N287" t="n">
        <v>0</v>
      </c>
      <c r="O287" t="n">
        <v>0</v>
      </c>
      <c r="P287" t="n">
        <v>0</v>
      </c>
      <c r="Q287" t="n">
        <v>0</v>
      </c>
      <c r="R287" s="2" t="inlineStr"/>
    </row>
    <row r="288" ht="15" customHeight="1">
      <c r="A288" t="inlineStr">
        <is>
          <t>A 39479-2022</t>
        </is>
      </c>
      <c r="B288" s="1" t="n">
        <v>44818</v>
      </c>
      <c r="C288" s="1" t="n">
        <v>45888</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39496-2022</t>
        </is>
      </c>
      <c r="B289" s="1" t="n">
        <v>44818</v>
      </c>
      <c r="C289" s="1" t="n">
        <v>45888</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37202-2024</t>
        </is>
      </c>
      <c r="B290" s="1" t="n">
        <v>45539.67310185185</v>
      </c>
      <c r="C290" s="1" t="n">
        <v>45888</v>
      </c>
      <c r="D290" t="inlineStr">
        <is>
          <t>GOTLANDS LÄN</t>
        </is>
      </c>
      <c r="E290" t="inlineStr">
        <is>
          <t>GOTLAND</t>
        </is>
      </c>
      <c r="G290" t="n">
        <v>0.3</v>
      </c>
      <c r="H290" t="n">
        <v>0</v>
      </c>
      <c r="I290" t="n">
        <v>0</v>
      </c>
      <c r="J290" t="n">
        <v>0</v>
      </c>
      <c r="K290" t="n">
        <v>0</v>
      </c>
      <c r="L290" t="n">
        <v>0</v>
      </c>
      <c r="M290" t="n">
        <v>0</v>
      </c>
      <c r="N290" t="n">
        <v>0</v>
      </c>
      <c r="O290" t="n">
        <v>0</v>
      </c>
      <c r="P290" t="n">
        <v>0</v>
      </c>
      <c r="Q290" t="n">
        <v>0</v>
      </c>
      <c r="R290" s="2" t="inlineStr"/>
    </row>
    <row r="291" ht="15" customHeight="1">
      <c r="A291" t="inlineStr">
        <is>
          <t>A 49874-2024</t>
        </is>
      </c>
      <c r="B291" s="1" t="n">
        <v>45597.49274305555</v>
      </c>
      <c r="C291" s="1" t="n">
        <v>45888</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8701-2025</t>
        </is>
      </c>
      <c r="B292" s="1" t="n">
        <v>45712</v>
      </c>
      <c r="C292" s="1" t="n">
        <v>45888</v>
      </c>
      <c r="D292" t="inlineStr">
        <is>
          <t>GOTLANDS LÄN</t>
        </is>
      </c>
      <c r="E292" t="inlineStr">
        <is>
          <t>GOTLAND</t>
        </is>
      </c>
      <c r="G292" t="n">
        <v>7</v>
      </c>
      <c r="H292" t="n">
        <v>0</v>
      </c>
      <c r="I292" t="n">
        <v>0</v>
      </c>
      <c r="J292" t="n">
        <v>0</v>
      </c>
      <c r="K292" t="n">
        <v>0</v>
      </c>
      <c r="L292" t="n">
        <v>0</v>
      </c>
      <c r="M292" t="n">
        <v>0</v>
      </c>
      <c r="N292" t="n">
        <v>0</v>
      </c>
      <c r="O292" t="n">
        <v>0</v>
      </c>
      <c r="P292" t="n">
        <v>0</v>
      </c>
      <c r="Q292" t="n">
        <v>0</v>
      </c>
      <c r="R292" s="2" t="inlineStr"/>
    </row>
    <row r="293" ht="15" customHeight="1">
      <c r="A293" t="inlineStr">
        <is>
          <t>A 46389-2021</t>
        </is>
      </c>
      <c r="B293" s="1" t="n">
        <v>44443</v>
      </c>
      <c r="C293" s="1" t="n">
        <v>45888</v>
      </c>
      <c r="D293" t="inlineStr">
        <is>
          <t>GOTLANDS LÄN</t>
        </is>
      </c>
      <c r="E293" t="inlineStr">
        <is>
          <t>GOTLAND</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30815-2023</t>
        </is>
      </c>
      <c r="B294" s="1" t="n">
        <v>45112</v>
      </c>
      <c r="C294" s="1" t="n">
        <v>45888</v>
      </c>
      <c r="D294" t="inlineStr">
        <is>
          <t>GOTLANDS LÄN</t>
        </is>
      </c>
      <c r="E294" t="inlineStr">
        <is>
          <t>GOTLAND</t>
        </is>
      </c>
      <c r="G294" t="n">
        <v>6</v>
      </c>
      <c r="H294" t="n">
        <v>0</v>
      </c>
      <c r="I294" t="n">
        <v>0</v>
      </c>
      <c r="J294" t="n">
        <v>0</v>
      </c>
      <c r="K294" t="n">
        <v>0</v>
      </c>
      <c r="L294" t="n">
        <v>0</v>
      </c>
      <c r="M294" t="n">
        <v>0</v>
      </c>
      <c r="N294" t="n">
        <v>0</v>
      </c>
      <c r="O294" t="n">
        <v>0</v>
      </c>
      <c r="P294" t="n">
        <v>0</v>
      </c>
      <c r="Q294" t="n">
        <v>0</v>
      </c>
      <c r="R294" s="2" t="inlineStr"/>
    </row>
    <row r="295" ht="15" customHeight="1">
      <c r="A295" t="inlineStr">
        <is>
          <t>A 46400-2023</t>
        </is>
      </c>
      <c r="B295" s="1" t="n">
        <v>45197.49290509259</v>
      </c>
      <c r="C295" s="1" t="n">
        <v>45888</v>
      </c>
      <c r="D295" t="inlineStr">
        <is>
          <t>GOTLANDS LÄN</t>
        </is>
      </c>
      <c r="E295" t="inlineStr">
        <is>
          <t>GOTLAND</t>
        </is>
      </c>
      <c r="G295" t="n">
        <v>0.8</v>
      </c>
      <c r="H295" t="n">
        <v>0</v>
      </c>
      <c r="I295" t="n">
        <v>0</v>
      </c>
      <c r="J295" t="n">
        <v>0</v>
      </c>
      <c r="K295" t="n">
        <v>0</v>
      </c>
      <c r="L295" t="n">
        <v>0</v>
      </c>
      <c r="M295" t="n">
        <v>0</v>
      </c>
      <c r="N295" t="n">
        <v>0</v>
      </c>
      <c r="O295" t="n">
        <v>0</v>
      </c>
      <c r="P295" t="n">
        <v>0</v>
      </c>
      <c r="Q295" t="n">
        <v>0</v>
      </c>
      <c r="R295" s="2" t="inlineStr"/>
    </row>
    <row r="296" ht="15" customHeight="1">
      <c r="A296" t="inlineStr">
        <is>
          <t>A 10492-2023</t>
        </is>
      </c>
      <c r="B296" s="1" t="n">
        <v>44987</v>
      </c>
      <c r="C296" s="1" t="n">
        <v>45888</v>
      </c>
      <c r="D296" t="inlineStr">
        <is>
          <t>GOTLANDS LÄN</t>
        </is>
      </c>
      <c r="E296" t="inlineStr">
        <is>
          <t>GOTLAND</t>
        </is>
      </c>
      <c r="G296" t="n">
        <v>1</v>
      </c>
      <c r="H296" t="n">
        <v>0</v>
      </c>
      <c r="I296" t="n">
        <v>0</v>
      </c>
      <c r="J296" t="n">
        <v>0</v>
      </c>
      <c r="K296" t="n">
        <v>0</v>
      </c>
      <c r="L296" t="n">
        <v>0</v>
      </c>
      <c r="M296" t="n">
        <v>0</v>
      </c>
      <c r="N296" t="n">
        <v>0</v>
      </c>
      <c r="O296" t="n">
        <v>0</v>
      </c>
      <c r="P296" t="n">
        <v>0</v>
      </c>
      <c r="Q296" t="n">
        <v>0</v>
      </c>
      <c r="R296" s="2" t="inlineStr"/>
    </row>
    <row r="297" ht="15" customHeight="1">
      <c r="A297" t="inlineStr">
        <is>
          <t>A 44949-2023</t>
        </is>
      </c>
      <c r="B297" s="1" t="n">
        <v>45190.69520833333</v>
      </c>
      <c r="C297" s="1" t="n">
        <v>45888</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51782-2023</t>
        </is>
      </c>
      <c r="B298" s="1" t="n">
        <v>45222.80952546297</v>
      </c>
      <c r="C298" s="1" t="n">
        <v>45888</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20307-2025</t>
        </is>
      </c>
      <c r="B299" s="1" t="n">
        <v>45774.95546296296</v>
      </c>
      <c r="C299" s="1" t="n">
        <v>45888</v>
      </c>
      <c r="D299" t="inlineStr">
        <is>
          <t>GOTLANDS LÄN</t>
        </is>
      </c>
      <c r="E299" t="inlineStr">
        <is>
          <t>GOTLAND</t>
        </is>
      </c>
      <c r="G299" t="n">
        <v>6.8</v>
      </c>
      <c r="H299" t="n">
        <v>0</v>
      </c>
      <c r="I299" t="n">
        <v>0</v>
      </c>
      <c r="J299" t="n">
        <v>0</v>
      </c>
      <c r="K299" t="n">
        <v>0</v>
      </c>
      <c r="L299" t="n">
        <v>0</v>
      </c>
      <c r="M299" t="n">
        <v>0</v>
      </c>
      <c r="N299" t="n">
        <v>0</v>
      </c>
      <c r="O299" t="n">
        <v>0</v>
      </c>
      <c r="P299" t="n">
        <v>0</v>
      </c>
      <c r="Q299" t="n">
        <v>0</v>
      </c>
      <c r="R299" s="2" t="inlineStr"/>
    </row>
    <row r="300" ht="15" customHeight="1">
      <c r="A300" t="inlineStr">
        <is>
          <t>A 60675-2021</t>
        </is>
      </c>
      <c r="B300" s="1" t="n">
        <v>44496.64855324074</v>
      </c>
      <c r="C300" s="1" t="n">
        <v>45888</v>
      </c>
      <c r="D300" t="inlineStr">
        <is>
          <t>GOTLANDS LÄN</t>
        </is>
      </c>
      <c r="E300" t="inlineStr">
        <is>
          <t>GOTLAND</t>
        </is>
      </c>
      <c r="G300" t="n">
        <v>4.6</v>
      </c>
      <c r="H300" t="n">
        <v>0</v>
      </c>
      <c r="I300" t="n">
        <v>0</v>
      </c>
      <c r="J300" t="n">
        <v>0</v>
      </c>
      <c r="K300" t="n">
        <v>0</v>
      </c>
      <c r="L300" t="n">
        <v>0</v>
      </c>
      <c r="M300" t="n">
        <v>0</v>
      </c>
      <c r="N300" t="n">
        <v>0</v>
      </c>
      <c r="O300" t="n">
        <v>0</v>
      </c>
      <c r="P300" t="n">
        <v>0</v>
      </c>
      <c r="Q300" t="n">
        <v>0</v>
      </c>
      <c r="R300" s="2" t="inlineStr"/>
    </row>
    <row r="301" ht="15" customHeight="1">
      <c r="A301" t="inlineStr">
        <is>
          <t>A 17227-2021</t>
        </is>
      </c>
      <c r="B301" s="1" t="n">
        <v>44298.49725694444</v>
      </c>
      <c r="C301" s="1" t="n">
        <v>45888</v>
      </c>
      <c r="D301" t="inlineStr">
        <is>
          <t>GOTLANDS LÄN</t>
        </is>
      </c>
      <c r="E301" t="inlineStr">
        <is>
          <t>GOTLAND</t>
        </is>
      </c>
      <c r="G301" t="n">
        <v>6.2</v>
      </c>
      <c r="H301" t="n">
        <v>0</v>
      </c>
      <c r="I301" t="n">
        <v>0</v>
      </c>
      <c r="J301" t="n">
        <v>0</v>
      </c>
      <c r="K301" t="n">
        <v>0</v>
      </c>
      <c r="L301" t="n">
        <v>0</v>
      </c>
      <c r="M301" t="n">
        <v>0</v>
      </c>
      <c r="N301" t="n">
        <v>0</v>
      </c>
      <c r="O301" t="n">
        <v>0</v>
      </c>
      <c r="P301" t="n">
        <v>0</v>
      </c>
      <c r="Q301" t="n">
        <v>0</v>
      </c>
      <c r="R301" s="2" t="inlineStr"/>
    </row>
    <row r="302" ht="15" customHeight="1">
      <c r="A302" t="inlineStr">
        <is>
          <t>A 17682-2024</t>
        </is>
      </c>
      <c r="B302" s="1" t="n">
        <v>45418.42966435185</v>
      </c>
      <c r="C302" s="1" t="n">
        <v>45888</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5217-2023</t>
        </is>
      </c>
      <c r="B303" s="1" t="n">
        <v>44959.39582175926</v>
      </c>
      <c r="C303" s="1" t="n">
        <v>45888</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14638-2025</t>
        </is>
      </c>
      <c r="B304" s="1" t="n">
        <v>45742</v>
      </c>
      <c r="C304" s="1" t="n">
        <v>45888</v>
      </c>
      <c r="D304" t="inlineStr">
        <is>
          <t>GOTLANDS LÄN</t>
        </is>
      </c>
      <c r="E304" t="inlineStr">
        <is>
          <t>GOTLAND</t>
        </is>
      </c>
      <c r="G304" t="n">
        <v>13.4</v>
      </c>
      <c r="H304" t="n">
        <v>0</v>
      </c>
      <c r="I304" t="n">
        <v>0</v>
      </c>
      <c r="J304" t="n">
        <v>0</v>
      </c>
      <c r="K304" t="n">
        <v>0</v>
      </c>
      <c r="L304" t="n">
        <v>0</v>
      </c>
      <c r="M304" t="n">
        <v>0</v>
      </c>
      <c r="N304" t="n">
        <v>0</v>
      </c>
      <c r="O304" t="n">
        <v>0</v>
      </c>
      <c r="P304" t="n">
        <v>0</v>
      </c>
      <c r="Q304" t="n">
        <v>0</v>
      </c>
      <c r="R304" s="2" t="inlineStr"/>
    </row>
    <row r="305" ht="15" customHeight="1">
      <c r="A305" t="inlineStr">
        <is>
          <t>A 61897-2024</t>
        </is>
      </c>
      <c r="B305" s="1" t="n">
        <v>45652.75685185185</v>
      </c>
      <c r="C305" s="1" t="n">
        <v>45888</v>
      </c>
      <c r="D305" t="inlineStr">
        <is>
          <t>GOTLANDS LÄN</t>
        </is>
      </c>
      <c r="E305" t="inlineStr">
        <is>
          <t>GOTLAND</t>
        </is>
      </c>
      <c r="G305" t="n">
        <v>6.4</v>
      </c>
      <c r="H305" t="n">
        <v>0</v>
      </c>
      <c r="I305" t="n">
        <v>0</v>
      </c>
      <c r="J305" t="n">
        <v>0</v>
      </c>
      <c r="K305" t="n">
        <v>0</v>
      </c>
      <c r="L305" t="n">
        <v>0</v>
      </c>
      <c r="M305" t="n">
        <v>0</v>
      </c>
      <c r="N305" t="n">
        <v>0</v>
      </c>
      <c r="O305" t="n">
        <v>0</v>
      </c>
      <c r="P305" t="n">
        <v>0</v>
      </c>
      <c r="Q305" t="n">
        <v>0</v>
      </c>
      <c r="R305" s="2" t="inlineStr"/>
    </row>
    <row r="306" ht="15" customHeight="1">
      <c r="A306" t="inlineStr">
        <is>
          <t>A 44919-2022</t>
        </is>
      </c>
      <c r="B306" s="1" t="n">
        <v>44841</v>
      </c>
      <c r="C306" s="1" t="n">
        <v>45888</v>
      </c>
      <c r="D306" t="inlineStr">
        <is>
          <t>GOTLANDS LÄN</t>
        </is>
      </c>
      <c r="E306" t="inlineStr">
        <is>
          <t>GOTLAND</t>
        </is>
      </c>
      <c r="G306" t="n">
        <v>2.2</v>
      </c>
      <c r="H306" t="n">
        <v>0</v>
      </c>
      <c r="I306" t="n">
        <v>0</v>
      </c>
      <c r="J306" t="n">
        <v>0</v>
      </c>
      <c r="K306" t="n">
        <v>0</v>
      </c>
      <c r="L306" t="n">
        <v>0</v>
      </c>
      <c r="M306" t="n">
        <v>0</v>
      </c>
      <c r="N306" t="n">
        <v>0</v>
      </c>
      <c r="O306" t="n">
        <v>0</v>
      </c>
      <c r="P306" t="n">
        <v>0</v>
      </c>
      <c r="Q306" t="n">
        <v>0</v>
      </c>
      <c r="R306" s="2" t="inlineStr"/>
    </row>
    <row r="307" ht="15" customHeight="1">
      <c r="A307" t="inlineStr">
        <is>
          <t>A 12032-2025</t>
        </is>
      </c>
      <c r="B307" s="1" t="n">
        <v>45728.64472222222</v>
      </c>
      <c r="C307" s="1" t="n">
        <v>45888</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4421-2024</t>
        </is>
      </c>
      <c r="B308" s="1" t="n">
        <v>45327.45173611111</v>
      </c>
      <c r="C308" s="1" t="n">
        <v>45888</v>
      </c>
      <c r="D308" t="inlineStr">
        <is>
          <t>GOTLANDS LÄN</t>
        </is>
      </c>
      <c r="E308" t="inlineStr">
        <is>
          <t>GOTLAND</t>
        </is>
      </c>
      <c r="G308" t="n">
        <v>5.1</v>
      </c>
      <c r="H308" t="n">
        <v>0</v>
      </c>
      <c r="I308" t="n">
        <v>0</v>
      </c>
      <c r="J308" t="n">
        <v>0</v>
      </c>
      <c r="K308" t="n">
        <v>0</v>
      </c>
      <c r="L308" t="n">
        <v>0</v>
      </c>
      <c r="M308" t="n">
        <v>0</v>
      </c>
      <c r="N308" t="n">
        <v>0</v>
      </c>
      <c r="O308" t="n">
        <v>0</v>
      </c>
      <c r="P308" t="n">
        <v>0</v>
      </c>
      <c r="Q308" t="n">
        <v>0</v>
      </c>
      <c r="R308" s="2" t="inlineStr"/>
    </row>
    <row r="309" ht="15" customHeight="1">
      <c r="A309" t="inlineStr">
        <is>
          <t>A 15595-2024</t>
        </is>
      </c>
      <c r="B309" s="1" t="n">
        <v>45401.81480324074</v>
      </c>
      <c r="C309" s="1" t="n">
        <v>45888</v>
      </c>
      <c r="D309" t="inlineStr">
        <is>
          <t>GOTLANDS LÄN</t>
        </is>
      </c>
      <c r="E309" t="inlineStr">
        <is>
          <t>GOTLAND</t>
        </is>
      </c>
      <c r="G309" t="n">
        <v>6.4</v>
      </c>
      <c r="H309" t="n">
        <v>0</v>
      </c>
      <c r="I309" t="n">
        <v>0</v>
      </c>
      <c r="J309" t="n">
        <v>0</v>
      </c>
      <c r="K309" t="n">
        <v>0</v>
      </c>
      <c r="L309" t="n">
        <v>0</v>
      </c>
      <c r="M309" t="n">
        <v>0</v>
      </c>
      <c r="N309" t="n">
        <v>0</v>
      </c>
      <c r="O309" t="n">
        <v>0</v>
      </c>
      <c r="P309" t="n">
        <v>0</v>
      </c>
      <c r="Q309" t="n">
        <v>0</v>
      </c>
      <c r="R309" s="2" t="inlineStr"/>
    </row>
    <row r="310" ht="15" customHeight="1">
      <c r="A310" t="inlineStr">
        <is>
          <t>A 16501-2023</t>
        </is>
      </c>
      <c r="B310" s="1" t="n">
        <v>45029</v>
      </c>
      <c r="C310" s="1" t="n">
        <v>45888</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20165-2022</t>
        </is>
      </c>
      <c r="B311" s="1" t="n">
        <v>44698.49854166667</v>
      </c>
      <c r="C311" s="1" t="n">
        <v>45888</v>
      </c>
      <c r="D311" t="inlineStr">
        <is>
          <t>GOTLANDS LÄN</t>
        </is>
      </c>
      <c r="E311" t="inlineStr">
        <is>
          <t>GOTLAND</t>
        </is>
      </c>
      <c r="G311" t="n">
        <v>4.1</v>
      </c>
      <c r="H311" t="n">
        <v>0</v>
      </c>
      <c r="I311" t="n">
        <v>0</v>
      </c>
      <c r="J311" t="n">
        <v>0</v>
      </c>
      <c r="K311" t="n">
        <v>0</v>
      </c>
      <c r="L311" t="n">
        <v>0</v>
      </c>
      <c r="M311" t="n">
        <v>0</v>
      </c>
      <c r="N311" t="n">
        <v>0</v>
      </c>
      <c r="O311" t="n">
        <v>0</v>
      </c>
      <c r="P311" t="n">
        <v>0</v>
      </c>
      <c r="Q311" t="n">
        <v>0</v>
      </c>
      <c r="R311" s="2" t="inlineStr"/>
    </row>
    <row r="312" ht="15" customHeight="1">
      <c r="A312" t="inlineStr">
        <is>
          <t>A 27095-2022</t>
        </is>
      </c>
      <c r="B312" s="1" t="n">
        <v>44741</v>
      </c>
      <c r="C312" s="1" t="n">
        <v>45888</v>
      </c>
      <c r="D312" t="inlineStr">
        <is>
          <t>GOTLANDS LÄN</t>
        </is>
      </c>
      <c r="E312" t="inlineStr">
        <is>
          <t>GOTLAND</t>
        </is>
      </c>
      <c r="F312" t="inlineStr">
        <is>
          <t>Övriga Aktiebolag</t>
        </is>
      </c>
      <c r="G312" t="n">
        <v>2.9</v>
      </c>
      <c r="H312" t="n">
        <v>0</v>
      </c>
      <c r="I312" t="n">
        <v>0</v>
      </c>
      <c r="J312" t="n">
        <v>0</v>
      </c>
      <c r="K312" t="n">
        <v>0</v>
      </c>
      <c r="L312" t="n">
        <v>0</v>
      </c>
      <c r="M312" t="n">
        <v>0</v>
      </c>
      <c r="N312" t="n">
        <v>0</v>
      </c>
      <c r="O312" t="n">
        <v>0</v>
      </c>
      <c r="P312" t="n">
        <v>0</v>
      </c>
      <c r="Q312" t="n">
        <v>0</v>
      </c>
      <c r="R312" s="2" t="inlineStr"/>
    </row>
    <row r="313" ht="15" customHeight="1">
      <c r="A313" t="inlineStr">
        <is>
          <t>A 458-2023</t>
        </is>
      </c>
      <c r="B313" s="1" t="n">
        <v>44929</v>
      </c>
      <c r="C313" s="1" t="n">
        <v>45888</v>
      </c>
      <c r="D313" t="inlineStr">
        <is>
          <t>GOTLANDS LÄN</t>
        </is>
      </c>
      <c r="E313" t="inlineStr">
        <is>
          <t>GOTLAND</t>
        </is>
      </c>
      <c r="G313" t="n">
        <v>3.6</v>
      </c>
      <c r="H313" t="n">
        <v>0</v>
      </c>
      <c r="I313" t="n">
        <v>0</v>
      </c>
      <c r="J313" t="n">
        <v>0</v>
      </c>
      <c r="K313" t="n">
        <v>0</v>
      </c>
      <c r="L313" t="n">
        <v>0</v>
      </c>
      <c r="M313" t="n">
        <v>0</v>
      </c>
      <c r="N313" t="n">
        <v>0</v>
      </c>
      <c r="O313" t="n">
        <v>0</v>
      </c>
      <c r="P313" t="n">
        <v>0</v>
      </c>
      <c r="Q313" t="n">
        <v>0</v>
      </c>
      <c r="R313" s="2" t="inlineStr"/>
    </row>
    <row r="314" ht="15" customHeight="1">
      <c r="A314" t="inlineStr">
        <is>
          <t>A 1291-2023</t>
        </is>
      </c>
      <c r="B314" s="1" t="n">
        <v>44936.47561342592</v>
      </c>
      <c r="C314" s="1" t="n">
        <v>45888</v>
      </c>
      <c r="D314" t="inlineStr">
        <is>
          <t>GOTLANDS LÄN</t>
        </is>
      </c>
      <c r="E314" t="inlineStr">
        <is>
          <t>GOTLAND</t>
        </is>
      </c>
      <c r="G314" t="n">
        <v>7.4</v>
      </c>
      <c r="H314" t="n">
        <v>0</v>
      </c>
      <c r="I314" t="n">
        <v>0</v>
      </c>
      <c r="J314" t="n">
        <v>0</v>
      </c>
      <c r="K314" t="n">
        <v>0</v>
      </c>
      <c r="L314" t="n">
        <v>0</v>
      </c>
      <c r="M314" t="n">
        <v>0</v>
      </c>
      <c r="N314" t="n">
        <v>0</v>
      </c>
      <c r="O314" t="n">
        <v>0</v>
      </c>
      <c r="P314" t="n">
        <v>0</v>
      </c>
      <c r="Q314" t="n">
        <v>0</v>
      </c>
      <c r="R314" s="2" t="inlineStr"/>
    </row>
    <row r="315" ht="15" customHeight="1">
      <c r="A315" t="inlineStr">
        <is>
          <t>A 31264-2021</t>
        </is>
      </c>
      <c r="B315" s="1" t="n">
        <v>44368</v>
      </c>
      <c r="C315" s="1" t="n">
        <v>45888</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45888</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21164-2024</t>
        </is>
      </c>
      <c r="B317" s="1" t="n">
        <v>45440</v>
      </c>
      <c r="C317" s="1" t="n">
        <v>45888</v>
      </c>
      <c r="D317" t="inlineStr">
        <is>
          <t>GOTLANDS LÄN</t>
        </is>
      </c>
      <c r="E317" t="inlineStr">
        <is>
          <t>GOTLAND</t>
        </is>
      </c>
      <c r="G317" t="n">
        <v>6.3</v>
      </c>
      <c r="H317" t="n">
        <v>0</v>
      </c>
      <c r="I317" t="n">
        <v>0</v>
      </c>
      <c r="J317" t="n">
        <v>0</v>
      </c>
      <c r="K317" t="n">
        <v>0</v>
      </c>
      <c r="L317" t="n">
        <v>0</v>
      </c>
      <c r="M317" t="n">
        <v>0</v>
      </c>
      <c r="N317" t="n">
        <v>0</v>
      </c>
      <c r="O317" t="n">
        <v>0</v>
      </c>
      <c r="P317" t="n">
        <v>0</v>
      </c>
      <c r="Q317" t="n">
        <v>0</v>
      </c>
      <c r="R317" s="2" t="inlineStr"/>
    </row>
    <row r="318" ht="15" customHeight="1">
      <c r="A318" t="inlineStr">
        <is>
          <t>A 17541-2024</t>
        </is>
      </c>
      <c r="B318" s="1" t="n">
        <v>45415</v>
      </c>
      <c r="C318" s="1" t="n">
        <v>45888</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883-2025</t>
        </is>
      </c>
      <c r="B319" s="1" t="n">
        <v>45665</v>
      </c>
      <c r="C319" s="1" t="n">
        <v>45888</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13910-2025</t>
        </is>
      </c>
      <c r="B320" s="1" t="n">
        <v>45737</v>
      </c>
      <c r="C320" s="1" t="n">
        <v>45888</v>
      </c>
      <c r="D320" t="inlineStr">
        <is>
          <t>GOTLANDS LÄN</t>
        </is>
      </c>
      <c r="E320" t="inlineStr">
        <is>
          <t>GOTLAND</t>
        </is>
      </c>
      <c r="F320" t="inlineStr">
        <is>
          <t>Kommuner</t>
        </is>
      </c>
      <c r="G320" t="n">
        <v>3.2</v>
      </c>
      <c r="H320" t="n">
        <v>0</v>
      </c>
      <c r="I320" t="n">
        <v>0</v>
      </c>
      <c r="J320" t="n">
        <v>0</v>
      </c>
      <c r="K320" t="n">
        <v>0</v>
      </c>
      <c r="L320" t="n">
        <v>0</v>
      </c>
      <c r="M320" t="n">
        <v>0</v>
      </c>
      <c r="N320" t="n">
        <v>0</v>
      </c>
      <c r="O320" t="n">
        <v>0</v>
      </c>
      <c r="P320" t="n">
        <v>0</v>
      </c>
      <c r="Q320" t="n">
        <v>0</v>
      </c>
      <c r="R320" s="2" t="inlineStr"/>
    </row>
    <row r="321" ht="15" customHeight="1">
      <c r="A321" t="inlineStr">
        <is>
          <t>A 32330-2024</t>
        </is>
      </c>
      <c r="B321" s="1" t="n">
        <v>45512</v>
      </c>
      <c r="C321" s="1" t="n">
        <v>45888</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43223-2023</t>
        </is>
      </c>
      <c r="B322" s="1" t="n">
        <v>45183.45642361111</v>
      </c>
      <c r="C322" s="1" t="n">
        <v>45888</v>
      </c>
      <c r="D322" t="inlineStr">
        <is>
          <t>GOTLANDS LÄN</t>
        </is>
      </c>
      <c r="E322" t="inlineStr">
        <is>
          <t>GOTLAND</t>
        </is>
      </c>
      <c r="G322" t="n">
        <v>1.8</v>
      </c>
      <c r="H322" t="n">
        <v>0</v>
      </c>
      <c r="I322" t="n">
        <v>0</v>
      </c>
      <c r="J322" t="n">
        <v>0</v>
      </c>
      <c r="K322" t="n">
        <v>0</v>
      </c>
      <c r="L322" t="n">
        <v>0</v>
      </c>
      <c r="M322" t="n">
        <v>0</v>
      </c>
      <c r="N322" t="n">
        <v>0</v>
      </c>
      <c r="O322" t="n">
        <v>0</v>
      </c>
      <c r="P322" t="n">
        <v>0</v>
      </c>
      <c r="Q322" t="n">
        <v>0</v>
      </c>
      <c r="R322" s="2" t="inlineStr"/>
    </row>
    <row r="323" ht="15" customHeight="1">
      <c r="A323" t="inlineStr">
        <is>
          <t>A 12599-2025</t>
        </is>
      </c>
      <c r="B323" s="1" t="n">
        <v>45733.29546296296</v>
      </c>
      <c r="C323" s="1" t="n">
        <v>45888</v>
      </c>
      <c r="D323" t="inlineStr">
        <is>
          <t>GOTLANDS LÄN</t>
        </is>
      </c>
      <c r="E323" t="inlineStr">
        <is>
          <t>GOTLAND</t>
        </is>
      </c>
      <c r="G323" t="n">
        <v>4.7</v>
      </c>
      <c r="H323" t="n">
        <v>0</v>
      </c>
      <c r="I323" t="n">
        <v>0</v>
      </c>
      <c r="J323" t="n">
        <v>0</v>
      </c>
      <c r="K323" t="n">
        <v>0</v>
      </c>
      <c r="L323" t="n">
        <v>0</v>
      </c>
      <c r="M323" t="n">
        <v>0</v>
      </c>
      <c r="N323" t="n">
        <v>0</v>
      </c>
      <c r="O323" t="n">
        <v>0</v>
      </c>
      <c r="P323" t="n">
        <v>0</v>
      </c>
      <c r="Q323" t="n">
        <v>0</v>
      </c>
      <c r="R323" s="2" t="inlineStr"/>
    </row>
    <row r="324" ht="15" customHeight="1">
      <c r="A324" t="inlineStr">
        <is>
          <t>A 61962-2024</t>
        </is>
      </c>
      <c r="B324" s="1" t="n">
        <v>45653.54340277778</v>
      </c>
      <c r="C324" s="1" t="n">
        <v>45888</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61964-2024</t>
        </is>
      </c>
      <c r="B325" s="1" t="n">
        <v>45653.54789351852</v>
      </c>
      <c r="C325" s="1" t="n">
        <v>45888</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5891-2025</t>
        </is>
      </c>
      <c r="B326" s="1" t="n">
        <v>45695.38327546296</v>
      </c>
      <c r="C326" s="1" t="n">
        <v>45888</v>
      </c>
      <c r="D326" t="inlineStr">
        <is>
          <t>GOTLANDS LÄN</t>
        </is>
      </c>
      <c r="E326" t="inlineStr">
        <is>
          <t>GOTLAND</t>
        </is>
      </c>
      <c r="G326" t="n">
        <v>0.8</v>
      </c>
      <c r="H326" t="n">
        <v>0</v>
      </c>
      <c r="I326" t="n">
        <v>0</v>
      </c>
      <c r="J326" t="n">
        <v>0</v>
      </c>
      <c r="K326" t="n">
        <v>0</v>
      </c>
      <c r="L326" t="n">
        <v>0</v>
      </c>
      <c r="M326" t="n">
        <v>0</v>
      </c>
      <c r="N326" t="n">
        <v>0</v>
      </c>
      <c r="O326" t="n">
        <v>0</v>
      </c>
      <c r="P326" t="n">
        <v>0</v>
      </c>
      <c r="Q326" t="n">
        <v>0</v>
      </c>
      <c r="R326" s="2" t="inlineStr"/>
    </row>
    <row r="327" ht="15" customHeight="1">
      <c r="A327" t="inlineStr">
        <is>
          <t>A 27930-2021</t>
        </is>
      </c>
      <c r="B327" s="1" t="n">
        <v>44354</v>
      </c>
      <c r="C327" s="1" t="n">
        <v>45888</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59469-2024</t>
        </is>
      </c>
      <c r="B328" s="1" t="n">
        <v>45638</v>
      </c>
      <c r="C328" s="1" t="n">
        <v>45888</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20794-2025</t>
        </is>
      </c>
      <c r="B329" s="1" t="n">
        <v>45776</v>
      </c>
      <c r="C329" s="1" t="n">
        <v>45888</v>
      </c>
      <c r="D329" t="inlineStr">
        <is>
          <t>GOTLANDS LÄN</t>
        </is>
      </c>
      <c r="E329" t="inlineStr">
        <is>
          <t>GOTLAND</t>
        </is>
      </c>
      <c r="G329" t="n">
        <v>6</v>
      </c>
      <c r="H329" t="n">
        <v>0</v>
      </c>
      <c r="I329" t="n">
        <v>0</v>
      </c>
      <c r="J329" t="n">
        <v>0</v>
      </c>
      <c r="K329" t="n">
        <v>0</v>
      </c>
      <c r="L329" t="n">
        <v>0</v>
      </c>
      <c r="M329" t="n">
        <v>0</v>
      </c>
      <c r="N329" t="n">
        <v>0</v>
      </c>
      <c r="O329" t="n">
        <v>0</v>
      </c>
      <c r="P329" t="n">
        <v>0</v>
      </c>
      <c r="Q329" t="n">
        <v>0</v>
      </c>
      <c r="R329" s="2" t="inlineStr"/>
    </row>
    <row r="330" ht="15" customHeight="1">
      <c r="A330" t="inlineStr">
        <is>
          <t>A 14804-2021</t>
        </is>
      </c>
      <c r="B330" s="1" t="n">
        <v>44280</v>
      </c>
      <c r="C330" s="1" t="n">
        <v>45888</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19002-2025</t>
        </is>
      </c>
      <c r="B331" s="1" t="n">
        <v>45764</v>
      </c>
      <c r="C331" s="1" t="n">
        <v>45888</v>
      </c>
      <c r="D331" t="inlineStr">
        <is>
          <t>GOTLANDS LÄN</t>
        </is>
      </c>
      <c r="E331" t="inlineStr">
        <is>
          <t>GOTLAND</t>
        </is>
      </c>
      <c r="G331" t="n">
        <v>2.1</v>
      </c>
      <c r="H331" t="n">
        <v>0</v>
      </c>
      <c r="I331" t="n">
        <v>0</v>
      </c>
      <c r="J331" t="n">
        <v>0</v>
      </c>
      <c r="K331" t="n">
        <v>0</v>
      </c>
      <c r="L331" t="n">
        <v>0</v>
      </c>
      <c r="M331" t="n">
        <v>0</v>
      </c>
      <c r="N331" t="n">
        <v>0</v>
      </c>
      <c r="O331" t="n">
        <v>0</v>
      </c>
      <c r="P331" t="n">
        <v>0</v>
      </c>
      <c r="Q331" t="n">
        <v>0</v>
      </c>
      <c r="R331" s="2" t="inlineStr"/>
    </row>
    <row r="332" ht="15" customHeight="1">
      <c r="A332" t="inlineStr">
        <is>
          <t>A 20812-2025</t>
        </is>
      </c>
      <c r="B332" s="1" t="n">
        <v>45776</v>
      </c>
      <c r="C332" s="1" t="n">
        <v>45888</v>
      </c>
      <c r="D332" t="inlineStr">
        <is>
          <t>GOTLANDS LÄN</t>
        </is>
      </c>
      <c r="E332" t="inlineStr">
        <is>
          <t>GOTLAND</t>
        </is>
      </c>
      <c r="G332" t="n">
        <v>3</v>
      </c>
      <c r="H332" t="n">
        <v>0</v>
      </c>
      <c r="I332" t="n">
        <v>0</v>
      </c>
      <c r="J332" t="n">
        <v>0</v>
      </c>
      <c r="K332" t="n">
        <v>0</v>
      </c>
      <c r="L332" t="n">
        <v>0</v>
      </c>
      <c r="M332" t="n">
        <v>0</v>
      </c>
      <c r="N332" t="n">
        <v>0</v>
      </c>
      <c r="O332" t="n">
        <v>0</v>
      </c>
      <c r="P332" t="n">
        <v>0</v>
      </c>
      <c r="Q332" t="n">
        <v>0</v>
      </c>
      <c r="R332" s="2" t="inlineStr"/>
    </row>
    <row r="333" ht="15" customHeight="1">
      <c r="A333" t="inlineStr">
        <is>
          <t>A 2719-2023</t>
        </is>
      </c>
      <c r="B333" s="1" t="n">
        <v>44944.55361111111</v>
      </c>
      <c r="C333" s="1" t="n">
        <v>45888</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17144-2025</t>
        </is>
      </c>
      <c r="B334" s="1" t="n">
        <v>45755.9499537037</v>
      </c>
      <c r="C334" s="1" t="n">
        <v>45888</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20805-2025</t>
        </is>
      </c>
      <c r="B335" s="1" t="n">
        <v>45776</v>
      </c>
      <c r="C335" s="1" t="n">
        <v>45888</v>
      </c>
      <c r="D335" t="inlineStr">
        <is>
          <t>GOTLANDS LÄN</t>
        </is>
      </c>
      <c r="E335" t="inlineStr">
        <is>
          <t>GOTLAND</t>
        </is>
      </c>
      <c r="G335" t="n">
        <v>3.1</v>
      </c>
      <c r="H335" t="n">
        <v>0</v>
      </c>
      <c r="I335" t="n">
        <v>0</v>
      </c>
      <c r="J335" t="n">
        <v>0</v>
      </c>
      <c r="K335" t="n">
        <v>0</v>
      </c>
      <c r="L335" t="n">
        <v>0</v>
      </c>
      <c r="M335" t="n">
        <v>0</v>
      </c>
      <c r="N335" t="n">
        <v>0</v>
      </c>
      <c r="O335" t="n">
        <v>0</v>
      </c>
      <c r="P335" t="n">
        <v>0</v>
      </c>
      <c r="Q335" t="n">
        <v>0</v>
      </c>
      <c r="R335" s="2" t="inlineStr"/>
    </row>
    <row r="336" ht="15" customHeight="1">
      <c r="A336" t="inlineStr">
        <is>
          <t>A 21389-2025</t>
        </is>
      </c>
      <c r="B336" s="1" t="n">
        <v>45782</v>
      </c>
      <c r="C336" s="1" t="n">
        <v>45888</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21142-2025</t>
        </is>
      </c>
      <c r="B337" s="1" t="n">
        <v>45779</v>
      </c>
      <c r="C337" s="1" t="n">
        <v>45888</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5751-2024</t>
        </is>
      </c>
      <c r="B338" s="1" t="n">
        <v>45335.32702546296</v>
      </c>
      <c r="C338" s="1" t="n">
        <v>45888</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6696-2023</t>
        </is>
      </c>
      <c r="B339" s="1" t="n">
        <v>44966.66425925926</v>
      </c>
      <c r="C339" s="1" t="n">
        <v>45888</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28480-2023</t>
        </is>
      </c>
      <c r="B340" s="1" t="n">
        <v>45103</v>
      </c>
      <c r="C340" s="1" t="n">
        <v>45888</v>
      </c>
      <c r="D340" t="inlineStr">
        <is>
          <t>GOTLANDS LÄN</t>
        </is>
      </c>
      <c r="E340" t="inlineStr">
        <is>
          <t>GOTLAND</t>
        </is>
      </c>
      <c r="G340" t="n">
        <v>5.7</v>
      </c>
      <c r="H340" t="n">
        <v>0</v>
      </c>
      <c r="I340" t="n">
        <v>0</v>
      </c>
      <c r="J340" t="n">
        <v>0</v>
      </c>
      <c r="K340" t="n">
        <v>0</v>
      </c>
      <c r="L340" t="n">
        <v>0</v>
      </c>
      <c r="M340" t="n">
        <v>0</v>
      </c>
      <c r="N340" t="n">
        <v>0</v>
      </c>
      <c r="O340" t="n">
        <v>0</v>
      </c>
      <c r="P340" t="n">
        <v>0</v>
      </c>
      <c r="Q340" t="n">
        <v>0</v>
      </c>
      <c r="R340" s="2" t="inlineStr"/>
    </row>
    <row r="341" ht="15" customHeight="1">
      <c r="A341" t="inlineStr">
        <is>
          <t>A 28485-2023</t>
        </is>
      </c>
      <c r="B341" s="1" t="n">
        <v>45103.43731481482</v>
      </c>
      <c r="C341" s="1" t="n">
        <v>45888</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4990-2025</t>
        </is>
      </c>
      <c r="B342" s="1" t="n">
        <v>45691</v>
      </c>
      <c r="C342" s="1" t="n">
        <v>45888</v>
      </c>
      <c r="D342" t="inlineStr">
        <is>
          <t>GOTLANDS LÄN</t>
        </is>
      </c>
      <c r="E342" t="inlineStr">
        <is>
          <t>GOTLAND</t>
        </is>
      </c>
      <c r="G342" t="n">
        <v>7.7</v>
      </c>
      <c r="H342" t="n">
        <v>0</v>
      </c>
      <c r="I342" t="n">
        <v>0</v>
      </c>
      <c r="J342" t="n">
        <v>0</v>
      </c>
      <c r="K342" t="n">
        <v>0</v>
      </c>
      <c r="L342" t="n">
        <v>0</v>
      </c>
      <c r="M342" t="n">
        <v>0</v>
      </c>
      <c r="N342" t="n">
        <v>0</v>
      </c>
      <c r="O342" t="n">
        <v>0</v>
      </c>
      <c r="P342" t="n">
        <v>0</v>
      </c>
      <c r="Q342" t="n">
        <v>0</v>
      </c>
      <c r="R342" s="2" t="inlineStr"/>
    </row>
    <row r="343" ht="15" customHeight="1">
      <c r="A343" t="inlineStr">
        <is>
          <t>A 49314-2024</t>
        </is>
      </c>
      <c r="B343" s="1" t="n">
        <v>45595.55893518519</v>
      </c>
      <c r="C343" s="1" t="n">
        <v>45888</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21651-2025</t>
        </is>
      </c>
      <c r="B344" s="1" t="n">
        <v>45783</v>
      </c>
      <c r="C344" s="1" t="n">
        <v>45888</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9875-2025</t>
        </is>
      </c>
      <c r="B345" s="1" t="n">
        <v>45716</v>
      </c>
      <c r="C345" s="1" t="n">
        <v>45888</v>
      </c>
      <c r="D345" t="inlineStr">
        <is>
          <t>GOTLANDS LÄN</t>
        </is>
      </c>
      <c r="E345" t="inlineStr">
        <is>
          <t>GOTLAND</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29809-2022</t>
        </is>
      </c>
      <c r="B346" s="1" t="n">
        <v>44755.8713425926</v>
      </c>
      <c r="C346" s="1" t="n">
        <v>45888</v>
      </c>
      <c r="D346" t="inlineStr">
        <is>
          <t>GOTLANDS LÄN</t>
        </is>
      </c>
      <c r="E346" t="inlineStr">
        <is>
          <t>GOTLAND</t>
        </is>
      </c>
      <c r="G346" t="n">
        <v>11.5</v>
      </c>
      <c r="H346" t="n">
        <v>0</v>
      </c>
      <c r="I346" t="n">
        <v>0</v>
      </c>
      <c r="J346" t="n">
        <v>0</v>
      </c>
      <c r="K346" t="n">
        <v>0</v>
      </c>
      <c r="L346" t="n">
        <v>0</v>
      </c>
      <c r="M346" t="n">
        <v>0</v>
      </c>
      <c r="N346" t="n">
        <v>0</v>
      </c>
      <c r="O346" t="n">
        <v>0</v>
      </c>
      <c r="P346" t="n">
        <v>0</v>
      </c>
      <c r="Q346" t="n">
        <v>0</v>
      </c>
      <c r="R346" s="2" t="inlineStr"/>
    </row>
    <row r="347" ht="15" customHeight="1">
      <c r="A347" t="inlineStr">
        <is>
          <t>A 38165-2023</t>
        </is>
      </c>
      <c r="B347" s="1" t="n">
        <v>45161</v>
      </c>
      <c r="C347" s="1" t="n">
        <v>45888</v>
      </c>
      <c r="D347" t="inlineStr">
        <is>
          <t>GOTLANDS LÄN</t>
        </is>
      </c>
      <c r="E347" t="inlineStr">
        <is>
          <t>GOTLAND</t>
        </is>
      </c>
      <c r="G347" t="n">
        <v>2.6</v>
      </c>
      <c r="H347" t="n">
        <v>0</v>
      </c>
      <c r="I347" t="n">
        <v>0</v>
      </c>
      <c r="J347" t="n">
        <v>0</v>
      </c>
      <c r="K347" t="n">
        <v>0</v>
      </c>
      <c r="L347" t="n">
        <v>0</v>
      </c>
      <c r="M347" t="n">
        <v>0</v>
      </c>
      <c r="N347" t="n">
        <v>0</v>
      </c>
      <c r="O347" t="n">
        <v>0</v>
      </c>
      <c r="P347" t="n">
        <v>0</v>
      </c>
      <c r="Q347" t="n">
        <v>0</v>
      </c>
      <c r="R347" s="2" t="inlineStr"/>
    </row>
    <row r="348" ht="15" customHeight="1">
      <c r="A348" t="inlineStr">
        <is>
          <t>A 16361-2024</t>
        </is>
      </c>
      <c r="B348" s="1" t="n">
        <v>45407</v>
      </c>
      <c r="C348" s="1" t="n">
        <v>45888</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15216-2025</t>
        </is>
      </c>
      <c r="B349" s="1" t="n">
        <v>45744</v>
      </c>
      <c r="C349" s="1" t="n">
        <v>45888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43081-2022</t>
        </is>
      </c>
      <c r="B350" s="1" t="n">
        <v>44833</v>
      </c>
      <c r="C350" s="1" t="n">
        <v>45888</v>
      </c>
      <c r="D350" t="inlineStr">
        <is>
          <t>GOTLANDS LÄN</t>
        </is>
      </c>
      <c r="E350" t="inlineStr">
        <is>
          <t>GOTLAND</t>
        </is>
      </c>
      <c r="G350" t="n">
        <v>6.8</v>
      </c>
      <c r="H350" t="n">
        <v>0</v>
      </c>
      <c r="I350" t="n">
        <v>0</v>
      </c>
      <c r="J350" t="n">
        <v>0</v>
      </c>
      <c r="K350" t="n">
        <v>0</v>
      </c>
      <c r="L350" t="n">
        <v>0</v>
      </c>
      <c r="M350" t="n">
        <v>0</v>
      </c>
      <c r="N350" t="n">
        <v>0</v>
      </c>
      <c r="O350" t="n">
        <v>0</v>
      </c>
      <c r="P350" t="n">
        <v>0</v>
      </c>
      <c r="Q350" t="n">
        <v>0</v>
      </c>
      <c r="R350" s="2" t="inlineStr"/>
    </row>
    <row r="351" ht="15" customHeight="1">
      <c r="A351" t="inlineStr">
        <is>
          <t>A 49693-2023</t>
        </is>
      </c>
      <c r="B351" s="1" t="n">
        <v>45212.38138888889</v>
      </c>
      <c r="C351" s="1" t="n">
        <v>45888</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49697-2023</t>
        </is>
      </c>
      <c r="B352" s="1" t="n">
        <v>45212.38909722222</v>
      </c>
      <c r="C352" s="1" t="n">
        <v>45888</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1175-2025</t>
        </is>
      </c>
      <c r="B353" s="1" t="n">
        <v>45667.34449074074</v>
      </c>
      <c r="C353" s="1" t="n">
        <v>45888</v>
      </c>
      <c r="D353" t="inlineStr">
        <is>
          <t>GOTLANDS LÄN</t>
        </is>
      </c>
      <c r="E353" t="inlineStr">
        <is>
          <t>GOTLAND</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45888</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42201-2023</t>
        </is>
      </c>
      <c r="B355" s="1" t="n">
        <v>45179</v>
      </c>
      <c r="C355" s="1" t="n">
        <v>45888</v>
      </c>
      <c r="D355" t="inlineStr">
        <is>
          <t>GOTLANDS LÄN</t>
        </is>
      </c>
      <c r="E355" t="inlineStr">
        <is>
          <t>GOTLAND</t>
        </is>
      </c>
      <c r="G355" t="n">
        <v>11.9</v>
      </c>
      <c r="H355" t="n">
        <v>0</v>
      </c>
      <c r="I355" t="n">
        <v>0</v>
      </c>
      <c r="J355" t="n">
        <v>0</v>
      </c>
      <c r="K355" t="n">
        <v>0</v>
      </c>
      <c r="L355" t="n">
        <v>0</v>
      </c>
      <c r="M355" t="n">
        <v>0</v>
      </c>
      <c r="N355" t="n">
        <v>0</v>
      </c>
      <c r="O355" t="n">
        <v>0</v>
      </c>
      <c r="P355" t="n">
        <v>0</v>
      </c>
      <c r="Q355" t="n">
        <v>0</v>
      </c>
      <c r="R355" s="2" t="inlineStr"/>
    </row>
    <row r="356" ht="15" customHeight="1">
      <c r="A356" t="inlineStr">
        <is>
          <t>A 3150-2025</t>
        </is>
      </c>
      <c r="B356" s="1" t="n">
        <v>45679.28974537037</v>
      </c>
      <c r="C356" s="1" t="n">
        <v>45888</v>
      </c>
      <c r="D356" t="inlineStr">
        <is>
          <t>GOTLANDS LÄN</t>
        </is>
      </c>
      <c r="E356" t="inlineStr">
        <is>
          <t>GOTLAND</t>
        </is>
      </c>
      <c r="G356" t="n">
        <v>2.5</v>
      </c>
      <c r="H356" t="n">
        <v>0</v>
      </c>
      <c r="I356" t="n">
        <v>0</v>
      </c>
      <c r="J356" t="n">
        <v>0</v>
      </c>
      <c r="K356" t="n">
        <v>0</v>
      </c>
      <c r="L356" t="n">
        <v>0</v>
      </c>
      <c r="M356" t="n">
        <v>0</v>
      </c>
      <c r="N356" t="n">
        <v>0</v>
      </c>
      <c r="O356" t="n">
        <v>0</v>
      </c>
      <c r="P356" t="n">
        <v>0</v>
      </c>
      <c r="Q356" t="n">
        <v>0</v>
      </c>
      <c r="R356" s="2" t="inlineStr"/>
    </row>
    <row r="357" ht="15" customHeight="1">
      <c r="A357" t="inlineStr">
        <is>
          <t>A 5674-2025</t>
        </is>
      </c>
      <c r="B357" s="1" t="n">
        <v>45694.28993055555</v>
      </c>
      <c r="C357" s="1" t="n">
        <v>45888</v>
      </c>
      <c r="D357" t="inlineStr">
        <is>
          <t>GOTLANDS LÄN</t>
        </is>
      </c>
      <c r="E357" t="inlineStr">
        <is>
          <t>GOTLAND</t>
        </is>
      </c>
      <c r="G357" t="n">
        <v>4.2</v>
      </c>
      <c r="H357" t="n">
        <v>0</v>
      </c>
      <c r="I357" t="n">
        <v>0</v>
      </c>
      <c r="J357" t="n">
        <v>0</v>
      </c>
      <c r="K357" t="n">
        <v>0</v>
      </c>
      <c r="L357" t="n">
        <v>0</v>
      </c>
      <c r="M357" t="n">
        <v>0</v>
      </c>
      <c r="N357" t="n">
        <v>0</v>
      </c>
      <c r="O357" t="n">
        <v>0</v>
      </c>
      <c r="P357" t="n">
        <v>0</v>
      </c>
      <c r="Q357" t="n">
        <v>0</v>
      </c>
      <c r="R357" s="2" t="inlineStr"/>
    </row>
    <row r="358" ht="15" customHeight="1">
      <c r="A358" t="inlineStr">
        <is>
          <t>A 5676-2025</t>
        </is>
      </c>
      <c r="B358" s="1" t="n">
        <v>45694.29512731481</v>
      </c>
      <c r="C358" s="1" t="n">
        <v>45888</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48503-2023</t>
        </is>
      </c>
      <c r="B359" s="1" t="n">
        <v>45207</v>
      </c>
      <c r="C359" s="1" t="n">
        <v>45888</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24825-2024</t>
        </is>
      </c>
      <c r="B360" s="1" t="n">
        <v>45461</v>
      </c>
      <c r="C360" s="1" t="n">
        <v>45888</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42041-2024</t>
        </is>
      </c>
      <c r="B361" s="1" t="n">
        <v>45561</v>
      </c>
      <c r="C361" s="1" t="n">
        <v>45888</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1345-2025</t>
        </is>
      </c>
      <c r="B362" s="1" t="n">
        <v>45667.60511574074</v>
      </c>
      <c r="C362" s="1" t="n">
        <v>45888</v>
      </c>
      <c r="D362" t="inlineStr">
        <is>
          <t>GOTLANDS LÄN</t>
        </is>
      </c>
      <c r="E362" t="inlineStr">
        <is>
          <t>GOTLAND</t>
        </is>
      </c>
      <c r="G362" t="n">
        <v>5.7</v>
      </c>
      <c r="H362" t="n">
        <v>0</v>
      </c>
      <c r="I362" t="n">
        <v>0</v>
      </c>
      <c r="J362" t="n">
        <v>0</v>
      </c>
      <c r="K362" t="n">
        <v>0</v>
      </c>
      <c r="L362" t="n">
        <v>0</v>
      </c>
      <c r="M362" t="n">
        <v>0</v>
      </c>
      <c r="N362" t="n">
        <v>0</v>
      </c>
      <c r="O362" t="n">
        <v>0</v>
      </c>
      <c r="P362" t="n">
        <v>0</v>
      </c>
      <c r="Q362" t="n">
        <v>0</v>
      </c>
      <c r="R362" s="2" t="inlineStr"/>
    </row>
    <row r="363" ht="15" customHeight="1">
      <c r="A363" t="inlineStr">
        <is>
          <t>A 22031-2024</t>
        </is>
      </c>
      <c r="B363" s="1" t="n">
        <v>45443.60075231481</v>
      </c>
      <c r="C363" s="1" t="n">
        <v>45888</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17688-2024</t>
        </is>
      </c>
      <c r="B364" s="1" t="n">
        <v>45418.43575231481</v>
      </c>
      <c r="C364" s="1" t="n">
        <v>45888</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18993-2025</t>
        </is>
      </c>
      <c r="B365" s="1" t="n">
        <v>45764</v>
      </c>
      <c r="C365" s="1" t="n">
        <v>45888</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15436-2025</t>
        </is>
      </c>
      <c r="B366" s="1" t="n">
        <v>45747.47462962963</v>
      </c>
      <c r="C366" s="1" t="n">
        <v>45888</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27694-2024</t>
        </is>
      </c>
      <c r="B367" s="1" t="n">
        <v>45475</v>
      </c>
      <c r="C367" s="1" t="n">
        <v>45888</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21247-2022</t>
        </is>
      </c>
      <c r="B368" s="1" t="n">
        <v>44705.38832175926</v>
      </c>
      <c r="C368" s="1" t="n">
        <v>45888</v>
      </c>
      <c r="D368" t="inlineStr">
        <is>
          <t>GOTLANDS LÄN</t>
        </is>
      </c>
      <c r="E368" t="inlineStr">
        <is>
          <t>GOTLAND</t>
        </is>
      </c>
      <c r="G368" t="n">
        <v>16.2</v>
      </c>
      <c r="H368" t="n">
        <v>0</v>
      </c>
      <c r="I368" t="n">
        <v>0</v>
      </c>
      <c r="J368" t="n">
        <v>0</v>
      </c>
      <c r="K368" t="n">
        <v>0</v>
      </c>
      <c r="L368" t="n">
        <v>0</v>
      </c>
      <c r="M368" t="n">
        <v>0</v>
      </c>
      <c r="N368" t="n">
        <v>0</v>
      </c>
      <c r="O368" t="n">
        <v>0</v>
      </c>
      <c r="P368" t="n">
        <v>0</v>
      </c>
      <c r="Q368" t="n">
        <v>0</v>
      </c>
      <c r="R368" s="2" t="inlineStr"/>
    </row>
    <row r="369" ht="15" customHeight="1">
      <c r="A369" t="inlineStr">
        <is>
          <t>A 39764-2022</t>
        </is>
      </c>
      <c r="B369" s="1" t="n">
        <v>44819</v>
      </c>
      <c r="C369" s="1" t="n">
        <v>45888</v>
      </c>
      <c r="D369" t="inlineStr">
        <is>
          <t>GOTLANDS LÄN</t>
        </is>
      </c>
      <c r="E369" t="inlineStr">
        <is>
          <t>GOTLAND</t>
        </is>
      </c>
      <c r="F369" t="inlineStr">
        <is>
          <t>Kyrkan</t>
        </is>
      </c>
      <c r="G369" t="n">
        <v>3.7</v>
      </c>
      <c r="H369" t="n">
        <v>0</v>
      </c>
      <c r="I369" t="n">
        <v>0</v>
      </c>
      <c r="J369" t="n">
        <v>0</v>
      </c>
      <c r="K369" t="n">
        <v>0</v>
      </c>
      <c r="L369" t="n">
        <v>0</v>
      </c>
      <c r="M369" t="n">
        <v>0</v>
      </c>
      <c r="N369" t="n">
        <v>0</v>
      </c>
      <c r="O369" t="n">
        <v>0</v>
      </c>
      <c r="P369" t="n">
        <v>0</v>
      </c>
      <c r="Q369" t="n">
        <v>0</v>
      </c>
      <c r="R369" s="2" t="inlineStr"/>
    </row>
    <row r="370" ht="15" customHeight="1">
      <c r="A370" t="inlineStr">
        <is>
          <t>A 6099-2024</t>
        </is>
      </c>
      <c r="B370" s="1" t="n">
        <v>45337</v>
      </c>
      <c r="C370" s="1" t="n">
        <v>45888</v>
      </c>
      <c r="D370" t="inlineStr">
        <is>
          <t>GOTLANDS LÄN</t>
        </is>
      </c>
      <c r="E370" t="inlineStr">
        <is>
          <t>GOTLAND</t>
        </is>
      </c>
      <c r="G370" t="n">
        <v>12.6</v>
      </c>
      <c r="H370" t="n">
        <v>0</v>
      </c>
      <c r="I370" t="n">
        <v>0</v>
      </c>
      <c r="J370" t="n">
        <v>0</v>
      </c>
      <c r="K370" t="n">
        <v>0</v>
      </c>
      <c r="L370" t="n">
        <v>0</v>
      </c>
      <c r="M370" t="n">
        <v>0</v>
      </c>
      <c r="N370" t="n">
        <v>0</v>
      </c>
      <c r="O370" t="n">
        <v>0</v>
      </c>
      <c r="P370" t="n">
        <v>0</v>
      </c>
      <c r="Q370" t="n">
        <v>0</v>
      </c>
      <c r="R370" s="2" t="inlineStr"/>
    </row>
    <row r="371" ht="15" customHeight="1">
      <c r="A371" t="inlineStr">
        <is>
          <t>A 8260-2023</t>
        </is>
      </c>
      <c r="B371" s="1" t="n">
        <v>44974.61608796296</v>
      </c>
      <c r="C371" s="1" t="n">
        <v>45888</v>
      </c>
      <c r="D371" t="inlineStr">
        <is>
          <t>GOTLANDS LÄN</t>
        </is>
      </c>
      <c r="E371" t="inlineStr">
        <is>
          <t>GOTLAND</t>
        </is>
      </c>
      <c r="G371" t="n">
        <v>2.9</v>
      </c>
      <c r="H371" t="n">
        <v>0</v>
      </c>
      <c r="I371" t="n">
        <v>0</v>
      </c>
      <c r="J371" t="n">
        <v>0</v>
      </c>
      <c r="K371" t="n">
        <v>0</v>
      </c>
      <c r="L371" t="n">
        <v>0</v>
      </c>
      <c r="M371" t="n">
        <v>0</v>
      </c>
      <c r="N371" t="n">
        <v>0</v>
      </c>
      <c r="O371" t="n">
        <v>0</v>
      </c>
      <c r="P371" t="n">
        <v>0</v>
      </c>
      <c r="Q371" t="n">
        <v>0</v>
      </c>
      <c r="R371" s="2" t="inlineStr"/>
    </row>
    <row r="372" ht="15" customHeight="1">
      <c r="A372" t="inlineStr">
        <is>
          <t>A 21420-2024</t>
        </is>
      </c>
      <c r="B372" s="1" t="n">
        <v>45441.38293981482</v>
      </c>
      <c r="C372" s="1" t="n">
        <v>45888</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10656-2024</t>
        </is>
      </c>
      <c r="B373" s="1" t="n">
        <v>45368</v>
      </c>
      <c r="C373" s="1" t="n">
        <v>45888</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57356-2023</t>
        </is>
      </c>
      <c r="B374" s="1" t="n">
        <v>45240</v>
      </c>
      <c r="C374" s="1" t="n">
        <v>45888</v>
      </c>
      <c r="D374" t="inlineStr">
        <is>
          <t>GOTLANDS LÄN</t>
        </is>
      </c>
      <c r="E374" t="inlineStr">
        <is>
          <t>GOTLAND</t>
        </is>
      </c>
      <c r="G374" t="n">
        <v>6.4</v>
      </c>
      <c r="H374" t="n">
        <v>0</v>
      </c>
      <c r="I374" t="n">
        <v>0</v>
      </c>
      <c r="J374" t="n">
        <v>0</v>
      </c>
      <c r="K374" t="n">
        <v>0</v>
      </c>
      <c r="L374" t="n">
        <v>0</v>
      </c>
      <c r="M374" t="n">
        <v>0</v>
      </c>
      <c r="N374" t="n">
        <v>0</v>
      </c>
      <c r="O374" t="n">
        <v>0</v>
      </c>
      <c r="P374" t="n">
        <v>0</v>
      </c>
      <c r="Q374" t="n">
        <v>0</v>
      </c>
      <c r="R374" s="2" t="inlineStr"/>
    </row>
    <row r="375" ht="15" customHeight="1">
      <c r="A375" t="inlineStr">
        <is>
          <t>A 22287-2022</t>
        </is>
      </c>
      <c r="B375" s="1" t="n">
        <v>44712</v>
      </c>
      <c r="C375" s="1" t="n">
        <v>45888</v>
      </c>
      <c r="D375" t="inlineStr">
        <is>
          <t>GOTLANDS LÄN</t>
        </is>
      </c>
      <c r="E375" t="inlineStr">
        <is>
          <t>GOTLAND</t>
        </is>
      </c>
      <c r="G375" t="n">
        <v>6.1</v>
      </c>
      <c r="H375" t="n">
        <v>0</v>
      </c>
      <c r="I375" t="n">
        <v>0</v>
      </c>
      <c r="J375" t="n">
        <v>0</v>
      </c>
      <c r="K375" t="n">
        <v>0</v>
      </c>
      <c r="L375" t="n">
        <v>0</v>
      </c>
      <c r="M375" t="n">
        <v>0</v>
      </c>
      <c r="N375" t="n">
        <v>0</v>
      </c>
      <c r="O375" t="n">
        <v>0</v>
      </c>
      <c r="P375" t="n">
        <v>0</v>
      </c>
      <c r="Q375" t="n">
        <v>0</v>
      </c>
      <c r="R375" s="2" t="inlineStr"/>
    </row>
    <row r="376" ht="15" customHeight="1">
      <c r="A376" t="inlineStr">
        <is>
          <t>A 28506-2023</t>
        </is>
      </c>
      <c r="B376" s="1" t="n">
        <v>45103</v>
      </c>
      <c r="C376" s="1" t="n">
        <v>45888</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18914-2025</t>
        </is>
      </c>
      <c r="B377" s="1" t="n">
        <v>45764.46783564815</v>
      </c>
      <c r="C377" s="1" t="n">
        <v>45888</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17343-2025</t>
        </is>
      </c>
      <c r="B378" s="1" t="n">
        <v>45756.6687037037</v>
      </c>
      <c r="C378" s="1" t="n">
        <v>45888</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57534-2022</t>
        </is>
      </c>
      <c r="B379" s="1" t="n">
        <v>44896</v>
      </c>
      <c r="C379" s="1" t="n">
        <v>45888</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17780-2022</t>
        </is>
      </c>
      <c r="B380" s="1" t="n">
        <v>44682.82622685185</v>
      </c>
      <c r="C380" s="1" t="n">
        <v>45888</v>
      </c>
      <c r="D380" t="inlineStr">
        <is>
          <t>GOTLANDS LÄN</t>
        </is>
      </c>
      <c r="E380" t="inlineStr">
        <is>
          <t>GOTLAND</t>
        </is>
      </c>
      <c r="G380" t="n">
        <v>2.2</v>
      </c>
      <c r="H380" t="n">
        <v>0</v>
      </c>
      <c r="I380" t="n">
        <v>0</v>
      </c>
      <c r="J380" t="n">
        <v>0</v>
      </c>
      <c r="K380" t="n">
        <v>0</v>
      </c>
      <c r="L380" t="n">
        <v>0</v>
      </c>
      <c r="M380" t="n">
        <v>0</v>
      </c>
      <c r="N380" t="n">
        <v>0</v>
      </c>
      <c r="O380" t="n">
        <v>0</v>
      </c>
      <c r="P380" t="n">
        <v>0</v>
      </c>
      <c r="Q380" t="n">
        <v>0</v>
      </c>
      <c r="R380" s="2" t="inlineStr"/>
    </row>
    <row r="381" ht="15" customHeight="1">
      <c r="A381" t="inlineStr">
        <is>
          <t>A 63516-2023</t>
        </is>
      </c>
      <c r="B381" s="1" t="n">
        <v>45274</v>
      </c>
      <c r="C381" s="1" t="n">
        <v>45888</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23188-2025</t>
        </is>
      </c>
      <c r="B382" s="1" t="n">
        <v>45791</v>
      </c>
      <c r="C382" s="1" t="n">
        <v>45888</v>
      </c>
      <c r="D382" t="inlineStr">
        <is>
          <t>GOTLANDS LÄN</t>
        </is>
      </c>
      <c r="E382" t="inlineStr">
        <is>
          <t>GOTLAND</t>
        </is>
      </c>
      <c r="G382" t="n">
        <v>6.2</v>
      </c>
      <c r="H382" t="n">
        <v>0</v>
      </c>
      <c r="I382" t="n">
        <v>0</v>
      </c>
      <c r="J382" t="n">
        <v>0</v>
      </c>
      <c r="K382" t="n">
        <v>0</v>
      </c>
      <c r="L382" t="n">
        <v>0</v>
      </c>
      <c r="M382" t="n">
        <v>0</v>
      </c>
      <c r="N382" t="n">
        <v>0</v>
      </c>
      <c r="O382" t="n">
        <v>0</v>
      </c>
      <c r="P382" t="n">
        <v>0</v>
      </c>
      <c r="Q382" t="n">
        <v>0</v>
      </c>
      <c r="R382" s="2" t="inlineStr"/>
    </row>
    <row r="383" ht="15" customHeight="1">
      <c r="A383" t="inlineStr">
        <is>
          <t>A 53935-2024</t>
        </is>
      </c>
      <c r="B383" s="1" t="n">
        <v>45615</v>
      </c>
      <c r="C383" s="1" t="n">
        <v>45888</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18938-2025</t>
        </is>
      </c>
      <c r="B384" s="1" t="n">
        <v>45764.49172453704</v>
      </c>
      <c r="C384" s="1" t="n">
        <v>45888</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69112-2021</t>
        </is>
      </c>
      <c r="B385" s="1" t="n">
        <v>44530</v>
      </c>
      <c r="C385" s="1" t="n">
        <v>45888</v>
      </c>
      <c r="D385" t="inlineStr">
        <is>
          <t>GOTLANDS LÄN</t>
        </is>
      </c>
      <c r="E385" t="inlineStr">
        <is>
          <t>GOTLAND</t>
        </is>
      </c>
      <c r="G385" t="n">
        <v>4.2</v>
      </c>
      <c r="H385" t="n">
        <v>0</v>
      </c>
      <c r="I385" t="n">
        <v>0</v>
      </c>
      <c r="J385" t="n">
        <v>0</v>
      </c>
      <c r="K385" t="n">
        <v>0</v>
      </c>
      <c r="L385" t="n">
        <v>0</v>
      </c>
      <c r="M385" t="n">
        <v>0</v>
      </c>
      <c r="N385" t="n">
        <v>0</v>
      </c>
      <c r="O385" t="n">
        <v>0</v>
      </c>
      <c r="P385" t="n">
        <v>0</v>
      </c>
      <c r="Q385" t="n">
        <v>0</v>
      </c>
      <c r="R385" s="2" t="inlineStr"/>
    </row>
    <row r="386" ht="15" customHeight="1">
      <c r="A386" t="inlineStr">
        <is>
          <t>A 48734-2022</t>
        </is>
      </c>
      <c r="B386" s="1" t="n">
        <v>44855</v>
      </c>
      <c r="C386" s="1" t="n">
        <v>45888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23516-2023</t>
        </is>
      </c>
      <c r="B387" s="1" t="n">
        <v>45076.93391203704</v>
      </c>
      <c r="C387" s="1" t="n">
        <v>45888</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43231-2023</t>
        </is>
      </c>
      <c r="B388" s="1" t="n">
        <v>45183.47025462963</v>
      </c>
      <c r="C388" s="1" t="n">
        <v>45888</v>
      </c>
      <c r="D388" t="inlineStr">
        <is>
          <t>GOTLANDS LÄN</t>
        </is>
      </c>
      <c r="E388" t="inlineStr">
        <is>
          <t>GOTLAND</t>
        </is>
      </c>
      <c r="G388" t="n">
        <v>3.6</v>
      </c>
      <c r="H388" t="n">
        <v>0</v>
      </c>
      <c r="I388" t="n">
        <v>0</v>
      </c>
      <c r="J388" t="n">
        <v>0</v>
      </c>
      <c r="K388" t="n">
        <v>0</v>
      </c>
      <c r="L388" t="n">
        <v>0</v>
      </c>
      <c r="M388" t="n">
        <v>0</v>
      </c>
      <c r="N388" t="n">
        <v>0</v>
      </c>
      <c r="O388" t="n">
        <v>0</v>
      </c>
      <c r="P388" t="n">
        <v>0</v>
      </c>
      <c r="Q388" t="n">
        <v>0</v>
      </c>
      <c r="R388" s="2" t="inlineStr"/>
    </row>
    <row r="389" ht="15" customHeight="1">
      <c r="A389" t="inlineStr">
        <is>
          <t>A 64660-2023</t>
        </is>
      </c>
      <c r="B389" s="1" t="n">
        <v>45281.60122685185</v>
      </c>
      <c r="C389" s="1" t="n">
        <v>45888</v>
      </c>
      <c r="D389" t="inlineStr">
        <is>
          <t>GOTLANDS LÄN</t>
        </is>
      </c>
      <c r="E389" t="inlineStr">
        <is>
          <t>GOTLAND</t>
        </is>
      </c>
      <c r="G389" t="n">
        <v>6.3</v>
      </c>
      <c r="H389" t="n">
        <v>0</v>
      </c>
      <c r="I389" t="n">
        <v>0</v>
      </c>
      <c r="J389" t="n">
        <v>0</v>
      </c>
      <c r="K389" t="n">
        <v>0</v>
      </c>
      <c r="L389" t="n">
        <v>0</v>
      </c>
      <c r="M389" t="n">
        <v>0</v>
      </c>
      <c r="N389" t="n">
        <v>0</v>
      </c>
      <c r="O389" t="n">
        <v>0</v>
      </c>
      <c r="P389" t="n">
        <v>0</v>
      </c>
      <c r="Q389" t="n">
        <v>0</v>
      </c>
      <c r="R389" s="2" t="inlineStr"/>
    </row>
    <row r="390" ht="15" customHeight="1">
      <c r="A390" t="inlineStr">
        <is>
          <t>A 23856-2025</t>
        </is>
      </c>
      <c r="B390" s="1" t="n">
        <v>45793</v>
      </c>
      <c r="C390" s="1" t="n">
        <v>45888</v>
      </c>
      <c r="D390" t="inlineStr">
        <is>
          <t>GOTLANDS LÄN</t>
        </is>
      </c>
      <c r="E390" t="inlineStr">
        <is>
          <t>GOTLAND</t>
        </is>
      </c>
      <c r="G390" t="n">
        <v>4.4</v>
      </c>
      <c r="H390" t="n">
        <v>0</v>
      </c>
      <c r="I390" t="n">
        <v>0</v>
      </c>
      <c r="J390" t="n">
        <v>0</v>
      </c>
      <c r="K390" t="n">
        <v>0</v>
      </c>
      <c r="L390" t="n">
        <v>0</v>
      </c>
      <c r="M390" t="n">
        <v>0</v>
      </c>
      <c r="N390" t="n">
        <v>0</v>
      </c>
      <c r="O390" t="n">
        <v>0</v>
      </c>
      <c r="P390" t="n">
        <v>0</v>
      </c>
      <c r="Q390" t="n">
        <v>0</v>
      </c>
      <c r="R390" s="2" t="inlineStr"/>
    </row>
    <row r="391" ht="15" customHeight="1">
      <c r="A391" t="inlineStr">
        <is>
          <t>A 58230-2024</t>
        </is>
      </c>
      <c r="B391" s="1" t="n">
        <v>45632.51625</v>
      </c>
      <c r="C391" s="1" t="n">
        <v>45888</v>
      </c>
      <c r="D391" t="inlineStr">
        <is>
          <t>GOTLANDS LÄN</t>
        </is>
      </c>
      <c r="E391" t="inlineStr">
        <is>
          <t>GOTLAND</t>
        </is>
      </c>
      <c r="G391" t="n">
        <v>7.3</v>
      </c>
      <c r="H391" t="n">
        <v>0</v>
      </c>
      <c r="I391" t="n">
        <v>0</v>
      </c>
      <c r="J391" t="n">
        <v>0</v>
      </c>
      <c r="K391" t="n">
        <v>0</v>
      </c>
      <c r="L391" t="n">
        <v>0</v>
      </c>
      <c r="M391" t="n">
        <v>0</v>
      </c>
      <c r="N391" t="n">
        <v>0</v>
      </c>
      <c r="O391" t="n">
        <v>0</v>
      </c>
      <c r="P391" t="n">
        <v>0</v>
      </c>
      <c r="Q391" t="n">
        <v>0</v>
      </c>
      <c r="R391" s="2" t="inlineStr"/>
    </row>
    <row r="392" ht="15" customHeight="1">
      <c r="A392" t="inlineStr">
        <is>
          <t>A 23473-2025</t>
        </is>
      </c>
      <c r="B392" s="1" t="n">
        <v>45792</v>
      </c>
      <c r="C392" s="1" t="n">
        <v>45888</v>
      </c>
      <c r="D392" t="inlineStr">
        <is>
          <t>GOTLANDS LÄN</t>
        </is>
      </c>
      <c r="E392" t="inlineStr">
        <is>
          <t>GOTLAND</t>
        </is>
      </c>
      <c r="G392" t="n">
        <v>3.6</v>
      </c>
      <c r="H392" t="n">
        <v>0</v>
      </c>
      <c r="I392" t="n">
        <v>0</v>
      </c>
      <c r="J392" t="n">
        <v>0</v>
      </c>
      <c r="K392" t="n">
        <v>0</v>
      </c>
      <c r="L392" t="n">
        <v>0</v>
      </c>
      <c r="M392" t="n">
        <v>0</v>
      </c>
      <c r="N392" t="n">
        <v>0</v>
      </c>
      <c r="O392" t="n">
        <v>0</v>
      </c>
      <c r="P392" t="n">
        <v>0</v>
      </c>
      <c r="Q392" t="n">
        <v>0</v>
      </c>
      <c r="R392" s="2" t="inlineStr"/>
    </row>
    <row r="393" ht="15" customHeight="1">
      <c r="A393" t="inlineStr">
        <is>
          <t>A 64555-2023</t>
        </is>
      </c>
      <c r="B393" s="1" t="n">
        <v>45281</v>
      </c>
      <c r="C393" s="1" t="n">
        <v>45888</v>
      </c>
      <c r="D393" t="inlineStr">
        <is>
          <t>GOTLANDS LÄN</t>
        </is>
      </c>
      <c r="E393" t="inlineStr">
        <is>
          <t>GOTLAND</t>
        </is>
      </c>
      <c r="G393" t="n">
        <v>3.5</v>
      </c>
      <c r="H393" t="n">
        <v>0</v>
      </c>
      <c r="I393" t="n">
        <v>0</v>
      </c>
      <c r="J393" t="n">
        <v>0</v>
      </c>
      <c r="K393" t="n">
        <v>0</v>
      </c>
      <c r="L393" t="n">
        <v>0</v>
      </c>
      <c r="M393" t="n">
        <v>0</v>
      </c>
      <c r="N393" t="n">
        <v>0</v>
      </c>
      <c r="O393" t="n">
        <v>0</v>
      </c>
      <c r="P393" t="n">
        <v>0</v>
      </c>
      <c r="Q393" t="n">
        <v>0</v>
      </c>
      <c r="R393" s="2" t="inlineStr"/>
    </row>
    <row r="394" ht="15" customHeight="1">
      <c r="A394" t="inlineStr">
        <is>
          <t>A 23698-2025</t>
        </is>
      </c>
      <c r="B394" s="1" t="n">
        <v>45793</v>
      </c>
      <c r="C394" s="1" t="n">
        <v>45888</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23700-2025</t>
        </is>
      </c>
      <c r="B395" s="1" t="n">
        <v>45793</v>
      </c>
      <c r="C395" s="1" t="n">
        <v>45888</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15073-2025</t>
        </is>
      </c>
      <c r="B396" s="1" t="n">
        <v>45743</v>
      </c>
      <c r="C396" s="1" t="n">
        <v>45888</v>
      </c>
      <c r="D396" t="inlineStr">
        <is>
          <t>GOTLANDS LÄN</t>
        </is>
      </c>
      <c r="E396" t="inlineStr">
        <is>
          <t>GOTLAND</t>
        </is>
      </c>
      <c r="G396" t="n">
        <v>12.1</v>
      </c>
      <c r="H396" t="n">
        <v>0</v>
      </c>
      <c r="I396" t="n">
        <v>0</v>
      </c>
      <c r="J396" t="n">
        <v>0</v>
      </c>
      <c r="K396" t="n">
        <v>0</v>
      </c>
      <c r="L396" t="n">
        <v>0</v>
      </c>
      <c r="M396" t="n">
        <v>0</v>
      </c>
      <c r="N396" t="n">
        <v>0</v>
      </c>
      <c r="O396" t="n">
        <v>0</v>
      </c>
      <c r="P396" t="n">
        <v>0</v>
      </c>
      <c r="Q396" t="n">
        <v>0</v>
      </c>
      <c r="R396" s="2" t="inlineStr"/>
    </row>
    <row r="397" ht="15" customHeight="1">
      <c r="A397" t="inlineStr">
        <is>
          <t>A 15075-2025</t>
        </is>
      </c>
      <c r="B397" s="1" t="n">
        <v>45743</v>
      </c>
      <c r="C397" s="1" t="n">
        <v>45888</v>
      </c>
      <c r="D397" t="inlineStr">
        <is>
          <t>GOTLANDS LÄN</t>
        </is>
      </c>
      <c r="E397" t="inlineStr">
        <is>
          <t>GOTLAND</t>
        </is>
      </c>
      <c r="G397" t="n">
        <v>20.9</v>
      </c>
      <c r="H397" t="n">
        <v>0</v>
      </c>
      <c r="I397" t="n">
        <v>0</v>
      </c>
      <c r="J397" t="n">
        <v>0</v>
      </c>
      <c r="K397" t="n">
        <v>0</v>
      </c>
      <c r="L397" t="n">
        <v>0</v>
      </c>
      <c r="M397" t="n">
        <v>0</v>
      </c>
      <c r="N397" t="n">
        <v>0</v>
      </c>
      <c r="O397" t="n">
        <v>0</v>
      </c>
      <c r="P397" t="n">
        <v>0</v>
      </c>
      <c r="Q397" t="n">
        <v>0</v>
      </c>
      <c r="R397" s="2" t="inlineStr"/>
    </row>
    <row r="398" ht="15" customHeight="1">
      <c r="A398" t="inlineStr">
        <is>
          <t>A 457-2023</t>
        </is>
      </c>
      <c r="B398" s="1" t="n">
        <v>44929.87238425926</v>
      </c>
      <c r="C398" s="1" t="n">
        <v>45888</v>
      </c>
      <c r="D398" t="inlineStr">
        <is>
          <t>GOTLANDS LÄN</t>
        </is>
      </c>
      <c r="E398" t="inlineStr">
        <is>
          <t>GOTLAND</t>
        </is>
      </c>
      <c r="G398" t="n">
        <v>2.4</v>
      </c>
      <c r="H398" t="n">
        <v>0</v>
      </c>
      <c r="I398" t="n">
        <v>0</v>
      </c>
      <c r="J398" t="n">
        <v>0</v>
      </c>
      <c r="K398" t="n">
        <v>0</v>
      </c>
      <c r="L398" t="n">
        <v>0</v>
      </c>
      <c r="M398" t="n">
        <v>0</v>
      </c>
      <c r="N398" t="n">
        <v>0</v>
      </c>
      <c r="O398" t="n">
        <v>0</v>
      </c>
      <c r="P398" t="n">
        <v>0</v>
      </c>
      <c r="Q398" t="n">
        <v>0</v>
      </c>
      <c r="R398" s="2" t="inlineStr"/>
    </row>
    <row r="399" ht="15" customHeight="1">
      <c r="A399" t="inlineStr">
        <is>
          <t>A 459-2023</t>
        </is>
      </c>
      <c r="B399" s="1" t="n">
        <v>44929.87423611111</v>
      </c>
      <c r="C399" s="1" t="n">
        <v>45888</v>
      </c>
      <c r="D399" t="inlineStr">
        <is>
          <t>GOTLANDS LÄN</t>
        </is>
      </c>
      <c r="E399" t="inlineStr">
        <is>
          <t>GOTLAND</t>
        </is>
      </c>
      <c r="G399" t="n">
        <v>4.2</v>
      </c>
      <c r="H399" t="n">
        <v>0</v>
      </c>
      <c r="I399" t="n">
        <v>0</v>
      </c>
      <c r="J399" t="n">
        <v>0</v>
      </c>
      <c r="K399" t="n">
        <v>0</v>
      </c>
      <c r="L399" t="n">
        <v>0</v>
      </c>
      <c r="M399" t="n">
        <v>0</v>
      </c>
      <c r="N399" t="n">
        <v>0</v>
      </c>
      <c r="O399" t="n">
        <v>0</v>
      </c>
      <c r="P399" t="n">
        <v>0</v>
      </c>
      <c r="Q399" t="n">
        <v>0</v>
      </c>
      <c r="R399" s="2" t="inlineStr"/>
    </row>
    <row r="400" ht="15" customHeight="1">
      <c r="A400" t="inlineStr">
        <is>
          <t>A 15413-2025</t>
        </is>
      </c>
      <c r="B400" s="1" t="n">
        <v>45747.451875</v>
      </c>
      <c r="C400" s="1" t="n">
        <v>45888</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6796-2025</t>
        </is>
      </c>
      <c r="B401" s="1" t="n">
        <v>45700.66559027778</v>
      </c>
      <c r="C401" s="1" t="n">
        <v>45888</v>
      </c>
      <c r="D401" t="inlineStr">
        <is>
          <t>GOTLANDS LÄN</t>
        </is>
      </c>
      <c r="E401" t="inlineStr">
        <is>
          <t>GOTLAND</t>
        </is>
      </c>
      <c r="G401" t="n">
        <v>2.1</v>
      </c>
      <c r="H401" t="n">
        <v>0</v>
      </c>
      <c r="I401" t="n">
        <v>0</v>
      </c>
      <c r="J401" t="n">
        <v>0</v>
      </c>
      <c r="K401" t="n">
        <v>0</v>
      </c>
      <c r="L401" t="n">
        <v>0</v>
      </c>
      <c r="M401" t="n">
        <v>0</v>
      </c>
      <c r="N401" t="n">
        <v>0</v>
      </c>
      <c r="O401" t="n">
        <v>0</v>
      </c>
      <c r="P401" t="n">
        <v>0</v>
      </c>
      <c r="Q401" t="n">
        <v>0</v>
      </c>
      <c r="R401" s="2" t="inlineStr"/>
    </row>
    <row r="402" ht="15" customHeight="1">
      <c r="A402" t="inlineStr">
        <is>
          <t>A 876-2024</t>
        </is>
      </c>
      <c r="B402" s="1" t="n">
        <v>45301</v>
      </c>
      <c r="C402" s="1" t="n">
        <v>45888</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32669-2024</t>
        </is>
      </c>
      <c r="B403" s="1" t="n">
        <v>45514</v>
      </c>
      <c r="C403" s="1" t="n">
        <v>45888</v>
      </c>
      <c r="D403" t="inlineStr">
        <is>
          <t>GOTLANDS LÄN</t>
        </is>
      </c>
      <c r="E403" t="inlineStr">
        <is>
          <t>GOTLAND</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26891-2024</t>
        </is>
      </c>
      <c r="B404" s="1" t="n">
        <v>45470.65540509259</v>
      </c>
      <c r="C404" s="1" t="n">
        <v>45888</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14536-2021</t>
        </is>
      </c>
      <c r="B405" s="1" t="n">
        <v>44279.66168981481</v>
      </c>
      <c r="C405" s="1" t="n">
        <v>45888</v>
      </c>
      <c r="D405" t="inlineStr">
        <is>
          <t>GOTLANDS LÄN</t>
        </is>
      </c>
      <c r="E405" t="inlineStr">
        <is>
          <t>GOTLAND</t>
        </is>
      </c>
      <c r="G405" t="n">
        <v>8.5</v>
      </c>
      <c r="H405" t="n">
        <v>0</v>
      </c>
      <c r="I405" t="n">
        <v>0</v>
      </c>
      <c r="J405" t="n">
        <v>0</v>
      </c>
      <c r="K405" t="n">
        <v>0</v>
      </c>
      <c r="L405" t="n">
        <v>0</v>
      </c>
      <c r="M405" t="n">
        <v>0</v>
      </c>
      <c r="N405" t="n">
        <v>0</v>
      </c>
      <c r="O405" t="n">
        <v>0</v>
      </c>
      <c r="P405" t="n">
        <v>0</v>
      </c>
      <c r="Q405" t="n">
        <v>0</v>
      </c>
      <c r="R405" s="2" t="inlineStr"/>
    </row>
    <row r="406" ht="15" customHeight="1">
      <c r="A406" t="inlineStr">
        <is>
          <t>A 5923-2023</t>
        </is>
      </c>
      <c r="B406" s="1" t="n">
        <v>44963.69503472222</v>
      </c>
      <c r="C406" s="1" t="n">
        <v>45888</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50482-2024</t>
        </is>
      </c>
      <c r="B407" s="1" t="n">
        <v>45601.48114583334</v>
      </c>
      <c r="C407" s="1" t="n">
        <v>45888</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20855-2023</t>
        </is>
      </c>
      <c r="B408" s="1" t="n">
        <v>45058.82172453704</v>
      </c>
      <c r="C408" s="1" t="n">
        <v>45888</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5943-2024</t>
        </is>
      </c>
      <c r="B409" s="1" t="n">
        <v>45336</v>
      </c>
      <c r="C409" s="1" t="n">
        <v>45888</v>
      </c>
      <c r="D409" t="inlineStr">
        <is>
          <t>GOTLANDS LÄN</t>
        </is>
      </c>
      <c r="E409" t="inlineStr">
        <is>
          <t>GOTLAND</t>
        </is>
      </c>
      <c r="G409" t="n">
        <v>4.3</v>
      </c>
      <c r="H409" t="n">
        <v>0</v>
      </c>
      <c r="I409" t="n">
        <v>0</v>
      </c>
      <c r="J409" t="n">
        <v>0</v>
      </c>
      <c r="K409" t="n">
        <v>0</v>
      </c>
      <c r="L409" t="n">
        <v>0</v>
      </c>
      <c r="M409" t="n">
        <v>0</v>
      </c>
      <c r="N409" t="n">
        <v>0</v>
      </c>
      <c r="O409" t="n">
        <v>0</v>
      </c>
      <c r="P409" t="n">
        <v>0</v>
      </c>
      <c r="Q409" t="n">
        <v>0</v>
      </c>
      <c r="R409" s="2" t="inlineStr"/>
    </row>
    <row r="410" ht="15" customHeight="1">
      <c r="A410" t="inlineStr">
        <is>
          <t>A 38234-2023</t>
        </is>
      </c>
      <c r="B410" s="1" t="n">
        <v>45161.56663194444</v>
      </c>
      <c r="C410" s="1" t="n">
        <v>45888</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1273-2023</t>
        </is>
      </c>
      <c r="B411" s="1" t="n">
        <v>44936</v>
      </c>
      <c r="C411" s="1" t="n">
        <v>45888</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60709-2023</t>
        </is>
      </c>
      <c r="B412" s="1" t="n">
        <v>45260</v>
      </c>
      <c r="C412" s="1" t="n">
        <v>45888</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1000-2024</t>
        </is>
      </c>
      <c r="B413" s="1" t="n">
        <v>45301.63371527778</v>
      </c>
      <c r="C413" s="1" t="n">
        <v>45888</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1010-2024</t>
        </is>
      </c>
      <c r="B414" s="1" t="n">
        <v>45301</v>
      </c>
      <c r="C414" s="1" t="n">
        <v>45888</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65249-2023</t>
        </is>
      </c>
      <c r="B415" s="1" t="n">
        <v>45290</v>
      </c>
      <c r="C415" s="1" t="n">
        <v>45888</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30956-2024</t>
        </is>
      </c>
      <c r="B416" s="1" t="n">
        <v>45499.42527777778</v>
      </c>
      <c r="C416" s="1" t="n">
        <v>45888</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6749-2025</t>
        </is>
      </c>
      <c r="B417" s="1" t="n">
        <v>45700</v>
      </c>
      <c r="C417" s="1" t="n">
        <v>45888</v>
      </c>
      <c r="D417" t="inlineStr">
        <is>
          <t>GOTLANDS LÄN</t>
        </is>
      </c>
      <c r="E417" t="inlineStr">
        <is>
          <t>GOTLAND</t>
        </is>
      </c>
      <c r="G417" t="n">
        <v>4.5</v>
      </c>
      <c r="H417" t="n">
        <v>0</v>
      </c>
      <c r="I417" t="n">
        <v>0</v>
      </c>
      <c r="J417" t="n">
        <v>0</v>
      </c>
      <c r="K417" t="n">
        <v>0</v>
      </c>
      <c r="L417" t="n">
        <v>0</v>
      </c>
      <c r="M417" t="n">
        <v>0</v>
      </c>
      <c r="N417" t="n">
        <v>0</v>
      </c>
      <c r="O417" t="n">
        <v>0</v>
      </c>
      <c r="P417" t="n">
        <v>0</v>
      </c>
      <c r="Q417" t="n">
        <v>0</v>
      </c>
      <c r="R417" s="2" t="inlineStr"/>
    </row>
    <row r="418" ht="15" customHeight="1">
      <c r="A418" t="inlineStr">
        <is>
          <t>A 17724-2024</t>
        </is>
      </c>
      <c r="B418" s="1" t="n">
        <v>45418.55096064815</v>
      </c>
      <c r="C418" s="1" t="n">
        <v>45888</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12596-2023</t>
        </is>
      </c>
      <c r="B419" s="1" t="n">
        <v>45000.43310185185</v>
      </c>
      <c r="C419" s="1" t="n">
        <v>45888</v>
      </c>
      <c r="D419" t="inlineStr">
        <is>
          <t>GOTLANDS LÄN</t>
        </is>
      </c>
      <c r="E419" t="inlineStr">
        <is>
          <t>GOTLAND</t>
        </is>
      </c>
      <c r="G419" t="n">
        <v>4.1</v>
      </c>
      <c r="H419" t="n">
        <v>0</v>
      </c>
      <c r="I419" t="n">
        <v>0</v>
      </c>
      <c r="J419" t="n">
        <v>0</v>
      </c>
      <c r="K419" t="n">
        <v>0</v>
      </c>
      <c r="L419" t="n">
        <v>0</v>
      </c>
      <c r="M419" t="n">
        <v>0</v>
      </c>
      <c r="N419" t="n">
        <v>0</v>
      </c>
      <c r="O419" t="n">
        <v>0</v>
      </c>
      <c r="P419" t="n">
        <v>0</v>
      </c>
      <c r="Q419" t="n">
        <v>0</v>
      </c>
      <c r="R419" s="2" t="inlineStr"/>
    </row>
    <row r="420" ht="15" customHeight="1">
      <c r="A420" t="inlineStr">
        <is>
          <t>A 8045-2022</t>
        </is>
      </c>
      <c r="B420" s="1" t="n">
        <v>44609</v>
      </c>
      <c r="C420" s="1" t="n">
        <v>45888</v>
      </c>
      <c r="D420" t="inlineStr">
        <is>
          <t>GOTLANDS LÄN</t>
        </is>
      </c>
      <c r="E420" t="inlineStr">
        <is>
          <t>GOTLAND</t>
        </is>
      </c>
      <c r="G420" t="n">
        <v>7</v>
      </c>
      <c r="H420" t="n">
        <v>0</v>
      </c>
      <c r="I420" t="n">
        <v>0</v>
      </c>
      <c r="J420" t="n">
        <v>0</v>
      </c>
      <c r="K420" t="n">
        <v>0</v>
      </c>
      <c r="L420" t="n">
        <v>0</v>
      </c>
      <c r="M420" t="n">
        <v>0</v>
      </c>
      <c r="N420" t="n">
        <v>0</v>
      </c>
      <c r="O420" t="n">
        <v>0</v>
      </c>
      <c r="P420" t="n">
        <v>0</v>
      </c>
      <c r="Q420" t="n">
        <v>0</v>
      </c>
      <c r="R420" s="2" t="inlineStr"/>
    </row>
    <row r="421" ht="15" customHeight="1">
      <c r="A421" t="inlineStr">
        <is>
          <t>A 23978-2023</t>
        </is>
      </c>
      <c r="B421" s="1" t="n">
        <v>45078</v>
      </c>
      <c r="C421" s="1" t="n">
        <v>45888</v>
      </c>
      <c r="D421" t="inlineStr">
        <is>
          <t>GOTLANDS LÄN</t>
        </is>
      </c>
      <c r="E421" t="inlineStr">
        <is>
          <t>GOTLAND</t>
        </is>
      </c>
      <c r="F421" t="inlineStr">
        <is>
          <t>Naturvårdsverket</t>
        </is>
      </c>
      <c r="G421" t="n">
        <v>1.7</v>
      </c>
      <c r="H421" t="n">
        <v>0</v>
      </c>
      <c r="I421" t="n">
        <v>0</v>
      </c>
      <c r="J421" t="n">
        <v>0</v>
      </c>
      <c r="K421" t="n">
        <v>0</v>
      </c>
      <c r="L421" t="n">
        <v>0</v>
      </c>
      <c r="M421" t="n">
        <v>0</v>
      </c>
      <c r="N421" t="n">
        <v>0</v>
      </c>
      <c r="O421" t="n">
        <v>0</v>
      </c>
      <c r="P421" t="n">
        <v>0</v>
      </c>
      <c r="Q421" t="n">
        <v>0</v>
      </c>
      <c r="R421" s="2" t="inlineStr"/>
    </row>
    <row r="422" ht="15" customHeight="1">
      <c r="A422" t="inlineStr">
        <is>
          <t>A 49884-2023</t>
        </is>
      </c>
      <c r="B422" s="1" t="n">
        <v>45213</v>
      </c>
      <c r="C422" s="1" t="n">
        <v>45888</v>
      </c>
      <c r="D422" t="inlineStr">
        <is>
          <t>GOTLANDS LÄN</t>
        </is>
      </c>
      <c r="E422" t="inlineStr">
        <is>
          <t>GOTLAND</t>
        </is>
      </c>
      <c r="G422" t="n">
        <v>8.9</v>
      </c>
      <c r="H422" t="n">
        <v>0</v>
      </c>
      <c r="I422" t="n">
        <v>0</v>
      </c>
      <c r="J422" t="n">
        <v>0</v>
      </c>
      <c r="K422" t="n">
        <v>0</v>
      </c>
      <c r="L422" t="n">
        <v>0</v>
      </c>
      <c r="M422" t="n">
        <v>0</v>
      </c>
      <c r="N422" t="n">
        <v>0</v>
      </c>
      <c r="O422" t="n">
        <v>0</v>
      </c>
      <c r="P422" t="n">
        <v>0</v>
      </c>
      <c r="Q422" t="n">
        <v>0</v>
      </c>
      <c r="R422" s="2" t="inlineStr"/>
    </row>
    <row r="423" ht="15" customHeight="1">
      <c r="A423" t="inlineStr">
        <is>
          <t>A 12846-2025</t>
        </is>
      </c>
      <c r="B423" s="1" t="n">
        <v>45733.65049768519</v>
      </c>
      <c r="C423" s="1" t="n">
        <v>45888</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43200-2023</t>
        </is>
      </c>
      <c r="B424" s="1" t="n">
        <v>45183</v>
      </c>
      <c r="C424" s="1" t="n">
        <v>45888</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5462-2025</t>
        </is>
      </c>
      <c r="B425" s="1" t="n">
        <v>45693.29331018519</v>
      </c>
      <c r="C425" s="1" t="n">
        <v>45888</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1477-2024</t>
        </is>
      </c>
      <c r="B426" s="1" t="n">
        <v>45305.37987268518</v>
      </c>
      <c r="C426" s="1" t="n">
        <v>45888</v>
      </c>
      <c r="D426" t="inlineStr">
        <is>
          <t>GOTLANDS LÄN</t>
        </is>
      </c>
      <c r="E426" t="inlineStr">
        <is>
          <t>GOTLAND</t>
        </is>
      </c>
      <c r="G426" t="n">
        <v>6.9</v>
      </c>
      <c r="H426" t="n">
        <v>0</v>
      </c>
      <c r="I426" t="n">
        <v>0</v>
      </c>
      <c r="J426" t="n">
        <v>0</v>
      </c>
      <c r="K426" t="n">
        <v>0</v>
      </c>
      <c r="L426" t="n">
        <v>0</v>
      </c>
      <c r="M426" t="n">
        <v>0</v>
      </c>
      <c r="N426" t="n">
        <v>0</v>
      </c>
      <c r="O426" t="n">
        <v>0</v>
      </c>
      <c r="P426" t="n">
        <v>0</v>
      </c>
      <c r="Q426" t="n">
        <v>0</v>
      </c>
      <c r="R426" s="2" t="inlineStr"/>
    </row>
    <row r="427" ht="15" customHeight="1">
      <c r="A427" t="inlineStr">
        <is>
          <t>A 3935-2025</t>
        </is>
      </c>
      <c r="B427" s="1" t="n">
        <v>45684.46070601852</v>
      </c>
      <c r="C427" s="1" t="n">
        <v>45888</v>
      </c>
      <c r="D427" t="inlineStr">
        <is>
          <t>GOTLANDS LÄN</t>
        </is>
      </c>
      <c r="E427" t="inlineStr">
        <is>
          <t>GOTLAND</t>
        </is>
      </c>
      <c r="G427" t="n">
        <v>2.6</v>
      </c>
      <c r="H427" t="n">
        <v>0</v>
      </c>
      <c r="I427" t="n">
        <v>0</v>
      </c>
      <c r="J427" t="n">
        <v>0</v>
      </c>
      <c r="K427" t="n">
        <v>0</v>
      </c>
      <c r="L427" t="n">
        <v>0</v>
      </c>
      <c r="M427" t="n">
        <v>0</v>
      </c>
      <c r="N427" t="n">
        <v>0</v>
      </c>
      <c r="O427" t="n">
        <v>0</v>
      </c>
      <c r="P427" t="n">
        <v>0</v>
      </c>
      <c r="Q427" t="n">
        <v>0</v>
      </c>
      <c r="R427" s="2" t="inlineStr"/>
    </row>
    <row r="428" ht="15" customHeight="1">
      <c r="A428" t="inlineStr">
        <is>
          <t>A 999-2024</t>
        </is>
      </c>
      <c r="B428" s="1" t="n">
        <v>45301</v>
      </c>
      <c r="C428" s="1" t="n">
        <v>45888</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65901-2021</t>
        </is>
      </c>
      <c r="B429" s="1" t="n">
        <v>44516</v>
      </c>
      <c r="C429" s="1" t="n">
        <v>45888</v>
      </c>
      <c r="D429" t="inlineStr">
        <is>
          <t>GOTLANDS LÄN</t>
        </is>
      </c>
      <c r="E429" t="inlineStr">
        <is>
          <t>GOTLAND</t>
        </is>
      </c>
      <c r="G429" t="n">
        <v>4.9</v>
      </c>
      <c r="H429" t="n">
        <v>0</v>
      </c>
      <c r="I429" t="n">
        <v>0</v>
      </c>
      <c r="J429" t="n">
        <v>0</v>
      </c>
      <c r="K429" t="n">
        <v>0</v>
      </c>
      <c r="L429" t="n">
        <v>0</v>
      </c>
      <c r="M429" t="n">
        <v>0</v>
      </c>
      <c r="N429" t="n">
        <v>0</v>
      </c>
      <c r="O429" t="n">
        <v>0</v>
      </c>
      <c r="P429" t="n">
        <v>0</v>
      </c>
      <c r="Q429" t="n">
        <v>0</v>
      </c>
      <c r="R429" s="2" t="inlineStr"/>
    </row>
    <row r="430" ht="15" customHeight="1">
      <c r="A430" t="inlineStr">
        <is>
          <t>A 47762-2023</t>
        </is>
      </c>
      <c r="B430" s="1" t="n">
        <v>45203.86256944444</v>
      </c>
      <c r="C430" s="1" t="n">
        <v>45888</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21792-2024</t>
        </is>
      </c>
      <c r="B431" s="1" t="n">
        <v>45442.64326388889</v>
      </c>
      <c r="C431" s="1" t="n">
        <v>45888</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25678-2025</t>
        </is>
      </c>
      <c r="B432" s="1" t="n">
        <v>45803.64118055555</v>
      </c>
      <c r="C432" s="1" t="n">
        <v>45888</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40294-2022</t>
        </is>
      </c>
      <c r="B433" s="1" t="n">
        <v>44821</v>
      </c>
      <c r="C433" s="1" t="n">
        <v>45888</v>
      </c>
      <c r="D433" t="inlineStr">
        <is>
          <t>GOTLANDS LÄN</t>
        </is>
      </c>
      <c r="E433" t="inlineStr">
        <is>
          <t>GOTLAND</t>
        </is>
      </c>
      <c r="G433" t="n">
        <v>1.6</v>
      </c>
      <c r="H433" t="n">
        <v>0</v>
      </c>
      <c r="I433" t="n">
        <v>0</v>
      </c>
      <c r="J433" t="n">
        <v>0</v>
      </c>
      <c r="K433" t="n">
        <v>0</v>
      </c>
      <c r="L433" t="n">
        <v>0</v>
      </c>
      <c r="M433" t="n">
        <v>0</v>
      </c>
      <c r="N433" t="n">
        <v>0</v>
      </c>
      <c r="O433" t="n">
        <v>0</v>
      </c>
      <c r="P433" t="n">
        <v>0</v>
      </c>
      <c r="Q433" t="n">
        <v>0</v>
      </c>
      <c r="R433" s="2" t="inlineStr"/>
    </row>
    <row r="434" ht="15" customHeight="1">
      <c r="A434" t="inlineStr">
        <is>
          <t>A 27602-2023</t>
        </is>
      </c>
      <c r="B434" s="1" t="n">
        <v>45097</v>
      </c>
      <c r="C434" s="1" t="n">
        <v>45888</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58780-2024</t>
        </is>
      </c>
      <c r="B435" s="1" t="n">
        <v>45635.84113425926</v>
      </c>
      <c r="C435" s="1" t="n">
        <v>45888</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12322-2025</t>
        </is>
      </c>
      <c r="B436" s="1" t="n">
        <v>45730</v>
      </c>
      <c r="C436" s="1" t="n">
        <v>45888</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25796-2025</t>
        </is>
      </c>
      <c r="B437" s="1" t="n">
        <v>45804.39543981481</v>
      </c>
      <c r="C437" s="1" t="n">
        <v>45888</v>
      </c>
      <c r="D437" t="inlineStr">
        <is>
          <t>GOTLANDS LÄN</t>
        </is>
      </c>
      <c r="E437" t="inlineStr">
        <is>
          <t>GOTLAND</t>
        </is>
      </c>
      <c r="G437" t="n">
        <v>2</v>
      </c>
      <c r="H437" t="n">
        <v>0</v>
      </c>
      <c r="I437" t="n">
        <v>0</v>
      </c>
      <c r="J437" t="n">
        <v>0</v>
      </c>
      <c r="K437" t="n">
        <v>0</v>
      </c>
      <c r="L437" t="n">
        <v>0</v>
      </c>
      <c r="M437" t="n">
        <v>0</v>
      </c>
      <c r="N437" t="n">
        <v>0</v>
      </c>
      <c r="O437" t="n">
        <v>0</v>
      </c>
      <c r="P437" t="n">
        <v>0</v>
      </c>
      <c r="Q437" t="n">
        <v>0</v>
      </c>
      <c r="R437" s="2" t="inlineStr"/>
    </row>
    <row r="438" ht="15" customHeight="1">
      <c r="A438" t="inlineStr">
        <is>
          <t>A 48843-2024</t>
        </is>
      </c>
      <c r="B438" s="1" t="n">
        <v>45593</v>
      </c>
      <c r="C438" s="1" t="n">
        <v>45888</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46778-2020</t>
        </is>
      </c>
      <c r="B439" s="1" t="n">
        <v>44096</v>
      </c>
      <c r="C439" s="1" t="n">
        <v>45888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24192-2023</t>
        </is>
      </c>
      <c r="B440" s="1" t="n">
        <v>45079</v>
      </c>
      <c r="C440" s="1" t="n">
        <v>45888</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30282-2022</t>
        </is>
      </c>
      <c r="B441" s="1" t="n">
        <v>44760</v>
      </c>
      <c r="C441" s="1" t="n">
        <v>45888</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7835-2024</t>
        </is>
      </c>
      <c r="B442" s="1" t="n">
        <v>45349.83138888889</v>
      </c>
      <c r="C442" s="1" t="n">
        <v>45888</v>
      </c>
      <c r="D442" t="inlineStr">
        <is>
          <t>GOTLANDS LÄN</t>
        </is>
      </c>
      <c r="E442" t="inlineStr">
        <is>
          <t>GOTLAND</t>
        </is>
      </c>
      <c r="G442" t="n">
        <v>3.8</v>
      </c>
      <c r="H442" t="n">
        <v>0</v>
      </c>
      <c r="I442" t="n">
        <v>0</v>
      </c>
      <c r="J442" t="n">
        <v>0</v>
      </c>
      <c r="K442" t="n">
        <v>0</v>
      </c>
      <c r="L442" t="n">
        <v>0</v>
      </c>
      <c r="M442" t="n">
        <v>0</v>
      </c>
      <c r="N442" t="n">
        <v>0</v>
      </c>
      <c r="O442" t="n">
        <v>0</v>
      </c>
      <c r="P442" t="n">
        <v>0</v>
      </c>
      <c r="Q442" t="n">
        <v>0</v>
      </c>
      <c r="R442" s="2" t="inlineStr"/>
    </row>
    <row r="443" ht="15" customHeight="1">
      <c r="A443" t="inlineStr">
        <is>
          <t>A 10158-2025</t>
        </is>
      </c>
      <c r="B443" s="1" t="n">
        <v>45719</v>
      </c>
      <c r="C443" s="1" t="n">
        <v>45888</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10650-2022</t>
        </is>
      </c>
      <c r="B444" s="1" t="n">
        <v>44624.57945601852</v>
      </c>
      <c r="C444" s="1" t="n">
        <v>45888</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10653-2023</t>
        </is>
      </c>
      <c r="B445" s="1" t="n">
        <v>44988.48859953704</v>
      </c>
      <c r="C445" s="1" t="n">
        <v>45888</v>
      </c>
      <c r="D445" t="inlineStr">
        <is>
          <t>GOTLANDS LÄN</t>
        </is>
      </c>
      <c r="E445" t="inlineStr">
        <is>
          <t>GOTLAND</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26391-2025</t>
        </is>
      </c>
      <c r="B446" s="1" t="n">
        <v>45806</v>
      </c>
      <c r="C446" s="1" t="n">
        <v>45888</v>
      </c>
      <c r="D446" t="inlineStr">
        <is>
          <t>GOTLANDS LÄN</t>
        </is>
      </c>
      <c r="E446" t="inlineStr">
        <is>
          <t>GOTLAND</t>
        </is>
      </c>
      <c r="G446" t="n">
        <v>2</v>
      </c>
      <c r="H446" t="n">
        <v>0</v>
      </c>
      <c r="I446" t="n">
        <v>0</v>
      </c>
      <c r="J446" t="n">
        <v>0</v>
      </c>
      <c r="K446" t="n">
        <v>0</v>
      </c>
      <c r="L446" t="n">
        <v>0</v>
      </c>
      <c r="M446" t="n">
        <v>0</v>
      </c>
      <c r="N446" t="n">
        <v>0</v>
      </c>
      <c r="O446" t="n">
        <v>0</v>
      </c>
      <c r="P446" t="n">
        <v>0</v>
      </c>
      <c r="Q446" t="n">
        <v>0</v>
      </c>
      <c r="R446" s="2" t="inlineStr"/>
    </row>
    <row r="447" ht="15" customHeight="1">
      <c r="A447" t="inlineStr">
        <is>
          <t>A 26465-2025</t>
        </is>
      </c>
      <c r="B447" s="1" t="n">
        <v>45807.44377314814</v>
      </c>
      <c r="C447" s="1" t="n">
        <v>45888</v>
      </c>
      <c r="D447" t="inlineStr">
        <is>
          <t>GOTLANDS LÄN</t>
        </is>
      </c>
      <c r="E447" t="inlineStr">
        <is>
          <t>GOTLAND</t>
        </is>
      </c>
      <c r="G447" t="n">
        <v>4.5</v>
      </c>
      <c r="H447" t="n">
        <v>0</v>
      </c>
      <c r="I447" t="n">
        <v>0</v>
      </c>
      <c r="J447" t="n">
        <v>0</v>
      </c>
      <c r="K447" t="n">
        <v>0</v>
      </c>
      <c r="L447" t="n">
        <v>0</v>
      </c>
      <c r="M447" t="n">
        <v>0</v>
      </c>
      <c r="N447" t="n">
        <v>0</v>
      </c>
      <c r="O447" t="n">
        <v>0</v>
      </c>
      <c r="P447" t="n">
        <v>0</v>
      </c>
      <c r="Q447" t="n">
        <v>0</v>
      </c>
      <c r="R447" s="2" t="inlineStr"/>
    </row>
    <row r="448" ht="15" customHeight="1">
      <c r="A448" t="inlineStr">
        <is>
          <t>A 26810-2021</t>
        </is>
      </c>
      <c r="B448" s="1" t="n">
        <v>44349.55087962963</v>
      </c>
      <c r="C448" s="1" t="n">
        <v>45888</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26457-2025</t>
        </is>
      </c>
      <c r="B449" s="1" t="n">
        <v>45807.42773148148</v>
      </c>
      <c r="C449" s="1" t="n">
        <v>45888</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26467-2025</t>
        </is>
      </c>
      <c r="B450" s="1" t="n">
        <v>45807.44640046296</v>
      </c>
      <c r="C450" s="1" t="n">
        <v>45888</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35123-2025</t>
        </is>
      </c>
      <c r="B451" s="1" t="n">
        <v>45852.614375</v>
      </c>
      <c r="C451" s="1" t="n">
        <v>45888</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35129-2025</t>
        </is>
      </c>
      <c r="B452" s="1" t="n">
        <v>45852.63224537037</v>
      </c>
      <c r="C452" s="1" t="n">
        <v>45888</v>
      </c>
      <c r="D452" t="inlineStr">
        <is>
          <t>GOTLANDS LÄN</t>
        </is>
      </c>
      <c r="E452" t="inlineStr">
        <is>
          <t>GOTLAND</t>
        </is>
      </c>
      <c r="G452" t="n">
        <v>3.2</v>
      </c>
      <c r="H452" t="n">
        <v>0</v>
      </c>
      <c r="I452" t="n">
        <v>0</v>
      </c>
      <c r="J452" t="n">
        <v>0</v>
      </c>
      <c r="K452" t="n">
        <v>0</v>
      </c>
      <c r="L452" t="n">
        <v>0</v>
      </c>
      <c r="M452" t="n">
        <v>0</v>
      </c>
      <c r="N452" t="n">
        <v>0</v>
      </c>
      <c r="O452" t="n">
        <v>0</v>
      </c>
      <c r="P452" t="n">
        <v>0</v>
      </c>
      <c r="Q452" t="n">
        <v>0</v>
      </c>
      <c r="R452" s="2" t="inlineStr"/>
    </row>
    <row r="453" ht="15" customHeight="1">
      <c r="A453" t="inlineStr">
        <is>
          <t>A 35512-2023</t>
        </is>
      </c>
      <c r="B453" s="1" t="n">
        <v>45147.25623842593</v>
      </c>
      <c r="C453" s="1" t="n">
        <v>45888</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35133-2025</t>
        </is>
      </c>
      <c r="B454" s="1" t="n">
        <v>45852.6363425926</v>
      </c>
      <c r="C454" s="1" t="n">
        <v>45888</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11874-2024</t>
        </is>
      </c>
      <c r="B455" s="1" t="n">
        <v>45376.46956018519</v>
      </c>
      <c r="C455" s="1" t="n">
        <v>45888</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35096-2025</t>
        </is>
      </c>
      <c r="B456" s="1" t="n">
        <v>45852.54356481481</v>
      </c>
      <c r="C456" s="1" t="n">
        <v>45888</v>
      </c>
      <c r="D456" t="inlineStr">
        <is>
          <t>GOTLANDS LÄN</t>
        </is>
      </c>
      <c r="E456" t="inlineStr">
        <is>
          <t>GOTLAND</t>
        </is>
      </c>
      <c r="F456" t="inlineStr">
        <is>
          <t>Kyrkan</t>
        </is>
      </c>
      <c r="G456" t="n">
        <v>1</v>
      </c>
      <c r="H456" t="n">
        <v>0</v>
      </c>
      <c r="I456" t="n">
        <v>0</v>
      </c>
      <c r="J456" t="n">
        <v>0</v>
      </c>
      <c r="K456" t="n">
        <v>0</v>
      </c>
      <c r="L456" t="n">
        <v>0</v>
      </c>
      <c r="M456" t="n">
        <v>0</v>
      </c>
      <c r="N456" t="n">
        <v>0</v>
      </c>
      <c r="O456" t="n">
        <v>0</v>
      </c>
      <c r="P456" t="n">
        <v>0</v>
      </c>
      <c r="Q456" t="n">
        <v>0</v>
      </c>
      <c r="R456" s="2" t="inlineStr"/>
    </row>
    <row r="457" ht="15" customHeight="1">
      <c r="A457" t="inlineStr">
        <is>
          <t>A 35141-2025</t>
        </is>
      </c>
      <c r="B457" s="1" t="n">
        <v>45852.65206018519</v>
      </c>
      <c r="C457" s="1" t="n">
        <v>45888</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28425-2023</t>
        </is>
      </c>
      <c r="B458" s="1" t="n">
        <v>45102</v>
      </c>
      <c r="C458" s="1" t="n">
        <v>45888</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13037-2025</t>
        </is>
      </c>
      <c r="B459" s="1" t="n">
        <v>45734</v>
      </c>
      <c r="C459" s="1" t="n">
        <v>45888</v>
      </c>
      <c r="D459" t="inlineStr">
        <is>
          <t>GOTLANDS LÄN</t>
        </is>
      </c>
      <c r="E459" t="inlineStr">
        <is>
          <t>GOTLAND</t>
        </is>
      </c>
      <c r="G459" t="n">
        <v>9.5</v>
      </c>
      <c r="H459" t="n">
        <v>0</v>
      </c>
      <c r="I459" t="n">
        <v>0</v>
      </c>
      <c r="J459" t="n">
        <v>0</v>
      </c>
      <c r="K459" t="n">
        <v>0</v>
      </c>
      <c r="L459" t="n">
        <v>0</v>
      </c>
      <c r="M459" t="n">
        <v>0</v>
      </c>
      <c r="N459" t="n">
        <v>0</v>
      </c>
      <c r="O459" t="n">
        <v>0</v>
      </c>
      <c r="P459" t="n">
        <v>0</v>
      </c>
      <c r="Q459" t="n">
        <v>0</v>
      </c>
      <c r="R459" s="2" t="inlineStr"/>
    </row>
    <row r="460" ht="15" customHeight="1">
      <c r="A460" t="inlineStr">
        <is>
          <t>A 35142-2025</t>
        </is>
      </c>
      <c r="B460" s="1" t="n">
        <v>45852.65532407408</v>
      </c>
      <c r="C460" s="1" t="n">
        <v>45888</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26660-2025</t>
        </is>
      </c>
      <c r="B461" s="1" t="n">
        <v>45810.39737268518</v>
      </c>
      <c r="C461" s="1" t="n">
        <v>45888</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55334-2024</t>
        </is>
      </c>
      <c r="B462" s="1" t="n">
        <v>45621</v>
      </c>
      <c r="C462" s="1" t="n">
        <v>45888</v>
      </c>
      <c r="D462" t="inlineStr">
        <is>
          <t>GOTLANDS LÄN</t>
        </is>
      </c>
      <c r="E462" t="inlineStr">
        <is>
          <t>GOTLAND</t>
        </is>
      </c>
      <c r="G462" t="n">
        <v>21.7</v>
      </c>
      <c r="H462" t="n">
        <v>0</v>
      </c>
      <c r="I462" t="n">
        <v>0</v>
      </c>
      <c r="J462" t="n">
        <v>0</v>
      </c>
      <c r="K462" t="n">
        <v>0</v>
      </c>
      <c r="L462" t="n">
        <v>0</v>
      </c>
      <c r="M462" t="n">
        <v>0</v>
      </c>
      <c r="N462" t="n">
        <v>0</v>
      </c>
      <c r="O462" t="n">
        <v>0</v>
      </c>
      <c r="P462" t="n">
        <v>0</v>
      </c>
      <c r="Q462" t="n">
        <v>0</v>
      </c>
      <c r="R462" s="2" t="inlineStr"/>
    </row>
    <row r="463" ht="15" customHeight="1">
      <c r="A463" t="inlineStr">
        <is>
          <t>A 27355-2025</t>
        </is>
      </c>
      <c r="B463" s="1" t="n">
        <v>45812</v>
      </c>
      <c r="C463" s="1" t="n">
        <v>45888</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27348-2025</t>
        </is>
      </c>
      <c r="B464" s="1" t="n">
        <v>45812.62451388889</v>
      </c>
      <c r="C464" s="1" t="n">
        <v>45888</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27371-2025</t>
        </is>
      </c>
      <c r="B465" s="1" t="n">
        <v>45812</v>
      </c>
      <c r="C465" s="1" t="n">
        <v>45888</v>
      </c>
      <c r="D465" t="inlineStr">
        <is>
          <t>GOTLANDS LÄN</t>
        </is>
      </c>
      <c r="E465" t="inlineStr">
        <is>
          <t>GOTLAND</t>
        </is>
      </c>
      <c r="G465" t="n">
        <v>8</v>
      </c>
      <c r="H465" t="n">
        <v>0</v>
      </c>
      <c r="I465" t="n">
        <v>0</v>
      </c>
      <c r="J465" t="n">
        <v>0</v>
      </c>
      <c r="K465" t="n">
        <v>0</v>
      </c>
      <c r="L465" t="n">
        <v>0</v>
      </c>
      <c r="M465" t="n">
        <v>0</v>
      </c>
      <c r="N465" t="n">
        <v>0</v>
      </c>
      <c r="O465" t="n">
        <v>0</v>
      </c>
      <c r="P465" t="n">
        <v>0</v>
      </c>
      <c r="Q465" t="n">
        <v>0</v>
      </c>
      <c r="R465" s="2" t="inlineStr"/>
    </row>
    <row r="466" ht="15" customHeight="1">
      <c r="A466" t="inlineStr">
        <is>
          <t>A 10746-2025</t>
        </is>
      </c>
      <c r="B466" s="1" t="n">
        <v>45722.42766203704</v>
      </c>
      <c r="C466" s="1" t="n">
        <v>45888</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20225-2025</t>
        </is>
      </c>
      <c r="B467" s="1" t="n">
        <v>45772.65802083333</v>
      </c>
      <c r="C467" s="1" t="n">
        <v>45888</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35290-2025</t>
        </is>
      </c>
      <c r="B468" s="1" t="n">
        <v>45854.38502314815</v>
      </c>
      <c r="C468" s="1" t="n">
        <v>45888</v>
      </c>
      <c r="D468" t="inlineStr">
        <is>
          <t>GOTLANDS LÄN</t>
        </is>
      </c>
      <c r="E468" t="inlineStr">
        <is>
          <t>GOTLAND</t>
        </is>
      </c>
      <c r="G468" t="n">
        <v>5.4</v>
      </c>
      <c r="H468" t="n">
        <v>0</v>
      </c>
      <c r="I468" t="n">
        <v>0</v>
      </c>
      <c r="J468" t="n">
        <v>0</v>
      </c>
      <c r="K468" t="n">
        <v>0</v>
      </c>
      <c r="L468" t="n">
        <v>0</v>
      </c>
      <c r="M468" t="n">
        <v>0</v>
      </c>
      <c r="N468" t="n">
        <v>0</v>
      </c>
      <c r="O468" t="n">
        <v>0</v>
      </c>
      <c r="P468" t="n">
        <v>0</v>
      </c>
      <c r="Q468" t="n">
        <v>0</v>
      </c>
      <c r="R468" s="2" t="inlineStr"/>
    </row>
    <row r="469" ht="15" customHeight="1">
      <c r="A469" t="inlineStr">
        <is>
          <t>A 1677-2023</t>
        </is>
      </c>
      <c r="B469" s="1" t="n">
        <v>44938</v>
      </c>
      <c r="C469" s="1" t="n">
        <v>45888</v>
      </c>
      <c r="D469" t="inlineStr">
        <is>
          <t>GOTLANDS LÄN</t>
        </is>
      </c>
      <c r="E469" t="inlineStr">
        <is>
          <t>GOTLAND</t>
        </is>
      </c>
      <c r="G469" t="n">
        <v>1.6</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45888</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35537-2025</t>
        </is>
      </c>
      <c r="B471" s="1" t="n">
        <v>45856</v>
      </c>
      <c r="C471" s="1" t="n">
        <v>45888</v>
      </c>
      <c r="D471" t="inlineStr">
        <is>
          <t>GOTLANDS LÄN</t>
        </is>
      </c>
      <c r="E471" t="inlineStr">
        <is>
          <t>GOTLAND</t>
        </is>
      </c>
      <c r="G471" t="n">
        <v>16.8</v>
      </c>
      <c r="H471" t="n">
        <v>0</v>
      </c>
      <c r="I471" t="n">
        <v>0</v>
      </c>
      <c r="J471" t="n">
        <v>0</v>
      </c>
      <c r="K471" t="n">
        <v>0</v>
      </c>
      <c r="L471" t="n">
        <v>0</v>
      </c>
      <c r="M471" t="n">
        <v>0</v>
      </c>
      <c r="N471" t="n">
        <v>0</v>
      </c>
      <c r="O471" t="n">
        <v>0</v>
      </c>
      <c r="P471" t="n">
        <v>0</v>
      </c>
      <c r="Q471" t="n">
        <v>0</v>
      </c>
      <c r="R471" s="2" t="inlineStr"/>
    </row>
    <row r="472" ht="15" customHeight="1">
      <c r="A472" t="inlineStr">
        <is>
          <t>A 35550-2025</t>
        </is>
      </c>
      <c r="B472" s="1" t="n">
        <v>45856.49324074074</v>
      </c>
      <c r="C472" s="1" t="n">
        <v>45888</v>
      </c>
      <c r="D472" t="inlineStr">
        <is>
          <t>GOTLANDS LÄN</t>
        </is>
      </c>
      <c r="E472" t="inlineStr">
        <is>
          <t>GOTLAND</t>
        </is>
      </c>
      <c r="G472" t="n">
        <v>3.2</v>
      </c>
      <c r="H472" t="n">
        <v>0</v>
      </c>
      <c r="I472" t="n">
        <v>0</v>
      </c>
      <c r="J472" t="n">
        <v>0</v>
      </c>
      <c r="K472" t="n">
        <v>0</v>
      </c>
      <c r="L472" t="n">
        <v>0</v>
      </c>
      <c r="M472" t="n">
        <v>0</v>
      </c>
      <c r="N472" t="n">
        <v>0</v>
      </c>
      <c r="O472" t="n">
        <v>0</v>
      </c>
      <c r="P472" t="n">
        <v>0</v>
      </c>
      <c r="Q472" t="n">
        <v>0</v>
      </c>
      <c r="R472" s="2" t="inlineStr"/>
    </row>
    <row r="473" ht="15" customHeight="1">
      <c r="A473" t="inlineStr">
        <is>
          <t>A 7850-2025</t>
        </is>
      </c>
      <c r="B473" s="1" t="n">
        <v>45706</v>
      </c>
      <c r="C473" s="1" t="n">
        <v>45888</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6739-2025</t>
        </is>
      </c>
      <c r="B474" s="1" t="n">
        <v>45700</v>
      </c>
      <c r="C474" s="1" t="n">
        <v>45888</v>
      </c>
      <c r="D474" t="inlineStr">
        <is>
          <t>GOTLANDS LÄN</t>
        </is>
      </c>
      <c r="E474" t="inlineStr">
        <is>
          <t>GOTLAND</t>
        </is>
      </c>
      <c r="G474" t="n">
        <v>4.5</v>
      </c>
      <c r="H474" t="n">
        <v>0</v>
      </c>
      <c r="I474" t="n">
        <v>0</v>
      </c>
      <c r="J474" t="n">
        <v>0</v>
      </c>
      <c r="K474" t="n">
        <v>0</v>
      </c>
      <c r="L474" t="n">
        <v>0</v>
      </c>
      <c r="M474" t="n">
        <v>0</v>
      </c>
      <c r="N474" t="n">
        <v>0</v>
      </c>
      <c r="O474" t="n">
        <v>0</v>
      </c>
      <c r="P474" t="n">
        <v>0</v>
      </c>
      <c r="Q474" t="n">
        <v>0</v>
      </c>
      <c r="R474" s="2" t="inlineStr"/>
    </row>
    <row r="475" ht="15" customHeight="1">
      <c r="A475" t="inlineStr">
        <is>
          <t>A 43229-2023</t>
        </is>
      </c>
      <c r="B475" s="1" t="n">
        <v>45183.46704861111</v>
      </c>
      <c r="C475" s="1" t="n">
        <v>45888</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3930-2025</t>
        </is>
      </c>
      <c r="B476" s="1" t="n">
        <v>45684.45427083333</v>
      </c>
      <c r="C476" s="1" t="n">
        <v>45888</v>
      </c>
      <c r="D476" t="inlineStr">
        <is>
          <t>GOTLANDS LÄN</t>
        </is>
      </c>
      <c r="E476" t="inlineStr">
        <is>
          <t>GOTLAND</t>
        </is>
      </c>
      <c r="G476" t="n">
        <v>5.2</v>
      </c>
      <c r="H476" t="n">
        <v>0</v>
      </c>
      <c r="I476" t="n">
        <v>0</v>
      </c>
      <c r="J476" t="n">
        <v>0</v>
      </c>
      <c r="K476" t="n">
        <v>0</v>
      </c>
      <c r="L476" t="n">
        <v>0</v>
      </c>
      <c r="M476" t="n">
        <v>0</v>
      </c>
      <c r="N476" t="n">
        <v>0</v>
      </c>
      <c r="O476" t="n">
        <v>0</v>
      </c>
      <c r="P476" t="n">
        <v>0</v>
      </c>
      <c r="Q476" t="n">
        <v>0</v>
      </c>
      <c r="R476" s="2" t="inlineStr"/>
    </row>
    <row r="477" ht="15" customHeight="1">
      <c r="A477" t="inlineStr">
        <is>
          <t>A 8036-2022</t>
        </is>
      </c>
      <c r="B477" s="1" t="n">
        <v>44609.44362268518</v>
      </c>
      <c r="C477" s="1" t="n">
        <v>45888</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46375-2024</t>
        </is>
      </c>
      <c r="B478" s="1" t="n">
        <v>45582</v>
      </c>
      <c r="C478" s="1" t="n">
        <v>45888</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45888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41038-2023</t>
        </is>
      </c>
      <c r="B480" s="1" t="n">
        <v>45173.60959490741</v>
      </c>
      <c r="C480" s="1" t="n">
        <v>45888</v>
      </c>
      <c r="D480" t="inlineStr">
        <is>
          <t>GOTLANDS LÄN</t>
        </is>
      </c>
      <c r="E480" t="inlineStr">
        <is>
          <t>GOTLAND</t>
        </is>
      </c>
      <c r="G480" t="n">
        <v>2.7</v>
      </c>
      <c r="H480" t="n">
        <v>0</v>
      </c>
      <c r="I480" t="n">
        <v>0</v>
      </c>
      <c r="J480" t="n">
        <v>0</v>
      </c>
      <c r="K480" t="n">
        <v>0</v>
      </c>
      <c r="L480" t="n">
        <v>0</v>
      </c>
      <c r="M480" t="n">
        <v>0</v>
      </c>
      <c r="N480" t="n">
        <v>0</v>
      </c>
      <c r="O480" t="n">
        <v>0</v>
      </c>
      <c r="P480" t="n">
        <v>0</v>
      </c>
      <c r="Q480" t="n">
        <v>0</v>
      </c>
      <c r="R480" s="2" t="inlineStr"/>
    </row>
    <row r="481" ht="15" customHeight="1">
      <c r="A481" t="inlineStr">
        <is>
          <t>A 8444-2025</t>
        </is>
      </c>
      <c r="B481" s="1" t="n">
        <v>45709</v>
      </c>
      <c r="C481" s="1" t="n">
        <v>45888</v>
      </c>
      <c r="D481" t="inlineStr">
        <is>
          <t>GOTLANDS LÄN</t>
        </is>
      </c>
      <c r="E481" t="inlineStr">
        <is>
          <t>GOTLAND</t>
        </is>
      </c>
      <c r="G481" t="n">
        <v>5.2</v>
      </c>
      <c r="H481" t="n">
        <v>0</v>
      </c>
      <c r="I481" t="n">
        <v>0</v>
      </c>
      <c r="J481" t="n">
        <v>0</v>
      </c>
      <c r="K481" t="n">
        <v>0</v>
      </c>
      <c r="L481" t="n">
        <v>0</v>
      </c>
      <c r="M481" t="n">
        <v>0</v>
      </c>
      <c r="N481" t="n">
        <v>0</v>
      </c>
      <c r="O481" t="n">
        <v>0</v>
      </c>
      <c r="P481" t="n">
        <v>0</v>
      </c>
      <c r="Q481" t="n">
        <v>0</v>
      </c>
      <c r="R481" s="2" t="inlineStr"/>
    </row>
    <row r="482" ht="15" customHeight="1">
      <c r="A482" t="inlineStr">
        <is>
          <t>A 19905-2025</t>
        </is>
      </c>
      <c r="B482" s="1" t="n">
        <v>45771</v>
      </c>
      <c r="C482" s="1" t="n">
        <v>45888</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7638-2025</t>
        </is>
      </c>
      <c r="B483" s="1" t="n">
        <v>45705.77306712963</v>
      </c>
      <c r="C483" s="1" t="n">
        <v>45888</v>
      </c>
      <c r="D483" t="inlineStr">
        <is>
          <t>GOTLANDS LÄN</t>
        </is>
      </c>
      <c r="E483" t="inlineStr">
        <is>
          <t>GOTLAND</t>
        </is>
      </c>
      <c r="G483" t="n">
        <v>2.2</v>
      </c>
      <c r="H483" t="n">
        <v>0</v>
      </c>
      <c r="I483" t="n">
        <v>0</v>
      </c>
      <c r="J483" t="n">
        <v>0</v>
      </c>
      <c r="K483" t="n">
        <v>0</v>
      </c>
      <c r="L483" t="n">
        <v>0</v>
      </c>
      <c r="M483" t="n">
        <v>0</v>
      </c>
      <c r="N483" t="n">
        <v>0</v>
      </c>
      <c r="O483" t="n">
        <v>0</v>
      </c>
      <c r="P483" t="n">
        <v>0</v>
      </c>
      <c r="Q483" t="n">
        <v>0</v>
      </c>
      <c r="R483" s="2" t="inlineStr"/>
    </row>
    <row r="484" ht="15" customHeight="1">
      <c r="A484" t="inlineStr">
        <is>
          <t>A 4377-2023</t>
        </is>
      </c>
      <c r="B484" s="1" t="n">
        <v>44955.5502662037</v>
      </c>
      <c r="C484" s="1" t="n">
        <v>45888</v>
      </c>
      <c r="D484" t="inlineStr">
        <is>
          <t>GOTLANDS LÄN</t>
        </is>
      </c>
      <c r="E484" t="inlineStr">
        <is>
          <t>GOTLAND</t>
        </is>
      </c>
      <c r="F484" t="inlineStr">
        <is>
          <t>Kyrkan</t>
        </is>
      </c>
      <c r="G484" t="n">
        <v>0.6</v>
      </c>
      <c r="H484" t="n">
        <v>0</v>
      </c>
      <c r="I484" t="n">
        <v>0</v>
      </c>
      <c r="J484" t="n">
        <v>0</v>
      </c>
      <c r="K484" t="n">
        <v>0</v>
      </c>
      <c r="L484" t="n">
        <v>0</v>
      </c>
      <c r="M484" t="n">
        <v>0</v>
      </c>
      <c r="N484" t="n">
        <v>0</v>
      </c>
      <c r="O484" t="n">
        <v>0</v>
      </c>
      <c r="P484" t="n">
        <v>0</v>
      </c>
      <c r="Q484" t="n">
        <v>0</v>
      </c>
      <c r="R484" s="2" t="inlineStr"/>
    </row>
    <row r="485" ht="15" customHeight="1">
      <c r="A485" t="inlineStr">
        <is>
          <t>A 29207-2025</t>
        </is>
      </c>
      <c r="B485" s="1" t="n">
        <v>45823</v>
      </c>
      <c r="C485" s="1" t="n">
        <v>45888</v>
      </c>
      <c r="D485" t="inlineStr">
        <is>
          <t>GOTLANDS LÄN</t>
        </is>
      </c>
      <c r="E485" t="inlineStr">
        <is>
          <t>GOTLAND</t>
        </is>
      </c>
      <c r="G485" t="n">
        <v>1.9</v>
      </c>
      <c r="H485" t="n">
        <v>0</v>
      </c>
      <c r="I485" t="n">
        <v>0</v>
      </c>
      <c r="J485" t="n">
        <v>0</v>
      </c>
      <c r="K485" t="n">
        <v>0</v>
      </c>
      <c r="L485" t="n">
        <v>0</v>
      </c>
      <c r="M485" t="n">
        <v>0</v>
      </c>
      <c r="N485" t="n">
        <v>0</v>
      </c>
      <c r="O485" t="n">
        <v>0</v>
      </c>
      <c r="P485" t="n">
        <v>0</v>
      </c>
      <c r="Q485" t="n">
        <v>0</v>
      </c>
      <c r="R485" s="2" t="inlineStr"/>
    </row>
    <row r="486" ht="15" customHeight="1">
      <c r="A486" t="inlineStr">
        <is>
          <t>A 29196-2025</t>
        </is>
      </c>
      <c r="B486" s="1" t="n">
        <v>45822</v>
      </c>
      <c r="C486" s="1" t="n">
        <v>45888</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1713-2025</t>
        </is>
      </c>
      <c r="B487" s="1" t="n">
        <v>45671.32342592593</v>
      </c>
      <c r="C487" s="1" t="n">
        <v>45888</v>
      </c>
      <c r="D487" t="inlineStr">
        <is>
          <t>GOTLANDS LÄN</t>
        </is>
      </c>
      <c r="E487" t="inlineStr">
        <is>
          <t>GOTLAND</t>
        </is>
      </c>
      <c r="G487" t="n">
        <v>10.1</v>
      </c>
      <c r="H487" t="n">
        <v>0</v>
      </c>
      <c r="I487" t="n">
        <v>0</v>
      </c>
      <c r="J487" t="n">
        <v>0</v>
      </c>
      <c r="K487" t="n">
        <v>0</v>
      </c>
      <c r="L487" t="n">
        <v>0</v>
      </c>
      <c r="M487" t="n">
        <v>0</v>
      </c>
      <c r="N487" t="n">
        <v>0</v>
      </c>
      <c r="O487" t="n">
        <v>0</v>
      </c>
      <c r="P487" t="n">
        <v>0</v>
      </c>
      <c r="Q487" t="n">
        <v>0</v>
      </c>
      <c r="R487" s="2" t="inlineStr"/>
    </row>
    <row r="488" ht="15" customHeight="1">
      <c r="A488" t="inlineStr">
        <is>
          <t>A 43901-2023</t>
        </is>
      </c>
      <c r="B488" s="1" t="n">
        <v>45187</v>
      </c>
      <c r="C488" s="1" t="n">
        <v>45888</v>
      </c>
      <c r="D488" t="inlineStr">
        <is>
          <t>GOTLANDS LÄN</t>
        </is>
      </c>
      <c r="E488" t="inlineStr">
        <is>
          <t>GOTLAND</t>
        </is>
      </c>
      <c r="G488" t="n">
        <v>5.4</v>
      </c>
      <c r="H488" t="n">
        <v>0</v>
      </c>
      <c r="I488" t="n">
        <v>0</v>
      </c>
      <c r="J488" t="n">
        <v>0</v>
      </c>
      <c r="K488" t="n">
        <v>0</v>
      </c>
      <c r="L488" t="n">
        <v>0</v>
      </c>
      <c r="M488" t="n">
        <v>0</v>
      </c>
      <c r="N488" t="n">
        <v>0</v>
      </c>
      <c r="O488" t="n">
        <v>0</v>
      </c>
      <c r="P488" t="n">
        <v>0</v>
      </c>
      <c r="Q488" t="n">
        <v>0</v>
      </c>
      <c r="R488" s="2" t="inlineStr"/>
    </row>
    <row r="489" ht="15" customHeight="1">
      <c r="A489" t="inlineStr">
        <is>
          <t>A 17532-2024</t>
        </is>
      </c>
      <c r="B489" s="1" t="n">
        <v>45415</v>
      </c>
      <c r="C489" s="1" t="n">
        <v>45888</v>
      </c>
      <c r="D489" t="inlineStr">
        <is>
          <t>GOTLANDS LÄN</t>
        </is>
      </c>
      <c r="E489" t="inlineStr">
        <is>
          <t>GOTLAND</t>
        </is>
      </c>
      <c r="G489" t="n">
        <v>4.3</v>
      </c>
      <c r="H489" t="n">
        <v>0</v>
      </c>
      <c r="I489" t="n">
        <v>0</v>
      </c>
      <c r="J489" t="n">
        <v>0</v>
      </c>
      <c r="K489" t="n">
        <v>0</v>
      </c>
      <c r="L489" t="n">
        <v>0</v>
      </c>
      <c r="M489" t="n">
        <v>0</v>
      </c>
      <c r="N489" t="n">
        <v>0</v>
      </c>
      <c r="O489" t="n">
        <v>0</v>
      </c>
      <c r="P489" t="n">
        <v>0</v>
      </c>
      <c r="Q489" t="n">
        <v>0</v>
      </c>
      <c r="R489" s="2" t="inlineStr"/>
    </row>
    <row r="490" ht="15" customHeight="1">
      <c r="A490" t="inlineStr">
        <is>
          <t>A 45692-2023</t>
        </is>
      </c>
      <c r="B490" s="1" t="n">
        <v>45195</v>
      </c>
      <c r="C490" s="1" t="n">
        <v>45888</v>
      </c>
      <c r="D490" t="inlineStr">
        <is>
          <t>GOTLANDS LÄN</t>
        </is>
      </c>
      <c r="E490" t="inlineStr">
        <is>
          <t>GOTLAND</t>
        </is>
      </c>
      <c r="G490" t="n">
        <v>5.3</v>
      </c>
      <c r="H490" t="n">
        <v>0</v>
      </c>
      <c r="I490" t="n">
        <v>0</v>
      </c>
      <c r="J490" t="n">
        <v>0</v>
      </c>
      <c r="K490" t="n">
        <v>0</v>
      </c>
      <c r="L490" t="n">
        <v>0</v>
      </c>
      <c r="M490" t="n">
        <v>0</v>
      </c>
      <c r="N490" t="n">
        <v>0</v>
      </c>
      <c r="O490" t="n">
        <v>0</v>
      </c>
      <c r="P490" t="n">
        <v>0</v>
      </c>
      <c r="Q490" t="n">
        <v>0</v>
      </c>
      <c r="R490" s="2" t="inlineStr"/>
    </row>
    <row r="491" ht="15" customHeight="1">
      <c r="A491" t="inlineStr">
        <is>
          <t>A 24966-2023</t>
        </is>
      </c>
      <c r="B491" s="1" t="n">
        <v>45085</v>
      </c>
      <c r="C491" s="1" t="n">
        <v>45888</v>
      </c>
      <c r="D491" t="inlineStr">
        <is>
          <t>GOTLANDS LÄN</t>
        </is>
      </c>
      <c r="E491" t="inlineStr">
        <is>
          <t>GOTLAND</t>
        </is>
      </c>
      <c r="G491" t="n">
        <v>7</v>
      </c>
      <c r="H491" t="n">
        <v>0</v>
      </c>
      <c r="I491" t="n">
        <v>0</v>
      </c>
      <c r="J491" t="n">
        <v>0</v>
      </c>
      <c r="K491" t="n">
        <v>0</v>
      </c>
      <c r="L491" t="n">
        <v>0</v>
      </c>
      <c r="M491" t="n">
        <v>0</v>
      </c>
      <c r="N491" t="n">
        <v>0</v>
      </c>
      <c r="O491" t="n">
        <v>0</v>
      </c>
      <c r="P491" t="n">
        <v>0</v>
      </c>
      <c r="Q491" t="n">
        <v>0</v>
      </c>
      <c r="R491" s="2" t="inlineStr"/>
    </row>
    <row r="492" ht="15" customHeight="1">
      <c r="A492" t="inlineStr">
        <is>
          <t>A 36319-2025</t>
        </is>
      </c>
      <c r="B492" s="1" t="n">
        <v>45868.38543981482</v>
      </c>
      <c r="C492" s="1" t="n">
        <v>45888</v>
      </c>
      <c r="D492" t="inlineStr">
        <is>
          <t>GOTLANDS LÄN</t>
        </is>
      </c>
      <c r="E492" t="inlineStr">
        <is>
          <t>GOTLAND</t>
        </is>
      </c>
      <c r="G492" t="n">
        <v>2.9</v>
      </c>
      <c r="H492" t="n">
        <v>0</v>
      </c>
      <c r="I492" t="n">
        <v>0</v>
      </c>
      <c r="J492" t="n">
        <v>0</v>
      </c>
      <c r="K492" t="n">
        <v>0</v>
      </c>
      <c r="L492" t="n">
        <v>0</v>
      </c>
      <c r="M492" t="n">
        <v>0</v>
      </c>
      <c r="N492" t="n">
        <v>0</v>
      </c>
      <c r="O492" t="n">
        <v>0</v>
      </c>
      <c r="P492" t="n">
        <v>0</v>
      </c>
      <c r="Q492" t="n">
        <v>0</v>
      </c>
      <c r="R492" s="2" t="inlineStr"/>
    </row>
    <row r="493" ht="15" customHeight="1">
      <c r="A493" t="inlineStr">
        <is>
          <t>A 57652-2023</t>
        </is>
      </c>
      <c r="B493" s="1" t="n">
        <v>45246</v>
      </c>
      <c r="C493" s="1" t="n">
        <v>45888</v>
      </c>
      <c r="D493" t="inlineStr">
        <is>
          <t>GOTLANDS LÄN</t>
        </is>
      </c>
      <c r="E493" t="inlineStr">
        <is>
          <t>GOTLAND</t>
        </is>
      </c>
      <c r="G493" t="n">
        <v>7.2</v>
      </c>
      <c r="H493" t="n">
        <v>0</v>
      </c>
      <c r="I493" t="n">
        <v>0</v>
      </c>
      <c r="J493" t="n">
        <v>0</v>
      </c>
      <c r="K493" t="n">
        <v>0</v>
      </c>
      <c r="L493" t="n">
        <v>0</v>
      </c>
      <c r="M493" t="n">
        <v>0</v>
      </c>
      <c r="N493" t="n">
        <v>0</v>
      </c>
      <c r="O493" t="n">
        <v>0</v>
      </c>
      <c r="P493" t="n">
        <v>0</v>
      </c>
      <c r="Q493" t="n">
        <v>0</v>
      </c>
      <c r="R493" s="2" t="inlineStr"/>
    </row>
    <row r="494" ht="15" customHeight="1">
      <c r="A494" t="inlineStr">
        <is>
          <t>A 37222-2021</t>
        </is>
      </c>
      <c r="B494" s="1" t="n">
        <v>44396</v>
      </c>
      <c r="C494" s="1" t="n">
        <v>45888</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46189-2022</t>
        </is>
      </c>
      <c r="B495" s="1" t="n">
        <v>44847</v>
      </c>
      <c r="C495" s="1" t="n">
        <v>45888</v>
      </c>
      <c r="D495" t="inlineStr">
        <is>
          <t>GOTLANDS LÄN</t>
        </is>
      </c>
      <c r="E495" t="inlineStr">
        <is>
          <t>GOTLAND</t>
        </is>
      </c>
      <c r="G495" t="n">
        <v>0.4</v>
      </c>
      <c r="H495" t="n">
        <v>0</v>
      </c>
      <c r="I495" t="n">
        <v>0</v>
      </c>
      <c r="J495" t="n">
        <v>0</v>
      </c>
      <c r="K495" t="n">
        <v>0</v>
      </c>
      <c r="L495" t="n">
        <v>0</v>
      </c>
      <c r="M495" t="n">
        <v>0</v>
      </c>
      <c r="N495" t="n">
        <v>0</v>
      </c>
      <c r="O495" t="n">
        <v>0</v>
      </c>
      <c r="P495" t="n">
        <v>0</v>
      </c>
      <c r="Q495" t="n">
        <v>0</v>
      </c>
      <c r="R495" s="2" t="inlineStr"/>
    </row>
    <row r="496" ht="15" customHeight="1">
      <c r="A496" t="inlineStr">
        <is>
          <t>A 57522-2022</t>
        </is>
      </c>
      <c r="B496" s="1" t="n">
        <v>44896</v>
      </c>
      <c r="C496" s="1" t="n">
        <v>45888</v>
      </c>
      <c r="D496" t="inlineStr">
        <is>
          <t>GOTLANDS LÄN</t>
        </is>
      </c>
      <c r="E496" t="inlineStr">
        <is>
          <t>GOTLAND</t>
        </is>
      </c>
      <c r="G496" t="n">
        <v>2</v>
      </c>
      <c r="H496" t="n">
        <v>0</v>
      </c>
      <c r="I496" t="n">
        <v>0</v>
      </c>
      <c r="J496" t="n">
        <v>0</v>
      </c>
      <c r="K496" t="n">
        <v>0</v>
      </c>
      <c r="L496" t="n">
        <v>0</v>
      </c>
      <c r="M496" t="n">
        <v>0</v>
      </c>
      <c r="N496" t="n">
        <v>0</v>
      </c>
      <c r="O496" t="n">
        <v>0</v>
      </c>
      <c r="P496" t="n">
        <v>0</v>
      </c>
      <c r="Q496" t="n">
        <v>0</v>
      </c>
      <c r="R496" s="2" t="inlineStr"/>
    </row>
    <row r="497" ht="15" customHeight="1">
      <c r="A497" t="inlineStr">
        <is>
          <t>A 14797-2024</t>
        </is>
      </c>
      <c r="B497" s="1" t="n">
        <v>45397.87030092593</v>
      </c>
      <c r="C497" s="1" t="n">
        <v>45888</v>
      </c>
      <c r="D497" t="inlineStr">
        <is>
          <t>GOTLANDS LÄN</t>
        </is>
      </c>
      <c r="E497" t="inlineStr">
        <is>
          <t>GOTLAND</t>
        </is>
      </c>
      <c r="G497" t="n">
        <v>8.1</v>
      </c>
      <c r="H497" t="n">
        <v>0</v>
      </c>
      <c r="I497" t="n">
        <v>0</v>
      </c>
      <c r="J497" t="n">
        <v>0</v>
      </c>
      <c r="K497" t="n">
        <v>0</v>
      </c>
      <c r="L497" t="n">
        <v>0</v>
      </c>
      <c r="M497" t="n">
        <v>0</v>
      </c>
      <c r="N497" t="n">
        <v>0</v>
      </c>
      <c r="O497" t="n">
        <v>0</v>
      </c>
      <c r="P497" t="n">
        <v>0</v>
      </c>
      <c r="Q497" t="n">
        <v>0</v>
      </c>
      <c r="R497" s="2" t="inlineStr"/>
    </row>
    <row r="498" ht="15" customHeight="1">
      <c r="A498" t="inlineStr">
        <is>
          <t>A 46396-2023</t>
        </is>
      </c>
      <c r="B498" s="1" t="n">
        <v>45197</v>
      </c>
      <c r="C498" s="1" t="n">
        <v>45888</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30061-2025</t>
        </is>
      </c>
      <c r="B499" s="1" t="n">
        <v>45826.61488425926</v>
      </c>
      <c r="C499" s="1" t="n">
        <v>45888</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58388-2022</t>
        </is>
      </c>
      <c r="B500" s="1" t="n">
        <v>44894</v>
      </c>
      <c r="C500" s="1" t="n">
        <v>45888</v>
      </c>
      <c r="D500" t="inlineStr">
        <is>
          <t>GOTLANDS LÄN</t>
        </is>
      </c>
      <c r="E500" t="inlineStr">
        <is>
          <t>GOTLAND</t>
        </is>
      </c>
      <c r="F500" t="inlineStr">
        <is>
          <t>Övriga statliga verk och myndigheter</t>
        </is>
      </c>
      <c r="G500" t="n">
        <v>3.1</v>
      </c>
      <c r="H500" t="n">
        <v>0</v>
      </c>
      <c r="I500" t="n">
        <v>0</v>
      </c>
      <c r="J500" t="n">
        <v>0</v>
      </c>
      <c r="K500" t="n">
        <v>0</v>
      </c>
      <c r="L500" t="n">
        <v>0</v>
      </c>
      <c r="M500" t="n">
        <v>0</v>
      </c>
      <c r="N500" t="n">
        <v>0</v>
      </c>
      <c r="O500" t="n">
        <v>0</v>
      </c>
      <c r="P500" t="n">
        <v>0</v>
      </c>
      <c r="Q500" t="n">
        <v>0</v>
      </c>
      <c r="R500" s="2" t="inlineStr"/>
    </row>
    <row r="501" ht="15" customHeight="1">
      <c r="A501" t="inlineStr">
        <is>
          <t>A 30104-2025</t>
        </is>
      </c>
      <c r="B501" s="1" t="n">
        <v>45826.68806712963</v>
      </c>
      <c r="C501" s="1" t="n">
        <v>45888</v>
      </c>
      <c r="D501" t="inlineStr">
        <is>
          <t>GOTLANDS LÄN</t>
        </is>
      </c>
      <c r="E501" t="inlineStr">
        <is>
          <t>GOTLAND</t>
        </is>
      </c>
      <c r="G501" t="n">
        <v>15.4</v>
      </c>
      <c r="H501" t="n">
        <v>0</v>
      </c>
      <c r="I501" t="n">
        <v>0</v>
      </c>
      <c r="J501" t="n">
        <v>0</v>
      </c>
      <c r="K501" t="n">
        <v>0</v>
      </c>
      <c r="L501" t="n">
        <v>0</v>
      </c>
      <c r="M501" t="n">
        <v>0</v>
      </c>
      <c r="N501" t="n">
        <v>0</v>
      </c>
      <c r="O501" t="n">
        <v>0</v>
      </c>
      <c r="P501" t="n">
        <v>0</v>
      </c>
      <c r="Q501" t="n">
        <v>0</v>
      </c>
      <c r="R501" s="2" t="inlineStr"/>
    </row>
    <row r="502" ht="15" customHeight="1">
      <c r="A502" t="inlineStr">
        <is>
          <t>A 30157-2025</t>
        </is>
      </c>
      <c r="B502" s="1" t="n">
        <v>45826</v>
      </c>
      <c r="C502" s="1" t="n">
        <v>45888</v>
      </c>
      <c r="D502" t="inlineStr">
        <is>
          <t>GOTLANDS LÄN</t>
        </is>
      </c>
      <c r="E502" t="inlineStr">
        <is>
          <t>GOTLAND</t>
        </is>
      </c>
      <c r="G502" t="n">
        <v>2.5</v>
      </c>
      <c r="H502" t="n">
        <v>0</v>
      </c>
      <c r="I502" t="n">
        <v>0</v>
      </c>
      <c r="J502" t="n">
        <v>0</v>
      </c>
      <c r="K502" t="n">
        <v>0</v>
      </c>
      <c r="L502" t="n">
        <v>0</v>
      </c>
      <c r="M502" t="n">
        <v>0</v>
      </c>
      <c r="N502" t="n">
        <v>0</v>
      </c>
      <c r="O502" t="n">
        <v>0</v>
      </c>
      <c r="P502" t="n">
        <v>0</v>
      </c>
      <c r="Q502" t="n">
        <v>0</v>
      </c>
      <c r="R502" s="2" t="inlineStr"/>
    </row>
    <row r="503" ht="15" customHeight="1">
      <c r="A503" t="inlineStr">
        <is>
          <t>A 7837-2024</t>
        </is>
      </c>
      <c r="B503" s="1" t="n">
        <v>45349.83787037037</v>
      </c>
      <c r="C503" s="1" t="n">
        <v>45888</v>
      </c>
      <c r="D503" t="inlineStr">
        <is>
          <t>GOTLANDS LÄN</t>
        </is>
      </c>
      <c r="E503" t="inlineStr">
        <is>
          <t>GOTLAND</t>
        </is>
      </c>
      <c r="G503" t="n">
        <v>5</v>
      </c>
      <c r="H503" t="n">
        <v>0</v>
      </c>
      <c r="I503" t="n">
        <v>0</v>
      </c>
      <c r="J503" t="n">
        <v>0</v>
      </c>
      <c r="K503" t="n">
        <v>0</v>
      </c>
      <c r="L503" t="n">
        <v>0</v>
      </c>
      <c r="M503" t="n">
        <v>0</v>
      </c>
      <c r="N503" t="n">
        <v>0</v>
      </c>
      <c r="O503" t="n">
        <v>0</v>
      </c>
      <c r="P503" t="n">
        <v>0</v>
      </c>
      <c r="Q503" t="n">
        <v>0</v>
      </c>
      <c r="R503" s="2" t="inlineStr"/>
    </row>
    <row r="504" ht="15" customHeight="1">
      <c r="A504" t="inlineStr">
        <is>
          <t>A 30488-2025</t>
        </is>
      </c>
      <c r="B504" s="1" t="n">
        <v>45830</v>
      </c>
      <c r="C504" s="1" t="n">
        <v>45888</v>
      </c>
      <c r="D504" t="inlineStr">
        <is>
          <t>GOTLANDS LÄN</t>
        </is>
      </c>
      <c r="E504" t="inlineStr">
        <is>
          <t>GOTLAND</t>
        </is>
      </c>
      <c r="F504" t="inlineStr">
        <is>
          <t>Kyrkan</t>
        </is>
      </c>
      <c r="G504" t="n">
        <v>3.9</v>
      </c>
      <c r="H504" t="n">
        <v>0</v>
      </c>
      <c r="I504" t="n">
        <v>0</v>
      </c>
      <c r="J504" t="n">
        <v>0</v>
      </c>
      <c r="K504" t="n">
        <v>0</v>
      </c>
      <c r="L504" t="n">
        <v>0</v>
      </c>
      <c r="M504" t="n">
        <v>0</v>
      </c>
      <c r="N504" t="n">
        <v>0</v>
      </c>
      <c r="O504" t="n">
        <v>0</v>
      </c>
      <c r="P504" t="n">
        <v>0</v>
      </c>
      <c r="Q504" t="n">
        <v>0</v>
      </c>
      <c r="R504" s="2" t="inlineStr"/>
    </row>
    <row r="505" ht="15" customHeight="1">
      <c r="A505" t="inlineStr">
        <is>
          <t>A 30489-2025</t>
        </is>
      </c>
      <c r="B505" s="1" t="n">
        <v>45830</v>
      </c>
      <c r="C505" s="1" t="n">
        <v>45888</v>
      </c>
      <c r="D505" t="inlineStr">
        <is>
          <t>GOTLANDS LÄN</t>
        </is>
      </c>
      <c r="E505" t="inlineStr">
        <is>
          <t>GOTLAND</t>
        </is>
      </c>
      <c r="G505" t="n">
        <v>4.6</v>
      </c>
      <c r="H505" t="n">
        <v>0</v>
      </c>
      <c r="I505" t="n">
        <v>0</v>
      </c>
      <c r="J505" t="n">
        <v>0</v>
      </c>
      <c r="K505" t="n">
        <v>0</v>
      </c>
      <c r="L505" t="n">
        <v>0</v>
      </c>
      <c r="M505" t="n">
        <v>0</v>
      </c>
      <c r="N505" t="n">
        <v>0</v>
      </c>
      <c r="O505" t="n">
        <v>0</v>
      </c>
      <c r="P505" t="n">
        <v>0</v>
      </c>
      <c r="Q505" t="n">
        <v>0</v>
      </c>
      <c r="R505" s="2" t="inlineStr"/>
    </row>
    <row r="506" ht="15" customHeight="1">
      <c r="A506" t="inlineStr">
        <is>
          <t>A 58160-2024</t>
        </is>
      </c>
      <c r="B506" s="1" t="n">
        <v>45632.44927083333</v>
      </c>
      <c r="C506" s="1" t="n">
        <v>45888</v>
      </c>
      <c r="D506" t="inlineStr">
        <is>
          <t>GOTLANDS LÄN</t>
        </is>
      </c>
      <c r="E506" t="inlineStr">
        <is>
          <t>GOTLAND</t>
        </is>
      </c>
      <c r="G506" t="n">
        <v>5.6</v>
      </c>
      <c r="H506" t="n">
        <v>0</v>
      </c>
      <c r="I506" t="n">
        <v>0</v>
      </c>
      <c r="J506" t="n">
        <v>0</v>
      </c>
      <c r="K506" t="n">
        <v>0</v>
      </c>
      <c r="L506" t="n">
        <v>0</v>
      </c>
      <c r="M506" t="n">
        <v>0</v>
      </c>
      <c r="N506" t="n">
        <v>0</v>
      </c>
      <c r="O506" t="n">
        <v>0</v>
      </c>
      <c r="P506" t="n">
        <v>0</v>
      </c>
      <c r="Q506" t="n">
        <v>0</v>
      </c>
      <c r="R506" s="2" t="inlineStr"/>
    </row>
    <row r="507" ht="15" customHeight="1">
      <c r="A507" t="inlineStr">
        <is>
          <t>A 1394-2023</t>
        </is>
      </c>
      <c r="B507" s="1" t="n">
        <v>44936.72997685185</v>
      </c>
      <c r="C507" s="1" t="n">
        <v>45888</v>
      </c>
      <c r="D507" t="inlineStr">
        <is>
          <t>GOTLANDS LÄN</t>
        </is>
      </c>
      <c r="E507" t="inlineStr">
        <is>
          <t>GOTLAND</t>
        </is>
      </c>
      <c r="G507" t="n">
        <v>2.1</v>
      </c>
      <c r="H507" t="n">
        <v>0</v>
      </c>
      <c r="I507" t="n">
        <v>0</v>
      </c>
      <c r="J507" t="n">
        <v>0</v>
      </c>
      <c r="K507" t="n">
        <v>0</v>
      </c>
      <c r="L507" t="n">
        <v>0</v>
      </c>
      <c r="M507" t="n">
        <v>0</v>
      </c>
      <c r="N507" t="n">
        <v>0</v>
      </c>
      <c r="O507" t="n">
        <v>0</v>
      </c>
      <c r="P507" t="n">
        <v>0</v>
      </c>
      <c r="Q507" t="n">
        <v>0</v>
      </c>
      <c r="R507" s="2" t="inlineStr"/>
    </row>
    <row r="508" ht="15" customHeight="1">
      <c r="A508" t="inlineStr">
        <is>
          <t>A 2676-2023</t>
        </is>
      </c>
      <c r="B508" s="1" t="n">
        <v>44944</v>
      </c>
      <c r="C508" s="1" t="n">
        <v>45888</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4387-2023</t>
        </is>
      </c>
      <c r="B509" s="1" t="n">
        <v>44955.73359953704</v>
      </c>
      <c r="C509" s="1" t="n">
        <v>45888</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53934-2024</t>
        </is>
      </c>
      <c r="B510" s="1" t="n">
        <v>45615</v>
      </c>
      <c r="C510" s="1" t="n">
        <v>45888</v>
      </c>
      <c r="D510" t="inlineStr">
        <is>
          <t>GOTLANDS LÄN</t>
        </is>
      </c>
      <c r="E510" t="inlineStr">
        <is>
          <t>GOTLAND</t>
        </is>
      </c>
      <c r="G510" t="n">
        <v>5</v>
      </c>
      <c r="H510" t="n">
        <v>0</v>
      </c>
      <c r="I510" t="n">
        <v>0</v>
      </c>
      <c r="J510" t="n">
        <v>0</v>
      </c>
      <c r="K510" t="n">
        <v>0</v>
      </c>
      <c r="L510" t="n">
        <v>0</v>
      </c>
      <c r="M510" t="n">
        <v>0</v>
      </c>
      <c r="N510" t="n">
        <v>0</v>
      </c>
      <c r="O510" t="n">
        <v>0</v>
      </c>
      <c r="P510" t="n">
        <v>0</v>
      </c>
      <c r="Q510" t="n">
        <v>0</v>
      </c>
      <c r="R510" s="2" t="inlineStr"/>
    </row>
    <row r="511" ht="15" customHeight="1">
      <c r="A511" t="inlineStr">
        <is>
          <t>A 49411-2023</t>
        </is>
      </c>
      <c r="B511" s="1" t="n">
        <v>45205</v>
      </c>
      <c r="C511" s="1" t="n">
        <v>45888</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37728-2024</t>
        </is>
      </c>
      <c r="B512" s="1" t="n">
        <v>45541</v>
      </c>
      <c r="C512" s="1" t="n">
        <v>45888</v>
      </c>
      <c r="D512" t="inlineStr">
        <is>
          <t>GOTLANDS LÄN</t>
        </is>
      </c>
      <c r="E512" t="inlineStr">
        <is>
          <t>GOTLAND</t>
        </is>
      </c>
      <c r="G512" t="n">
        <v>0.4</v>
      </c>
      <c r="H512" t="n">
        <v>0</v>
      </c>
      <c r="I512" t="n">
        <v>0</v>
      </c>
      <c r="J512" t="n">
        <v>0</v>
      </c>
      <c r="K512" t="n">
        <v>0</v>
      </c>
      <c r="L512" t="n">
        <v>0</v>
      </c>
      <c r="M512" t="n">
        <v>0</v>
      </c>
      <c r="N512" t="n">
        <v>0</v>
      </c>
      <c r="O512" t="n">
        <v>0</v>
      </c>
      <c r="P512" t="n">
        <v>0</v>
      </c>
      <c r="Q512" t="n">
        <v>0</v>
      </c>
      <c r="R512" s="2" t="inlineStr"/>
    </row>
    <row r="513" ht="15" customHeight="1">
      <c r="A513" t="inlineStr">
        <is>
          <t>A 58132-2023</t>
        </is>
      </c>
      <c r="B513" s="1" t="n">
        <v>45250</v>
      </c>
      <c r="C513" s="1" t="n">
        <v>45888</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22899-2023</t>
        </is>
      </c>
      <c r="B514" s="1" t="n">
        <v>45072</v>
      </c>
      <c r="C514" s="1" t="n">
        <v>45888</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13627-2023</t>
        </is>
      </c>
      <c r="B515" s="1" t="n">
        <v>45006</v>
      </c>
      <c r="C515" s="1" t="n">
        <v>45888</v>
      </c>
      <c r="D515" t="inlineStr">
        <is>
          <t>GOTLANDS LÄN</t>
        </is>
      </c>
      <c r="E515" t="inlineStr">
        <is>
          <t>GOTLAND</t>
        </is>
      </c>
      <c r="G515" t="n">
        <v>10.7</v>
      </c>
      <c r="H515" t="n">
        <v>0</v>
      </c>
      <c r="I515" t="n">
        <v>0</v>
      </c>
      <c r="J515" t="n">
        <v>0</v>
      </c>
      <c r="K515" t="n">
        <v>0</v>
      </c>
      <c r="L515" t="n">
        <v>0</v>
      </c>
      <c r="M515" t="n">
        <v>0</v>
      </c>
      <c r="N515" t="n">
        <v>0</v>
      </c>
      <c r="O515" t="n">
        <v>0</v>
      </c>
      <c r="P515" t="n">
        <v>0</v>
      </c>
      <c r="Q515" t="n">
        <v>0</v>
      </c>
      <c r="R515" s="2" t="inlineStr"/>
    </row>
    <row r="516" ht="15" customHeight="1">
      <c r="A516" t="inlineStr">
        <is>
          <t>A 2241-2025</t>
        </is>
      </c>
      <c r="B516" s="1" t="n">
        <v>45673.48710648148</v>
      </c>
      <c r="C516" s="1" t="n">
        <v>45888</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16373-2025</t>
        </is>
      </c>
      <c r="B517" s="1" t="n">
        <v>45751</v>
      </c>
      <c r="C517" s="1" t="n">
        <v>45888</v>
      </c>
      <c r="D517" t="inlineStr">
        <is>
          <t>GOTLANDS LÄN</t>
        </is>
      </c>
      <c r="E517" t="inlineStr">
        <is>
          <t>GOTLAND</t>
        </is>
      </c>
      <c r="G517" t="n">
        <v>1.5</v>
      </c>
      <c r="H517" t="n">
        <v>0</v>
      </c>
      <c r="I517" t="n">
        <v>0</v>
      </c>
      <c r="J517" t="n">
        <v>0</v>
      </c>
      <c r="K517" t="n">
        <v>0</v>
      </c>
      <c r="L517" t="n">
        <v>0</v>
      </c>
      <c r="M517" t="n">
        <v>0</v>
      </c>
      <c r="N517" t="n">
        <v>0</v>
      </c>
      <c r="O517" t="n">
        <v>0</v>
      </c>
      <c r="P517" t="n">
        <v>0</v>
      </c>
      <c r="Q517" t="n">
        <v>0</v>
      </c>
      <c r="R517" s="2" t="inlineStr"/>
    </row>
    <row r="518" ht="15" customHeight="1">
      <c r="A518" t="inlineStr">
        <is>
          <t>A 28285-2024</t>
        </is>
      </c>
      <c r="B518" s="1" t="n">
        <v>45477</v>
      </c>
      <c r="C518" s="1" t="n">
        <v>45888</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51963-2024</t>
        </is>
      </c>
      <c r="B519" s="1" t="n">
        <v>45607.64833333333</v>
      </c>
      <c r="C519" s="1" t="n">
        <v>45888</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30135-2025</t>
        </is>
      </c>
      <c r="B520" s="1" t="n">
        <v>45826</v>
      </c>
      <c r="C520" s="1" t="n">
        <v>45888</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22275-2023</t>
        </is>
      </c>
      <c r="B521" s="1" t="n">
        <v>45070.39875</v>
      </c>
      <c r="C521" s="1" t="n">
        <v>45888</v>
      </c>
      <c r="D521" t="inlineStr">
        <is>
          <t>GOTLANDS LÄN</t>
        </is>
      </c>
      <c r="E521" t="inlineStr">
        <is>
          <t>GOTLAND</t>
        </is>
      </c>
      <c r="G521" t="n">
        <v>7.2</v>
      </c>
      <c r="H521" t="n">
        <v>0</v>
      </c>
      <c r="I521" t="n">
        <v>0</v>
      </c>
      <c r="J521" t="n">
        <v>0</v>
      </c>
      <c r="K521" t="n">
        <v>0</v>
      </c>
      <c r="L521" t="n">
        <v>0</v>
      </c>
      <c r="M521" t="n">
        <v>0</v>
      </c>
      <c r="N521" t="n">
        <v>0</v>
      </c>
      <c r="O521" t="n">
        <v>0</v>
      </c>
      <c r="P521" t="n">
        <v>0</v>
      </c>
      <c r="Q521" t="n">
        <v>0</v>
      </c>
      <c r="R521" s="2" t="inlineStr"/>
    </row>
    <row r="522" ht="15" customHeight="1">
      <c r="A522" t="inlineStr">
        <is>
          <t>A 14635-2023</t>
        </is>
      </c>
      <c r="B522" s="1" t="n">
        <v>45013.69365740741</v>
      </c>
      <c r="C522" s="1" t="n">
        <v>45888</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63763-2023</t>
        </is>
      </c>
      <c r="B523" s="1" t="n">
        <v>45278.33944444444</v>
      </c>
      <c r="C523" s="1" t="n">
        <v>45888</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16109-2025</t>
        </is>
      </c>
      <c r="B524" s="1" t="n">
        <v>45750</v>
      </c>
      <c r="C524" s="1" t="n">
        <v>45888</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7635-2025</t>
        </is>
      </c>
      <c r="B525" s="1" t="n">
        <v>45705</v>
      </c>
      <c r="C525" s="1" t="n">
        <v>45888</v>
      </c>
      <c r="D525" t="inlineStr">
        <is>
          <t>GOTLANDS LÄN</t>
        </is>
      </c>
      <c r="E525" t="inlineStr">
        <is>
          <t>GOTLAND</t>
        </is>
      </c>
      <c r="G525" t="n">
        <v>0.9</v>
      </c>
      <c r="H525" t="n">
        <v>0</v>
      </c>
      <c r="I525" t="n">
        <v>0</v>
      </c>
      <c r="J525" t="n">
        <v>0</v>
      </c>
      <c r="K525" t="n">
        <v>0</v>
      </c>
      <c r="L525" t="n">
        <v>0</v>
      </c>
      <c r="M525" t="n">
        <v>0</v>
      </c>
      <c r="N525" t="n">
        <v>0</v>
      </c>
      <c r="O525" t="n">
        <v>0</v>
      </c>
      <c r="P525" t="n">
        <v>0</v>
      </c>
      <c r="Q525" t="n">
        <v>0</v>
      </c>
      <c r="R525" s="2" t="inlineStr"/>
    </row>
    <row r="526" ht="15" customHeight="1">
      <c r="A526" t="inlineStr">
        <is>
          <t>A 7636-2025</t>
        </is>
      </c>
      <c r="B526" s="1" t="n">
        <v>45705.7687962963</v>
      </c>
      <c r="C526" s="1" t="n">
        <v>45888</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7639-2025</t>
        </is>
      </c>
      <c r="B527" s="1" t="n">
        <v>45705.77465277778</v>
      </c>
      <c r="C527" s="1" t="n">
        <v>45888</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60908-2024</t>
        </is>
      </c>
      <c r="B528" s="1" t="n">
        <v>45645.31320601852</v>
      </c>
      <c r="C528" s="1" t="n">
        <v>45888</v>
      </c>
      <c r="D528" t="inlineStr">
        <is>
          <t>GOTLANDS LÄN</t>
        </is>
      </c>
      <c r="E528" t="inlineStr">
        <is>
          <t>GOTLAND</t>
        </is>
      </c>
      <c r="G528" t="n">
        <v>7.1</v>
      </c>
      <c r="H528" t="n">
        <v>0</v>
      </c>
      <c r="I528" t="n">
        <v>0</v>
      </c>
      <c r="J528" t="n">
        <v>0</v>
      </c>
      <c r="K528" t="n">
        <v>0</v>
      </c>
      <c r="L528" t="n">
        <v>0</v>
      </c>
      <c r="M528" t="n">
        <v>0</v>
      </c>
      <c r="N528" t="n">
        <v>0</v>
      </c>
      <c r="O528" t="n">
        <v>0</v>
      </c>
      <c r="P528" t="n">
        <v>0</v>
      </c>
      <c r="Q528" t="n">
        <v>0</v>
      </c>
      <c r="R528" s="2" t="inlineStr"/>
    </row>
    <row r="529" ht="15" customHeight="1">
      <c r="A529" t="inlineStr">
        <is>
          <t>A 61682-2024</t>
        </is>
      </c>
      <c r="B529" s="1" t="n">
        <v>45647.48824074074</v>
      </c>
      <c r="C529" s="1" t="n">
        <v>45888</v>
      </c>
      <c r="D529" t="inlineStr">
        <is>
          <t>GOTLANDS LÄN</t>
        </is>
      </c>
      <c r="E529" t="inlineStr">
        <is>
          <t>GOTLAND</t>
        </is>
      </c>
      <c r="G529" t="n">
        <v>1.9</v>
      </c>
      <c r="H529" t="n">
        <v>0</v>
      </c>
      <c r="I529" t="n">
        <v>0</v>
      </c>
      <c r="J529" t="n">
        <v>0</v>
      </c>
      <c r="K529" t="n">
        <v>0</v>
      </c>
      <c r="L529" t="n">
        <v>0</v>
      </c>
      <c r="M529" t="n">
        <v>0</v>
      </c>
      <c r="N529" t="n">
        <v>0</v>
      </c>
      <c r="O529" t="n">
        <v>0</v>
      </c>
      <c r="P529" t="n">
        <v>0</v>
      </c>
      <c r="Q529" t="n">
        <v>0</v>
      </c>
      <c r="R529" s="2" t="inlineStr"/>
    </row>
    <row r="530" ht="15" customHeight="1">
      <c r="A530" t="inlineStr">
        <is>
          <t>A 15434-2024</t>
        </is>
      </c>
      <c r="B530" s="1" t="n">
        <v>45401.38836805556</v>
      </c>
      <c r="C530" s="1" t="n">
        <v>45888</v>
      </c>
      <c r="D530" t="inlineStr">
        <is>
          <t>GOTLANDS LÄN</t>
        </is>
      </c>
      <c r="E530" t="inlineStr">
        <is>
          <t>GOTLAND</t>
        </is>
      </c>
      <c r="G530" t="n">
        <v>2.5</v>
      </c>
      <c r="H530" t="n">
        <v>0</v>
      </c>
      <c r="I530" t="n">
        <v>0</v>
      </c>
      <c r="J530" t="n">
        <v>0</v>
      </c>
      <c r="K530" t="n">
        <v>0</v>
      </c>
      <c r="L530" t="n">
        <v>0</v>
      </c>
      <c r="M530" t="n">
        <v>0</v>
      </c>
      <c r="N530" t="n">
        <v>0</v>
      </c>
      <c r="O530" t="n">
        <v>0</v>
      </c>
      <c r="P530" t="n">
        <v>0</v>
      </c>
      <c r="Q530" t="n">
        <v>0</v>
      </c>
      <c r="R530" s="2" t="inlineStr"/>
    </row>
    <row r="531" ht="15" customHeight="1">
      <c r="A531" t="inlineStr">
        <is>
          <t>A 32467-2025</t>
        </is>
      </c>
      <c r="B531" s="1" t="n">
        <v>45838.42111111111</v>
      </c>
      <c r="C531" s="1" t="n">
        <v>45888</v>
      </c>
      <c r="D531" t="inlineStr">
        <is>
          <t>GOTLANDS LÄN</t>
        </is>
      </c>
      <c r="E531" t="inlineStr">
        <is>
          <t>GOTLAND</t>
        </is>
      </c>
      <c r="G531" t="n">
        <v>4.3</v>
      </c>
      <c r="H531" t="n">
        <v>0</v>
      </c>
      <c r="I531" t="n">
        <v>0</v>
      </c>
      <c r="J531" t="n">
        <v>0</v>
      </c>
      <c r="K531" t="n">
        <v>0</v>
      </c>
      <c r="L531" t="n">
        <v>0</v>
      </c>
      <c r="M531" t="n">
        <v>0</v>
      </c>
      <c r="N531" t="n">
        <v>0</v>
      </c>
      <c r="O531" t="n">
        <v>0</v>
      </c>
      <c r="P531" t="n">
        <v>0</v>
      </c>
      <c r="Q531" t="n">
        <v>0</v>
      </c>
      <c r="R531" s="2" t="inlineStr"/>
    </row>
    <row r="532" ht="15" customHeight="1">
      <c r="A532" t="inlineStr">
        <is>
          <t>A 1734-2025</t>
        </is>
      </c>
      <c r="B532" s="1" t="n">
        <v>45671.3840625</v>
      </c>
      <c r="C532" s="1" t="n">
        <v>45888</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30365-2024</t>
        </is>
      </c>
      <c r="B533" s="1" t="n">
        <v>45491.3716087963</v>
      </c>
      <c r="C533" s="1" t="n">
        <v>45888</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2674-2023</t>
        </is>
      </c>
      <c r="B534" s="1" t="n">
        <v>44944</v>
      </c>
      <c r="C534" s="1" t="n">
        <v>45888</v>
      </c>
      <c r="D534" t="inlineStr">
        <is>
          <t>GOTLANDS LÄN</t>
        </is>
      </c>
      <c r="E534" t="inlineStr">
        <is>
          <t>GOTLAND</t>
        </is>
      </c>
      <c r="G534" t="n">
        <v>2.5</v>
      </c>
      <c r="H534" t="n">
        <v>0</v>
      </c>
      <c r="I534" t="n">
        <v>0</v>
      </c>
      <c r="J534" t="n">
        <v>0</v>
      </c>
      <c r="K534" t="n">
        <v>0</v>
      </c>
      <c r="L534" t="n">
        <v>0</v>
      </c>
      <c r="M534" t="n">
        <v>0</v>
      </c>
      <c r="N534" t="n">
        <v>0</v>
      </c>
      <c r="O534" t="n">
        <v>0</v>
      </c>
      <c r="P534" t="n">
        <v>0</v>
      </c>
      <c r="Q534" t="n">
        <v>0</v>
      </c>
      <c r="R534" s="2" t="inlineStr"/>
    </row>
    <row r="535" ht="15" customHeight="1">
      <c r="A535" t="inlineStr">
        <is>
          <t>A 14915-2025</t>
        </is>
      </c>
      <c r="B535" s="1" t="n">
        <v>45743.53121527778</v>
      </c>
      <c r="C535" s="1" t="n">
        <v>45888</v>
      </c>
      <c r="D535" t="inlineStr">
        <is>
          <t>GOTLANDS LÄN</t>
        </is>
      </c>
      <c r="E535" t="inlineStr">
        <is>
          <t>GOTLAND</t>
        </is>
      </c>
      <c r="G535" t="n">
        <v>5.9</v>
      </c>
      <c r="H535" t="n">
        <v>0</v>
      </c>
      <c r="I535" t="n">
        <v>0</v>
      </c>
      <c r="J535" t="n">
        <v>0</v>
      </c>
      <c r="K535" t="n">
        <v>0</v>
      </c>
      <c r="L535" t="n">
        <v>0</v>
      </c>
      <c r="M535" t="n">
        <v>0</v>
      </c>
      <c r="N535" t="n">
        <v>0</v>
      </c>
      <c r="O535" t="n">
        <v>0</v>
      </c>
      <c r="P535" t="n">
        <v>0</v>
      </c>
      <c r="Q535" t="n">
        <v>0</v>
      </c>
      <c r="R535" s="2" t="inlineStr"/>
    </row>
    <row r="536" ht="15" customHeight="1">
      <c r="A536" t="inlineStr">
        <is>
          <t>A 7034-2023</t>
        </is>
      </c>
      <c r="B536" s="1" t="n">
        <v>44968.32108796296</v>
      </c>
      <c r="C536" s="1" t="n">
        <v>45888</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7042-2023</t>
        </is>
      </c>
      <c r="B537" s="1" t="n">
        <v>44968</v>
      </c>
      <c r="C537" s="1" t="n">
        <v>45888</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32378-2025</t>
        </is>
      </c>
      <c r="B538" s="1" t="n">
        <v>45837</v>
      </c>
      <c r="C538" s="1" t="n">
        <v>45888</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2180-2025</t>
        </is>
      </c>
      <c r="B539" s="1" t="n">
        <v>45673</v>
      </c>
      <c r="C539" s="1" t="n">
        <v>45888</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32686-2025</t>
        </is>
      </c>
      <c r="B540" s="1" t="n">
        <v>45838</v>
      </c>
      <c r="C540" s="1" t="n">
        <v>45888</v>
      </c>
      <c r="D540" t="inlineStr">
        <is>
          <t>GOTLANDS LÄN</t>
        </is>
      </c>
      <c r="E540" t="inlineStr">
        <is>
          <t>GOTLAND</t>
        </is>
      </c>
      <c r="G540" t="n">
        <v>2.2</v>
      </c>
      <c r="H540" t="n">
        <v>0</v>
      </c>
      <c r="I540" t="n">
        <v>0</v>
      </c>
      <c r="J540" t="n">
        <v>0</v>
      </c>
      <c r="K540" t="n">
        <v>0</v>
      </c>
      <c r="L540" t="n">
        <v>0</v>
      </c>
      <c r="M540" t="n">
        <v>0</v>
      </c>
      <c r="N540" t="n">
        <v>0</v>
      </c>
      <c r="O540" t="n">
        <v>0</v>
      </c>
      <c r="P540" t="n">
        <v>0</v>
      </c>
      <c r="Q540" t="n">
        <v>0</v>
      </c>
      <c r="R540" s="2" t="inlineStr"/>
    </row>
    <row r="541" ht="15" customHeight="1">
      <c r="A541" t="inlineStr">
        <is>
          <t>A 61100-2022</t>
        </is>
      </c>
      <c r="B541" s="1" t="n">
        <v>44915</v>
      </c>
      <c r="C541" s="1" t="n">
        <v>45888</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20660-2025</t>
        </is>
      </c>
      <c r="B542" s="1" t="n">
        <v>45776</v>
      </c>
      <c r="C542" s="1" t="n">
        <v>45888</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43785-2024</t>
        </is>
      </c>
      <c r="B543" s="1" t="n">
        <v>45570</v>
      </c>
      <c r="C543" s="1" t="n">
        <v>45888</v>
      </c>
      <c r="D543" t="inlineStr">
        <is>
          <t>GOTLANDS LÄN</t>
        </is>
      </c>
      <c r="E543" t="inlineStr">
        <is>
          <t>GOTLAND</t>
        </is>
      </c>
      <c r="G543" t="n">
        <v>12.6</v>
      </c>
      <c r="H543" t="n">
        <v>0</v>
      </c>
      <c r="I543" t="n">
        <v>0</v>
      </c>
      <c r="J543" t="n">
        <v>0</v>
      </c>
      <c r="K543" t="n">
        <v>0</v>
      </c>
      <c r="L543" t="n">
        <v>0</v>
      </c>
      <c r="M543" t="n">
        <v>0</v>
      </c>
      <c r="N543" t="n">
        <v>0</v>
      </c>
      <c r="O543" t="n">
        <v>0</v>
      </c>
      <c r="P543" t="n">
        <v>0</v>
      </c>
      <c r="Q543" t="n">
        <v>0</v>
      </c>
      <c r="R543" s="2" t="inlineStr"/>
    </row>
    <row r="544" ht="15" customHeight="1">
      <c r="A544" t="inlineStr">
        <is>
          <t>A 43790-2024</t>
        </is>
      </c>
      <c r="B544" s="1" t="n">
        <v>45571</v>
      </c>
      <c r="C544" s="1" t="n">
        <v>45888</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32379-2025</t>
        </is>
      </c>
      <c r="B545" s="1" t="n">
        <v>45837</v>
      </c>
      <c r="C545" s="1" t="n">
        <v>45888</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581-2023</t>
        </is>
      </c>
      <c r="B546" s="1" t="n">
        <v>44930</v>
      </c>
      <c r="C546" s="1" t="n">
        <v>45888</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33078-2025</t>
        </is>
      </c>
      <c r="B547" s="1" t="n">
        <v>45840</v>
      </c>
      <c r="C547" s="1" t="n">
        <v>45888</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45888</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61694-2023</t>
        </is>
      </c>
      <c r="B549" s="1" t="n">
        <v>45264</v>
      </c>
      <c r="C549" s="1" t="n">
        <v>45888</v>
      </c>
      <c r="D549" t="inlineStr">
        <is>
          <t>GOTLANDS LÄN</t>
        </is>
      </c>
      <c r="E549" t="inlineStr">
        <is>
          <t>GOTLAND</t>
        </is>
      </c>
      <c r="G549" t="n">
        <v>4.6</v>
      </c>
      <c r="H549" t="n">
        <v>0</v>
      </c>
      <c r="I549" t="n">
        <v>0</v>
      </c>
      <c r="J549" t="n">
        <v>0</v>
      </c>
      <c r="K549" t="n">
        <v>0</v>
      </c>
      <c r="L549" t="n">
        <v>0</v>
      </c>
      <c r="M549" t="n">
        <v>0</v>
      </c>
      <c r="N549" t="n">
        <v>0</v>
      </c>
      <c r="O549" t="n">
        <v>0</v>
      </c>
      <c r="P549" t="n">
        <v>0</v>
      </c>
      <c r="Q549" t="n">
        <v>0</v>
      </c>
      <c r="R549" s="2" t="inlineStr"/>
    </row>
    <row r="550" ht="15" customHeight="1">
      <c r="A550" t="inlineStr">
        <is>
          <t>A 10655-2023</t>
        </is>
      </c>
      <c r="B550" s="1" t="n">
        <v>44988.49543981482</v>
      </c>
      <c r="C550" s="1" t="n">
        <v>45888</v>
      </c>
      <c r="D550" t="inlineStr">
        <is>
          <t>GOTLANDS LÄN</t>
        </is>
      </c>
      <c r="E550" t="inlineStr">
        <is>
          <t>GOTLAND</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64208-2021</t>
        </is>
      </c>
      <c r="B551" s="1" t="n">
        <v>44510</v>
      </c>
      <c r="C551" s="1" t="n">
        <v>45888</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44649-2021</t>
        </is>
      </c>
      <c r="B552" s="1" t="n">
        <v>44437</v>
      </c>
      <c r="C552" s="1" t="n">
        <v>45888</v>
      </c>
      <c r="D552" t="inlineStr">
        <is>
          <t>GOTLANDS LÄN</t>
        </is>
      </c>
      <c r="E552" t="inlineStr">
        <is>
          <t>GOTLAND</t>
        </is>
      </c>
      <c r="G552" t="n">
        <v>8.1</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45888</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8484-2025</t>
        </is>
      </c>
      <c r="B554" s="1" t="n">
        <v>45709</v>
      </c>
      <c r="C554" s="1" t="n">
        <v>45888</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1446-2025</t>
        </is>
      </c>
      <c r="B555" s="1" t="n">
        <v>45669.86035879629</v>
      </c>
      <c r="C555" s="1" t="n">
        <v>45888</v>
      </c>
      <c r="D555" t="inlineStr">
        <is>
          <t>GOTLANDS LÄN</t>
        </is>
      </c>
      <c r="E555" t="inlineStr">
        <is>
          <t>GOTLAND</t>
        </is>
      </c>
      <c r="G555" t="n">
        <v>3.1</v>
      </c>
      <c r="H555" t="n">
        <v>0</v>
      </c>
      <c r="I555" t="n">
        <v>0</v>
      </c>
      <c r="J555" t="n">
        <v>0</v>
      </c>
      <c r="K555" t="n">
        <v>0</v>
      </c>
      <c r="L555" t="n">
        <v>0</v>
      </c>
      <c r="M555" t="n">
        <v>0</v>
      </c>
      <c r="N555" t="n">
        <v>0</v>
      </c>
      <c r="O555" t="n">
        <v>0</v>
      </c>
      <c r="P555" t="n">
        <v>0</v>
      </c>
      <c r="Q555" t="n">
        <v>0</v>
      </c>
      <c r="R555" s="2" t="inlineStr"/>
    </row>
    <row r="556" ht="15" customHeight="1">
      <c r="A556" t="inlineStr">
        <is>
          <t>A 1462-2025</t>
        </is>
      </c>
      <c r="B556" s="1" t="n">
        <v>45670.36319444444</v>
      </c>
      <c r="C556" s="1" t="n">
        <v>45888</v>
      </c>
      <c r="D556" t="inlineStr">
        <is>
          <t>GOTLANDS LÄN</t>
        </is>
      </c>
      <c r="E556" t="inlineStr">
        <is>
          <t>GOTLAND</t>
        </is>
      </c>
      <c r="G556" t="n">
        <v>2.8</v>
      </c>
      <c r="H556" t="n">
        <v>0</v>
      </c>
      <c r="I556" t="n">
        <v>0</v>
      </c>
      <c r="J556" t="n">
        <v>0</v>
      </c>
      <c r="K556" t="n">
        <v>0</v>
      </c>
      <c r="L556" t="n">
        <v>0</v>
      </c>
      <c r="M556" t="n">
        <v>0</v>
      </c>
      <c r="N556" t="n">
        <v>0</v>
      </c>
      <c r="O556" t="n">
        <v>0</v>
      </c>
      <c r="P556" t="n">
        <v>0</v>
      </c>
      <c r="Q556" t="n">
        <v>0</v>
      </c>
      <c r="R556" s="2" t="inlineStr"/>
    </row>
    <row r="557" ht="15" customHeight="1">
      <c r="A557" t="inlineStr">
        <is>
          <t>A 57685-2022</t>
        </is>
      </c>
      <c r="B557" s="1" t="n">
        <v>44897.4777662037</v>
      </c>
      <c r="C557" s="1" t="n">
        <v>45888</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811-2023</t>
        </is>
      </c>
      <c r="B558" s="1" t="n">
        <v>44931</v>
      </c>
      <c r="C558" s="1" t="n">
        <v>45888</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33007-2025</t>
        </is>
      </c>
      <c r="B559" s="1" t="n">
        <v>45840</v>
      </c>
      <c r="C559" s="1" t="n">
        <v>45888</v>
      </c>
      <c r="D559" t="inlineStr">
        <is>
          <t>GOTLANDS LÄN</t>
        </is>
      </c>
      <c r="E559" t="inlineStr">
        <is>
          <t>GOTLAND</t>
        </is>
      </c>
      <c r="G559" t="n">
        <v>4.9</v>
      </c>
      <c r="H559" t="n">
        <v>0</v>
      </c>
      <c r="I559" t="n">
        <v>0</v>
      </c>
      <c r="J559" t="n">
        <v>0</v>
      </c>
      <c r="K559" t="n">
        <v>0</v>
      </c>
      <c r="L559" t="n">
        <v>0</v>
      </c>
      <c r="M559" t="n">
        <v>0</v>
      </c>
      <c r="N559" t="n">
        <v>0</v>
      </c>
      <c r="O559" t="n">
        <v>0</v>
      </c>
      <c r="P559" t="n">
        <v>0</v>
      </c>
      <c r="Q559" t="n">
        <v>0</v>
      </c>
      <c r="R559" s="2" t="inlineStr"/>
    </row>
    <row r="560" ht="15" customHeight="1">
      <c r="A560" t="inlineStr">
        <is>
          <t>A 33011-2025</t>
        </is>
      </c>
      <c r="B560" s="1" t="n">
        <v>45840</v>
      </c>
      <c r="C560" s="1" t="n">
        <v>45888</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5905-2024</t>
        </is>
      </c>
      <c r="B561" s="1" t="n">
        <v>45335.88993055555</v>
      </c>
      <c r="C561" s="1" t="n">
        <v>45888</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3431-2025</t>
        </is>
      </c>
      <c r="B562" s="1" t="n">
        <v>45680.42935185185</v>
      </c>
      <c r="C562" s="1" t="n">
        <v>45888</v>
      </c>
      <c r="D562" t="inlineStr">
        <is>
          <t>GOTLANDS LÄN</t>
        </is>
      </c>
      <c r="E562" t="inlineStr">
        <is>
          <t>GOTLAND</t>
        </is>
      </c>
      <c r="G562" t="n">
        <v>4.8</v>
      </c>
      <c r="H562" t="n">
        <v>0</v>
      </c>
      <c r="I562" t="n">
        <v>0</v>
      </c>
      <c r="J562" t="n">
        <v>0</v>
      </c>
      <c r="K562" t="n">
        <v>0</v>
      </c>
      <c r="L562" t="n">
        <v>0</v>
      </c>
      <c r="M562" t="n">
        <v>0</v>
      </c>
      <c r="N562" t="n">
        <v>0</v>
      </c>
      <c r="O562" t="n">
        <v>0</v>
      </c>
      <c r="P562" t="n">
        <v>0</v>
      </c>
      <c r="Q562" t="n">
        <v>0</v>
      </c>
      <c r="R562" s="2" t="inlineStr"/>
    </row>
    <row r="563" ht="15" customHeight="1">
      <c r="A563" t="inlineStr">
        <is>
          <t>A 34407-2023</t>
        </is>
      </c>
      <c r="B563" s="1" t="n">
        <v>45132</v>
      </c>
      <c r="C563" s="1" t="n">
        <v>45888</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30892-2024</t>
        </is>
      </c>
      <c r="B564" s="1" t="n">
        <v>45491</v>
      </c>
      <c r="C564" s="1" t="n">
        <v>45888</v>
      </c>
      <c r="D564" t="inlineStr">
        <is>
          <t>GOTLANDS LÄN</t>
        </is>
      </c>
      <c r="E564" t="inlineStr">
        <is>
          <t>GOTLAND</t>
        </is>
      </c>
      <c r="G564" t="n">
        <v>6.1</v>
      </c>
      <c r="H564" t="n">
        <v>0</v>
      </c>
      <c r="I564" t="n">
        <v>0</v>
      </c>
      <c r="J564" t="n">
        <v>0</v>
      </c>
      <c r="K564" t="n">
        <v>0</v>
      </c>
      <c r="L564" t="n">
        <v>0</v>
      </c>
      <c r="M564" t="n">
        <v>0</v>
      </c>
      <c r="N564" t="n">
        <v>0</v>
      </c>
      <c r="O564" t="n">
        <v>0</v>
      </c>
      <c r="P564" t="n">
        <v>0</v>
      </c>
      <c r="Q564" t="n">
        <v>0</v>
      </c>
      <c r="R564" s="2" t="inlineStr"/>
    </row>
    <row r="565" ht="15" customHeight="1">
      <c r="A565" t="inlineStr">
        <is>
          <t>A 32958-2021</t>
        </is>
      </c>
      <c r="B565" s="1" t="n">
        <v>44376</v>
      </c>
      <c r="C565" s="1" t="n">
        <v>45888</v>
      </c>
      <c r="D565" t="inlineStr">
        <is>
          <t>GOTLANDS LÄN</t>
        </is>
      </c>
      <c r="E565" t="inlineStr">
        <is>
          <t>GOTLAND</t>
        </is>
      </c>
      <c r="G565" t="n">
        <v>2.2</v>
      </c>
      <c r="H565" t="n">
        <v>0</v>
      </c>
      <c r="I565" t="n">
        <v>0</v>
      </c>
      <c r="J565" t="n">
        <v>0</v>
      </c>
      <c r="K565" t="n">
        <v>0</v>
      </c>
      <c r="L565" t="n">
        <v>0</v>
      </c>
      <c r="M565" t="n">
        <v>0</v>
      </c>
      <c r="N565" t="n">
        <v>0</v>
      </c>
      <c r="O565" t="n">
        <v>0</v>
      </c>
      <c r="P565" t="n">
        <v>0</v>
      </c>
      <c r="Q565" t="n">
        <v>0</v>
      </c>
      <c r="R565" s="2" t="inlineStr"/>
    </row>
    <row r="566" ht="15" customHeight="1">
      <c r="A566" t="inlineStr">
        <is>
          <t>A 49962-2023</t>
        </is>
      </c>
      <c r="B566" s="1" t="n">
        <v>45215.38775462963</v>
      </c>
      <c r="C566" s="1" t="n">
        <v>45888</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37591-2023</t>
        </is>
      </c>
      <c r="B567" s="1" t="n">
        <v>45159</v>
      </c>
      <c r="C567" s="1" t="n">
        <v>45888</v>
      </c>
      <c r="D567" t="inlineStr">
        <is>
          <t>GOTLANDS LÄN</t>
        </is>
      </c>
      <c r="E567" t="inlineStr">
        <is>
          <t>GOTLAND</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38649-2025</t>
        </is>
      </c>
      <c r="B568" s="1" t="n">
        <v>45884</v>
      </c>
      <c r="C568" s="1" t="n">
        <v>45888</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50744-2024</t>
        </is>
      </c>
      <c r="B569" s="1" t="n">
        <v>45602.4187037037</v>
      </c>
      <c r="C569" s="1" t="n">
        <v>45888</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45244-2024</t>
        </is>
      </c>
      <c r="B570" s="1" t="n">
        <v>45576</v>
      </c>
      <c r="C570" s="1" t="n">
        <v>45888</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38787-2023</t>
        </is>
      </c>
      <c r="B571" s="1" t="n">
        <v>45163</v>
      </c>
      <c r="C571" s="1" t="n">
        <v>45888</v>
      </c>
      <c r="D571" t="inlineStr">
        <is>
          <t>GOTLANDS LÄN</t>
        </is>
      </c>
      <c r="E571" t="inlineStr">
        <is>
          <t>GOTLAND</t>
        </is>
      </c>
      <c r="G571" t="n">
        <v>0.4</v>
      </c>
      <c r="H571" t="n">
        <v>0</v>
      </c>
      <c r="I571" t="n">
        <v>0</v>
      </c>
      <c r="J571" t="n">
        <v>0</v>
      </c>
      <c r="K571" t="n">
        <v>0</v>
      </c>
      <c r="L571" t="n">
        <v>0</v>
      </c>
      <c r="M571" t="n">
        <v>0</v>
      </c>
      <c r="N571" t="n">
        <v>0</v>
      </c>
      <c r="O571" t="n">
        <v>0</v>
      </c>
      <c r="P571" t="n">
        <v>0</v>
      </c>
      <c r="Q571" t="n">
        <v>0</v>
      </c>
      <c r="R571" s="2" t="inlineStr"/>
    </row>
    <row r="572" ht="15" customHeight="1">
      <c r="A572" t="inlineStr">
        <is>
          <t>A 7858-2025</t>
        </is>
      </c>
      <c r="B572" s="1" t="n">
        <v>45706.68633101852</v>
      </c>
      <c r="C572" s="1" t="n">
        <v>45888</v>
      </c>
      <c r="D572" t="inlineStr">
        <is>
          <t>GOTLANDS LÄN</t>
        </is>
      </c>
      <c r="E572" t="inlineStr">
        <is>
          <t>GOTLAND</t>
        </is>
      </c>
      <c r="G572" t="n">
        <v>3</v>
      </c>
      <c r="H572" t="n">
        <v>0</v>
      </c>
      <c r="I572" t="n">
        <v>0</v>
      </c>
      <c r="J572" t="n">
        <v>0</v>
      </c>
      <c r="K572" t="n">
        <v>0</v>
      </c>
      <c r="L572" t="n">
        <v>0</v>
      </c>
      <c r="M572" t="n">
        <v>0</v>
      </c>
      <c r="N572" t="n">
        <v>0</v>
      </c>
      <c r="O572" t="n">
        <v>0</v>
      </c>
      <c r="P572" t="n">
        <v>0</v>
      </c>
      <c r="Q572" t="n">
        <v>0</v>
      </c>
      <c r="R572" s="2" t="inlineStr"/>
    </row>
    <row r="573" ht="15" customHeight="1">
      <c r="A573" t="inlineStr">
        <is>
          <t>A 46545-2024</t>
        </is>
      </c>
      <c r="B573" s="1" t="n">
        <v>45582.65831018519</v>
      </c>
      <c r="C573" s="1" t="n">
        <v>45888</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2714-2023</t>
        </is>
      </c>
      <c r="B574" s="1" t="n">
        <v>44944.54896990741</v>
      </c>
      <c r="C574" s="1" t="n">
        <v>45888</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22897-2023</t>
        </is>
      </c>
      <c r="B575" s="1" t="n">
        <v>45072.55239583334</v>
      </c>
      <c r="C575" s="1" t="n">
        <v>45888</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34142-2024</t>
        </is>
      </c>
      <c r="B576" s="1" t="n">
        <v>45524.36521990741</v>
      </c>
      <c r="C576" s="1" t="n">
        <v>45888</v>
      </c>
      <c r="D576" t="inlineStr">
        <is>
          <t>GOTLANDS LÄN</t>
        </is>
      </c>
      <c r="E576" t="inlineStr">
        <is>
          <t>GOTLAND</t>
        </is>
      </c>
      <c r="G576" t="n">
        <v>6</v>
      </c>
      <c r="H576" t="n">
        <v>0</v>
      </c>
      <c r="I576" t="n">
        <v>0</v>
      </c>
      <c r="J576" t="n">
        <v>0</v>
      </c>
      <c r="K576" t="n">
        <v>0</v>
      </c>
      <c r="L576" t="n">
        <v>0</v>
      </c>
      <c r="M576" t="n">
        <v>0</v>
      </c>
      <c r="N576" t="n">
        <v>0</v>
      </c>
      <c r="O576" t="n">
        <v>0</v>
      </c>
      <c r="P576" t="n">
        <v>0</v>
      </c>
      <c r="Q576" t="n">
        <v>0</v>
      </c>
      <c r="R576" s="2" t="inlineStr"/>
    </row>
    <row r="577" ht="15" customHeight="1">
      <c r="A577" t="inlineStr">
        <is>
          <t>A 4568-2025</t>
        </is>
      </c>
      <c r="B577" s="1" t="n">
        <v>45687</v>
      </c>
      <c r="C577" s="1" t="n">
        <v>45888</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1681-2023</t>
        </is>
      </c>
      <c r="B578" s="1" t="n">
        <v>44938.39715277778</v>
      </c>
      <c r="C578" s="1" t="n">
        <v>45888</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42338-2023</t>
        </is>
      </c>
      <c r="B579" s="1" t="n">
        <v>45180</v>
      </c>
      <c r="C579" s="1" t="n">
        <v>45888</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18918-2025</t>
        </is>
      </c>
      <c r="B580" s="1" t="n">
        <v>45764</v>
      </c>
      <c r="C580" s="1" t="n">
        <v>45888</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11013-2024</t>
        </is>
      </c>
      <c r="B581" s="1" t="n">
        <v>45370</v>
      </c>
      <c r="C581" s="1" t="n">
        <v>45888</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45084-2024</t>
        </is>
      </c>
      <c r="B582" s="1" t="n">
        <v>45575</v>
      </c>
      <c r="C582" s="1" t="n">
        <v>45888</v>
      </c>
      <c r="D582" t="inlineStr">
        <is>
          <t>GOTLANDS LÄN</t>
        </is>
      </c>
      <c r="E582" t="inlineStr">
        <is>
          <t>GOTLAND</t>
        </is>
      </c>
      <c r="G582" t="n">
        <v>6.8</v>
      </c>
      <c r="H582" t="n">
        <v>0</v>
      </c>
      <c r="I582" t="n">
        <v>0</v>
      </c>
      <c r="J582" t="n">
        <v>0</v>
      </c>
      <c r="K582" t="n">
        <v>0</v>
      </c>
      <c r="L582" t="n">
        <v>0</v>
      </c>
      <c r="M582" t="n">
        <v>0</v>
      </c>
      <c r="N582" t="n">
        <v>0</v>
      </c>
      <c r="O582" t="n">
        <v>0</v>
      </c>
      <c r="P582" t="n">
        <v>0</v>
      </c>
      <c r="Q582" t="n">
        <v>0</v>
      </c>
      <c r="R582" s="2" t="inlineStr"/>
    </row>
    <row r="583" ht="15" customHeight="1">
      <c r="A583" t="inlineStr">
        <is>
          <t>A 20356-2022</t>
        </is>
      </c>
      <c r="B583" s="1" t="n">
        <v>44699</v>
      </c>
      <c r="C583" s="1" t="n">
        <v>45888</v>
      </c>
      <c r="D583" t="inlineStr">
        <is>
          <t>GOTLANDS LÄN</t>
        </is>
      </c>
      <c r="E583" t="inlineStr">
        <is>
          <t>GOTLAND</t>
        </is>
      </c>
      <c r="F583" t="inlineStr">
        <is>
          <t>Övriga Aktiebolag</t>
        </is>
      </c>
      <c r="G583" t="n">
        <v>4.4</v>
      </c>
      <c r="H583" t="n">
        <v>0</v>
      </c>
      <c r="I583" t="n">
        <v>0</v>
      </c>
      <c r="J583" t="n">
        <v>0</v>
      </c>
      <c r="K583" t="n">
        <v>0</v>
      </c>
      <c r="L583" t="n">
        <v>0</v>
      </c>
      <c r="M583" t="n">
        <v>0</v>
      </c>
      <c r="N583" t="n">
        <v>0</v>
      </c>
      <c r="O583" t="n">
        <v>0</v>
      </c>
      <c r="P583" t="n">
        <v>0</v>
      </c>
      <c r="Q583" t="n">
        <v>0</v>
      </c>
      <c r="R583" s="2" t="inlineStr"/>
    </row>
    <row r="584" ht="15" customHeight="1">
      <c r="A584" t="inlineStr">
        <is>
          <t>A 4868-2024</t>
        </is>
      </c>
      <c r="B584" s="1" t="n">
        <v>45329</v>
      </c>
      <c r="C584" s="1" t="n">
        <v>45888</v>
      </c>
      <c r="D584" t="inlineStr">
        <is>
          <t>GOTLANDS LÄN</t>
        </is>
      </c>
      <c r="E584" t="inlineStr">
        <is>
          <t>GOTLAND</t>
        </is>
      </c>
      <c r="G584" t="n">
        <v>7.1</v>
      </c>
      <c r="H584" t="n">
        <v>0</v>
      </c>
      <c r="I584" t="n">
        <v>0</v>
      </c>
      <c r="J584" t="n">
        <v>0</v>
      </c>
      <c r="K584" t="n">
        <v>0</v>
      </c>
      <c r="L584" t="n">
        <v>0</v>
      </c>
      <c r="M584" t="n">
        <v>0</v>
      </c>
      <c r="N584" t="n">
        <v>0</v>
      </c>
      <c r="O584" t="n">
        <v>0</v>
      </c>
      <c r="P584" t="n">
        <v>0</v>
      </c>
      <c r="Q584" t="n">
        <v>0</v>
      </c>
      <c r="R584" s="2" t="inlineStr"/>
    </row>
    <row r="585" ht="15" customHeight="1">
      <c r="A585" t="inlineStr">
        <is>
          <t>A 9613-2025</t>
        </is>
      </c>
      <c r="B585" s="1" t="n">
        <v>45715</v>
      </c>
      <c r="C585" s="1" t="n">
        <v>45888</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5386-2023</t>
        </is>
      </c>
      <c r="B586" s="1" t="n">
        <v>44959</v>
      </c>
      <c r="C586" s="1" t="n">
        <v>45888</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58211-2024</t>
        </is>
      </c>
      <c r="B587" s="1" t="n">
        <v>45632.49292824074</v>
      </c>
      <c r="C587" s="1" t="n">
        <v>45888</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11634-2024</t>
        </is>
      </c>
      <c r="B588" s="1" t="n">
        <v>45373</v>
      </c>
      <c r="C588" s="1" t="n">
        <v>45888</v>
      </c>
      <c r="D588" t="inlineStr">
        <is>
          <t>GOTLANDS LÄN</t>
        </is>
      </c>
      <c r="E588" t="inlineStr">
        <is>
          <t>GOTLAND</t>
        </is>
      </c>
      <c r="G588" t="n">
        <v>3</v>
      </c>
      <c r="H588" t="n">
        <v>0</v>
      </c>
      <c r="I588" t="n">
        <v>0</v>
      </c>
      <c r="J588" t="n">
        <v>0</v>
      </c>
      <c r="K588" t="n">
        <v>0</v>
      </c>
      <c r="L588" t="n">
        <v>0</v>
      </c>
      <c r="M588" t="n">
        <v>0</v>
      </c>
      <c r="N588" t="n">
        <v>0</v>
      </c>
      <c r="O588" t="n">
        <v>0</v>
      </c>
      <c r="P588" t="n">
        <v>0</v>
      </c>
      <c r="Q588" t="n">
        <v>0</v>
      </c>
      <c r="R588" s="2" t="inlineStr"/>
    </row>
    <row r="589" ht="15" customHeight="1">
      <c r="A589" t="inlineStr">
        <is>
          <t>A 5884-2025</t>
        </is>
      </c>
      <c r="B589" s="1" t="n">
        <v>45695.37482638889</v>
      </c>
      <c r="C589" s="1" t="n">
        <v>45888</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5897-2025</t>
        </is>
      </c>
      <c r="B590" s="1" t="n">
        <v>45695.39273148148</v>
      </c>
      <c r="C590" s="1" t="n">
        <v>45888</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5909-2025</t>
        </is>
      </c>
      <c r="B591" s="1" t="n">
        <v>45695.40634259259</v>
      </c>
      <c r="C591" s="1" t="n">
        <v>45888</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60086-2022</t>
        </is>
      </c>
      <c r="B592" s="1" t="n">
        <v>44909</v>
      </c>
      <c r="C592" s="1" t="n">
        <v>45888</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45888</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17847-2025</t>
        </is>
      </c>
      <c r="B594" s="1" t="n">
        <v>45758</v>
      </c>
      <c r="C594" s="1" t="n">
        <v>45888</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25866-2022</t>
        </is>
      </c>
      <c r="B595" s="1" t="n">
        <v>44733</v>
      </c>
      <c r="C595" s="1" t="n">
        <v>45888</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15001-2025</t>
        </is>
      </c>
      <c r="B596" s="1" t="n">
        <v>45743</v>
      </c>
      <c r="C596" s="1" t="n">
        <v>45888</v>
      </c>
      <c r="D596" t="inlineStr">
        <is>
          <t>GOTLANDS LÄN</t>
        </is>
      </c>
      <c r="E596" t="inlineStr">
        <is>
          <t>GOTLAND</t>
        </is>
      </c>
      <c r="G596" t="n">
        <v>1.2</v>
      </c>
      <c r="H596" t="n">
        <v>0</v>
      </c>
      <c r="I596" t="n">
        <v>0</v>
      </c>
      <c r="J596" t="n">
        <v>0</v>
      </c>
      <c r="K596" t="n">
        <v>0</v>
      </c>
      <c r="L596" t="n">
        <v>0</v>
      </c>
      <c r="M596" t="n">
        <v>0</v>
      </c>
      <c r="N596" t="n">
        <v>0</v>
      </c>
      <c r="O596" t="n">
        <v>0</v>
      </c>
      <c r="P596" t="n">
        <v>0</v>
      </c>
      <c r="Q596" t="n">
        <v>0</v>
      </c>
      <c r="R596" s="2" t="inlineStr"/>
    </row>
    <row r="597" ht="15" customHeight="1">
      <c r="A597" t="inlineStr">
        <is>
          <t>A 9887-2025</t>
        </is>
      </c>
      <c r="B597" s="1" t="n">
        <v>45716</v>
      </c>
      <c r="C597" s="1" t="n">
        <v>45888</v>
      </c>
      <c r="D597" t="inlineStr">
        <is>
          <t>GOTLANDS LÄN</t>
        </is>
      </c>
      <c r="E597" t="inlineStr">
        <is>
          <t>GOTLAND</t>
        </is>
      </c>
      <c r="G597" t="n">
        <v>7.5</v>
      </c>
      <c r="H597" t="n">
        <v>0</v>
      </c>
      <c r="I597" t="n">
        <v>0</v>
      </c>
      <c r="J597" t="n">
        <v>0</v>
      </c>
      <c r="K597" t="n">
        <v>0</v>
      </c>
      <c r="L597" t="n">
        <v>0</v>
      </c>
      <c r="M597" t="n">
        <v>0</v>
      </c>
      <c r="N597" t="n">
        <v>0</v>
      </c>
      <c r="O597" t="n">
        <v>0</v>
      </c>
      <c r="P597" t="n">
        <v>0</v>
      </c>
      <c r="Q597" t="n">
        <v>0</v>
      </c>
      <c r="R597" s="2" t="inlineStr"/>
    </row>
    <row r="598" ht="15" customHeight="1">
      <c r="A598" t="inlineStr">
        <is>
          <t>A 12209-2024</t>
        </is>
      </c>
      <c r="B598" s="1" t="n">
        <v>45378</v>
      </c>
      <c r="C598" s="1" t="n">
        <v>45888</v>
      </c>
      <c r="D598" t="inlineStr">
        <is>
          <t>GOTLANDS LÄN</t>
        </is>
      </c>
      <c r="E598" t="inlineStr">
        <is>
          <t>GOTLAND</t>
        </is>
      </c>
      <c r="G598" t="n">
        <v>5.3</v>
      </c>
      <c r="H598" t="n">
        <v>0</v>
      </c>
      <c r="I598" t="n">
        <v>0</v>
      </c>
      <c r="J598" t="n">
        <v>0</v>
      </c>
      <c r="K598" t="n">
        <v>0</v>
      </c>
      <c r="L598" t="n">
        <v>0</v>
      </c>
      <c r="M598" t="n">
        <v>0</v>
      </c>
      <c r="N598" t="n">
        <v>0</v>
      </c>
      <c r="O598" t="n">
        <v>0</v>
      </c>
      <c r="P598" t="n">
        <v>0</v>
      </c>
      <c r="Q598" t="n">
        <v>0</v>
      </c>
      <c r="R598" s="2" t="inlineStr"/>
    </row>
    <row r="599" ht="15" customHeight="1">
      <c r="A599" t="inlineStr">
        <is>
          <t>A 12210-2024</t>
        </is>
      </c>
      <c r="B599" s="1" t="n">
        <v>45378</v>
      </c>
      <c r="C599" s="1" t="n">
        <v>45888</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59986-2022</t>
        </is>
      </c>
      <c r="B600" s="1" t="n">
        <v>44909</v>
      </c>
      <c r="C600" s="1" t="n">
        <v>45888</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31802-2024</t>
        </is>
      </c>
      <c r="B601" s="1" t="n">
        <v>45509</v>
      </c>
      <c r="C601" s="1" t="n">
        <v>45888</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1728-2025</t>
        </is>
      </c>
      <c r="B602" s="1" t="n">
        <v>45671.3565162037</v>
      </c>
      <c r="C602" s="1" t="n">
        <v>45888</v>
      </c>
      <c r="D602" t="inlineStr">
        <is>
          <t>GOTLANDS LÄN</t>
        </is>
      </c>
      <c r="E602" t="inlineStr">
        <is>
          <t>GOTLAND</t>
        </is>
      </c>
      <c r="G602" t="n">
        <v>2</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45888</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15042-2025</t>
        </is>
      </c>
      <c r="B604" s="1" t="n">
        <v>45743</v>
      </c>
      <c r="C604" s="1" t="n">
        <v>45888</v>
      </c>
      <c r="D604" t="inlineStr">
        <is>
          <t>GOTLANDS LÄN</t>
        </is>
      </c>
      <c r="E604" t="inlineStr">
        <is>
          <t>GOTLAND</t>
        </is>
      </c>
      <c r="G604" t="n">
        <v>8.5</v>
      </c>
      <c r="H604" t="n">
        <v>0</v>
      </c>
      <c r="I604" t="n">
        <v>0</v>
      </c>
      <c r="J604" t="n">
        <v>0</v>
      </c>
      <c r="K604" t="n">
        <v>0</v>
      </c>
      <c r="L604" t="n">
        <v>0</v>
      </c>
      <c r="M604" t="n">
        <v>0</v>
      </c>
      <c r="N604" t="n">
        <v>0</v>
      </c>
      <c r="O604" t="n">
        <v>0</v>
      </c>
      <c r="P604" t="n">
        <v>0</v>
      </c>
      <c r="Q604" t="n">
        <v>0</v>
      </c>
      <c r="R604" s="2" t="inlineStr"/>
    </row>
    <row r="605" ht="15" customHeight="1">
      <c r="A605" t="inlineStr">
        <is>
          <t>A 12327-2025</t>
        </is>
      </c>
      <c r="B605" s="1" t="n">
        <v>45730</v>
      </c>
      <c r="C605" s="1" t="n">
        <v>45888</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c r="A606" t="inlineStr">
        <is>
          <t>A 4420-2025</t>
        </is>
      </c>
      <c r="B606" s="1" t="n">
        <v>45686.47157407407</v>
      </c>
      <c r="C606" s="1" t="n">
        <v>45888</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2025-08-19T08:29:24Z</dcterms:created>
  <dcterms:modified xmlns:dcterms="http://purl.org/dc/terms/" xmlns:xsi="http://www.w3.org/2001/XMLSchema-instance" xsi:type="dcterms:W3CDTF">2025-08-19T08:29:25Z</dcterms:modified>
</cp:coreProperties>
</file>