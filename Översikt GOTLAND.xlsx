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45895</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45895</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45895</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45895</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4572-2025</t>
        </is>
      </c>
      <c r="B10" s="1" t="n">
        <v>45687</v>
      </c>
      <c r="C10" s="1" t="n">
        <v>45895</v>
      </c>
      <c r="D10" t="inlineStr">
        <is>
          <t>GOTLANDS LÄN</t>
        </is>
      </c>
      <c r="E10" t="inlineStr">
        <is>
          <t>GOTLAND</t>
        </is>
      </c>
      <c r="G10" t="n">
        <v>6.2</v>
      </c>
      <c r="H10" t="n">
        <v>13</v>
      </c>
      <c r="I10" t="n">
        <v>2</v>
      </c>
      <c r="J10" t="n">
        <v>10</v>
      </c>
      <c r="K10" t="n">
        <v>0</v>
      </c>
      <c r="L10" t="n">
        <v>1</v>
      </c>
      <c r="M10" t="n">
        <v>0</v>
      </c>
      <c r="N10" t="n">
        <v>0</v>
      </c>
      <c r="O10" t="n">
        <v>11</v>
      </c>
      <c r="P10" t="n">
        <v>1</v>
      </c>
      <c r="Q10" t="n">
        <v>18</v>
      </c>
      <c r="R10" s="2" t="inlineStr">
        <is>
          <t>Brun glada
Apollofjäril
Axveronika
Backtimjan
Havsörn
Jordtistel
Mindre hackspett
Reliktbock
Solvända
Spillkråka
Svartfläckig blåvinge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8645-2025</t>
        </is>
      </c>
      <c r="B11" s="1" t="n">
        <v>45712</v>
      </c>
      <c r="C11" s="1" t="n">
        <v>45895</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62551-2022</t>
        </is>
      </c>
      <c r="B12" s="1" t="n">
        <v>44924</v>
      </c>
      <c r="C12" s="1" t="n">
        <v>45895</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61664-2023</t>
        </is>
      </c>
      <c r="B13" s="1" t="n">
        <v>45265</v>
      </c>
      <c r="C13" s="1" t="n">
        <v>45895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45895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45895</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45895</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45895</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45895</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45895</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45895</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45895</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45895</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45895</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45895</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2804-2023</t>
        </is>
      </c>
      <c r="B25" s="1" t="n">
        <v>44944</v>
      </c>
      <c r="C25" s="1" t="n">
        <v>45895</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45895</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45895</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45895</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35141-2022</t>
        </is>
      </c>
      <c r="B29" s="1" t="n">
        <v>44797.53318287037</v>
      </c>
      <c r="C29" s="1" t="n">
        <v>45895</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45895</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45895</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45895</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45895</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45895</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45895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45895</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45895</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45895</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45895</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45895</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45895</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45895</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45895</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45895</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45895</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45895</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45895</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45895</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45895</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45895</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45895</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45895</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45895</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45895</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16353-2025</t>
        </is>
      </c>
      <c r="B55" s="1" t="n">
        <v>45751</v>
      </c>
      <c r="C55" s="1" t="n">
        <v>45895</v>
      </c>
      <c r="D55" t="inlineStr">
        <is>
          <t>GOTLANDS LÄN</t>
        </is>
      </c>
      <c r="E55" t="inlineStr">
        <is>
          <t>GOTLAND</t>
        </is>
      </c>
      <c r="G55" t="n">
        <v>8.800000000000001</v>
      </c>
      <c r="H55" t="n">
        <v>0</v>
      </c>
      <c r="I55" t="n">
        <v>6</v>
      </c>
      <c r="J55" t="n">
        <v>1</v>
      </c>
      <c r="K55" t="n">
        <v>0</v>
      </c>
      <c r="L55" t="n">
        <v>0</v>
      </c>
      <c r="M55" t="n">
        <v>0</v>
      </c>
      <c r="N55" t="n">
        <v>0</v>
      </c>
      <c r="O55" t="n">
        <v>1</v>
      </c>
      <c r="P55" t="n">
        <v>0</v>
      </c>
      <c r="Q55" t="n">
        <v>7</v>
      </c>
      <c r="R55" s="2" t="inlineStr">
        <is>
          <t>Flattoppad klubbsvamp
Anisspindling
Fjällig taggsvamp s.str.
Guldkremla
Kryddspindling
Rödgul trumpetsvamp
Svavelriska</t>
        </is>
      </c>
      <c r="S55">
        <f>HYPERLINK("https://klasma.github.io/Logging_0980/artfynd/A 16353-2025 artfynd.xlsx", "A 16353-2025")</f>
        <v/>
      </c>
      <c r="T55">
        <f>HYPERLINK("https://klasma.github.io/Logging_0980/kartor/A 16353-2025 karta.png", "A 16353-2025")</f>
        <v/>
      </c>
      <c r="V55">
        <f>HYPERLINK("https://klasma.github.io/Logging_0980/klagomål/A 16353-2025 FSC-klagomål.docx", "A 16353-2025")</f>
        <v/>
      </c>
      <c r="W55">
        <f>HYPERLINK("https://klasma.github.io/Logging_0980/klagomålsmail/A 16353-2025 FSC-klagomål mail.docx", "A 16353-2025")</f>
        <v/>
      </c>
      <c r="X55">
        <f>HYPERLINK("https://klasma.github.io/Logging_0980/tillsyn/A 16353-2025 tillsynsbegäran.docx", "A 16353-2025")</f>
        <v/>
      </c>
      <c r="Y55">
        <f>HYPERLINK("https://klasma.github.io/Logging_0980/tillsynsmail/A 16353-2025 tillsynsbegäran mail.docx", "A 16353-2025")</f>
        <v/>
      </c>
    </row>
    <row r="56" ht="15" customHeight="1">
      <c r="A56" t="inlineStr">
        <is>
          <t>A 18541-2024</t>
        </is>
      </c>
      <c r="B56" s="1" t="n">
        <v>45425</v>
      </c>
      <c r="C56" s="1" t="n">
        <v>45895</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45895</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45895</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45895</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45895</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65819-2020</t>
        </is>
      </c>
      <c r="B61" s="1" t="n">
        <v>44174</v>
      </c>
      <c r="C61" s="1" t="n">
        <v>45895</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45895</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45895</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54527-2023</t>
        </is>
      </c>
      <c r="B64" s="1" t="n">
        <v>45233</v>
      </c>
      <c r="C64" s="1" t="n">
        <v>45895</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45895</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45895</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45895</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42936-2024</t>
        </is>
      </c>
      <c r="B68" s="1" t="n">
        <v>45567</v>
      </c>
      <c r="C68" s="1" t="n">
        <v>45895</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16375-2025</t>
        </is>
      </c>
      <c r="B69" s="1" t="n">
        <v>45751.41064814815</v>
      </c>
      <c r="C69" s="1" t="n">
        <v>45895</v>
      </c>
      <c r="D69" t="inlineStr">
        <is>
          <t>GOTLANDS LÄN</t>
        </is>
      </c>
      <c r="E69" t="inlineStr">
        <is>
          <t>GOTLAND</t>
        </is>
      </c>
      <c r="G69" t="n">
        <v>1.9</v>
      </c>
      <c r="H69" t="n">
        <v>3</v>
      </c>
      <c r="I69" t="n">
        <v>3</v>
      </c>
      <c r="J69" t="n">
        <v>1</v>
      </c>
      <c r="K69" t="n">
        <v>0</v>
      </c>
      <c r="L69" t="n">
        <v>1</v>
      </c>
      <c r="M69" t="n">
        <v>0</v>
      </c>
      <c r="N69" t="n">
        <v>0</v>
      </c>
      <c r="O69" t="n">
        <v>2</v>
      </c>
      <c r="P69" t="n">
        <v>1</v>
      </c>
      <c r="Q69" t="n">
        <v>5</v>
      </c>
      <c r="R69" s="2" t="inlineStr">
        <is>
          <t>Ask
Spillkråka
Blåmossa
Nästrot
Tvåblad</t>
        </is>
      </c>
      <c r="S69">
        <f>HYPERLINK("https://klasma.github.io/Logging_0980/artfynd/A 16375-2025 artfynd.xlsx", "A 16375-2025")</f>
        <v/>
      </c>
      <c r="T69">
        <f>HYPERLINK("https://klasma.github.io/Logging_0980/kartor/A 16375-2025 karta.png", "A 16375-2025")</f>
        <v/>
      </c>
      <c r="V69">
        <f>HYPERLINK("https://klasma.github.io/Logging_0980/klagomål/A 16375-2025 FSC-klagomål.docx", "A 16375-2025")</f>
        <v/>
      </c>
      <c r="W69">
        <f>HYPERLINK("https://klasma.github.io/Logging_0980/klagomålsmail/A 16375-2025 FSC-klagomål mail.docx", "A 16375-2025")</f>
        <v/>
      </c>
      <c r="X69">
        <f>HYPERLINK("https://klasma.github.io/Logging_0980/tillsyn/A 16375-2025 tillsynsbegäran.docx", "A 16375-2025")</f>
        <v/>
      </c>
      <c r="Y69">
        <f>HYPERLINK("https://klasma.github.io/Logging_0980/tillsynsmail/A 16375-2025 tillsynsbegäran mail.docx", "A 16375-2025")</f>
        <v/>
      </c>
      <c r="Z69">
        <f>HYPERLINK("https://klasma.github.io/Logging_0980/fåglar/A 16375-2025 prioriterade fågelarter.docx", "A 16375-2025")</f>
        <v/>
      </c>
    </row>
    <row r="70" ht="15" customHeight="1">
      <c r="A70" t="inlineStr">
        <is>
          <t>A 35293-2025</t>
        </is>
      </c>
      <c r="B70" s="1" t="n">
        <v>45854.39438657407</v>
      </c>
      <c r="C70" s="1" t="n">
        <v>45895</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44944-2022</t>
        </is>
      </c>
      <c r="B71" s="1" t="n">
        <v>44841</v>
      </c>
      <c r="C71" s="1" t="n">
        <v>45895</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45895</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45895</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45895</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54523-2023</t>
        </is>
      </c>
      <c r="B75" s="1" t="n">
        <v>45233</v>
      </c>
      <c r="C75" s="1" t="n">
        <v>45895</v>
      </c>
      <c r="D75" t="inlineStr">
        <is>
          <t>GOTLANDS LÄN</t>
        </is>
      </c>
      <c r="E75" t="inlineStr">
        <is>
          <t>GOTLAND</t>
        </is>
      </c>
      <c r="G75" t="n">
        <v>3.7</v>
      </c>
      <c r="H75" t="n">
        <v>2</v>
      </c>
      <c r="I75" t="n">
        <v>0</v>
      </c>
      <c r="J75" t="n">
        <v>1</v>
      </c>
      <c r="K75" t="n">
        <v>1</v>
      </c>
      <c r="L75" t="n">
        <v>0</v>
      </c>
      <c r="M75" t="n">
        <v>0</v>
      </c>
      <c r="N75" t="n">
        <v>0</v>
      </c>
      <c r="O75" t="n">
        <v>2</v>
      </c>
      <c r="P75" t="n">
        <v>1</v>
      </c>
      <c r="Q75" t="n">
        <v>4</v>
      </c>
      <c r="R75" s="2" t="inlineStr">
        <is>
          <t>Sommarklynne
Åkerkulla
Brudsporre
Kärrknipprot</t>
        </is>
      </c>
      <c r="S75">
        <f>HYPERLINK("https://klasma.github.io/Logging_0980/artfynd/A 54523-2023 artfynd.xlsx", "A 54523-2023")</f>
        <v/>
      </c>
      <c r="T75">
        <f>HYPERLINK("https://klasma.github.io/Logging_0980/kartor/A 54523-2023 karta.png", "A 54523-2023")</f>
        <v/>
      </c>
      <c r="V75">
        <f>HYPERLINK("https://klasma.github.io/Logging_0980/klagomål/A 54523-2023 FSC-klagomål.docx", "A 54523-2023")</f>
        <v/>
      </c>
      <c r="W75">
        <f>HYPERLINK("https://klasma.github.io/Logging_0980/klagomålsmail/A 54523-2023 FSC-klagomål mail.docx", "A 54523-2023")</f>
        <v/>
      </c>
      <c r="X75">
        <f>HYPERLINK("https://klasma.github.io/Logging_0980/tillsyn/A 54523-2023 tillsynsbegäran.docx", "A 54523-2023")</f>
        <v/>
      </c>
      <c r="Y75">
        <f>HYPERLINK("https://klasma.github.io/Logging_0980/tillsynsmail/A 54523-2023 tillsynsbegäran mail.docx", "A 54523-2023")</f>
        <v/>
      </c>
    </row>
    <row r="76" ht="15" customHeight="1">
      <c r="A76" t="inlineStr">
        <is>
          <t>A 6159-2023</t>
        </is>
      </c>
      <c r="B76" s="1" t="n">
        <v>44964</v>
      </c>
      <c r="C76" s="1" t="n">
        <v>45895</v>
      </c>
      <c r="D76" t="inlineStr">
        <is>
          <t>GOTLANDS LÄN</t>
        </is>
      </c>
      <c r="E76" t="inlineStr">
        <is>
          <t>GOTLAND</t>
        </is>
      </c>
      <c r="G76" t="n">
        <v>2</v>
      </c>
      <c r="H76" t="n">
        <v>0</v>
      </c>
      <c r="I76" t="n">
        <v>2</v>
      </c>
      <c r="J76" t="n">
        <v>2</v>
      </c>
      <c r="K76" t="n">
        <v>0</v>
      </c>
      <c r="L76" t="n">
        <v>0</v>
      </c>
      <c r="M76" t="n">
        <v>0</v>
      </c>
      <c r="N76" t="n">
        <v>0</v>
      </c>
      <c r="O76" t="n">
        <v>2</v>
      </c>
      <c r="P76" t="n">
        <v>0</v>
      </c>
      <c r="Q76" t="n">
        <v>4</v>
      </c>
      <c r="R76" s="2" t="inlineStr">
        <is>
          <t>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2485-2025</t>
        </is>
      </c>
      <c r="B77" s="1" t="n">
        <v>45673</v>
      </c>
      <c r="C77" s="1" t="n">
        <v>45895</v>
      </c>
      <c r="D77" t="inlineStr">
        <is>
          <t>GOTLANDS LÄN</t>
        </is>
      </c>
      <c r="E77" t="inlineStr">
        <is>
          <t>GOTLAND</t>
        </is>
      </c>
      <c r="G77" t="n">
        <v>5</v>
      </c>
      <c r="H77" t="n">
        <v>2</v>
      </c>
      <c r="I77" t="n">
        <v>2</v>
      </c>
      <c r="J77" t="n">
        <v>0</v>
      </c>
      <c r="K77" t="n">
        <v>2</v>
      </c>
      <c r="L77" t="n">
        <v>0</v>
      </c>
      <c r="M77" t="n">
        <v>0</v>
      </c>
      <c r="N77" t="n">
        <v>0</v>
      </c>
      <c r="O77" t="n">
        <v>2</v>
      </c>
      <c r="P77" t="n">
        <v>2</v>
      </c>
      <c r="Q77" t="n">
        <v>4</v>
      </c>
      <c r="R77" s="2" t="inlineStr">
        <is>
          <t>Gotlandsmåra
Skogskorn
Nästrot
Skogsknipprot</t>
        </is>
      </c>
      <c r="S77">
        <f>HYPERLINK("https://klasma.github.io/Logging_0980/artfynd/A 2485-2025 artfynd.xlsx", "A 2485-2025")</f>
        <v/>
      </c>
      <c r="T77">
        <f>HYPERLINK("https://klasma.github.io/Logging_0980/kartor/A 2485-2025 karta.png", "A 2485-2025")</f>
        <v/>
      </c>
      <c r="V77">
        <f>HYPERLINK("https://klasma.github.io/Logging_0980/klagomål/A 2485-2025 FSC-klagomål.docx", "A 2485-2025")</f>
        <v/>
      </c>
      <c r="W77">
        <f>HYPERLINK("https://klasma.github.io/Logging_0980/klagomålsmail/A 2485-2025 FSC-klagomål mail.docx", "A 2485-2025")</f>
        <v/>
      </c>
      <c r="X77">
        <f>HYPERLINK("https://klasma.github.io/Logging_0980/tillsyn/A 2485-2025 tillsynsbegäran.docx", "A 2485-2025")</f>
        <v/>
      </c>
      <c r="Y77">
        <f>HYPERLINK("https://klasma.github.io/Logging_0980/tillsynsmail/A 2485-2025 tillsynsbegäran mail.docx", "A 2485-2025")</f>
        <v/>
      </c>
    </row>
    <row r="78" ht="15" customHeight="1">
      <c r="A78" t="inlineStr">
        <is>
          <t>A 43197-2023</t>
        </is>
      </c>
      <c r="B78" s="1" t="n">
        <v>45183</v>
      </c>
      <c r="C78" s="1" t="n">
        <v>45895</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1971-2023</t>
        </is>
      </c>
      <c r="B79" s="1" t="n">
        <v>44939</v>
      </c>
      <c r="C79" s="1" t="n">
        <v>45895</v>
      </c>
      <c r="D79" t="inlineStr">
        <is>
          <t>GOTLANDS LÄN</t>
        </is>
      </c>
      <c r="E79" t="inlineStr">
        <is>
          <t>GOTLAND</t>
        </is>
      </c>
      <c r="G79" t="n">
        <v>5.5</v>
      </c>
      <c r="H79" t="n">
        <v>0</v>
      </c>
      <c r="I79" t="n">
        <v>2</v>
      </c>
      <c r="J79" t="n">
        <v>1</v>
      </c>
      <c r="K79" t="n">
        <v>1</v>
      </c>
      <c r="L79" t="n">
        <v>0</v>
      </c>
      <c r="M79" t="n">
        <v>0</v>
      </c>
      <c r="N79" t="n">
        <v>0</v>
      </c>
      <c r="O79" t="n">
        <v>2</v>
      </c>
      <c r="P79" t="n">
        <v>1</v>
      </c>
      <c r="Q79" t="n">
        <v>4</v>
      </c>
      <c r="R79" s="2" t="inlineStr">
        <is>
          <t>Gulsträngad fagerspindling
Svinrot
Fjällig taggsvamp s.str.
Olivspindling</t>
        </is>
      </c>
      <c r="S79">
        <f>HYPERLINK("https://klasma.github.io/Logging_0980/artfynd/A 1971-2023 artfynd.xlsx", "A 1971-2023")</f>
        <v/>
      </c>
      <c r="T79">
        <f>HYPERLINK("https://klasma.github.io/Logging_0980/kartor/A 1971-2023 karta.png", "A 1971-2023")</f>
        <v/>
      </c>
      <c r="V79">
        <f>HYPERLINK("https://klasma.github.io/Logging_0980/klagomål/A 1971-2023 FSC-klagomål.docx", "A 1971-2023")</f>
        <v/>
      </c>
      <c r="W79">
        <f>HYPERLINK("https://klasma.github.io/Logging_0980/klagomålsmail/A 1971-2023 FSC-klagomål mail.docx", "A 1971-2023")</f>
        <v/>
      </c>
      <c r="X79">
        <f>HYPERLINK("https://klasma.github.io/Logging_0980/tillsyn/A 1971-2023 tillsynsbegäran.docx", "A 1971-2023")</f>
        <v/>
      </c>
      <c r="Y79">
        <f>HYPERLINK("https://klasma.github.io/Logging_0980/tillsynsmail/A 1971-2023 tillsynsbegäran mail.docx", "A 1971-2023")</f>
        <v/>
      </c>
    </row>
    <row r="80" ht="15" customHeight="1">
      <c r="A80" t="inlineStr">
        <is>
          <t>A 64378-2020</t>
        </is>
      </c>
      <c r="B80" s="1" t="n">
        <v>44168</v>
      </c>
      <c r="C80" s="1" t="n">
        <v>45895</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45895</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45895</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40099-2025</t>
        </is>
      </c>
      <c r="B83" s="1" t="n">
        <v>45894.48462962963</v>
      </c>
      <c r="C83" s="1" t="n">
        <v>45895</v>
      </c>
      <c r="D83" t="inlineStr">
        <is>
          <t>GOTLANDS LÄN</t>
        </is>
      </c>
      <c r="E83" t="inlineStr">
        <is>
          <t>GOTLAND</t>
        </is>
      </c>
      <c r="G83" t="n">
        <v>6.5</v>
      </c>
      <c r="H83" t="n">
        <v>0</v>
      </c>
      <c r="I83" t="n">
        <v>3</v>
      </c>
      <c r="J83" t="n">
        <v>0</v>
      </c>
      <c r="K83" t="n">
        <v>1</v>
      </c>
      <c r="L83" t="n">
        <v>0</v>
      </c>
      <c r="M83" t="n">
        <v>0</v>
      </c>
      <c r="N83" t="n">
        <v>0</v>
      </c>
      <c r="O83" t="n">
        <v>1</v>
      </c>
      <c r="P83" t="n">
        <v>1</v>
      </c>
      <c r="Q83" t="n">
        <v>4</v>
      </c>
      <c r="R83" s="2" t="inlineStr">
        <is>
          <t>Mörkfjällig olivspindling
Fjällig taggsvamp s.str.
Olivspindling
Svavelriska</t>
        </is>
      </c>
      <c r="S83">
        <f>HYPERLINK("https://klasma.github.io/Logging_0980/artfynd/A 40099-2025 artfynd.xlsx", "A 40099-2025")</f>
        <v/>
      </c>
      <c r="T83">
        <f>HYPERLINK("https://klasma.github.io/Logging_0980/kartor/A 40099-2025 karta.png", "A 40099-2025")</f>
        <v/>
      </c>
      <c r="V83">
        <f>HYPERLINK("https://klasma.github.io/Logging_0980/klagomål/A 40099-2025 FSC-klagomål.docx", "A 40099-2025")</f>
        <v/>
      </c>
      <c r="W83">
        <f>HYPERLINK("https://klasma.github.io/Logging_0980/klagomålsmail/A 40099-2025 FSC-klagomål mail.docx", "A 40099-2025")</f>
        <v/>
      </c>
      <c r="X83">
        <f>HYPERLINK("https://klasma.github.io/Logging_0980/tillsyn/A 40099-2025 tillsynsbegäran.docx", "A 40099-2025")</f>
        <v/>
      </c>
      <c r="Y83">
        <f>HYPERLINK("https://klasma.github.io/Logging_0980/tillsynsmail/A 40099-2025 tillsynsbegäran mail.docx", "A 40099-2025")</f>
        <v/>
      </c>
    </row>
    <row r="84" ht="15" customHeight="1">
      <c r="A84" t="inlineStr">
        <is>
          <t>A 8265-2023</t>
        </is>
      </c>
      <c r="B84" s="1" t="n">
        <v>44974</v>
      </c>
      <c r="C84" s="1" t="n">
        <v>45895</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186-2023</t>
        </is>
      </c>
      <c r="B85" s="1" t="n">
        <v>44928</v>
      </c>
      <c r="C85" s="1" t="n">
        <v>45895</v>
      </c>
      <c r="D85" t="inlineStr">
        <is>
          <t>GOTLANDS LÄN</t>
        </is>
      </c>
      <c r="E85" t="inlineStr">
        <is>
          <t>GOTLAND</t>
        </is>
      </c>
      <c r="G85" t="n">
        <v>2.2</v>
      </c>
      <c r="H85" t="n">
        <v>2</v>
      </c>
      <c r="I85" t="n">
        <v>2</v>
      </c>
      <c r="J85" t="n">
        <v>0</v>
      </c>
      <c r="K85" t="n">
        <v>2</v>
      </c>
      <c r="L85" t="n">
        <v>0</v>
      </c>
      <c r="M85" t="n">
        <v>0</v>
      </c>
      <c r="N85" t="n">
        <v>0</v>
      </c>
      <c r="O85" t="n">
        <v>2</v>
      </c>
      <c r="P85" t="n">
        <v>2</v>
      </c>
      <c r="Q85" t="n">
        <v>4</v>
      </c>
      <c r="R85" s="2" t="inlineStr">
        <is>
          <t>Svartgrön spindling
Vit taggsvamp
Nästrot
Skogsknipprot</t>
        </is>
      </c>
      <c r="S85">
        <f>HYPERLINK("https://klasma.github.io/Logging_0980/artfynd/A 186-2023 artfynd.xlsx", "A 186-2023")</f>
        <v/>
      </c>
      <c r="T85">
        <f>HYPERLINK("https://klasma.github.io/Logging_0980/kartor/A 186-2023 karta.png", "A 186-2023")</f>
        <v/>
      </c>
      <c r="V85">
        <f>HYPERLINK("https://klasma.github.io/Logging_0980/klagomål/A 186-2023 FSC-klagomål.docx", "A 186-2023")</f>
        <v/>
      </c>
      <c r="W85">
        <f>HYPERLINK("https://klasma.github.io/Logging_0980/klagomålsmail/A 186-2023 FSC-klagomål mail.docx", "A 186-2023")</f>
        <v/>
      </c>
      <c r="X85">
        <f>HYPERLINK("https://klasma.github.io/Logging_0980/tillsyn/A 186-2023 tillsynsbegäran.docx", "A 186-2023")</f>
        <v/>
      </c>
      <c r="Y85">
        <f>HYPERLINK("https://klasma.github.io/Logging_0980/tillsynsmail/A 186-2023 tillsynsbegäran mail.docx", "A 186-2023")</f>
        <v/>
      </c>
    </row>
    <row r="86" ht="15" customHeight="1">
      <c r="A86" t="inlineStr">
        <is>
          <t>A 56717-2024</t>
        </is>
      </c>
      <c r="B86" s="1" t="n">
        <v>45628.3166550926</v>
      </c>
      <c r="C86" s="1" t="n">
        <v>45895</v>
      </c>
      <c r="D86" t="inlineStr">
        <is>
          <t>GOTLANDS LÄN</t>
        </is>
      </c>
      <c r="E86" t="inlineStr">
        <is>
          <t>GOTLAND</t>
        </is>
      </c>
      <c r="G86" t="n">
        <v>9.699999999999999</v>
      </c>
      <c r="H86" t="n">
        <v>0</v>
      </c>
      <c r="I86" t="n">
        <v>2</v>
      </c>
      <c r="J86" t="n">
        <v>2</v>
      </c>
      <c r="K86" t="n">
        <v>0</v>
      </c>
      <c r="L86" t="n">
        <v>0</v>
      </c>
      <c r="M86" t="n">
        <v>0</v>
      </c>
      <c r="N86" t="n">
        <v>0</v>
      </c>
      <c r="O86" t="n">
        <v>2</v>
      </c>
      <c r="P86" t="n">
        <v>0</v>
      </c>
      <c r="Q86" t="n">
        <v>4</v>
      </c>
      <c r="R86" s="2" t="inlineStr">
        <is>
          <t>Ekvaxskivling
Odörspindling
Fjällig taggsvamp s.str.
Kattfotslav</t>
        </is>
      </c>
      <c r="S86">
        <f>HYPERLINK("https://klasma.github.io/Logging_0980/artfynd/A 56717-2024 artfynd.xlsx", "A 56717-2024")</f>
        <v/>
      </c>
      <c r="T86">
        <f>HYPERLINK("https://klasma.github.io/Logging_0980/kartor/A 56717-2024 karta.png", "A 56717-2024")</f>
        <v/>
      </c>
      <c r="V86">
        <f>HYPERLINK("https://klasma.github.io/Logging_0980/klagomål/A 56717-2024 FSC-klagomål.docx", "A 56717-2024")</f>
        <v/>
      </c>
      <c r="W86">
        <f>HYPERLINK("https://klasma.github.io/Logging_0980/klagomålsmail/A 56717-2024 FSC-klagomål mail.docx", "A 56717-2024")</f>
        <v/>
      </c>
      <c r="X86">
        <f>HYPERLINK("https://klasma.github.io/Logging_0980/tillsyn/A 56717-2024 tillsynsbegäran.docx", "A 56717-2024")</f>
        <v/>
      </c>
      <c r="Y86">
        <f>HYPERLINK("https://klasma.github.io/Logging_0980/tillsynsmail/A 56717-2024 tillsynsbegäran mail.docx", "A 56717-2024")</f>
        <v/>
      </c>
    </row>
    <row r="87" ht="15" customHeight="1">
      <c r="A87" t="inlineStr">
        <is>
          <t>A 55029-2020</t>
        </is>
      </c>
      <c r="B87" s="1" t="n">
        <v>44130</v>
      </c>
      <c r="C87" s="1" t="n">
        <v>45895</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45895</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45895</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45895</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45895</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32718-2021</t>
        </is>
      </c>
      <c r="B92" s="1" t="n">
        <v>44375</v>
      </c>
      <c r="C92" s="1" t="n">
        <v>45895</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17982-2023</t>
        </is>
      </c>
      <c r="B93" s="1" t="n">
        <v>45040</v>
      </c>
      <c r="C93" s="1" t="n">
        <v>45895</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45895</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45895</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12315-2024</t>
        </is>
      </c>
      <c r="B96" s="1" t="n">
        <v>45378.6434837963</v>
      </c>
      <c r="C96" s="1" t="n">
        <v>45895</v>
      </c>
      <c r="D96" t="inlineStr">
        <is>
          <t>GOTLANDS LÄN</t>
        </is>
      </c>
      <c r="E96" t="inlineStr">
        <is>
          <t>GOTLAND</t>
        </is>
      </c>
      <c r="G96" t="n">
        <v>6</v>
      </c>
      <c r="H96" t="n">
        <v>3</v>
      </c>
      <c r="I96" t="n">
        <v>1</v>
      </c>
      <c r="J96" t="n">
        <v>1</v>
      </c>
      <c r="K96" t="n">
        <v>0</v>
      </c>
      <c r="L96" t="n">
        <v>0</v>
      </c>
      <c r="M96" t="n">
        <v>0</v>
      </c>
      <c r="N96" t="n">
        <v>0</v>
      </c>
      <c r="O96" t="n">
        <v>1</v>
      </c>
      <c r="P96" t="n">
        <v>0</v>
      </c>
      <c r="Q96" t="n">
        <v>3</v>
      </c>
      <c r="R96" s="2" t="inlineStr">
        <is>
          <t>Buskskvätta
Tvåblad
Fläcknycklar</t>
        </is>
      </c>
      <c r="S96">
        <f>HYPERLINK("https://klasma.github.io/Logging_0980/artfynd/A 12315-2024 artfynd.xlsx", "A 12315-2024")</f>
        <v/>
      </c>
      <c r="T96">
        <f>HYPERLINK("https://klasma.github.io/Logging_0980/kartor/A 12315-2024 karta.png", "A 12315-2024")</f>
        <v/>
      </c>
      <c r="V96">
        <f>HYPERLINK("https://klasma.github.io/Logging_0980/klagomål/A 12315-2024 FSC-klagomål.docx", "A 12315-2024")</f>
        <v/>
      </c>
      <c r="W96">
        <f>HYPERLINK("https://klasma.github.io/Logging_0980/klagomålsmail/A 12315-2024 FSC-klagomål mail.docx", "A 12315-2024")</f>
        <v/>
      </c>
      <c r="X96">
        <f>HYPERLINK("https://klasma.github.io/Logging_0980/tillsyn/A 12315-2024 tillsynsbegäran.docx", "A 12315-2024")</f>
        <v/>
      </c>
      <c r="Y96">
        <f>HYPERLINK("https://klasma.github.io/Logging_0980/tillsynsmail/A 12315-2024 tillsynsbegäran mail.docx", "A 12315-2024")</f>
        <v/>
      </c>
      <c r="Z96">
        <f>HYPERLINK("https://klasma.github.io/Logging_0980/fåglar/A 12315-2024 prioriterade fågelarter.docx", "A 12315-2024")</f>
        <v/>
      </c>
    </row>
    <row r="97" ht="15" customHeight="1">
      <c r="A97" t="inlineStr">
        <is>
          <t>A 30490-2025</t>
        </is>
      </c>
      <c r="B97" s="1" t="n">
        <v>45830</v>
      </c>
      <c r="C97" s="1" t="n">
        <v>45895</v>
      </c>
      <c r="D97" t="inlineStr">
        <is>
          <t>GOTLANDS LÄN</t>
        </is>
      </c>
      <c r="E97" t="inlineStr">
        <is>
          <t>GOTLAND</t>
        </is>
      </c>
      <c r="G97" t="n">
        <v>7.9</v>
      </c>
      <c r="H97" t="n">
        <v>1</v>
      </c>
      <c r="I97" t="n">
        <v>0</v>
      </c>
      <c r="J97" t="n">
        <v>2</v>
      </c>
      <c r="K97" t="n">
        <v>0</v>
      </c>
      <c r="L97" t="n">
        <v>0</v>
      </c>
      <c r="M97" t="n">
        <v>0</v>
      </c>
      <c r="N97" t="n">
        <v>0</v>
      </c>
      <c r="O97" t="n">
        <v>2</v>
      </c>
      <c r="P97" t="n">
        <v>0</v>
      </c>
      <c r="Q97" t="n">
        <v>3</v>
      </c>
      <c r="R97" s="2" t="inlineStr">
        <is>
          <t>Klasefibbla
Majviva
Nattviol</t>
        </is>
      </c>
      <c r="S97">
        <f>HYPERLINK("https://klasma.github.io/Logging_0980/artfynd/A 30490-2025 artfynd.xlsx", "A 30490-2025")</f>
        <v/>
      </c>
      <c r="T97">
        <f>HYPERLINK("https://klasma.github.io/Logging_0980/kartor/A 30490-2025 karta.png", "A 30490-2025")</f>
        <v/>
      </c>
      <c r="V97">
        <f>HYPERLINK("https://klasma.github.io/Logging_0980/klagomål/A 30490-2025 FSC-klagomål.docx", "A 30490-2025")</f>
        <v/>
      </c>
      <c r="W97">
        <f>HYPERLINK("https://klasma.github.io/Logging_0980/klagomålsmail/A 30490-2025 FSC-klagomål mail.docx", "A 30490-2025")</f>
        <v/>
      </c>
      <c r="X97">
        <f>HYPERLINK("https://klasma.github.io/Logging_0980/tillsyn/A 30490-2025 tillsynsbegäran.docx", "A 30490-2025")</f>
        <v/>
      </c>
      <c r="Y97">
        <f>HYPERLINK("https://klasma.github.io/Logging_0980/tillsynsmail/A 30490-2025 tillsynsbegäran mail.docx", "A 30490-2025")</f>
        <v/>
      </c>
    </row>
    <row r="98" ht="15" customHeight="1">
      <c r="A98" t="inlineStr">
        <is>
          <t>A 20831-2024</t>
        </is>
      </c>
      <c r="B98" s="1" t="n">
        <v>45439</v>
      </c>
      <c r="C98" s="1" t="n">
        <v>45895</v>
      </c>
      <c r="D98" t="inlineStr">
        <is>
          <t>GOTLANDS LÄN</t>
        </is>
      </c>
      <c r="E98" t="inlineStr">
        <is>
          <t>GOTLAND</t>
        </is>
      </c>
      <c r="G98" t="n">
        <v>2.9</v>
      </c>
      <c r="H98" t="n">
        <v>2</v>
      </c>
      <c r="I98" t="n">
        <v>1</v>
      </c>
      <c r="J98" t="n">
        <v>2</v>
      </c>
      <c r="K98" t="n">
        <v>0</v>
      </c>
      <c r="L98" t="n">
        <v>0</v>
      </c>
      <c r="M98" t="n">
        <v>0</v>
      </c>
      <c r="N98" t="n">
        <v>0</v>
      </c>
      <c r="O98" t="n">
        <v>2</v>
      </c>
      <c r="P98" t="n">
        <v>0</v>
      </c>
      <c r="Q98" t="n">
        <v>3</v>
      </c>
      <c r="R98" s="2" t="inlineStr">
        <is>
          <t>Dårgräsfjäril
Svinrot
Skogsknipprot</t>
        </is>
      </c>
      <c r="S98">
        <f>HYPERLINK("https://klasma.github.io/Logging_0980/artfynd/A 20831-2024 artfynd.xlsx", "A 20831-2024")</f>
        <v/>
      </c>
      <c r="T98">
        <f>HYPERLINK("https://klasma.github.io/Logging_0980/kartor/A 20831-2024 karta.png", "A 20831-2024")</f>
        <v/>
      </c>
      <c r="V98">
        <f>HYPERLINK("https://klasma.github.io/Logging_0980/klagomål/A 20831-2024 FSC-klagomål.docx", "A 20831-2024")</f>
        <v/>
      </c>
      <c r="W98">
        <f>HYPERLINK("https://klasma.github.io/Logging_0980/klagomålsmail/A 20831-2024 FSC-klagomål mail.docx", "A 20831-2024")</f>
        <v/>
      </c>
      <c r="X98">
        <f>HYPERLINK("https://klasma.github.io/Logging_0980/tillsyn/A 20831-2024 tillsynsbegäran.docx", "A 20831-2024")</f>
        <v/>
      </c>
      <c r="Y98">
        <f>HYPERLINK("https://klasma.github.io/Logging_0980/tillsynsmail/A 20831-2024 tillsynsbegäran mail.docx", "A 20831-2024")</f>
        <v/>
      </c>
    </row>
    <row r="99" ht="15" customHeight="1">
      <c r="A99" t="inlineStr">
        <is>
          <t>A 43013-2022</t>
        </is>
      </c>
      <c r="B99" s="1" t="n">
        <v>44833</v>
      </c>
      <c r="C99" s="1" t="n">
        <v>45895</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62326-2020</t>
        </is>
      </c>
      <c r="B100" s="1" t="n">
        <v>44160</v>
      </c>
      <c r="C100" s="1" t="n">
        <v>45895</v>
      </c>
      <c r="D100" t="inlineStr">
        <is>
          <t>GOTLANDS LÄN</t>
        </is>
      </c>
      <c r="E100" t="inlineStr">
        <is>
          <t>GOTLAND</t>
        </is>
      </c>
      <c r="G100" t="n">
        <v>7.4</v>
      </c>
      <c r="H100" t="n">
        <v>1</v>
      </c>
      <c r="I100" t="n">
        <v>3</v>
      </c>
      <c r="J100" t="n">
        <v>0</v>
      </c>
      <c r="K100" t="n">
        <v>0</v>
      </c>
      <c r="L100" t="n">
        <v>0</v>
      </c>
      <c r="M100" t="n">
        <v>0</v>
      </c>
      <c r="N100" t="n">
        <v>0</v>
      </c>
      <c r="O100" t="n">
        <v>0</v>
      </c>
      <c r="P100" t="n">
        <v>0</v>
      </c>
      <c r="Q100" t="n">
        <v>3</v>
      </c>
      <c r="R100" s="2" t="inlineStr">
        <is>
          <t>Anisspindling
Blåmossa
Skogsknipprot</t>
        </is>
      </c>
      <c r="S100">
        <f>HYPERLINK("https://klasma.github.io/Logging_0980/artfynd/A 62326-2020 artfynd.xlsx", "A 62326-2020")</f>
        <v/>
      </c>
      <c r="T100">
        <f>HYPERLINK("https://klasma.github.io/Logging_0980/kartor/A 62326-2020 karta.png", "A 62326-2020")</f>
        <v/>
      </c>
      <c r="V100">
        <f>HYPERLINK("https://klasma.github.io/Logging_0980/klagomål/A 62326-2020 FSC-klagomål.docx", "A 62326-2020")</f>
        <v/>
      </c>
      <c r="W100">
        <f>HYPERLINK("https://klasma.github.io/Logging_0980/klagomålsmail/A 62326-2020 FSC-klagomål mail.docx", "A 62326-2020")</f>
        <v/>
      </c>
      <c r="X100">
        <f>HYPERLINK("https://klasma.github.io/Logging_0980/tillsyn/A 62326-2020 tillsynsbegäran.docx", "A 62326-2020")</f>
        <v/>
      </c>
      <c r="Y100">
        <f>HYPERLINK("https://klasma.github.io/Logging_0980/tillsynsmail/A 62326-2020 tillsynsbegäran mail.docx", "A 62326-2020")</f>
        <v/>
      </c>
    </row>
    <row r="101" ht="15" customHeight="1">
      <c r="A101" t="inlineStr">
        <is>
          <t>A 5235-2025</t>
        </is>
      </c>
      <c r="B101" s="1" t="n">
        <v>45692.26797453704</v>
      </c>
      <c r="C101" s="1" t="n">
        <v>45895</v>
      </c>
      <c r="D101" t="inlineStr">
        <is>
          <t>GOTLANDS LÄN</t>
        </is>
      </c>
      <c r="E101" t="inlineStr">
        <is>
          <t>GOTLAND</t>
        </is>
      </c>
      <c r="G101" t="n">
        <v>7.6</v>
      </c>
      <c r="H101" t="n">
        <v>1</v>
      </c>
      <c r="I101" t="n">
        <v>2</v>
      </c>
      <c r="J101" t="n">
        <v>1</v>
      </c>
      <c r="K101" t="n">
        <v>0</v>
      </c>
      <c r="L101" t="n">
        <v>0</v>
      </c>
      <c r="M101" t="n">
        <v>0</v>
      </c>
      <c r="N101" t="n">
        <v>0</v>
      </c>
      <c r="O101" t="n">
        <v>1</v>
      </c>
      <c r="P101" t="n">
        <v>0</v>
      </c>
      <c r="Q101" t="n">
        <v>3</v>
      </c>
      <c r="R101" s="2" t="inlineStr">
        <is>
          <t>Svinrot
Blåmossa
Tvåblad</t>
        </is>
      </c>
      <c r="S101">
        <f>HYPERLINK("https://klasma.github.io/Logging_0980/artfynd/A 5235-2025 artfynd.xlsx", "A 5235-2025")</f>
        <v/>
      </c>
      <c r="T101">
        <f>HYPERLINK("https://klasma.github.io/Logging_0980/kartor/A 5235-2025 karta.png", "A 5235-2025")</f>
        <v/>
      </c>
      <c r="V101">
        <f>HYPERLINK("https://klasma.github.io/Logging_0980/klagomål/A 5235-2025 FSC-klagomål.docx", "A 5235-2025")</f>
        <v/>
      </c>
      <c r="W101">
        <f>HYPERLINK("https://klasma.github.io/Logging_0980/klagomålsmail/A 5235-2025 FSC-klagomål mail.docx", "A 5235-2025")</f>
        <v/>
      </c>
      <c r="X101">
        <f>HYPERLINK("https://klasma.github.io/Logging_0980/tillsyn/A 5235-2025 tillsynsbegäran.docx", "A 5235-2025")</f>
        <v/>
      </c>
      <c r="Y101">
        <f>HYPERLINK("https://klasma.github.io/Logging_0980/tillsynsmail/A 5235-2025 tillsynsbegäran mail.docx", "A 5235-2025")</f>
        <v/>
      </c>
    </row>
    <row r="102" ht="15" customHeight="1">
      <c r="A102" t="inlineStr">
        <is>
          <t>A 53552-2021</t>
        </is>
      </c>
      <c r="B102" s="1" t="n">
        <v>44468</v>
      </c>
      <c r="C102" s="1" t="n">
        <v>45895</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29870-2021</t>
        </is>
      </c>
      <c r="B103" s="1" t="n">
        <v>44362</v>
      </c>
      <c r="C103" s="1" t="n">
        <v>45895</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45895</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45895</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45895</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45895</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45895</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48126-2022</t>
        </is>
      </c>
      <c r="B109" s="1" t="n">
        <v>44857</v>
      </c>
      <c r="C109" s="1" t="n">
        <v>45895</v>
      </c>
      <c r="D109" t="inlineStr">
        <is>
          <t>GOTLANDS LÄN</t>
        </is>
      </c>
      <c r="E109" t="inlineStr">
        <is>
          <t>GOTLAND</t>
        </is>
      </c>
      <c r="G109" t="n">
        <v>9.800000000000001</v>
      </c>
      <c r="H109" t="n">
        <v>1</v>
      </c>
      <c r="I109" t="n">
        <v>0</v>
      </c>
      <c r="J109" t="n">
        <v>2</v>
      </c>
      <c r="K109" t="n">
        <v>0</v>
      </c>
      <c r="L109" t="n">
        <v>0</v>
      </c>
      <c r="M109" t="n">
        <v>0</v>
      </c>
      <c r="N109" t="n">
        <v>0</v>
      </c>
      <c r="O109" t="n">
        <v>2</v>
      </c>
      <c r="P109" t="n">
        <v>0</v>
      </c>
      <c r="Q109" t="n">
        <v>2</v>
      </c>
      <c r="R109" s="2" t="inlineStr">
        <is>
          <t>Jordtistel
Spillkråka</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21879-2025</t>
        </is>
      </c>
      <c r="B110" s="1" t="n">
        <v>45784.40533564815</v>
      </c>
      <c r="C110" s="1" t="n">
        <v>45895</v>
      </c>
      <c r="D110" t="inlineStr">
        <is>
          <t>GOTLANDS LÄN</t>
        </is>
      </c>
      <c r="E110" t="inlineStr">
        <is>
          <t>GOTLAND</t>
        </is>
      </c>
      <c r="G110" t="n">
        <v>11.1</v>
      </c>
      <c r="H110" t="n">
        <v>0</v>
      </c>
      <c r="I110" t="n">
        <v>1</v>
      </c>
      <c r="J110" t="n">
        <v>0</v>
      </c>
      <c r="K110" t="n">
        <v>0</v>
      </c>
      <c r="L110" t="n">
        <v>1</v>
      </c>
      <c r="M110" t="n">
        <v>0</v>
      </c>
      <c r="N110" t="n">
        <v>0</v>
      </c>
      <c r="O110" t="n">
        <v>1</v>
      </c>
      <c r="P110" t="n">
        <v>1</v>
      </c>
      <c r="Q110" t="n">
        <v>2</v>
      </c>
      <c r="R110" s="2" t="inlineStr">
        <is>
          <t>Ask
Murgröna</t>
        </is>
      </c>
      <c r="S110">
        <f>HYPERLINK("https://klasma.github.io/Logging_0980/artfynd/A 21879-2025 artfynd.xlsx", "A 21879-2025")</f>
        <v/>
      </c>
      <c r="T110">
        <f>HYPERLINK("https://klasma.github.io/Logging_0980/kartor/A 21879-2025 karta.png", "A 21879-2025")</f>
        <v/>
      </c>
      <c r="V110">
        <f>HYPERLINK("https://klasma.github.io/Logging_0980/klagomål/A 21879-2025 FSC-klagomål.docx", "A 21879-2025")</f>
        <v/>
      </c>
      <c r="W110">
        <f>HYPERLINK("https://klasma.github.io/Logging_0980/klagomålsmail/A 21879-2025 FSC-klagomål mail.docx", "A 21879-2025")</f>
        <v/>
      </c>
      <c r="X110">
        <f>HYPERLINK("https://klasma.github.io/Logging_0980/tillsyn/A 21879-2025 tillsynsbegäran.docx", "A 21879-2025")</f>
        <v/>
      </c>
      <c r="Y110">
        <f>HYPERLINK("https://klasma.github.io/Logging_0980/tillsynsmail/A 21879-2025 tillsynsbegäran mail.docx", "A 21879-2025")</f>
        <v/>
      </c>
    </row>
    <row r="111" ht="15" customHeight="1">
      <c r="A111" t="inlineStr">
        <is>
          <t>A 54357-2024</t>
        </is>
      </c>
      <c r="B111" s="1" t="n">
        <v>45617.40662037037</v>
      </c>
      <c r="C111" s="1" t="n">
        <v>45895</v>
      </c>
      <c r="D111" t="inlineStr">
        <is>
          <t>GOTLANDS LÄN</t>
        </is>
      </c>
      <c r="E111" t="inlineStr">
        <is>
          <t>GOTLAND</t>
        </is>
      </c>
      <c r="G111" t="n">
        <v>1.5</v>
      </c>
      <c r="H111" t="n">
        <v>1</v>
      </c>
      <c r="I111" t="n">
        <v>0</v>
      </c>
      <c r="J111" t="n">
        <v>1</v>
      </c>
      <c r="K111" t="n">
        <v>0</v>
      </c>
      <c r="L111" t="n">
        <v>0</v>
      </c>
      <c r="M111" t="n">
        <v>0</v>
      </c>
      <c r="N111" t="n">
        <v>0</v>
      </c>
      <c r="O111" t="n">
        <v>1</v>
      </c>
      <c r="P111" t="n">
        <v>0</v>
      </c>
      <c r="Q111" t="n">
        <v>2</v>
      </c>
      <c r="R111" s="2" t="inlineStr">
        <is>
          <t>Loppstarr
Fläcknycklar</t>
        </is>
      </c>
      <c r="S111">
        <f>HYPERLINK("https://klasma.github.io/Logging_0980/artfynd/A 54357-2024 artfynd.xlsx", "A 54357-2024")</f>
        <v/>
      </c>
      <c r="T111">
        <f>HYPERLINK("https://klasma.github.io/Logging_0980/kartor/A 54357-2024 karta.png", "A 54357-2024")</f>
        <v/>
      </c>
      <c r="V111">
        <f>HYPERLINK("https://klasma.github.io/Logging_0980/klagomål/A 54357-2024 FSC-klagomål.docx", "A 54357-2024")</f>
        <v/>
      </c>
      <c r="W111">
        <f>HYPERLINK("https://klasma.github.io/Logging_0980/klagomålsmail/A 54357-2024 FSC-klagomål mail.docx", "A 54357-2024")</f>
        <v/>
      </c>
      <c r="X111">
        <f>HYPERLINK("https://klasma.github.io/Logging_0980/tillsyn/A 54357-2024 tillsynsbegäran.docx", "A 54357-2024")</f>
        <v/>
      </c>
      <c r="Y111">
        <f>HYPERLINK("https://klasma.github.io/Logging_0980/tillsynsmail/A 54357-2024 tillsynsbegäran mail.docx", "A 54357-2024")</f>
        <v/>
      </c>
    </row>
    <row r="112" ht="15" customHeight="1">
      <c r="A112" t="inlineStr">
        <is>
          <t>A 26077-2024</t>
        </is>
      </c>
      <c r="B112" s="1" t="n">
        <v>45467</v>
      </c>
      <c r="C112" s="1" t="n">
        <v>45895</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58701-2020</t>
        </is>
      </c>
      <c r="B113" s="1" t="n">
        <v>44146</v>
      </c>
      <c r="C113" s="1" t="n">
        <v>45895</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7070-2022</t>
        </is>
      </c>
      <c r="B114" s="1" t="n">
        <v>44603</v>
      </c>
      <c r="C114" s="1" t="n">
        <v>45895</v>
      </c>
      <c r="D114" t="inlineStr">
        <is>
          <t>GOTLANDS LÄN</t>
        </is>
      </c>
      <c r="E114" t="inlineStr">
        <is>
          <t>GOTLAND</t>
        </is>
      </c>
      <c r="G114" t="n">
        <v>2.6</v>
      </c>
      <c r="H114" t="n">
        <v>0</v>
      </c>
      <c r="I114" t="n">
        <v>2</v>
      </c>
      <c r="J114" t="n">
        <v>0</v>
      </c>
      <c r="K114" t="n">
        <v>0</v>
      </c>
      <c r="L114" t="n">
        <v>0</v>
      </c>
      <c r="M114" t="n">
        <v>0</v>
      </c>
      <c r="N114" t="n">
        <v>0</v>
      </c>
      <c r="O114" t="n">
        <v>0</v>
      </c>
      <c r="P114" t="n">
        <v>0</v>
      </c>
      <c r="Q114" t="n">
        <v>2</v>
      </c>
      <c r="R114" s="2" t="inlineStr">
        <is>
          <t>Blåmossa
Kattfotslav</t>
        </is>
      </c>
      <c r="S114">
        <f>HYPERLINK("https://klasma.github.io/Logging_0980/artfynd/A 7070-2022 artfynd.xlsx", "A 7070-2022")</f>
        <v/>
      </c>
      <c r="T114">
        <f>HYPERLINK("https://klasma.github.io/Logging_0980/kartor/A 7070-2022 karta.png", "A 7070-2022")</f>
        <v/>
      </c>
      <c r="V114">
        <f>HYPERLINK("https://klasma.github.io/Logging_0980/klagomål/A 7070-2022 FSC-klagomål.docx", "A 7070-2022")</f>
        <v/>
      </c>
      <c r="W114">
        <f>HYPERLINK("https://klasma.github.io/Logging_0980/klagomålsmail/A 7070-2022 FSC-klagomål mail.docx", "A 7070-2022")</f>
        <v/>
      </c>
      <c r="X114">
        <f>HYPERLINK("https://klasma.github.io/Logging_0980/tillsyn/A 7070-2022 tillsynsbegäran.docx", "A 7070-2022")</f>
        <v/>
      </c>
      <c r="Y114">
        <f>HYPERLINK("https://klasma.github.io/Logging_0980/tillsynsmail/A 7070-2022 tillsynsbegäran mail.docx", "A 7070-2022")</f>
        <v/>
      </c>
    </row>
    <row r="115" ht="15" customHeight="1">
      <c r="A115" t="inlineStr">
        <is>
          <t>A 43321-2020</t>
        </is>
      </c>
      <c r="B115" s="1" t="n">
        <v>44081</v>
      </c>
      <c r="C115" s="1" t="n">
        <v>45895</v>
      </c>
      <c r="D115" t="inlineStr">
        <is>
          <t>GOTLANDS LÄN</t>
        </is>
      </c>
      <c r="E115" t="inlineStr">
        <is>
          <t>GOTLAND</t>
        </is>
      </c>
      <c r="G115" t="n">
        <v>10</v>
      </c>
      <c r="H115" t="n">
        <v>1</v>
      </c>
      <c r="I115" t="n">
        <v>0</v>
      </c>
      <c r="J115" t="n">
        <v>2</v>
      </c>
      <c r="K115" t="n">
        <v>0</v>
      </c>
      <c r="L115" t="n">
        <v>0</v>
      </c>
      <c r="M115" t="n">
        <v>0</v>
      </c>
      <c r="N115" t="n">
        <v>0</v>
      </c>
      <c r="O115" t="n">
        <v>2</v>
      </c>
      <c r="P115" t="n">
        <v>0</v>
      </c>
      <c r="Q115" t="n">
        <v>2</v>
      </c>
      <c r="R115" s="2" t="inlineStr">
        <is>
          <t>Buskskvätta
Ängsnätfjäril</t>
        </is>
      </c>
      <c r="S115">
        <f>HYPERLINK("https://klasma.github.io/Logging_0980/artfynd/A 43321-2020 artfynd.xlsx", "A 43321-2020")</f>
        <v/>
      </c>
      <c r="T115">
        <f>HYPERLINK("https://klasma.github.io/Logging_0980/kartor/A 43321-2020 karta.png", "A 43321-2020")</f>
        <v/>
      </c>
      <c r="V115">
        <f>HYPERLINK("https://klasma.github.io/Logging_0980/klagomål/A 43321-2020 FSC-klagomål.docx", "A 43321-2020")</f>
        <v/>
      </c>
      <c r="W115">
        <f>HYPERLINK("https://klasma.github.io/Logging_0980/klagomålsmail/A 43321-2020 FSC-klagomål mail.docx", "A 43321-2020")</f>
        <v/>
      </c>
      <c r="X115">
        <f>HYPERLINK("https://klasma.github.io/Logging_0980/tillsyn/A 43321-2020 tillsynsbegäran.docx", "A 43321-2020")</f>
        <v/>
      </c>
      <c r="Y115">
        <f>HYPERLINK("https://klasma.github.io/Logging_0980/tillsynsmail/A 43321-2020 tillsynsbegäran mail.docx", "A 43321-2020")</f>
        <v/>
      </c>
      <c r="Z115">
        <f>HYPERLINK("https://klasma.github.io/Logging_0980/fåglar/A 43321-2020 prioriterade fågelarter.docx", "A 43321-2020")</f>
        <v/>
      </c>
    </row>
    <row r="116" ht="15" customHeight="1">
      <c r="A116" t="inlineStr">
        <is>
          <t>A 12914-2025</t>
        </is>
      </c>
      <c r="B116" s="1" t="n">
        <v>45733</v>
      </c>
      <c r="C116" s="1" t="n">
        <v>45895</v>
      </c>
      <c r="D116" t="inlineStr">
        <is>
          <t>GOTLANDS LÄN</t>
        </is>
      </c>
      <c r="E116" t="inlineStr">
        <is>
          <t>GOTLAND</t>
        </is>
      </c>
      <c r="G116" t="n">
        <v>24.8</v>
      </c>
      <c r="H116" t="n">
        <v>2</v>
      </c>
      <c r="I116" t="n">
        <v>1</v>
      </c>
      <c r="J116" t="n">
        <v>0</v>
      </c>
      <c r="K116" t="n">
        <v>0</v>
      </c>
      <c r="L116" t="n">
        <v>0</v>
      </c>
      <c r="M116" t="n">
        <v>0</v>
      </c>
      <c r="N116" t="n">
        <v>0</v>
      </c>
      <c r="O116" t="n">
        <v>0</v>
      </c>
      <c r="P116" t="n">
        <v>0</v>
      </c>
      <c r="Q116" t="n">
        <v>2</v>
      </c>
      <c r="R116" s="2" t="inlineStr">
        <is>
          <t>Purpurknipprot
Brudsporre</t>
        </is>
      </c>
      <c r="S116">
        <f>HYPERLINK("https://klasma.github.io/Logging_0980/artfynd/A 12914-2025 artfynd.xlsx", "A 12914-2025")</f>
        <v/>
      </c>
      <c r="T116">
        <f>HYPERLINK("https://klasma.github.io/Logging_0980/kartor/A 12914-2025 karta.png", "A 12914-2025")</f>
        <v/>
      </c>
      <c r="V116">
        <f>HYPERLINK("https://klasma.github.io/Logging_0980/klagomål/A 12914-2025 FSC-klagomål.docx", "A 12914-2025")</f>
        <v/>
      </c>
      <c r="W116">
        <f>HYPERLINK("https://klasma.github.io/Logging_0980/klagomålsmail/A 12914-2025 FSC-klagomål mail.docx", "A 12914-2025")</f>
        <v/>
      </c>
      <c r="X116">
        <f>HYPERLINK("https://klasma.github.io/Logging_0980/tillsyn/A 12914-2025 tillsynsbegäran.docx", "A 12914-2025")</f>
        <v/>
      </c>
      <c r="Y116">
        <f>HYPERLINK("https://klasma.github.io/Logging_0980/tillsynsmail/A 12914-2025 tillsynsbegäran mail.docx", "A 12914-2025")</f>
        <v/>
      </c>
    </row>
    <row r="117" ht="15" customHeight="1">
      <c r="A117" t="inlineStr">
        <is>
          <t>A 28261-2024</t>
        </is>
      </c>
      <c r="B117" s="1" t="n">
        <v>45477</v>
      </c>
      <c r="C117" s="1" t="n">
        <v>45895</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28261-2024 artfynd.xlsx", "A 28261-2024")</f>
        <v/>
      </c>
      <c r="T117">
        <f>HYPERLINK("https://klasma.github.io/Logging_0980/kartor/A 28261-2024 karta.png", "A 28261-2024")</f>
        <v/>
      </c>
      <c r="V117">
        <f>HYPERLINK("https://klasma.github.io/Logging_0980/klagomål/A 28261-2024 FSC-klagomål.docx", "A 28261-2024")</f>
        <v/>
      </c>
      <c r="W117">
        <f>HYPERLINK("https://klasma.github.io/Logging_0980/klagomålsmail/A 28261-2024 FSC-klagomål mail.docx", "A 28261-2024")</f>
        <v/>
      </c>
      <c r="X117">
        <f>HYPERLINK("https://klasma.github.io/Logging_0980/tillsyn/A 28261-2024 tillsynsbegäran.docx", "A 28261-2024")</f>
        <v/>
      </c>
      <c r="Y117">
        <f>HYPERLINK("https://klasma.github.io/Logging_0980/tillsynsmail/A 28261-2024 tillsynsbegäran mail.docx", "A 28261-2024")</f>
        <v/>
      </c>
    </row>
    <row r="118" ht="15" customHeight="1">
      <c r="A118" t="inlineStr">
        <is>
          <t>A 55649-2024</t>
        </is>
      </c>
      <c r="B118" s="1" t="n">
        <v>45622.63053240741</v>
      </c>
      <c r="C118" s="1" t="n">
        <v>45895</v>
      </c>
      <c r="D118" t="inlineStr">
        <is>
          <t>GOTLANDS LÄN</t>
        </is>
      </c>
      <c r="E118" t="inlineStr">
        <is>
          <t>GOTLAND</t>
        </is>
      </c>
      <c r="G118" t="n">
        <v>4.6</v>
      </c>
      <c r="H118" t="n">
        <v>2</v>
      </c>
      <c r="I118" t="n">
        <v>0</v>
      </c>
      <c r="J118" t="n">
        <v>0</v>
      </c>
      <c r="K118" t="n">
        <v>0</v>
      </c>
      <c r="L118" t="n">
        <v>0</v>
      </c>
      <c r="M118" t="n">
        <v>0</v>
      </c>
      <c r="N118" t="n">
        <v>0</v>
      </c>
      <c r="O118" t="n">
        <v>0</v>
      </c>
      <c r="P118" t="n">
        <v>0</v>
      </c>
      <c r="Q118" t="n">
        <v>2</v>
      </c>
      <c r="R118" s="2" t="inlineStr">
        <is>
          <t>Sankt pers nycklar
Blåsippa</t>
        </is>
      </c>
      <c r="S118">
        <f>HYPERLINK("https://klasma.github.io/Logging_0980/artfynd/A 55649-2024 artfynd.xlsx", "A 55649-2024")</f>
        <v/>
      </c>
      <c r="T118">
        <f>HYPERLINK("https://klasma.github.io/Logging_0980/kartor/A 55649-2024 karta.png", "A 55649-2024")</f>
        <v/>
      </c>
      <c r="V118">
        <f>HYPERLINK("https://klasma.github.io/Logging_0980/klagomål/A 55649-2024 FSC-klagomål.docx", "A 55649-2024")</f>
        <v/>
      </c>
      <c r="W118">
        <f>HYPERLINK("https://klasma.github.io/Logging_0980/klagomålsmail/A 55649-2024 FSC-klagomål mail.docx", "A 55649-2024")</f>
        <v/>
      </c>
      <c r="X118">
        <f>HYPERLINK("https://klasma.github.io/Logging_0980/tillsyn/A 55649-2024 tillsynsbegäran.docx", "A 55649-2024")</f>
        <v/>
      </c>
      <c r="Y118">
        <f>HYPERLINK("https://klasma.github.io/Logging_0980/tillsynsmail/A 55649-2024 tillsynsbegäran mail.docx", "A 55649-2024")</f>
        <v/>
      </c>
    </row>
    <row r="119" ht="15" customHeight="1">
      <c r="A119" t="inlineStr">
        <is>
          <t>A 20838-2024</t>
        </is>
      </c>
      <c r="B119" s="1" t="n">
        <v>45439</v>
      </c>
      <c r="C119" s="1" t="n">
        <v>45895</v>
      </c>
      <c r="D119" t="inlineStr">
        <is>
          <t>GOTLANDS LÄN</t>
        </is>
      </c>
      <c r="E119" t="inlineStr">
        <is>
          <t>GOTLAND</t>
        </is>
      </c>
      <c r="G119" t="n">
        <v>0.7</v>
      </c>
      <c r="H119" t="n">
        <v>2</v>
      </c>
      <c r="I119" t="n">
        <v>1</v>
      </c>
      <c r="J119" t="n">
        <v>1</v>
      </c>
      <c r="K119" t="n">
        <v>0</v>
      </c>
      <c r="L119" t="n">
        <v>0</v>
      </c>
      <c r="M119" t="n">
        <v>0</v>
      </c>
      <c r="N119" t="n">
        <v>0</v>
      </c>
      <c r="O119" t="n">
        <v>1</v>
      </c>
      <c r="P119" t="n">
        <v>0</v>
      </c>
      <c r="Q119" t="n">
        <v>2</v>
      </c>
      <c r="R119" s="2" t="inlineStr">
        <is>
          <t>Spillkråka
Skogsknipprot</t>
        </is>
      </c>
      <c r="S119">
        <f>HYPERLINK("https://klasma.github.io/Logging_0980/artfynd/A 20838-2024 artfynd.xlsx", "A 20838-2024")</f>
        <v/>
      </c>
      <c r="T119">
        <f>HYPERLINK("https://klasma.github.io/Logging_0980/kartor/A 20838-2024 karta.png", "A 20838-2024")</f>
        <v/>
      </c>
      <c r="V119">
        <f>HYPERLINK("https://klasma.github.io/Logging_0980/klagomål/A 20838-2024 FSC-klagomål.docx", "A 20838-2024")</f>
        <v/>
      </c>
      <c r="W119">
        <f>HYPERLINK("https://klasma.github.io/Logging_0980/klagomålsmail/A 20838-2024 FSC-klagomål mail.docx", "A 20838-2024")</f>
        <v/>
      </c>
      <c r="X119">
        <f>HYPERLINK("https://klasma.github.io/Logging_0980/tillsyn/A 20838-2024 tillsynsbegäran.docx", "A 20838-2024")</f>
        <v/>
      </c>
      <c r="Y119">
        <f>HYPERLINK("https://klasma.github.io/Logging_0980/tillsynsmail/A 20838-2024 tillsynsbegäran mail.docx", "A 20838-2024")</f>
        <v/>
      </c>
      <c r="Z119">
        <f>HYPERLINK("https://klasma.github.io/Logging_0980/fåglar/A 20838-2024 prioriterade fågelarter.docx", "A 20838-2024")</f>
        <v/>
      </c>
    </row>
    <row r="120" ht="15" customHeight="1">
      <c r="A120" t="inlineStr">
        <is>
          <t>A 64263-2020</t>
        </is>
      </c>
      <c r="B120" s="1" t="n">
        <v>44168</v>
      </c>
      <c r="C120" s="1" t="n">
        <v>45895</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73144-2021</t>
        </is>
      </c>
      <c r="B121" s="1" t="n">
        <v>44550</v>
      </c>
      <c r="C121" s="1" t="n">
        <v>45895</v>
      </c>
      <c r="D121" t="inlineStr">
        <is>
          <t>GOTLANDS LÄN</t>
        </is>
      </c>
      <c r="E121" t="inlineStr">
        <is>
          <t>GOTLAND</t>
        </is>
      </c>
      <c r="G121" t="n">
        <v>1.9</v>
      </c>
      <c r="H121" t="n">
        <v>0</v>
      </c>
      <c r="I121" t="n">
        <v>1</v>
      </c>
      <c r="J121" t="n">
        <v>0</v>
      </c>
      <c r="K121" t="n">
        <v>1</v>
      </c>
      <c r="L121" t="n">
        <v>0</v>
      </c>
      <c r="M121" t="n">
        <v>0</v>
      </c>
      <c r="N121" t="n">
        <v>0</v>
      </c>
      <c r="O121" t="n">
        <v>1</v>
      </c>
      <c r="P121" t="n">
        <v>1</v>
      </c>
      <c r="Q121" t="n">
        <v>2</v>
      </c>
      <c r="R121" s="2" t="inlineStr">
        <is>
          <t>Skogskorn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28276-2024</t>
        </is>
      </c>
      <c r="B122" s="1" t="n">
        <v>45477</v>
      </c>
      <c r="C122" s="1" t="n">
        <v>45895</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24-2021</t>
        </is>
      </c>
      <c r="B123" s="1" t="n">
        <v>44197</v>
      </c>
      <c r="C123" s="1" t="n">
        <v>45895</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45895</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45895</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45895</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45895</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45895</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45895</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63576-2021</t>
        </is>
      </c>
      <c r="B130" s="1" t="n">
        <v>44508</v>
      </c>
      <c r="C130" s="1" t="n">
        <v>45895</v>
      </c>
      <c r="D130" t="inlineStr">
        <is>
          <t>GOTLANDS LÄN</t>
        </is>
      </c>
      <c r="E130" t="inlineStr">
        <is>
          <t>GOTLAND</t>
        </is>
      </c>
      <c r="F130" t="inlineStr">
        <is>
          <t>Kyrkan</t>
        </is>
      </c>
      <c r="G130" t="n">
        <v>4.1</v>
      </c>
      <c r="H130" t="n">
        <v>1</v>
      </c>
      <c r="I130" t="n">
        <v>0</v>
      </c>
      <c r="J130" t="n">
        <v>1</v>
      </c>
      <c r="K130" t="n">
        <v>0</v>
      </c>
      <c r="L130" t="n">
        <v>0</v>
      </c>
      <c r="M130" t="n">
        <v>0</v>
      </c>
      <c r="N130" t="n">
        <v>0</v>
      </c>
      <c r="O130" t="n">
        <v>1</v>
      </c>
      <c r="P130" t="n">
        <v>0</v>
      </c>
      <c r="Q130" t="n">
        <v>1</v>
      </c>
      <c r="R130" s="2" t="inlineStr">
        <is>
          <t>Dårgräsfjäril</t>
        </is>
      </c>
      <c r="S130">
        <f>HYPERLINK("https://klasma.github.io/Logging_0980/artfynd/A 63576-2021 artfynd.xlsx", "A 63576-2021")</f>
        <v/>
      </c>
      <c r="T130">
        <f>HYPERLINK("https://klasma.github.io/Logging_0980/kartor/A 63576-2021 karta.png", "A 63576-2021")</f>
        <v/>
      </c>
      <c r="V130">
        <f>HYPERLINK("https://klasma.github.io/Logging_0980/klagomål/A 63576-2021 FSC-klagomål.docx", "A 63576-2021")</f>
        <v/>
      </c>
      <c r="W130">
        <f>HYPERLINK("https://klasma.github.io/Logging_0980/klagomålsmail/A 63576-2021 FSC-klagomål mail.docx", "A 63576-2021")</f>
        <v/>
      </c>
      <c r="X130">
        <f>HYPERLINK("https://klasma.github.io/Logging_0980/tillsyn/A 63576-2021 tillsynsbegäran.docx", "A 63576-2021")</f>
        <v/>
      </c>
      <c r="Y130">
        <f>HYPERLINK("https://klasma.github.io/Logging_0980/tillsynsmail/A 63576-2021 tillsynsbegäran mail.docx", "A 63576-2021")</f>
        <v/>
      </c>
    </row>
    <row r="131" ht="15" customHeight="1">
      <c r="A131" t="inlineStr">
        <is>
          <t>A 12379-2024</t>
        </is>
      </c>
      <c r="B131" s="1" t="n">
        <v>45379.28155092592</v>
      </c>
      <c r="C131" s="1" t="n">
        <v>45895</v>
      </c>
      <c r="D131" t="inlineStr">
        <is>
          <t>GOTLANDS LÄN</t>
        </is>
      </c>
      <c r="E131" t="inlineStr">
        <is>
          <t>GOTLAND</t>
        </is>
      </c>
      <c r="G131" t="n">
        <v>4.4</v>
      </c>
      <c r="H131" t="n">
        <v>0</v>
      </c>
      <c r="I131" t="n">
        <v>0</v>
      </c>
      <c r="J131" t="n">
        <v>1</v>
      </c>
      <c r="K131" t="n">
        <v>0</v>
      </c>
      <c r="L131" t="n">
        <v>0</v>
      </c>
      <c r="M131" t="n">
        <v>0</v>
      </c>
      <c r="N131" t="n">
        <v>0</v>
      </c>
      <c r="O131" t="n">
        <v>1</v>
      </c>
      <c r="P131" t="n">
        <v>0</v>
      </c>
      <c r="Q131" t="n">
        <v>1</v>
      </c>
      <c r="R131" s="2" t="inlineStr">
        <is>
          <t>Svinrot</t>
        </is>
      </c>
      <c r="S131">
        <f>HYPERLINK("https://klasma.github.io/Logging_0980/artfynd/A 12379-2024 artfynd.xlsx", "A 12379-2024")</f>
        <v/>
      </c>
      <c r="T131">
        <f>HYPERLINK("https://klasma.github.io/Logging_0980/kartor/A 12379-2024 karta.png", "A 12379-2024")</f>
        <v/>
      </c>
      <c r="V131">
        <f>HYPERLINK("https://klasma.github.io/Logging_0980/klagomål/A 12379-2024 FSC-klagomål.docx", "A 12379-2024")</f>
        <v/>
      </c>
      <c r="W131">
        <f>HYPERLINK("https://klasma.github.io/Logging_0980/klagomålsmail/A 12379-2024 FSC-klagomål mail.docx", "A 12379-2024")</f>
        <v/>
      </c>
      <c r="X131">
        <f>HYPERLINK("https://klasma.github.io/Logging_0980/tillsyn/A 12379-2024 tillsynsbegäran.docx", "A 12379-2024")</f>
        <v/>
      </c>
      <c r="Y131">
        <f>HYPERLINK("https://klasma.github.io/Logging_0980/tillsynsmail/A 12379-2024 tillsynsbegäran mail.docx", "A 12379-2024")</f>
        <v/>
      </c>
    </row>
    <row r="132" ht="15" customHeight="1">
      <c r="A132" t="inlineStr">
        <is>
          <t>A 64700-2021</t>
        </is>
      </c>
      <c r="B132" s="1" t="n">
        <v>44511</v>
      </c>
      <c r="C132" s="1" t="n">
        <v>45895</v>
      </c>
      <c r="D132" t="inlineStr">
        <is>
          <t>GOTLANDS LÄN</t>
        </is>
      </c>
      <c r="E132" t="inlineStr">
        <is>
          <t>GOTLAND</t>
        </is>
      </c>
      <c r="F132" t="inlineStr">
        <is>
          <t>Naturvårdsverket</t>
        </is>
      </c>
      <c r="G132" t="n">
        <v>2.4</v>
      </c>
      <c r="H132" t="n">
        <v>1</v>
      </c>
      <c r="I132" t="n">
        <v>0</v>
      </c>
      <c r="J132" t="n">
        <v>0</v>
      </c>
      <c r="K132" t="n">
        <v>1</v>
      </c>
      <c r="L132" t="n">
        <v>0</v>
      </c>
      <c r="M132" t="n">
        <v>0</v>
      </c>
      <c r="N132" t="n">
        <v>0</v>
      </c>
      <c r="O132" t="n">
        <v>1</v>
      </c>
      <c r="P132" t="n">
        <v>1</v>
      </c>
      <c r="Q132" t="n">
        <v>1</v>
      </c>
      <c r="R132" s="2" t="inlineStr">
        <is>
          <t>Kalkdån</t>
        </is>
      </c>
      <c r="S132">
        <f>HYPERLINK("https://klasma.github.io/Logging_0980/artfynd/A 64700-2021 artfynd.xlsx", "A 64700-2021")</f>
        <v/>
      </c>
      <c r="T132">
        <f>HYPERLINK("https://klasma.github.io/Logging_0980/kartor/A 64700-2021 karta.png", "A 64700-2021")</f>
        <v/>
      </c>
      <c r="V132">
        <f>HYPERLINK("https://klasma.github.io/Logging_0980/klagomål/A 64700-2021 FSC-klagomål.docx", "A 64700-2021")</f>
        <v/>
      </c>
      <c r="W132">
        <f>HYPERLINK("https://klasma.github.io/Logging_0980/klagomålsmail/A 64700-2021 FSC-klagomål mail.docx", "A 64700-2021")</f>
        <v/>
      </c>
      <c r="X132">
        <f>HYPERLINK("https://klasma.github.io/Logging_0980/tillsyn/A 64700-2021 tillsynsbegäran.docx", "A 64700-2021")</f>
        <v/>
      </c>
      <c r="Y132">
        <f>HYPERLINK("https://klasma.github.io/Logging_0980/tillsynsmail/A 64700-2021 tillsynsbegäran mail.docx", "A 64700-2021")</f>
        <v/>
      </c>
    </row>
    <row r="133" ht="15" customHeight="1">
      <c r="A133" t="inlineStr">
        <is>
          <t>A 20429-2025</t>
        </is>
      </c>
      <c r="B133" s="1" t="n">
        <v>45775.47728009259</v>
      </c>
      <c r="C133" s="1" t="n">
        <v>45895</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17723-2021</t>
        </is>
      </c>
      <c r="B134" s="1" t="n">
        <v>44300</v>
      </c>
      <c r="C134" s="1" t="n">
        <v>45895</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27589-2023</t>
        </is>
      </c>
      <c r="B135" s="1" t="n">
        <v>45097</v>
      </c>
      <c r="C135" s="1" t="n">
        <v>45895</v>
      </c>
      <c r="D135" t="inlineStr">
        <is>
          <t>GOTLANDS LÄN</t>
        </is>
      </c>
      <c r="E135" t="inlineStr">
        <is>
          <t>GOTLAND</t>
        </is>
      </c>
      <c r="G135" t="n">
        <v>5.4</v>
      </c>
      <c r="H135" t="n">
        <v>0</v>
      </c>
      <c r="I135" t="n">
        <v>0</v>
      </c>
      <c r="J135" t="n">
        <v>0</v>
      </c>
      <c r="K135" t="n">
        <v>0</v>
      </c>
      <c r="L135" t="n">
        <v>0</v>
      </c>
      <c r="M135" t="n">
        <v>1</v>
      </c>
      <c r="N135" t="n">
        <v>0</v>
      </c>
      <c r="O135" t="n">
        <v>1</v>
      </c>
      <c r="P135" t="n">
        <v>1</v>
      </c>
      <c r="Q135" t="n">
        <v>1</v>
      </c>
      <c r="R135" s="2" t="inlineStr">
        <is>
          <t>Skogsalm</t>
        </is>
      </c>
      <c r="S135">
        <f>HYPERLINK("https://klasma.github.io/Logging_0980/artfynd/A 27589-2023 artfynd.xlsx", "A 27589-2023")</f>
        <v/>
      </c>
      <c r="T135">
        <f>HYPERLINK("https://klasma.github.io/Logging_0980/kartor/A 27589-2023 karta.png", "A 27589-2023")</f>
        <v/>
      </c>
      <c r="V135">
        <f>HYPERLINK("https://klasma.github.io/Logging_0980/klagomål/A 27589-2023 FSC-klagomål.docx", "A 27589-2023")</f>
        <v/>
      </c>
      <c r="W135">
        <f>HYPERLINK("https://klasma.github.io/Logging_0980/klagomålsmail/A 27589-2023 FSC-klagomål mail.docx", "A 27589-2023")</f>
        <v/>
      </c>
      <c r="X135">
        <f>HYPERLINK("https://klasma.github.io/Logging_0980/tillsyn/A 27589-2023 tillsynsbegäran.docx", "A 27589-2023")</f>
        <v/>
      </c>
      <c r="Y135">
        <f>HYPERLINK("https://klasma.github.io/Logging_0980/tillsynsmail/A 27589-2023 tillsynsbegäran mail.docx", "A 27589-2023")</f>
        <v/>
      </c>
    </row>
    <row r="136" ht="15" customHeight="1">
      <c r="A136" t="inlineStr">
        <is>
          <t>A 35574-2024</t>
        </is>
      </c>
      <c r="B136" s="1" t="n">
        <v>45531</v>
      </c>
      <c r="C136" s="1" t="n">
        <v>45895</v>
      </c>
      <c r="D136" t="inlineStr">
        <is>
          <t>GOTLANDS LÄN</t>
        </is>
      </c>
      <c r="E136" t="inlineStr">
        <is>
          <t>GOTLAND</t>
        </is>
      </c>
      <c r="G136" t="n">
        <v>5.7</v>
      </c>
      <c r="H136" t="n">
        <v>0</v>
      </c>
      <c r="I136" t="n">
        <v>1</v>
      </c>
      <c r="J136" t="n">
        <v>0</v>
      </c>
      <c r="K136" t="n">
        <v>0</v>
      </c>
      <c r="L136" t="n">
        <v>0</v>
      </c>
      <c r="M136" t="n">
        <v>0</v>
      </c>
      <c r="N136" t="n">
        <v>0</v>
      </c>
      <c r="O136" t="n">
        <v>0</v>
      </c>
      <c r="P136" t="n">
        <v>0</v>
      </c>
      <c r="Q136" t="n">
        <v>1</v>
      </c>
      <c r="R136" s="2" t="inlineStr">
        <is>
          <t>Murgröna</t>
        </is>
      </c>
      <c r="S136">
        <f>HYPERLINK("https://klasma.github.io/Logging_0980/artfynd/A 35574-2024 artfynd.xlsx", "A 35574-2024")</f>
        <v/>
      </c>
      <c r="T136">
        <f>HYPERLINK("https://klasma.github.io/Logging_0980/kartor/A 35574-2024 karta.png", "A 35574-2024")</f>
        <v/>
      </c>
      <c r="V136">
        <f>HYPERLINK("https://klasma.github.io/Logging_0980/klagomål/A 35574-2024 FSC-klagomål.docx", "A 35574-2024")</f>
        <v/>
      </c>
      <c r="W136">
        <f>HYPERLINK("https://klasma.github.io/Logging_0980/klagomålsmail/A 35574-2024 FSC-klagomål mail.docx", "A 35574-2024")</f>
        <v/>
      </c>
      <c r="X136">
        <f>HYPERLINK("https://klasma.github.io/Logging_0980/tillsyn/A 35574-2024 tillsynsbegäran.docx", "A 35574-2024")</f>
        <v/>
      </c>
      <c r="Y136">
        <f>HYPERLINK("https://klasma.github.io/Logging_0980/tillsynsmail/A 35574-2024 tillsynsbegäran mail.docx", "A 35574-2024")</f>
        <v/>
      </c>
    </row>
    <row r="137" ht="15" customHeight="1">
      <c r="A137" t="inlineStr">
        <is>
          <t>A 21466-2025</t>
        </is>
      </c>
      <c r="B137" s="1" t="n">
        <v>45782</v>
      </c>
      <c r="C137" s="1" t="n">
        <v>45895</v>
      </c>
      <c r="D137" t="inlineStr">
        <is>
          <t>GOTLANDS LÄN</t>
        </is>
      </c>
      <c r="E137" t="inlineStr">
        <is>
          <t>GOTLAND</t>
        </is>
      </c>
      <c r="F137" t="inlineStr">
        <is>
          <t>Övriga statliga verk och myndigheter</t>
        </is>
      </c>
      <c r="G137" t="n">
        <v>1.7</v>
      </c>
      <c r="H137" t="n">
        <v>1</v>
      </c>
      <c r="I137" t="n">
        <v>0</v>
      </c>
      <c r="J137" t="n">
        <v>0</v>
      </c>
      <c r="K137" t="n">
        <v>0</v>
      </c>
      <c r="L137" t="n">
        <v>0</v>
      </c>
      <c r="M137" t="n">
        <v>0</v>
      </c>
      <c r="N137" t="n">
        <v>0</v>
      </c>
      <c r="O137" t="n">
        <v>0</v>
      </c>
      <c r="P137" t="n">
        <v>0</v>
      </c>
      <c r="Q137" t="n">
        <v>1</v>
      </c>
      <c r="R137" s="2" t="inlineStr">
        <is>
          <t>Blåsippa</t>
        </is>
      </c>
      <c r="S137">
        <f>HYPERLINK("https://klasma.github.io/Logging_0980/artfynd/A 21466-2025 artfynd.xlsx", "A 21466-2025")</f>
        <v/>
      </c>
      <c r="T137">
        <f>HYPERLINK("https://klasma.github.io/Logging_0980/kartor/A 21466-2025 karta.png", "A 21466-2025")</f>
        <v/>
      </c>
      <c r="V137">
        <f>HYPERLINK("https://klasma.github.io/Logging_0980/klagomål/A 21466-2025 FSC-klagomål.docx", "A 21466-2025")</f>
        <v/>
      </c>
      <c r="W137">
        <f>HYPERLINK("https://klasma.github.io/Logging_0980/klagomålsmail/A 21466-2025 FSC-klagomål mail.docx", "A 21466-2025")</f>
        <v/>
      </c>
      <c r="X137">
        <f>HYPERLINK("https://klasma.github.io/Logging_0980/tillsyn/A 21466-2025 tillsynsbegäran.docx", "A 21466-2025")</f>
        <v/>
      </c>
      <c r="Y137">
        <f>HYPERLINK("https://klasma.github.io/Logging_0980/tillsynsmail/A 21466-2025 tillsynsbegäran mail.docx", "A 21466-2025")</f>
        <v/>
      </c>
    </row>
    <row r="138" ht="15" customHeight="1">
      <c r="A138" t="inlineStr">
        <is>
          <t>A 7637-2025</t>
        </is>
      </c>
      <c r="B138" s="1" t="n">
        <v>45705.77181712963</v>
      </c>
      <c r="C138" s="1" t="n">
        <v>45895</v>
      </c>
      <c r="D138" t="inlineStr">
        <is>
          <t>GOTLANDS LÄN</t>
        </is>
      </c>
      <c r="E138" t="inlineStr">
        <is>
          <t>GOTLAND</t>
        </is>
      </c>
      <c r="G138" t="n">
        <v>3.7</v>
      </c>
      <c r="H138" t="n">
        <v>0</v>
      </c>
      <c r="I138" t="n">
        <v>0</v>
      </c>
      <c r="J138" t="n">
        <v>0</v>
      </c>
      <c r="K138" t="n">
        <v>0</v>
      </c>
      <c r="L138" t="n">
        <v>0</v>
      </c>
      <c r="M138" t="n">
        <v>1</v>
      </c>
      <c r="N138" t="n">
        <v>0</v>
      </c>
      <c r="O138" t="n">
        <v>1</v>
      </c>
      <c r="P138" t="n">
        <v>1</v>
      </c>
      <c r="Q138" t="n">
        <v>1</v>
      </c>
      <c r="R138" s="2" t="inlineStr">
        <is>
          <t>Skogsalm</t>
        </is>
      </c>
      <c r="S138">
        <f>HYPERLINK("https://klasma.github.io/Logging_0980/artfynd/A 7637-2025 artfynd.xlsx", "A 7637-2025")</f>
        <v/>
      </c>
      <c r="T138">
        <f>HYPERLINK("https://klasma.github.io/Logging_0980/kartor/A 7637-2025 karta.png", "A 7637-2025")</f>
        <v/>
      </c>
      <c r="V138">
        <f>HYPERLINK("https://klasma.github.io/Logging_0980/klagomål/A 7637-2025 FSC-klagomål.docx", "A 7637-2025")</f>
        <v/>
      </c>
      <c r="W138">
        <f>HYPERLINK("https://klasma.github.io/Logging_0980/klagomålsmail/A 7637-2025 FSC-klagomål mail.docx", "A 7637-2025")</f>
        <v/>
      </c>
      <c r="X138">
        <f>HYPERLINK("https://klasma.github.io/Logging_0980/tillsyn/A 7637-2025 tillsynsbegäran.docx", "A 7637-2025")</f>
        <v/>
      </c>
      <c r="Y138">
        <f>HYPERLINK("https://klasma.github.io/Logging_0980/tillsynsmail/A 7637-2025 tillsynsbegäran mail.docx", "A 7637-2025")</f>
        <v/>
      </c>
    </row>
    <row r="139" ht="15" customHeight="1">
      <c r="A139" t="inlineStr">
        <is>
          <t>A 10440-2024</t>
        </is>
      </c>
      <c r="B139" s="1" t="n">
        <v>45366.32818287037</v>
      </c>
      <c r="C139" s="1" t="n">
        <v>45895</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12924-2025</t>
        </is>
      </c>
      <c r="B140" s="1" t="n">
        <v>45734</v>
      </c>
      <c r="C140" s="1" t="n">
        <v>45895</v>
      </c>
      <c r="D140" t="inlineStr">
        <is>
          <t>GOTLANDS LÄN</t>
        </is>
      </c>
      <c r="E140" t="inlineStr">
        <is>
          <t>GOTLAND</t>
        </is>
      </c>
      <c r="G140" t="n">
        <v>11.7</v>
      </c>
      <c r="H140" t="n">
        <v>0</v>
      </c>
      <c r="I140" t="n">
        <v>0</v>
      </c>
      <c r="J140" t="n">
        <v>0</v>
      </c>
      <c r="K140" t="n">
        <v>1</v>
      </c>
      <c r="L140" t="n">
        <v>0</v>
      </c>
      <c r="M140" t="n">
        <v>0</v>
      </c>
      <c r="N140" t="n">
        <v>0</v>
      </c>
      <c r="O140" t="n">
        <v>1</v>
      </c>
      <c r="P140" t="n">
        <v>1</v>
      </c>
      <c r="Q140" t="n">
        <v>1</v>
      </c>
      <c r="R140" s="2" t="inlineStr">
        <is>
          <t>Gotlandsmåra</t>
        </is>
      </c>
      <c r="S140">
        <f>HYPERLINK("https://klasma.github.io/Logging_0980/artfynd/A 12924-2025 artfynd.xlsx", "A 12924-2025")</f>
        <v/>
      </c>
      <c r="T140">
        <f>HYPERLINK("https://klasma.github.io/Logging_0980/kartor/A 12924-2025 karta.png", "A 12924-2025")</f>
        <v/>
      </c>
      <c r="V140">
        <f>HYPERLINK("https://klasma.github.io/Logging_0980/klagomål/A 12924-2025 FSC-klagomål.docx", "A 12924-2025")</f>
        <v/>
      </c>
      <c r="W140">
        <f>HYPERLINK("https://klasma.github.io/Logging_0980/klagomålsmail/A 12924-2025 FSC-klagomål mail.docx", "A 12924-2025")</f>
        <v/>
      </c>
      <c r="X140">
        <f>HYPERLINK("https://klasma.github.io/Logging_0980/tillsyn/A 12924-2025 tillsynsbegäran.docx", "A 12924-2025")</f>
        <v/>
      </c>
      <c r="Y140">
        <f>HYPERLINK("https://klasma.github.io/Logging_0980/tillsynsmail/A 12924-2025 tillsynsbegäran mail.docx", "A 12924-2025")</f>
        <v/>
      </c>
    </row>
    <row r="141" ht="15" customHeight="1">
      <c r="A141" t="inlineStr">
        <is>
          <t>A 6303-2024</t>
        </is>
      </c>
      <c r="B141" s="1" t="n">
        <v>45338.35376157407</v>
      </c>
      <c r="C141" s="1" t="n">
        <v>45895</v>
      </c>
      <c r="D141" t="inlineStr">
        <is>
          <t>GOTLANDS LÄN</t>
        </is>
      </c>
      <c r="E141" t="inlineStr">
        <is>
          <t>GOTLAND</t>
        </is>
      </c>
      <c r="G141" t="n">
        <v>0.6</v>
      </c>
      <c r="H141" t="n">
        <v>0</v>
      </c>
      <c r="I141" t="n">
        <v>1</v>
      </c>
      <c r="J141" t="n">
        <v>0</v>
      </c>
      <c r="K141" t="n">
        <v>0</v>
      </c>
      <c r="L141" t="n">
        <v>0</v>
      </c>
      <c r="M141" t="n">
        <v>0</v>
      </c>
      <c r="N141" t="n">
        <v>0</v>
      </c>
      <c r="O141" t="n">
        <v>0</v>
      </c>
      <c r="P141" t="n">
        <v>0</v>
      </c>
      <c r="Q141" t="n">
        <v>1</v>
      </c>
      <c r="R141" s="2" t="inlineStr">
        <is>
          <t>Strävlosta</t>
        </is>
      </c>
      <c r="S141">
        <f>HYPERLINK("https://klasma.github.io/Logging_0980/artfynd/A 6303-2024 artfynd.xlsx", "A 6303-2024")</f>
        <v/>
      </c>
      <c r="T141">
        <f>HYPERLINK("https://klasma.github.io/Logging_0980/kartor/A 6303-2024 karta.png", "A 6303-2024")</f>
        <v/>
      </c>
      <c r="V141">
        <f>HYPERLINK("https://klasma.github.io/Logging_0980/klagomål/A 6303-2024 FSC-klagomål.docx", "A 6303-2024")</f>
        <v/>
      </c>
      <c r="W141">
        <f>HYPERLINK("https://klasma.github.io/Logging_0980/klagomålsmail/A 6303-2024 FSC-klagomål mail.docx", "A 6303-2024")</f>
        <v/>
      </c>
      <c r="X141">
        <f>HYPERLINK("https://klasma.github.io/Logging_0980/tillsyn/A 6303-2024 tillsynsbegäran.docx", "A 6303-2024")</f>
        <v/>
      </c>
      <c r="Y141">
        <f>HYPERLINK("https://klasma.github.io/Logging_0980/tillsynsmail/A 6303-2024 tillsynsbegäran mail.docx", "A 6303-2024")</f>
        <v/>
      </c>
    </row>
    <row r="142" ht="15" customHeight="1">
      <c r="A142" t="inlineStr">
        <is>
          <t>A 44958-2020</t>
        </is>
      </c>
      <c r="B142" s="1" t="n">
        <v>44088</v>
      </c>
      <c r="C142" s="1" t="n">
        <v>45895</v>
      </c>
      <c r="D142" t="inlineStr">
        <is>
          <t>GOTLANDS LÄN</t>
        </is>
      </c>
      <c r="E142" t="inlineStr">
        <is>
          <t>GOTLAND</t>
        </is>
      </c>
      <c r="G142" t="n">
        <v>0.6</v>
      </c>
      <c r="H142" t="n">
        <v>1</v>
      </c>
      <c r="I142" t="n">
        <v>0</v>
      </c>
      <c r="J142" t="n">
        <v>1</v>
      </c>
      <c r="K142" t="n">
        <v>0</v>
      </c>
      <c r="L142" t="n">
        <v>0</v>
      </c>
      <c r="M142" t="n">
        <v>0</v>
      </c>
      <c r="N142" t="n">
        <v>0</v>
      </c>
      <c r="O142" t="n">
        <v>1</v>
      </c>
      <c r="P142" t="n">
        <v>0</v>
      </c>
      <c r="Q142" t="n">
        <v>1</v>
      </c>
      <c r="R142" s="2" t="inlineStr">
        <is>
          <t>Hornuggla</t>
        </is>
      </c>
      <c r="S142">
        <f>HYPERLINK("https://klasma.github.io/Logging_0980/artfynd/A 44958-2020 artfynd.xlsx", "A 44958-2020")</f>
        <v/>
      </c>
      <c r="T142">
        <f>HYPERLINK("https://klasma.github.io/Logging_0980/kartor/A 44958-2020 karta.png", "A 44958-2020")</f>
        <v/>
      </c>
      <c r="V142">
        <f>HYPERLINK("https://klasma.github.io/Logging_0980/klagomål/A 44958-2020 FSC-klagomål.docx", "A 44958-2020")</f>
        <v/>
      </c>
      <c r="W142">
        <f>HYPERLINK("https://klasma.github.io/Logging_0980/klagomålsmail/A 44958-2020 FSC-klagomål mail.docx", "A 44958-2020")</f>
        <v/>
      </c>
      <c r="X142">
        <f>HYPERLINK("https://klasma.github.io/Logging_0980/tillsyn/A 44958-2020 tillsynsbegäran.docx", "A 44958-2020")</f>
        <v/>
      </c>
      <c r="Y142">
        <f>HYPERLINK("https://klasma.github.io/Logging_0980/tillsynsmail/A 44958-2020 tillsynsbegäran mail.docx", "A 44958-2020")</f>
        <v/>
      </c>
      <c r="Z142">
        <f>HYPERLINK("https://klasma.github.io/Logging_0980/fåglar/A 44958-2020 prioriterade fågelarter.docx", "A 44958-2020")</f>
        <v/>
      </c>
    </row>
    <row r="143" ht="15" customHeight="1">
      <c r="A143" t="inlineStr">
        <is>
          <t>A 25977-2024</t>
        </is>
      </c>
      <c r="B143" s="1" t="n">
        <v>45467.69356481481</v>
      </c>
      <c r="C143" s="1" t="n">
        <v>45895</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44468-2024</t>
        </is>
      </c>
      <c r="B144" s="1" t="n">
        <v>45574.36651620371</v>
      </c>
      <c r="C144" s="1" t="n">
        <v>45895</v>
      </c>
      <c r="D144" t="inlineStr">
        <is>
          <t>GOTLANDS LÄN</t>
        </is>
      </c>
      <c r="E144" t="inlineStr">
        <is>
          <t>GOTLAND</t>
        </is>
      </c>
      <c r="G144" t="n">
        <v>7</v>
      </c>
      <c r="H144" t="n">
        <v>0</v>
      </c>
      <c r="I144" t="n">
        <v>0</v>
      </c>
      <c r="J144" t="n">
        <v>0</v>
      </c>
      <c r="K144" t="n">
        <v>0</v>
      </c>
      <c r="L144" t="n">
        <v>0</v>
      </c>
      <c r="M144" t="n">
        <v>1</v>
      </c>
      <c r="N144" t="n">
        <v>0</v>
      </c>
      <c r="O144" t="n">
        <v>1</v>
      </c>
      <c r="P144" t="n">
        <v>1</v>
      </c>
      <c r="Q144" t="n">
        <v>1</v>
      </c>
      <c r="R144" s="2" t="inlineStr">
        <is>
          <t>Skogsalm</t>
        </is>
      </c>
      <c r="S144">
        <f>HYPERLINK("https://klasma.github.io/Logging_0980/artfynd/A 44468-2024 artfynd.xlsx", "A 44468-2024")</f>
        <v/>
      </c>
      <c r="T144">
        <f>HYPERLINK("https://klasma.github.io/Logging_0980/kartor/A 44468-2024 karta.png", "A 44468-2024")</f>
        <v/>
      </c>
      <c r="V144">
        <f>HYPERLINK("https://klasma.github.io/Logging_0980/klagomål/A 44468-2024 FSC-klagomål.docx", "A 44468-2024")</f>
        <v/>
      </c>
      <c r="W144">
        <f>HYPERLINK("https://klasma.github.io/Logging_0980/klagomålsmail/A 44468-2024 FSC-klagomål mail.docx", "A 44468-2024")</f>
        <v/>
      </c>
      <c r="X144">
        <f>HYPERLINK("https://klasma.github.io/Logging_0980/tillsyn/A 44468-2024 tillsynsbegäran.docx", "A 44468-2024")</f>
        <v/>
      </c>
      <c r="Y144">
        <f>HYPERLINK("https://klasma.github.io/Logging_0980/tillsynsmail/A 44468-2024 tillsynsbegäran mail.docx", "A 44468-2024")</f>
        <v/>
      </c>
    </row>
    <row r="145" ht="15" customHeight="1">
      <c r="A145" t="inlineStr">
        <is>
          <t>A 65927-2021</t>
        </is>
      </c>
      <c r="B145" s="1" t="n">
        <v>44516</v>
      </c>
      <c r="C145" s="1" t="n">
        <v>45895</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61796-2022</t>
        </is>
      </c>
      <c r="B146" s="1" t="n">
        <v>44917</v>
      </c>
      <c r="C146" s="1" t="n">
        <v>45895</v>
      </c>
      <c r="D146" t="inlineStr">
        <is>
          <t>GOTLANDS LÄN</t>
        </is>
      </c>
      <c r="E146" t="inlineStr">
        <is>
          <t>GOTLAND</t>
        </is>
      </c>
      <c r="G146" t="n">
        <v>1.5</v>
      </c>
      <c r="H146" t="n">
        <v>1</v>
      </c>
      <c r="I146" t="n">
        <v>0</v>
      </c>
      <c r="J146" t="n">
        <v>0</v>
      </c>
      <c r="K146" t="n">
        <v>0</v>
      </c>
      <c r="L146" t="n">
        <v>0</v>
      </c>
      <c r="M146" t="n">
        <v>0</v>
      </c>
      <c r="N146" t="n">
        <v>0</v>
      </c>
      <c r="O146" t="n">
        <v>0</v>
      </c>
      <c r="P146" t="n">
        <v>0</v>
      </c>
      <c r="Q146" t="n">
        <v>1</v>
      </c>
      <c r="R146" s="2" t="inlineStr">
        <is>
          <t>Skogsduva</t>
        </is>
      </c>
      <c r="S146">
        <f>HYPERLINK("https://klasma.github.io/Logging_0980/artfynd/A 61796-2022 artfynd.xlsx", "A 61796-2022")</f>
        <v/>
      </c>
      <c r="T146">
        <f>HYPERLINK("https://klasma.github.io/Logging_0980/kartor/A 61796-2022 karta.png", "A 61796-2022")</f>
        <v/>
      </c>
      <c r="V146">
        <f>HYPERLINK("https://klasma.github.io/Logging_0980/klagomål/A 61796-2022 FSC-klagomål.docx", "A 61796-2022")</f>
        <v/>
      </c>
      <c r="W146">
        <f>HYPERLINK("https://klasma.github.io/Logging_0980/klagomålsmail/A 61796-2022 FSC-klagomål mail.docx", "A 61796-2022")</f>
        <v/>
      </c>
      <c r="X146">
        <f>HYPERLINK("https://klasma.github.io/Logging_0980/tillsyn/A 61796-2022 tillsynsbegäran.docx", "A 61796-2022")</f>
        <v/>
      </c>
      <c r="Y146">
        <f>HYPERLINK("https://klasma.github.io/Logging_0980/tillsynsmail/A 61796-2022 tillsynsbegäran mail.docx", "A 61796-2022")</f>
        <v/>
      </c>
      <c r="Z146">
        <f>HYPERLINK("https://klasma.github.io/Logging_0980/fåglar/A 61796-2022 prioriterade fågelarter.docx", "A 61796-2022")</f>
        <v/>
      </c>
    </row>
    <row r="147" ht="15" customHeight="1">
      <c r="A147" t="inlineStr">
        <is>
          <t>A 34809-2024</t>
        </is>
      </c>
      <c r="B147" s="1" t="n">
        <v>45526</v>
      </c>
      <c r="C147" s="1" t="n">
        <v>45895</v>
      </c>
      <c r="D147" t="inlineStr">
        <is>
          <t>GOTLANDS LÄN</t>
        </is>
      </c>
      <c r="E147" t="inlineStr">
        <is>
          <t>GOTLAND</t>
        </is>
      </c>
      <c r="G147" t="n">
        <v>9.9</v>
      </c>
      <c r="H147" t="n">
        <v>1</v>
      </c>
      <c r="I147" t="n">
        <v>0</v>
      </c>
      <c r="J147" t="n">
        <v>1</v>
      </c>
      <c r="K147" t="n">
        <v>0</v>
      </c>
      <c r="L147" t="n">
        <v>0</v>
      </c>
      <c r="M147" t="n">
        <v>0</v>
      </c>
      <c r="N147" t="n">
        <v>0</v>
      </c>
      <c r="O147" t="n">
        <v>1</v>
      </c>
      <c r="P147" t="n">
        <v>0</v>
      </c>
      <c r="Q147" t="n">
        <v>1</v>
      </c>
      <c r="R147" s="2" t="inlineStr">
        <is>
          <t>Brun ögontröst</t>
        </is>
      </c>
      <c r="S147">
        <f>HYPERLINK("https://klasma.github.io/Logging_0980/artfynd/A 34809-2024 artfynd.xlsx", "A 34809-2024")</f>
        <v/>
      </c>
      <c r="T147">
        <f>HYPERLINK("https://klasma.github.io/Logging_0980/kartor/A 34809-2024 karta.png", "A 34809-2024")</f>
        <v/>
      </c>
      <c r="V147">
        <f>HYPERLINK("https://klasma.github.io/Logging_0980/klagomål/A 34809-2024 FSC-klagomål.docx", "A 34809-2024")</f>
        <v/>
      </c>
      <c r="W147">
        <f>HYPERLINK("https://klasma.github.io/Logging_0980/klagomålsmail/A 34809-2024 FSC-klagomål mail.docx", "A 34809-2024")</f>
        <v/>
      </c>
      <c r="X147">
        <f>HYPERLINK("https://klasma.github.io/Logging_0980/tillsyn/A 34809-2024 tillsynsbegäran.docx", "A 34809-2024")</f>
        <v/>
      </c>
      <c r="Y147">
        <f>HYPERLINK("https://klasma.github.io/Logging_0980/tillsynsmail/A 34809-2024 tillsynsbegäran mail.docx", "A 34809-2024")</f>
        <v/>
      </c>
    </row>
    <row r="148" ht="15" customHeight="1">
      <c r="A148" t="inlineStr">
        <is>
          <t>A 43219-2023</t>
        </is>
      </c>
      <c r="B148" s="1" t="n">
        <v>45183</v>
      </c>
      <c r="C148" s="1" t="n">
        <v>45895</v>
      </c>
      <c r="D148" t="inlineStr">
        <is>
          <t>GOTLANDS LÄN</t>
        </is>
      </c>
      <c r="E148" t="inlineStr">
        <is>
          <t>GOTLAND</t>
        </is>
      </c>
      <c r="G148" t="n">
        <v>3.6</v>
      </c>
      <c r="H148" t="n">
        <v>1</v>
      </c>
      <c r="I148" t="n">
        <v>0</v>
      </c>
      <c r="J148" t="n">
        <v>0</v>
      </c>
      <c r="K148" t="n">
        <v>0</v>
      </c>
      <c r="L148" t="n">
        <v>0</v>
      </c>
      <c r="M148" t="n">
        <v>0</v>
      </c>
      <c r="N148" t="n">
        <v>0</v>
      </c>
      <c r="O148" t="n">
        <v>0</v>
      </c>
      <c r="P148" t="n">
        <v>0</v>
      </c>
      <c r="Q148" t="n">
        <v>1</v>
      </c>
      <c r="R148" s="2" t="inlineStr">
        <is>
          <t>Skogsduva</t>
        </is>
      </c>
      <c r="S148">
        <f>HYPERLINK("https://klasma.github.io/Logging_0980/artfynd/A 43219-2023 artfynd.xlsx", "A 43219-2023")</f>
        <v/>
      </c>
      <c r="T148">
        <f>HYPERLINK("https://klasma.github.io/Logging_0980/kartor/A 43219-2023 karta.png", "A 43219-2023")</f>
        <v/>
      </c>
      <c r="V148">
        <f>HYPERLINK("https://klasma.github.io/Logging_0980/klagomål/A 43219-2023 FSC-klagomål.docx", "A 43219-2023")</f>
        <v/>
      </c>
      <c r="W148">
        <f>HYPERLINK("https://klasma.github.io/Logging_0980/klagomålsmail/A 43219-2023 FSC-klagomål mail.docx", "A 43219-2023")</f>
        <v/>
      </c>
      <c r="X148">
        <f>HYPERLINK("https://klasma.github.io/Logging_0980/tillsyn/A 43219-2023 tillsynsbegäran.docx", "A 43219-2023")</f>
        <v/>
      </c>
      <c r="Y148">
        <f>HYPERLINK("https://klasma.github.io/Logging_0980/tillsynsmail/A 43219-2023 tillsynsbegäran mail.docx", "A 43219-2023")</f>
        <v/>
      </c>
      <c r="Z148">
        <f>HYPERLINK("https://klasma.github.io/Logging_0980/fåglar/A 43219-2023 prioriterade fågelarter.docx", "A 43219-2023")</f>
        <v/>
      </c>
    </row>
    <row r="149" ht="15" customHeight="1">
      <c r="A149" t="inlineStr">
        <is>
          <t>A 26461-2025</t>
        </is>
      </c>
      <c r="B149" s="1" t="n">
        <v>45807.43337962963</v>
      </c>
      <c r="C149" s="1" t="n">
        <v>45895</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15637-2024</t>
        </is>
      </c>
      <c r="B150" s="1" t="n">
        <v>45403.6684837963</v>
      </c>
      <c r="C150" s="1" t="n">
        <v>45895</v>
      </c>
      <c r="D150" t="inlineStr">
        <is>
          <t>GOTLANDS LÄN</t>
        </is>
      </c>
      <c r="E150" t="inlineStr">
        <is>
          <t>GOTLAND</t>
        </is>
      </c>
      <c r="G150" t="n">
        <v>4.1</v>
      </c>
      <c r="H150" t="n">
        <v>1</v>
      </c>
      <c r="I150" t="n">
        <v>0</v>
      </c>
      <c r="J150" t="n">
        <v>0</v>
      </c>
      <c r="K150" t="n">
        <v>0</v>
      </c>
      <c r="L150" t="n">
        <v>0</v>
      </c>
      <c r="M150" t="n">
        <v>0</v>
      </c>
      <c r="N150" t="n">
        <v>0</v>
      </c>
      <c r="O150" t="n">
        <v>0</v>
      </c>
      <c r="P150" t="n">
        <v>0</v>
      </c>
      <c r="Q150" t="n">
        <v>1</v>
      </c>
      <c r="R150" s="2" t="inlineStr">
        <is>
          <t>Blåsippa</t>
        </is>
      </c>
      <c r="S150">
        <f>HYPERLINK("https://klasma.github.io/Logging_0980/artfynd/A 15637-2024 artfynd.xlsx", "A 15637-2024")</f>
        <v/>
      </c>
      <c r="T150">
        <f>HYPERLINK("https://klasma.github.io/Logging_0980/kartor/A 15637-2024 karta.png", "A 15637-2024")</f>
        <v/>
      </c>
      <c r="V150">
        <f>HYPERLINK("https://klasma.github.io/Logging_0980/klagomål/A 15637-2024 FSC-klagomål.docx", "A 15637-2024")</f>
        <v/>
      </c>
      <c r="W150">
        <f>HYPERLINK("https://klasma.github.io/Logging_0980/klagomålsmail/A 15637-2024 FSC-klagomål mail.docx", "A 15637-2024")</f>
        <v/>
      </c>
      <c r="X150">
        <f>HYPERLINK("https://klasma.github.io/Logging_0980/tillsyn/A 15637-2024 tillsynsbegäran.docx", "A 15637-2024")</f>
        <v/>
      </c>
      <c r="Y150">
        <f>HYPERLINK("https://klasma.github.io/Logging_0980/tillsynsmail/A 15637-2024 tillsynsbegäran mail.docx", "A 15637-2024")</f>
        <v/>
      </c>
    </row>
    <row r="151" ht="15" customHeight="1">
      <c r="A151" t="inlineStr">
        <is>
          <t>A 61561-2023</t>
        </is>
      </c>
      <c r="B151" s="1" t="n">
        <v>45265</v>
      </c>
      <c r="C151" s="1" t="n">
        <v>45895</v>
      </c>
      <c r="D151" t="inlineStr">
        <is>
          <t>GOTLANDS LÄN</t>
        </is>
      </c>
      <c r="E151" t="inlineStr">
        <is>
          <t>GOTLAND</t>
        </is>
      </c>
      <c r="G151" t="n">
        <v>7.4</v>
      </c>
      <c r="H151" t="n">
        <v>0</v>
      </c>
      <c r="I151" t="n">
        <v>0</v>
      </c>
      <c r="J151" t="n">
        <v>1</v>
      </c>
      <c r="K151" t="n">
        <v>0</v>
      </c>
      <c r="L151" t="n">
        <v>0</v>
      </c>
      <c r="M151" t="n">
        <v>0</v>
      </c>
      <c r="N151" t="n">
        <v>0</v>
      </c>
      <c r="O151" t="n">
        <v>1</v>
      </c>
      <c r="P151" t="n">
        <v>0</v>
      </c>
      <c r="Q151" t="n">
        <v>1</v>
      </c>
      <c r="R151" s="2" t="inlineStr">
        <is>
          <t>Loppstarr</t>
        </is>
      </c>
      <c r="S151">
        <f>HYPERLINK("https://klasma.github.io/Logging_0980/artfynd/A 61561-2023 artfynd.xlsx", "A 61561-2023")</f>
        <v/>
      </c>
      <c r="T151">
        <f>HYPERLINK("https://klasma.github.io/Logging_0980/kartor/A 61561-2023 karta.png", "A 61561-2023")</f>
        <v/>
      </c>
      <c r="V151">
        <f>HYPERLINK("https://klasma.github.io/Logging_0980/klagomål/A 61561-2023 FSC-klagomål.docx", "A 61561-2023")</f>
        <v/>
      </c>
      <c r="W151">
        <f>HYPERLINK("https://klasma.github.io/Logging_0980/klagomålsmail/A 61561-2023 FSC-klagomål mail.docx", "A 61561-2023")</f>
        <v/>
      </c>
      <c r="X151">
        <f>HYPERLINK("https://klasma.github.io/Logging_0980/tillsyn/A 61561-2023 tillsynsbegäran.docx", "A 61561-2023")</f>
        <v/>
      </c>
      <c r="Y151">
        <f>HYPERLINK("https://klasma.github.io/Logging_0980/tillsynsmail/A 61561-2023 tillsynsbegäran mail.docx", "A 61561-2023")</f>
        <v/>
      </c>
    </row>
    <row r="152" ht="15" customHeight="1">
      <c r="A152" t="inlineStr">
        <is>
          <t>A 8725-2025</t>
        </is>
      </c>
      <c r="B152" s="1" t="n">
        <v>45712</v>
      </c>
      <c r="C152" s="1" t="n">
        <v>45895</v>
      </c>
      <c r="D152" t="inlineStr">
        <is>
          <t>GOTLANDS LÄN</t>
        </is>
      </c>
      <c r="E152" t="inlineStr">
        <is>
          <t>GOTLAND</t>
        </is>
      </c>
      <c r="G152" t="n">
        <v>4.4</v>
      </c>
      <c r="H152" t="n">
        <v>1</v>
      </c>
      <c r="I152" t="n">
        <v>0</v>
      </c>
      <c r="J152" t="n">
        <v>1</v>
      </c>
      <c r="K152" t="n">
        <v>0</v>
      </c>
      <c r="L152" t="n">
        <v>0</v>
      </c>
      <c r="M152" t="n">
        <v>0</v>
      </c>
      <c r="N152" t="n">
        <v>0</v>
      </c>
      <c r="O152" t="n">
        <v>1</v>
      </c>
      <c r="P152" t="n">
        <v>0</v>
      </c>
      <c r="Q152" t="n">
        <v>1</v>
      </c>
      <c r="R152" s="2" t="inlineStr">
        <is>
          <t>Spillkråka</t>
        </is>
      </c>
      <c r="S152">
        <f>HYPERLINK("https://klasma.github.io/Logging_0980/artfynd/A 8725-2025 artfynd.xlsx", "A 8725-2025")</f>
        <v/>
      </c>
      <c r="T152">
        <f>HYPERLINK("https://klasma.github.io/Logging_0980/kartor/A 8725-2025 karta.png", "A 8725-2025")</f>
        <v/>
      </c>
      <c r="V152">
        <f>HYPERLINK("https://klasma.github.io/Logging_0980/klagomål/A 8725-2025 FSC-klagomål.docx", "A 8725-2025")</f>
        <v/>
      </c>
      <c r="W152">
        <f>HYPERLINK("https://klasma.github.io/Logging_0980/klagomålsmail/A 8725-2025 FSC-klagomål mail.docx", "A 8725-2025")</f>
        <v/>
      </c>
      <c r="X152">
        <f>HYPERLINK("https://klasma.github.io/Logging_0980/tillsyn/A 8725-2025 tillsynsbegäran.docx", "A 8725-2025")</f>
        <v/>
      </c>
      <c r="Y152">
        <f>HYPERLINK("https://klasma.github.io/Logging_0980/tillsynsmail/A 8725-2025 tillsynsbegäran mail.docx", "A 8725-2025")</f>
        <v/>
      </c>
      <c r="Z152">
        <f>HYPERLINK("https://klasma.github.io/Logging_0980/fåglar/A 8725-2025 prioriterade fågelarter.docx", "A 8725-2025")</f>
        <v/>
      </c>
    </row>
    <row r="153" ht="15" customHeight="1">
      <c r="A153" t="inlineStr">
        <is>
          <t>A 2476-2025</t>
        </is>
      </c>
      <c r="B153" s="1" t="n">
        <v>45673</v>
      </c>
      <c r="C153" s="1" t="n">
        <v>45895</v>
      </c>
      <c r="D153" t="inlineStr">
        <is>
          <t>GOTLANDS LÄN</t>
        </is>
      </c>
      <c r="E153" t="inlineStr">
        <is>
          <t>GOTLAND</t>
        </is>
      </c>
      <c r="G153" t="n">
        <v>3.1</v>
      </c>
      <c r="H153" t="n">
        <v>0</v>
      </c>
      <c r="I153" t="n">
        <v>1</v>
      </c>
      <c r="J153" t="n">
        <v>0</v>
      </c>
      <c r="K153" t="n">
        <v>0</v>
      </c>
      <c r="L153" t="n">
        <v>0</v>
      </c>
      <c r="M153" t="n">
        <v>0</v>
      </c>
      <c r="N153" t="n">
        <v>0</v>
      </c>
      <c r="O153" t="n">
        <v>0</v>
      </c>
      <c r="P153" t="n">
        <v>0</v>
      </c>
      <c r="Q153" t="n">
        <v>1</v>
      </c>
      <c r="R153" s="2" t="inlineStr">
        <is>
          <t>Kryddspindling</t>
        </is>
      </c>
      <c r="S153">
        <f>HYPERLINK("https://klasma.github.io/Logging_0980/artfynd/A 2476-2025 artfynd.xlsx", "A 2476-2025")</f>
        <v/>
      </c>
      <c r="T153">
        <f>HYPERLINK("https://klasma.github.io/Logging_0980/kartor/A 2476-2025 karta.png", "A 2476-2025")</f>
        <v/>
      </c>
      <c r="V153">
        <f>HYPERLINK("https://klasma.github.io/Logging_0980/klagomål/A 2476-2025 FSC-klagomål.docx", "A 2476-2025")</f>
        <v/>
      </c>
      <c r="W153">
        <f>HYPERLINK("https://klasma.github.io/Logging_0980/klagomålsmail/A 2476-2025 FSC-klagomål mail.docx", "A 2476-2025")</f>
        <v/>
      </c>
      <c r="X153">
        <f>HYPERLINK("https://klasma.github.io/Logging_0980/tillsyn/A 2476-2025 tillsynsbegäran.docx", "A 2476-2025")</f>
        <v/>
      </c>
      <c r="Y153">
        <f>HYPERLINK("https://klasma.github.io/Logging_0980/tillsynsmail/A 2476-2025 tillsynsbegäran mail.docx", "A 2476-2025")</f>
        <v/>
      </c>
    </row>
    <row r="154" ht="15" customHeight="1">
      <c r="A154" t="inlineStr">
        <is>
          <t>A 10995-2023</t>
        </is>
      </c>
      <c r="B154" s="1" t="n">
        <v>44986</v>
      </c>
      <c r="C154" s="1" t="n">
        <v>45895</v>
      </c>
      <c r="D154" t="inlineStr">
        <is>
          <t>GOTLANDS LÄN</t>
        </is>
      </c>
      <c r="E154" t="inlineStr">
        <is>
          <t>GOTLAND</t>
        </is>
      </c>
      <c r="G154" t="n">
        <v>2.8</v>
      </c>
      <c r="H154" t="n">
        <v>0</v>
      </c>
      <c r="I154" t="n">
        <v>0</v>
      </c>
      <c r="J154" t="n">
        <v>0</v>
      </c>
      <c r="K154" t="n">
        <v>1</v>
      </c>
      <c r="L154" t="n">
        <v>0</v>
      </c>
      <c r="M154" t="n">
        <v>0</v>
      </c>
      <c r="N154" t="n">
        <v>0</v>
      </c>
      <c r="O154" t="n">
        <v>1</v>
      </c>
      <c r="P154" t="n">
        <v>1</v>
      </c>
      <c r="Q154" t="n">
        <v>1</v>
      </c>
      <c r="R154" s="2" t="inlineStr">
        <is>
          <t>Violettfläckig spindling</t>
        </is>
      </c>
      <c r="S154">
        <f>HYPERLINK("https://klasma.github.io/Logging_0980/artfynd/A 10995-2023 artfynd.xlsx", "A 10995-2023")</f>
        <v/>
      </c>
      <c r="T154">
        <f>HYPERLINK("https://klasma.github.io/Logging_0980/kartor/A 10995-2023 karta.png", "A 10995-2023")</f>
        <v/>
      </c>
      <c r="V154">
        <f>HYPERLINK("https://klasma.github.io/Logging_0980/klagomål/A 10995-2023 FSC-klagomål.docx", "A 10995-2023")</f>
        <v/>
      </c>
      <c r="W154">
        <f>HYPERLINK("https://klasma.github.io/Logging_0980/klagomålsmail/A 10995-2023 FSC-klagomål mail.docx", "A 10995-2023")</f>
        <v/>
      </c>
      <c r="X154">
        <f>HYPERLINK("https://klasma.github.io/Logging_0980/tillsyn/A 10995-2023 tillsynsbegäran.docx", "A 10995-2023")</f>
        <v/>
      </c>
      <c r="Y154">
        <f>HYPERLINK("https://klasma.github.io/Logging_0980/tillsynsmail/A 10995-2023 tillsynsbegäran mail.docx", "A 10995-2023")</f>
        <v/>
      </c>
    </row>
    <row r="155" ht="15" customHeight="1">
      <c r="A155" t="inlineStr">
        <is>
          <t>A 63299-2020</t>
        </is>
      </c>
      <c r="B155" s="1" t="n">
        <v>44165</v>
      </c>
      <c r="C155" s="1" t="n">
        <v>45895</v>
      </c>
      <c r="D155" t="inlineStr">
        <is>
          <t>GOTLANDS LÄN</t>
        </is>
      </c>
      <c r="E155" t="inlineStr">
        <is>
          <t>GOTLAND</t>
        </is>
      </c>
      <c r="G155" t="n">
        <v>12.9</v>
      </c>
      <c r="H155" t="n">
        <v>1</v>
      </c>
      <c r="I155" t="n">
        <v>0</v>
      </c>
      <c r="J155" t="n">
        <v>1</v>
      </c>
      <c r="K155" t="n">
        <v>0</v>
      </c>
      <c r="L155" t="n">
        <v>0</v>
      </c>
      <c r="M155" t="n">
        <v>0</v>
      </c>
      <c r="N155" t="n">
        <v>0</v>
      </c>
      <c r="O155" t="n">
        <v>1</v>
      </c>
      <c r="P155" t="n">
        <v>0</v>
      </c>
      <c r="Q155" t="n">
        <v>1</v>
      </c>
      <c r="R155" s="2" t="inlineStr">
        <is>
          <t>Svartfläckig blåvinge</t>
        </is>
      </c>
      <c r="S155">
        <f>HYPERLINK("https://klasma.github.io/Logging_0980/artfynd/A 63299-2020 artfynd.xlsx", "A 63299-2020")</f>
        <v/>
      </c>
      <c r="T155">
        <f>HYPERLINK("https://klasma.github.io/Logging_0980/kartor/A 63299-2020 karta.png", "A 63299-2020")</f>
        <v/>
      </c>
      <c r="V155">
        <f>HYPERLINK("https://klasma.github.io/Logging_0980/klagomål/A 63299-2020 FSC-klagomål.docx", "A 63299-2020")</f>
        <v/>
      </c>
      <c r="W155">
        <f>HYPERLINK("https://klasma.github.io/Logging_0980/klagomålsmail/A 63299-2020 FSC-klagomål mail.docx", "A 63299-2020")</f>
        <v/>
      </c>
      <c r="X155">
        <f>HYPERLINK("https://klasma.github.io/Logging_0980/tillsyn/A 63299-2020 tillsynsbegäran.docx", "A 63299-2020")</f>
        <v/>
      </c>
      <c r="Y155">
        <f>HYPERLINK("https://klasma.github.io/Logging_0980/tillsynsmail/A 63299-2020 tillsynsbegäran mail.docx", "A 63299-2020")</f>
        <v/>
      </c>
    </row>
    <row r="156" ht="15" customHeight="1">
      <c r="A156" t="inlineStr">
        <is>
          <t>A 27168-2022</t>
        </is>
      </c>
      <c r="B156" s="1" t="n">
        <v>44741</v>
      </c>
      <c r="C156" s="1" t="n">
        <v>45895</v>
      </c>
      <c r="D156" t="inlineStr">
        <is>
          <t>GOTLANDS LÄN</t>
        </is>
      </c>
      <c r="E156" t="inlineStr">
        <is>
          <t>GOTLAND</t>
        </is>
      </c>
      <c r="G156" t="n">
        <v>2.2</v>
      </c>
      <c r="H156" t="n">
        <v>1</v>
      </c>
      <c r="I156" t="n">
        <v>1</v>
      </c>
      <c r="J156" t="n">
        <v>0</v>
      </c>
      <c r="K156" t="n">
        <v>0</v>
      </c>
      <c r="L156" t="n">
        <v>0</v>
      </c>
      <c r="M156" t="n">
        <v>0</v>
      </c>
      <c r="N156" t="n">
        <v>0</v>
      </c>
      <c r="O156" t="n">
        <v>0</v>
      </c>
      <c r="P156" t="n">
        <v>0</v>
      </c>
      <c r="Q156" t="n">
        <v>1</v>
      </c>
      <c r="R156" s="2" t="inlineStr">
        <is>
          <t>Purpurknipprot</t>
        </is>
      </c>
      <c r="S156">
        <f>HYPERLINK("https://klasma.github.io/Logging_0980/artfynd/A 27168-2022 artfynd.xlsx", "A 27168-2022")</f>
        <v/>
      </c>
      <c r="T156">
        <f>HYPERLINK("https://klasma.github.io/Logging_0980/kartor/A 27168-2022 karta.png", "A 27168-2022")</f>
        <v/>
      </c>
      <c r="V156">
        <f>HYPERLINK("https://klasma.github.io/Logging_0980/klagomål/A 27168-2022 FSC-klagomål.docx", "A 27168-2022")</f>
        <v/>
      </c>
      <c r="W156">
        <f>HYPERLINK("https://klasma.github.io/Logging_0980/klagomålsmail/A 27168-2022 FSC-klagomål mail.docx", "A 27168-2022")</f>
        <v/>
      </c>
      <c r="X156">
        <f>HYPERLINK("https://klasma.github.io/Logging_0980/tillsyn/A 27168-2022 tillsynsbegäran.docx", "A 27168-2022")</f>
        <v/>
      </c>
      <c r="Y156">
        <f>HYPERLINK("https://klasma.github.io/Logging_0980/tillsynsmail/A 27168-2022 tillsynsbegäran mail.docx", "A 27168-2022")</f>
        <v/>
      </c>
    </row>
    <row r="157" ht="15" customHeight="1">
      <c r="A157" t="inlineStr">
        <is>
          <t>A 62552-2022</t>
        </is>
      </c>
      <c r="B157" s="1" t="n">
        <v>44924</v>
      </c>
      <c r="C157" s="1" t="n">
        <v>45895</v>
      </c>
      <c r="D157" t="inlineStr">
        <is>
          <t>GOTLANDS LÄN</t>
        </is>
      </c>
      <c r="E157" t="inlineStr">
        <is>
          <t>GOTLAND</t>
        </is>
      </c>
      <c r="G157" t="n">
        <v>1.6</v>
      </c>
      <c r="H157" t="n">
        <v>0</v>
      </c>
      <c r="I157" t="n">
        <v>0</v>
      </c>
      <c r="J157" t="n">
        <v>1</v>
      </c>
      <c r="K157" t="n">
        <v>0</v>
      </c>
      <c r="L157" t="n">
        <v>0</v>
      </c>
      <c r="M157" t="n">
        <v>0</v>
      </c>
      <c r="N157" t="n">
        <v>0</v>
      </c>
      <c r="O157" t="n">
        <v>1</v>
      </c>
      <c r="P157" t="n">
        <v>0</v>
      </c>
      <c r="Q157" t="n">
        <v>1</v>
      </c>
      <c r="R157" s="2" t="inlineStr">
        <is>
          <t>Äggspindling</t>
        </is>
      </c>
      <c r="S157">
        <f>HYPERLINK("https://klasma.github.io/Logging_0980/artfynd/A 62552-2022 artfynd.xlsx", "A 62552-2022")</f>
        <v/>
      </c>
      <c r="T157">
        <f>HYPERLINK("https://klasma.github.io/Logging_0980/kartor/A 62552-2022 karta.png", "A 62552-2022")</f>
        <v/>
      </c>
      <c r="V157">
        <f>HYPERLINK("https://klasma.github.io/Logging_0980/klagomål/A 62552-2022 FSC-klagomål.docx", "A 62552-2022")</f>
        <v/>
      </c>
      <c r="W157">
        <f>HYPERLINK("https://klasma.github.io/Logging_0980/klagomålsmail/A 62552-2022 FSC-klagomål mail.docx", "A 62552-2022")</f>
        <v/>
      </c>
      <c r="X157">
        <f>HYPERLINK("https://klasma.github.io/Logging_0980/tillsyn/A 62552-2022 tillsynsbegäran.docx", "A 62552-2022")</f>
        <v/>
      </c>
      <c r="Y157">
        <f>HYPERLINK("https://klasma.github.io/Logging_0980/tillsynsmail/A 62552-2022 tillsynsbegäran mail.docx", "A 62552-2022")</f>
        <v/>
      </c>
    </row>
    <row r="158" ht="15" customHeight="1">
      <c r="A158" t="inlineStr">
        <is>
          <t>A 44088-2022</t>
        </is>
      </c>
      <c r="B158" s="1" t="n">
        <v>44839</v>
      </c>
      <c r="C158" s="1" t="n">
        <v>45895</v>
      </c>
      <c r="D158" t="inlineStr">
        <is>
          <t>GOTLANDS LÄN</t>
        </is>
      </c>
      <c r="E158" t="inlineStr">
        <is>
          <t>GOTLAND</t>
        </is>
      </c>
      <c r="G158" t="n">
        <v>1.5</v>
      </c>
      <c r="H158" t="n">
        <v>0</v>
      </c>
      <c r="I158" t="n">
        <v>1</v>
      </c>
      <c r="J158" t="n">
        <v>0</v>
      </c>
      <c r="K158" t="n">
        <v>0</v>
      </c>
      <c r="L158" t="n">
        <v>0</v>
      </c>
      <c r="M158" t="n">
        <v>0</v>
      </c>
      <c r="N158" t="n">
        <v>0</v>
      </c>
      <c r="O158" t="n">
        <v>0</v>
      </c>
      <c r="P158" t="n">
        <v>0</v>
      </c>
      <c r="Q158" t="n">
        <v>1</v>
      </c>
      <c r="R158" s="2" t="inlineStr">
        <is>
          <t>Strävlosta</t>
        </is>
      </c>
      <c r="S158">
        <f>HYPERLINK("https://klasma.github.io/Logging_0980/artfynd/A 44088-2022 artfynd.xlsx", "A 44088-2022")</f>
        <v/>
      </c>
      <c r="T158">
        <f>HYPERLINK("https://klasma.github.io/Logging_0980/kartor/A 44088-2022 karta.png", "A 44088-2022")</f>
        <v/>
      </c>
      <c r="V158">
        <f>HYPERLINK("https://klasma.github.io/Logging_0980/klagomål/A 44088-2022 FSC-klagomål.docx", "A 44088-2022")</f>
        <v/>
      </c>
      <c r="W158">
        <f>HYPERLINK("https://klasma.github.io/Logging_0980/klagomålsmail/A 44088-2022 FSC-klagomål mail.docx", "A 44088-2022")</f>
        <v/>
      </c>
      <c r="X158">
        <f>HYPERLINK("https://klasma.github.io/Logging_0980/tillsyn/A 44088-2022 tillsynsbegäran.docx", "A 44088-2022")</f>
        <v/>
      </c>
      <c r="Y158">
        <f>HYPERLINK("https://klasma.github.io/Logging_0980/tillsynsmail/A 44088-2022 tillsynsbegäran mail.docx", "A 44088-2022")</f>
        <v/>
      </c>
    </row>
    <row r="159" ht="15" customHeight="1">
      <c r="A159" t="inlineStr">
        <is>
          <t>A 22782-2023</t>
        </is>
      </c>
      <c r="B159" s="1" t="n">
        <v>45072</v>
      </c>
      <c r="C159" s="1" t="n">
        <v>45895</v>
      </c>
      <c r="D159" t="inlineStr">
        <is>
          <t>GOTLANDS LÄN</t>
        </is>
      </c>
      <c r="E159" t="inlineStr">
        <is>
          <t>GOTLAND</t>
        </is>
      </c>
      <c r="F159" t="inlineStr">
        <is>
          <t>Kyrkan</t>
        </is>
      </c>
      <c r="G159" t="n">
        <v>3.1</v>
      </c>
      <c r="H159" t="n">
        <v>1</v>
      </c>
      <c r="I159" t="n">
        <v>0</v>
      </c>
      <c r="J159" t="n">
        <v>0</v>
      </c>
      <c r="K159" t="n">
        <v>0</v>
      </c>
      <c r="L159" t="n">
        <v>0</v>
      </c>
      <c r="M159" t="n">
        <v>0</v>
      </c>
      <c r="N159" t="n">
        <v>0</v>
      </c>
      <c r="O159" t="n">
        <v>0</v>
      </c>
      <c r="P159" t="n">
        <v>0</v>
      </c>
      <c r="Q159" t="n">
        <v>1</v>
      </c>
      <c r="R159" s="2" t="inlineStr">
        <is>
          <t>Ängsnycklar × skogsnycklar</t>
        </is>
      </c>
      <c r="S159">
        <f>HYPERLINK("https://klasma.github.io/Logging_0980/artfynd/A 22782-2023 artfynd.xlsx", "A 22782-2023")</f>
        <v/>
      </c>
      <c r="T159">
        <f>HYPERLINK("https://klasma.github.io/Logging_0980/kartor/A 22782-2023 karta.png", "A 22782-2023")</f>
        <v/>
      </c>
      <c r="V159">
        <f>HYPERLINK("https://klasma.github.io/Logging_0980/klagomål/A 22782-2023 FSC-klagomål.docx", "A 22782-2023")</f>
        <v/>
      </c>
      <c r="W159">
        <f>HYPERLINK("https://klasma.github.io/Logging_0980/klagomålsmail/A 22782-2023 FSC-klagomål mail.docx", "A 22782-2023")</f>
        <v/>
      </c>
      <c r="X159">
        <f>HYPERLINK("https://klasma.github.io/Logging_0980/tillsyn/A 22782-2023 tillsynsbegäran.docx", "A 22782-2023")</f>
        <v/>
      </c>
      <c r="Y159">
        <f>HYPERLINK("https://klasma.github.io/Logging_0980/tillsynsmail/A 22782-2023 tillsynsbegäran mail.docx", "A 22782-2023")</f>
        <v/>
      </c>
    </row>
    <row r="160" ht="15" customHeight="1">
      <c r="A160" t="inlineStr">
        <is>
          <t>A 34141-2024</t>
        </is>
      </c>
      <c r="B160" s="1" t="n">
        <v>45524.36229166666</v>
      </c>
      <c r="C160" s="1" t="n">
        <v>45895</v>
      </c>
      <c r="D160" t="inlineStr">
        <is>
          <t>GOTLANDS LÄN</t>
        </is>
      </c>
      <c r="E160" t="inlineStr">
        <is>
          <t>GOTLAND</t>
        </is>
      </c>
      <c r="G160" t="n">
        <v>0.9</v>
      </c>
      <c r="H160" t="n">
        <v>0</v>
      </c>
      <c r="I160" t="n">
        <v>1</v>
      </c>
      <c r="J160" t="n">
        <v>0</v>
      </c>
      <c r="K160" t="n">
        <v>0</v>
      </c>
      <c r="L160" t="n">
        <v>0</v>
      </c>
      <c r="M160" t="n">
        <v>0</v>
      </c>
      <c r="N160" t="n">
        <v>0</v>
      </c>
      <c r="O160" t="n">
        <v>0</v>
      </c>
      <c r="P160" t="n">
        <v>0</v>
      </c>
      <c r="Q160" t="n">
        <v>1</v>
      </c>
      <c r="R160" s="2" t="inlineStr">
        <is>
          <t>Strävlosta</t>
        </is>
      </c>
      <c r="S160">
        <f>HYPERLINK("https://klasma.github.io/Logging_0980/artfynd/A 34141-2024 artfynd.xlsx", "A 34141-2024")</f>
        <v/>
      </c>
      <c r="T160">
        <f>HYPERLINK("https://klasma.github.io/Logging_0980/kartor/A 34141-2024 karta.png", "A 34141-2024")</f>
        <v/>
      </c>
      <c r="V160">
        <f>HYPERLINK("https://klasma.github.io/Logging_0980/klagomål/A 34141-2024 FSC-klagomål.docx", "A 34141-2024")</f>
        <v/>
      </c>
      <c r="W160">
        <f>HYPERLINK("https://klasma.github.io/Logging_0980/klagomålsmail/A 34141-2024 FSC-klagomål mail.docx", "A 34141-2024")</f>
        <v/>
      </c>
      <c r="X160">
        <f>HYPERLINK("https://klasma.github.io/Logging_0980/tillsyn/A 34141-2024 tillsynsbegäran.docx", "A 34141-2024")</f>
        <v/>
      </c>
      <c r="Y160">
        <f>HYPERLINK("https://klasma.github.io/Logging_0980/tillsynsmail/A 34141-2024 tillsynsbegäran mail.docx", "A 34141-2024")</f>
        <v/>
      </c>
    </row>
    <row r="161" ht="15" customHeight="1">
      <c r="A161" t="inlineStr">
        <is>
          <t>A 44308-2021</t>
        </is>
      </c>
      <c r="B161" s="1" t="n">
        <v>44434</v>
      </c>
      <c r="C161" s="1" t="n">
        <v>45895</v>
      </c>
      <c r="D161" t="inlineStr">
        <is>
          <t>GOTLANDS LÄN</t>
        </is>
      </c>
      <c r="E161" t="inlineStr">
        <is>
          <t>GOTLAND</t>
        </is>
      </c>
      <c r="G161" t="n">
        <v>5.9</v>
      </c>
      <c r="H161" t="n">
        <v>0</v>
      </c>
      <c r="I161" t="n">
        <v>1</v>
      </c>
      <c r="J161" t="n">
        <v>0</v>
      </c>
      <c r="K161" t="n">
        <v>0</v>
      </c>
      <c r="L161" t="n">
        <v>0</v>
      </c>
      <c r="M161" t="n">
        <v>0</v>
      </c>
      <c r="N161" t="n">
        <v>0</v>
      </c>
      <c r="O161" t="n">
        <v>0</v>
      </c>
      <c r="P161" t="n">
        <v>0</v>
      </c>
      <c r="Q161" t="n">
        <v>1</v>
      </c>
      <c r="R161" s="2" t="inlineStr">
        <is>
          <t>Svavelriska</t>
        </is>
      </c>
      <c r="S161">
        <f>HYPERLINK("https://klasma.github.io/Logging_0980/artfynd/A 44308-2021 artfynd.xlsx", "A 44308-2021")</f>
        <v/>
      </c>
      <c r="T161">
        <f>HYPERLINK("https://klasma.github.io/Logging_0980/kartor/A 44308-2021 karta.png", "A 44308-2021")</f>
        <v/>
      </c>
      <c r="V161">
        <f>HYPERLINK("https://klasma.github.io/Logging_0980/klagomål/A 44308-2021 FSC-klagomål.docx", "A 44308-2021")</f>
        <v/>
      </c>
      <c r="W161">
        <f>HYPERLINK("https://klasma.github.io/Logging_0980/klagomålsmail/A 44308-2021 FSC-klagomål mail.docx", "A 44308-2021")</f>
        <v/>
      </c>
      <c r="X161">
        <f>HYPERLINK("https://klasma.github.io/Logging_0980/tillsyn/A 44308-2021 tillsynsbegäran.docx", "A 44308-2021")</f>
        <v/>
      </c>
      <c r="Y161">
        <f>HYPERLINK("https://klasma.github.io/Logging_0980/tillsynsmail/A 44308-2021 tillsynsbegäran mail.docx", "A 44308-2021")</f>
        <v/>
      </c>
    </row>
    <row r="162" ht="15" customHeight="1">
      <c r="A162" t="inlineStr">
        <is>
          <t>A 9862-2024</t>
        </is>
      </c>
      <c r="B162" s="1" t="n">
        <v>45363</v>
      </c>
      <c r="C162" s="1" t="n">
        <v>45895</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447-2023</t>
        </is>
      </c>
      <c r="B163" s="1" t="n">
        <v>44929</v>
      </c>
      <c r="C163" s="1" t="n">
        <v>45895</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39812-2025</t>
        </is>
      </c>
      <c r="B164" s="1" t="n">
        <v>45891</v>
      </c>
      <c r="C164" s="1" t="n">
        <v>45895</v>
      </c>
      <c r="D164" t="inlineStr">
        <is>
          <t>GOTLANDS LÄN</t>
        </is>
      </c>
      <c r="E164" t="inlineStr">
        <is>
          <t>GOTLAND</t>
        </is>
      </c>
      <c r="G164" t="n">
        <v>6</v>
      </c>
      <c r="H164" t="n">
        <v>1</v>
      </c>
      <c r="I164" t="n">
        <v>0</v>
      </c>
      <c r="J164" t="n">
        <v>0</v>
      </c>
      <c r="K164" t="n">
        <v>0</v>
      </c>
      <c r="L164" t="n">
        <v>1</v>
      </c>
      <c r="M164" t="n">
        <v>0</v>
      </c>
      <c r="N164" t="n">
        <v>0</v>
      </c>
      <c r="O164" t="n">
        <v>1</v>
      </c>
      <c r="P164" t="n">
        <v>1</v>
      </c>
      <c r="Q164" t="n">
        <v>1</v>
      </c>
      <c r="R164" s="2" t="inlineStr">
        <is>
          <t>Nålkörvel</t>
        </is>
      </c>
      <c r="S164">
        <f>HYPERLINK("https://klasma.github.io/Logging_0980/artfynd/A 39812-2025 artfynd.xlsx", "A 39812-2025")</f>
        <v/>
      </c>
      <c r="T164">
        <f>HYPERLINK("https://klasma.github.io/Logging_0980/kartor/A 39812-2025 karta.png", "A 39812-2025")</f>
        <v/>
      </c>
      <c r="V164">
        <f>HYPERLINK("https://klasma.github.io/Logging_0980/klagomål/A 39812-2025 FSC-klagomål.docx", "A 39812-2025")</f>
        <v/>
      </c>
      <c r="W164">
        <f>HYPERLINK("https://klasma.github.io/Logging_0980/klagomålsmail/A 39812-2025 FSC-klagomål mail.docx", "A 39812-2025")</f>
        <v/>
      </c>
      <c r="X164">
        <f>HYPERLINK("https://klasma.github.io/Logging_0980/tillsyn/A 39812-2025 tillsynsbegäran.docx", "A 39812-2025")</f>
        <v/>
      </c>
      <c r="Y164">
        <f>HYPERLINK("https://klasma.github.io/Logging_0980/tillsynsmail/A 39812-2025 tillsynsbegäran mail.docx", "A 39812-2025")</f>
        <v/>
      </c>
    </row>
    <row r="165" ht="15" customHeight="1">
      <c r="A165" t="inlineStr">
        <is>
          <t>A 947-2023</t>
        </is>
      </c>
      <c r="B165" s="1" t="n">
        <v>44934</v>
      </c>
      <c r="C165" s="1" t="n">
        <v>45895</v>
      </c>
      <c r="D165" t="inlineStr">
        <is>
          <t>GOTLANDS LÄN</t>
        </is>
      </c>
      <c r="E165" t="inlineStr">
        <is>
          <t>GOTLAND</t>
        </is>
      </c>
      <c r="G165" t="n">
        <v>0.7</v>
      </c>
      <c r="H165" t="n">
        <v>1</v>
      </c>
      <c r="I165" t="n">
        <v>0</v>
      </c>
      <c r="J165" t="n">
        <v>0</v>
      </c>
      <c r="K165" t="n">
        <v>1</v>
      </c>
      <c r="L165" t="n">
        <v>0</v>
      </c>
      <c r="M165" t="n">
        <v>0</v>
      </c>
      <c r="N165" t="n">
        <v>0</v>
      </c>
      <c r="O165" t="n">
        <v>1</v>
      </c>
      <c r="P165" t="n">
        <v>1</v>
      </c>
      <c r="Q165" t="n">
        <v>1</v>
      </c>
      <c r="R165" s="2" t="inlineStr">
        <is>
          <t>Garderönn</t>
        </is>
      </c>
      <c r="S165">
        <f>HYPERLINK("https://klasma.github.io/Logging_0980/artfynd/A 947-2023 artfynd.xlsx", "A 947-2023")</f>
        <v/>
      </c>
      <c r="T165">
        <f>HYPERLINK("https://klasma.github.io/Logging_0980/kartor/A 947-2023 karta.png", "A 947-2023")</f>
        <v/>
      </c>
      <c r="V165">
        <f>HYPERLINK("https://klasma.github.io/Logging_0980/klagomål/A 947-2023 FSC-klagomål.docx", "A 947-2023")</f>
        <v/>
      </c>
      <c r="W165">
        <f>HYPERLINK("https://klasma.github.io/Logging_0980/klagomålsmail/A 947-2023 FSC-klagomål mail.docx", "A 947-2023")</f>
        <v/>
      </c>
      <c r="X165">
        <f>HYPERLINK("https://klasma.github.io/Logging_0980/tillsyn/A 947-2023 tillsynsbegäran.docx", "A 947-2023")</f>
        <v/>
      </c>
      <c r="Y165">
        <f>HYPERLINK("https://klasma.github.io/Logging_0980/tillsynsmail/A 947-2023 tillsynsbegäran mail.docx", "A 947-2023")</f>
        <v/>
      </c>
    </row>
    <row r="166" ht="15" customHeight="1">
      <c r="A166" t="inlineStr">
        <is>
          <t>A 49304-2024</t>
        </is>
      </c>
      <c r="B166" s="1" t="n">
        <v>45595.54996527778</v>
      </c>
      <c r="C166" s="1" t="n">
        <v>45895</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24245-2022</t>
        </is>
      </c>
      <c r="B167" s="1" t="n">
        <v>44725</v>
      </c>
      <c r="C167" s="1" t="n">
        <v>45895</v>
      </c>
      <c r="D167" t="inlineStr">
        <is>
          <t>GOTLANDS LÄN</t>
        </is>
      </c>
      <c r="E167" t="inlineStr">
        <is>
          <t>GOTLAND</t>
        </is>
      </c>
      <c r="G167" t="n">
        <v>4.9</v>
      </c>
      <c r="H167" t="n">
        <v>0</v>
      </c>
      <c r="I167" t="n">
        <v>0</v>
      </c>
      <c r="J167" t="n">
        <v>0</v>
      </c>
      <c r="K167" t="n">
        <v>0</v>
      </c>
      <c r="L167" t="n">
        <v>1</v>
      </c>
      <c r="M167" t="n">
        <v>0</v>
      </c>
      <c r="N167" t="n">
        <v>0</v>
      </c>
      <c r="O167" t="n">
        <v>1</v>
      </c>
      <c r="P167" t="n">
        <v>1</v>
      </c>
      <c r="Q167" t="n">
        <v>1</v>
      </c>
      <c r="R167" s="2" t="inlineStr">
        <is>
          <t>Slät taggsvamp</t>
        </is>
      </c>
      <c r="S167">
        <f>HYPERLINK("https://klasma.github.io/Logging_0980/artfynd/A 24245-2022 artfynd.xlsx", "A 24245-2022")</f>
        <v/>
      </c>
      <c r="T167">
        <f>HYPERLINK("https://klasma.github.io/Logging_0980/kartor/A 24245-2022 karta.png", "A 24245-2022")</f>
        <v/>
      </c>
      <c r="V167">
        <f>HYPERLINK("https://klasma.github.io/Logging_0980/klagomål/A 24245-2022 FSC-klagomål.docx", "A 24245-2022")</f>
        <v/>
      </c>
      <c r="W167">
        <f>HYPERLINK("https://klasma.github.io/Logging_0980/klagomålsmail/A 24245-2022 FSC-klagomål mail.docx", "A 24245-2022")</f>
        <v/>
      </c>
      <c r="X167">
        <f>HYPERLINK("https://klasma.github.io/Logging_0980/tillsyn/A 24245-2022 tillsynsbegäran.docx", "A 24245-2022")</f>
        <v/>
      </c>
      <c r="Y167">
        <f>HYPERLINK("https://klasma.github.io/Logging_0980/tillsynsmail/A 24245-2022 tillsynsbegäran mail.docx", "A 24245-2022")</f>
        <v/>
      </c>
    </row>
    <row r="168" ht="15" customHeight="1">
      <c r="A168" t="inlineStr">
        <is>
          <t>A 2213-2023</t>
        </is>
      </c>
      <c r="B168" s="1" t="n">
        <v>44942</v>
      </c>
      <c r="C168" s="1" t="n">
        <v>45895</v>
      </c>
      <c r="D168" t="inlineStr">
        <is>
          <t>GOTLANDS LÄN</t>
        </is>
      </c>
      <c r="E168" t="inlineStr">
        <is>
          <t>GOTLAND</t>
        </is>
      </c>
      <c r="G168" t="n">
        <v>2.7</v>
      </c>
      <c r="H168" t="n">
        <v>0</v>
      </c>
      <c r="I168" t="n">
        <v>0</v>
      </c>
      <c r="J168" t="n">
        <v>1</v>
      </c>
      <c r="K168" t="n">
        <v>0</v>
      </c>
      <c r="L168" t="n">
        <v>0</v>
      </c>
      <c r="M168" t="n">
        <v>0</v>
      </c>
      <c r="N168" t="n">
        <v>0</v>
      </c>
      <c r="O168" t="n">
        <v>1</v>
      </c>
      <c r="P168" t="n">
        <v>0</v>
      </c>
      <c r="Q168" t="n">
        <v>1</v>
      </c>
      <c r="R168" s="2" t="inlineStr">
        <is>
          <t>Odörspindling</t>
        </is>
      </c>
      <c r="S168">
        <f>HYPERLINK("https://klasma.github.io/Logging_0980/artfynd/A 2213-2023 artfynd.xlsx", "A 2213-2023")</f>
        <v/>
      </c>
      <c r="T168">
        <f>HYPERLINK("https://klasma.github.io/Logging_0980/kartor/A 2213-2023 karta.png", "A 2213-2023")</f>
        <v/>
      </c>
      <c r="V168">
        <f>HYPERLINK("https://klasma.github.io/Logging_0980/klagomål/A 2213-2023 FSC-klagomål.docx", "A 2213-2023")</f>
        <v/>
      </c>
      <c r="W168">
        <f>HYPERLINK("https://klasma.github.io/Logging_0980/klagomålsmail/A 2213-2023 FSC-klagomål mail.docx", "A 2213-2023")</f>
        <v/>
      </c>
      <c r="X168">
        <f>HYPERLINK("https://klasma.github.io/Logging_0980/tillsyn/A 2213-2023 tillsynsbegäran.docx", "A 2213-2023")</f>
        <v/>
      </c>
      <c r="Y168">
        <f>HYPERLINK("https://klasma.github.io/Logging_0980/tillsynsmail/A 2213-2023 tillsynsbegäran mail.docx", "A 2213-2023")</f>
        <v/>
      </c>
    </row>
    <row r="169" ht="15" customHeight="1">
      <c r="A169" t="inlineStr">
        <is>
          <t>A 49847-2023</t>
        </is>
      </c>
      <c r="B169" s="1" t="n">
        <v>45212</v>
      </c>
      <c r="C169" s="1" t="n">
        <v>45895</v>
      </c>
      <c r="D169" t="inlineStr">
        <is>
          <t>GOTLANDS LÄN</t>
        </is>
      </c>
      <c r="E169" t="inlineStr">
        <is>
          <t>GOTLAND</t>
        </is>
      </c>
      <c r="G169" t="n">
        <v>35.2</v>
      </c>
      <c r="H169" t="n">
        <v>0</v>
      </c>
      <c r="I169" t="n">
        <v>0</v>
      </c>
      <c r="J169" t="n">
        <v>0</v>
      </c>
      <c r="K169" t="n">
        <v>1</v>
      </c>
      <c r="L169" t="n">
        <v>0</v>
      </c>
      <c r="M169" t="n">
        <v>0</v>
      </c>
      <c r="N169" t="n">
        <v>0</v>
      </c>
      <c r="O169" t="n">
        <v>1</v>
      </c>
      <c r="P169" t="n">
        <v>1</v>
      </c>
      <c r="Q169" t="n">
        <v>1</v>
      </c>
      <c r="R169" s="2" t="inlineStr">
        <is>
          <t>Strandviol</t>
        </is>
      </c>
      <c r="S169">
        <f>HYPERLINK("https://klasma.github.io/Logging_0980/artfynd/A 49847-2023 artfynd.xlsx", "A 49847-2023")</f>
        <v/>
      </c>
      <c r="T169">
        <f>HYPERLINK("https://klasma.github.io/Logging_0980/kartor/A 49847-2023 karta.png", "A 49847-2023")</f>
        <v/>
      </c>
      <c r="V169">
        <f>HYPERLINK("https://klasma.github.io/Logging_0980/klagomål/A 49847-2023 FSC-klagomål.docx", "A 49847-2023")</f>
        <v/>
      </c>
      <c r="W169">
        <f>HYPERLINK("https://klasma.github.io/Logging_0980/klagomålsmail/A 49847-2023 FSC-klagomål mail.docx", "A 49847-2023")</f>
        <v/>
      </c>
      <c r="X169">
        <f>HYPERLINK("https://klasma.github.io/Logging_0980/tillsyn/A 49847-2023 tillsynsbegäran.docx", "A 49847-2023")</f>
        <v/>
      </c>
      <c r="Y169">
        <f>HYPERLINK("https://klasma.github.io/Logging_0980/tillsynsmail/A 49847-2023 tillsynsbegäran mail.docx", "A 49847-2023")</f>
        <v/>
      </c>
    </row>
    <row r="170" ht="15" customHeight="1">
      <c r="A170" t="inlineStr">
        <is>
          <t>A 46527-2023</t>
        </is>
      </c>
      <c r="B170" s="1" t="n">
        <v>45197</v>
      </c>
      <c r="C170" s="1" t="n">
        <v>45895</v>
      </c>
      <c r="D170" t="inlineStr">
        <is>
          <t>GOTLANDS LÄN</t>
        </is>
      </c>
      <c r="E170" t="inlineStr">
        <is>
          <t>GOTLAND</t>
        </is>
      </c>
      <c r="G170" t="n">
        <v>0.9</v>
      </c>
      <c r="H170" t="n">
        <v>0</v>
      </c>
      <c r="I170" t="n">
        <v>0</v>
      </c>
      <c r="J170" t="n">
        <v>1</v>
      </c>
      <c r="K170" t="n">
        <v>0</v>
      </c>
      <c r="L170" t="n">
        <v>0</v>
      </c>
      <c r="M170" t="n">
        <v>0</v>
      </c>
      <c r="N170" t="n">
        <v>0</v>
      </c>
      <c r="O170" t="n">
        <v>1</v>
      </c>
      <c r="P170" t="n">
        <v>0</v>
      </c>
      <c r="Q170" t="n">
        <v>1</v>
      </c>
      <c r="R170" s="2" t="inlineStr">
        <is>
          <t>Guldgräshoppa</t>
        </is>
      </c>
      <c r="S170">
        <f>HYPERLINK("https://klasma.github.io/Logging_0980/artfynd/A 46527-2023 artfynd.xlsx", "A 46527-2023")</f>
        <v/>
      </c>
      <c r="T170">
        <f>HYPERLINK("https://klasma.github.io/Logging_0980/kartor/A 46527-2023 karta.png", "A 46527-2023")</f>
        <v/>
      </c>
      <c r="V170">
        <f>HYPERLINK("https://klasma.github.io/Logging_0980/klagomål/A 46527-2023 FSC-klagomål.docx", "A 46527-2023")</f>
        <v/>
      </c>
      <c r="W170">
        <f>HYPERLINK("https://klasma.github.io/Logging_0980/klagomålsmail/A 46527-2023 FSC-klagomål mail.docx", "A 46527-2023")</f>
        <v/>
      </c>
      <c r="X170">
        <f>HYPERLINK("https://klasma.github.io/Logging_0980/tillsyn/A 46527-2023 tillsynsbegäran.docx", "A 46527-2023")</f>
        <v/>
      </c>
      <c r="Y170">
        <f>HYPERLINK("https://klasma.github.io/Logging_0980/tillsynsmail/A 46527-2023 tillsynsbegäran mail.docx", "A 46527-2023")</f>
        <v/>
      </c>
    </row>
    <row r="171" ht="15" customHeight="1">
      <c r="A171" t="inlineStr">
        <is>
          <t>A 12324-2025</t>
        </is>
      </c>
      <c r="B171" s="1" t="n">
        <v>45730</v>
      </c>
      <c r="C171" s="1" t="n">
        <v>45895</v>
      </c>
      <c r="D171" t="inlineStr">
        <is>
          <t>GOTLANDS LÄN</t>
        </is>
      </c>
      <c r="E171" t="inlineStr">
        <is>
          <t>GOTLAND</t>
        </is>
      </c>
      <c r="G171" t="n">
        <v>5</v>
      </c>
      <c r="H171" t="n">
        <v>0</v>
      </c>
      <c r="I171" t="n">
        <v>0</v>
      </c>
      <c r="J171" t="n">
        <v>0</v>
      </c>
      <c r="K171" t="n">
        <v>1</v>
      </c>
      <c r="L171" t="n">
        <v>0</v>
      </c>
      <c r="M171" t="n">
        <v>0</v>
      </c>
      <c r="N171" t="n">
        <v>0</v>
      </c>
      <c r="O171" t="n">
        <v>1</v>
      </c>
      <c r="P171" t="n">
        <v>1</v>
      </c>
      <c r="Q171" t="n">
        <v>1</v>
      </c>
      <c r="R171" s="2" t="inlineStr">
        <is>
          <t>Sommarklynne</t>
        </is>
      </c>
      <c r="S171">
        <f>HYPERLINK("https://klasma.github.io/Logging_0980/artfynd/A 12324-2025 artfynd.xlsx", "A 12324-2025")</f>
        <v/>
      </c>
      <c r="T171">
        <f>HYPERLINK("https://klasma.github.io/Logging_0980/kartor/A 12324-2025 karta.png", "A 12324-2025")</f>
        <v/>
      </c>
      <c r="V171">
        <f>HYPERLINK("https://klasma.github.io/Logging_0980/klagomål/A 12324-2025 FSC-klagomål.docx", "A 12324-2025")</f>
        <v/>
      </c>
      <c r="W171">
        <f>HYPERLINK("https://klasma.github.io/Logging_0980/klagomålsmail/A 12324-2025 FSC-klagomål mail.docx", "A 12324-2025")</f>
        <v/>
      </c>
      <c r="X171">
        <f>HYPERLINK("https://klasma.github.io/Logging_0980/tillsyn/A 12324-2025 tillsynsbegäran.docx", "A 12324-2025")</f>
        <v/>
      </c>
      <c r="Y171">
        <f>HYPERLINK("https://klasma.github.io/Logging_0980/tillsynsmail/A 12324-2025 tillsynsbegäran mail.docx", "A 12324-2025")</f>
        <v/>
      </c>
    </row>
    <row r="172" ht="15" customHeight="1">
      <c r="A172" t="inlineStr">
        <is>
          <t>A 19901-2021</t>
        </is>
      </c>
      <c r="B172" s="1" t="n">
        <v>44312</v>
      </c>
      <c r="C172" s="1" t="n">
        <v>45895</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45895</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45895</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45895</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45895</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45895</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45895</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45895</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45895</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26857-2021</t>
        </is>
      </c>
      <c r="B181" s="1" t="n">
        <v>44349.60091435185</v>
      </c>
      <c r="C181" s="1" t="n">
        <v>45895</v>
      </c>
      <c r="D181" t="inlineStr">
        <is>
          <t>GOTLANDS LÄN</t>
        </is>
      </c>
      <c r="E181" t="inlineStr">
        <is>
          <t>GOTLAND</t>
        </is>
      </c>
      <c r="G181" t="n">
        <v>1.9</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45895</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45895</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45895</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45895</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45895</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45895</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45895</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45895</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45895</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45895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45895</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45895</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45895</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45895</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45895</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45895</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45895</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45895</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45895</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45895</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45895</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45895</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45895</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45895</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45895</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45895</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45895</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45895</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45895</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45895</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45895</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45895</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45895</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45895</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45895</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45895</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45895</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62120-2020</t>
        </is>
      </c>
      <c r="B219" s="1" t="n">
        <v>44158</v>
      </c>
      <c r="C219" s="1" t="n">
        <v>45895</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45895</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3271-2021</t>
        </is>
      </c>
      <c r="B221" s="1" t="n">
        <v>44217</v>
      </c>
      <c r="C221" s="1" t="n">
        <v>45895</v>
      </c>
      <c r="D221" t="inlineStr">
        <is>
          <t>GOTLANDS LÄN</t>
        </is>
      </c>
      <c r="E221" t="inlineStr">
        <is>
          <t>GOTLAND</t>
        </is>
      </c>
      <c r="G221" t="n">
        <v>0.7</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45895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45895</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45895</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45895</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21507-2021</t>
        </is>
      </c>
      <c r="B226" s="1" t="n">
        <v>44321</v>
      </c>
      <c r="C226" s="1" t="n">
        <v>45895</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45895</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45895</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22495-2022</t>
        </is>
      </c>
      <c r="B229" s="1" t="n">
        <v>44713.6452199074</v>
      </c>
      <c r="C229" s="1" t="n">
        <v>45895</v>
      </c>
      <c r="D229" t="inlineStr">
        <is>
          <t>GOTLANDS LÄN</t>
        </is>
      </c>
      <c r="E229" t="inlineStr">
        <is>
          <t>GOTLAND</t>
        </is>
      </c>
      <c r="G229" t="n">
        <v>0.5</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45895</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45895</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45895</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53641-2020</t>
        </is>
      </c>
      <c r="B233" s="1" t="n">
        <v>44124</v>
      </c>
      <c r="C233" s="1" t="n">
        <v>45895</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32330-2024</t>
        </is>
      </c>
      <c r="B234" s="1" t="n">
        <v>45512</v>
      </c>
      <c r="C234" s="1" t="n">
        <v>45895</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37037-2021</t>
        </is>
      </c>
      <c r="B235" s="1" t="n">
        <v>44393.84688657407</v>
      </c>
      <c r="C235" s="1" t="n">
        <v>45895</v>
      </c>
      <c r="D235" t="inlineStr">
        <is>
          <t>GOTLANDS LÄN</t>
        </is>
      </c>
      <c r="E235" t="inlineStr">
        <is>
          <t>GOTLAND</t>
        </is>
      </c>
      <c r="G235" t="n">
        <v>10.2</v>
      </c>
      <c r="H235" t="n">
        <v>0</v>
      </c>
      <c r="I235" t="n">
        <v>0</v>
      </c>
      <c r="J235" t="n">
        <v>0</v>
      </c>
      <c r="K235" t="n">
        <v>0</v>
      </c>
      <c r="L235" t="n">
        <v>0</v>
      </c>
      <c r="M235" t="n">
        <v>0</v>
      </c>
      <c r="N235" t="n">
        <v>0</v>
      </c>
      <c r="O235" t="n">
        <v>0</v>
      </c>
      <c r="P235" t="n">
        <v>0</v>
      </c>
      <c r="Q235" t="n">
        <v>0</v>
      </c>
      <c r="R235" s="2" t="inlineStr"/>
    </row>
    <row r="236" ht="15" customHeight="1">
      <c r="A236" t="inlineStr">
        <is>
          <t>A 46545-2024</t>
        </is>
      </c>
      <c r="B236" s="1" t="n">
        <v>45582.65831018519</v>
      </c>
      <c r="C236" s="1" t="n">
        <v>45895</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9613-2025</t>
        </is>
      </c>
      <c r="B237" s="1" t="n">
        <v>45715</v>
      </c>
      <c r="C237" s="1" t="n">
        <v>45895</v>
      </c>
      <c r="D237" t="inlineStr">
        <is>
          <t>GOTLANDS LÄN</t>
        </is>
      </c>
      <c r="E237" t="inlineStr">
        <is>
          <t>GOTLAND</t>
        </is>
      </c>
      <c r="G237" t="n">
        <v>3.5</v>
      </c>
      <c r="H237" t="n">
        <v>0</v>
      </c>
      <c r="I237" t="n">
        <v>0</v>
      </c>
      <c r="J237" t="n">
        <v>0</v>
      </c>
      <c r="K237" t="n">
        <v>0</v>
      </c>
      <c r="L237" t="n">
        <v>0</v>
      </c>
      <c r="M237" t="n">
        <v>0</v>
      </c>
      <c r="N237" t="n">
        <v>0</v>
      </c>
      <c r="O237" t="n">
        <v>0</v>
      </c>
      <c r="P237" t="n">
        <v>0</v>
      </c>
      <c r="Q237" t="n">
        <v>0</v>
      </c>
      <c r="R237" s="2" t="inlineStr"/>
    </row>
    <row r="238" ht="15" customHeight="1">
      <c r="A238" t="inlineStr">
        <is>
          <t>A 15595-2024</t>
        </is>
      </c>
      <c r="B238" s="1" t="n">
        <v>45401.81480324074</v>
      </c>
      <c r="C238" s="1" t="n">
        <v>45895</v>
      </c>
      <c r="D238" t="inlineStr">
        <is>
          <t>GOTLANDS LÄN</t>
        </is>
      </c>
      <c r="E238" t="inlineStr">
        <is>
          <t>GOTLAND</t>
        </is>
      </c>
      <c r="G238" t="n">
        <v>6.4</v>
      </c>
      <c r="H238" t="n">
        <v>0</v>
      </c>
      <c r="I238" t="n">
        <v>0</v>
      </c>
      <c r="J238" t="n">
        <v>0</v>
      </c>
      <c r="K238" t="n">
        <v>0</v>
      </c>
      <c r="L238" t="n">
        <v>0</v>
      </c>
      <c r="M238" t="n">
        <v>0</v>
      </c>
      <c r="N238" t="n">
        <v>0</v>
      </c>
      <c r="O238" t="n">
        <v>0</v>
      </c>
      <c r="P238" t="n">
        <v>0</v>
      </c>
      <c r="Q238" t="n">
        <v>0</v>
      </c>
      <c r="R238" s="2" t="inlineStr"/>
    </row>
    <row r="239" ht="15" customHeight="1">
      <c r="A239" t="inlineStr">
        <is>
          <t>A 60086-2022</t>
        </is>
      </c>
      <c r="B239" s="1" t="n">
        <v>44909</v>
      </c>
      <c r="C239" s="1" t="n">
        <v>45895</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5751-2024</t>
        </is>
      </c>
      <c r="B240" s="1" t="n">
        <v>45335.32702546296</v>
      </c>
      <c r="C240" s="1" t="n">
        <v>45895</v>
      </c>
      <c r="D240" t="inlineStr">
        <is>
          <t>GOTLANDS LÄN</t>
        </is>
      </c>
      <c r="E240" t="inlineStr">
        <is>
          <t>GOTLAND</t>
        </is>
      </c>
      <c r="G240" t="n">
        <v>4.2</v>
      </c>
      <c r="H240" t="n">
        <v>0</v>
      </c>
      <c r="I240" t="n">
        <v>0</v>
      </c>
      <c r="J240" t="n">
        <v>0</v>
      </c>
      <c r="K240" t="n">
        <v>0</v>
      </c>
      <c r="L240" t="n">
        <v>0</v>
      </c>
      <c r="M240" t="n">
        <v>0</v>
      </c>
      <c r="N240" t="n">
        <v>0</v>
      </c>
      <c r="O240" t="n">
        <v>0</v>
      </c>
      <c r="P240" t="n">
        <v>0</v>
      </c>
      <c r="Q240" t="n">
        <v>0</v>
      </c>
      <c r="R240" s="2" t="inlineStr"/>
    </row>
    <row r="241" ht="15" customHeight="1">
      <c r="A241" t="inlineStr">
        <is>
          <t>A 28480-2023</t>
        </is>
      </c>
      <c r="B241" s="1" t="n">
        <v>45103</v>
      </c>
      <c r="C241" s="1" t="n">
        <v>45895</v>
      </c>
      <c r="D241" t="inlineStr">
        <is>
          <t>GOTLANDS LÄN</t>
        </is>
      </c>
      <c r="E241" t="inlineStr">
        <is>
          <t>GOTLAND</t>
        </is>
      </c>
      <c r="G241" t="n">
        <v>5.7</v>
      </c>
      <c r="H241" t="n">
        <v>0</v>
      </c>
      <c r="I241" t="n">
        <v>0</v>
      </c>
      <c r="J241" t="n">
        <v>0</v>
      </c>
      <c r="K241" t="n">
        <v>0</v>
      </c>
      <c r="L241" t="n">
        <v>0</v>
      </c>
      <c r="M241" t="n">
        <v>0</v>
      </c>
      <c r="N241" t="n">
        <v>0</v>
      </c>
      <c r="O241" t="n">
        <v>0</v>
      </c>
      <c r="P241" t="n">
        <v>0</v>
      </c>
      <c r="Q241" t="n">
        <v>0</v>
      </c>
      <c r="R241" s="2" t="inlineStr"/>
    </row>
    <row r="242" ht="15" customHeight="1">
      <c r="A242" t="inlineStr">
        <is>
          <t>A 28485-2023</t>
        </is>
      </c>
      <c r="B242" s="1" t="n">
        <v>45103.43731481482</v>
      </c>
      <c r="C242" s="1" t="n">
        <v>45895</v>
      </c>
      <c r="D242" t="inlineStr">
        <is>
          <t>GOTLANDS LÄN</t>
        </is>
      </c>
      <c r="E242" t="inlineStr">
        <is>
          <t>GOTLAND</t>
        </is>
      </c>
      <c r="G242" t="n">
        <v>2.3</v>
      </c>
      <c r="H242" t="n">
        <v>0</v>
      </c>
      <c r="I242" t="n">
        <v>0</v>
      </c>
      <c r="J242" t="n">
        <v>0</v>
      </c>
      <c r="K242" t="n">
        <v>0</v>
      </c>
      <c r="L242" t="n">
        <v>0</v>
      </c>
      <c r="M242" t="n">
        <v>0</v>
      </c>
      <c r="N242" t="n">
        <v>0</v>
      </c>
      <c r="O242" t="n">
        <v>0</v>
      </c>
      <c r="P242" t="n">
        <v>0</v>
      </c>
      <c r="Q242" t="n">
        <v>0</v>
      </c>
      <c r="R242" s="2" t="inlineStr"/>
    </row>
    <row r="243" ht="15" customHeight="1">
      <c r="A243" t="inlineStr">
        <is>
          <t>A 30282-2022</t>
        </is>
      </c>
      <c r="B243" s="1" t="n">
        <v>44760</v>
      </c>
      <c r="C243" s="1" t="n">
        <v>45895</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62915-2021</t>
        </is>
      </c>
      <c r="B244" s="1" t="n">
        <v>44504</v>
      </c>
      <c r="C244" s="1" t="n">
        <v>45895</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4868-2024</t>
        </is>
      </c>
      <c r="B245" s="1" t="n">
        <v>45329</v>
      </c>
      <c r="C245" s="1" t="n">
        <v>45895</v>
      </c>
      <c r="D245" t="inlineStr">
        <is>
          <t>GOTLANDS LÄN</t>
        </is>
      </c>
      <c r="E245" t="inlineStr">
        <is>
          <t>GOTLAND</t>
        </is>
      </c>
      <c r="G245" t="n">
        <v>7.1</v>
      </c>
      <c r="H245" t="n">
        <v>0</v>
      </c>
      <c r="I245" t="n">
        <v>0</v>
      </c>
      <c r="J245" t="n">
        <v>0</v>
      </c>
      <c r="K245" t="n">
        <v>0</v>
      </c>
      <c r="L245" t="n">
        <v>0</v>
      </c>
      <c r="M245" t="n">
        <v>0</v>
      </c>
      <c r="N245" t="n">
        <v>0</v>
      </c>
      <c r="O245" t="n">
        <v>0</v>
      </c>
      <c r="P245" t="n">
        <v>0</v>
      </c>
      <c r="Q245" t="n">
        <v>0</v>
      </c>
      <c r="R245" s="2" t="inlineStr"/>
    </row>
    <row r="246" ht="15" customHeight="1">
      <c r="A246" t="inlineStr">
        <is>
          <t>A 44949-2023</t>
        </is>
      </c>
      <c r="B246" s="1" t="n">
        <v>45190.69520833333</v>
      </c>
      <c r="C246" s="1" t="n">
        <v>45895</v>
      </c>
      <c r="D246" t="inlineStr">
        <is>
          <t>GOTLANDS LÄN</t>
        </is>
      </c>
      <c r="E246" t="inlineStr">
        <is>
          <t>GOTLAND</t>
        </is>
      </c>
      <c r="G246" t="n">
        <v>1.4</v>
      </c>
      <c r="H246" t="n">
        <v>0</v>
      </c>
      <c r="I246" t="n">
        <v>0</v>
      </c>
      <c r="J246" t="n">
        <v>0</v>
      </c>
      <c r="K246" t="n">
        <v>0</v>
      </c>
      <c r="L246" t="n">
        <v>0</v>
      </c>
      <c r="M246" t="n">
        <v>0</v>
      </c>
      <c r="N246" t="n">
        <v>0</v>
      </c>
      <c r="O246" t="n">
        <v>0</v>
      </c>
      <c r="P246" t="n">
        <v>0</v>
      </c>
      <c r="Q246" t="n">
        <v>0</v>
      </c>
      <c r="R246" s="2" t="inlineStr"/>
    </row>
    <row r="247" ht="15" customHeight="1">
      <c r="A247" t="inlineStr">
        <is>
          <t>A 44942-2022</t>
        </is>
      </c>
      <c r="B247" s="1" t="n">
        <v>44841</v>
      </c>
      <c r="C247" s="1" t="n">
        <v>45895</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6108-2025</t>
        </is>
      </c>
      <c r="B248" s="1" t="n">
        <v>45698.29880787037</v>
      </c>
      <c r="C248" s="1" t="n">
        <v>45895</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8701-2025</t>
        </is>
      </c>
      <c r="B249" s="1" t="n">
        <v>45712</v>
      </c>
      <c r="C249" s="1" t="n">
        <v>45895</v>
      </c>
      <c r="D249" t="inlineStr">
        <is>
          <t>GOTLANDS LÄN</t>
        </is>
      </c>
      <c r="E249" t="inlineStr">
        <is>
          <t>GOTLAND</t>
        </is>
      </c>
      <c r="G249" t="n">
        <v>7</v>
      </c>
      <c r="H249" t="n">
        <v>0</v>
      </c>
      <c r="I249" t="n">
        <v>0</v>
      </c>
      <c r="J249" t="n">
        <v>0</v>
      </c>
      <c r="K249" t="n">
        <v>0</v>
      </c>
      <c r="L249" t="n">
        <v>0</v>
      </c>
      <c r="M249" t="n">
        <v>0</v>
      </c>
      <c r="N249" t="n">
        <v>0</v>
      </c>
      <c r="O249" t="n">
        <v>0</v>
      </c>
      <c r="P249" t="n">
        <v>0</v>
      </c>
      <c r="Q249" t="n">
        <v>0</v>
      </c>
      <c r="R249" s="2" t="inlineStr"/>
    </row>
    <row r="250" ht="15" customHeight="1">
      <c r="A250" t="inlineStr">
        <is>
          <t>A 53935-2024</t>
        </is>
      </c>
      <c r="B250" s="1" t="n">
        <v>45615</v>
      </c>
      <c r="C250" s="1" t="n">
        <v>45895</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37591-2023</t>
        </is>
      </c>
      <c r="B251" s="1" t="n">
        <v>45159</v>
      </c>
      <c r="C251" s="1" t="n">
        <v>45895</v>
      </c>
      <c r="D251" t="inlineStr">
        <is>
          <t>GOTLANDS LÄN</t>
        </is>
      </c>
      <c r="E251" t="inlineStr">
        <is>
          <t>GOTLAND</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18223-2025</t>
        </is>
      </c>
      <c r="B252" s="1" t="n">
        <v>45761</v>
      </c>
      <c r="C252" s="1" t="n">
        <v>45895</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4420-2025</t>
        </is>
      </c>
      <c r="B253" s="1" t="n">
        <v>45686.47157407407</v>
      </c>
      <c r="C253" s="1" t="n">
        <v>45895</v>
      </c>
      <c r="D253" t="inlineStr">
        <is>
          <t>GOTLANDS LÄN</t>
        </is>
      </c>
      <c r="E253" t="inlineStr">
        <is>
          <t>GOTLAND</t>
        </is>
      </c>
      <c r="G253" t="n">
        <v>1.6</v>
      </c>
      <c r="H253" t="n">
        <v>0</v>
      </c>
      <c r="I253" t="n">
        <v>0</v>
      </c>
      <c r="J253" t="n">
        <v>0</v>
      </c>
      <c r="K253" t="n">
        <v>0</v>
      </c>
      <c r="L253" t="n">
        <v>0</v>
      </c>
      <c r="M253" t="n">
        <v>0</v>
      </c>
      <c r="N253" t="n">
        <v>0</v>
      </c>
      <c r="O253" t="n">
        <v>0</v>
      </c>
      <c r="P253" t="n">
        <v>0</v>
      </c>
      <c r="Q253" t="n">
        <v>0</v>
      </c>
      <c r="R253" s="2" t="inlineStr"/>
    </row>
    <row r="254" ht="15" customHeight="1">
      <c r="A254" t="inlineStr">
        <is>
          <t>A 37222-2021</t>
        </is>
      </c>
      <c r="B254" s="1" t="n">
        <v>44396</v>
      </c>
      <c r="C254" s="1" t="n">
        <v>45895</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24966-2023</t>
        </is>
      </c>
      <c r="B255" s="1" t="n">
        <v>45085</v>
      </c>
      <c r="C255" s="1" t="n">
        <v>45895</v>
      </c>
      <c r="D255" t="inlineStr">
        <is>
          <t>GOTLANDS LÄN</t>
        </is>
      </c>
      <c r="E255" t="inlineStr">
        <is>
          <t>GOTLAND</t>
        </is>
      </c>
      <c r="G255" t="n">
        <v>7</v>
      </c>
      <c r="H255" t="n">
        <v>0</v>
      </c>
      <c r="I255" t="n">
        <v>0</v>
      </c>
      <c r="J255" t="n">
        <v>0</v>
      </c>
      <c r="K255" t="n">
        <v>0</v>
      </c>
      <c r="L255" t="n">
        <v>0</v>
      </c>
      <c r="M255" t="n">
        <v>0</v>
      </c>
      <c r="N255" t="n">
        <v>0</v>
      </c>
      <c r="O255" t="n">
        <v>0</v>
      </c>
      <c r="P255" t="n">
        <v>0</v>
      </c>
      <c r="Q255" t="n">
        <v>0</v>
      </c>
      <c r="R255" s="2" t="inlineStr"/>
    </row>
    <row r="256" ht="15" customHeight="1">
      <c r="A256" t="inlineStr">
        <is>
          <t>A 46189-2022</t>
        </is>
      </c>
      <c r="B256" s="1" t="n">
        <v>44847</v>
      </c>
      <c r="C256" s="1" t="n">
        <v>45895</v>
      </c>
      <c r="D256" t="inlineStr">
        <is>
          <t>GOTLANDS LÄN</t>
        </is>
      </c>
      <c r="E256" t="inlineStr">
        <is>
          <t>GOTLAND</t>
        </is>
      </c>
      <c r="G256" t="n">
        <v>0.4</v>
      </c>
      <c r="H256" t="n">
        <v>0</v>
      </c>
      <c r="I256" t="n">
        <v>0</v>
      </c>
      <c r="J256" t="n">
        <v>0</v>
      </c>
      <c r="K256" t="n">
        <v>0</v>
      </c>
      <c r="L256" t="n">
        <v>0</v>
      </c>
      <c r="M256" t="n">
        <v>0</v>
      </c>
      <c r="N256" t="n">
        <v>0</v>
      </c>
      <c r="O256" t="n">
        <v>0</v>
      </c>
      <c r="P256" t="n">
        <v>0</v>
      </c>
      <c r="Q256" t="n">
        <v>0</v>
      </c>
      <c r="R256" s="2" t="inlineStr"/>
    </row>
    <row r="257" ht="15" customHeight="1">
      <c r="A257" t="inlineStr">
        <is>
          <t>A 5891-2025</t>
        </is>
      </c>
      <c r="B257" s="1" t="n">
        <v>45695.38327546296</v>
      </c>
      <c r="C257" s="1" t="n">
        <v>45895</v>
      </c>
      <c r="D257" t="inlineStr">
        <is>
          <t>GOTLANDS LÄN</t>
        </is>
      </c>
      <c r="E257" t="inlineStr">
        <is>
          <t>GOTLAND</t>
        </is>
      </c>
      <c r="G257" t="n">
        <v>0.8</v>
      </c>
      <c r="H257" t="n">
        <v>0</v>
      </c>
      <c r="I257" t="n">
        <v>0</v>
      </c>
      <c r="J257" t="n">
        <v>0</v>
      </c>
      <c r="K257" t="n">
        <v>0</v>
      </c>
      <c r="L257" t="n">
        <v>0</v>
      </c>
      <c r="M257" t="n">
        <v>0</v>
      </c>
      <c r="N257" t="n">
        <v>0</v>
      </c>
      <c r="O257" t="n">
        <v>0</v>
      </c>
      <c r="P257" t="n">
        <v>0</v>
      </c>
      <c r="Q257" t="n">
        <v>0</v>
      </c>
      <c r="R257" s="2" t="inlineStr"/>
    </row>
    <row r="258" ht="15" customHeight="1">
      <c r="A258" t="inlineStr">
        <is>
          <t>A 3964-2024</t>
        </is>
      </c>
      <c r="B258" s="1" t="n">
        <v>45322</v>
      </c>
      <c r="C258" s="1" t="n">
        <v>45895</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45084-2024</t>
        </is>
      </c>
      <c r="B259" s="1" t="n">
        <v>45575</v>
      </c>
      <c r="C259" s="1" t="n">
        <v>45895</v>
      </c>
      <c r="D259" t="inlineStr">
        <is>
          <t>GOTLANDS LÄN</t>
        </is>
      </c>
      <c r="E259" t="inlineStr">
        <is>
          <t>GOTLAND</t>
        </is>
      </c>
      <c r="G259" t="n">
        <v>6.8</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45895</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13627-2023</t>
        </is>
      </c>
      <c r="B261" s="1" t="n">
        <v>45006</v>
      </c>
      <c r="C261" s="1" t="n">
        <v>45895</v>
      </c>
      <c r="D261" t="inlineStr">
        <is>
          <t>GOTLANDS LÄN</t>
        </is>
      </c>
      <c r="E261" t="inlineStr">
        <is>
          <t>GOTLAND</t>
        </is>
      </c>
      <c r="G261" t="n">
        <v>10.7</v>
      </c>
      <c r="H261" t="n">
        <v>0</v>
      </c>
      <c r="I261" t="n">
        <v>0</v>
      </c>
      <c r="J261" t="n">
        <v>0</v>
      </c>
      <c r="K261" t="n">
        <v>0</v>
      </c>
      <c r="L261" t="n">
        <v>0</v>
      </c>
      <c r="M261" t="n">
        <v>0</v>
      </c>
      <c r="N261" t="n">
        <v>0</v>
      </c>
      <c r="O261" t="n">
        <v>0</v>
      </c>
      <c r="P261" t="n">
        <v>0</v>
      </c>
      <c r="Q261" t="n">
        <v>0</v>
      </c>
      <c r="R261" s="2" t="inlineStr"/>
    </row>
    <row r="262" ht="15" customHeight="1">
      <c r="A262" t="inlineStr">
        <is>
          <t>A 22031-2024</t>
        </is>
      </c>
      <c r="B262" s="1" t="n">
        <v>45443.60075231481</v>
      </c>
      <c r="C262" s="1" t="n">
        <v>45895</v>
      </c>
      <c r="D262" t="inlineStr">
        <is>
          <t>GOTLANDS LÄN</t>
        </is>
      </c>
      <c r="E262" t="inlineStr">
        <is>
          <t>GOTLAND</t>
        </is>
      </c>
      <c r="G262" t="n">
        <v>2.3</v>
      </c>
      <c r="H262" t="n">
        <v>0</v>
      </c>
      <c r="I262" t="n">
        <v>0</v>
      </c>
      <c r="J262" t="n">
        <v>0</v>
      </c>
      <c r="K262" t="n">
        <v>0</v>
      </c>
      <c r="L262" t="n">
        <v>0</v>
      </c>
      <c r="M262" t="n">
        <v>0</v>
      </c>
      <c r="N262" t="n">
        <v>0</v>
      </c>
      <c r="O262" t="n">
        <v>0</v>
      </c>
      <c r="P262" t="n">
        <v>0</v>
      </c>
      <c r="Q262" t="n">
        <v>0</v>
      </c>
      <c r="R262" s="2" t="inlineStr"/>
    </row>
    <row r="263" ht="15" customHeight="1">
      <c r="A263" t="inlineStr">
        <is>
          <t>A 44204-2022</t>
        </is>
      </c>
      <c r="B263" s="1" t="n">
        <v>44839</v>
      </c>
      <c r="C263" s="1" t="n">
        <v>45895</v>
      </c>
      <c r="D263" t="inlineStr">
        <is>
          <t>GOTLANDS LÄN</t>
        </is>
      </c>
      <c r="E263" t="inlineStr">
        <is>
          <t>GOTLAND</t>
        </is>
      </c>
      <c r="G263" t="n">
        <v>2.3</v>
      </c>
      <c r="H263" t="n">
        <v>0</v>
      </c>
      <c r="I263" t="n">
        <v>0</v>
      </c>
      <c r="J263" t="n">
        <v>0</v>
      </c>
      <c r="K263" t="n">
        <v>0</v>
      </c>
      <c r="L263" t="n">
        <v>0</v>
      </c>
      <c r="M263" t="n">
        <v>0</v>
      </c>
      <c r="N263" t="n">
        <v>0</v>
      </c>
      <c r="O263" t="n">
        <v>0</v>
      </c>
      <c r="P263" t="n">
        <v>0</v>
      </c>
      <c r="Q263" t="n">
        <v>0</v>
      </c>
      <c r="R263" s="2" t="inlineStr"/>
    </row>
    <row r="264" ht="15" customHeight="1">
      <c r="A264" t="inlineStr">
        <is>
          <t>A 49314-2024</t>
        </is>
      </c>
      <c r="B264" s="1" t="n">
        <v>45595.55893518519</v>
      </c>
      <c r="C264" s="1" t="n">
        <v>45895</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20794-2025</t>
        </is>
      </c>
      <c r="B265" s="1" t="n">
        <v>45776</v>
      </c>
      <c r="C265" s="1" t="n">
        <v>45895</v>
      </c>
      <c r="D265" t="inlineStr">
        <is>
          <t>GOTLANDS LÄN</t>
        </is>
      </c>
      <c r="E265" t="inlineStr">
        <is>
          <t>GOTLAND</t>
        </is>
      </c>
      <c r="G265" t="n">
        <v>6</v>
      </c>
      <c r="H265" t="n">
        <v>0</v>
      </c>
      <c r="I265" t="n">
        <v>0</v>
      </c>
      <c r="J265" t="n">
        <v>0</v>
      </c>
      <c r="K265" t="n">
        <v>0</v>
      </c>
      <c r="L265" t="n">
        <v>0</v>
      </c>
      <c r="M265" t="n">
        <v>0</v>
      </c>
      <c r="N265" t="n">
        <v>0</v>
      </c>
      <c r="O265" t="n">
        <v>0</v>
      </c>
      <c r="P265" t="n">
        <v>0</v>
      </c>
      <c r="Q265" t="n">
        <v>0</v>
      </c>
      <c r="R265" s="2" t="inlineStr"/>
    </row>
    <row r="266" ht="15" customHeight="1">
      <c r="A266" t="inlineStr">
        <is>
          <t>A 20812-2025</t>
        </is>
      </c>
      <c r="B266" s="1" t="n">
        <v>45776</v>
      </c>
      <c r="C266" s="1" t="n">
        <v>45895</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20805-2025</t>
        </is>
      </c>
      <c r="B267" s="1" t="n">
        <v>45776</v>
      </c>
      <c r="C267" s="1" t="n">
        <v>45895</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44919-2022</t>
        </is>
      </c>
      <c r="B268" s="1" t="n">
        <v>44841</v>
      </c>
      <c r="C268" s="1" t="n">
        <v>45895</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14915-2025</t>
        </is>
      </c>
      <c r="B269" s="1" t="n">
        <v>45743.53121527778</v>
      </c>
      <c r="C269" s="1" t="n">
        <v>45895</v>
      </c>
      <c r="D269" t="inlineStr">
        <is>
          <t>GOTLANDS LÄN</t>
        </is>
      </c>
      <c r="E269" t="inlineStr">
        <is>
          <t>GOTLAND</t>
        </is>
      </c>
      <c r="G269" t="n">
        <v>5.9</v>
      </c>
      <c r="H269" t="n">
        <v>0</v>
      </c>
      <c r="I269" t="n">
        <v>0</v>
      </c>
      <c r="J269" t="n">
        <v>0</v>
      </c>
      <c r="K269" t="n">
        <v>0</v>
      </c>
      <c r="L269" t="n">
        <v>0</v>
      </c>
      <c r="M269" t="n">
        <v>0</v>
      </c>
      <c r="N269" t="n">
        <v>0</v>
      </c>
      <c r="O269" t="n">
        <v>0</v>
      </c>
      <c r="P269" t="n">
        <v>0</v>
      </c>
      <c r="Q269" t="n">
        <v>0</v>
      </c>
      <c r="R269" s="2" t="inlineStr"/>
    </row>
    <row r="270" ht="15" customHeight="1">
      <c r="A270" t="inlineStr">
        <is>
          <t>A 5217-2023</t>
        </is>
      </c>
      <c r="B270" s="1" t="n">
        <v>44959.39582175926</v>
      </c>
      <c r="C270" s="1" t="n">
        <v>45895</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43790-2024</t>
        </is>
      </c>
      <c r="B271" s="1" t="n">
        <v>45571</v>
      </c>
      <c r="C271" s="1" t="n">
        <v>45895</v>
      </c>
      <c r="D271" t="inlineStr">
        <is>
          <t>GOTLANDS LÄN</t>
        </is>
      </c>
      <c r="E271" t="inlineStr">
        <is>
          <t>GOTLAND</t>
        </is>
      </c>
      <c r="G271" t="n">
        <v>3.5</v>
      </c>
      <c r="H271" t="n">
        <v>0</v>
      </c>
      <c r="I271" t="n">
        <v>0</v>
      </c>
      <c r="J271" t="n">
        <v>0</v>
      </c>
      <c r="K271" t="n">
        <v>0</v>
      </c>
      <c r="L271" t="n">
        <v>0</v>
      </c>
      <c r="M271" t="n">
        <v>0</v>
      </c>
      <c r="N271" t="n">
        <v>0</v>
      </c>
      <c r="O271" t="n">
        <v>0</v>
      </c>
      <c r="P271" t="n">
        <v>0</v>
      </c>
      <c r="Q271" t="n">
        <v>0</v>
      </c>
      <c r="R271" s="2" t="inlineStr"/>
    </row>
    <row r="272" ht="15" customHeight="1">
      <c r="A272" t="inlineStr">
        <is>
          <t>A 1477-2024</t>
        </is>
      </c>
      <c r="B272" s="1" t="n">
        <v>45305.37987268518</v>
      </c>
      <c r="C272" s="1" t="n">
        <v>45895</v>
      </c>
      <c r="D272" t="inlineStr">
        <is>
          <t>GOTLANDS LÄN</t>
        </is>
      </c>
      <c r="E272" t="inlineStr">
        <is>
          <t>GOTLAND</t>
        </is>
      </c>
      <c r="G272" t="n">
        <v>6.9</v>
      </c>
      <c r="H272" t="n">
        <v>0</v>
      </c>
      <c r="I272" t="n">
        <v>0</v>
      </c>
      <c r="J272" t="n">
        <v>0</v>
      </c>
      <c r="K272" t="n">
        <v>0</v>
      </c>
      <c r="L272" t="n">
        <v>0</v>
      </c>
      <c r="M272" t="n">
        <v>0</v>
      </c>
      <c r="N272" t="n">
        <v>0</v>
      </c>
      <c r="O272" t="n">
        <v>0</v>
      </c>
      <c r="P272" t="n">
        <v>0</v>
      </c>
      <c r="Q272" t="n">
        <v>0</v>
      </c>
      <c r="R272" s="2" t="inlineStr"/>
    </row>
    <row r="273" ht="15" customHeight="1">
      <c r="A273" t="inlineStr">
        <is>
          <t>A 1677-2023</t>
        </is>
      </c>
      <c r="B273" s="1" t="n">
        <v>44938</v>
      </c>
      <c r="C273" s="1" t="n">
        <v>45895</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21389-2025</t>
        </is>
      </c>
      <c r="B274" s="1" t="n">
        <v>45782</v>
      </c>
      <c r="C274" s="1" t="n">
        <v>45895</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48503-2023</t>
        </is>
      </c>
      <c r="B275" s="1" t="n">
        <v>45207</v>
      </c>
      <c r="C275" s="1" t="n">
        <v>45895</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45244-2024</t>
        </is>
      </c>
      <c r="B276" s="1" t="n">
        <v>45576</v>
      </c>
      <c r="C276" s="1" t="n">
        <v>45895</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65901-2021</t>
        </is>
      </c>
      <c r="B277" s="1" t="n">
        <v>44516</v>
      </c>
      <c r="C277" s="1" t="n">
        <v>45895</v>
      </c>
      <c r="D277" t="inlineStr">
        <is>
          <t>GOTLANDS LÄN</t>
        </is>
      </c>
      <c r="E277" t="inlineStr">
        <is>
          <t>GOTLAND</t>
        </is>
      </c>
      <c r="G277" t="n">
        <v>4.9</v>
      </c>
      <c r="H277" t="n">
        <v>0</v>
      </c>
      <c r="I277" t="n">
        <v>0</v>
      </c>
      <c r="J277" t="n">
        <v>0</v>
      </c>
      <c r="K277" t="n">
        <v>0</v>
      </c>
      <c r="L277" t="n">
        <v>0</v>
      </c>
      <c r="M277" t="n">
        <v>0</v>
      </c>
      <c r="N277" t="n">
        <v>0</v>
      </c>
      <c r="O277" t="n">
        <v>0</v>
      </c>
      <c r="P277" t="n">
        <v>0</v>
      </c>
      <c r="Q277" t="n">
        <v>0</v>
      </c>
      <c r="R277" s="2" t="inlineStr"/>
    </row>
    <row r="278" ht="15" customHeight="1">
      <c r="A278" t="inlineStr">
        <is>
          <t>A 21142-2025</t>
        </is>
      </c>
      <c r="B278" s="1" t="n">
        <v>45779</v>
      </c>
      <c r="C278" s="1" t="n">
        <v>45895</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21651-2025</t>
        </is>
      </c>
      <c r="B279" s="1" t="n">
        <v>45783</v>
      </c>
      <c r="C279" s="1" t="n">
        <v>45895</v>
      </c>
      <c r="D279" t="inlineStr">
        <is>
          <t>GOTLANDS LÄN</t>
        </is>
      </c>
      <c r="E279" t="inlineStr">
        <is>
          <t>GOTLAND</t>
        </is>
      </c>
      <c r="G279" t="n">
        <v>4.2</v>
      </c>
      <c r="H279" t="n">
        <v>0</v>
      </c>
      <c r="I279" t="n">
        <v>0</v>
      </c>
      <c r="J279" t="n">
        <v>0</v>
      </c>
      <c r="K279" t="n">
        <v>0</v>
      </c>
      <c r="L279" t="n">
        <v>0</v>
      </c>
      <c r="M279" t="n">
        <v>0</v>
      </c>
      <c r="N279" t="n">
        <v>0</v>
      </c>
      <c r="O279" t="n">
        <v>0</v>
      </c>
      <c r="P279" t="n">
        <v>0</v>
      </c>
      <c r="Q279" t="n">
        <v>0</v>
      </c>
      <c r="R279" s="2" t="inlineStr"/>
    </row>
    <row r="280" ht="15" customHeight="1">
      <c r="A280" t="inlineStr">
        <is>
          <t>A 8260-2023</t>
        </is>
      </c>
      <c r="B280" s="1" t="n">
        <v>44974.61608796296</v>
      </c>
      <c r="C280" s="1" t="n">
        <v>45895</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44649-2021</t>
        </is>
      </c>
      <c r="B281" s="1" t="n">
        <v>44437</v>
      </c>
      <c r="C281" s="1" t="n">
        <v>45895</v>
      </c>
      <c r="D281" t="inlineStr">
        <is>
          <t>GOTLANDS LÄN</t>
        </is>
      </c>
      <c r="E281" t="inlineStr">
        <is>
          <t>GOTLAND</t>
        </is>
      </c>
      <c r="G281" t="n">
        <v>8.1</v>
      </c>
      <c r="H281" t="n">
        <v>0</v>
      </c>
      <c r="I281" t="n">
        <v>0</v>
      </c>
      <c r="J281" t="n">
        <v>0</v>
      </c>
      <c r="K281" t="n">
        <v>0</v>
      </c>
      <c r="L281" t="n">
        <v>0</v>
      </c>
      <c r="M281" t="n">
        <v>0</v>
      </c>
      <c r="N281" t="n">
        <v>0</v>
      </c>
      <c r="O281" t="n">
        <v>0</v>
      </c>
      <c r="P281" t="n">
        <v>0</v>
      </c>
      <c r="Q281" t="n">
        <v>0</v>
      </c>
      <c r="R281" s="2" t="inlineStr"/>
    </row>
    <row r="282" ht="15" customHeight="1">
      <c r="A282" t="inlineStr">
        <is>
          <t>A 64969-2023</t>
        </is>
      </c>
      <c r="B282" s="1" t="n">
        <v>45284.54009259259</v>
      </c>
      <c r="C282" s="1" t="n">
        <v>45895</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48843-2024</t>
        </is>
      </c>
      <c r="B283" s="1" t="n">
        <v>45593</v>
      </c>
      <c r="C283" s="1" t="n">
        <v>45895</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17541-2024</t>
        </is>
      </c>
      <c r="B284" s="1" t="n">
        <v>45415</v>
      </c>
      <c r="C284" s="1" t="n">
        <v>45895</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9947-2024</t>
        </is>
      </c>
      <c r="B285" s="1" t="n">
        <v>45363</v>
      </c>
      <c r="C285" s="1" t="n">
        <v>45895</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44304-2021</t>
        </is>
      </c>
      <c r="B286" s="1" t="n">
        <v>44434</v>
      </c>
      <c r="C286" s="1" t="n">
        <v>45895</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2241-2025</t>
        </is>
      </c>
      <c r="B287" s="1" t="n">
        <v>45673.48710648148</v>
      </c>
      <c r="C287" s="1" t="n">
        <v>45895</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17682-2024</t>
        </is>
      </c>
      <c r="B288" s="1" t="n">
        <v>45418.42966435185</v>
      </c>
      <c r="C288" s="1" t="n">
        <v>45895</v>
      </c>
      <c r="D288" t="inlineStr">
        <is>
          <t>GOTLANDS LÄN</t>
        </is>
      </c>
      <c r="E288" t="inlineStr">
        <is>
          <t>GOTLAND</t>
        </is>
      </c>
      <c r="G288" t="n">
        <v>2.9</v>
      </c>
      <c r="H288" t="n">
        <v>0</v>
      </c>
      <c r="I288" t="n">
        <v>0</v>
      </c>
      <c r="J288" t="n">
        <v>0</v>
      </c>
      <c r="K288" t="n">
        <v>0</v>
      </c>
      <c r="L288" t="n">
        <v>0</v>
      </c>
      <c r="M288" t="n">
        <v>0</v>
      </c>
      <c r="N288" t="n">
        <v>0</v>
      </c>
      <c r="O288" t="n">
        <v>0</v>
      </c>
      <c r="P288" t="n">
        <v>0</v>
      </c>
      <c r="Q288" t="n">
        <v>0</v>
      </c>
      <c r="R288" s="2" t="inlineStr"/>
    </row>
    <row r="289" ht="15" customHeight="1">
      <c r="A289" t="inlineStr">
        <is>
          <t>A 57522-2022</t>
        </is>
      </c>
      <c r="B289" s="1" t="n">
        <v>44896</v>
      </c>
      <c r="C289" s="1" t="n">
        <v>45895</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32669-2024</t>
        </is>
      </c>
      <c r="B290" s="1" t="n">
        <v>45514</v>
      </c>
      <c r="C290" s="1" t="n">
        <v>45895</v>
      </c>
      <c r="D290" t="inlineStr">
        <is>
          <t>GOTLANDS LÄN</t>
        </is>
      </c>
      <c r="E290" t="inlineStr">
        <is>
          <t>GOTLAND</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27593-2023</t>
        </is>
      </c>
      <c r="B291" s="1" t="n">
        <v>45097</v>
      </c>
      <c r="C291" s="1" t="n">
        <v>45895</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15434-2024</t>
        </is>
      </c>
      <c r="B292" s="1" t="n">
        <v>45401.38836805556</v>
      </c>
      <c r="C292" s="1" t="n">
        <v>45895</v>
      </c>
      <c r="D292" t="inlineStr">
        <is>
          <t>GOTLANDS LÄN</t>
        </is>
      </c>
      <c r="E292" t="inlineStr">
        <is>
          <t>GOTLAND</t>
        </is>
      </c>
      <c r="G292" t="n">
        <v>2.5</v>
      </c>
      <c r="H292" t="n">
        <v>0</v>
      </c>
      <c r="I292" t="n">
        <v>0</v>
      </c>
      <c r="J292" t="n">
        <v>0</v>
      </c>
      <c r="K292" t="n">
        <v>0</v>
      </c>
      <c r="L292" t="n">
        <v>0</v>
      </c>
      <c r="M292" t="n">
        <v>0</v>
      </c>
      <c r="N292" t="n">
        <v>0</v>
      </c>
      <c r="O292" t="n">
        <v>0</v>
      </c>
      <c r="P292" t="n">
        <v>0</v>
      </c>
      <c r="Q292" t="n">
        <v>0</v>
      </c>
      <c r="R292" s="2" t="inlineStr"/>
    </row>
    <row r="293" ht="15" customHeight="1">
      <c r="A293" t="inlineStr">
        <is>
          <t>A 5943-2024</t>
        </is>
      </c>
      <c r="B293" s="1" t="n">
        <v>45336</v>
      </c>
      <c r="C293" s="1" t="n">
        <v>45895</v>
      </c>
      <c r="D293" t="inlineStr">
        <is>
          <t>GOTLANDS LÄN</t>
        </is>
      </c>
      <c r="E293" t="inlineStr">
        <is>
          <t>GOTLAND</t>
        </is>
      </c>
      <c r="G293" t="n">
        <v>4.3</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45895</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45895</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45895</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63516-2023</t>
        </is>
      </c>
      <c r="B297" s="1" t="n">
        <v>45274</v>
      </c>
      <c r="C297" s="1" t="n">
        <v>45895</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34142-2024</t>
        </is>
      </c>
      <c r="B298" s="1" t="n">
        <v>45524.36521990741</v>
      </c>
      <c r="C298" s="1" t="n">
        <v>45895</v>
      </c>
      <c r="D298" t="inlineStr">
        <is>
          <t>GOTLANDS LÄN</t>
        </is>
      </c>
      <c r="E298" t="inlineStr">
        <is>
          <t>GOTLAND</t>
        </is>
      </c>
      <c r="G298" t="n">
        <v>6</v>
      </c>
      <c r="H298" t="n">
        <v>0</v>
      </c>
      <c r="I298" t="n">
        <v>0</v>
      </c>
      <c r="J298" t="n">
        <v>0</v>
      </c>
      <c r="K298" t="n">
        <v>0</v>
      </c>
      <c r="L298" t="n">
        <v>0</v>
      </c>
      <c r="M298" t="n">
        <v>0</v>
      </c>
      <c r="N298" t="n">
        <v>0</v>
      </c>
      <c r="O298" t="n">
        <v>0</v>
      </c>
      <c r="P298" t="n">
        <v>0</v>
      </c>
      <c r="Q298" t="n">
        <v>0</v>
      </c>
      <c r="R298" s="2" t="inlineStr"/>
    </row>
    <row r="299" ht="15" customHeight="1">
      <c r="A299" t="inlineStr">
        <is>
          <t>A 14427-2024</t>
        </is>
      </c>
      <c r="B299" s="1" t="n">
        <v>45394</v>
      </c>
      <c r="C299" s="1" t="n">
        <v>45895</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57356-2023</t>
        </is>
      </c>
      <c r="B300" s="1" t="n">
        <v>45240</v>
      </c>
      <c r="C300" s="1" t="n">
        <v>45895</v>
      </c>
      <c r="D300" t="inlineStr">
        <is>
          <t>GOTLANDS LÄN</t>
        </is>
      </c>
      <c r="E300" t="inlineStr">
        <is>
          <t>GOTLAND</t>
        </is>
      </c>
      <c r="G300" t="n">
        <v>6.4</v>
      </c>
      <c r="H300" t="n">
        <v>0</v>
      </c>
      <c r="I300" t="n">
        <v>0</v>
      </c>
      <c r="J300" t="n">
        <v>0</v>
      </c>
      <c r="K300" t="n">
        <v>0</v>
      </c>
      <c r="L300" t="n">
        <v>0</v>
      </c>
      <c r="M300" t="n">
        <v>0</v>
      </c>
      <c r="N300" t="n">
        <v>0</v>
      </c>
      <c r="O300" t="n">
        <v>0</v>
      </c>
      <c r="P300" t="n">
        <v>0</v>
      </c>
      <c r="Q300" t="n">
        <v>0</v>
      </c>
      <c r="R300" s="2" t="inlineStr"/>
    </row>
    <row r="301" ht="15" customHeight="1">
      <c r="A301" t="inlineStr">
        <is>
          <t>A 10656-2024</t>
        </is>
      </c>
      <c r="B301" s="1" t="n">
        <v>45368</v>
      </c>
      <c r="C301" s="1" t="n">
        <v>45895</v>
      </c>
      <c r="D301" t="inlineStr">
        <is>
          <t>GOTLANDS LÄN</t>
        </is>
      </c>
      <c r="E301" t="inlineStr">
        <is>
          <t>GOTLAND</t>
        </is>
      </c>
      <c r="G301" t="n">
        <v>1.5</v>
      </c>
      <c r="H301" t="n">
        <v>0</v>
      </c>
      <c r="I301" t="n">
        <v>0</v>
      </c>
      <c r="J301" t="n">
        <v>0</v>
      </c>
      <c r="K301" t="n">
        <v>0</v>
      </c>
      <c r="L301" t="n">
        <v>0</v>
      </c>
      <c r="M301" t="n">
        <v>0</v>
      </c>
      <c r="N301" t="n">
        <v>0</v>
      </c>
      <c r="O301" t="n">
        <v>0</v>
      </c>
      <c r="P301" t="n">
        <v>0</v>
      </c>
      <c r="Q301" t="n">
        <v>0</v>
      </c>
      <c r="R301" s="2" t="inlineStr"/>
    </row>
    <row r="302" ht="15" customHeight="1">
      <c r="A302" t="inlineStr">
        <is>
          <t>A 31802-2024</t>
        </is>
      </c>
      <c r="B302" s="1" t="n">
        <v>45509</v>
      </c>
      <c r="C302" s="1" t="n">
        <v>45895</v>
      </c>
      <c r="D302" t="inlineStr">
        <is>
          <t>GOTLANDS LÄN</t>
        </is>
      </c>
      <c r="E302" t="inlineStr">
        <is>
          <t>GOTLAND</t>
        </is>
      </c>
      <c r="G302" t="n">
        <v>2.8</v>
      </c>
      <c r="H302" t="n">
        <v>0</v>
      </c>
      <c r="I302" t="n">
        <v>0</v>
      </c>
      <c r="J302" t="n">
        <v>0</v>
      </c>
      <c r="K302" t="n">
        <v>0</v>
      </c>
      <c r="L302" t="n">
        <v>0</v>
      </c>
      <c r="M302" t="n">
        <v>0</v>
      </c>
      <c r="N302" t="n">
        <v>0</v>
      </c>
      <c r="O302" t="n">
        <v>0</v>
      </c>
      <c r="P302" t="n">
        <v>0</v>
      </c>
      <c r="Q302" t="n">
        <v>0</v>
      </c>
      <c r="R302" s="2" t="inlineStr"/>
    </row>
    <row r="303" ht="15" customHeight="1">
      <c r="A303" t="inlineStr">
        <is>
          <t>A 8684-2025</t>
        </is>
      </c>
      <c r="B303" s="1" t="n">
        <v>45712.45605324074</v>
      </c>
      <c r="C303" s="1" t="n">
        <v>45895</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28506-2023</t>
        </is>
      </c>
      <c r="B304" s="1" t="n">
        <v>45103</v>
      </c>
      <c r="C304" s="1" t="n">
        <v>45895</v>
      </c>
      <c r="D304" t="inlineStr">
        <is>
          <t>GOTLANDS LÄN</t>
        </is>
      </c>
      <c r="E304" t="inlineStr">
        <is>
          <t>GOTLAND</t>
        </is>
      </c>
      <c r="G304" t="n">
        <v>3.2</v>
      </c>
      <c r="H304" t="n">
        <v>0</v>
      </c>
      <c r="I304" t="n">
        <v>0</v>
      </c>
      <c r="J304" t="n">
        <v>0</v>
      </c>
      <c r="K304" t="n">
        <v>0</v>
      </c>
      <c r="L304" t="n">
        <v>0</v>
      </c>
      <c r="M304" t="n">
        <v>0</v>
      </c>
      <c r="N304" t="n">
        <v>0</v>
      </c>
      <c r="O304" t="n">
        <v>0</v>
      </c>
      <c r="P304" t="n">
        <v>0</v>
      </c>
      <c r="Q304" t="n">
        <v>0</v>
      </c>
      <c r="R304" s="2" t="inlineStr"/>
    </row>
    <row r="305" ht="15" customHeight="1">
      <c r="A305" t="inlineStr">
        <is>
          <t>A 21420-2024</t>
        </is>
      </c>
      <c r="B305" s="1" t="n">
        <v>45441.38293981482</v>
      </c>
      <c r="C305" s="1" t="n">
        <v>45895</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8036-2022</t>
        </is>
      </c>
      <c r="B306" s="1" t="n">
        <v>44609.44362268518</v>
      </c>
      <c r="C306" s="1" t="n">
        <v>45895</v>
      </c>
      <c r="D306" t="inlineStr">
        <is>
          <t>GOTLANDS LÄN</t>
        </is>
      </c>
      <c r="E306" t="inlineStr">
        <is>
          <t>GOTLAND</t>
        </is>
      </c>
      <c r="G306" t="n">
        <v>6.1</v>
      </c>
      <c r="H306" t="n">
        <v>0</v>
      </c>
      <c r="I306" t="n">
        <v>0</v>
      </c>
      <c r="J306" t="n">
        <v>0</v>
      </c>
      <c r="K306" t="n">
        <v>0</v>
      </c>
      <c r="L306" t="n">
        <v>0</v>
      </c>
      <c r="M306" t="n">
        <v>0</v>
      </c>
      <c r="N306" t="n">
        <v>0</v>
      </c>
      <c r="O306" t="n">
        <v>0</v>
      </c>
      <c r="P306" t="n">
        <v>0</v>
      </c>
      <c r="Q306" t="n">
        <v>0</v>
      </c>
      <c r="R306" s="2" t="inlineStr"/>
    </row>
    <row r="307" ht="15" customHeight="1">
      <c r="A307" t="inlineStr">
        <is>
          <t>A 12846-2025</t>
        </is>
      </c>
      <c r="B307" s="1" t="n">
        <v>45733.65049768519</v>
      </c>
      <c r="C307" s="1" t="n">
        <v>45895</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24001-2021</t>
        </is>
      </c>
      <c r="B308" s="1" t="n">
        <v>44335</v>
      </c>
      <c r="C308" s="1" t="n">
        <v>45895</v>
      </c>
      <c r="D308" t="inlineStr">
        <is>
          <t>GOTLANDS LÄN</t>
        </is>
      </c>
      <c r="E308" t="inlineStr">
        <is>
          <t>GOTLAND</t>
        </is>
      </c>
      <c r="G308" t="n">
        <v>3.4</v>
      </c>
      <c r="H308" t="n">
        <v>0</v>
      </c>
      <c r="I308" t="n">
        <v>0</v>
      </c>
      <c r="J308" t="n">
        <v>0</v>
      </c>
      <c r="K308" t="n">
        <v>0</v>
      </c>
      <c r="L308" t="n">
        <v>0</v>
      </c>
      <c r="M308" t="n">
        <v>0</v>
      </c>
      <c r="N308" t="n">
        <v>0</v>
      </c>
      <c r="O308" t="n">
        <v>0</v>
      </c>
      <c r="P308" t="n">
        <v>0</v>
      </c>
      <c r="Q308" t="n">
        <v>0</v>
      </c>
      <c r="R308" s="2" t="inlineStr"/>
    </row>
    <row r="309" ht="15" customHeight="1">
      <c r="A309" t="inlineStr">
        <is>
          <t>A 23188-2025</t>
        </is>
      </c>
      <c r="B309" s="1" t="n">
        <v>45791</v>
      </c>
      <c r="C309" s="1" t="n">
        <v>45895</v>
      </c>
      <c r="D309" t="inlineStr">
        <is>
          <t>GOTLANDS LÄN</t>
        </is>
      </c>
      <c r="E309" t="inlineStr">
        <is>
          <t>GOTLAND</t>
        </is>
      </c>
      <c r="G309" t="n">
        <v>6.2</v>
      </c>
      <c r="H309" t="n">
        <v>0</v>
      </c>
      <c r="I309" t="n">
        <v>0</v>
      </c>
      <c r="J309" t="n">
        <v>0</v>
      </c>
      <c r="K309" t="n">
        <v>0</v>
      </c>
      <c r="L309" t="n">
        <v>0</v>
      </c>
      <c r="M309" t="n">
        <v>0</v>
      </c>
      <c r="N309" t="n">
        <v>0</v>
      </c>
      <c r="O309" t="n">
        <v>0</v>
      </c>
      <c r="P309" t="n">
        <v>0</v>
      </c>
      <c r="Q309" t="n">
        <v>0</v>
      </c>
      <c r="R309" s="2" t="inlineStr"/>
    </row>
    <row r="310" ht="15" customHeight="1">
      <c r="A310" t="inlineStr">
        <is>
          <t>A 46949-2024</t>
        </is>
      </c>
      <c r="B310" s="1" t="n">
        <v>45585</v>
      </c>
      <c r="C310" s="1" t="n">
        <v>45895</v>
      </c>
      <c r="D310" t="inlineStr">
        <is>
          <t>GOTLANDS LÄN</t>
        </is>
      </c>
      <c r="E310" t="inlineStr">
        <is>
          <t>GOTLAND</t>
        </is>
      </c>
      <c r="G310" t="n">
        <v>0.6</v>
      </c>
      <c r="H310" t="n">
        <v>0</v>
      </c>
      <c r="I310" t="n">
        <v>0</v>
      </c>
      <c r="J310" t="n">
        <v>0</v>
      </c>
      <c r="K310" t="n">
        <v>0</v>
      </c>
      <c r="L310" t="n">
        <v>0</v>
      </c>
      <c r="M310" t="n">
        <v>0</v>
      </c>
      <c r="N310" t="n">
        <v>0</v>
      </c>
      <c r="O310" t="n">
        <v>0</v>
      </c>
      <c r="P310" t="n">
        <v>0</v>
      </c>
      <c r="Q310" t="n">
        <v>0</v>
      </c>
      <c r="R310" s="2" t="inlineStr"/>
    </row>
    <row r="311" ht="15" customHeight="1">
      <c r="A311" t="inlineStr">
        <is>
          <t>A 30365-2024</t>
        </is>
      </c>
      <c r="B311" s="1" t="n">
        <v>45491.3716087963</v>
      </c>
      <c r="C311" s="1" t="n">
        <v>45895</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1681-2023</t>
        </is>
      </c>
      <c r="B312" s="1" t="n">
        <v>44938.39715277778</v>
      </c>
      <c r="C312" s="1" t="n">
        <v>45895</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10650-2022</t>
        </is>
      </c>
      <c r="B313" s="1" t="n">
        <v>44624.57945601852</v>
      </c>
      <c r="C313" s="1" t="n">
        <v>45895</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23473-2025</t>
        </is>
      </c>
      <c r="B314" s="1" t="n">
        <v>45792</v>
      </c>
      <c r="C314" s="1" t="n">
        <v>45895</v>
      </c>
      <c r="D314" t="inlineStr">
        <is>
          <t>GOTLANDS LÄN</t>
        </is>
      </c>
      <c r="E314" t="inlineStr">
        <is>
          <t>GOTLAND</t>
        </is>
      </c>
      <c r="G314" t="n">
        <v>3.6</v>
      </c>
      <c r="H314" t="n">
        <v>0</v>
      </c>
      <c r="I314" t="n">
        <v>0</v>
      </c>
      <c r="J314" t="n">
        <v>0</v>
      </c>
      <c r="K314" t="n">
        <v>0</v>
      </c>
      <c r="L314" t="n">
        <v>0</v>
      </c>
      <c r="M314" t="n">
        <v>0</v>
      </c>
      <c r="N314" t="n">
        <v>0</v>
      </c>
      <c r="O314" t="n">
        <v>0</v>
      </c>
      <c r="P314" t="n">
        <v>0</v>
      </c>
      <c r="Q314" t="n">
        <v>0</v>
      </c>
      <c r="R314" s="2" t="inlineStr"/>
    </row>
    <row r="315" ht="15" customHeight="1">
      <c r="A315" t="inlineStr">
        <is>
          <t>A 6099-2024</t>
        </is>
      </c>
      <c r="B315" s="1" t="n">
        <v>45337</v>
      </c>
      <c r="C315" s="1" t="n">
        <v>45895</v>
      </c>
      <c r="D315" t="inlineStr">
        <is>
          <t>GOTLANDS LÄN</t>
        </is>
      </c>
      <c r="E315" t="inlineStr">
        <is>
          <t>GOTLAND</t>
        </is>
      </c>
      <c r="G315" t="n">
        <v>12.6</v>
      </c>
      <c r="H315" t="n">
        <v>0</v>
      </c>
      <c r="I315" t="n">
        <v>0</v>
      </c>
      <c r="J315" t="n">
        <v>0</v>
      </c>
      <c r="K315" t="n">
        <v>0</v>
      </c>
      <c r="L315" t="n">
        <v>0</v>
      </c>
      <c r="M315" t="n">
        <v>0</v>
      </c>
      <c r="N315" t="n">
        <v>0</v>
      </c>
      <c r="O315" t="n">
        <v>0</v>
      </c>
      <c r="P315" t="n">
        <v>0</v>
      </c>
      <c r="Q315" t="n">
        <v>0</v>
      </c>
      <c r="R315" s="2" t="inlineStr"/>
    </row>
    <row r="316" ht="15" customHeight="1">
      <c r="A316" t="inlineStr">
        <is>
          <t>A 1273-2023</t>
        </is>
      </c>
      <c r="B316" s="1" t="n">
        <v>44936</v>
      </c>
      <c r="C316" s="1" t="n">
        <v>45895</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23856-2025</t>
        </is>
      </c>
      <c r="B317" s="1" t="n">
        <v>45793</v>
      </c>
      <c r="C317" s="1" t="n">
        <v>45895</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23700-2025</t>
        </is>
      </c>
      <c r="B318" s="1" t="n">
        <v>45793</v>
      </c>
      <c r="C318" s="1" t="n">
        <v>45895</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58780-2024</t>
        </is>
      </c>
      <c r="B319" s="1" t="n">
        <v>45635.84113425926</v>
      </c>
      <c r="C319" s="1" t="n">
        <v>45895</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15073-2025</t>
        </is>
      </c>
      <c r="B320" s="1" t="n">
        <v>45743</v>
      </c>
      <c r="C320" s="1" t="n">
        <v>45895</v>
      </c>
      <c r="D320" t="inlineStr">
        <is>
          <t>GOTLANDS LÄN</t>
        </is>
      </c>
      <c r="E320" t="inlineStr">
        <is>
          <t>GOTLAND</t>
        </is>
      </c>
      <c r="G320" t="n">
        <v>12.1</v>
      </c>
      <c r="H320" t="n">
        <v>0</v>
      </c>
      <c r="I320" t="n">
        <v>0</v>
      </c>
      <c r="J320" t="n">
        <v>0</v>
      </c>
      <c r="K320" t="n">
        <v>0</v>
      </c>
      <c r="L320" t="n">
        <v>0</v>
      </c>
      <c r="M320" t="n">
        <v>0</v>
      </c>
      <c r="N320" t="n">
        <v>0</v>
      </c>
      <c r="O320" t="n">
        <v>0</v>
      </c>
      <c r="P320" t="n">
        <v>0</v>
      </c>
      <c r="Q320" t="n">
        <v>0</v>
      </c>
      <c r="R320" s="2" t="inlineStr"/>
    </row>
    <row r="321" ht="15" customHeight="1">
      <c r="A321" t="inlineStr">
        <is>
          <t>A 45692-2023</t>
        </is>
      </c>
      <c r="B321" s="1" t="n">
        <v>45195</v>
      </c>
      <c r="C321" s="1" t="n">
        <v>45895</v>
      </c>
      <c r="D321" t="inlineStr">
        <is>
          <t>GOTLANDS LÄN</t>
        </is>
      </c>
      <c r="E321" t="inlineStr">
        <is>
          <t>GOTLAND</t>
        </is>
      </c>
      <c r="G321" t="n">
        <v>5.3</v>
      </c>
      <c r="H321" t="n">
        <v>0</v>
      </c>
      <c r="I321" t="n">
        <v>0</v>
      </c>
      <c r="J321" t="n">
        <v>0</v>
      </c>
      <c r="K321" t="n">
        <v>0</v>
      </c>
      <c r="L321" t="n">
        <v>0</v>
      </c>
      <c r="M321" t="n">
        <v>0</v>
      </c>
      <c r="N321" t="n">
        <v>0</v>
      </c>
      <c r="O321" t="n">
        <v>0</v>
      </c>
      <c r="P321" t="n">
        <v>0</v>
      </c>
      <c r="Q321" t="n">
        <v>0</v>
      </c>
      <c r="R321" s="2" t="inlineStr"/>
    </row>
    <row r="322" ht="15" customHeight="1">
      <c r="A322" t="inlineStr">
        <is>
          <t>A 33876-2024</t>
        </is>
      </c>
      <c r="B322" s="1" t="n">
        <v>45521.87988425926</v>
      </c>
      <c r="C322" s="1" t="n">
        <v>45895</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46778-2020</t>
        </is>
      </c>
      <c r="B323" s="1" t="n">
        <v>44096</v>
      </c>
      <c r="C323" s="1" t="n">
        <v>45895</v>
      </c>
      <c r="D323" t="inlineStr">
        <is>
          <t>GOTLANDS LÄN</t>
        </is>
      </c>
      <c r="E323" t="inlineStr">
        <is>
          <t>GOTLAND</t>
        </is>
      </c>
      <c r="G323" t="n">
        <v>2.3</v>
      </c>
      <c r="H323" t="n">
        <v>0</v>
      </c>
      <c r="I323" t="n">
        <v>0</v>
      </c>
      <c r="J323" t="n">
        <v>0</v>
      </c>
      <c r="K323" t="n">
        <v>0</v>
      </c>
      <c r="L323" t="n">
        <v>0</v>
      </c>
      <c r="M323" t="n">
        <v>0</v>
      </c>
      <c r="N323" t="n">
        <v>0</v>
      </c>
      <c r="O323" t="n">
        <v>0</v>
      </c>
      <c r="P323" t="n">
        <v>0</v>
      </c>
      <c r="Q323" t="n">
        <v>0</v>
      </c>
      <c r="R323" s="2" t="inlineStr"/>
    </row>
    <row r="324" ht="15" customHeight="1">
      <c r="A324" t="inlineStr">
        <is>
          <t>A 11634-2024</t>
        </is>
      </c>
      <c r="B324" s="1" t="n">
        <v>45373</v>
      </c>
      <c r="C324" s="1" t="n">
        <v>45895</v>
      </c>
      <c r="D324" t="inlineStr">
        <is>
          <t>GOTLANDS LÄN</t>
        </is>
      </c>
      <c r="E324" t="inlineStr">
        <is>
          <t>GOTLAND</t>
        </is>
      </c>
      <c r="G324" t="n">
        <v>3</v>
      </c>
      <c r="H324" t="n">
        <v>0</v>
      </c>
      <c r="I324" t="n">
        <v>0</v>
      </c>
      <c r="J324" t="n">
        <v>0</v>
      </c>
      <c r="K324" t="n">
        <v>0</v>
      </c>
      <c r="L324" t="n">
        <v>0</v>
      </c>
      <c r="M324" t="n">
        <v>0</v>
      </c>
      <c r="N324" t="n">
        <v>0</v>
      </c>
      <c r="O324" t="n">
        <v>0</v>
      </c>
      <c r="P324" t="n">
        <v>0</v>
      </c>
      <c r="Q324" t="n">
        <v>0</v>
      </c>
      <c r="R324" s="2" t="inlineStr"/>
    </row>
    <row r="325" ht="15" customHeight="1">
      <c r="A325" t="inlineStr">
        <is>
          <t>A 1351-2025</t>
        </is>
      </c>
      <c r="B325" s="1" t="n">
        <v>45667.62246527777</v>
      </c>
      <c r="C325" s="1" t="n">
        <v>45895</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6749-2025</t>
        </is>
      </c>
      <c r="B326" s="1" t="n">
        <v>45700</v>
      </c>
      <c r="C326" s="1" t="n">
        <v>45895</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39496-2022</t>
        </is>
      </c>
      <c r="B327" s="1" t="n">
        <v>44818</v>
      </c>
      <c r="C327" s="1" t="n">
        <v>45895</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28285-2024</t>
        </is>
      </c>
      <c r="B328" s="1" t="n">
        <v>45477</v>
      </c>
      <c r="C328" s="1" t="n">
        <v>45895</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61100-2022</t>
        </is>
      </c>
      <c r="B329" s="1" t="n">
        <v>44915</v>
      </c>
      <c r="C329" s="1" t="n">
        <v>45895</v>
      </c>
      <c r="D329" t="inlineStr">
        <is>
          <t>GOTLANDS LÄN</t>
        </is>
      </c>
      <c r="E329" t="inlineStr">
        <is>
          <t>GOTLAND</t>
        </is>
      </c>
      <c r="G329" t="n">
        <v>1.4</v>
      </c>
      <c r="H329" t="n">
        <v>0</v>
      </c>
      <c r="I329" t="n">
        <v>0</v>
      </c>
      <c r="J329" t="n">
        <v>0</v>
      </c>
      <c r="K329" t="n">
        <v>0</v>
      </c>
      <c r="L329" t="n">
        <v>0</v>
      </c>
      <c r="M329" t="n">
        <v>0</v>
      </c>
      <c r="N329" t="n">
        <v>0</v>
      </c>
      <c r="O329" t="n">
        <v>0</v>
      </c>
      <c r="P329" t="n">
        <v>0</v>
      </c>
      <c r="Q329" t="n">
        <v>0</v>
      </c>
      <c r="R329" s="2" t="inlineStr"/>
    </row>
    <row r="330" ht="15" customHeight="1">
      <c r="A330" t="inlineStr">
        <is>
          <t>A 49874-2024</t>
        </is>
      </c>
      <c r="B330" s="1" t="n">
        <v>45597.49274305555</v>
      </c>
      <c r="C330" s="1" t="n">
        <v>45895</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3930-2025</t>
        </is>
      </c>
      <c r="B331" s="1" t="n">
        <v>45684.45427083333</v>
      </c>
      <c r="C331" s="1" t="n">
        <v>45895</v>
      </c>
      <c r="D331" t="inlineStr">
        <is>
          <t>GOTLANDS LÄN</t>
        </is>
      </c>
      <c r="E331" t="inlineStr">
        <is>
          <t>GOTLAND</t>
        </is>
      </c>
      <c r="G331" t="n">
        <v>5.2</v>
      </c>
      <c r="H331" t="n">
        <v>0</v>
      </c>
      <c r="I331" t="n">
        <v>0</v>
      </c>
      <c r="J331" t="n">
        <v>0</v>
      </c>
      <c r="K331" t="n">
        <v>0</v>
      </c>
      <c r="L331" t="n">
        <v>0</v>
      </c>
      <c r="M331" t="n">
        <v>0</v>
      </c>
      <c r="N331" t="n">
        <v>0</v>
      </c>
      <c r="O331" t="n">
        <v>0</v>
      </c>
      <c r="P331" t="n">
        <v>0</v>
      </c>
      <c r="Q331" t="n">
        <v>0</v>
      </c>
      <c r="R331" s="2" t="inlineStr"/>
    </row>
    <row r="332" ht="15" customHeight="1">
      <c r="A332" t="inlineStr">
        <is>
          <t>A 15075-2025</t>
        </is>
      </c>
      <c r="B332" s="1" t="n">
        <v>45743</v>
      </c>
      <c r="C332" s="1" t="n">
        <v>45895</v>
      </c>
      <c r="D332" t="inlineStr">
        <is>
          <t>GOTLANDS LÄN</t>
        </is>
      </c>
      <c r="E332" t="inlineStr">
        <is>
          <t>GOTLAND</t>
        </is>
      </c>
      <c r="G332" t="n">
        <v>20.9</v>
      </c>
      <c r="H332" t="n">
        <v>0</v>
      </c>
      <c r="I332" t="n">
        <v>0</v>
      </c>
      <c r="J332" t="n">
        <v>0</v>
      </c>
      <c r="K332" t="n">
        <v>0</v>
      </c>
      <c r="L332" t="n">
        <v>0</v>
      </c>
      <c r="M332" t="n">
        <v>0</v>
      </c>
      <c r="N332" t="n">
        <v>0</v>
      </c>
      <c r="O332" t="n">
        <v>0</v>
      </c>
      <c r="P332" t="n">
        <v>0</v>
      </c>
      <c r="Q332" t="n">
        <v>0</v>
      </c>
      <c r="R332" s="2" t="inlineStr"/>
    </row>
    <row r="333" ht="15" customHeight="1">
      <c r="A333" t="inlineStr">
        <is>
          <t>A 61682-2024</t>
        </is>
      </c>
      <c r="B333" s="1" t="n">
        <v>45647.48824074074</v>
      </c>
      <c r="C333" s="1" t="n">
        <v>45895</v>
      </c>
      <c r="D333" t="inlineStr">
        <is>
          <t>GOTLANDS LÄN</t>
        </is>
      </c>
      <c r="E333" t="inlineStr">
        <is>
          <t>GOTLAND</t>
        </is>
      </c>
      <c r="G333" t="n">
        <v>1.9</v>
      </c>
      <c r="H333" t="n">
        <v>0</v>
      </c>
      <c r="I333" t="n">
        <v>0</v>
      </c>
      <c r="J333" t="n">
        <v>0</v>
      </c>
      <c r="K333" t="n">
        <v>0</v>
      </c>
      <c r="L333" t="n">
        <v>0</v>
      </c>
      <c r="M333" t="n">
        <v>0</v>
      </c>
      <c r="N333" t="n">
        <v>0</v>
      </c>
      <c r="O333" t="n">
        <v>0</v>
      </c>
      <c r="P333" t="n">
        <v>0</v>
      </c>
      <c r="Q333" t="n">
        <v>0</v>
      </c>
      <c r="R333" s="2" t="inlineStr"/>
    </row>
    <row r="334" ht="15" customHeight="1">
      <c r="A334" t="inlineStr">
        <is>
          <t>A 23698-2025</t>
        </is>
      </c>
      <c r="B334" s="1" t="n">
        <v>45793</v>
      </c>
      <c r="C334" s="1" t="n">
        <v>45895</v>
      </c>
      <c r="D334" t="inlineStr">
        <is>
          <t>GOTLANDS LÄN</t>
        </is>
      </c>
      <c r="E334" t="inlineStr">
        <is>
          <t>GOTLAND</t>
        </is>
      </c>
      <c r="G334" t="n">
        <v>0.8</v>
      </c>
      <c r="H334" t="n">
        <v>0</v>
      </c>
      <c r="I334" t="n">
        <v>0</v>
      </c>
      <c r="J334" t="n">
        <v>0</v>
      </c>
      <c r="K334" t="n">
        <v>0</v>
      </c>
      <c r="L334" t="n">
        <v>0</v>
      </c>
      <c r="M334" t="n">
        <v>0</v>
      </c>
      <c r="N334" t="n">
        <v>0</v>
      </c>
      <c r="O334" t="n">
        <v>0</v>
      </c>
      <c r="P334" t="n">
        <v>0</v>
      </c>
      <c r="Q334" t="n">
        <v>0</v>
      </c>
      <c r="R334" s="2" t="inlineStr"/>
    </row>
    <row r="335" ht="15" customHeight="1">
      <c r="A335" t="inlineStr">
        <is>
          <t>A 42201-2023</t>
        </is>
      </c>
      <c r="B335" s="1" t="n">
        <v>45179</v>
      </c>
      <c r="C335" s="1" t="n">
        <v>45895</v>
      </c>
      <c r="D335" t="inlineStr">
        <is>
          <t>GOTLANDS LÄN</t>
        </is>
      </c>
      <c r="E335" t="inlineStr">
        <is>
          <t>GOTLAND</t>
        </is>
      </c>
      <c r="G335" t="n">
        <v>11.9</v>
      </c>
      <c r="H335" t="n">
        <v>0</v>
      </c>
      <c r="I335" t="n">
        <v>0</v>
      </c>
      <c r="J335" t="n">
        <v>0</v>
      </c>
      <c r="K335" t="n">
        <v>0</v>
      </c>
      <c r="L335" t="n">
        <v>0</v>
      </c>
      <c r="M335" t="n">
        <v>0</v>
      </c>
      <c r="N335" t="n">
        <v>0</v>
      </c>
      <c r="O335" t="n">
        <v>0</v>
      </c>
      <c r="P335" t="n">
        <v>0</v>
      </c>
      <c r="Q335" t="n">
        <v>0</v>
      </c>
      <c r="R335" s="2" t="inlineStr"/>
    </row>
    <row r="336" ht="15" customHeight="1">
      <c r="A336" t="inlineStr">
        <is>
          <t>A 43785-2024</t>
        </is>
      </c>
      <c r="B336" s="1" t="n">
        <v>45570</v>
      </c>
      <c r="C336" s="1" t="n">
        <v>45895</v>
      </c>
      <c r="D336" t="inlineStr">
        <is>
          <t>GOTLANDS LÄN</t>
        </is>
      </c>
      <c r="E336" t="inlineStr">
        <is>
          <t>GOTLAND</t>
        </is>
      </c>
      <c r="G336" t="n">
        <v>12.6</v>
      </c>
      <c r="H336" t="n">
        <v>0</v>
      </c>
      <c r="I336" t="n">
        <v>0</v>
      </c>
      <c r="J336" t="n">
        <v>0</v>
      </c>
      <c r="K336" t="n">
        <v>0</v>
      </c>
      <c r="L336" t="n">
        <v>0</v>
      </c>
      <c r="M336" t="n">
        <v>0</v>
      </c>
      <c r="N336" t="n">
        <v>0</v>
      </c>
      <c r="O336" t="n">
        <v>0</v>
      </c>
      <c r="P336" t="n">
        <v>0</v>
      </c>
      <c r="Q336" t="n">
        <v>0</v>
      </c>
      <c r="R336" s="2" t="inlineStr"/>
    </row>
    <row r="337" ht="15" customHeight="1">
      <c r="A337" t="inlineStr">
        <is>
          <t>A 46400-2023</t>
        </is>
      </c>
      <c r="B337" s="1" t="n">
        <v>45197.49290509259</v>
      </c>
      <c r="C337" s="1" t="n">
        <v>45895</v>
      </c>
      <c r="D337" t="inlineStr">
        <is>
          <t>GOTLANDS LÄN</t>
        </is>
      </c>
      <c r="E337" t="inlineStr">
        <is>
          <t>GOTLAND</t>
        </is>
      </c>
      <c r="G337" t="n">
        <v>0.8</v>
      </c>
      <c r="H337" t="n">
        <v>0</v>
      </c>
      <c r="I337" t="n">
        <v>0</v>
      </c>
      <c r="J337" t="n">
        <v>0</v>
      </c>
      <c r="K337" t="n">
        <v>0</v>
      </c>
      <c r="L337" t="n">
        <v>0</v>
      </c>
      <c r="M337" t="n">
        <v>0</v>
      </c>
      <c r="N337" t="n">
        <v>0</v>
      </c>
      <c r="O337" t="n">
        <v>0</v>
      </c>
      <c r="P337" t="n">
        <v>0</v>
      </c>
      <c r="Q337" t="n">
        <v>0</v>
      </c>
      <c r="R337" s="2" t="inlineStr"/>
    </row>
    <row r="338" ht="15" customHeight="1">
      <c r="A338" t="inlineStr">
        <is>
          <t>A 9875-2025</t>
        </is>
      </c>
      <c r="B338" s="1" t="n">
        <v>45716</v>
      </c>
      <c r="C338" s="1" t="n">
        <v>45895</v>
      </c>
      <c r="D338" t="inlineStr">
        <is>
          <t>GOTLANDS LÄN</t>
        </is>
      </c>
      <c r="E338" t="inlineStr">
        <is>
          <t>GOTLAND</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19002-2025</t>
        </is>
      </c>
      <c r="B339" s="1" t="n">
        <v>45764</v>
      </c>
      <c r="C339" s="1" t="n">
        <v>45895</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21164-2024</t>
        </is>
      </c>
      <c r="B340" s="1" t="n">
        <v>45440</v>
      </c>
      <c r="C340" s="1" t="n">
        <v>45895</v>
      </c>
      <c r="D340" t="inlineStr">
        <is>
          <t>GOTLANDS LÄN</t>
        </is>
      </c>
      <c r="E340" t="inlineStr">
        <is>
          <t>GOTLAND</t>
        </is>
      </c>
      <c r="G340" t="n">
        <v>6.3</v>
      </c>
      <c r="H340" t="n">
        <v>0</v>
      </c>
      <c r="I340" t="n">
        <v>0</v>
      </c>
      <c r="J340" t="n">
        <v>0</v>
      </c>
      <c r="K340" t="n">
        <v>0</v>
      </c>
      <c r="L340" t="n">
        <v>0</v>
      </c>
      <c r="M340" t="n">
        <v>0</v>
      </c>
      <c r="N340" t="n">
        <v>0</v>
      </c>
      <c r="O340" t="n">
        <v>0</v>
      </c>
      <c r="P340" t="n">
        <v>0</v>
      </c>
      <c r="Q340" t="n">
        <v>0</v>
      </c>
      <c r="R340" s="2" t="inlineStr"/>
    </row>
    <row r="341" ht="15" customHeight="1">
      <c r="A341" t="inlineStr">
        <is>
          <t>A 58388-2022</t>
        </is>
      </c>
      <c r="B341" s="1" t="n">
        <v>44894</v>
      </c>
      <c r="C341" s="1" t="n">
        <v>45895</v>
      </c>
      <c r="D341" t="inlineStr">
        <is>
          <t>GOTLANDS LÄN</t>
        </is>
      </c>
      <c r="E341" t="inlineStr">
        <is>
          <t>GOTLAND</t>
        </is>
      </c>
      <c r="F341" t="inlineStr">
        <is>
          <t>Övriga statliga verk och myndigheter</t>
        </is>
      </c>
      <c r="G341" t="n">
        <v>3.1</v>
      </c>
      <c r="H341" t="n">
        <v>0</v>
      </c>
      <c r="I341" t="n">
        <v>0</v>
      </c>
      <c r="J341" t="n">
        <v>0</v>
      </c>
      <c r="K341" t="n">
        <v>0</v>
      </c>
      <c r="L341" t="n">
        <v>0</v>
      </c>
      <c r="M341" t="n">
        <v>0</v>
      </c>
      <c r="N341" t="n">
        <v>0</v>
      </c>
      <c r="O341" t="n">
        <v>0</v>
      </c>
      <c r="P341" t="n">
        <v>0</v>
      </c>
      <c r="Q341" t="n">
        <v>0</v>
      </c>
      <c r="R341" s="2" t="inlineStr"/>
    </row>
    <row r="342" ht="15" customHeight="1">
      <c r="A342" t="inlineStr">
        <is>
          <t>A 8045-2022</t>
        </is>
      </c>
      <c r="B342" s="1" t="n">
        <v>44609</v>
      </c>
      <c r="C342" s="1" t="n">
        <v>45895</v>
      </c>
      <c r="D342" t="inlineStr">
        <is>
          <t>GOTLANDS LÄN</t>
        </is>
      </c>
      <c r="E342" t="inlineStr">
        <is>
          <t>GOTLAND</t>
        </is>
      </c>
      <c r="G342" t="n">
        <v>7</v>
      </c>
      <c r="H342" t="n">
        <v>0</v>
      </c>
      <c r="I342" t="n">
        <v>0</v>
      </c>
      <c r="J342" t="n">
        <v>0</v>
      </c>
      <c r="K342" t="n">
        <v>0</v>
      </c>
      <c r="L342" t="n">
        <v>0</v>
      </c>
      <c r="M342" t="n">
        <v>0</v>
      </c>
      <c r="N342" t="n">
        <v>0</v>
      </c>
      <c r="O342" t="n">
        <v>0</v>
      </c>
      <c r="P342" t="n">
        <v>0</v>
      </c>
      <c r="Q342" t="n">
        <v>0</v>
      </c>
      <c r="R342" s="2" t="inlineStr"/>
    </row>
    <row r="343" ht="15" customHeight="1">
      <c r="A343" t="inlineStr">
        <is>
          <t>A 21792-2024</t>
        </is>
      </c>
      <c r="B343" s="1" t="n">
        <v>45442.64326388889</v>
      </c>
      <c r="C343" s="1" t="n">
        <v>45895</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22897-2023</t>
        </is>
      </c>
      <c r="B344" s="1" t="n">
        <v>45072.55239583334</v>
      </c>
      <c r="C344" s="1" t="n">
        <v>45895</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18993-2025</t>
        </is>
      </c>
      <c r="B345" s="1" t="n">
        <v>45764</v>
      </c>
      <c r="C345" s="1" t="n">
        <v>45895</v>
      </c>
      <c r="D345" t="inlineStr">
        <is>
          <t>GOTLANDS LÄN</t>
        </is>
      </c>
      <c r="E345" t="inlineStr">
        <is>
          <t>GOTLAND</t>
        </is>
      </c>
      <c r="G345" t="n">
        <v>3</v>
      </c>
      <c r="H345" t="n">
        <v>0</v>
      </c>
      <c r="I345" t="n">
        <v>0</v>
      </c>
      <c r="J345" t="n">
        <v>0</v>
      </c>
      <c r="K345" t="n">
        <v>0</v>
      </c>
      <c r="L345" t="n">
        <v>0</v>
      </c>
      <c r="M345" t="n">
        <v>0</v>
      </c>
      <c r="N345" t="n">
        <v>0</v>
      </c>
      <c r="O345" t="n">
        <v>0</v>
      </c>
      <c r="P345" t="n">
        <v>0</v>
      </c>
      <c r="Q345" t="n">
        <v>0</v>
      </c>
      <c r="R345" s="2" t="inlineStr"/>
    </row>
    <row r="346" ht="15" customHeight="1">
      <c r="A346" t="inlineStr">
        <is>
          <t>A 5462-2025</t>
        </is>
      </c>
      <c r="B346" s="1" t="n">
        <v>45693.29331018519</v>
      </c>
      <c r="C346" s="1" t="n">
        <v>45895</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17688-2024</t>
        </is>
      </c>
      <c r="B347" s="1" t="n">
        <v>45418.43575231481</v>
      </c>
      <c r="C347" s="1" t="n">
        <v>45895</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61897-2024</t>
        </is>
      </c>
      <c r="B348" s="1" t="n">
        <v>45652.75685185185</v>
      </c>
      <c r="C348" s="1" t="n">
        <v>45895</v>
      </c>
      <c r="D348" t="inlineStr">
        <is>
          <t>GOTLANDS LÄN</t>
        </is>
      </c>
      <c r="E348" t="inlineStr">
        <is>
          <t>GOTLAND</t>
        </is>
      </c>
      <c r="G348" t="n">
        <v>6.4</v>
      </c>
      <c r="H348" t="n">
        <v>0</v>
      </c>
      <c r="I348" t="n">
        <v>0</v>
      </c>
      <c r="J348" t="n">
        <v>0</v>
      </c>
      <c r="K348" t="n">
        <v>0</v>
      </c>
      <c r="L348" t="n">
        <v>0</v>
      </c>
      <c r="M348" t="n">
        <v>0</v>
      </c>
      <c r="N348" t="n">
        <v>0</v>
      </c>
      <c r="O348" t="n">
        <v>0</v>
      </c>
      <c r="P348" t="n">
        <v>0</v>
      </c>
      <c r="Q348" t="n">
        <v>0</v>
      </c>
      <c r="R348" s="2" t="inlineStr"/>
    </row>
    <row r="349" ht="15" customHeight="1">
      <c r="A349" t="inlineStr">
        <is>
          <t>A 7837-2024</t>
        </is>
      </c>
      <c r="B349" s="1" t="n">
        <v>45349.83787037037</v>
      </c>
      <c r="C349" s="1" t="n">
        <v>45895</v>
      </c>
      <c r="D349" t="inlineStr">
        <is>
          <t>GOTLANDS LÄN</t>
        </is>
      </c>
      <c r="E349" t="inlineStr">
        <is>
          <t>GOTLAND</t>
        </is>
      </c>
      <c r="G349" t="n">
        <v>5</v>
      </c>
      <c r="H349" t="n">
        <v>0</v>
      </c>
      <c r="I349" t="n">
        <v>0</v>
      </c>
      <c r="J349" t="n">
        <v>0</v>
      </c>
      <c r="K349" t="n">
        <v>0</v>
      </c>
      <c r="L349" t="n">
        <v>0</v>
      </c>
      <c r="M349" t="n">
        <v>0</v>
      </c>
      <c r="N349" t="n">
        <v>0</v>
      </c>
      <c r="O349" t="n">
        <v>0</v>
      </c>
      <c r="P349" t="n">
        <v>0</v>
      </c>
      <c r="Q349" t="n">
        <v>0</v>
      </c>
      <c r="R349" s="2" t="inlineStr"/>
    </row>
    <row r="350" ht="15" customHeight="1">
      <c r="A350" t="inlineStr">
        <is>
          <t>A 49962-2023</t>
        </is>
      </c>
      <c r="B350" s="1" t="n">
        <v>45215.38775462963</v>
      </c>
      <c r="C350" s="1" t="n">
        <v>45895</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25796-2025</t>
        </is>
      </c>
      <c r="B351" s="1" t="n">
        <v>45804.39543981481</v>
      </c>
      <c r="C351" s="1" t="n">
        <v>45895</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4568-2025</t>
        </is>
      </c>
      <c r="B352" s="1" t="n">
        <v>45687</v>
      </c>
      <c r="C352" s="1" t="n">
        <v>45895</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20165-2022</t>
        </is>
      </c>
      <c r="B353" s="1" t="n">
        <v>44698.49854166667</v>
      </c>
      <c r="C353" s="1" t="n">
        <v>45895</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25678-2025</t>
        </is>
      </c>
      <c r="B354" s="1" t="n">
        <v>45803.64118055555</v>
      </c>
      <c r="C354" s="1" t="n">
        <v>45895</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40294-2022</t>
        </is>
      </c>
      <c r="B355" s="1" t="n">
        <v>44821</v>
      </c>
      <c r="C355" s="1" t="n">
        <v>45895</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12032-2025</t>
        </is>
      </c>
      <c r="B356" s="1" t="n">
        <v>45728.64472222222</v>
      </c>
      <c r="C356" s="1" t="n">
        <v>45895</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38787-2023</t>
        </is>
      </c>
      <c r="B357" s="1" t="n">
        <v>45163</v>
      </c>
      <c r="C357" s="1" t="n">
        <v>45895</v>
      </c>
      <c r="D357" t="inlineStr">
        <is>
          <t>GOTLANDS LÄN</t>
        </is>
      </c>
      <c r="E357" t="inlineStr">
        <is>
          <t>GOTLAND</t>
        </is>
      </c>
      <c r="G357" t="n">
        <v>0.4</v>
      </c>
      <c r="H357" t="n">
        <v>0</v>
      </c>
      <c r="I357" t="n">
        <v>0</v>
      </c>
      <c r="J357" t="n">
        <v>0</v>
      </c>
      <c r="K357" t="n">
        <v>0</v>
      </c>
      <c r="L357" t="n">
        <v>0</v>
      </c>
      <c r="M357" t="n">
        <v>0</v>
      </c>
      <c r="N357" t="n">
        <v>0</v>
      </c>
      <c r="O357" t="n">
        <v>0</v>
      </c>
      <c r="P357" t="n">
        <v>0</v>
      </c>
      <c r="Q357" t="n">
        <v>0</v>
      </c>
      <c r="R357" s="2" t="inlineStr"/>
    </row>
    <row r="358" ht="15" customHeight="1">
      <c r="A358" t="inlineStr">
        <is>
          <t>A 35512-2023</t>
        </is>
      </c>
      <c r="B358" s="1" t="n">
        <v>45147.25623842593</v>
      </c>
      <c r="C358" s="1" t="n">
        <v>45895</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20307-2025</t>
        </is>
      </c>
      <c r="B359" s="1" t="n">
        <v>45774.95546296296</v>
      </c>
      <c r="C359" s="1" t="n">
        <v>45895</v>
      </c>
      <c r="D359" t="inlineStr">
        <is>
          <t>GOTLANDS LÄN</t>
        </is>
      </c>
      <c r="E359" t="inlineStr">
        <is>
          <t>GOTLAND</t>
        </is>
      </c>
      <c r="G359" t="n">
        <v>6.8</v>
      </c>
      <c r="H359" t="n">
        <v>0</v>
      </c>
      <c r="I359" t="n">
        <v>0</v>
      </c>
      <c r="J359" t="n">
        <v>0</v>
      </c>
      <c r="K359" t="n">
        <v>0</v>
      </c>
      <c r="L359" t="n">
        <v>0</v>
      </c>
      <c r="M359" t="n">
        <v>0</v>
      </c>
      <c r="N359" t="n">
        <v>0</v>
      </c>
      <c r="O359" t="n">
        <v>0</v>
      </c>
      <c r="P359" t="n">
        <v>0</v>
      </c>
      <c r="Q359" t="n">
        <v>0</v>
      </c>
      <c r="R359" s="2" t="inlineStr"/>
    </row>
    <row r="360" ht="15" customHeight="1">
      <c r="A360" t="inlineStr">
        <is>
          <t>A 5905-2024</t>
        </is>
      </c>
      <c r="B360" s="1" t="n">
        <v>45335.88993055555</v>
      </c>
      <c r="C360" s="1" t="n">
        <v>45895</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43231-2023</t>
        </is>
      </c>
      <c r="B361" s="1" t="n">
        <v>45183.47025462963</v>
      </c>
      <c r="C361" s="1" t="n">
        <v>45895</v>
      </c>
      <c r="D361" t="inlineStr">
        <is>
          <t>GOTLANDS LÄN</t>
        </is>
      </c>
      <c r="E361" t="inlineStr">
        <is>
          <t>GOTLAND</t>
        </is>
      </c>
      <c r="G361" t="n">
        <v>3.6</v>
      </c>
      <c r="H361" t="n">
        <v>0</v>
      </c>
      <c r="I361" t="n">
        <v>0</v>
      </c>
      <c r="J361" t="n">
        <v>0</v>
      </c>
      <c r="K361" t="n">
        <v>0</v>
      </c>
      <c r="L361" t="n">
        <v>0</v>
      </c>
      <c r="M361" t="n">
        <v>0</v>
      </c>
      <c r="N361" t="n">
        <v>0</v>
      </c>
      <c r="O361" t="n">
        <v>0</v>
      </c>
      <c r="P361" t="n">
        <v>0</v>
      </c>
      <c r="Q361" t="n">
        <v>0</v>
      </c>
      <c r="R361" s="2" t="inlineStr"/>
    </row>
    <row r="362" ht="15" customHeight="1">
      <c r="A362" t="inlineStr">
        <is>
          <t>A 17532-2024</t>
        </is>
      </c>
      <c r="B362" s="1" t="n">
        <v>45415</v>
      </c>
      <c r="C362" s="1" t="n">
        <v>45895</v>
      </c>
      <c r="D362" t="inlineStr">
        <is>
          <t>GOTLANDS LÄN</t>
        </is>
      </c>
      <c r="E362" t="inlineStr">
        <is>
          <t>GOTLAND</t>
        </is>
      </c>
      <c r="G362" t="n">
        <v>4.3</v>
      </c>
      <c r="H362" t="n">
        <v>0</v>
      </c>
      <c r="I362" t="n">
        <v>0</v>
      </c>
      <c r="J362" t="n">
        <v>0</v>
      </c>
      <c r="K362" t="n">
        <v>0</v>
      </c>
      <c r="L362" t="n">
        <v>0</v>
      </c>
      <c r="M362" t="n">
        <v>0</v>
      </c>
      <c r="N362" t="n">
        <v>0</v>
      </c>
      <c r="O362" t="n">
        <v>0</v>
      </c>
      <c r="P362" t="n">
        <v>0</v>
      </c>
      <c r="Q362" t="n">
        <v>0</v>
      </c>
      <c r="R362" s="2" t="inlineStr"/>
    </row>
    <row r="363" ht="15" customHeight="1">
      <c r="A363" t="inlineStr">
        <is>
          <t>A 26391-2025</t>
        </is>
      </c>
      <c r="B363" s="1" t="n">
        <v>45806</v>
      </c>
      <c r="C363" s="1" t="n">
        <v>45895</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1291-2023</t>
        </is>
      </c>
      <c r="B364" s="1" t="n">
        <v>44936.47561342592</v>
      </c>
      <c r="C364" s="1" t="n">
        <v>45895</v>
      </c>
      <c r="D364" t="inlineStr">
        <is>
          <t>GOTLANDS LÄN</t>
        </is>
      </c>
      <c r="E364" t="inlineStr">
        <is>
          <t>GOTLAND</t>
        </is>
      </c>
      <c r="G364" t="n">
        <v>7.4</v>
      </c>
      <c r="H364" t="n">
        <v>0</v>
      </c>
      <c r="I364" t="n">
        <v>0</v>
      </c>
      <c r="J364" t="n">
        <v>0</v>
      </c>
      <c r="K364" t="n">
        <v>0</v>
      </c>
      <c r="L364" t="n">
        <v>0</v>
      </c>
      <c r="M364" t="n">
        <v>0</v>
      </c>
      <c r="N364" t="n">
        <v>0</v>
      </c>
      <c r="O364" t="n">
        <v>0</v>
      </c>
      <c r="P364" t="n">
        <v>0</v>
      </c>
      <c r="Q364" t="n">
        <v>0</v>
      </c>
      <c r="R364" s="2" t="inlineStr"/>
    </row>
    <row r="365" ht="15" customHeight="1">
      <c r="A365" t="inlineStr">
        <is>
          <t>A 3935-2025</t>
        </is>
      </c>
      <c r="B365" s="1" t="n">
        <v>45684.46070601852</v>
      </c>
      <c r="C365" s="1" t="n">
        <v>45895</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57652-2023</t>
        </is>
      </c>
      <c r="B366" s="1" t="n">
        <v>45246</v>
      </c>
      <c r="C366" s="1" t="n">
        <v>45895</v>
      </c>
      <c r="D366" t="inlineStr">
        <is>
          <t>GOTLANDS LÄN</t>
        </is>
      </c>
      <c r="E366" t="inlineStr">
        <is>
          <t>GOTLAND</t>
        </is>
      </c>
      <c r="G366" t="n">
        <v>7.2</v>
      </c>
      <c r="H366" t="n">
        <v>0</v>
      </c>
      <c r="I366" t="n">
        <v>0</v>
      </c>
      <c r="J366" t="n">
        <v>0</v>
      </c>
      <c r="K366" t="n">
        <v>0</v>
      </c>
      <c r="L366" t="n">
        <v>0</v>
      </c>
      <c r="M366" t="n">
        <v>0</v>
      </c>
      <c r="N366" t="n">
        <v>0</v>
      </c>
      <c r="O366" t="n">
        <v>0</v>
      </c>
      <c r="P366" t="n">
        <v>0</v>
      </c>
      <c r="Q366" t="n">
        <v>0</v>
      </c>
      <c r="R366" s="2" t="inlineStr"/>
    </row>
    <row r="367" ht="15" customHeight="1">
      <c r="A367" t="inlineStr">
        <is>
          <t>A 49315-2024</t>
        </is>
      </c>
      <c r="B367" s="1" t="n">
        <v>45595</v>
      </c>
      <c r="C367" s="1" t="n">
        <v>45895</v>
      </c>
      <c r="D367" t="inlineStr">
        <is>
          <t>GOTLANDS LÄN</t>
        </is>
      </c>
      <c r="E367" t="inlineStr">
        <is>
          <t>GOTLAND</t>
        </is>
      </c>
      <c r="G367" t="n">
        <v>1.5</v>
      </c>
      <c r="H367" t="n">
        <v>0</v>
      </c>
      <c r="I367" t="n">
        <v>0</v>
      </c>
      <c r="J367" t="n">
        <v>0</v>
      </c>
      <c r="K367" t="n">
        <v>0</v>
      </c>
      <c r="L367" t="n">
        <v>0</v>
      </c>
      <c r="M367" t="n">
        <v>0</v>
      </c>
      <c r="N367" t="n">
        <v>0</v>
      </c>
      <c r="O367" t="n">
        <v>0</v>
      </c>
      <c r="P367" t="n">
        <v>0</v>
      </c>
      <c r="Q367" t="n">
        <v>0</v>
      </c>
      <c r="R367" s="2" t="inlineStr"/>
    </row>
    <row r="368" ht="15" customHeight="1">
      <c r="A368" t="inlineStr">
        <is>
          <t>A 26457-2025</t>
        </is>
      </c>
      <c r="B368" s="1" t="n">
        <v>45807.42773148148</v>
      </c>
      <c r="C368" s="1" t="n">
        <v>45895</v>
      </c>
      <c r="D368" t="inlineStr">
        <is>
          <t>GOTLANDS LÄN</t>
        </is>
      </c>
      <c r="E368" t="inlineStr">
        <is>
          <t>GOTLAND</t>
        </is>
      </c>
      <c r="G368" t="n">
        <v>5.7</v>
      </c>
      <c r="H368" t="n">
        <v>0</v>
      </c>
      <c r="I368" t="n">
        <v>0</v>
      </c>
      <c r="J368" t="n">
        <v>0</v>
      </c>
      <c r="K368" t="n">
        <v>0</v>
      </c>
      <c r="L368" t="n">
        <v>0</v>
      </c>
      <c r="M368" t="n">
        <v>0</v>
      </c>
      <c r="N368" t="n">
        <v>0</v>
      </c>
      <c r="O368" t="n">
        <v>0</v>
      </c>
      <c r="P368" t="n">
        <v>0</v>
      </c>
      <c r="Q368" t="n">
        <v>0</v>
      </c>
      <c r="R368" s="2" t="inlineStr"/>
    </row>
    <row r="369" ht="15" customHeight="1">
      <c r="A369" t="inlineStr">
        <is>
          <t>A 26467-2025</t>
        </is>
      </c>
      <c r="B369" s="1" t="n">
        <v>45807.44640046296</v>
      </c>
      <c r="C369" s="1" t="n">
        <v>45895</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45106-2024</t>
        </is>
      </c>
      <c r="B370" s="1" t="n">
        <v>45575</v>
      </c>
      <c r="C370" s="1" t="n">
        <v>45895</v>
      </c>
      <c r="D370" t="inlineStr">
        <is>
          <t>GOTLANDS LÄN</t>
        </is>
      </c>
      <c r="E370" t="inlineStr">
        <is>
          <t>GOTLAND</t>
        </is>
      </c>
      <c r="G370" t="n">
        <v>10</v>
      </c>
      <c r="H370" t="n">
        <v>0</v>
      </c>
      <c r="I370" t="n">
        <v>0</v>
      </c>
      <c r="J370" t="n">
        <v>0</v>
      </c>
      <c r="K370" t="n">
        <v>0</v>
      </c>
      <c r="L370" t="n">
        <v>0</v>
      </c>
      <c r="M370" t="n">
        <v>0</v>
      </c>
      <c r="N370" t="n">
        <v>0</v>
      </c>
      <c r="O370" t="n">
        <v>0</v>
      </c>
      <c r="P370" t="n">
        <v>0</v>
      </c>
      <c r="Q370" t="n">
        <v>0</v>
      </c>
      <c r="R370" s="2" t="inlineStr"/>
    </row>
    <row r="371" ht="15" customHeight="1">
      <c r="A371" t="inlineStr">
        <is>
          <t>A 45112-2024</t>
        </is>
      </c>
      <c r="B371" s="1" t="n">
        <v>45575</v>
      </c>
      <c r="C371" s="1" t="n">
        <v>45895</v>
      </c>
      <c r="D371" t="inlineStr">
        <is>
          <t>GOTLANDS LÄN</t>
        </is>
      </c>
      <c r="E371" t="inlineStr">
        <is>
          <t>GOTLAND</t>
        </is>
      </c>
      <c r="G371" t="n">
        <v>5.1</v>
      </c>
      <c r="H371" t="n">
        <v>0</v>
      </c>
      <c r="I371" t="n">
        <v>0</v>
      </c>
      <c r="J371" t="n">
        <v>0</v>
      </c>
      <c r="K371" t="n">
        <v>0</v>
      </c>
      <c r="L371" t="n">
        <v>0</v>
      </c>
      <c r="M371" t="n">
        <v>0</v>
      </c>
      <c r="N371" t="n">
        <v>0</v>
      </c>
      <c r="O371" t="n">
        <v>0</v>
      </c>
      <c r="P371" t="n">
        <v>0</v>
      </c>
      <c r="Q371" t="n">
        <v>0</v>
      </c>
      <c r="R371" s="2" t="inlineStr"/>
    </row>
    <row r="372" ht="15" customHeight="1">
      <c r="A372" t="inlineStr">
        <is>
          <t>A 20225-2025</t>
        </is>
      </c>
      <c r="B372" s="1" t="n">
        <v>45772.65802083333</v>
      </c>
      <c r="C372" s="1" t="n">
        <v>45895</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883-2025</t>
        </is>
      </c>
      <c r="B373" s="1" t="n">
        <v>45665</v>
      </c>
      <c r="C373" s="1" t="n">
        <v>45895</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26465-2025</t>
        </is>
      </c>
      <c r="B374" s="1" t="n">
        <v>45807.44377314814</v>
      </c>
      <c r="C374" s="1" t="n">
        <v>45895</v>
      </c>
      <c r="D374" t="inlineStr">
        <is>
          <t>GOTLANDS LÄN</t>
        </is>
      </c>
      <c r="E374" t="inlineStr">
        <is>
          <t>GOTLAND</t>
        </is>
      </c>
      <c r="G374" t="n">
        <v>4.5</v>
      </c>
      <c r="H374" t="n">
        <v>0</v>
      </c>
      <c r="I374" t="n">
        <v>0</v>
      </c>
      <c r="J374" t="n">
        <v>0</v>
      </c>
      <c r="K374" t="n">
        <v>0</v>
      </c>
      <c r="L374" t="n">
        <v>0</v>
      </c>
      <c r="M374" t="n">
        <v>0</v>
      </c>
      <c r="N374" t="n">
        <v>0</v>
      </c>
      <c r="O374" t="n">
        <v>0</v>
      </c>
      <c r="P374" t="n">
        <v>0</v>
      </c>
      <c r="Q374" t="n">
        <v>0</v>
      </c>
      <c r="R374" s="2" t="inlineStr"/>
    </row>
    <row r="375" ht="15" customHeight="1">
      <c r="A375" t="inlineStr">
        <is>
          <t>A 18938-2025</t>
        </is>
      </c>
      <c r="B375" s="1" t="n">
        <v>45764.49172453704</v>
      </c>
      <c r="C375" s="1" t="n">
        <v>45895</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2676-2023</t>
        </is>
      </c>
      <c r="B376" s="1" t="n">
        <v>44944</v>
      </c>
      <c r="C376" s="1" t="n">
        <v>45895</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26660-2025</t>
        </is>
      </c>
      <c r="B377" s="1" t="n">
        <v>45810.39737268518</v>
      </c>
      <c r="C377" s="1" t="n">
        <v>45895</v>
      </c>
      <c r="D377" t="inlineStr">
        <is>
          <t>GOTLANDS LÄN</t>
        </is>
      </c>
      <c r="E377" t="inlineStr">
        <is>
          <t>GOTLAND</t>
        </is>
      </c>
      <c r="G377" t="n">
        <v>1.8</v>
      </c>
      <c r="H377" t="n">
        <v>0</v>
      </c>
      <c r="I377" t="n">
        <v>0</v>
      </c>
      <c r="J377" t="n">
        <v>0</v>
      </c>
      <c r="K377" t="n">
        <v>0</v>
      </c>
      <c r="L377" t="n">
        <v>0</v>
      </c>
      <c r="M377" t="n">
        <v>0</v>
      </c>
      <c r="N377" t="n">
        <v>0</v>
      </c>
      <c r="O377" t="n">
        <v>0</v>
      </c>
      <c r="P377" t="n">
        <v>0</v>
      </c>
      <c r="Q377" t="n">
        <v>0</v>
      </c>
      <c r="R377" s="2" t="inlineStr"/>
    </row>
    <row r="378" ht="15" customHeight="1">
      <c r="A378" t="inlineStr">
        <is>
          <t>A 3150-2025</t>
        </is>
      </c>
      <c r="B378" s="1" t="n">
        <v>45679.28974537037</v>
      </c>
      <c r="C378" s="1" t="n">
        <v>45895</v>
      </c>
      <c r="D378" t="inlineStr">
        <is>
          <t>GOTLANDS LÄN</t>
        </is>
      </c>
      <c r="E378" t="inlineStr">
        <is>
          <t>GOTLAND</t>
        </is>
      </c>
      <c r="G378" t="n">
        <v>2.5</v>
      </c>
      <c r="H378" t="n">
        <v>0</v>
      </c>
      <c r="I378" t="n">
        <v>0</v>
      </c>
      <c r="J378" t="n">
        <v>0</v>
      </c>
      <c r="K378" t="n">
        <v>0</v>
      </c>
      <c r="L378" t="n">
        <v>0</v>
      </c>
      <c r="M378" t="n">
        <v>0</v>
      </c>
      <c r="N378" t="n">
        <v>0</v>
      </c>
      <c r="O378" t="n">
        <v>0</v>
      </c>
      <c r="P378" t="n">
        <v>0</v>
      </c>
      <c r="Q378" t="n">
        <v>0</v>
      </c>
      <c r="R378" s="2" t="inlineStr"/>
    </row>
    <row r="379" ht="15" customHeight="1">
      <c r="A379" t="inlineStr">
        <is>
          <t>A 8484-2025</t>
        </is>
      </c>
      <c r="B379" s="1" t="n">
        <v>45709</v>
      </c>
      <c r="C379" s="1" t="n">
        <v>45895</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7635-2025</t>
        </is>
      </c>
      <c r="B380" s="1" t="n">
        <v>45705</v>
      </c>
      <c r="C380" s="1" t="n">
        <v>45895</v>
      </c>
      <c r="D380" t="inlineStr">
        <is>
          <t>GOTLANDS LÄN</t>
        </is>
      </c>
      <c r="E380" t="inlineStr">
        <is>
          <t>GOTLAND</t>
        </is>
      </c>
      <c r="G380" t="n">
        <v>0.9</v>
      </c>
      <c r="H380" t="n">
        <v>0</v>
      </c>
      <c r="I380" t="n">
        <v>0</v>
      </c>
      <c r="J380" t="n">
        <v>0</v>
      </c>
      <c r="K380" t="n">
        <v>0</v>
      </c>
      <c r="L380" t="n">
        <v>0</v>
      </c>
      <c r="M380" t="n">
        <v>0</v>
      </c>
      <c r="N380" t="n">
        <v>0</v>
      </c>
      <c r="O380" t="n">
        <v>0</v>
      </c>
      <c r="P380" t="n">
        <v>0</v>
      </c>
      <c r="Q380" t="n">
        <v>0</v>
      </c>
      <c r="R380" s="2" t="inlineStr"/>
    </row>
    <row r="381" ht="15" customHeight="1">
      <c r="A381" t="inlineStr">
        <is>
          <t>A 7636-2025</t>
        </is>
      </c>
      <c r="B381" s="1" t="n">
        <v>45705.7687962963</v>
      </c>
      <c r="C381" s="1" t="n">
        <v>45895</v>
      </c>
      <c r="D381" t="inlineStr">
        <is>
          <t>GOTLANDS LÄN</t>
        </is>
      </c>
      <c r="E381" t="inlineStr">
        <is>
          <t>GOTLAND</t>
        </is>
      </c>
      <c r="G381" t="n">
        <v>0.6</v>
      </c>
      <c r="H381" t="n">
        <v>0</v>
      </c>
      <c r="I381" t="n">
        <v>0</v>
      </c>
      <c r="J381" t="n">
        <v>0</v>
      </c>
      <c r="K381" t="n">
        <v>0</v>
      </c>
      <c r="L381" t="n">
        <v>0</v>
      </c>
      <c r="M381" t="n">
        <v>0</v>
      </c>
      <c r="N381" t="n">
        <v>0</v>
      </c>
      <c r="O381" t="n">
        <v>0</v>
      </c>
      <c r="P381" t="n">
        <v>0</v>
      </c>
      <c r="Q381" t="n">
        <v>0</v>
      </c>
      <c r="R381" s="2" t="inlineStr"/>
    </row>
    <row r="382" ht="15" customHeight="1">
      <c r="A382" t="inlineStr">
        <is>
          <t>A 7639-2025</t>
        </is>
      </c>
      <c r="B382" s="1" t="n">
        <v>45705.77465277778</v>
      </c>
      <c r="C382" s="1" t="n">
        <v>45895</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10497-2025</t>
        </is>
      </c>
      <c r="B383" s="1" t="n">
        <v>45721</v>
      </c>
      <c r="C383" s="1" t="n">
        <v>45895</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27348-2025</t>
        </is>
      </c>
      <c r="B384" s="1" t="n">
        <v>45812.62451388889</v>
      </c>
      <c r="C384" s="1" t="n">
        <v>45895</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35290-2025</t>
        </is>
      </c>
      <c r="B385" s="1" t="n">
        <v>45854.38502314815</v>
      </c>
      <c r="C385" s="1" t="n">
        <v>45895</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20356-2022</t>
        </is>
      </c>
      <c r="B386" s="1" t="n">
        <v>44699</v>
      </c>
      <c r="C386" s="1" t="n">
        <v>45895</v>
      </c>
      <c r="D386" t="inlineStr">
        <is>
          <t>GOTLANDS LÄN</t>
        </is>
      </c>
      <c r="E386" t="inlineStr">
        <is>
          <t>GOTLAND</t>
        </is>
      </c>
      <c r="F386" t="inlineStr">
        <is>
          <t>Övriga Aktiebolag</t>
        </is>
      </c>
      <c r="G386" t="n">
        <v>4.4</v>
      </c>
      <c r="H386" t="n">
        <v>0</v>
      </c>
      <c r="I386" t="n">
        <v>0</v>
      </c>
      <c r="J386" t="n">
        <v>0</v>
      </c>
      <c r="K386" t="n">
        <v>0</v>
      </c>
      <c r="L386" t="n">
        <v>0</v>
      </c>
      <c r="M386" t="n">
        <v>0</v>
      </c>
      <c r="N386" t="n">
        <v>0</v>
      </c>
      <c r="O386" t="n">
        <v>0</v>
      </c>
      <c r="P386" t="n">
        <v>0</v>
      </c>
      <c r="Q386" t="n">
        <v>0</v>
      </c>
      <c r="R386" s="2" t="inlineStr"/>
    </row>
    <row r="387" ht="15" customHeight="1">
      <c r="A387" t="inlineStr">
        <is>
          <t>A 48734-2022</t>
        </is>
      </c>
      <c r="B387" s="1" t="n">
        <v>44855</v>
      </c>
      <c r="C387" s="1" t="n">
        <v>45895</v>
      </c>
      <c r="D387" t="inlineStr">
        <is>
          <t>GOTLANDS LÄN</t>
        </is>
      </c>
      <c r="E387" t="inlineStr">
        <is>
          <t>GOTLAND</t>
        </is>
      </c>
      <c r="G387" t="n">
        <v>1.6</v>
      </c>
      <c r="H387" t="n">
        <v>0</v>
      </c>
      <c r="I387" t="n">
        <v>0</v>
      </c>
      <c r="J387" t="n">
        <v>0</v>
      </c>
      <c r="K387" t="n">
        <v>0</v>
      </c>
      <c r="L387" t="n">
        <v>0</v>
      </c>
      <c r="M387" t="n">
        <v>0</v>
      </c>
      <c r="N387" t="n">
        <v>0</v>
      </c>
      <c r="O387" t="n">
        <v>0</v>
      </c>
      <c r="P387" t="n">
        <v>0</v>
      </c>
      <c r="Q387" t="n">
        <v>0</v>
      </c>
      <c r="R387" s="2" t="inlineStr"/>
    </row>
    <row r="388" ht="15" customHeight="1">
      <c r="A388" t="inlineStr">
        <is>
          <t>A 1066-2024</t>
        </is>
      </c>
      <c r="B388" s="1" t="n">
        <v>45302.285</v>
      </c>
      <c r="C388" s="1" t="n">
        <v>45895</v>
      </c>
      <c r="D388" t="inlineStr">
        <is>
          <t>GOTLANDS LÄN</t>
        </is>
      </c>
      <c r="E388" t="inlineStr">
        <is>
          <t>GOTLAND</t>
        </is>
      </c>
      <c r="G388" t="n">
        <v>1.4</v>
      </c>
      <c r="H388" t="n">
        <v>0</v>
      </c>
      <c r="I388" t="n">
        <v>0</v>
      </c>
      <c r="J388" t="n">
        <v>0</v>
      </c>
      <c r="K388" t="n">
        <v>0</v>
      </c>
      <c r="L388" t="n">
        <v>0</v>
      </c>
      <c r="M388" t="n">
        <v>0</v>
      </c>
      <c r="N388" t="n">
        <v>0</v>
      </c>
      <c r="O388" t="n">
        <v>0</v>
      </c>
      <c r="P388" t="n">
        <v>0</v>
      </c>
      <c r="Q388" t="n">
        <v>0</v>
      </c>
      <c r="R388" s="2" t="inlineStr"/>
    </row>
    <row r="389" ht="15" customHeight="1">
      <c r="A389" t="inlineStr">
        <is>
          <t>A 14141-2024</t>
        </is>
      </c>
      <c r="B389" s="1" t="n">
        <v>45392.85193287037</v>
      </c>
      <c r="C389" s="1" t="n">
        <v>45895</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29809-2022</t>
        </is>
      </c>
      <c r="B390" s="1" t="n">
        <v>44755.8713425926</v>
      </c>
      <c r="C390" s="1" t="n">
        <v>45895</v>
      </c>
      <c r="D390" t="inlineStr">
        <is>
          <t>GOTLANDS LÄN</t>
        </is>
      </c>
      <c r="E390" t="inlineStr">
        <is>
          <t>GOTLAND</t>
        </is>
      </c>
      <c r="G390" t="n">
        <v>11.5</v>
      </c>
      <c r="H390" t="n">
        <v>0</v>
      </c>
      <c r="I390" t="n">
        <v>0</v>
      </c>
      <c r="J390" t="n">
        <v>0</v>
      </c>
      <c r="K390" t="n">
        <v>0</v>
      </c>
      <c r="L390" t="n">
        <v>0</v>
      </c>
      <c r="M390" t="n">
        <v>0</v>
      </c>
      <c r="N390" t="n">
        <v>0</v>
      </c>
      <c r="O390" t="n">
        <v>0</v>
      </c>
      <c r="P390" t="n">
        <v>0</v>
      </c>
      <c r="Q390" t="n">
        <v>0</v>
      </c>
      <c r="R390" s="2" t="inlineStr"/>
    </row>
    <row r="391" ht="15" customHeight="1">
      <c r="A391" t="inlineStr">
        <is>
          <t>A 17144-2025</t>
        </is>
      </c>
      <c r="B391" s="1" t="n">
        <v>45755.9499537037</v>
      </c>
      <c r="C391" s="1" t="n">
        <v>45895</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10158-2025</t>
        </is>
      </c>
      <c r="B392" s="1" t="n">
        <v>45719</v>
      </c>
      <c r="C392" s="1" t="n">
        <v>45895</v>
      </c>
      <c r="D392" t="inlineStr">
        <is>
          <t>GOTLANDS LÄN</t>
        </is>
      </c>
      <c r="E392" t="inlineStr">
        <is>
          <t>GOTLAND</t>
        </is>
      </c>
      <c r="G392" t="n">
        <v>3.5</v>
      </c>
      <c r="H392" t="n">
        <v>0</v>
      </c>
      <c r="I392" t="n">
        <v>0</v>
      </c>
      <c r="J392" t="n">
        <v>0</v>
      </c>
      <c r="K392" t="n">
        <v>0</v>
      </c>
      <c r="L392" t="n">
        <v>0</v>
      </c>
      <c r="M392" t="n">
        <v>0</v>
      </c>
      <c r="N392" t="n">
        <v>0</v>
      </c>
      <c r="O392" t="n">
        <v>0</v>
      </c>
      <c r="P392" t="n">
        <v>0</v>
      </c>
      <c r="Q392" t="n">
        <v>0</v>
      </c>
      <c r="R392" s="2" t="inlineStr"/>
    </row>
    <row r="393" ht="15" customHeight="1">
      <c r="A393" t="inlineStr">
        <is>
          <t>A 27371-2025</t>
        </is>
      </c>
      <c r="B393" s="1" t="n">
        <v>45812</v>
      </c>
      <c r="C393" s="1" t="n">
        <v>45895</v>
      </c>
      <c r="D393" t="inlineStr">
        <is>
          <t>GOTLANDS LÄN</t>
        </is>
      </c>
      <c r="E393" t="inlineStr">
        <is>
          <t>GOTLAND</t>
        </is>
      </c>
      <c r="G393" t="n">
        <v>8</v>
      </c>
      <c r="H393" t="n">
        <v>0</v>
      </c>
      <c r="I393" t="n">
        <v>0</v>
      </c>
      <c r="J393" t="n">
        <v>0</v>
      </c>
      <c r="K393" t="n">
        <v>0</v>
      </c>
      <c r="L393" t="n">
        <v>0</v>
      </c>
      <c r="M393" t="n">
        <v>0</v>
      </c>
      <c r="N393" t="n">
        <v>0</v>
      </c>
      <c r="O393" t="n">
        <v>0</v>
      </c>
      <c r="P393" t="n">
        <v>0</v>
      </c>
      <c r="Q393" t="n">
        <v>0</v>
      </c>
      <c r="R393" s="2" t="inlineStr"/>
    </row>
    <row r="394" ht="15" customHeight="1">
      <c r="A394" t="inlineStr">
        <is>
          <t>A 27355-2025</t>
        </is>
      </c>
      <c r="B394" s="1" t="n">
        <v>45812</v>
      </c>
      <c r="C394" s="1" t="n">
        <v>45895</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6739-2025</t>
        </is>
      </c>
      <c r="B395" s="1" t="n">
        <v>45700</v>
      </c>
      <c r="C395" s="1" t="n">
        <v>45895</v>
      </c>
      <c r="D395" t="inlineStr">
        <is>
          <t>GOTLANDS LÄN</t>
        </is>
      </c>
      <c r="E395" t="inlineStr">
        <is>
          <t>GOTLAND</t>
        </is>
      </c>
      <c r="G395" t="n">
        <v>4.5</v>
      </c>
      <c r="H395" t="n">
        <v>0</v>
      </c>
      <c r="I395" t="n">
        <v>0</v>
      </c>
      <c r="J395" t="n">
        <v>0</v>
      </c>
      <c r="K395" t="n">
        <v>0</v>
      </c>
      <c r="L395" t="n">
        <v>0</v>
      </c>
      <c r="M395" t="n">
        <v>0</v>
      </c>
      <c r="N395" t="n">
        <v>0</v>
      </c>
      <c r="O395" t="n">
        <v>0</v>
      </c>
      <c r="P395" t="n">
        <v>0</v>
      </c>
      <c r="Q395" t="n">
        <v>0</v>
      </c>
      <c r="R395" s="2" t="inlineStr"/>
    </row>
    <row r="396" ht="15" customHeight="1">
      <c r="A396" t="inlineStr">
        <is>
          <t>A 7850-2025</t>
        </is>
      </c>
      <c r="B396" s="1" t="n">
        <v>45706</v>
      </c>
      <c r="C396" s="1" t="n">
        <v>45895</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57685-2022</t>
        </is>
      </c>
      <c r="B397" s="1" t="n">
        <v>44897.4777662037</v>
      </c>
      <c r="C397" s="1" t="n">
        <v>45895</v>
      </c>
      <c r="D397" t="inlineStr">
        <is>
          <t>GOTLANDS LÄN</t>
        </is>
      </c>
      <c r="E397" t="inlineStr">
        <is>
          <t>GOTLAND</t>
        </is>
      </c>
      <c r="G397" t="n">
        <v>3.7</v>
      </c>
      <c r="H397" t="n">
        <v>0</v>
      </c>
      <c r="I397" t="n">
        <v>0</v>
      </c>
      <c r="J397" t="n">
        <v>0</v>
      </c>
      <c r="K397" t="n">
        <v>0</v>
      </c>
      <c r="L397" t="n">
        <v>0</v>
      </c>
      <c r="M397" t="n">
        <v>0</v>
      </c>
      <c r="N397" t="n">
        <v>0</v>
      </c>
      <c r="O397" t="n">
        <v>0</v>
      </c>
      <c r="P397" t="n">
        <v>0</v>
      </c>
      <c r="Q397" t="n">
        <v>0</v>
      </c>
      <c r="R397" s="2" t="inlineStr"/>
    </row>
    <row r="398" ht="15" customHeight="1">
      <c r="A398" t="inlineStr">
        <is>
          <t>A 56009-2024</t>
        </is>
      </c>
      <c r="B398" s="1" t="n">
        <v>45623.80864583333</v>
      </c>
      <c r="C398" s="1" t="n">
        <v>45895</v>
      </c>
      <c r="D398" t="inlineStr">
        <is>
          <t>GOTLANDS LÄN</t>
        </is>
      </c>
      <c r="E398" t="inlineStr">
        <is>
          <t>GOTLAND</t>
        </is>
      </c>
      <c r="G398" t="n">
        <v>2.8</v>
      </c>
      <c r="H398" t="n">
        <v>0</v>
      </c>
      <c r="I398" t="n">
        <v>0</v>
      </c>
      <c r="J398" t="n">
        <v>0</v>
      </c>
      <c r="K398" t="n">
        <v>0</v>
      </c>
      <c r="L398" t="n">
        <v>0</v>
      </c>
      <c r="M398" t="n">
        <v>0</v>
      </c>
      <c r="N398" t="n">
        <v>0</v>
      </c>
      <c r="O398" t="n">
        <v>0</v>
      </c>
      <c r="P398" t="n">
        <v>0</v>
      </c>
      <c r="Q398" t="n">
        <v>0</v>
      </c>
      <c r="R398" s="2" t="inlineStr"/>
    </row>
    <row r="399" ht="15" customHeight="1">
      <c r="A399" t="inlineStr">
        <is>
          <t>A 12599-2025</t>
        </is>
      </c>
      <c r="B399" s="1" t="n">
        <v>45733.29546296296</v>
      </c>
      <c r="C399" s="1" t="n">
        <v>45895</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42338-2023</t>
        </is>
      </c>
      <c r="B400" s="1" t="n">
        <v>45180</v>
      </c>
      <c r="C400" s="1" t="n">
        <v>45895</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45895</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7034-2023</t>
        </is>
      </c>
      <c r="B402" s="1" t="n">
        <v>44968.32108796296</v>
      </c>
      <c r="C402" s="1" t="n">
        <v>45895</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7042-2023</t>
        </is>
      </c>
      <c r="B403" s="1" t="n">
        <v>44968</v>
      </c>
      <c r="C403" s="1" t="n">
        <v>45895</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23516-2023</t>
        </is>
      </c>
      <c r="B404" s="1" t="n">
        <v>45076.93391203704</v>
      </c>
      <c r="C404" s="1" t="n">
        <v>45895</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35537-2025</t>
        </is>
      </c>
      <c r="B405" s="1" t="n">
        <v>45856</v>
      </c>
      <c r="C405" s="1" t="n">
        <v>45895</v>
      </c>
      <c r="D405" t="inlineStr">
        <is>
          <t>GOTLANDS LÄN</t>
        </is>
      </c>
      <c r="E405" t="inlineStr">
        <is>
          <t>GOTLAND</t>
        </is>
      </c>
      <c r="G405" t="n">
        <v>16.8</v>
      </c>
      <c r="H405" t="n">
        <v>0</v>
      </c>
      <c r="I405" t="n">
        <v>0</v>
      </c>
      <c r="J405" t="n">
        <v>0</v>
      </c>
      <c r="K405" t="n">
        <v>0</v>
      </c>
      <c r="L405" t="n">
        <v>0</v>
      </c>
      <c r="M405" t="n">
        <v>0</v>
      </c>
      <c r="N405" t="n">
        <v>0</v>
      </c>
      <c r="O405" t="n">
        <v>0</v>
      </c>
      <c r="P405" t="n">
        <v>0</v>
      </c>
      <c r="Q405" t="n">
        <v>0</v>
      </c>
      <c r="R405" s="2" t="inlineStr"/>
    </row>
    <row r="406" ht="15" customHeight="1">
      <c r="A406" t="inlineStr">
        <is>
          <t>A 64660-2023</t>
        </is>
      </c>
      <c r="B406" s="1" t="n">
        <v>45281.60122685185</v>
      </c>
      <c r="C406" s="1" t="n">
        <v>45895</v>
      </c>
      <c r="D406" t="inlineStr">
        <is>
          <t>GOTLANDS LÄN</t>
        </is>
      </c>
      <c r="E406" t="inlineStr">
        <is>
          <t>GOTLAND</t>
        </is>
      </c>
      <c r="G406" t="n">
        <v>6.3</v>
      </c>
      <c r="H406" t="n">
        <v>0</v>
      </c>
      <c r="I406" t="n">
        <v>0</v>
      </c>
      <c r="J406" t="n">
        <v>0</v>
      </c>
      <c r="K406" t="n">
        <v>0</v>
      </c>
      <c r="L406" t="n">
        <v>0</v>
      </c>
      <c r="M406" t="n">
        <v>0</v>
      </c>
      <c r="N406" t="n">
        <v>0</v>
      </c>
      <c r="O406" t="n">
        <v>0</v>
      </c>
      <c r="P406" t="n">
        <v>0</v>
      </c>
      <c r="Q406" t="n">
        <v>0</v>
      </c>
      <c r="R406" s="2" t="inlineStr"/>
    </row>
    <row r="407" ht="15" customHeight="1">
      <c r="A407" t="inlineStr">
        <is>
          <t>A 63763-2023</t>
        </is>
      </c>
      <c r="B407" s="1" t="n">
        <v>45278.33944444444</v>
      </c>
      <c r="C407" s="1" t="n">
        <v>45895</v>
      </c>
      <c r="D407" t="inlineStr">
        <is>
          <t>GOTLANDS LÄN</t>
        </is>
      </c>
      <c r="E407" t="inlineStr">
        <is>
          <t>GOTLAND</t>
        </is>
      </c>
      <c r="G407" t="n">
        <v>0.5</v>
      </c>
      <c r="H407" t="n">
        <v>0</v>
      </c>
      <c r="I407" t="n">
        <v>0</v>
      </c>
      <c r="J407" t="n">
        <v>0</v>
      </c>
      <c r="K407" t="n">
        <v>0</v>
      </c>
      <c r="L407" t="n">
        <v>0</v>
      </c>
      <c r="M407" t="n">
        <v>0</v>
      </c>
      <c r="N407" t="n">
        <v>0</v>
      </c>
      <c r="O407" t="n">
        <v>0</v>
      </c>
      <c r="P407" t="n">
        <v>0</v>
      </c>
      <c r="Q407" t="n">
        <v>0</v>
      </c>
      <c r="R407" s="2" t="inlineStr"/>
    </row>
    <row r="408" ht="15" customHeight="1">
      <c r="A408" t="inlineStr">
        <is>
          <t>A 8444-2025</t>
        </is>
      </c>
      <c r="B408" s="1" t="n">
        <v>45709</v>
      </c>
      <c r="C408" s="1" t="n">
        <v>45895</v>
      </c>
      <c r="D408" t="inlineStr">
        <is>
          <t>GOTLANDS LÄN</t>
        </is>
      </c>
      <c r="E408" t="inlineStr">
        <is>
          <t>GOTLAND</t>
        </is>
      </c>
      <c r="G408" t="n">
        <v>5.2</v>
      </c>
      <c r="H408" t="n">
        <v>0</v>
      </c>
      <c r="I408" t="n">
        <v>0</v>
      </c>
      <c r="J408" t="n">
        <v>0</v>
      </c>
      <c r="K408" t="n">
        <v>0</v>
      </c>
      <c r="L408" t="n">
        <v>0</v>
      </c>
      <c r="M408" t="n">
        <v>0</v>
      </c>
      <c r="N408" t="n">
        <v>0</v>
      </c>
      <c r="O408" t="n">
        <v>0</v>
      </c>
      <c r="P408" t="n">
        <v>0</v>
      </c>
      <c r="Q408" t="n">
        <v>0</v>
      </c>
      <c r="R408" s="2" t="inlineStr"/>
    </row>
    <row r="409" ht="15" customHeight="1">
      <c r="A409" t="inlineStr">
        <is>
          <t>A 63229-2021</t>
        </is>
      </c>
      <c r="B409" s="1" t="n">
        <v>44508.34518518519</v>
      </c>
      <c r="C409" s="1" t="n">
        <v>45895</v>
      </c>
      <c r="D409" t="inlineStr">
        <is>
          <t>GOTLANDS LÄN</t>
        </is>
      </c>
      <c r="E409" t="inlineStr">
        <is>
          <t>GOTLAND</t>
        </is>
      </c>
      <c r="F409" t="inlineStr">
        <is>
          <t>Kyrkan</t>
        </is>
      </c>
      <c r="G409" t="n">
        <v>3.8</v>
      </c>
      <c r="H409" t="n">
        <v>0</v>
      </c>
      <c r="I409" t="n">
        <v>0</v>
      </c>
      <c r="J409" t="n">
        <v>0</v>
      </c>
      <c r="K409" t="n">
        <v>0</v>
      </c>
      <c r="L409" t="n">
        <v>0</v>
      </c>
      <c r="M409" t="n">
        <v>0</v>
      </c>
      <c r="N409" t="n">
        <v>0</v>
      </c>
      <c r="O409" t="n">
        <v>0</v>
      </c>
      <c r="P409" t="n">
        <v>0</v>
      </c>
      <c r="Q409" t="n">
        <v>0</v>
      </c>
      <c r="R409" s="2" t="inlineStr"/>
    </row>
    <row r="410" ht="15" customHeight="1">
      <c r="A410" t="inlineStr">
        <is>
          <t>A 46375-2024</t>
        </is>
      </c>
      <c r="B410" s="1" t="n">
        <v>45582</v>
      </c>
      <c r="C410" s="1" t="n">
        <v>45895</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581-2023</t>
        </is>
      </c>
      <c r="B411" s="1" t="n">
        <v>44930</v>
      </c>
      <c r="C411" s="1" t="n">
        <v>45895</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61386-2023</t>
        </is>
      </c>
      <c r="B412" s="1" t="n">
        <v>45264</v>
      </c>
      <c r="C412" s="1" t="n">
        <v>45895</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873-2024</t>
        </is>
      </c>
      <c r="B413" s="1" t="n">
        <v>45301</v>
      </c>
      <c r="C413" s="1" t="n">
        <v>45895</v>
      </c>
      <c r="D413" t="inlineStr">
        <is>
          <t>GOTLANDS LÄN</t>
        </is>
      </c>
      <c r="E413" t="inlineStr">
        <is>
          <t>GOTLAND</t>
        </is>
      </c>
      <c r="G413" t="n">
        <v>2.7</v>
      </c>
      <c r="H413" t="n">
        <v>0</v>
      </c>
      <c r="I413" t="n">
        <v>0</v>
      </c>
      <c r="J413" t="n">
        <v>0</v>
      </c>
      <c r="K413" t="n">
        <v>0</v>
      </c>
      <c r="L413" t="n">
        <v>0</v>
      </c>
      <c r="M413" t="n">
        <v>0</v>
      </c>
      <c r="N413" t="n">
        <v>0</v>
      </c>
      <c r="O413" t="n">
        <v>0</v>
      </c>
      <c r="P413" t="n">
        <v>0</v>
      </c>
      <c r="Q413" t="n">
        <v>0</v>
      </c>
      <c r="R413" s="2" t="inlineStr"/>
    </row>
    <row r="414" ht="15" customHeight="1">
      <c r="A414" t="inlineStr">
        <is>
          <t>A 49411-2023</t>
        </is>
      </c>
      <c r="B414" s="1" t="n">
        <v>45205</v>
      </c>
      <c r="C414" s="1" t="n">
        <v>45895</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22275-2023</t>
        </is>
      </c>
      <c r="B415" s="1" t="n">
        <v>45070.39875</v>
      </c>
      <c r="C415" s="1" t="n">
        <v>45895</v>
      </c>
      <c r="D415" t="inlineStr">
        <is>
          <t>GOTLANDS LÄN</t>
        </is>
      </c>
      <c r="E415" t="inlineStr">
        <is>
          <t>GOTLAND</t>
        </is>
      </c>
      <c r="G415" t="n">
        <v>7.2</v>
      </c>
      <c r="H415" t="n">
        <v>0</v>
      </c>
      <c r="I415" t="n">
        <v>0</v>
      </c>
      <c r="J415" t="n">
        <v>0</v>
      </c>
      <c r="K415" t="n">
        <v>0</v>
      </c>
      <c r="L415" t="n">
        <v>0</v>
      </c>
      <c r="M415" t="n">
        <v>0</v>
      </c>
      <c r="N415" t="n">
        <v>0</v>
      </c>
      <c r="O415" t="n">
        <v>0</v>
      </c>
      <c r="P415" t="n">
        <v>0</v>
      </c>
      <c r="Q415" t="n">
        <v>0</v>
      </c>
      <c r="R415" s="2" t="inlineStr"/>
    </row>
    <row r="416" ht="15" customHeight="1">
      <c r="A416" t="inlineStr">
        <is>
          <t>A 12322-2025</t>
        </is>
      </c>
      <c r="B416" s="1" t="n">
        <v>45730</v>
      </c>
      <c r="C416" s="1" t="n">
        <v>45895</v>
      </c>
      <c r="D416" t="inlineStr">
        <is>
          <t>GOTLANDS LÄN</t>
        </is>
      </c>
      <c r="E416" t="inlineStr">
        <is>
          <t>GOTLAND</t>
        </is>
      </c>
      <c r="G416" t="n">
        <v>1.4</v>
      </c>
      <c r="H416" t="n">
        <v>0</v>
      </c>
      <c r="I416" t="n">
        <v>0</v>
      </c>
      <c r="J416" t="n">
        <v>0</v>
      </c>
      <c r="K416" t="n">
        <v>0</v>
      </c>
      <c r="L416" t="n">
        <v>0</v>
      </c>
      <c r="M416" t="n">
        <v>0</v>
      </c>
      <c r="N416" t="n">
        <v>0</v>
      </c>
      <c r="O416" t="n">
        <v>0</v>
      </c>
      <c r="P416" t="n">
        <v>0</v>
      </c>
      <c r="Q416" t="n">
        <v>0</v>
      </c>
      <c r="R416" s="2" t="inlineStr"/>
    </row>
    <row r="417" ht="15" customHeight="1">
      <c r="A417" t="inlineStr">
        <is>
          <t>A 19905-2025</t>
        </is>
      </c>
      <c r="B417" s="1" t="n">
        <v>45771</v>
      </c>
      <c r="C417" s="1" t="n">
        <v>45895</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14797-2024</t>
        </is>
      </c>
      <c r="B418" s="1" t="n">
        <v>45397.87030092593</v>
      </c>
      <c r="C418" s="1" t="n">
        <v>45895</v>
      </c>
      <c r="D418" t="inlineStr">
        <is>
          <t>GOTLANDS LÄN</t>
        </is>
      </c>
      <c r="E418" t="inlineStr">
        <is>
          <t>GOTLAND</t>
        </is>
      </c>
      <c r="G418" t="n">
        <v>8.1</v>
      </c>
      <c r="H418" t="n">
        <v>0</v>
      </c>
      <c r="I418" t="n">
        <v>0</v>
      </c>
      <c r="J418" t="n">
        <v>0</v>
      </c>
      <c r="K418" t="n">
        <v>0</v>
      </c>
      <c r="L418" t="n">
        <v>0</v>
      </c>
      <c r="M418" t="n">
        <v>0</v>
      </c>
      <c r="N418" t="n">
        <v>0</v>
      </c>
      <c r="O418" t="n">
        <v>0</v>
      </c>
      <c r="P418" t="n">
        <v>0</v>
      </c>
      <c r="Q418" t="n">
        <v>0</v>
      </c>
      <c r="R418" s="2" t="inlineStr"/>
    </row>
    <row r="419" ht="15" customHeight="1">
      <c r="A419" t="inlineStr">
        <is>
          <t>A 999-2024</t>
        </is>
      </c>
      <c r="B419" s="1" t="n">
        <v>45301</v>
      </c>
      <c r="C419" s="1" t="n">
        <v>45895</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61596-2023</t>
        </is>
      </c>
      <c r="B420" s="1" t="n">
        <v>45265</v>
      </c>
      <c r="C420" s="1" t="n">
        <v>45895</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29196-2025</t>
        </is>
      </c>
      <c r="B421" s="1" t="n">
        <v>45822</v>
      </c>
      <c r="C421" s="1" t="n">
        <v>45895</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1734-2025</t>
        </is>
      </c>
      <c r="B422" s="1" t="n">
        <v>45671.3840625</v>
      </c>
      <c r="C422" s="1" t="n">
        <v>45895</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14638-2025</t>
        </is>
      </c>
      <c r="B423" s="1" t="n">
        <v>45742</v>
      </c>
      <c r="C423" s="1" t="n">
        <v>45895</v>
      </c>
      <c r="D423" t="inlineStr">
        <is>
          <t>GOTLANDS LÄN</t>
        </is>
      </c>
      <c r="E423" t="inlineStr">
        <is>
          <t>GOTLAND</t>
        </is>
      </c>
      <c r="G423" t="n">
        <v>13.4</v>
      </c>
      <c r="H423" t="n">
        <v>0</v>
      </c>
      <c r="I423" t="n">
        <v>0</v>
      </c>
      <c r="J423" t="n">
        <v>0</v>
      </c>
      <c r="K423" t="n">
        <v>0</v>
      </c>
      <c r="L423" t="n">
        <v>0</v>
      </c>
      <c r="M423" t="n">
        <v>0</v>
      </c>
      <c r="N423" t="n">
        <v>0</v>
      </c>
      <c r="O423" t="n">
        <v>0</v>
      </c>
      <c r="P423" t="n">
        <v>0</v>
      </c>
      <c r="Q423" t="n">
        <v>0</v>
      </c>
      <c r="R423" s="2" t="inlineStr"/>
    </row>
    <row r="424" ht="15" customHeight="1">
      <c r="A424" t="inlineStr">
        <is>
          <t>A 20993-2023</t>
        </is>
      </c>
      <c r="B424" s="1" t="n">
        <v>45056</v>
      </c>
      <c r="C424" s="1" t="n">
        <v>45895</v>
      </c>
      <c r="D424" t="inlineStr">
        <is>
          <t>GOTLANDS LÄN</t>
        </is>
      </c>
      <c r="E424" t="inlineStr">
        <is>
          <t>GOTLAND</t>
        </is>
      </c>
      <c r="G424" t="n">
        <v>7.1</v>
      </c>
      <c r="H424" t="n">
        <v>0</v>
      </c>
      <c r="I424" t="n">
        <v>0</v>
      </c>
      <c r="J424" t="n">
        <v>0</v>
      </c>
      <c r="K424" t="n">
        <v>0</v>
      </c>
      <c r="L424" t="n">
        <v>0</v>
      </c>
      <c r="M424" t="n">
        <v>0</v>
      </c>
      <c r="N424" t="n">
        <v>0</v>
      </c>
      <c r="O424" t="n">
        <v>0</v>
      </c>
      <c r="P424" t="n">
        <v>0</v>
      </c>
      <c r="Q424" t="n">
        <v>0</v>
      </c>
      <c r="R424" s="2" t="inlineStr"/>
    </row>
    <row r="425" ht="15" customHeight="1">
      <c r="A425" t="inlineStr">
        <is>
          <t>A 60675-2021</t>
        </is>
      </c>
      <c r="B425" s="1" t="n">
        <v>44496.64855324074</v>
      </c>
      <c r="C425" s="1" t="n">
        <v>45895</v>
      </c>
      <c r="D425" t="inlineStr">
        <is>
          <t>GOTLANDS LÄN</t>
        </is>
      </c>
      <c r="E425" t="inlineStr">
        <is>
          <t>GOTLAND</t>
        </is>
      </c>
      <c r="G425" t="n">
        <v>4.6</v>
      </c>
      <c r="H425" t="n">
        <v>0</v>
      </c>
      <c r="I425" t="n">
        <v>0</v>
      </c>
      <c r="J425" t="n">
        <v>0</v>
      </c>
      <c r="K425" t="n">
        <v>0</v>
      </c>
      <c r="L425" t="n">
        <v>0</v>
      </c>
      <c r="M425" t="n">
        <v>0</v>
      </c>
      <c r="N425" t="n">
        <v>0</v>
      </c>
      <c r="O425" t="n">
        <v>0</v>
      </c>
      <c r="P425" t="n">
        <v>0</v>
      </c>
      <c r="Q425" t="n">
        <v>0</v>
      </c>
      <c r="R425" s="2" t="inlineStr"/>
    </row>
    <row r="426" ht="15" customHeight="1">
      <c r="A426" t="inlineStr">
        <is>
          <t>A 29207-2025</t>
        </is>
      </c>
      <c r="B426" s="1" t="n">
        <v>45823</v>
      </c>
      <c r="C426" s="1" t="n">
        <v>45895</v>
      </c>
      <c r="D426" t="inlineStr">
        <is>
          <t>GOTLANDS LÄN</t>
        </is>
      </c>
      <c r="E426" t="inlineStr">
        <is>
          <t>GOTLAND</t>
        </is>
      </c>
      <c r="G426" t="n">
        <v>1.9</v>
      </c>
      <c r="H426" t="n">
        <v>0</v>
      </c>
      <c r="I426" t="n">
        <v>0</v>
      </c>
      <c r="J426" t="n">
        <v>0</v>
      </c>
      <c r="K426" t="n">
        <v>0</v>
      </c>
      <c r="L426" t="n">
        <v>0</v>
      </c>
      <c r="M426" t="n">
        <v>0</v>
      </c>
      <c r="N426" t="n">
        <v>0</v>
      </c>
      <c r="O426" t="n">
        <v>0</v>
      </c>
      <c r="P426" t="n">
        <v>0</v>
      </c>
      <c r="Q426" t="n">
        <v>0</v>
      </c>
      <c r="R426" s="2" t="inlineStr"/>
    </row>
    <row r="427" ht="15" customHeight="1">
      <c r="A427" t="inlineStr">
        <is>
          <t>A 37728-2024</t>
        </is>
      </c>
      <c r="B427" s="1" t="n">
        <v>45541</v>
      </c>
      <c r="C427" s="1" t="n">
        <v>45895</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30104-2025</t>
        </is>
      </c>
      <c r="B428" s="1" t="n">
        <v>45826.68806712963</v>
      </c>
      <c r="C428" s="1" t="n">
        <v>45895</v>
      </c>
      <c r="D428" t="inlineStr">
        <is>
          <t>GOTLANDS LÄN</t>
        </is>
      </c>
      <c r="E428" t="inlineStr">
        <is>
          <t>GOTLAND</t>
        </is>
      </c>
      <c r="G428" t="n">
        <v>15.4</v>
      </c>
      <c r="H428" t="n">
        <v>0</v>
      </c>
      <c r="I428" t="n">
        <v>0</v>
      </c>
      <c r="J428" t="n">
        <v>0</v>
      </c>
      <c r="K428" t="n">
        <v>0</v>
      </c>
      <c r="L428" t="n">
        <v>0</v>
      </c>
      <c r="M428" t="n">
        <v>0</v>
      </c>
      <c r="N428" t="n">
        <v>0</v>
      </c>
      <c r="O428" t="n">
        <v>0</v>
      </c>
      <c r="P428" t="n">
        <v>0</v>
      </c>
      <c r="Q428" t="n">
        <v>0</v>
      </c>
      <c r="R428" s="2" t="inlineStr"/>
    </row>
    <row r="429" ht="15" customHeight="1">
      <c r="A429" t="inlineStr">
        <is>
          <t>A 12596-2023</t>
        </is>
      </c>
      <c r="B429" s="1" t="n">
        <v>45000.43310185185</v>
      </c>
      <c r="C429" s="1" t="n">
        <v>45895</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2125-2025</t>
        </is>
      </c>
      <c r="B430" s="1" t="n">
        <v>45672.64940972222</v>
      </c>
      <c r="C430" s="1" t="n">
        <v>45895</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22287-2022</t>
        </is>
      </c>
      <c r="B431" s="1" t="n">
        <v>44712</v>
      </c>
      <c r="C431" s="1" t="n">
        <v>45895</v>
      </c>
      <c r="D431" t="inlineStr">
        <is>
          <t>GOTLANDS LÄN</t>
        </is>
      </c>
      <c r="E431" t="inlineStr">
        <is>
          <t>GOTLAND</t>
        </is>
      </c>
      <c r="G431" t="n">
        <v>6.1</v>
      </c>
      <c r="H431" t="n">
        <v>0</v>
      </c>
      <c r="I431" t="n">
        <v>0</v>
      </c>
      <c r="J431" t="n">
        <v>0</v>
      </c>
      <c r="K431" t="n">
        <v>0</v>
      </c>
      <c r="L431" t="n">
        <v>0</v>
      </c>
      <c r="M431" t="n">
        <v>0</v>
      </c>
      <c r="N431" t="n">
        <v>0</v>
      </c>
      <c r="O431" t="n">
        <v>0</v>
      </c>
      <c r="P431" t="n">
        <v>0</v>
      </c>
      <c r="Q431" t="n">
        <v>0</v>
      </c>
      <c r="R431" s="2" t="inlineStr"/>
    </row>
    <row r="432" ht="15" customHeight="1">
      <c r="A432" t="inlineStr">
        <is>
          <t>A 12155-2023</t>
        </is>
      </c>
      <c r="B432" s="1" t="n">
        <v>44998.49106481481</v>
      </c>
      <c r="C432" s="1" t="n">
        <v>45895</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457-2023</t>
        </is>
      </c>
      <c r="B433" s="1" t="n">
        <v>44929.87238425926</v>
      </c>
      <c r="C433" s="1" t="n">
        <v>45895</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459-2023</t>
        </is>
      </c>
      <c r="B434" s="1" t="n">
        <v>44929.87423611111</v>
      </c>
      <c r="C434" s="1" t="n">
        <v>45895</v>
      </c>
      <c r="D434" t="inlineStr">
        <is>
          <t>GOTLANDS LÄN</t>
        </is>
      </c>
      <c r="E434" t="inlineStr">
        <is>
          <t>GOTLAND</t>
        </is>
      </c>
      <c r="G434" t="n">
        <v>4.2</v>
      </c>
      <c r="H434" t="n">
        <v>0</v>
      </c>
      <c r="I434" t="n">
        <v>0</v>
      </c>
      <c r="J434" t="n">
        <v>0</v>
      </c>
      <c r="K434" t="n">
        <v>0</v>
      </c>
      <c r="L434" t="n">
        <v>0</v>
      </c>
      <c r="M434" t="n">
        <v>0</v>
      </c>
      <c r="N434" t="n">
        <v>0</v>
      </c>
      <c r="O434" t="n">
        <v>0</v>
      </c>
      <c r="P434" t="n">
        <v>0</v>
      </c>
      <c r="Q434" t="n">
        <v>0</v>
      </c>
      <c r="R434" s="2" t="inlineStr"/>
    </row>
    <row r="435" ht="15" customHeight="1">
      <c r="A435" t="inlineStr">
        <is>
          <t>A 38234-2023</t>
        </is>
      </c>
      <c r="B435" s="1" t="n">
        <v>45161.56663194444</v>
      </c>
      <c r="C435" s="1" t="n">
        <v>45895</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30157-2025</t>
        </is>
      </c>
      <c r="B436" s="1" t="n">
        <v>45826</v>
      </c>
      <c r="C436" s="1" t="n">
        <v>45895</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50744-2024</t>
        </is>
      </c>
      <c r="B437" s="1" t="n">
        <v>45602.4187037037</v>
      </c>
      <c r="C437" s="1" t="n">
        <v>45895</v>
      </c>
      <c r="D437" t="inlineStr">
        <is>
          <t>GOTLANDS LÄN</t>
        </is>
      </c>
      <c r="E437" t="inlineStr">
        <is>
          <t>GOTLAND</t>
        </is>
      </c>
      <c r="G437" t="n">
        <v>3.2</v>
      </c>
      <c r="H437" t="n">
        <v>0</v>
      </c>
      <c r="I437" t="n">
        <v>0</v>
      </c>
      <c r="J437" t="n">
        <v>0</v>
      </c>
      <c r="K437" t="n">
        <v>0</v>
      </c>
      <c r="L437" t="n">
        <v>0</v>
      </c>
      <c r="M437" t="n">
        <v>0</v>
      </c>
      <c r="N437" t="n">
        <v>0</v>
      </c>
      <c r="O437" t="n">
        <v>0</v>
      </c>
      <c r="P437" t="n">
        <v>0</v>
      </c>
      <c r="Q437" t="n">
        <v>0</v>
      </c>
      <c r="R437" s="2" t="inlineStr"/>
    </row>
    <row r="438" ht="15" customHeight="1">
      <c r="A438" t="inlineStr">
        <is>
          <t>A 54074-2022</t>
        </is>
      </c>
      <c r="B438" s="1" t="n">
        <v>44881</v>
      </c>
      <c r="C438" s="1" t="n">
        <v>45895</v>
      </c>
      <c r="D438" t="inlineStr">
        <is>
          <t>GOTLANDS LÄN</t>
        </is>
      </c>
      <c r="E438" t="inlineStr">
        <is>
          <t>GOTLAND</t>
        </is>
      </c>
      <c r="G438" t="n">
        <v>0.9</v>
      </c>
      <c r="H438" t="n">
        <v>0</v>
      </c>
      <c r="I438" t="n">
        <v>0</v>
      </c>
      <c r="J438" t="n">
        <v>0</v>
      </c>
      <c r="K438" t="n">
        <v>0</v>
      </c>
      <c r="L438" t="n">
        <v>0</v>
      </c>
      <c r="M438" t="n">
        <v>0</v>
      </c>
      <c r="N438" t="n">
        <v>0</v>
      </c>
      <c r="O438" t="n">
        <v>0</v>
      </c>
      <c r="P438" t="n">
        <v>0</v>
      </c>
      <c r="Q438" t="n">
        <v>0</v>
      </c>
      <c r="R438" s="2" t="inlineStr"/>
    </row>
    <row r="439" ht="15" customHeight="1">
      <c r="A439" t="inlineStr">
        <is>
          <t>A 30061-2025</t>
        </is>
      </c>
      <c r="B439" s="1" t="n">
        <v>45826.61488425926</v>
      </c>
      <c r="C439" s="1" t="n">
        <v>45895</v>
      </c>
      <c r="D439" t="inlineStr">
        <is>
          <t>GOTLANDS LÄN</t>
        </is>
      </c>
      <c r="E439" t="inlineStr">
        <is>
          <t>GOTLAND</t>
        </is>
      </c>
      <c r="G439" t="n">
        <v>4.1</v>
      </c>
      <c r="H439" t="n">
        <v>0</v>
      </c>
      <c r="I439" t="n">
        <v>0</v>
      </c>
      <c r="J439" t="n">
        <v>0</v>
      </c>
      <c r="K439" t="n">
        <v>0</v>
      </c>
      <c r="L439" t="n">
        <v>0</v>
      </c>
      <c r="M439" t="n">
        <v>0</v>
      </c>
      <c r="N439" t="n">
        <v>0</v>
      </c>
      <c r="O439" t="n">
        <v>0</v>
      </c>
      <c r="P439" t="n">
        <v>0</v>
      </c>
      <c r="Q439" t="n">
        <v>0</v>
      </c>
      <c r="R439" s="2" t="inlineStr"/>
    </row>
    <row r="440" ht="15" customHeight="1">
      <c r="A440" t="inlineStr">
        <is>
          <t>A 65249-2023</t>
        </is>
      </c>
      <c r="B440" s="1" t="n">
        <v>45290</v>
      </c>
      <c r="C440" s="1" t="n">
        <v>45895</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53934-2024</t>
        </is>
      </c>
      <c r="B441" s="1" t="n">
        <v>45615</v>
      </c>
      <c r="C441" s="1" t="n">
        <v>45895</v>
      </c>
      <c r="D441" t="inlineStr">
        <is>
          <t>GOTLANDS LÄN</t>
        </is>
      </c>
      <c r="E441" t="inlineStr">
        <is>
          <t>GOTLAND</t>
        </is>
      </c>
      <c r="G441" t="n">
        <v>5</v>
      </c>
      <c r="H441" t="n">
        <v>0</v>
      </c>
      <c r="I441" t="n">
        <v>0</v>
      </c>
      <c r="J441" t="n">
        <v>0</v>
      </c>
      <c r="K441" t="n">
        <v>0</v>
      </c>
      <c r="L441" t="n">
        <v>0</v>
      </c>
      <c r="M441" t="n">
        <v>0</v>
      </c>
      <c r="N441" t="n">
        <v>0</v>
      </c>
      <c r="O441" t="n">
        <v>0</v>
      </c>
      <c r="P441" t="n">
        <v>0</v>
      </c>
      <c r="Q441" t="n">
        <v>0</v>
      </c>
      <c r="R441" s="2" t="inlineStr"/>
    </row>
    <row r="442" ht="15" customHeight="1">
      <c r="A442" t="inlineStr">
        <is>
          <t>A 2035-2025</t>
        </is>
      </c>
      <c r="B442" s="1" t="n">
        <v>45672</v>
      </c>
      <c r="C442" s="1" t="n">
        <v>45895</v>
      </c>
      <c r="D442" t="inlineStr">
        <is>
          <t>GOTLANDS LÄN</t>
        </is>
      </c>
      <c r="E442" t="inlineStr">
        <is>
          <t>GOTLAND</t>
        </is>
      </c>
      <c r="G442" t="n">
        <v>7.5</v>
      </c>
      <c r="H442" t="n">
        <v>0</v>
      </c>
      <c r="I442" t="n">
        <v>0</v>
      </c>
      <c r="J442" t="n">
        <v>0</v>
      </c>
      <c r="K442" t="n">
        <v>0</v>
      </c>
      <c r="L442" t="n">
        <v>0</v>
      </c>
      <c r="M442" t="n">
        <v>0</v>
      </c>
      <c r="N442" t="n">
        <v>0</v>
      </c>
      <c r="O442" t="n">
        <v>0</v>
      </c>
      <c r="P442" t="n">
        <v>0</v>
      </c>
      <c r="Q442" t="n">
        <v>0</v>
      </c>
      <c r="R442" s="2" t="inlineStr"/>
    </row>
    <row r="443" ht="15" customHeight="1">
      <c r="A443" t="inlineStr">
        <is>
          <t>A 58160-2024</t>
        </is>
      </c>
      <c r="B443" s="1" t="n">
        <v>45632.44927083333</v>
      </c>
      <c r="C443" s="1" t="n">
        <v>45895</v>
      </c>
      <c r="D443" t="inlineStr">
        <is>
          <t>GOTLANDS LÄN</t>
        </is>
      </c>
      <c r="E443" t="inlineStr">
        <is>
          <t>GOTLAND</t>
        </is>
      </c>
      <c r="G443" t="n">
        <v>5.6</v>
      </c>
      <c r="H443" t="n">
        <v>0</v>
      </c>
      <c r="I443" t="n">
        <v>0</v>
      </c>
      <c r="J443" t="n">
        <v>0</v>
      </c>
      <c r="K443" t="n">
        <v>0</v>
      </c>
      <c r="L443" t="n">
        <v>0</v>
      </c>
      <c r="M443" t="n">
        <v>0</v>
      </c>
      <c r="N443" t="n">
        <v>0</v>
      </c>
      <c r="O443" t="n">
        <v>0</v>
      </c>
      <c r="P443" t="n">
        <v>0</v>
      </c>
      <c r="Q443" t="n">
        <v>0</v>
      </c>
      <c r="R443" s="2" t="inlineStr"/>
    </row>
    <row r="444" ht="15" customHeight="1">
      <c r="A444" t="inlineStr">
        <is>
          <t>A 13910-2025</t>
        </is>
      </c>
      <c r="B444" s="1" t="n">
        <v>45737</v>
      </c>
      <c r="C444" s="1" t="n">
        <v>45895</v>
      </c>
      <c r="D444" t="inlineStr">
        <is>
          <t>GOTLANDS LÄN</t>
        </is>
      </c>
      <c r="E444" t="inlineStr">
        <is>
          <t>GOTLAND</t>
        </is>
      </c>
      <c r="F444" t="inlineStr">
        <is>
          <t>Kommuner</t>
        </is>
      </c>
      <c r="G444" t="n">
        <v>3.2</v>
      </c>
      <c r="H444" t="n">
        <v>0</v>
      </c>
      <c r="I444" t="n">
        <v>0</v>
      </c>
      <c r="J444" t="n">
        <v>0</v>
      </c>
      <c r="K444" t="n">
        <v>0</v>
      </c>
      <c r="L444" t="n">
        <v>0</v>
      </c>
      <c r="M444" t="n">
        <v>0</v>
      </c>
      <c r="N444" t="n">
        <v>0</v>
      </c>
      <c r="O444" t="n">
        <v>0</v>
      </c>
      <c r="P444" t="n">
        <v>0</v>
      </c>
      <c r="Q444" t="n">
        <v>0</v>
      </c>
      <c r="R444" s="2" t="inlineStr"/>
    </row>
    <row r="445" ht="15" customHeight="1">
      <c r="A445" t="inlineStr">
        <is>
          <t>A 1446-2025</t>
        </is>
      </c>
      <c r="B445" s="1" t="n">
        <v>45669.86035879629</v>
      </c>
      <c r="C445" s="1" t="n">
        <v>45895</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10813-2025</t>
        </is>
      </c>
      <c r="B446" s="1" t="n">
        <v>45722.54163194444</v>
      </c>
      <c r="C446" s="1" t="n">
        <v>45895</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30488-2025</t>
        </is>
      </c>
      <c r="B447" s="1" t="n">
        <v>45830</v>
      </c>
      <c r="C447" s="1" t="n">
        <v>45895</v>
      </c>
      <c r="D447" t="inlineStr">
        <is>
          <t>GOTLANDS LÄN</t>
        </is>
      </c>
      <c r="E447" t="inlineStr">
        <is>
          <t>GOTLAND</t>
        </is>
      </c>
      <c r="F447" t="inlineStr">
        <is>
          <t>Kyrkan</t>
        </is>
      </c>
      <c r="G447" t="n">
        <v>3.9</v>
      </c>
      <c r="H447" t="n">
        <v>0</v>
      </c>
      <c r="I447" t="n">
        <v>0</v>
      </c>
      <c r="J447" t="n">
        <v>0</v>
      </c>
      <c r="K447" t="n">
        <v>0</v>
      </c>
      <c r="L447" t="n">
        <v>0</v>
      </c>
      <c r="M447" t="n">
        <v>0</v>
      </c>
      <c r="N447" t="n">
        <v>0</v>
      </c>
      <c r="O447" t="n">
        <v>0</v>
      </c>
      <c r="P447" t="n">
        <v>0</v>
      </c>
      <c r="Q447" t="n">
        <v>0</v>
      </c>
      <c r="R447" s="2" t="inlineStr"/>
    </row>
    <row r="448" ht="15" customHeight="1">
      <c r="A448" t="inlineStr">
        <is>
          <t>A 1728-2025</t>
        </is>
      </c>
      <c r="B448" s="1" t="n">
        <v>45671.3565162037</v>
      </c>
      <c r="C448" s="1" t="n">
        <v>45895</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17780-2022</t>
        </is>
      </c>
      <c r="B449" s="1" t="n">
        <v>44682.82622685185</v>
      </c>
      <c r="C449" s="1" t="n">
        <v>45895</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30489-2025</t>
        </is>
      </c>
      <c r="B450" s="1" t="n">
        <v>45830</v>
      </c>
      <c r="C450" s="1" t="n">
        <v>45895</v>
      </c>
      <c r="D450" t="inlineStr">
        <is>
          <t>GOTLANDS LÄN</t>
        </is>
      </c>
      <c r="E450" t="inlineStr">
        <is>
          <t>GOTLAND</t>
        </is>
      </c>
      <c r="G450" t="n">
        <v>4.6</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45895</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43901-2023</t>
        </is>
      </c>
      <c r="B452" s="1" t="n">
        <v>45187</v>
      </c>
      <c r="C452" s="1" t="n">
        <v>45895</v>
      </c>
      <c r="D452" t="inlineStr">
        <is>
          <t>GOTLANDS LÄN</t>
        </is>
      </c>
      <c r="E452" t="inlineStr">
        <is>
          <t>GOTLAND</t>
        </is>
      </c>
      <c r="G452" t="n">
        <v>5.4</v>
      </c>
      <c r="H452" t="n">
        <v>0</v>
      </c>
      <c r="I452" t="n">
        <v>0</v>
      </c>
      <c r="J452" t="n">
        <v>0</v>
      </c>
      <c r="K452" t="n">
        <v>0</v>
      </c>
      <c r="L452" t="n">
        <v>0</v>
      </c>
      <c r="M452" t="n">
        <v>0</v>
      </c>
      <c r="N452" t="n">
        <v>0</v>
      </c>
      <c r="O452" t="n">
        <v>0</v>
      </c>
      <c r="P452" t="n">
        <v>0</v>
      </c>
      <c r="Q452" t="n">
        <v>0</v>
      </c>
      <c r="R452" s="2" t="inlineStr"/>
    </row>
    <row r="453" ht="15" customHeight="1">
      <c r="A453" t="inlineStr">
        <is>
          <t>A 59986-2022</t>
        </is>
      </c>
      <c r="B453" s="1" t="n">
        <v>44909</v>
      </c>
      <c r="C453" s="1" t="n">
        <v>45895</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14536-2021</t>
        </is>
      </c>
      <c r="B454" s="1" t="n">
        <v>44279.66168981481</v>
      </c>
      <c r="C454" s="1" t="n">
        <v>45895</v>
      </c>
      <c r="D454" t="inlineStr">
        <is>
          <t>GOTLANDS LÄN</t>
        </is>
      </c>
      <c r="E454" t="inlineStr">
        <is>
          <t>GOTLAND</t>
        </is>
      </c>
      <c r="G454" t="n">
        <v>8.5</v>
      </c>
      <c r="H454" t="n">
        <v>0</v>
      </c>
      <c r="I454" t="n">
        <v>0</v>
      </c>
      <c r="J454" t="n">
        <v>0</v>
      </c>
      <c r="K454" t="n">
        <v>0</v>
      </c>
      <c r="L454" t="n">
        <v>0</v>
      </c>
      <c r="M454" t="n">
        <v>0</v>
      </c>
      <c r="N454" t="n">
        <v>0</v>
      </c>
      <c r="O454" t="n">
        <v>0</v>
      </c>
      <c r="P454" t="n">
        <v>0</v>
      </c>
      <c r="Q454" t="n">
        <v>0</v>
      </c>
      <c r="R454" s="2" t="inlineStr"/>
    </row>
    <row r="455" ht="15" customHeight="1">
      <c r="A455" t="inlineStr">
        <is>
          <t>A 10746-2025</t>
        </is>
      </c>
      <c r="B455" s="1" t="n">
        <v>45722.42766203704</v>
      </c>
      <c r="C455" s="1" t="n">
        <v>45895</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16501-2023</t>
        </is>
      </c>
      <c r="B456" s="1" t="n">
        <v>45029</v>
      </c>
      <c r="C456" s="1" t="n">
        <v>45895</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27930-2021</t>
        </is>
      </c>
      <c r="B457" s="1" t="n">
        <v>44354</v>
      </c>
      <c r="C457" s="1" t="n">
        <v>45895</v>
      </c>
      <c r="D457" t="inlineStr">
        <is>
          <t>GOTLANDS LÄN</t>
        </is>
      </c>
      <c r="E457" t="inlineStr">
        <is>
          <t>GOTLAND</t>
        </is>
      </c>
      <c r="G457" t="n">
        <v>2.5</v>
      </c>
      <c r="H457" t="n">
        <v>0</v>
      </c>
      <c r="I457" t="n">
        <v>0</v>
      </c>
      <c r="J457" t="n">
        <v>0</v>
      </c>
      <c r="K457" t="n">
        <v>0</v>
      </c>
      <c r="L457" t="n">
        <v>0</v>
      </c>
      <c r="M457" t="n">
        <v>0</v>
      </c>
      <c r="N457" t="n">
        <v>0</v>
      </c>
      <c r="O457" t="n">
        <v>0</v>
      </c>
      <c r="P457" t="n">
        <v>0</v>
      </c>
      <c r="Q457" t="n">
        <v>0</v>
      </c>
      <c r="R457" s="2" t="inlineStr"/>
    </row>
    <row r="458" ht="15" customHeight="1">
      <c r="A458" t="inlineStr">
        <is>
          <t>A 30135-2025</t>
        </is>
      </c>
      <c r="B458" s="1" t="n">
        <v>45826</v>
      </c>
      <c r="C458" s="1" t="n">
        <v>45895</v>
      </c>
      <c r="D458" t="inlineStr">
        <is>
          <t>GOTLANDS LÄN</t>
        </is>
      </c>
      <c r="E458" t="inlineStr">
        <is>
          <t>GOTLAND</t>
        </is>
      </c>
      <c r="G458" t="n">
        <v>2.7</v>
      </c>
      <c r="H458" t="n">
        <v>0</v>
      </c>
      <c r="I458" t="n">
        <v>0</v>
      </c>
      <c r="J458" t="n">
        <v>0</v>
      </c>
      <c r="K458" t="n">
        <v>0</v>
      </c>
      <c r="L458" t="n">
        <v>0</v>
      </c>
      <c r="M458" t="n">
        <v>0</v>
      </c>
      <c r="N458" t="n">
        <v>0</v>
      </c>
      <c r="O458" t="n">
        <v>0</v>
      </c>
      <c r="P458" t="n">
        <v>0</v>
      </c>
      <c r="Q458" t="n">
        <v>0</v>
      </c>
      <c r="R458" s="2" t="inlineStr"/>
    </row>
    <row r="459" ht="15" customHeight="1">
      <c r="A459" t="inlineStr">
        <is>
          <t>A 61962-2024</t>
        </is>
      </c>
      <c r="B459" s="1" t="n">
        <v>45653.54340277778</v>
      </c>
      <c r="C459" s="1" t="n">
        <v>45895</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32686-2025</t>
        </is>
      </c>
      <c r="B460" s="1" t="n">
        <v>45838</v>
      </c>
      <c r="C460" s="1" t="n">
        <v>45895</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11874-2024</t>
        </is>
      </c>
      <c r="B461" s="1" t="n">
        <v>45376.46956018519</v>
      </c>
      <c r="C461" s="1" t="n">
        <v>45895</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2292-2021</t>
        </is>
      </c>
      <c r="B462" s="1" t="n">
        <v>44212</v>
      </c>
      <c r="C462" s="1" t="n">
        <v>45895</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42041-2024</t>
        </is>
      </c>
      <c r="B463" s="1" t="n">
        <v>45561</v>
      </c>
      <c r="C463" s="1" t="n">
        <v>45895</v>
      </c>
      <c r="D463" t="inlineStr">
        <is>
          <t>GOTLANDS LÄN</t>
        </is>
      </c>
      <c r="E463" t="inlineStr">
        <is>
          <t>GOTLAND</t>
        </is>
      </c>
      <c r="G463" t="n">
        <v>3.2</v>
      </c>
      <c r="H463" t="n">
        <v>0</v>
      </c>
      <c r="I463" t="n">
        <v>0</v>
      </c>
      <c r="J463" t="n">
        <v>0</v>
      </c>
      <c r="K463" t="n">
        <v>0</v>
      </c>
      <c r="L463" t="n">
        <v>0</v>
      </c>
      <c r="M463" t="n">
        <v>0</v>
      </c>
      <c r="N463" t="n">
        <v>0</v>
      </c>
      <c r="O463" t="n">
        <v>0</v>
      </c>
      <c r="P463" t="n">
        <v>0</v>
      </c>
      <c r="Q463" t="n">
        <v>0</v>
      </c>
      <c r="R463" s="2" t="inlineStr"/>
    </row>
    <row r="464" ht="15" customHeight="1">
      <c r="A464" t="inlineStr">
        <is>
          <t>A 10492-2023</t>
        </is>
      </c>
      <c r="B464" s="1" t="n">
        <v>44987</v>
      </c>
      <c r="C464" s="1" t="n">
        <v>45895</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32379-2025</t>
        </is>
      </c>
      <c r="B465" s="1" t="n">
        <v>45837</v>
      </c>
      <c r="C465" s="1" t="n">
        <v>45895</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61694-2023</t>
        </is>
      </c>
      <c r="B466" s="1" t="n">
        <v>45264</v>
      </c>
      <c r="C466" s="1" t="n">
        <v>45895</v>
      </c>
      <c r="D466" t="inlineStr">
        <is>
          <t>GOTLANDS LÄN</t>
        </is>
      </c>
      <c r="E466" t="inlineStr">
        <is>
          <t>GOTLAND</t>
        </is>
      </c>
      <c r="G466" t="n">
        <v>4.6</v>
      </c>
      <c r="H466" t="n">
        <v>0</v>
      </c>
      <c r="I466" t="n">
        <v>0</v>
      </c>
      <c r="J466" t="n">
        <v>0</v>
      </c>
      <c r="K466" t="n">
        <v>0</v>
      </c>
      <c r="L466" t="n">
        <v>0</v>
      </c>
      <c r="M466" t="n">
        <v>0</v>
      </c>
      <c r="N466" t="n">
        <v>0</v>
      </c>
      <c r="O466" t="n">
        <v>0</v>
      </c>
      <c r="P466" t="n">
        <v>0</v>
      </c>
      <c r="Q466" t="n">
        <v>0</v>
      </c>
      <c r="R466" s="2" t="inlineStr"/>
    </row>
    <row r="467" ht="15" customHeight="1">
      <c r="A467" t="inlineStr">
        <is>
          <t>A 5909-2025</t>
        </is>
      </c>
      <c r="B467" s="1" t="n">
        <v>45695.40634259259</v>
      </c>
      <c r="C467" s="1" t="n">
        <v>45895</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10653-2023</t>
        </is>
      </c>
      <c r="B468" s="1" t="n">
        <v>44988.48859953704</v>
      </c>
      <c r="C468" s="1" t="n">
        <v>45895</v>
      </c>
      <c r="D468" t="inlineStr">
        <is>
          <t>GOTLANDS LÄN</t>
        </is>
      </c>
      <c r="E468" t="inlineStr">
        <is>
          <t>GOTLAND</t>
        </is>
      </c>
      <c r="F468" t="inlineStr">
        <is>
          <t>Kyrkan</t>
        </is>
      </c>
      <c r="G468" t="n">
        <v>3</v>
      </c>
      <c r="H468" t="n">
        <v>0</v>
      </c>
      <c r="I468" t="n">
        <v>0</v>
      </c>
      <c r="J468" t="n">
        <v>0</v>
      </c>
      <c r="K468" t="n">
        <v>0</v>
      </c>
      <c r="L468" t="n">
        <v>0</v>
      </c>
      <c r="M468" t="n">
        <v>0</v>
      </c>
      <c r="N468" t="n">
        <v>0</v>
      </c>
      <c r="O468" t="n">
        <v>0</v>
      </c>
      <c r="P468" t="n">
        <v>0</v>
      </c>
      <c r="Q468" t="n">
        <v>0</v>
      </c>
      <c r="R468" s="2" t="inlineStr"/>
    </row>
    <row r="469" ht="15" customHeight="1">
      <c r="A469" t="inlineStr">
        <is>
          <t>A 32467-2025</t>
        </is>
      </c>
      <c r="B469" s="1" t="n">
        <v>45838.42111111111</v>
      </c>
      <c r="C469" s="1" t="n">
        <v>45895</v>
      </c>
      <c r="D469" t="inlineStr">
        <is>
          <t>GOTLANDS LÄN</t>
        </is>
      </c>
      <c r="E469" t="inlineStr">
        <is>
          <t>GOTLAND</t>
        </is>
      </c>
      <c r="G469" t="n">
        <v>4.3</v>
      </c>
      <c r="H469" t="n">
        <v>0</v>
      </c>
      <c r="I469" t="n">
        <v>0</v>
      </c>
      <c r="J469" t="n">
        <v>0</v>
      </c>
      <c r="K469" t="n">
        <v>0</v>
      </c>
      <c r="L469" t="n">
        <v>0</v>
      </c>
      <c r="M469" t="n">
        <v>0</v>
      </c>
      <c r="N469" t="n">
        <v>0</v>
      </c>
      <c r="O469" t="n">
        <v>0</v>
      </c>
      <c r="P469" t="n">
        <v>0</v>
      </c>
      <c r="Q469" t="n">
        <v>0</v>
      </c>
      <c r="R469" s="2" t="inlineStr"/>
    </row>
    <row r="470" ht="15" customHeight="1">
      <c r="A470" t="inlineStr">
        <is>
          <t>A 15001-2025</t>
        </is>
      </c>
      <c r="B470" s="1" t="n">
        <v>45743</v>
      </c>
      <c r="C470" s="1" t="n">
        <v>45895</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32378-2025</t>
        </is>
      </c>
      <c r="B471" s="1" t="n">
        <v>45837</v>
      </c>
      <c r="C471" s="1" t="n">
        <v>45895</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4990-2025</t>
        </is>
      </c>
      <c r="B472" s="1" t="n">
        <v>45691</v>
      </c>
      <c r="C472" s="1" t="n">
        <v>45895</v>
      </c>
      <c r="D472" t="inlineStr">
        <is>
          <t>GOTLANDS LÄN</t>
        </is>
      </c>
      <c r="E472" t="inlineStr">
        <is>
          <t>GOTLAND</t>
        </is>
      </c>
      <c r="G472" t="n">
        <v>7.7</v>
      </c>
      <c r="H472" t="n">
        <v>0</v>
      </c>
      <c r="I472" t="n">
        <v>0</v>
      </c>
      <c r="J472" t="n">
        <v>0</v>
      </c>
      <c r="K472" t="n">
        <v>0</v>
      </c>
      <c r="L472" t="n">
        <v>0</v>
      </c>
      <c r="M472" t="n">
        <v>0</v>
      </c>
      <c r="N472" t="n">
        <v>0</v>
      </c>
      <c r="O472" t="n">
        <v>0</v>
      </c>
      <c r="P472" t="n">
        <v>0</v>
      </c>
      <c r="Q472" t="n">
        <v>0</v>
      </c>
      <c r="R472" s="2" t="inlineStr"/>
    </row>
    <row r="473" ht="15" customHeight="1">
      <c r="A473" t="inlineStr">
        <is>
          <t>A 16109-2025</t>
        </is>
      </c>
      <c r="B473" s="1" t="n">
        <v>45750</v>
      </c>
      <c r="C473" s="1" t="n">
        <v>45895</v>
      </c>
      <c r="D473" t="inlineStr">
        <is>
          <t>GOTLANDS LÄN</t>
        </is>
      </c>
      <c r="E473" t="inlineStr">
        <is>
          <t>GOTLAND</t>
        </is>
      </c>
      <c r="G473" t="n">
        <v>4.9</v>
      </c>
      <c r="H473" t="n">
        <v>0</v>
      </c>
      <c r="I473" t="n">
        <v>0</v>
      </c>
      <c r="J473" t="n">
        <v>0</v>
      </c>
      <c r="K473" t="n">
        <v>0</v>
      </c>
      <c r="L473" t="n">
        <v>0</v>
      </c>
      <c r="M473" t="n">
        <v>0</v>
      </c>
      <c r="N473" t="n">
        <v>0</v>
      </c>
      <c r="O473" t="n">
        <v>0</v>
      </c>
      <c r="P473" t="n">
        <v>0</v>
      </c>
      <c r="Q473" t="n">
        <v>0</v>
      </c>
      <c r="R473" s="2" t="inlineStr"/>
    </row>
    <row r="474" ht="15" customHeight="1">
      <c r="A474" t="inlineStr">
        <is>
          <t>A 33078-2025</t>
        </is>
      </c>
      <c r="B474" s="1" t="n">
        <v>45840</v>
      </c>
      <c r="C474" s="1" t="n">
        <v>45895</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64555-2023</t>
        </is>
      </c>
      <c r="B475" s="1" t="n">
        <v>45281</v>
      </c>
      <c r="C475" s="1" t="n">
        <v>45895</v>
      </c>
      <c r="D475" t="inlineStr">
        <is>
          <t>GOTLANDS LÄN</t>
        </is>
      </c>
      <c r="E475" t="inlineStr">
        <is>
          <t>GOTLAND</t>
        </is>
      </c>
      <c r="G475" t="n">
        <v>3.5</v>
      </c>
      <c r="H475" t="n">
        <v>0</v>
      </c>
      <c r="I475" t="n">
        <v>0</v>
      </c>
      <c r="J475" t="n">
        <v>0</v>
      </c>
      <c r="K475" t="n">
        <v>0</v>
      </c>
      <c r="L475" t="n">
        <v>0</v>
      </c>
      <c r="M475" t="n">
        <v>0</v>
      </c>
      <c r="N475" t="n">
        <v>0</v>
      </c>
      <c r="O475" t="n">
        <v>0</v>
      </c>
      <c r="P475" t="n">
        <v>0</v>
      </c>
      <c r="Q475" t="n">
        <v>0</v>
      </c>
      <c r="R475" s="2" t="inlineStr"/>
    </row>
    <row r="476" ht="15" customHeight="1">
      <c r="A476" t="inlineStr">
        <is>
          <t>A 64831-2023</t>
        </is>
      </c>
      <c r="B476" s="1" t="n">
        <v>45282.44924768519</v>
      </c>
      <c r="C476" s="1" t="n">
        <v>45895</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14804-2021</t>
        </is>
      </c>
      <c r="B477" s="1" t="n">
        <v>44280</v>
      </c>
      <c r="C477" s="1" t="n">
        <v>45895</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999-2023</t>
        </is>
      </c>
      <c r="B478" s="1" t="n">
        <v>44935</v>
      </c>
      <c r="C478" s="1" t="n">
        <v>45895</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27602-2023</t>
        </is>
      </c>
      <c r="B479" s="1" t="n">
        <v>45097</v>
      </c>
      <c r="C479" s="1" t="n">
        <v>45895</v>
      </c>
      <c r="D479" t="inlineStr">
        <is>
          <t>GOTLANDS LÄN</t>
        </is>
      </c>
      <c r="E479" t="inlineStr">
        <is>
          <t>GOTLAND</t>
        </is>
      </c>
      <c r="G479" t="n">
        <v>2.7</v>
      </c>
      <c r="H479" t="n">
        <v>0</v>
      </c>
      <c r="I479" t="n">
        <v>0</v>
      </c>
      <c r="J479" t="n">
        <v>0</v>
      </c>
      <c r="K479" t="n">
        <v>0</v>
      </c>
      <c r="L479" t="n">
        <v>0</v>
      </c>
      <c r="M479" t="n">
        <v>0</v>
      </c>
      <c r="N479" t="n">
        <v>0</v>
      </c>
      <c r="O479" t="n">
        <v>0</v>
      </c>
      <c r="P479" t="n">
        <v>0</v>
      </c>
      <c r="Q479" t="n">
        <v>0</v>
      </c>
      <c r="R479" s="2" t="inlineStr"/>
    </row>
    <row r="480" ht="15" customHeight="1">
      <c r="A480" t="inlineStr">
        <is>
          <t>A 43081-2022</t>
        </is>
      </c>
      <c r="B480" s="1" t="n">
        <v>44833</v>
      </c>
      <c r="C480" s="1" t="n">
        <v>45895</v>
      </c>
      <c r="D480" t="inlineStr">
        <is>
          <t>GOTLANDS LÄN</t>
        </is>
      </c>
      <c r="E480" t="inlineStr">
        <is>
          <t>GOTLAND</t>
        </is>
      </c>
      <c r="G480" t="n">
        <v>6.8</v>
      </c>
      <c r="H480" t="n">
        <v>0</v>
      </c>
      <c r="I480" t="n">
        <v>0</v>
      </c>
      <c r="J480" t="n">
        <v>0</v>
      </c>
      <c r="K480" t="n">
        <v>0</v>
      </c>
      <c r="L480" t="n">
        <v>0</v>
      </c>
      <c r="M480" t="n">
        <v>0</v>
      </c>
      <c r="N480" t="n">
        <v>0</v>
      </c>
      <c r="O480" t="n">
        <v>0</v>
      </c>
      <c r="P480" t="n">
        <v>0</v>
      </c>
      <c r="Q480" t="n">
        <v>0</v>
      </c>
      <c r="R480" s="2" t="inlineStr"/>
    </row>
    <row r="481" ht="15" customHeight="1">
      <c r="A481" t="inlineStr">
        <is>
          <t>A 32958-2021</t>
        </is>
      </c>
      <c r="B481" s="1" t="n">
        <v>44376</v>
      </c>
      <c r="C481" s="1" t="n">
        <v>45895</v>
      </c>
      <c r="D481" t="inlineStr">
        <is>
          <t>GOTLANDS LÄN</t>
        </is>
      </c>
      <c r="E481" t="inlineStr">
        <is>
          <t>GOTLAND</t>
        </is>
      </c>
      <c r="G481" t="n">
        <v>2.2</v>
      </c>
      <c r="H481" t="n">
        <v>0</v>
      </c>
      <c r="I481" t="n">
        <v>0</v>
      </c>
      <c r="J481" t="n">
        <v>0</v>
      </c>
      <c r="K481" t="n">
        <v>0</v>
      </c>
      <c r="L481" t="n">
        <v>0</v>
      </c>
      <c r="M481" t="n">
        <v>0</v>
      </c>
      <c r="N481" t="n">
        <v>0</v>
      </c>
      <c r="O481" t="n">
        <v>0</v>
      </c>
      <c r="P481" t="n">
        <v>0</v>
      </c>
      <c r="Q481" t="n">
        <v>0</v>
      </c>
      <c r="R481" s="2" t="inlineStr"/>
    </row>
    <row r="482" ht="15" customHeight="1">
      <c r="A482" t="inlineStr">
        <is>
          <t>A 20660-2025</t>
        </is>
      </c>
      <c r="B482" s="1" t="n">
        <v>45776</v>
      </c>
      <c r="C482" s="1" t="n">
        <v>45895</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5884-2025</t>
        </is>
      </c>
      <c r="B483" s="1" t="n">
        <v>45695.37482638889</v>
      </c>
      <c r="C483" s="1" t="n">
        <v>45895</v>
      </c>
      <c r="D483" t="inlineStr">
        <is>
          <t>GOTLANDS LÄN</t>
        </is>
      </c>
      <c r="E483" t="inlineStr">
        <is>
          <t>GOTLAND</t>
        </is>
      </c>
      <c r="G483" t="n">
        <v>2.1</v>
      </c>
      <c r="H483" t="n">
        <v>0</v>
      </c>
      <c r="I483" t="n">
        <v>0</v>
      </c>
      <c r="J483" t="n">
        <v>0</v>
      </c>
      <c r="K483" t="n">
        <v>0</v>
      </c>
      <c r="L483" t="n">
        <v>0</v>
      </c>
      <c r="M483" t="n">
        <v>0</v>
      </c>
      <c r="N483" t="n">
        <v>0</v>
      </c>
      <c r="O483" t="n">
        <v>0</v>
      </c>
      <c r="P483" t="n">
        <v>0</v>
      </c>
      <c r="Q483" t="n">
        <v>0</v>
      </c>
      <c r="R483" s="2" t="inlineStr"/>
    </row>
    <row r="484" ht="15" customHeight="1">
      <c r="A484" t="inlineStr">
        <is>
          <t>A 5897-2025</t>
        </is>
      </c>
      <c r="B484" s="1" t="n">
        <v>45695.39273148148</v>
      </c>
      <c r="C484" s="1" t="n">
        <v>45895</v>
      </c>
      <c r="D484" t="inlineStr">
        <is>
          <t>GOTLANDS LÄN</t>
        </is>
      </c>
      <c r="E484" t="inlineStr">
        <is>
          <t>GOTLAND</t>
        </is>
      </c>
      <c r="G484" t="n">
        <v>3.7</v>
      </c>
      <c r="H484" t="n">
        <v>0</v>
      </c>
      <c r="I484" t="n">
        <v>0</v>
      </c>
      <c r="J484" t="n">
        <v>0</v>
      </c>
      <c r="K484" t="n">
        <v>0</v>
      </c>
      <c r="L484" t="n">
        <v>0</v>
      </c>
      <c r="M484" t="n">
        <v>0</v>
      </c>
      <c r="N484" t="n">
        <v>0</v>
      </c>
      <c r="O484" t="n">
        <v>0</v>
      </c>
      <c r="P484" t="n">
        <v>0</v>
      </c>
      <c r="Q484" t="n">
        <v>0</v>
      </c>
      <c r="R484" s="2" t="inlineStr"/>
    </row>
    <row r="485" ht="15" customHeight="1">
      <c r="A485" t="inlineStr">
        <is>
          <t>A 33007-2025</t>
        </is>
      </c>
      <c r="B485" s="1" t="n">
        <v>45840</v>
      </c>
      <c r="C485" s="1" t="n">
        <v>45895</v>
      </c>
      <c r="D485" t="inlineStr">
        <is>
          <t>GOTLANDS LÄN</t>
        </is>
      </c>
      <c r="E485" t="inlineStr">
        <is>
          <t>GOTLAND</t>
        </is>
      </c>
      <c r="G485" t="n">
        <v>4.9</v>
      </c>
      <c r="H485" t="n">
        <v>0</v>
      </c>
      <c r="I485" t="n">
        <v>0</v>
      </c>
      <c r="J485" t="n">
        <v>0</v>
      </c>
      <c r="K485" t="n">
        <v>0</v>
      </c>
      <c r="L485" t="n">
        <v>0</v>
      </c>
      <c r="M485" t="n">
        <v>0</v>
      </c>
      <c r="N485" t="n">
        <v>0</v>
      </c>
      <c r="O485" t="n">
        <v>0</v>
      </c>
      <c r="P485" t="n">
        <v>0</v>
      </c>
      <c r="Q485" t="n">
        <v>0</v>
      </c>
      <c r="R485" s="2" t="inlineStr"/>
    </row>
    <row r="486" ht="15" customHeight="1">
      <c r="A486" t="inlineStr">
        <is>
          <t>A 33011-2025</t>
        </is>
      </c>
      <c r="B486" s="1" t="n">
        <v>45840</v>
      </c>
      <c r="C486" s="1" t="n">
        <v>45895</v>
      </c>
      <c r="D486" t="inlineStr">
        <is>
          <t>GOTLANDS LÄN</t>
        </is>
      </c>
      <c r="E486" t="inlineStr">
        <is>
          <t>GOTLAND</t>
        </is>
      </c>
      <c r="G486" t="n">
        <v>1.7</v>
      </c>
      <c r="H486" t="n">
        <v>0</v>
      </c>
      <c r="I486" t="n">
        <v>0</v>
      </c>
      <c r="J486" t="n">
        <v>0</v>
      </c>
      <c r="K486" t="n">
        <v>0</v>
      </c>
      <c r="L486" t="n">
        <v>0</v>
      </c>
      <c r="M486" t="n">
        <v>0</v>
      </c>
      <c r="N486" t="n">
        <v>0</v>
      </c>
      <c r="O486" t="n">
        <v>0</v>
      </c>
      <c r="P486" t="n">
        <v>0</v>
      </c>
      <c r="Q486" t="n">
        <v>0</v>
      </c>
      <c r="R486" s="2" t="inlineStr"/>
    </row>
    <row r="487" ht="15" customHeight="1">
      <c r="A487" t="inlineStr">
        <is>
          <t>A 49693-2023</t>
        </is>
      </c>
      <c r="B487" s="1" t="n">
        <v>45212.38138888889</v>
      </c>
      <c r="C487" s="1" t="n">
        <v>45895</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49697-2023</t>
        </is>
      </c>
      <c r="B488" s="1" t="n">
        <v>45212.38909722222</v>
      </c>
      <c r="C488" s="1" t="n">
        <v>45895</v>
      </c>
      <c r="D488" t="inlineStr">
        <is>
          <t>GOTLANDS LÄN</t>
        </is>
      </c>
      <c r="E488" t="inlineStr">
        <is>
          <t>GOTLAND</t>
        </is>
      </c>
      <c r="G488" t="n">
        <v>4.4</v>
      </c>
      <c r="H488" t="n">
        <v>0</v>
      </c>
      <c r="I488" t="n">
        <v>0</v>
      </c>
      <c r="J488" t="n">
        <v>0</v>
      </c>
      <c r="K488" t="n">
        <v>0</v>
      </c>
      <c r="L488" t="n">
        <v>0</v>
      </c>
      <c r="M488" t="n">
        <v>0</v>
      </c>
      <c r="N488" t="n">
        <v>0</v>
      </c>
      <c r="O488" t="n">
        <v>0</v>
      </c>
      <c r="P488" t="n">
        <v>0</v>
      </c>
      <c r="Q488" t="n">
        <v>0</v>
      </c>
      <c r="R488" s="2" t="inlineStr"/>
    </row>
    <row r="489" ht="15" customHeight="1">
      <c r="A489" t="inlineStr">
        <is>
          <t>A 4377-2023</t>
        </is>
      </c>
      <c r="B489" s="1" t="n">
        <v>44955.5502662037</v>
      </c>
      <c r="C489" s="1" t="n">
        <v>45895</v>
      </c>
      <c r="D489" t="inlineStr">
        <is>
          <t>GOTLANDS LÄN</t>
        </is>
      </c>
      <c r="E489" t="inlineStr">
        <is>
          <t>GOTLAND</t>
        </is>
      </c>
      <c r="F489" t="inlineStr">
        <is>
          <t>Kyrkan</t>
        </is>
      </c>
      <c r="G489" t="n">
        <v>0.6</v>
      </c>
      <c r="H489" t="n">
        <v>0</v>
      </c>
      <c r="I489" t="n">
        <v>0</v>
      </c>
      <c r="J489" t="n">
        <v>0</v>
      </c>
      <c r="K489" t="n">
        <v>0</v>
      </c>
      <c r="L489" t="n">
        <v>0</v>
      </c>
      <c r="M489" t="n">
        <v>0</v>
      </c>
      <c r="N489" t="n">
        <v>0</v>
      </c>
      <c r="O489" t="n">
        <v>0</v>
      </c>
      <c r="P489" t="n">
        <v>0</v>
      </c>
      <c r="Q489" t="n">
        <v>0</v>
      </c>
      <c r="R489" s="2" t="inlineStr"/>
    </row>
    <row r="490" ht="15" customHeight="1">
      <c r="A490" t="inlineStr">
        <is>
          <t>A 4387-2023</t>
        </is>
      </c>
      <c r="B490" s="1" t="n">
        <v>44955.73359953704</v>
      </c>
      <c r="C490" s="1" t="n">
        <v>45895</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17901-2023</t>
        </is>
      </c>
      <c r="B491" s="1" t="n">
        <v>45039</v>
      </c>
      <c r="C491" s="1" t="n">
        <v>45895</v>
      </c>
      <c r="D491" t="inlineStr">
        <is>
          <t>GOTLANDS LÄN</t>
        </is>
      </c>
      <c r="E491" t="inlineStr">
        <is>
          <t>GOTLAND</t>
        </is>
      </c>
      <c r="F491" t="inlineStr">
        <is>
          <t>Kyrkan</t>
        </is>
      </c>
      <c r="G491" t="n">
        <v>0.6</v>
      </c>
      <c r="H491" t="n">
        <v>0</v>
      </c>
      <c r="I491" t="n">
        <v>0</v>
      </c>
      <c r="J491" t="n">
        <v>0</v>
      </c>
      <c r="K491" t="n">
        <v>0</v>
      </c>
      <c r="L491" t="n">
        <v>0</v>
      </c>
      <c r="M491" t="n">
        <v>0</v>
      </c>
      <c r="N491" t="n">
        <v>0</v>
      </c>
      <c r="O491" t="n">
        <v>0</v>
      </c>
      <c r="P491" t="n">
        <v>0</v>
      </c>
      <c r="Q491" t="n">
        <v>0</v>
      </c>
      <c r="R491" s="2" t="inlineStr"/>
    </row>
    <row r="492" ht="15" customHeight="1">
      <c r="A492" t="inlineStr">
        <is>
          <t>A 39479-2022</t>
        </is>
      </c>
      <c r="B492" s="1" t="n">
        <v>44818</v>
      </c>
      <c r="C492" s="1" t="n">
        <v>45895</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38649-2025</t>
        </is>
      </c>
      <c r="B493" s="1" t="n">
        <v>45884</v>
      </c>
      <c r="C493" s="1" t="n">
        <v>45895</v>
      </c>
      <c r="D493" t="inlineStr">
        <is>
          <t>GOTLANDS LÄN</t>
        </is>
      </c>
      <c r="E493" t="inlineStr">
        <is>
          <t>GOTLAND</t>
        </is>
      </c>
      <c r="G493" t="n">
        <v>1.5</v>
      </c>
      <c r="H493" t="n">
        <v>0</v>
      </c>
      <c r="I493" t="n">
        <v>0</v>
      </c>
      <c r="J493" t="n">
        <v>0</v>
      </c>
      <c r="K493" t="n">
        <v>0</v>
      </c>
      <c r="L493" t="n">
        <v>0</v>
      </c>
      <c r="M493" t="n">
        <v>0</v>
      </c>
      <c r="N493" t="n">
        <v>0</v>
      </c>
      <c r="O493" t="n">
        <v>0</v>
      </c>
      <c r="P493" t="n">
        <v>0</v>
      </c>
      <c r="Q493" t="n">
        <v>0</v>
      </c>
      <c r="R493" s="2" t="inlineStr"/>
    </row>
    <row r="494" ht="15" customHeight="1">
      <c r="A494" t="inlineStr">
        <is>
          <t>A 51963-2024</t>
        </is>
      </c>
      <c r="B494" s="1" t="n">
        <v>45607.64833333333</v>
      </c>
      <c r="C494" s="1" t="n">
        <v>45895</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52892-2021</t>
        </is>
      </c>
      <c r="B495" s="1" t="n">
        <v>44467.49048611111</v>
      </c>
      <c r="C495" s="1" t="n">
        <v>45895</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22883-2024</t>
        </is>
      </c>
      <c r="B496" s="1" t="n">
        <v>45448.66368055555</v>
      </c>
      <c r="C496" s="1" t="n">
        <v>45895</v>
      </c>
      <c r="D496" t="inlineStr">
        <is>
          <t>GOTLANDS LÄN</t>
        </is>
      </c>
      <c r="E496" t="inlineStr">
        <is>
          <t>GOTLAND</t>
        </is>
      </c>
      <c r="G496" t="n">
        <v>0.5</v>
      </c>
      <c r="H496" t="n">
        <v>0</v>
      </c>
      <c r="I496" t="n">
        <v>0</v>
      </c>
      <c r="J496" t="n">
        <v>0</v>
      </c>
      <c r="K496" t="n">
        <v>0</v>
      </c>
      <c r="L496" t="n">
        <v>0</v>
      </c>
      <c r="M496" t="n">
        <v>0</v>
      </c>
      <c r="N496" t="n">
        <v>0</v>
      </c>
      <c r="O496" t="n">
        <v>0</v>
      </c>
      <c r="P496" t="n">
        <v>0</v>
      </c>
      <c r="Q496" t="n">
        <v>0</v>
      </c>
      <c r="R496" s="2" t="inlineStr"/>
    </row>
    <row r="497" ht="15" customHeight="1">
      <c r="A497" t="inlineStr">
        <is>
          <t>A 811-2023</t>
        </is>
      </c>
      <c r="B497" s="1" t="n">
        <v>44931</v>
      </c>
      <c r="C497" s="1" t="n">
        <v>45895</v>
      </c>
      <c r="D497" t="inlineStr">
        <is>
          <t>GOTLANDS LÄN</t>
        </is>
      </c>
      <c r="E497" t="inlineStr">
        <is>
          <t>GOTLAND</t>
        </is>
      </c>
      <c r="G497" t="n">
        <v>0.6</v>
      </c>
      <c r="H497" t="n">
        <v>0</v>
      </c>
      <c r="I497" t="n">
        <v>0</v>
      </c>
      <c r="J497" t="n">
        <v>0</v>
      </c>
      <c r="K497" t="n">
        <v>0</v>
      </c>
      <c r="L497" t="n">
        <v>0</v>
      </c>
      <c r="M497" t="n">
        <v>0</v>
      </c>
      <c r="N497" t="n">
        <v>0</v>
      </c>
      <c r="O497" t="n">
        <v>0</v>
      </c>
      <c r="P497" t="n">
        <v>0</v>
      </c>
      <c r="Q497" t="n">
        <v>0</v>
      </c>
      <c r="R497" s="2" t="inlineStr"/>
    </row>
    <row r="498" ht="15" customHeight="1">
      <c r="A498" t="inlineStr">
        <is>
          <t>A 1713-2025</t>
        </is>
      </c>
      <c r="B498" s="1" t="n">
        <v>45671.32342592593</v>
      </c>
      <c r="C498" s="1" t="n">
        <v>45895</v>
      </c>
      <c r="D498" t="inlineStr">
        <is>
          <t>GOTLANDS LÄN</t>
        </is>
      </c>
      <c r="E498" t="inlineStr">
        <is>
          <t>GOTLAND</t>
        </is>
      </c>
      <c r="G498" t="n">
        <v>10.1</v>
      </c>
      <c r="H498" t="n">
        <v>0</v>
      </c>
      <c r="I498" t="n">
        <v>0</v>
      </c>
      <c r="J498" t="n">
        <v>0</v>
      </c>
      <c r="K498" t="n">
        <v>0</v>
      </c>
      <c r="L498" t="n">
        <v>0</v>
      </c>
      <c r="M498" t="n">
        <v>0</v>
      </c>
      <c r="N498" t="n">
        <v>0</v>
      </c>
      <c r="O498" t="n">
        <v>0</v>
      </c>
      <c r="P498" t="n">
        <v>0</v>
      </c>
      <c r="Q498" t="n">
        <v>0</v>
      </c>
      <c r="R498" s="2" t="inlineStr"/>
    </row>
    <row r="499" ht="15" customHeight="1">
      <c r="A499" t="inlineStr">
        <is>
          <t>A 46389-2021</t>
        </is>
      </c>
      <c r="B499" s="1" t="n">
        <v>44443</v>
      </c>
      <c r="C499" s="1" t="n">
        <v>45895</v>
      </c>
      <c r="D499" t="inlineStr">
        <is>
          <t>GOTLANDS LÄN</t>
        </is>
      </c>
      <c r="E499" t="inlineStr">
        <is>
          <t>GOTLAND</t>
        </is>
      </c>
      <c r="F499" t="inlineStr">
        <is>
          <t>Kyrkan</t>
        </is>
      </c>
      <c r="G499" t="n">
        <v>2.1</v>
      </c>
      <c r="H499" t="n">
        <v>0</v>
      </c>
      <c r="I499" t="n">
        <v>0</v>
      </c>
      <c r="J499" t="n">
        <v>0</v>
      </c>
      <c r="K499" t="n">
        <v>0</v>
      </c>
      <c r="L499" t="n">
        <v>0</v>
      </c>
      <c r="M499" t="n">
        <v>0</v>
      </c>
      <c r="N499" t="n">
        <v>0</v>
      </c>
      <c r="O499" t="n">
        <v>0</v>
      </c>
      <c r="P499" t="n">
        <v>0</v>
      </c>
      <c r="Q499" t="n">
        <v>0</v>
      </c>
      <c r="R499" s="2" t="inlineStr"/>
    </row>
    <row r="500" ht="15" customHeight="1">
      <c r="A500" t="inlineStr">
        <is>
          <t>A 46396-2023</t>
        </is>
      </c>
      <c r="B500" s="1" t="n">
        <v>45197</v>
      </c>
      <c r="C500" s="1" t="n">
        <v>45895</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26810-2021</t>
        </is>
      </c>
      <c r="B501" s="1" t="n">
        <v>44349.55087962963</v>
      </c>
      <c r="C501" s="1" t="n">
        <v>45895</v>
      </c>
      <c r="D501" t="inlineStr">
        <is>
          <t>GOTLANDS LÄN</t>
        </is>
      </c>
      <c r="E501" t="inlineStr">
        <is>
          <t>GOTLAND</t>
        </is>
      </c>
      <c r="G501" t="n">
        <v>3.5</v>
      </c>
      <c r="H501" t="n">
        <v>0</v>
      </c>
      <c r="I501" t="n">
        <v>0</v>
      </c>
      <c r="J501" t="n">
        <v>0</v>
      </c>
      <c r="K501" t="n">
        <v>0</v>
      </c>
      <c r="L501" t="n">
        <v>0</v>
      </c>
      <c r="M501" t="n">
        <v>0</v>
      </c>
      <c r="N501" t="n">
        <v>0</v>
      </c>
      <c r="O501" t="n">
        <v>0</v>
      </c>
      <c r="P501" t="n">
        <v>0</v>
      </c>
      <c r="Q501" t="n">
        <v>0</v>
      </c>
      <c r="R501" s="2" t="inlineStr"/>
    </row>
    <row r="502" ht="15" customHeight="1">
      <c r="A502" t="inlineStr">
        <is>
          <t>A 17724-2024</t>
        </is>
      </c>
      <c r="B502" s="1" t="n">
        <v>45418.55096064815</v>
      </c>
      <c r="C502" s="1" t="n">
        <v>45895</v>
      </c>
      <c r="D502" t="inlineStr">
        <is>
          <t>GOTLANDS LÄN</t>
        </is>
      </c>
      <c r="E502" t="inlineStr">
        <is>
          <t>GOTLAND</t>
        </is>
      </c>
      <c r="G502" t="n">
        <v>2</v>
      </c>
      <c r="H502" t="n">
        <v>0</v>
      </c>
      <c r="I502" t="n">
        <v>0</v>
      </c>
      <c r="J502" t="n">
        <v>0</v>
      </c>
      <c r="K502" t="n">
        <v>0</v>
      </c>
      <c r="L502" t="n">
        <v>0</v>
      </c>
      <c r="M502" t="n">
        <v>0</v>
      </c>
      <c r="N502" t="n">
        <v>0</v>
      </c>
      <c r="O502" t="n">
        <v>0</v>
      </c>
      <c r="P502" t="n">
        <v>0</v>
      </c>
      <c r="Q502" t="n">
        <v>0</v>
      </c>
      <c r="R502" s="2" t="inlineStr"/>
    </row>
    <row r="503" ht="15" customHeight="1">
      <c r="A503" t="inlineStr">
        <is>
          <t>A 5923-2023</t>
        </is>
      </c>
      <c r="B503" s="1" t="n">
        <v>44963.69503472222</v>
      </c>
      <c r="C503" s="1" t="n">
        <v>45895</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33853-2024</t>
        </is>
      </c>
      <c r="B504" s="1" t="n">
        <v>45520.64298611111</v>
      </c>
      <c r="C504" s="1" t="n">
        <v>45895</v>
      </c>
      <c r="D504" t="inlineStr">
        <is>
          <t>GOTLANDS LÄN</t>
        </is>
      </c>
      <c r="E504" t="inlineStr">
        <is>
          <t>GOTLAND</t>
        </is>
      </c>
      <c r="G504" t="n">
        <v>3.9</v>
      </c>
      <c r="H504" t="n">
        <v>0</v>
      </c>
      <c r="I504" t="n">
        <v>0</v>
      </c>
      <c r="J504" t="n">
        <v>0</v>
      </c>
      <c r="K504" t="n">
        <v>0</v>
      </c>
      <c r="L504" t="n">
        <v>0</v>
      </c>
      <c r="M504" t="n">
        <v>0</v>
      </c>
      <c r="N504" t="n">
        <v>0</v>
      </c>
      <c r="O504" t="n">
        <v>0</v>
      </c>
      <c r="P504" t="n">
        <v>0</v>
      </c>
      <c r="Q504" t="n">
        <v>0</v>
      </c>
      <c r="R504" s="2" t="inlineStr"/>
    </row>
    <row r="505" ht="15" customHeight="1">
      <c r="A505" t="inlineStr">
        <is>
          <t>A 18918-2025</t>
        </is>
      </c>
      <c r="B505" s="1" t="n">
        <v>45764</v>
      </c>
      <c r="C505" s="1" t="n">
        <v>45895</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34312-2024</t>
        </is>
      </c>
      <c r="B506" s="1" t="n">
        <v>45524.69703703704</v>
      </c>
      <c r="C506" s="1" t="n">
        <v>45895</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2674-2023</t>
        </is>
      </c>
      <c r="B507" s="1" t="n">
        <v>44944</v>
      </c>
      <c r="C507" s="1" t="n">
        <v>45895</v>
      </c>
      <c r="D507" t="inlineStr">
        <is>
          <t>GOTLANDS LÄN</t>
        </is>
      </c>
      <c r="E507" t="inlineStr">
        <is>
          <t>GOTLAND</t>
        </is>
      </c>
      <c r="G507" t="n">
        <v>2.5</v>
      </c>
      <c r="H507" t="n">
        <v>0</v>
      </c>
      <c r="I507" t="n">
        <v>0</v>
      </c>
      <c r="J507" t="n">
        <v>0</v>
      </c>
      <c r="K507" t="n">
        <v>0</v>
      </c>
      <c r="L507" t="n">
        <v>0</v>
      </c>
      <c r="M507" t="n">
        <v>0</v>
      </c>
      <c r="N507" t="n">
        <v>0</v>
      </c>
      <c r="O507" t="n">
        <v>0</v>
      </c>
      <c r="P507" t="n">
        <v>0</v>
      </c>
      <c r="Q507" t="n">
        <v>0</v>
      </c>
      <c r="R507" s="2" t="inlineStr"/>
    </row>
    <row r="508" ht="15" customHeight="1">
      <c r="A508" t="inlineStr">
        <is>
          <t>A 10655-2023</t>
        </is>
      </c>
      <c r="B508" s="1" t="n">
        <v>44988.49543981482</v>
      </c>
      <c r="C508" s="1" t="n">
        <v>45895</v>
      </c>
      <c r="D508" t="inlineStr">
        <is>
          <t>GOTLANDS LÄN</t>
        </is>
      </c>
      <c r="E508" t="inlineStr">
        <is>
          <t>GOTLAND</t>
        </is>
      </c>
      <c r="F508" t="inlineStr">
        <is>
          <t>Kyrkan</t>
        </is>
      </c>
      <c r="G508" t="n">
        <v>2</v>
      </c>
      <c r="H508" t="n">
        <v>0</v>
      </c>
      <c r="I508" t="n">
        <v>0</v>
      </c>
      <c r="J508" t="n">
        <v>0</v>
      </c>
      <c r="K508" t="n">
        <v>0</v>
      </c>
      <c r="L508" t="n">
        <v>0</v>
      </c>
      <c r="M508" t="n">
        <v>0</v>
      </c>
      <c r="N508" t="n">
        <v>0</v>
      </c>
      <c r="O508" t="n">
        <v>0</v>
      </c>
      <c r="P508" t="n">
        <v>0</v>
      </c>
      <c r="Q508" t="n">
        <v>0</v>
      </c>
      <c r="R508" s="2" t="inlineStr"/>
    </row>
    <row r="509" ht="15" customHeight="1">
      <c r="A509" t="inlineStr">
        <is>
          <t>A 15216-2025</t>
        </is>
      </c>
      <c r="B509" s="1" t="n">
        <v>45744</v>
      </c>
      <c r="C509" s="1" t="n">
        <v>45895</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6153-2024</t>
        </is>
      </c>
      <c r="B510" s="1" t="n">
        <v>45337</v>
      </c>
      <c r="C510" s="1" t="n">
        <v>45895</v>
      </c>
      <c r="D510" t="inlineStr">
        <is>
          <t>GOTLANDS LÄN</t>
        </is>
      </c>
      <c r="E510" t="inlineStr">
        <is>
          <t>GOTLAND</t>
        </is>
      </c>
      <c r="G510" t="n">
        <v>14.2</v>
      </c>
      <c r="H510" t="n">
        <v>0</v>
      </c>
      <c r="I510" t="n">
        <v>0</v>
      </c>
      <c r="J510" t="n">
        <v>0</v>
      </c>
      <c r="K510" t="n">
        <v>0</v>
      </c>
      <c r="L510" t="n">
        <v>0</v>
      </c>
      <c r="M510" t="n">
        <v>0</v>
      </c>
      <c r="N510" t="n">
        <v>0</v>
      </c>
      <c r="O510" t="n">
        <v>0</v>
      </c>
      <c r="P510" t="n">
        <v>0</v>
      </c>
      <c r="Q510" t="n">
        <v>0</v>
      </c>
      <c r="R510" s="2" t="inlineStr"/>
    </row>
    <row r="511" ht="15" customHeight="1">
      <c r="A511" t="inlineStr">
        <is>
          <t>A 2719-2023</t>
        </is>
      </c>
      <c r="B511" s="1" t="n">
        <v>44944.55361111111</v>
      </c>
      <c r="C511" s="1" t="n">
        <v>45895</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26891-2024</t>
        </is>
      </c>
      <c r="B512" s="1" t="n">
        <v>45470.65540509259</v>
      </c>
      <c r="C512" s="1" t="n">
        <v>45895</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42007-2023</t>
        </is>
      </c>
      <c r="B513" s="1" t="n">
        <v>45177</v>
      </c>
      <c r="C513" s="1" t="n">
        <v>45895</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9887-2025</t>
        </is>
      </c>
      <c r="B514" s="1" t="n">
        <v>45716</v>
      </c>
      <c r="C514" s="1" t="n">
        <v>45895</v>
      </c>
      <c r="D514" t="inlineStr">
        <is>
          <t>GOTLANDS LÄN</t>
        </is>
      </c>
      <c r="E514" t="inlineStr">
        <is>
          <t>GOTLAND</t>
        </is>
      </c>
      <c r="G514" t="n">
        <v>7.5</v>
      </c>
      <c r="H514" t="n">
        <v>0</v>
      </c>
      <c r="I514" t="n">
        <v>0</v>
      </c>
      <c r="J514" t="n">
        <v>0</v>
      </c>
      <c r="K514" t="n">
        <v>0</v>
      </c>
      <c r="L514" t="n">
        <v>0</v>
      </c>
      <c r="M514" t="n">
        <v>0</v>
      </c>
      <c r="N514" t="n">
        <v>0</v>
      </c>
      <c r="O514" t="n">
        <v>0</v>
      </c>
      <c r="P514" t="n">
        <v>0</v>
      </c>
      <c r="Q514" t="n">
        <v>0</v>
      </c>
      <c r="R514" s="2" t="inlineStr"/>
    </row>
    <row r="515" ht="15" customHeight="1">
      <c r="A515" t="inlineStr">
        <is>
          <t>A 38165-2023</t>
        </is>
      </c>
      <c r="B515" s="1" t="n">
        <v>45161</v>
      </c>
      <c r="C515" s="1" t="n">
        <v>45895</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39278-2025</t>
        </is>
      </c>
      <c r="B516" s="1" t="n">
        <v>45889</v>
      </c>
      <c r="C516" s="1" t="n">
        <v>45895</v>
      </c>
      <c r="D516" t="inlineStr">
        <is>
          <t>GOTLANDS LÄN</t>
        </is>
      </c>
      <c r="E516" t="inlineStr">
        <is>
          <t>GOTLAND</t>
        </is>
      </c>
      <c r="G516" t="n">
        <v>3.7</v>
      </c>
      <c r="H516" t="n">
        <v>0</v>
      </c>
      <c r="I516" t="n">
        <v>0</v>
      </c>
      <c r="J516" t="n">
        <v>0</v>
      </c>
      <c r="K516" t="n">
        <v>0</v>
      </c>
      <c r="L516" t="n">
        <v>0</v>
      </c>
      <c r="M516" t="n">
        <v>0</v>
      </c>
      <c r="N516" t="n">
        <v>0</v>
      </c>
      <c r="O516" t="n">
        <v>0</v>
      </c>
      <c r="P516" t="n">
        <v>0</v>
      </c>
      <c r="Q516" t="n">
        <v>0</v>
      </c>
      <c r="R516" s="2" t="inlineStr"/>
    </row>
    <row r="517" ht="15" customHeight="1">
      <c r="A517" t="inlineStr">
        <is>
          <t>A 15413-2025</t>
        </is>
      </c>
      <c r="B517" s="1" t="n">
        <v>45747.451875</v>
      </c>
      <c r="C517" s="1" t="n">
        <v>45895</v>
      </c>
      <c r="D517" t="inlineStr">
        <is>
          <t>GOTLANDS LÄN</t>
        </is>
      </c>
      <c r="E517" t="inlineStr">
        <is>
          <t>GOTLAND</t>
        </is>
      </c>
      <c r="G517" t="n">
        <v>0.6</v>
      </c>
      <c r="H517" t="n">
        <v>0</v>
      </c>
      <c r="I517" t="n">
        <v>0</v>
      </c>
      <c r="J517" t="n">
        <v>0</v>
      </c>
      <c r="K517" t="n">
        <v>0</v>
      </c>
      <c r="L517" t="n">
        <v>0</v>
      </c>
      <c r="M517" t="n">
        <v>0</v>
      </c>
      <c r="N517" t="n">
        <v>0</v>
      </c>
      <c r="O517" t="n">
        <v>0</v>
      </c>
      <c r="P517" t="n">
        <v>0</v>
      </c>
      <c r="Q517" t="n">
        <v>0</v>
      </c>
      <c r="R517" s="2" t="inlineStr"/>
    </row>
    <row r="518" ht="15" customHeight="1">
      <c r="A518" t="inlineStr">
        <is>
          <t>A 27596-2023</t>
        </is>
      </c>
      <c r="B518" s="1" t="n">
        <v>45097</v>
      </c>
      <c r="C518" s="1" t="n">
        <v>45895</v>
      </c>
      <c r="D518" t="inlineStr">
        <is>
          <t>GOTLANDS LÄN</t>
        </is>
      </c>
      <c r="E518" t="inlineStr">
        <is>
          <t>GOTLAND</t>
        </is>
      </c>
      <c r="G518" t="n">
        <v>3.6</v>
      </c>
      <c r="H518" t="n">
        <v>0</v>
      </c>
      <c r="I518" t="n">
        <v>0</v>
      </c>
      <c r="J518" t="n">
        <v>0</v>
      </c>
      <c r="K518" t="n">
        <v>0</v>
      </c>
      <c r="L518" t="n">
        <v>0</v>
      </c>
      <c r="M518" t="n">
        <v>0</v>
      </c>
      <c r="N518" t="n">
        <v>0</v>
      </c>
      <c r="O518" t="n">
        <v>0</v>
      </c>
      <c r="P518" t="n">
        <v>0</v>
      </c>
      <c r="Q518" t="n">
        <v>0</v>
      </c>
      <c r="R518" s="2" t="inlineStr"/>
    </row>
    <row r="519" ht="15" customHeight="1">
      <c r="A519" t="inlineStr">
        <is>
          <t>A 69112-2021</t>
        </is>
      </c>
      <c r="B519" s="1" t="n">
        <v>44530</v>
      </c>
      <c r="C519" s="1" t="n">
        <v>45895</v>
      </c>
      <c r="D519" t="inlineStr">
        <is>
          <t>GOTLANDS LÄN</t>
        </is>
      </c>
      <c r="E519" t="inlineStr">
        <is>
          <t>GOTLAND</t>
        </is>
      </c>
      <c r="G519" t="n">
        <v>4.2</v>
      </c>
      <c r="H519" t="n">
        <v>0</v>
      </c>
      <c r="I519" t="n">
        <v>0</v>
      </c>
      <c r="J519" t="n">
        <v>0</v>
      </c>
      <c r="K519" t="n">
        <v>0</v>
      </c>
      <c r="L519" t="n">
        <v>0</v>
      </c>
      <c r="M519" t="n">
        <v>0</v>
      </c>
      <c r="N519" t="n">
        <v>0</v>
      </c>
      <c r="O519" t="n">
        <v>0</v>
      </c>
      <c r="P519" t="n">
        <v>0</v>
      </c>
      <c r="Q519" t="n">
        <v>0</v>
      </c>
      <c r="R519" s="2" t="inlineStr"/>
    </row>
    <row r="520" ht="15" customHeight="1">
      <c r="A520" t="inlineStr">
        <is>
          <t>A 35550-2025</t>
        </is>
      </c>
      <c r="B520" s="1" t="n">
        <v>45856.49324074074</v>
      </c>
      <c r="C520" s="1" t="n">
        <v>45895</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40235-2025</t>
        </is>
      </c>
      <c r="B521" s="1" t="n">
        <v>45894.74005787037</v>
      </c>
      <c r="C521" s="1" t="n">
        <v>45895</v>
      </c>
      <c r="D521" t="inlineStr">
        <is>
          <t>GOTLANDS LÄN</t>
        </is>
      </c>
      <c r="E521" t="inlineStr">
        <is>
          <t>GOTLAND</t>
        </is>
      </c>
      <c r="G521" t="n">
        <v>10.6</v>
      </c>
      <c r="H521" t="n">
        <v>0</v>
      </c>
      <c r="I521" t="n">
        <v>0</v>
      </c>
      <c r="J521" t="n">
        <v>0</v>
      </c>
      <c r="K521" t="n">
        <v>0</v>
      </c>
      <c r="L521" t="n">
        <v>0</v>
      </c>
      <c r="M521" t="n">
        <v>0</v>
      </c>
      <c r="N521" t="n">
        <v>0</v>
      </c>
      <c r="O521" t="n">
        <v>0</v>
      </c>
      <c r="P521" t="n">
        <v>0</v>
      </c>
      <c r="Q521" t="n">
        <v>0</v>
      </c>
      <c r="R521" s="2" t="inlineStr"/>
    </row>
    <row r="522" ht="15" customHeight="1">
      <c r="A522" t="inlineStr">
        <is>
          <t>A 7638-2025</t>
        </is>
      </c>
      <c r="B522" s="1" t="n">
        <v>45705.77306712963</v>
      </c>
      <c r="C522" s="1" t="n">
        <v>45895</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35123-2025</t>
        </is>
      </c>
      <c r="B523" s="1" t="n">
        <v>45852.614375</v>
      </c>
      <c r="C523" s="1" t="n">
        <v>45895</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50482-2024</t>
        </is>
      </c>
      <c r="B524" s="1" t="n">
        <v>45601.48114583334</v>
      </c>
      <c r="C524" s="1" t="n">
        <v>45895</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55334-2024</t>
        </is>
      </c>
      <c r="B525" s="1" t="n">
        <v>45621</v>
      </c>
      <c r="C525" s="1" t="n">
        <v>45895</v>
      </c>
      <c r="D525" t="inlineStr">
        <is>
          <t>GOTLANDS LÄN</t>
        </is>
      </c>
      <c r="E525" t="inlineStr">
        <is>
          <t>GOTLAND</t>
        </is>
      </c>
      <c r="G525" t="n">
        <v>21.7</v>
      </c>
      <c r="H525" t="n">
        <v>0</v>
      </c>
      <c r="I525" t="n">
        <v>0</v>
      </c>
      <c r="J525" t="n">
        <v>0</v>
      </c>
      <c r="K525" t="n">
        <v>0</v>
      </c>
      <c r="L525" t="n">
        <v>0</v>
      </c>
      <c r="M525" t="n">
        <v>0</v>
      </c>
      <c r="N525" t="n">
        <v>0</v>
      </c>
      <c r="O525" t="n">
        <v>0</v>
      </c>
      <c r="P525" t="n">
        <v>0</v>
      </c>
      <c r="Q525" t="n">
        <v>0</v>
      </c>
      <c r="R525" s="2" t="inlineStr"/>
    </row>
    <row r="526" ht="15" customHeight="1">
      <c r="A526" t="inlineStr">
        <is>
          <t>A 35133-2025</t>
        </is>
      </c>
      <c r="B526" s="1" t="n">
        <v>45852.6363425926</v>
      </c>
      <c r="C526" s="1" t="n">
        <v>45895</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24825-2024</t>
        </is>
      </c>
      <c r="B527" s="1" t="n">
        <v>45461</v>
      </c>
      <c r="C527" s="1" t="n">
        <v>45895</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6696-2023</t>
        </is>
      </c>
      <c r="B528" s="1" t="n">
        <v>44966.66425925926</v>
      </c>
      <c r="C528" s="1" t="n">
        <v>45895</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1394-2023</t>
        </is>
      </c>
      <c r="B529" s="1" t="n">
        <v>44936.72997685185</v>
      </c>
      <c r="C529" s="1" t="n">
        <v>45895</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36319-2025</t>
        </is>
      </c>
      <c r="B530" s="1" t="n">
        <v>45868.38543981482</v>
      </c>
      <c r="C530" s="1" t="n">
        <v>45895</v>
      </c>
      <c r="D530" t="inlineStr">
        <is>
          <t>GOTLANDS LÄN</t>
        </is>
      </c>
      <c r="E530" t="inlineStr">
        <is>
          <t>GOTLAND</t>
        </is>
      </c>
      <c r="G530" t="n">
        <v>2.9</v>
      </c>
      <c r="H530" t="n">
        <v>0</v>
      </c>
      <c r="I530" t="n">
        <v>0</v>
      </c>
      <c r="J530" t="n">
        <v>0</v>
      </c>
      <c r="K530" t="n">
        <v>0</v>
      </c>
      <c r="L530" t="n">
        <v>0</v>
      </c>
      <c r="M530" t="n">
        <v>0</v>
      </c>
      <c r="N530" t="n">
        <v>0</v>
      </c>
      <c r="O530" t="n">
        <v>0</v>
      </c>
      <c r="P530" t="n">
        <v>0</v>
      </c>
      <c r="Q530" t="n">
        <v>0</v>
      </c>
      <c r="R530" s="2" t="inlineStr"/>
    </row>
    <row r="531" ht="15" customHeight="1">
      <c r="A531" t="inlineStr">
        <is>
          <t>A 39814-2025</t>
        </is>
      </c>
      <c r="B531" s="1" t="n">
        <v>45891.52694444444</v>
      </c>
      <c r="C531" s="1" t="n">
        <v>45895</v>
      </c>
      <c r="D531" t="inlineStr">
        <is>
          <t>GOTLANDS LÄN</t>
        </is>
      </c>
      <c r="E531" t="inlineStr">
        <is>
          <t>GOTLAND</t>
        </is>
      </c>
      <c r="G531" t="n">
        <v>4.5</v>
      </c>
      <c r="H531" t="n">
        <v>0</v>
      </c>
      <c r="I531" t="n">
        <v>0</v>
      </c>
      <c r="J531" t="n">
        <v>0</v>
      </c>
      <c r="K531" t="n">
        <v>0</v>
      </c>
      <c r="L531" t="n">
        <v>0</v>
      </c>
      <c r="M531" t="n">
        <v>0</v>
      </c>
      <c r="N531" t="n">
        <v>0</v>
      </c>
      <c r="O531" t="n">
        <v>0</v>
      </c>
      <c r="P531" t="n">
        <v>0</v>
      </c>
      <c r="Q531" t="n">
        <v>0</v>
      </c>
      <c r="R531" s="2" t="inlineStr"/>
    </row>
    <row r="532" ht="15" customHeight="1">
      <c r="A532" t="inlineStr">
        <is>
          <t>A 21247-2022</t>
        </is>
      </c>
      <c r="B532" s="1" t="n">
        <v>44705.38832175926</v>
      </c>
      <c r="C532" s="1" t="n">
        <v>45895</v>
      </c>
      <c r="D532" t="inlineStr">
        <is>
          <t>GOTLANDS LÄN</t>
        </is>
      </c>
      <c r="E532" t="inlineStr">
        <is>
          <t>GOTLAND</t>
        </is>
      </c>
      <c r="G532" t="n">
        <v>16.2</v>
      </c>
      <c r="H532" t="n">
        <v>0</v>
      </c>
      <c r="I532" t="n">
        <v>0</v>
      </c>
      <c r="J532" t="n">
        <v>0</v>
      </c>
      <c r="K532" t="n">
        <v>0</v>
      </c>
      <c r="L532" t="n">
        <v>0</v>
      </c>
      <c r="M532" t="n">
        <v>0</v>
      </c>
      <c r="N532" t="n">
        <v>0</v>
      </c>
      <c r="O532" t="n">
        <v>0</v>
      </c>
      <c r="P532" t="n">
        <v>0</v>
      </c>
      <c r="Q532" t="n">
        <v>0</v>
      </c>
      <c r="R532" s="2" t="inlineStr"/>
    </row>
    <row r="533" ht="15" customHeight="1">
      <c r="A533" t="inlineStr">
        <is>
          <t>A 456-2023</t>
        </is>
      </c>
      <c r="B533" s="1" t="n">
        <v>44929.87122685185</v>
      </c>
      <c r="C533" s="1" t="n">
        <v>45895</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35141-2025</t>
        </is>
      </c>
      <c r="B534" s="1" t="n">
        <v>45852.65206018519</v>
      </c>
      <c r="C534" s="1" t="n">
        <v>45895</v>
      </c>
      <c r="D534" t="inlineStr">
        <is>
          <t>GOTLANDS LÄN</t>
        </is>
      </c>
      <c r="E534" t="inlineStr">
        <is>
          <t>GOTLAND</t>
        </is>
      </c>
      <c r="G534" t="n">
        <v>1</v>
      </c>
      <c r="H534" t="n">
        <v>0</v>
      </c>
      <c r="I534" t="n">
        <v>0</v>
      </c>
      <c r="J534" t="n">
        <v>0</v>
      </c>
      <c r="K534" t="n">
        <v>0</v>
      </c>
      <c r="L534" t="n">
        <v>0</v>
      </c>
      <c r="M534" t="n">
        <v>0</v>
      </c>
      <c r="N534" t="n">
        <v>0</v>
      </c>
      <c r="O534" t="n">
        <v>0</v>
      </c>
      <c r="P534" t="n">
        <v>0</v>
      </c>
      <c r="Q534" t="n">
        <v>0</v>
      </c>
      <c r="R534" s="2" t="inlineStr"/>
    </row>
    <row r="535" ht="15" customHeight="1">
      <c r="A535" t="inlineStr">
        <is>
          <t>A 39816-2025</t>
        </is>
      </c>
      <c r="B535" s="1" t="n">
        <v>45891</v>
      </c>
      <c r="C535" s="1" t="n">
        <v>45895</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35096-2025</t>
        </is>
      </c>
      <c r="B536" s="1" t="n">
        <v>45852.54356481481</v>
      </c>
      <c r="C536" s="1" t="n">
        <v>45895</v>
      </c>
      <c r="D536" t="inlineStr">
        <is>
          <t>GOTLANDS LÄN</t>
        </is>
      </c>
      <c r="E536" t="inlineStr">
        <is>
          <t>GOTLAND</t>
        </is>
      </c>
      <c r="F536" t="inlineStr">
        <is>
          <t>Kyrkan</t>
        </is>
      </c>
      <c r="G536" t="n">
        <v>1</v>
      </c>
      <c r="H536" t="n">
        <v>0</v>
      </c>
      <c r="I536" t="n">
        <v>0</v>
      </c>
      <c r="J536" t="n">
        <v>0</v>
      </c>
      <c r="K536" t="n">
        <v>0</v>
      </c>
      <c r="L536" t="n">
        <v>0</v>
      </c>
      <c r="M536" t="n">
        <v>0</v>
      </c>
      <c r="N536" t="n">
        <v>0</v>
      </c>
      <c r="O536" t="n">
        <v>0</v>
      </c>
      <c r="P536" t="n">
        <v>0</v>
      </c>
      <c r="Q536" t="n">
        <v>0</v>
      </c>
      <c r="R536" s="2" t="inlineStr"/>
    </row>
    <row r="537" ht="15" customHeight="1">
      <c r="A537" t="inlineStr">
        <is>
          <t>A 58230-2024</t>
        </is>
      </c>
      <c r="B537" s="1" t="n">
        <v>45632.51625</v>
      </c>
      <c r="C537" s="1" t="n">
        <v>45895</v>
      </c>
      <c r="D537" t="inlineStr">
        <is>
          <t>GOTLANDS LÄN</t>
        </is>
      </c>
      <c r="E537" t="inlineStr">
        <is>
          <t>GOTLAND</t>
        </is>
      </c>
      <c r="G537" t="n">
        <v>7.3</v>
      </c>
      <c r="H537" t="n">
        <v>0</v>
      </c>
      <c r="I537" t="n">
        <v>0</v>
      </c>
      <c r="J537" t="n">
        <v>0</v>
      </c>
      <c r="K537" t="n">
        <v>0</v>
      </c>
      <c r="L537" t="n">
        <v>0</v>
      </c>
      <c r="M537" t="n">
        <v>0</v>
      </c>
      <c r="N537" t="n">
        <v>0</v>
      </c>
      <c r="O537" t="n">
        <v>0</v>
      </c>
      <c r="P537" t="n">
        <v>0</v>
      </c>
      <c r="Q537" t="n">
        <v>0</v>
      </c>
      <c r="R537" s="2" t="inlineStr"/>
    </row>
    <row r="538" ht="15" customHeight="1">
      <c r="A538" t="inlineStr">
        <is>
          <t>A 2714-2023</t>
        </is>
      </c>
      <c r="B538" s="1" t="n">
        <v>44944.54896990741</v>
      </c>
      <c r="C538" s="1" t="n">
        <v>45895</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35142-2025</t>
        </is>
      </c>
      <c r="B539" s="1" t="n">
        <v>45852.65532407408</v>
      </c>
      <c r="C539" s="1" t="n">
        <v>45895</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1462-2025</t>
        </is>
      </c>
      <c r="B540" s="1" t="n">
        <v>45670.36319444444</v>
      </c>
      <c r="C540" s="1" t="n">
        <v>45895</v>
      </c>
      <c r="D540" t="inlineStr">
        <is>
          <t>GOTLANDS LÄN</t>
        </is>
      </c>
      <c r="E540" t="inlineStr">
        <is>
          <t>GOTLAND</t>
        </is>
      </c>
      <c r="G540" t="n">
        <v>2.8</v>
      </c>
      <c r="H540" t="n">
        <v>0</v>
      </c>
      <c r="I540" t="n">
        <v>0</v>
      </c>
      <c r="J540" t="n">
        <v>0</v>
      </c>
      <c r="K540" t="n">
        <v>0</v>
      </c>
      <c r="L540" t="n">
        <v>0</v>
      </c>
      <c r="M540" t="n">
        <v>0</v>
      </c>
      <c r="N540" t="n">
        <v>0</v>
      </c>
      <c r="O540" t="n">
        <v>0</v>
      </c>
      <c r="P540" t="n">
        <v>0</v>
      </c>
      <c r="Q540" t="n">
        <v>0</v>
      </c>
      <c r="R540" s="2" t="inlineStr"/>
    </row>
    <row r="541" ht="15" customHeight="1">
      <c r="A541" t="inlineStr">
        <is>
          <t>A 39849-2025</t>
        </is>
      </c>
      <c r="B541" s="1" t="n">
        <v>45891.58502314815</v>
      </c>
      <c r="C541" s="1" t="n">
        <v>45895</v>
      </c>
      <c r="D541" t="inlineStr">
        <is>
          <t>GOTLANDS LÄN</t>
        </is>
      </c>
      <c r="E541" t="inlineStr">
        <is>
          <t>GOTLAND</t>
        </is>
      </c>
      <c r="G541" t="n">
        <v>6.1</v>
      </c>
      <c r="H541" t="n">
        <v>0</v>
      </c>
      <c r="I541" t="n">
        <v>0</v>
      </c>
      <c r="J541" t="n">
        <v>0</v>
      </c>
      <c r="K541" t="n">
        <v>0</v>
      </c>
      <c r="L541" t="n">
        <v>0</v>
      </c>
      <c r="M541" t="n">
        <v>0</v>
      </c>
      <c r="N541" t="n">
        <v>0</v>
      </c>
      <c r="O541" t="n">
        <v>0</v>
      </c>
      <c r="P541" t="n">
        <v>0</v>
      </c>
      <c r="Q541" t="n">
        <v>0</v>
      </c>
      <c r="R541" s="2" t="inlineStr"/>
    </row>
    <row r="542" ht="15" customHeight="1">
      <c r="A542" t="inlineStr">
        <is>
          <t>A 4421-2024</t>
        </is>
      </c>
      <c r="B542" s="1" t="n">
        <v>45327.45173611111</v>
      </c>
      <c r="C542" s="1" t="n">
        <v>45895</v>
      </c>
      <c r="D542" t="inlineStr">
        <is>
          <t>GOTLANDS LÄN</t>
        </is>
      </c>
      <c r="E542" t="inlineStr">
        <is>
          <t>GOTLAND</t>
        </is>
      </c>
      <c r="G542" t="n">
        <v>5.1</v>
      </c>
      <c r="H542" t="n">
        <v>0</v>
      </c>
      <c r="I542" t="n">
        <v>0</v>
      </c>
      <c r="J542" t="n">
        <v>0</v>
      </c>
      <c r="K542" t="n">
        <v>0</v>
      </c>
      <c r="L542" t="n">
        <v>0</v>
      </c>
      <c r="M542" t="n">
        <v>0</v>
      </c>
      <c r="N542" t="n">
        <v>0</v>
      </c>
      <c r="O542" t="n">
        <v>0</v>
      </c>
      <c r="P542" t="n">
        <v>0</v>
      </c>
      <c r="Q542" t="n">
        <v>0</v>
      </c>
      <c r="R542" s="2" t="inlineStr"/>
    </row>
    <row r="543" ht="15" customHeight="1">
      <c r="A543" t="inlineStr">
        <is>
          <t>A 40103-2025</t>
        </is>
      </c>
      <c r="B543" s="1" t="n">
        <v>45894.4880324074</v>
      </c>
      <c r="C543" s="1" t="n">
        <v>45895</v>
      </c>
      <c r="D543" t="inlineStr">
        <is>
          <t>GOTLANDS LÄN</t>
        </is>
      </c>
      <c r="E543" t="inlineStr">
        <is>
          <t>GOTLAND</t>
        </is>
      </c>
      <c r="G543" t="n">
        <v>0.9</v>
      </c>
      <c r="H543" t="n">
        <v>0</v>
      </c>
      <c r="I543" t="n">
        <v>0</v>
      </c>
      <c r="J543" t="n">
        <v>0</v>
      </c>
      <c r="K543" t="n">
        <v>0</v>
      </c>
      <c r="L543" t="n">
        <v>0</v>
      </c>
      <c r="M543" t="n">
        <v>0</v>
      </c>
      <c r="N543" t="n">
        <v>0</v>
      </c>
      <c r="O543" t="n">
        <v>0</v>
      </c>
      <c r="P543" t="n">
        <v>0</v>
      </c>
      <c r="Q543" t="n">
        <v>0</v>
      </c>
      <c r="R543" s="2" t="inlineStr"/>
    </row>
    <row r="544" ht="15" customHeight="1">
      <c r="A544" t="inlineStr">
        <is>
          <t>A 35129-2025</t>
        </is>
      </c>
      <c r="B544" s="1" t="n">
        <v>45852.63224537037</v>
      </c>
      <c r="C544" s="1" t="n">
        <v>45895</v>
      </c>
      <c r="D544" t="inlineStr">
        <is>
          <t>GOTLANDS LÄN</t>
        </is>
      </c>
      <c r="E544" t="inlineStr">
        <is>
          <t>GOTLAND</t>
        </is>
      </c>
      <c r="G544" t="n">
        <v>3.2</v>
      </c>
      <c r="H544" t="n">
        <v>0</v>
      </c>
      <c r="I544" t="n">
        <v>0</v>
      </c>
      <c r="J544" t="n">
        <v>0</v>
      </c>
      <c r="K544" t="n">
        <v>0</v>
      </c>
      <c r="L544" t="n">
        <v>0</v>
      </c>
      <c r="M544" t="n">
        <v>0</v>
      </c>
      <c r="N544" t="n">
        <v>0</v>
      </c>
      <c r="O544" t="n">
        <v>0</v>
      </c>
      <c r="P544" t="n">
        <v>0</v>
      </c>
      <c r="Q544" t="n">
        <v>0</v>
      </c>
      <c r="R544" s="2" t="inlineStr"/>
    </row>
    <row r="545" ht="15" customHeight="1">
      <c r="A545" t="inlineStr">
        <is>
          <t>A 39752-2025</t>
        </is>
      </c>
      <c r="B545" s="1" t="n">
        <v>45891</v>
      </c>
      <c r="C545" s="1" t="n">
        <v>45895</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39819-2025</t>
        </is>
      </c>
      <c r="B546" s="1" t="n">
        <v>45891.53418981482</v>
      </c>
      <c r="C546" s="1" t="n">
        <v>45895</v>
      </c>
      <c r="D546" t="inlineStr">
        <is>
          <t>GOTLANDS LÄN</t>
        </is>
      </c>
      <c r="E546" t="inlineStr">
        <is>
          <t>GOTLAND</t>
        </is>
      </c>
      <c r="G546" t="n">
        <v>3.1</v>
      </c>
      <c r="H546" t="n">
        <v>0</v>
      </c>
      <c r="I546" t="n">
        <v>0</v>
      </c>
      <c r="J546" t="n">
        <v>0</v>
      </c>
      <c r="K546" t="n">
        <v>0</v>
      </c>
      <c r="L546" t="n">
        <v>0</v>
      </c>
      <c r="M546" t="n">
        <v>0</v>
      </c>
      <c r="N546" t="n">
        <v>0</v>
      </c>
      <c r="O546" t="n">
        <v>0</v>
      </c>
      <c r="P546" t="n">
        <v>0</v>
      </c>
      <c r="Q546" t="n">
        <v>0</v>
      </c>
      <c r="R546" s="2" t="inlineStr"/>
    </row>
    <row r="547" ht="15" customHeight="1">
      <c r="A547" t="inlineStr">
        <is>
          <t>A 51782-2023</t>
        </is>
      </c>
      <c r="B547" s="1" t="n">
        <v>45222.80952546297</v>
      </c>
      <c r="C547" s="1" t="n">
        <v>45895</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45895</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25129-2023</t>
        </is>
      </c>
      <c r="B549" s="1" t="n">
        <v>45086.44261574074</v>
      </c>
      <c r="C549" s="1" t="n">
        <v>45895</v>
      </c>
      <c r="D549" t="inlineStr">
        <is>
          <t>GOTLANDS LÄN</t>
        </is>
      </c>
      <c r="E549" t="inlineStr">
        <is>
          <t>GOTLAND</t>
        </is>
      </c>
      <c r="G549" t="n">
        <v>1.5</v>
      </c>
      <c r="H549" t="n">
        <v>0</v>
      </c>
      <c r="I549" t="n">
        <v>0</v>
      </c>
      <c r="J549" t="n">
        <v>0</v>
      </c>
      <c r="K549" t="n">
        <v>0</v>
      </c>
      <c r="L549" t="n">
        <v>0</v>
      </c>
      <c r="M549" t="n">
        <v>0</v>
      </c>
      <c r="N549" t="n">
        <v>0</v>
      </c>
      <c r="O549" t="n">
        <v>0</v>
      </c>
      <c r="P549" t="n">
        <v>0</v>
      </c>
      <c r="Q549" t="n">
        <v>0</v>
      </c>
      <c r="R549" s="2" t="inlineStr"/>
    </row>
    <row r="550" ht="15" customHeight="1">
      <c r="A550" t="inlineStr">
        <is>
          <t>A 17343-2025</t>
        </is>
      </c>
      <c r="B550" s="1" t="n">
        <v>45756.6687037037</v>
      </c>
      <c r="C550" s="1" t="n">
        <v>45895</v>
      </c>
      <c r="D550" t="inlineStr">
        <is>
          <t>GOTLANDS LÄN</t>
        </is>
      </c>
      <c r="E550" t="inlineStr">
        <is>
          <t>GOTLAND</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24192-2023</t>
        </is>
      </c>
      <c r="B551" s="1" t="n">
        <v>45079</v>
      </c>
      <c r="C551" s="1" t="n">
        <v>45895</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18914-2025</t>
        </is>
      </c>
      <c r="B552" s="1" t="n">
        <v>45764.46783564815</v>
      </c>
      <c r="C552" s="1" t="n">
        <v>45895</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18742-2025</t>
        </is>
      </c>
      <c r="B553" s="1" t="n">
        <v>45763</v>
      </c>
      <c r="C553" s="1" t="n">
        <v>45895</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5386-2023</t>
        </is>
      </c>
      <c r="B554" s="1" t="n">
        <v>44959</v>
      </c>
      <c r="C554" s="1" t="n">
        <v>45895</v>
      </c>
      <c r="D554" t="inlineStr">
        <is>
          <t>GOTLANDS LÄN</t>
        </is>
      </c>
      <c r="E554" t="inlineStr">
        <is>
          <t>GOTLAND</t>
        </is>
      </c>
      <c r="G554" t="n">
        <v>5.4</v>
      </c>
      <c r="H554" t="n">
        <v>0</v>
      </c>
      <c r="I554" t="n">
        <v>0</v>
      </c>
      <c r="J554" t="n">
        <v>0</v>
      </c>
      <c r="K554" t="n">
        <v>0</v>
      </c>
      <c r="L554" t="n">
        <v>0</v>
      </c>
      <c r="M554" t="n">
        <v>0</v>
      </c>
      <c r="N554" t="n">
        <v>0</v>
      </c>
      <c r="O554" t="n">
        <v>0</v>
      </c>
      <c r="P554" t="n">
        <v>0</v>
      </c>
      <c r="Q554" t="n">
        <v>0</v>
      </c>
      <c r="R554" s="2" t="inlineStr"/>
    </row>
    <row r="555" ht="15" customHeight="1">
      <c r="A555" t="inlineStr">
        <is>
          <t>A 7026-2023</t>
        </is>
      </c>
      <c r="B555" s="1" t="n">
        <v>44968.30340277778</v>
      </c>
      <c r="C555" s="1" t="n">
        <v>45895</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20855-2023</t>
        </is>
      </c>
      <c r="B556" s="1" t="n">
        <v>45058.82172453704</v>
      </c>
      <c r="C556" s="1" t="n">
        <v>45895</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45895</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25866-2022</t>
        </is>
      </c>
      <c r="B558" s="1" t="n">
        <v>44733</v>
      </c>
      <c r="C558" s="1" t="n">
        <v>45895</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43229-2023</t>
        </is>
      </c>
      <c r="B559" s="1" t="n">
        <v>45183.46704861111</v>
      </c>
      <c r="C559" s="1" t="n">
        <v>45895</v>
      </c>
      <c r="D559" t="inlineStr">
        <is>
          <t>GOTLANDS LÄN</t>
        </is>
      </c>
      <c r="E559" t="inlineStr">
        <is>
          <t>GOTLAND</t>
        </is>
      </c>
      <c r="G559" t="n">
        <v>7.1</v>
      </c>
      <c r="H559" t="n">
        <v>0</v>
      </c>
      <c r="I559" t="n">
        <v>0</v>
      </c>
      <c r="J559" t="n">
        <v>0</v>
      </c>
      <c r="K559" t="n">
        <v>0</v>
      </c>
      <c r="L559" t="n">
        <v>0</v>
      </c>
      <c r="M559" t="n">
        <v>0</v>
      </c>
      <c r="N559" t="n">
        <v>0</v>
      </c>
      <c r="O559" t="n">
        <v>0</v>
      </c>
      <c r="P559" t="n">
        <v>0</v>
      </c>
      <c r="Q559" t="n">
        <v>0</v>
      </c>
      <c r="R559" s="2" t="inlineStr"/>
    </row>
    <row r="560" ht="15" customHeight="1">
      <c r="A560" t="inlineStr">
        <is>
          <t>A 1175-2025</t>
        </is>
      </c>
      <c r="B560" s="1" t="n">
        <v>45667.34449074074</v>
      </c>
      <c r="C560" s="1" t="n">
        <v>45895</v>
      </c>
      <c r="D560" t="inlineStr">
        <is>
          <t>GOTLANDS LÄN</t>
        </is>
      </c>
      <c r="E560" t="inlineStr">
        <is>
          <t>GOTLAND</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16373-2025</t>
        </is>
      </c>
      <c r="B561" s="1" t="n">
        <v>45751</v>
      </c>
      <c r="C561" s="1" t="n">
        <v>45895</v>
      </c>
      <c r="D561" t="inlineStr">
        <is>
          <t>GOTLANDS LÄN</t>
        </is>
      </c>
      <c r="E561" t="inlineStr">
        <is>
          <t>GOTLAND</t>
        </is>
      </c>
      <c r="G561" t="n">
        <v>1.5</v>
      </c>
      <c r="H561" t="n">
        <v>0</v>
      </c>
      <c r="I561" t="n">
        <v>0</v>
      </c>
      <c r="J561" t="n">
        <v>0</v>
      </c>
      <c r="K561" t="n">
        <v>0</v>
      </c>
      <c r="L561" t="n">
        <v>0</v>
      </c>
      <c r="M561" t="n">
        <v>0</v>
      </c>
      <c r="N561" t="n">
        <v>0</v>
      </c>
      <c r="O561" t="n">
        <v>0</v>
      </c>
      <c r="P561" t="n">
        <v>0</v>
      </c>
      <c r="Q561" t="n">
        <v>0</v>
      </c>
      <c r="R561" s="2" t="inlineStr"/>
    </row>
    <row r="562" ht="15" customHeight="1">
      <c r="A562" t="inlineStr">
        <is>
          <t>A 27095-2022</t>
        </is>
      </c>
      <c r="B562" s="1" t="n">
        <v>44741</v>
      </c>
      <c r="C562" s="1" t="n">
        <v>45895</v>
      </c>
      <c r="D562" t="inlineStr">
        <is>
          <t>GOTLANDS LÄN</t>
        </is>
      </c>
      <c r="E562" t="inlineStr">
        <is>
          <t>GOTLAND</t>
        </is>
      </c>
      <c r="F562" t="inlineStr">
        <is>
          <t>Övriga Aktiebolag</t>
        </is>
      </c>
      <c r="G562" t="n">
        <v>2.9</v>
      </c>
      <c r="H562" t="n">
        <v>0</v>
      </c>
      <c r="I562" t="n">
        <v>0</v>
      </c>
      <c r="J562" t="n">
        <v>0</v>
      </c>
      <c r="K562" t="n">
        <v>0</v>
      </c>
      <c r="L562" t="n">
        <v>0</v>
      </c>
      <c r="M562" t="n">
        <v>0</v>
      </c>
      <c r="N562" t="n">
        <v>0</v>
      </c>
      <c r="O562" t="n">
        <v>0</v>
      </c>
      <c r="P562" t="n">
        <v>0</v>
      </c>
      <c r="Q562" t="n">
        <v>0</v>
      </c>
      <c r="R562" s="2" t="inlineStr"/>
    </row>
    <row r="563" ht="15" customHeight="1">
      <c r="A563" t="inlineStr">
        <is>
          <t>A 22899-2023</t>
        </is>
      </c>
      <c r="B563" s="1" t="n">
        <v>45072</v>
      </c>
      <c r="C563" s="1" t="n">
        <v>45895</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1000-2024</t>
        </is>
      </c>
      <c r="B564" s="1" t="n">
        <v>45301.63371527778</v>
      </c>
      <c r="C564" s="1" t="n">
        <v>45895</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1010-2024</t>
        </is>
      </c>
      <c r="B565" s="1" t="n">
        <v>45301</v>
      </c>
      <c r="C565" s="1" t="n">
        <v>45895</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23978-2023</t>
        </is>
      </c>
      <c r="B566" s="1" t="n">
        <v>45078</v>
      </c>
      <c r="C566" s="1" t="n">
        <v>45895</v>
      </c>
      <c r="D566" t="inlineStr">
        <is>
          <t>GOTLANDS LÄN</t>
        </is>
      </c>
      <c r="E566" t="inlineStr">
        <is>
          <t>GOTLAND</t>
        </is>
      </c>
      <c r="F566" t="inlineStr">
        <is>
          <t>Naturvårdsverket</t>
        </is>
      </c>
      <c r="G566" t="n">
        <v>1.7</v>
      </c>
      <c r="H566" t="n">
        <v>0</v>
      </c>
      <c r="I566" t="n">
        <v>0</v>
      </c>
      <c r="J566" t="n">
        <v>0</v>
      </c>
      <c r="K566" t="n">
        <v>0</v>
      </c>
      <c r="L566" t="n">
        <v>0</v>
      </c>
      <c r="M566" t="n">
        <v>0</v>
      </c>
      <c r="N566" t="n">
        <v>0</v>
      </c>
      <c r="O566" t="n">
        <v>0</v>
      </c>
      <c r="P566" t="n">
        <v>0</v>
      </c>
      <c r="Q566" t="n">
        <v>0</v>
      </c>
      <c r="R566" s="2" t="inlineStr"/>
    </row>
    <row r="567" ht="15" customHeight="1">
      <c r="A567" t="inlineStr">
        <is>
          <t>A 34407-2023</t>
        </is>
      </c>
      <c r="B567" s="1" t="n">
        <v>45132</v>
      </c>
      <c r="C567" s="1" t="n">
        <v>45895</v>
      </c>
      <c r="D567" t="inlineStr">
        <is>
          <t>GOTLANDS LÄN</t>
        </is>
      </c>
      <c r="E567" t="inlineStr">
        <is>
          <t>GOTLAND</t>
        </is>
      </c>
      <c r="G567" t="n">
        <v>4.4</v>
      </c>
      <c r="H567" t="n">
        <v>0</v>
      </c>
      <c r="I567" t="n">
        <v>0</v>
      </c>
      <c r="J567" t="n">
        <v>0</v>
      </c>
      <c r="K567" t="n">
        <v>0</v>
      </c>
      <c r="L567" t="n">
        <v>0</v>
      </c>
      <c r="M567" t="n">
        <v>0</v>
      </c>
      <c r="N567" t="n">
        <v>0</v>
      </c>
      <c r="O567" t="n">
        <v>0</v>
      </c>
      <c r="P567" t="n">
        <v>0</v>
      </c>
      <c r="Q567" t="n">
        <v>0</v>
      </c>
      <c r="R567" s="2" t="inlineStr"/>
    </row>
    <row r="568" ht="15" customHeight="1">
      <c r="A568" t="inlineStr">
        <is>
          <t>A 11013-2024</t>
        </is>
      </c>
      <c r="B568" s="1" t="n">
        <v>45370</v>
      </c>
      <c r="C568" s="1" t="n">
        <v>45895</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27694-2024</t>
        </is>
      </c>
      <c r="B569" s="1" t="n">
        <v>45475</v>
      </c>
      <c r="C569" s="1" t="n">
        <v>45895</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15083-2025</t>
        </is>
      </c>
      <c r="B570" s="1" t="n">
        <v>45743</v>
      </c>
      <c r="C570" s="1" t="n">
        <v>45895</v>
      </c>
      <c r="D570" t="inlineStr">
        <is>
          <t>GOTLANDS LÄN</t>
        </is>
      </c>
      <c r="E570" t="inlineStr">
        <is>
          <t>GOTLAND</t>
        </is>
      </c>
      <c r="G570" t="n">
        <v>2.3</v>
      </c>
      <c r="H570" t="n">
        <v>0</v>
      </c>
      <c r="I570" t="n">
        <v>0</v>
      </c>
      <c r="J570" t="n">
        <v>0</v>
      </c>
      <c r="K570" t="n">
        <v>0</v>
      </c>
      <c r="L570" t="n">
        <v>0</v>
      </c>
      <c r="M570" t="n">
        <v>0</v>
      </c>
      <c r="N570" t="n">
        <v>0</v>
      </c>
      <c r="O570" t="n">
        <v>0</v>
      </c>
      <c r="P570" t="n">
        <v>0</v>
      </c>
      <c r="Q570" t="n">
        <v>0</v>
      </c>
      <c r="R570" s="2" t="inlineStr"/>
    </row>
    <row r="571" ht="15" customHeight="1">
      <c r="A571" t="inlineStr">
        <is>
          <t>A 13037-2025</t>
        </is>
      </c>
      <c r="B571" s="1" t="n">
        <v>45734</v>
      </c>
      <c r="C571" s="1" t="n">
        <v>45895</v>
      </c>
      <c r="D571" t="inlineStr">
        <is>
          <t>GOTLANDS LÄN</t>
        </is>
      </c>
      <c r="E571" t="inlineStr">
        <is>
          <t>GOTLAND</t>
        </is>
      </c>
      <c r="G571" t="n">
        <v>9.5</v>
      </c>
      <c r="H571" t="n">
        <v>0</v>
      </c>
      <c r="I571" t="n">
        <v>0</v>
      </c>
      <c r="J571" t="n">
        <v>0</v>
      </c>
      <c r="K571" t="n">
        <v>0</v>
      </c>
      <c r="L571" t="n">
        <v>0</v>
      </c>
      <c r="M571" t="n">
        <v>0</v>
      </c>
      <c r="N571" t="n">
        <v>0</v>
      </c>
      <c r="O571" t="n">
        <v>0</v>
      </c>
      <c r="P571" t="n">
        <v>0</v>
      </c>
      <c r="Q571" t="n">
        <v>0</v>
      </c>
      <c r="R571" s="2" t="inlineStr"/>
    </row>
    <row r="572" ht="15" customHeight="1">
      <c r="A572" t="inlineStr">
        <is>
          <t>A 47762-2023</t>
        </is>
      </c>
      <c r="B572" s="1" t="n">
        <v>45203.86256944444</v>
      </c>
      <c r="C572" s="1" t="n">
        <v>45895</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45895</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44228-2022</t>
        </is>
      </c>
      <c r="B574" s="1" t="n">
        <v>44839.51599537037</v>
      </c>
      <c r="C574" s="1" t="n">
        <v>45895</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58132-2023</t>
        </is>
      </c>
      <c r="B575" s="1" t="n">
        <v>45250</v>
      </c>
      <c r="C575" s="1" t="n">
        <v>45895</v>
      </c>
      <c r="D575" t="inlineStr">
        <is>
          <t>GOTLANDS LÄN</t>
        </is>
      </c>
      <c r="E575" t="inlineStr">
        <is>
          <t>GOTLAND</t>
        </is>
      </c>
      <c r="G575" t="n">
        <v>3.1</v>
      </c>
      <c r="H575" t="n">
        <v>0</v>
      </c>
      <c r="I575" t="n">
        <v>0</v>
      </c>
      <c r="J575" t="n">
        <v>0</v>
      </c>
      <c r="K575" t="n">
        <v>0</v>
      </c>
      <c r="L575" t="n">
        <v>0</v>
      </c>
      <c r="M575" t="n">
        <v>0</v>
      </c>
      <c r="N575" t="n">
        <v>0</v>
      </c>
      <c r="O575" t="n">
        <v>0</v>
      </c>
      <c r="P575" t="n">
        <v>0</v>
      </c>
      <c r="Q575" t="n">
        <v>0</v>
      </c>
      <c r="R575" s="2" t="inlineStr"/>
    </row>
    <row r="576" ht="15" customHeight="1">
      <c r="A576" t="inlineStr">
        <is>
          <t>A 49884-2023</t>
        </is>
      </c>
      <c r="B576" s="1" t="n">
        <v>45213</v>
      </c>
      <c r="C576" s="1" t="n">
        <v>45895</v>
      </c>
      <c r="D576" t="inlineStr">
        <is>
          <t>GOTLANDS LÄN</t>
        </is>
      </c>
      <c r="E576" t="inlineStr">
        <is>
          <t>GOTLAND</t>
        </is>
      </c>
      <c r="G576" t="n">
        <v>8.9</v>
      </c>
      <c r="H576" t="n">
        <v>0</v>
      </c>
      <c r="I576" t="n">
        <v>0</v>
      </c>
      <c r="J576" t="n">
        <v>0</v>
      </c>
      <c r="K576" t="n">
        <v>0</v>
      </c>
      <c r="L576" t="n">
        <v>0</v>
      </c>
      <c r="M576" t="n">
        <v>0</v>
      </c>
      <c r="N576" t="n">
        <v>0</v>
      </c>
      <c r="O576" t="n">
        <v>0</v>
      </c>
      <c r="P576" t="n">
        <v>0</v>
      </c>
      <c r="Q576" t="n">
        <v>0</v>
      </c>
      <c r="R576" s="2" t="inlineStr"/>
    </row>
    <row r="577" ht="15" customHeight="1">
      <c r="A577" t="inlineStr">
        <is>
          <t>A 17847-2025</t>
        </is>
      </c>
      <c r="B577" s="1" t="n">
        <v>45758</v>
      </c>
      <c r="C577" s="1" t="n">
        <v>45895</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876-2024</t>
        </is>
      </c>
      <c r="B578" s="1" t="n">
        <v>45301</v>
      </c>
      <c r="C578" s="1" t="n">
        <v>45895</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6796-2025</t>
        </is>
      </c>
      <c r="B579" s="1" t="n">
        <v>45700.66559027778</v>
      </c>
      <c r="C579" s="1" t="n">
        <v>45895</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22704-2023</t>
        </is>
      </c>
      <c r="B580" s="1" t="n">
        <v>45071</v>
      </c>
      <c r="C580" s="1" t="n">
        <v>45895</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28425-2023</t>
        </is>
      </c>
      <c r="B581" s="1" t="n">
        <v>45102</v>
      </c>
      <c r="C581" s="1" t="n">
        <v>45895</v>
      </c>
      <c r="D581" t="inlineStr">
        <is>
          <t>GOTLANDS LÄN</t>
        </is>
      </c>
      <c r="E581" t="inlineStr">
        <is>
          <t>GOTLAND</t>
        </is>
      </c>
      <c r="G581" t="n">
        <v>0.5</v>
      </c>
      <c r="H581" t="n">
        <v>0</v>
      </c>
      <c r="I581" t="n">
        <v>0</v>
      </c>
      <c r="J581" t="n">
        <v>0</v>
      </c>
      <c r="K581" t="n">
        <v>0</v>
      </c>
      <c r="L581" t="n">
        <v>0</v>
      </c>
      <c r="M581" t="n">
        <v>0</v>
      </c>
      <c r="N581" t="n">
        <v>0</v>
      </c>
      <c r="O581" t="n">
        <v>0</v>
      </c>
      <c r="P581" t="n">
        <v>0</v>
      </c>
      <c r="Q581" t="n">
        <v>0</v>
      </c>
      <c r="R581" s="2" t="inlineStr"/>
    </row>
    <row r="582" ht="15" customHeight="1">
      <c r="A582" t="inlineStr">
        <is>
          <t>A 58476-2022</t>
        </is>
      </c>
      <c r="B582" s="1" t="n">
        <v>44902</v>
      </c>
      <c r="C582" s="1" t="n">
        <v>45895</v>
      </c>
      <c r="D582" t="inlineStr">
        <is>
          <t>GOTLANDS LÄN</t>
        </is>
      </c>
      <c r="E582" t="inlineStr">
        <is>
          <t>GOTLAND</t>
        </is>
      </c>
      <c r="G582" t="n">
        <v>0.9</v>
      </c>
      <c r="H582" t="n">
        <v>0</v>
      </c>
      <c r="I582" t="n">
        <v>0</v>
      </c>
      <c r="J582" t="n">
        <v>0</v>
      </c>
      <c r="K582" t="n">
        <v>0</v>
      </c>
      <c r="L582" t="n">
        <v>0</v>
      </c>
      <c r="M582" t="n">
        <v>0</v>
      </c>
      <c r="N582" t="n">
        <v>0</v>
      </c>
      <c r="O582" t="n">
        <v>0</v>
      </c>
      <c r="P582" t="n">
        <v>0</v>
      </c>
      <c r="Q582" t="n">
        <v>0</v>
      </c>
      <c r="R582" s="2" t="inlineStr"/>
    </row>
    <row r="583" ht="15" customHeight="1">
      <c r="A583" t="inlineStr">
        <is>
          <t>A 43200-2023</t>
        </is>
      </c>
      <c r="B583" s="1" t="n">
        <v>45183</v>
      </c>
      <c r="C583" s="1" t="n">
        <v>45895</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43223-2023</t>
        </is>
      </c>
      <c r="B584" s="1" t="n">
        <v>45183.45642361111</v>
      </c>
      <c r="C584" s="1" t="n">
        <v>45895</v>
      </c>
      <c r="D584" t="inlineStr">
        <is>
          <t>GOTLANDS LÄN</t>
        </is>
      </c>
      <c r="E584" t="inlineStr">
        <is>
          <t>GOTLAND</t>
        </is>
      </c>
      <c r="G584" t="n">
        <v>1.8</v>
      </c>
      <c r="H584" t="n">
        <v>0</v>
      </c>
      <c r="I584" t="n">
        <v>0</v>
      </c>
      <c r="J584" t="n">
        <v>0</v>
      </c>
      <c r="K584" t="n">
        <v>0</v>
      </c>
      <c r="L584" t="n">
        <v>0</v>
      </c>
      <c r="M584" t="n">
        <v>0</v>
      </c>
      <c r="N584" t="n">
        <v>0</v>
      </c>
      <c r="O584" t="n">
        <v>0</v>
      </c>
      <c r="P584" t="n">
        <v>0</v>
      </c>
      <c r="Q584" t="n">
        <v>0</v>
      </c>
      <c r="R584" s="2" t="inlineStr"/>
    </row>
    <row r="585" ht="15" customHeight="1">
      <c r="A585" t="inlineStr">
        <is>
          <t>A 12327-2025</t>
        </is>
      </c>
      <c r="B585" s="1" t="n">
        <v>45730</v>
      </c>
      <c r="C585" s="1" t="n">
        <v>45895</v>
      </c>
      <c r="D585" t="inlineStr">
        <is>
          <t>GOTLANDS LÄN</t>
        </is>
      </c>
      <c r="E585" t="inlineStr">
        <is>
          <t>GOTLAND</t>
        </is>
      </c>
      <c r="G585" t="n">
        <v>1.8</v>
      </c>
      <c r="H585" t="n">
        <v>0</v>
      </c>
      <c r="I585" t="n">
        <v>0</v>
      </c>
      <c r="J585" t="n">
        <v>0</v>
      </c>
      <c r="K585" t="n">
        <v>0</v>
      </c>
      <c r="L585" t="n">
        <v>0</v>
      </c>
      <c r="M585" t="n">
        <v>0</v>
      </c>
      <c r="N585" t="n">
        <v>0</v>
      </c>
      <c r="O585" t="n">
        <v>0</v>
      </c>
      <c r="P585" t="n">
        <v>0</v>
      </c>
      <c r="Q585" t="n">
        <v>0</v>
      </c>
      <c r="R585" s="2" t="inlineStr"/>
    </row>
    <row r="586" ht="15" customHeight="1">
      <c r="A586" t="inlineStr">
        <is>
          <t>A 3431-2025</t>
        </is>
      </c>
      <c r="B586" s="1" t="n">
        <v>45680.42935185185</v>
      </c>
      <c r="C586" s="1" t="n">
        <v>45895</v>
      </c>
      <c r="D586" t="inlineStr">
        <is>
          <t>GOTLANDS LÄN</t>
        </is>
      </c>
      <c r="E586" t="inlineStr">
        <is>
          <t>GOTLAND</t>
        </is>
      </c>
      <c r="G586" t="n">
        <v>4.8</v>
      </c>
      <c r="H586" t="n">
        <v>0</v>
      </c>
      <c r="I586" t="n">
        <v>0</v>
      </c>
      <c r="J586" t="n">
        <v>0</v>
      </c>
      <c r="K586" t="n">
        <v>0</v>
      </c>
      <c r="L586" t="n">
        <v>0</v>
      </c>
      <c r="M586" t="n">
        <v>0</v>
      </c>
      <c r="N586" t="n">
        <v>0</v>
      </c>
      <c r="O586" t="n">
        <v>0</v>
      </c>
      <c r="P586" t="n">
        <v>0</v>
      </c>
      <c r="Q586" t="n">
        <v>0</v>
      </c>
      <c r="R586" s="2" t="inlineStr"/>
    </row>
    <row r="587" ht="15" customHeight="1">
      <c r="A587" t="inlineStr">
        <is>
          <t>A 12209-2024</t>
        </is>
      </c>
      <c r="B587" s="1" t="n">
        <v>45378</v>
      </c>
      <c r="C587" s="1" t="n">
        <v>45895</v>
      </c>
      <c r="D587" t="inlineStr">
        <is>
          <t>GOTLANDS LÄN</t>
        </is>
      </c>
      <c r="E587" t="inlineStr">
        <is>
          <t>GOTLAND</t>
        </is>
      </c>
      <c r="G587" t="n">
        <v>5.3</v>
      </c>
      <c r="H587" t="n">
        <v>0</v>
      </c>
      <c r="I587" t="n">
        <v>0</v>
      </c>
      <c r="J587" t="n">
        <v>0</v>
      </c>
      <c r="K587" t="n">
        <v>0</v>
      </c>
      <c r="L587" t="n">
        <v>0</v>
      </c>
      <c r="M587" t="n">
        <v>0</v>
      </c>
      <c r="N587" t="n">
        <v>0</v>
      </c>
      <c r="O587" t="n">
        <v>0</v>
      </c>
      <c r="P587" t="n">
        <v>0</v>
      </c>
      <c r="Q587" t="n">
        <v>0</v>
      </c>
      <c r="R587" s="2" t="inlineStr"/>
    </row>
    <row r="588" ht="15" customHeight="1">
      <c r="A588" t="inlineStr">
        <is>
          <t>A 12210-2024</t>
        </is>
      </c>
      <c r="B588" s="1" t="n">
        <v>45378</v>
      </c>
      <c r="C588" s="1" t="n">
        <v>45895</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1364-2025</t>
        </is>
      </c>
      <c r="B589" s="1" t="n">
        <v>45667.63929398148</v>
      </c>
      <c r="C589" s="1" t="n">
        <v>45895</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15042-2025</t>
        </is>
      </c>
      <c r="B590" s="1" t="n">
        <v>45743</v>
      </c>
      <c r="C590" s="1" t="n">
        <v>45895</v>
      </c>
      <c r="D590" t="inlineStr">
        <is>
          <t>GOTLANDS LÄN</t>
        </is>
      </c>
      <c r="E590" t="inlineStr">
        <is>
          <t>GOTLAND</t>
        </is>
      </c>
      <c r="G590" t="n">
        <v>8.5</v>
      </c>
      <c r="H590" t="n">
        <v>0</v>
      </c>
      <c r="I590" t="n">
        <v>0</v>
      </c>
      <c r="J590" t="n">
        <v>0</v>
      </c>
      <c r="K590" t="n">
        <v>0</v>
      </c>
      <c r="L590" t="n">
        <v>0</v>
      </c>
      <c r="M590" t="n">
        <v>0</v>
      </c>
      <c r="N590" t="n">
        <v>0</v>
      </c>
      <c r="O590" t="n">
        <v>0</v>
      </c>
      <c r="P590" t="n">
        <v>0</v>
      </c>
      <c r="Q590" t="n">
        <v>0</v>
      </c>
      <c r="R590" s="2" t="inlineStr"/>
    </row>
    <row r="591" ht="15" customHeight="1">
      <c r="A591" t="inlineStr">
        <is>
          <t>A 2180-2025</t>
        </is>
      </c>
      <c r="B591" s="1" t="n">
        <v>45673</v>
      </c>
      <c r="C591" s="1" t="n">
        <v>45895</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15436-2025</t>
        </is>
      </c>
      <c r="B592" s="1" t="n">
        <v>45747.47462962963</v>
      </c>
      <c r="C592" s="1" t="n">
        <v>45895</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10652-2025</t>
        </is>
      </c>
      <c r="B593" s="1" t="n">
        <v>45721.68640046296</v>
      </c>
      <c r="C593" s="1" t="n">
        <v>45895</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49257-2024</t>
        </is>
      </c>
      <c r="B594" s="1" t="n">
        <v>45595.47627314815</v>
      </c>
      <c r="C594" s="1" t="n">
        <v>45895</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37202-2024</t>
        </is>
      </c>
      <c r="B595" s="1" t="n">
        <v>45539.67310185185</v>
      </c>
      <c r="C595" s="1" t="n">
        <v>45895</v>
      </c>
      <c r="D595" t="inlineStr">
        <is>
          <t>GOTLANDS LÄN</t>
        </is>
      </c>
      <c r="E595" t="inlineStr">
        <is>
          <t>GOTLAND</t>
        </is>
      </c>
      <c r="G595" t="n">
        <v>0.3</v>
      </c>
      <c r="H595" t="n">
        <v>0</v>
      </c>
      <c r="I595" t="n">
        <v>0</v>
      </c>
      <c r="J595" t="n">
        <v>0</v>
      </c>
      <c r="K595" t="n">
        <v>0</v>
      </c>
      <c r="L595" t="n">
        <v>0</v>
      </c>
      <c r="M595" t="n">
        <v>0</v>
      </c>
      <c r="N595" t="n">
        <v>0</v>
      </c>
      <c r="O595" t="n">
        <v>0</v>
      </c>
      <c r="P595" t="n">
        <v>0</v>
      </c>
      <c r="Q595" t="n">
        <v>0</v>
      </c>
      <c r="R595" s="2" t="inlineStr"/>
    </row>
    <row r="596" ht="15" customHeight="1">
      <c r="A596" t="inlineStr">
        <is>
          <t>A 56115-2023</t>
        </is>
      </c>
      <c r="B596" s="1" t="n">
        <v>45236</v>
      </c>
      <c r="C596" s="1" t="n">
        <v>45895</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2774-2024</t>
        </is>
      </c>
      <c r="B597" s="1" t="n">
        <v>45314.62375</v>
      </c>
      <c r="C597" s="1" t="n">
        <v>45895</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60709-2023</t>
        </is>
      </c>
      <c r="B598" s="1" t="n">
        <v>45260</v>
      </c>
      <c r="C598" s="1" t="n">
        <v>45895</v>
      </c>
      <c r="D598" t="inlineStr">
        <is>
          <t>GOTLANDS LÄN</t>
        </is>
      </c>
      <c r="E598" t="inlineStr">
        <is>
          <t>GOTLAND</t>
        </is>
      </c>
      <c r="G598" t="n">
        <v>1.7</v>
      </c>
      <c r="H598" t="n">
        <v>0</v>
      </c>
      <c r="I598" t="n">
        <v>0</v>
      </c>
      <c r="J598" t="n">
        <v>0</v>
      </c>
      <c r="K598" t="n">
        <v>0</v>
      </c>
      <c r="L598" t="n">
        <v>0</v>
      </c>
      <c r="M598" t="n">
        <v>0</v>
      </c>
      <c r="N598" t="n">
        <v>0</v>
      </c>
      <c r="O598" t="n">
        <v>0</v>
      </c>
      <c r="P598" t="n">
        <v>0</v>
      </c>
      <c r="Q598" t="n">
        <v>0</v>
      </c>
      <c r="R598" s="2" t="inlineStr"/>
    </row>
    <row r="599" ht="15" customHeight="1">
      <c r="A599" t="inlineStr">
        <is>
          <t>A 64208-2021</t>
        </is>
      </c>
      <c r="B599" s="1" t="n">
        <v>44510</v>
      </c>
      <c r="C599" s="1" t="n">
        <v>45895</v>
      </c>
      <c r="D599" t="inlineStr">
        <is>
          <t>GOTLANDS LÄN</t>
        </is>
      </c>
      <c r="E599" t="inlineStr">
        <is>
          <t>GOTLAND</t>
        </is>
      </c>
      <c r="G599" t="n">
        <v>4.7</v>
      </c>
      <c r="H599" t="n">
        <v>0</v>
      </c>
      <c r="I599" t="n">
        <v>0</v>
      </c>
      <c r="J599" t="n">
        <v>0</v>
      </c>
      <c r="K599" t="n">
        <v>0</v>
      </c>
      <c r="L599" t="n">
        <v>0</v>
      </c>
      <c r="M599" t="n">
        <v>0</v>
      </c>
      <c r="N599" t="n">
        <v>0</v>
      </c>
      <c r="O599" t="n">
        <v>0</v>
      </c>
      <c r="P599" t="n">
        <v>0</v>
      </c>
      <c r="Q599" t="n">
        <v>0</v>
      </c>
      <c r="R599" s="2" t="inlineStr"/>
    </row>
    <row r="600" ht="15" customHeight="1">
      <c r="A600" t="inlineStr">
        <is>
          <t>A 39764-2022</t>
        </is>
      </c>
      <c r="B600" s="1" t="n">
        <v>44819</v>
      </c>
      <c r="C600" s="1" t="n">
        <v>45895</v>
      </c>
      <c r="D600" t="inlineStr">
        <is>
          <t>GOTLANDS LÄN</t>
        </is>
      </c>
      <c r="E600" t="inlineStr">
        <is>
          <t>GOTLAND</t>
        </is>
      </c>
      <c r="F600" t="inlineStr">
        <is>
          <t>Kyrkan</t>
        </is>
      </c>
      <c r="G600" t="n">
        <v>3.7</v>
      </c>
      <c r="H600" t="n">
        <v>0</v>
      </c>
      <c r="I600" t="n">
        <v>0</v>
      </c>
      <c r="J600" t="n">
        <v>0</v>
      </c>
      <c r="K600" t="n">
        <v>0</v>
      </c>
      <c r="L600" t="n">
        <v>0</v>
      </c>
      <c r="M600" t="n">
        <v>0</v>
      </c>
      <c r="N600" t="n">
        <v>0</v>
      </c>
      <c r="O600" t="n">
        <v>0</v>
      </c>
      <c r="P600" t="n">
        <v>0</v>
      </c>
      <c r="Q600" t="n">
        <v>0</v>
      </c>
      <c r="R600" s="2" t="inlineStr"/>
    </row>
    <row r="601" ht="15" customHeight="1">
      <c r="A601" t="inlineStr">
        <is>
          <t>A 58211-2024</t>
        </is>
      </c>
      <c r="B601" s="1" t="n">
        <v>45632.49292824074</v>
      </c>
      <c r="C601" s="1" t="n">
        <v>45895</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30956-2024</t>
        </is>
      </c>
      <c r="B602" s="1" t="n">
        <v>45499.42527777778</v>
      </c>
      <c r="C602" s="1" t="n">
        <v>45895</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30892-2024</t>
        </is>
      </c>
      <c r="B603" s="1" t="n">
        <v>45491</v>
      </c>
      <c r="C603" s="1" t="n">
        <v>45895</v>
      </c>
      <c r="D603" t="inlineStr">
        <is>
          <t>GOTLANDS LÄN</t>
        </is>
      </c>
      <c r="E603" t="inlineStr">
        <is>
          <t>GOTLAND</t>
        </is>
      </c>
      <c r="G603" t="n">
        <v>6.1</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45013.69365740741</v>
      </c>
      <c r="C604" s="1" t="n">
        <v>45895</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59469-2024</t>
        </is>
      </c>
      <c r="B605" s="1" t="n">
        <v>45638</v>
      </c>
      <c r="C605" s="1" t="n">
        <v>45895</v>
      </c>
      <c r="D605" t="inlineStr">
        <is>
          <t>GOTLANDS LÄN</t>
        </is>
      </c>
      <c r="E605" t="inlineStr">
        <is>
          <t>GOTLAND</t>
        </is>
      </c>
      <c r="G605" t="n">
        <v>0.4</v>
      </c>
      <c r="H605" t="n">
        <v>0</v>
      </c>
      <c r="I605" t="n">
        <v>0</v>
      </c>
      <c r="J605" t="n">
        <v>0</v>
      </c>
      <c r="K605" t="n">
        <v>0</v>
      </c>
      <c r="L605" t="n">
        <v>0</v>
      </c>
      <c r="M605" t="n">
        <v>0</v>
      </c>
      <c r="N605" t="n">
        <v>0</v>
      </c>
      <c r="O605" t="n">
        <v>0</v>
      </c>
      <c r="P605" t="n">
        <v>0</v>
      </c>
      <c r="Q605" t="n">
        <v>0</v>
      </c>
      <c r="R605" s="2" t="inlineStr"/>
    </row>
    <row r="606">
      <c r="A606" t="inlineStr">
        <is>
          <t>A 7858-2025</t>
        </is>
      </c>
      <c r="B606" s="1" t="n">
        <v>45706.68633101852</v>
      </c>
      <c r="C606" s="1" t="n">
        <v>45895</v>
      </c>
      <c r="D606" t="inlineStr">
        <is>
          <t>GOTLANDS LÄN</t>
        </is>
      </c>
      <c r="E606" t="inlineStr">
        <is>
          <t>GOTLAND</t>
        </is>
      </c>
      <c r="G606" t="n">
        <v>3</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2025-08-26T08:32:16Z</dcterms:created>
  <dcterms:modified xmlns:dcterms="http://purl.org/dc/terms/" xmlns:xsi="http://www.w3.org/2001/XMLSchema-instance" xsi:type="dcterms:W3CDTF">2025-08-26T08:32:16Z</dcterms:modified>
</cp:coreProperties>
</file>