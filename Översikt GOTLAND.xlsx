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46048</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46048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46048</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46048</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46048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46048</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46048</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46048</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46048</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46048</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46048</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46048</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46048</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46048</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46048</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46048</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46048</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46048</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46048</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46048</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46048</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46048</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46048</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46048</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46048</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46048</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17762-2024</t>
        </is>
      </c>
      <c r="B32" s="1" t="n">
        <v>45418</v>
      </c>
      <c r="C32" s="1" t="n">
        <v>46048</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25779-2022</t>
        </is>
      </c>
      <c r="B33" s="1" t="n">
        <v>44733</v>
      </c>
      <c r="C33" s="1" t="n">
        <v>46048</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46048</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2804-2023</t>
        </is>
      </c>
      <c r="B35" s="1" t="n">
        <v>44944</v>
      </c>
      <c r="C35" s="1" t="n">
        <v>46048</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46048</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44928-2022</t>
        </is>
      </c>
      <c r="B37" s="1" t="n">
        <v>44841</v>
      </c>
      <c r="C37" s="1" t="n">
        <v>46048</v>
      </c>
      <c r="D37" t="inlineStr">
        <is>
          <t>GOTLANDS LÄN</t>
        </is>
      </c>
      <c r="E37" t="inlineStr">
        <is>
          <t>GOTLAND</t>
        </is>
      </c>
      <c r="G37" t="n">
        <v>3.7</v>
      </c>
      <c r="H37" t="n">
        <v>1</v>
      </c>
      <c r="I37" t="n">
        <v>6</v>
      </c>
      <c r="J37" t="n">
        <v>3</v>
      </c>
      <c r="K37" t="n">
        <v>2</v>
      </c>
      <c r="L37" t="n">
        <v>1</v>
      </c>
      <c r="M37" t="n">
        <v>0</v>
      </c>
      <c r="N37" t="n">
        <v>0</v>
      </c>
      <c r="O37" t="n">
        <v>7</v>
      </c>
      <c r="P37" t="n">
        <v>3</v>
      </c>
      <c r="Q37" t="n">
        <v>13</v>
      </c>
      <c r="R37" s="2" t="inlineStr">
        <is>
          <t>Barkkvastmossa
Gulsträngad fagerspindling
Tvillingspindling
Odörspindling
Puderspindling
Ängsstarr
Frostig asplav
Anisspindling
Axag
Blå slemspindling
Kattfotslav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44204-2022</t>
        </is>
      </c>
      <c r="B38" s="1" t="n">
        <v>44839</v>
      </c>
      <c r="C38" s="1" t="n">
        <v>46048</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46048</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46048</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46048</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46048</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46048</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46048</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46048</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46048</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46048</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46048</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46048</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22404-2024</t>
        </is>
      </c>
      <c r="B50" s="1" t="n">
        <v>45446</v>
      </c>
      <c r="C50" s="1" t="n">
        <v>46048</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33153-2024</t>
        </is>
      </c>
      <c r="B51" s="1" t="n">
        <v>45518</v>
      </c>
      <c r="C51" s="1" t="n">
        <v>46048</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14354-2024</t>
        </is>
      </c>
      <c r="B52" s="1" t="n">
        <v>45393</v>
      </c>
      <c r="C52" s="1" t="n">
        <v>46048</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46048</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46048</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46048</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46048</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46048</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46048</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46048</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21467-2024</t>
        </is>
      </c>
      <c r="B60" s="1" t="n">
        <v>45441</v>
      </c>
      <c r="C60" s="1" t="n">
        <v>46048</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46048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46048</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27168-2022</t>
        </is>
      </c>
      <c r="B63" s="1" t="n">
        <v>44741</v>
      </c>
      <c r="C63" s="1" t="n">
        <v>46048</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44944-2022</t>
        </is>
      </c>
      <c r="B64" s="1" t="n">
        <v>44841</v>
      </c>
      <c r="C64" s="1" t="n">
        <v>46048</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46048</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46048</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46048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46048</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56687-2025</t>
        </is>
      </c>
      <c r="B69" s="1" t="n">
        <v>45975.84065972222</v>
      </c>
      <c r="C69" s="1" t="n">
        <v>46048</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46048</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46048</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46048</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46048</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46048</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46048</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53584-2025</t>
        </is>
      </c>
      <c r="B76" s="1" t="n">
        <v>45960.43130787037</v>
      </c>
      <c r="C76" s="1" t="n">
        <v>46048</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46048</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57773-2025</t>
        </is>
      </c>
      <c r="B78" s="1" t="n">
        <v>45981.56349537037</v>
      </c>
      <c r="C78" s="1" t="n">
        <v>46048</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46048</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46048</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46048</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39425-2023</t>
        </is>
      </c>
      <c r="B82" s="1" t="n">
        <v>45166</v>
      </c>
      <c r="C82" s="1" t="n">
        <v>46048</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32326-2024</t>
        </is>
      </c>
      <c r="B83" s="1" t="n">
        <v>45512</v>
      </c>
      <c r="C83" s="1" t="n">
        <v>46048</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2213-2023</t>
        </is>
      </c>
      <c r="B84" s="1" t="n">
        <v>44942</v>
      </c>
      <c r="C84" s="1" t="n">
        <v>46048</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54055-2022</t>
        </is>
      </c>
      <c r="B85" s="1" t="n">
        <v>44881</v>
      </c>
      <c r="C85" s="1" t="n">
        <v>46048</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35293-2025</t>
        </is>
      </c>
      <c r="B86" s="1" t="n">
        <v>45854.39438657407</v>
      </c>
      <c r="C86" s="1" t="n">
        <v>46048</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52245-2025</t>
        </is>
      </c>
      <c r="B87" s="1" t="n">
        <v>45953.47115740741</v>
      </c>
      <c r="C87" s="1" t="n">
        <v>46048</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46048</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46048</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46048</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56717-2024</t>
        </is>
      </c>
      <c r="B91" s="1" t="n">
        <v>45628.3166550926</v>
      </c>
      <c r="C91" s="1" t="n">
        <v>46048</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1971-2023</t>
        </is>
      </c>
      <c r="B92" s="1" t="n">
        <v>44939</v>
      </c>
      <c r="C92" s="1" t="n">
        <v>46048</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186-2023</t>
        </is>
      </c>
      <c r="B93" s="1" t="n">
        <v>44928</v>
      </c>
      <c r="C93" s="1" t="n">
        <v>46048</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20833-2024</t>
        </is>
      </c>
      <c r="B94" s="1" t="n">
        <v>45439</v>
      </c>
      <c r="C94" s="1" t="n">
        <v>46048</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2485-2025</t>
        </is>
      </c>
      <c r="B95" s="1" t="n">
        <v>45673</v>
      </c>
      <c r="C95" s="1" t="n">
        <v>46048</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5904-2024</t>
        </is>
      </c>
      <c r="B96" s="1" t="n">
        <v>45335</v>
      </c>
      <c r="C96" s="1" t="n">
        <v>46048</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8265-2023</t>
        </is>
      </c>
      <c r="B97" s="1" t="n">
        <v>44974</v>
      </c>
      <c r="C97" s="1" t="n">
        <v>46048</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40099-2025</t>
        </is>
      </c>
      <c r="B98" s="1" t="n">
        <v>45894.48462962963</v>
      </c>
      <c r="C98" s="1" t="n">
        <v>46048</v>
      </c>
      <c r="D98" t="inlineStr">
        <is>
          <t>GOTLANDS LÄN</t>
        </is>
      </c>
      <c r="E98" t="inlineStr">
        <is>
          <t>GOTLAND</t>
        </is>
      </c>
      <c r="G98" t="n">
        <v>6.5</v>
      </c>
      <c r="H98" t="n">
        <v>0</v>
      </c>
      <c r="I98" t="n">
        <v>3</v>
      </c>
      <c r="J98" t="n">
        <v>0</v>
      </c>
      <c r="K98" t="n">
        <v>1</v>
      </c>
      <c r="L98" t="n">
        <v>0</v>
      </c>
      <c r="M98" t="n">
        <v>0</v>
      </c>
      <c r="N98" t="n">
        <v>0</v>
      </c>
      <c r="O98" t="n">
        <v>1</v>
      </c>
      <c r="P98" t="n">
        <v>1</v>
      </c>
      <c r="Q98" t="n">
        <v>4</v>
      </c>
      <c r="R98" s="2" t="inlineStr">
        <is>
          <t>Mörkfjällig olivspindling
Fjällig taggsvamp s.str.
Olivspindling
Svavelriska</t>
        </is>
      </c>
      <c r="S98">
        <f>HYPERLINK("https://klasma.github.io/Logging_0980/artfynd/A 40099-2025 artfynd.xlsx", "A 40099-2025")</f>
        <v/>
      </c>
      <c r="T98">
        <f>HYPERLINK("https://klasma.github.io/Logging_0980/kartor/A 40099-2025 karta.png", "A 40099-2025")</f>
        <v/>
      </c>
      <c r="V98">
        <f>HYPERLINK("https://klasma.github.io/Logging_0980/klagomål/A 40099-2025 FSC-klagomål.docx", "A 40099-2025")</f>
        <v/>
      </c>
      <c r="W98">
        <f>HYPERLINK("https://klasma.github.io/Logging_0980/klagomålsmail/A 40099-2025 FSC-klagomål mail.docx", "A 40099-2025")</f>
        <v/>
      </c>
      <c r="X98">
        <f>HYPERLINK("https://klasma.github.io/Logging_0980/tillsyn/A 40099-2025 tillsynsbegäran.docx", "A 40099-2025")</f>
        <v/>
      </c>
      <c r="Y98">
        <f>HYPERLINK("https://klasma.github.io/Logging_0980/tillsynsmail/A 40099-2025 tillsynsbegäran mail.docx", "A 40099-2025")</f>
        <v/>
      </c>
    </row>
    <row r="99" ht="15" customHeight="1">
      <c r="A99" t="inlineStr">
        <is>
          <t>A 44933-2022</t>
        </is>
      </c>
      <c r="B99" s="1" t="n">
        <v>44841</v>
      </c>
      <c r="C99" s="1" t="n">
        <v>46048</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52250-2025</t>
        </is>
      </c>
      <c r="B100" s="1" t="n">
        <v>45953.48998842593</v>
      </c>
      <c r="C100" s="1" t="n">
        <v>46048</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57463-2025</t>
        </is>
      </c>
      <c r="B101" s="1" t="n">
        <v>45980.54174768519</v>
      </c>
      <c r="C101" s="1" t="n">
        <v>46048</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54523-2023</t>
        </is>
      </c>
      <c r="B102" s="1" t="n">
        <v>45233</v>
      </c>
      <c r="C102" s="1" t="n">
        <v>46048</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44323-2021</t>
        </is>
      </c>
      <c r="B103" s="1" t="n">
        <v>44434</v>
      </c>
      <c r="C103" s="1" t="n">
        <v>46048</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46048</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46048</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46048</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73144-2021</t>
        </is>
      </c>
      <c r="B107" s="1" t="n">
        <v>44550</v>
      </c>
      <c r="C107" s="1" t="n">
        <v>46048</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43013-2022</t>
        </is>
      </c>
      <c r="B108" s="1" t="n">
        <v>44833</v>
      </c>
      <c r="C108" s="1" t="n">
        <v>46048</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17975-2024</t>
        </is>
      </c>
      <c r="B109" s="1" t="n">
        <v>45419.85546296297</v>
      </c>
      <c r="C109" s="1" t="n">
        <v>46048</v>
      </c>
      <c r="D109" t="inlineStr">
        <is>
          <t>GOTLANDS LÄN</t>
        </is>
      </c>
      <c r="E109" t="inlineStr">
        <is>
          <t>GOTLAND</t>
        </is>
      </c>
      <c r="G109" t="n">
        <v>7.9</v>
      </c>
      <c r="H109" t="n">
        <v>0</v>
      </c>
      <c r="I109" t="n">
        <v>1</v>
      </c>
      <c r="J109" t="n">
        <v>1</v>
      </c>
      <c r="K109" t="n">
        <v>0</v>
      </c>
      <c r="L109" t="n">
        <v>1</v>
      </c>
      <c r="M109" t="n">
        <v>0</v>
      </c>
      <c r="N109" t="n">
        <v>0</v>
      </c>
      <c r="O109" t="n">
        <v>2</v>
      </c>
      <c r="P109" t="n">
        <v>1</v>
      </c>
      <c r="Q109" t="n">
        <v>3</v>
      </c>
      <c r="R109" s="2" t="inlineStr">
        <is>
          <t>Ask
Skugglosta
Strävlosta</t>
        </is>
      </c>
      <c r="S109">
        <f>HYPERLINK("https://klasma.github.io/Logging_0980/artfynd/A 17975-2024 artfynd.xlsx", "A 17975-2024")</f>
        <v/>
      </c>
      <c r="T109">
        <f>HYPERLINK("https://klasma.github.io/Logging_0980/kartor/A 17975-2024 karta.png", "A 17975-2024")</f>
        <v/>
      </c>
      <c r="V109">
        <f>HYPERLINK("https://klasma.github.io/Logging_0980/klagomål/A 17975-2024 FSC-klagomål.docx", "A 17975-2024")</f>
        <v/>
      </c>
      <c r="W109">
        <f>HYPERLINK("https://klasma.github.io/Logging_0980/klagomålsmail/A 17975-2024 FSC-klagomål mail.docx", "A 17975-2024")</f>
        <v/>
      </c>
      <c r="X109">
        <f>HYPERLINK("https://klasma.github.io/Logging_0980/tillsyn/A 17975-2024 tillsynsbegäran.docx", "A 17975-2024")</f>
        <v/>
      </c>
      <c r="Y109">
        <f>HYPERLINK("https://klasma.github.io/Logging_0980/tillsynsmail/A 17975-2024 tillsynsbegäran mail.docx", "A 17975-2024")</f>
        <v/>
      </c>
    </row>
    <row r="110" ht="15" customHeight="1">
      <c r="A110" t="inlineStr">
        <is>
          <t>A 13499-2022</t>
        </is>
      </c>
      <c r="B110" s="1" t="n">
        <v>44647.79203703703</v>
      </c>
      <c r="C110" s="1" t="n">
        <v>46048</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53552-2021</t>
        </is>
      </c>
      <c r="B111" s="1" t="n">
        <v>44468</v>
      </c>
      <c r="C111" s="1" t="n">
        <v>46048</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5235-2025</t>
        </is>
      </c>
      <c r="B112" s="1" t="n">
        <v>45692.26797453704</v>
      </c>
      <c r="C112" s="1" t="n">
        <v>46048</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12315-2024</t>
        </is>
      </c>
      <c r="B113" s="1" t="n">
        <v>45378.6434837963</v>
      </c>
      <c r="C113" s="1" t="n">
        <v>46048</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17982-2023</t>
        </is>
      </c>
      <c r="B114" s="1" t="n">
        <v>45040</v>
      </c>
      <c r="C114" s="1" t="n">
        <v>46048</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48126-2022</t>
        </is>
      </c>
      <c r="B115" s="1" t="n">
        <v>44857</v>
      </c>
      <c r="C115" s="1" t="n">
        <v>46048</v>
      </c>
      <c r="D115" t="inlineStr">
        <is>
          <t>GOTLANDS LÄN</t>
        </is>
      </c>
      <c r="E115" t="inlineStr">
        <is>
          <t>GOTLAND</t>
        </is>
      </c>
      <c r="G115" t="n">
        <v>9.800000000000001</v>
      </c>
      <c r="H115" t="n">
        <v>1</v>
      </c>
      <c r="I115" t="n">
        <v>0</v>
      </c>
      <c r="J115" t="n">
        <v>3</v>
      </c>
      <c r="K115" t="n">
        <v>0</v>
      </c>
      <c r="L115" t="n">
        <v>0</v>
      </c>
      <c r="M115" t="n">
        <v>0</v>
      </c>
      <c r="N115" t="n">
        <v>0</v>
      </c>
      <c r="O115" t="n">
        <v>3</v>
      </c>
      <c r="P115" t="n">
        <v>0</v>
      </c>
      <c r="Q115" t="n">
        <v>3</v>
      </c>
      <c r="R115" s="2" t="inlineStr">
        <is>
          <t>Jordtistel
Spillkråka
Svinrot</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30490-2025</t>
        </is>
      </c>
      <c r="B116" s="1" t="n">
        <v>45830</v>
      </c>
      <c r="C116" s="1" t="n">
        <v>46048</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20831-2024</t>
        </is>
      </c>
      <c r="B117" s="1" t="n">
        <v>45439</v>
      </c>
      <c r="C117" s="1" t="n">
        <v>46048</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55334-2024</t>
        </is>
      </c>
      <c r="B118" s="1" t="n">
        <v>45621</v>
      </c>
      <c r="C118" s="1" t="n">
        <v>46048</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46048</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1520-2026</t>
        </is>
      </c>
      <c r="B120" s="1" t="n">
        <v>46034.35891203704</v>
      </c>
      <c r="C120" s="1" t="n">
        <v>46048</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46048</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46048</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46048</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46048</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20218-2022</t>
        </is>
      </c>
      <c r="B125" s="1" t="n">
        <v>44698</v>
      </c>
      <c r="C125" s="1" t="n">
        <v>46048</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60665-2021</t>
        </is>
      </c>
      <c r="B126" s="1" t="n">
        <v>44496</v>
      </c>
      <c r="C126" s="1" t="n">
        <v>46048</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28261-2024</t>
        </is>
      </c>
      <c r="B127" s="1" t="n">
        <v>45477</v>
      </c>
      <c r="C127" s="1" t="n">
        <v>46048</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46048</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54357-2024</t>
        </is>
      </c>
      <c r="B129" s="1" t="n">
        <v>45617.40662037037</v>
      </c>
      <c r="C129" s="1" t="n">
        <v>46048</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21879-2025</t>
        </is>
      </c>
      <c r="B130" s="1" t="n">
        <v>45784.40533564815</v>
      </c>
      <c r="C130" s="1" t="n">
        <v>46048</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20838-2024</t>
        </is>
      </c>
      <c r="B131" s="1" t="n">
        <v>45439</v>
      </c>
      <c r="C131" s="1" t="n">
        <v>46048</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7070-2022</t>
        </is>
      </c>
      <c r="B132" s="1" t="n">
        <v>44603</v>
      </c>
      <c r="C132" s="1" t="n">
        <v>46048</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46048</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26077-2024</t>
        </is>
      </c>
      <c r="B134" s="1" t="n">
        <v>45467</v>
      </c>
      <c r="C134" s="1" t="n">
        <v>46048</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43219-2023</t>
        </is>
      </c>
      <c r="B135" s="1" t="n">
        <v>45183</v>
      </c>
      <c r="C135" s="1" t="n">
        <v>46048</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28276-2024</t>
        </is>
      </c>
      <c r="B136" s="1" t="n">
        <v>45477</v>
      </c>
      <c r="C136" s="1" t="n">
        <v>46048</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63162-2025</t>
        </is>
      </c>
      <c r="B137" s="1" t="n">
        <v>46010.37629629629</v>
      </c>
      <c r="C137" s="1" t="n">
        <v>46048</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62760-2025</t>
        </is>
      </c>
      <c r="B138" s="1" t="n">
        <v>46008</v>
      </c>
      <c r="C138" s="1" t="n">
        <v>46048</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46362-2021</t>
        </is>
      </c>
      <c r="B139" s="1" t="n">
        <v>44442</v>
      </c>
      <c r="C139" s="1" t="n">
        <v>46048</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46048</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46048</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24245-2022</t>
        </is>
      </c>
      <c r="B142" s="1" t="n">
        <v>44725</v>
      </c>
      <c r="C142" s="1" t="n">
        <v>46048</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22883-2024</t>
        </is>
      </c>
      <c r="B143" s="1" t="n">
        <v>45448.66368055555</v>
      </c>
      <c r="C143" s="1" t="n">
        <v>46048</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63576-2021</t>
        </is>
      </c>
      <c r="B144" s="1" t="n">
        <v>44508</v>
      </c>
      <c r="C144" s="1" t="n">
        <v>46048</v>
      </c>
      <c r="D144" t="inlineStr">
        <is>
          <t>GOTLANDS LÄN</t>
        </is>
      </c>
      <c r="E144" t="inlineStr">
        <is>
          <t>GOTLAND</t>
        </is>
      </c>
      <c r="F144" t="inlineStr">
        <is>
          <t>Kyrkan</t>
        </is>
      </c>
      <c r="G144" t="n">
        <v>4.1</v>
      </c>
      <c r="H144" t="n">
        <v>1</v>
      </c>
      <c r="I144" t="n">
        <v>0</v>
      </c>
      <c r="J144" t="n">
        <v>1</v>
      </c>
      <c r="K144" t="n">
        <v>0</v>
      </c>
      <c r="L144" t="n">
        <v>0</v>
      </c>
      <c r="M144" t="n">
        <v>0</v>
      </c>
      <c r="N144" t="n">
        <v>0</v>
      </c>
      <c r="O144" t="n">
        <v>1</v>
      </c>
      <c r="P144" t="n">
        <v>0</v>
      </c>
      <c r="Q144" t="n">
        <v>1</v>
      </c>
      <c r="R144" s="2" t="inlineStr">
        <is>
          <t>Dårgräsfjäril</t>
        </is>
      </c>
      <c r="S144">
        <f>HYPERLINK("https://klasma.github.io/Logging_0980/artfynd/A 63576-2021 artfynd.xlsx", "A 63576-2021")</f>
        <v/>
      </c>
      <c r="T144">
        <f>HYPERLINK("https://klasma.github.io/Logging_0980/kartor/A 63576-2021 karta.png", "A 63576-2021")</f>
        <v/>
      </c>
      <c r="V144">
        <f>HYPERLINK("https://klasma.github.io/Logging_0980/klagomål/A 63576-2021 FSC-klagomål.docx", "A 63576-2021")</f>
        <v/>
      </c>
      <c r="W144">
        <f>HYPERLINK("https://klasma.github.io/Logging_0980/klagomålsmail/A 63576-2021 FSC-klagomål mail.docx", "A 63576-2021")</f>
        <v/>
      </c>
      <c r="X144">
        <f>HYPERLINK("https://klasma.github.io/Logging_0980/tillsyn/A 63576-2021 tillsynsbegäran.docx", "A 63576-2021")</f>
        <v/>
      </c>
      <c r="Y144">
        <f>HYPERLINK("https://klasma.github.io/Logging_0980/tillsynsmail/A 63576-2021 tillsynsbegäran mail.docx", "A 63576-2021")</f>
        <v/>
      </c>
    </row>
    <row r="145" ht="15" customHeight="1">
      <c r="A145" t="inlineStr">
        <is>
          <t>A 12324-2025</t>
        </is>
      </c>
      <c r="B145" s="1" t="n">
        <v>45730</v>
      </c>
      <c r="C145" s="1" t="n">
        <v>46048</v>
      </c>
      <c r="D145" t="inlineStr">
        <is>
          <t>GOTLANDS LÄN</t>
        </is>
      </c>
      <c r="E145" t="inlineStr">
        <is>
          <t>GOTLAND</t>
        </is>
      </c>
      <c r="G145" t="n">
        <v>5</v>
      </c>
      <c r="H145" t="n">
        <v>0</v>
      </c>
      <c r="I145" t="n">
        <v>0</v>
      </c>
      <c r="J145" t="n">
        <v>0</v>
      </c>
      <c r="K145" t="n">
        <v>1</v>
      </c>
      <c r="L145" t="n">
        <v>0</v>
      </c>
      <c r="M145" t="n">
        <v>0</v>
      </c>
      <c r="N145" t="n">
        <v>0</v>
      </c>
      <c r="O145" t="n">
        <v>1</v>
      </c>
      <c r="P145" t="n">
        <v>1</v>
      </c>
      <c r="Q145" t="n">
        <v>1</v>
      </c>
      <c r="R145" s="2" t="inlineStr">
        <is>
          <t>Sommarklynne</t>
        </is>
      </c>
      <c r="S145">
        <f>HYPERLINK("https://klasma.github.io/Logging_0980/artfynd/A 12324-2025 artfynd.xlsx", "A 12324-2025")</f>
        <v/>
      </c>
      <c r="T145">
        <f>HYPERLINK("https://klasma.github.io/Logging_0980/kartor/A 12324-2025 karta.png", "A 12324-2025")</f>
        <v/>
      </c>
      <c r="V145">
        <f>HYPERLINK("https://klasma.github.io/Logging_0980/klagomål/A 12324-2025 FSC-klagomål.docx", "A 12324-2025")</f>
        <v/>
      </c>
      <c r="W145">
        <f>HYPERLINK("https://klasma.github.io/Logging_0980/klagomålsmail/A 12324-2025 FSC-klagomål mail.docx", "A 12324-2025")</f>
        <v/>
      </c>
      <c r="X145">
        <f>HYPERLINK("https://klasma.github.io/Logging_0980/tillsyn/A 12324-2025 tillsynsbegäran.docx", "A 12324-2025")</f>
        <v/>
      </c>
      <c r="Y145">
        <f>HYPERLINK("https://klasma.github.io/Logging_0980/tillsynsmail/A 12324-2025 tillsynsbegäran mail.docx", "A 12324-2025")</f>
        <v/>
      </c>
    </row>
    <row r="146" ht="15" customHeight="1">
      <c r="A146" t="inlineStr">
        <is>
          <t>A 21466-2025</t>
        </is>
      </c>
      <c r="B146" s="1" t="n">
        <v>45782</v>
      </c>
      <c r="C146" s="1" t="n">
        <v>46048</v>
      </c>
      <c r="D146" t="inlineStr">
        <is>
          <t>GOTLANDS LÄN</t>
        </is>
      </c>
      <c r="E146" t="inlineStr">
        <is>
          <t>GOTLAND</t>
        </is>
      </c>
      <c r="F146" t="inlineStr">
        <is>
          <t>Övriga statliga verk och myndigheter</t>
        </is>
      </c>
      <c r="G146" t="n">
        <v>1.7</v>
      </c>
      <c r="H146" t="n">
        <v>1</v>
      </c>
      <c r="I146" t="n">
        <v>0</v>
      </c>
      <c r="J146" t="n">
        <v>0</v>
      </c>
      <c r="K146" t="n">
        <v>0</v>
      </c>
      <c r="L146" t="n">
        <v>0</v>
      </c>
      <c r="M146" t="n">
        <v>0</v>
      </c>
      <c r="N146" t="n">
        <v>0</v>
      </c>
      <c r="O146" t="n">
        <v>0</v>
      </c>
      <c r="P146" t="n">
        <v>0</v>
      </c>
      <c r="Q146" t="n">
        <v>1</v>
      </c>
      <c r="R146" s="2" t="inlineStr">
        <is>
          <t>Blåsippa</t>
        </is>
      </c>
      <c r="S146">
        <f>HYPERLINK("https://klasma.github.io/Logging_0980/artfynd/A 21466-2025 artfynd.xlsx", "A 21466-2025")</f>
        <v/>
      </c>
      <c r="T146">
        <f>HYPERLINK("https://klasma.github.io/Logging_0980/kartor/A 21466-2025 karta.png", "A 21466-2025")</f>
        <v/>
      </c>
      <c r="V146">
        <f>HYPERLINK("https://klasma.github.io/Logging_0980/klagomål/A 21466-2025 FSC-klagomål.docx", "A 21466-2025")</f>
        <v/>
      </c>
      <c r="W146">
        <f>HYPERLINK("https://klasma.github.io/Logging_0980/klagomålsmail/A 21466-2025 FSC-klagomål mail.docx", "A 21466-2025")</f>
        <v/>
      </c>
      <c r="X146">
        <f>HYPERLINK("https://klasma.github.io/Logging_0980/tillsyn/A 21466-2025 tillsynsbegäran.docx", "A 21466-2025")</f>
        <v/>
      </c>
      <c r="Y146">
        <f>HYPERLINK("https://klasma.github.io/Logging_0980/tillsynsmail/A 21466-2025 tillsynsbegäran mail.docx", "A 21466-2025")</f>
        <v/>
      </c>
    </row>
    <row r="147" ht="15" customHeight="1">
      <c r="A147" t="inlineStr">
        <is>
          <t>A 10440-2024</t>
        </is>
      </c>
      <c r="B147" s="1" t="n">
        <v>45366.32818287037</v>
      </c>
      <c r="C147" s="1" t="n">
        <v>46048</v>
      </c>
      <c r="D147" t="inlineStr">
        <is>
          <t>GOTLANDS LÄN</t>
        </is>
      </c>
      <c r="E147" t="inlineStr">
        <is>
          <t>GOTLAND</t>
        </is>
      </c>
      <c r="G147" t="n">
        <v>2.5</v>
      </c>
      <c r="H147" t="n">
        <v>1</v>
      </c>
      <c r="I147" t="n">
        <v>0</v>
      </c>
      <c r="J147" t="n">
        <v>1</v>
      </c>
      <c r="K147" t="n">
        <v>0</v>
      </c>
      <c r="L147" t="n">
        <v>0</v>
      </c>
      <c r="M147" t="n">
        <v>0</v>
      </c>
      <c r="N147" t="n">
        <v>0</v>
      </c>
      <c r="O147" t="n">
        <v>1</v>
      </c>
      <c r="P147" t="n">
        <v>0</v>
      </c>
      <c r="Q147" t="n">
        <v>1</v>
      </c>
      <c r="R147" s="2" t="inlineStr">
        <is>
          <t>Mindre hackspett</t>
        </is>
      </c>
      <c r="S147">
        <f>HYPERLINK("https://klasma.github.io/Logging_0980/artfynd/A 10440-2024 artfynd.xlsx", "A 10440-2024")</f>
        <v/>
      </c>
      <c r="T147">
        <f>HYPERLINK("https://klasma.github.io/Logging_0980/kartor/A 10440-2024 karta.png", "A 10440-2024")</f>
        <v/>
      </c>
      <c r="V147">
        <f>HYPERLINK("https://klasma.github.io/Logging_0980/klagomål/A 10440-2024 FSC-klagomål.docx", "A 10440-2024")</f>
        <v/>
      </c>
      <c r="W147">
        <f>HYPERLINK("https://klasma.github.io/Logging_0980/klagomålsmail/A 10440-2024 FSC-klagomål mail.docx", "A 10440-2024")</f>
        <v/>
      </c>
      <c r="X147">
        <f>HYPERLINK("https://klasma.github.io/Logging_0980/tillsyn/A 10440-2024 tillsynsbegäran.docx", "A 10440-2024")</f>
        <v/>
      </c>
      <c r="Y147">
        <f>HYPERLINK("https://klasma.github.io/Logging_0980/tillsynsmail/A 10440-2024 tillsynsbegäran mail.docx", "A 10440-2024")</f>
        <v/>
      </c>
      <c r="Z147">
        <f>HYPERLINK("https://klasma.github.io/Logging_0980/fåglar/A 10440-2024 prioriterade fågelarter.docx", "A 10440-2024")</f>
        <v/>
      </c>
    </row>
    <row r="148" ht="15" customHeight="1">
      <c r="A148" t="inlineStr">
        <is>
          <t>A 44308-2021</t>
        </is>
      </c>
      <c r="B148" s="1" t="n">
        <v>44434</v>
      </c>
      <c r="C148" s="1" t="n">
        <v>46048</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2476-2025</t>
        </is>
      </c>
      <c r="B149" s="1" t="n">
        <v>45673</v>
      </c>
      <c r="C149" s="1" t="n">
        <v>46048</v>
      </c>
      <c r="D149" t="inlineStr">
        <is>
          <t>GOTLANDS LÄN</t>
        </is>
      </c>
      <c r="E149" t="inlineStr">
        <is>
          <t>GOTLAND</t>
        </is>
      </c>
      <c r="G149" t="n">
        <v>3.1</v>
      </c>
      <c r="H149" t="n">
        <v>0</v>
      </c>
      <c r="I149" t="n">
        <v>1</v>
      </c>
      <c r="J149" t="n">
        <v>0</v>
      </c>
      <c r="K149" t="n">
        <v>0</v>
      </c>
      <c r="L149" t="n">
        <v>0</v>
      </c>
      <c r="M149" t="n">
        <v>0</v>
      </c>
      <c r="N149" t="n">
        <v>0</v>
      </c>
      <c r="O149" t="n">
        <v>0</v>
      </c>
      <c r="P149" t="n">
        <v>0</v>
      </c>
      <c r="Q149" t="n">
        <v>1</v>
      </c>
      <c r="R149" s="2" t="inlineStr">
        <is>
          <t>Kryddspindling</t>
        </is>
      </c>
      <c r="S149">
        <f>HYPERLINK("https://klasma.github.io/Logging_0980/artfynd/A 2476-2025 artfynd.xlsx", "A 2476-2025")</f>
        <v/>
      </c>
      <c r="T149">
        <f>HYPERLINK("https://klasma.github.io/Logging_0980/kartor/A 2476-2025 karta.png", "A 2476-2025")</f>
        <v/>
      </c>
      <c r="V149">
        <f>HYPERLINK("https://klasma.github.io/Logging_0980/klagomål/A 2476-2025 FSC-klagomål.docx", "A 2476-2025")</f>
        <v/>
      </c>
      <c r="W149">
        <f>HYPERLINK("https://klasma.github.io/Logging_0980/klagomålsmail/A 2476-2025 FSC-klagomål mail.docx", "A 2476-2025")</f>
        <v/>
      </c>
      <c r="X149">
        <f>HYPERLINK("https://klasma.github.io/Logging_0980/tillsyn/A 2476-2025 tillsynsbegäran.docx", "A 2476-2025")</f>
        <v/>
      </c>
      <c r="Y149">
        <f>HYPERLINK("https://klasma.github.io/Logging_0980/tillsynsmail/A 2476-2025 tillsynsbegäran mail.docx", "A 2476-2025")</f>
        <v/>
      </c>
    </row>
    <row r="150" ht="15" customHeight="1">
      <c r="A150" t="inlineStr">
        <is>
          <t>A 46527-2023</t>
        </is>
      </c>
      <c r="B150" s="1" t="n">
        <v>45197</v>
      </c>
      <c r="C150" s="1" t="n">
        <v>46048</v>
      </c>
      <c r="D150" t="inlineStr">
        <is>
          <t>GOTLANDS LÄN</t>
        </is>
      </c>
      <c r="E150" t="inlineStr">
        <is>
          <t>GOTLAND</t>
        </is>
      </c>
      <c r="G150" t="n">
        <v>0.9</v>
      </c>
      <c r="H150" t="n">
        <v>0</v>
      </c>
      <c r="I150" t="n">
        <v>0</v>
      </c>
      <c r="J150" t="n">
        <v>1</v>
      </c>
      <c r="K150" t="n">
        <v>0</v>
      </c>
      <c r="L150" t="n">
        <v>0</v>
      </c>
      <c r="M150" t="n">
        <v>0</v>
      </c>
      <c r="N150" t="n">
        <v>0</v>
      </c>
      <c r="O150" t="n">
        <v>1</v>
      </c>
      <c r="P150" t="n">
        <v>0</v>
      </c>
      <c r="Q150" t="n">
        <v>1</v>
      </c>
      <c r="R150" s="2" t="inlineStr">
        <is>
          <t>Guldgräshoppa</t>
        </is>
      </c>
      <c r="S150">
        <f>HYPERLINK("https://klasma.github.io/Logging_0980/artfynd/A 46527-2023 artfynd.xlsx", "A 46527-2023")</f>
        <v/>
      </c>
      <c r="T150">
        <f>HYPERLINK("https://klasma.github.io/Logging_0980/kartor/A 46527-2023 karta.png", "A 46527-2023")</f>
        <v/>
      </c>
      <c r="V150">
        <f>HYPERLINK("https://klasma.github.io/Logging_0980/klagomål/A 46527-2023 FSC-klagomål.docx", "A 46527-2023")</f>
        <v/>
      </c>
      <c r="W150">
        <f>HYPERLINK("https://klasma.github.io/Logging_0980/klagomålsmail/A 46527-2023 FSC-klagomål mail.docx", "A 46527-2023")</f>
        <v/>
      </c>
      <c r="X150">
        <f>HYPERLINK("https://klasma.github.io/Logging_0980/tillsyn/A 46527-2023 tillsynsbegäran.docx", "A 46527-2023")</f>
        <v/>
      </c>
      <c r="Y150">
        <f>HYPERLINK("https://klasma.github.io/Logging_0980/tillsynsmail/A 46527-2023 tillsynsbegäran mail.docx", "A 46527-2023")</f>
        <v/>
      </c>
    </row>
    <row r="151" ht="15" customHeight="1">
      <c r="A151" t="inlineStr">
        <is>
          <t>A 7637-2025</t>
        </is>
      </c>
      <c r="B151" s="1" t="n">
        <v>45705.77181712963</v>
      </c>
      <c r="C151" s="1" t="n">
        <v>46048</v>
      </c>
      <c r="D151" t="inlineStr">
        <is>
          <t>GOTLANDS LÄN</t>
        </is>
      </c>
      <c r="E151" t="inlineStr">
        <is>
          <t>GOTLAND</t>
        </is>
      </c>
      <c r="G151" t="n">
        <v>3.7</v>
      </c>
      <c r="H151" t="n">
        <v>0</v>
      </c>
      <c r="I151" t="n">
        <v>0</v>
      </c>
      <c r="J151" t="n">
        <v>0</v>
      </c>
      <c r="K151" t="n">
        <v>0</v>
      </c>
      <c r="L151" t="n">
        <v>0</v>
      </c>
      <c r="M151" t="n">
        <v>1</v>
      </c>
      <c r="N151" t="n">
        <v>0</v>
      </c>
      <c r="O151" t="n">
        <v>1</v>
      </c>
      <c r="P151" t="n">
        <v>1</v>
      </c>
      <c r="Q151" t="n">
        <v>1</v>
      </c>
      <c r="R151" s="2" t="inlineStr">
        <is>
          <t>Skogsalm</t>
        </is>
      </c>
      <c r="S151">
        <f>HYPERLINK("https://klasma.github.io/Logging_0980/artfynd/A 7637-2025 artfynd.xlsx", "A 7637-2025")</f>
        <v/>
      </c>
      <c r="T151">
        <f>HYPERLINK("https://klasma.github.io/Logging_0980/kartor/A 7637-2025 karta.png", "A 7637-2025")</f>
        <v/>
      </c>
      <c r="V151">
        <f>HYPERLINK("https://klasma.github.io/Logging_0980/klagomål/A 7637-2025 FSC-klagomål.docx", "A 7637-2025")</f>
        <v/>
      </c>
      <c r="W151">
        <f>HYPERLINK("https://klasma.github.io/Logging_0980/klagomålsmail/A 7637-2025 FSC-klagomål mail.docx", "A 7637-2025")</f>
        <v/>
      </c>
      <c r="X151">
        <f>HYPERLINK("https://klasma.github.io/Logging_0980/tillsyn/A 7637-2025 tillsynsbegäran.docx", "A 7637-2025")</f>
        <v/>
      </c>
      <c r="Y151">
        <f>HYPERLINK("https://klasma.github.io/Logging_0980/tillsynsmail/A 7637-2025 tillsynsbegäran mail.docx", "A 7637-2025")</f>
        <v/>
      </c>
    </row>
    <row r="152" ht="15" customHeight="1">
      <c r="A152" t="inlineStr">
        <is>
          <t>A 44304-2021</t>
        </is>
      </c>
      <c r="B152" s="1" t="n">
        <v>44434</v>
      </c>
      <c r="C152" s="1" t="n">
        <v>46048</v>
      </c>
      <c r="D152" t="inlineStr">
        <is>
          <t>GOTLANDS LÄN</t>
        </is>
      </c>
      <c r="E152" t="inlineStr">
        <is>
          <t>GOTLAND</t>
        </is>
      </c>
      <c r="G152" t="n">
        <v>5.8</v>
      </c>
      <c r="H152" t="n">
        <v>0</v>
      </c>
      <c r="I152" t="n">
        <v>0</v>
      </c>
      <c r="J152" t="n">
        <v>1</v>
      </c>
      <c r="K152" t="n">
        <v>0</v>
      </c>
      <c r="L152" t="n">
        <v>0</v>
      </c>
      <c r="M152" t="n">
        <v>0</v>
      </c>
      <c r="N152" t="n">
        <v>0</v>
      </c>
      <c r="O152" t="n">
        <v>1</v>
      </c>
      <c r="P152" t="n">
        <v>0</v>
      </c>
      <c r="Q152" t="n">
        <v>1</v>
      </c>
      <c r="R152" s="2" t="inlineStr">
        <is>
          <t>Svinrot</t>
        </is>
      </c>
      <c r="S152">
        <f>HYPERLINK("https://klasma.github.io/Logging_0980/artfynd/A 44304-2021 artfynd.xlsx", "A 44304-2021")</f>
        <v/>
      </c>
      <c r="T152">
        <f>HYPERLINK("https://klasma.github.io/Logging_0980/kartor/A 44304-2021 karta.png", "A 44304-2021")</f>
        <v/>
      </c>
      <c r="V152">
        <f>HYPERLINK("https://klasma.github.io/Logging_0980/klagomål/A 44304-2021 FSC-klagomål.docx", "A 44304-2021")</f>
        <v/>
      </c>
      <c r="W152">
        <f>HYPERLINK("https://klasma.github.io/Logging_0980/klagomålsmail/A 44304-2021 FSC-klagomål mail.docx", "A 44304-2021")</f>
        <v/>
      </c>
      <c r="X152">
        <f>HYPERLINK("https://klasma.github.io/Logging_0980/tillsyn/A 44304-2021 tillsynsbegäran.docx", "A 44304-2021")</f>
        <v/>
      </c>
      <c r="Y152">
        <f>HYPERLINK("https://klasma.github.io/Logging_0980/tillsynsmail/A 44304-2021 tillsynsbegäran mail.docx", "A 44304-2021")</f>
        <v/>
      </c>
    </row>
    <row r="153" ht="15" customHeight="1">
      <c r="A153" t="inlineStr">
        <is>
          <t>A 447-2023</t>
        </is>
      </c>
      <c r="B153" s="1" t="n">
        <v>44929</v>
      </c>
      <c r="C153" s="1" t="n">
        <v>46048</v>
      </c>
      <c r="D153" t="inlineStr">
        <is>
          <t>GOTLANDS LÄN</t>
        </is>
      </c>
      <c r="E153" t="inlineStr">
        <is>
          <t>GOTLAND</t>
        </is>
      </c>
      <c r="G153" t="n">
        <v>5.1</v>
      </c>
      <c r="H153" t="n">
        <v>0</v>
      </c>
      <c r="I153" t="n">
        <v>0</v>
      </c>
      <c r="J153" t="n">
        <v>1</v>
      </c>
      <c r="K153" t="n">
        <v>0</v>
      </c>
      <c r="L153" t="n">
        <v>0</v>
      </c>
      <c r="M153" t="n">
        <v>0</v>
      </c>
      <c r="N153" t="n">
        <v>0</v>
      </c>
      <c r="O153" t="n">
        <v>1</v>
      </c>
      <c r="P153" t="n">
        <v>0</v>
      </c>
      <c r="Q153" t="n">
        <v>1</v>
      </c>
      <c r="R153" s="2" t="inlineStr">
        <is>
          <t>Äggspindling</t>
        </is>
      </c>
      <c r="S153">
        <f>HYPERLINK("https://klasma.github.io/Logging_0980/artfynd/A 447-2023 artfynd.xlsx", "A 447-2023")</f>
        <v/>
      </c>
      <c r="T153">
        <f>HYPERLINK("https://klasma.github.io/Logging_0980/kartor/A 447-2023 karta.png", "A 447-2023")</f>
        <v/>
      </c>
      <c r="V153">
        <f>HYPERLINK("https://klasma.github.io/Logging_0980/klagomål/A 447-2023 FSC-klagomål.docx", "A 447-2023")</f>
        <v/>
      </c>
      <c r="W153">
        <f>HYPERLINK("https://klasma.github.io/Logging_0980/klagomålsmail/A 447-2023 FSC-klagomål mail.docx", "A 447-2023")</f>
        <v/>
      </c>
      <c r="X153">
        <f>HYPERLINK("https://klasma.github.io/Logging_0980/tillsyn/A 447-2023 tillsynsbegäran.docx", "A 447-2023")</f>
        <v/>
      </c>
      <c r="Y153">
        <f>HYPERLINK("https://klasma.github.io/Logging_0980/tillsynsmail/A 447-2023 tillsynsbegäran mail.docx", "A 447-2023")</f>
        <v/>
      </c>
    </row>
    <row r="154" ht="15" customHeight="1">
      <c r="A154" t="inlineStr">
        <is>
          <t>A 26461-2025</t>
        </is>
      </c>
      <c r="B154" s="1" t="n">
        <v>45807.43337962963</v>
      </c>
      <c r="C154" s="1" t="n">
        <v>46048</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17723-2021</t>
        </is>
      </c>
      <c r="B155" s="1" t="n">
        <v>44300</v>
      </c>
      <c r="C155" s="1" t="n">
        <v>46048</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34809-2024</t>
        </is>
      </c>
      <c r="B156" s="1" t="n">
        <v>45526</v>
      </c>
      <c r="C156" s="1" t="n">
        <v>46048</v>
      </c>
      <c r="D156" t="inlineStr">
        <is>
          <t>GOTLANDS LÄN</t>
        </is>
      </c>
      <c r="E156" t="inlineStr">
        <is>
          <t>GOTLAND</t>
        </is>
      </c>
      <c r="G156" t="n">
        <v>9.9</v>
      </c>
      <c r="H156" t="n">
        <v>1</v>
      </c>
      <c r="I156" t="n">
        <v>0</v>
      </c>
      <c r="J156" t="n">
        <v>1</v>
      </c>
      <c r="K156" t="n">
        <v>0</v>
      </c>
      <c r="L156" t="n">
        <v>0</v>
      </c>
      <c r="M156" t="n">
        <v>0</v>
      </c>
      <c r="N156" t="n">
        <v>0</v>
      </c>
      <c r="O156" t="n">
        <v>1</v>
      </c>
      <c r="P156" t="n">
        <v>0</v>
      </c>
      <c r="Q156" t="n">
        <v>1</v>
      </c>
      <c r="R156" s="2" t="inlineStr">
        <is>
          <t>Brun ögontröst</t>
        </is>
      </c>
      <c r="S156">
        <f>HYPERLINK("https://klasma.github.io/Logging_0980/artfynd/A 34809-2024 artfynd.xlsx", "A 34809-2024")</f>
        <v/>
      </c>
      <c r="T156">
        <f>HYPERLINK("https://klasma.github.io/Logging_0980/kartor/A 34809-2024 karta.png", "A 34809-2024")</f>
        <v/>
      </c>
      <c r="V156">
        <f>HYPERLINK("https://klasma.github.io/Logging_0980/klagomål/A 34809-2024 FSC-klagomål.docx", "A 34809-2024")</f>
        <v/>
      </c>
      <c r="W156">
        <f>HYPERLINK("https://klasma.github.io/Logging_0980/klagomålsmail/A 34809-2024 FSC-klagomål mail.docx", "A 34809-2024")</f>
        <v/>
      </c>
      <c r="X156">
        <f>HYPERLINK("https://klasma.github.io/Logging_0980/tillsyn/A 34809-2024 tillsynsbegäran.docx", "A 34809-2024")</f>
        <v/>
      </c>
      <c r="Y156">
        <f>HYPERLINK("https://klasma.github.io/Logging_0980/tillsynsmail/A 34809-2024 tillsynsbegäran mail.docx", "A 34809-2024")</f>
        <v/>
      </c>
    </row>
    <row r="157" ht="15" customHeight="1">
      <c r="A157" t="inlineStr">
        <is>
          <t>A 6303-2024</t>
        </is>
      </c>
      <c r="B157" s="1" t="n">
        <v>45338.35376157407</v>
      </c>
      <c r="C157" s="1" t="n">
        <v>46048</v>
      </c>
      <c r="D157" t="inlineStr">
        <is>
          <t>GOTLANDS LÄN</t>
        </is>
      </c>
      <c r="E157" t="inlineStr">
        <is>
          <t>GOTLAND</t>
        </is>
      </c>
      <c r="G157" t="n">
        <v>0.6</v>
      </c>
      <c r="H157" t="n">
        <v>0</v>
      </c>
      <c r="I157" t="n">
        <v>1</v>
      </c>
      <c r="J157" t="n">
        <v>0</v>
      </c>
      <c r="K157" t="n">
        <v>0</v>
      </c>
      <c r="L157" t="n">
        <v>0</v>
      </c>
      <c r="M157" t="n">
        <v>0</v>
      </c>
      <c r="N157" t="n">
        <v>0</v>
      </c>
      <c r="O157" t="n">
        <v>0</v>
      </c>
      <c r="P157" t="n">
        <v>0</v>
      </c>
      <c r="Q157" t="n">
        <v>1</v>
      </c>
      <c r="R157" s="2" t="inlineStr">
        <is>
          <t>Strävlosta</t>
        </is>
      </c>
      <c r="S157">
        <f>HYPERLINK("https://klasma.github.io/Logging_0980/artfynd/A 6303-2024 artfynd.xlsx", "A 6303-2024")</f>
        <v/>
      </c>
      <c r="T157">
        <f>HYPERLINK("https://klasma.github.io/Logging_0980/kartor/A 6303-2024 karta.png", "A 6303-2024")</f>
        <v/>
      </c>
      <c r="V157">
        <f>HYPERLINK("https://klasma.github.io/Logging_0980/klagomål/A 6303-2024 FSC-klagomål.docx", "A 6303-2024")</f>
        <v/>
      </c>
      <c r="W157">
        <f>HYPERLINK("https://klasma.github.io/Logging_0980/klagomålsmail/A 6303-2024 FSC-klagomål mail.docx", "A 6303-2024")</f>
        <v/>
      </c>
      <c r="X157">
        <f>HYPERLINK("https://klasma.github.io/Logging_0980/tillsyn/A 6303-2024 tillsynsbegäran.docx", "A 6303-2024")</f>
        <v/>
      </c>
      <c r="Y157">
        <f>HYPERLINK("https://klasma.github.io/Logging_0980/tillsynsmail/A 6303-2024 tillsynsbegäran mail.docx", "A 6303-2024")</f>
        <v/>
      </c>
    </row>
    <row r="158" ht="15" customHeight="1">
      <c r="A158" t="inlineStr">
        <is>
          <t>A 62552-2022</t>
        </is>
      </c>
      <c r="B158" s="1" t="n">
        <v>44924</v>
      </c>
      <c r="C158" s="1" t="n">
        <v>46048</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25977-2024</t>
        </is>
      </c>
      <c r="B159" s="1" t="n">
        <v>45467.69356481481</v>
      </c>
      <c r="C159" s="1" t="n">
        <v>46048</v>
      </c>
      <c r="D159" t="inlineStr">
        <is>
          <t>GOTLANDS LÄN</t>
        </is>
      </c>
      <c r="E159" t="inlineStr">
        <is>
          <t>GOTLAND</t>
        </is>
      </c>
      <c r="G159" t="n">
        <v>3</v>
      </c>
      <c r="H159" t="n">
        <v>1</v>
      </c>
      <c r="I159" t="n">
        <v>0</v>
      </c>
      <c r="J159" t="n">
        <v>0</v>
      </c>
      <c r="K159" t="n">
        <v>0</v>
      </c>
      <c r="L159" t="n">
        <v>0</v>
      </c>
      <c r="M159" t="n">
        <v>0</v>
      </c>
      <c r="N159" t="n">
        <v>0</v>
      </c>
      <c r="O159" t="n">
        <v>0</v>
      </c>
      <c r="P159" t="n">
        <v>0</v>
      </c>
      <c r="Q159" t="n">
        <v>1</v>
      </c>
      <c r="R159" s="2" t="inlineStr">
        <is>
          <t>Nattviol</t>
        </is>
      </c>
      <c r="S159">
        <f>HYPERLINK("https://klasma.github.io/Logging_0980/artfynd/A 25977-2024 artfynd.xlsx", "A 25977-2024")</f>
        <v/>
      </c>
      <c r="T159">
        <f>HYPERLINK("https://klasma.github.io/Logging_0980/kartor/A 25977-2024 karta.png", "A 25977-2024")</f>
        <v/>
      </c>
      <c r="V159">
        <f>HYPERLINK("https://klasma.github.io/Logging_0980/klagomål/A 25977-2024 FSC-klagomål.docx", "A 25977-2024")</f>
        <v/>
      </c>
      <c r="W159">
        <f>HYPERLINK("https://klasma.github.io/Logging_0980/klagomålsmail/A 25977-2024 FSC-klagomål mail.docx", "A 25977-2024")</f>
        <v/>
      </c>
      <c r="X159">
        <f>HYPERLINK("https://klasma.github.io/Logging_0980/tillsyn/A 25977-2024 tillsynsbegäran.docx", "A 25977-2024")</f>
        <v/>
      </c>
      <c r="Y159">
        <f>HYPERLINK("https://klasma.github.io/Logging_0980/tillsynsmail/A 25977-2024 tillsynsbegäran mail.docx", "A 25977-2024")</f>
        <v/>
      </c>
    </row>
    <row r="160" ht="15" customHeight="1">
      <c r="A160" t="inlineStr">
        <is>
          <t>A 27589-2023</t>
        </is>
      </c>
      <c r="B160" s="1" t="n">
        <v>45097</v>
      </c>
      <c r="C160" s="1" t="n">
        <v>46048</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49304-2024</t>
        </is>
      </c>
      <c r="B161" s="1" t="n">
        <v>45595.54996527778</v>
      </c>
      <c r="C161" s="1" t="n">
        <v>46048</v>
      </c>
      <c r="D161" t="inlineStr">
        <is>
          <t>GOTLANDS LÄN</t>
        </is>
      </c>
      <c r="E161" t="inlineStr">
        <is>
          <t>GOTLAND</t>
        </is>
      </c>
      <c r="G161" t="n">
        <v>10.8</v>
      </c>
      <c r="H161" t="n">
        <v>0</v>
      </c>
      <c r="I161" t="n">
        <v>0</v>
      </c>
      <c r="J161" t="n">
        <v>1</v>
      </c>
      <c r="K161" t="n">
        <v>0</v>
      </c>
      <c r="L161" t="n">
        <v>0</v>
      </c>
      <c r="M161" t="n">
        <v>0</v>
      </c>
      <c r="N161" t="n">
        <v>0</v>
      </c>
      <c r="O161" t="n">
        <v>1</v>
      </c>
      <c r="P161" t="n">
        <v>0</v>
      </c>
      <c r="Q161" t="n">
        <v>1</v>
      </c>
      <c r="R161" s="2" t="inlineStr">
        <is>
          <t>Åkerranunkel</t>
        </is>
      </c>
      <c r="S161">
        <f>HYPERLINK("https://klasma.github.io/Logging_0980/artfynd/A 49304-2024 artfynd.xlsx", "A 49304-2024")</f>
        <v/>
      </c>
      <c r="T161">
        <f>HYPERLINK("https://klasma.github.io/Logging_0980/kartor/A 49304-2024 karta.png", "A 49304-2024")</f>
        <v/>
      </c>
      <c r="V161">
        <f>HYPERLINK("https://klasma.github.io/Logging_0980/klagomål/A 49304-2024 FSC-klagomål.docx", "A 49304-2024")</f>
        <v/>
      </c>
      <c r="W161">
        <f>HYPERLINK("https://klasma.github.io/Logging_0980/klagomålsmail/A 49304-2024 FSC-klagomål mail.docx", "A 49304-2024")</f>
        <v/>
      </c>
      <c r="X161">
        <f>HYPERLINK("https://klasma.github.io/Logging_0980/tillsyn/A 49304-2024 tillsynsbegäran.docx", "A 49304-2024")</f>
        <v/>
      </c>
      <c r="Y161">
        <f>HYPERLINK("https://klasma.github.io/Logging_0980/tillsynsmail/A 49304-2024 tillsynsbegäran mail.docx", "A 49304-2024")</f>
        <v/>
      </c>
    </row>
    <row r="162" ht="15" customHeight="1">
      <c r="A162" t="inlineStr">
        <is>
          <t>A 22782-2023</t>
        </is>
      </c>
      <c r="B162" s="1" t="n">
        <v>45072</v>
      </c>
      <c r="C162" s="1" t="n">
        <v>46048</v>
      </c>
      <c r="D162" t="inlineStr">
        <is>
          <t>GOTLANDS LÄN</t>
        </is>
      </c>
      <c r="E162" t="inlineStr">
        <is>
          <t>GOTLAND</t>
        </is>
      </c>
      <c r="F162" t="inlineStr">
        <is>
          <t>Kyrkan</t>
        </is>
      </c>
      <c r="G162" t="n">
        <v>3.1</v>
      </c>
      <c r="H162" t="n">
        <v>1</v>
      </c>
      <c r="I162" t="n">
        <v>0</v>
      </c>
      <c r="J162" t="n">
        <v>0</v>
      </c>
      <c r="K162" t="n">
        <v>0</v>
      </c>
      <c r="L162" t="n">
        <v>0</v>
      </c>
      <c r="M162" t="n">
        <v>0</v>
      </c>
      <c r="N162" t="n">
        <v>0</v>
      </c>
      <c r="O162" t="n">
        <v>0</v>
      </c>
      <c r="P162" t="n">
        <v>0</v>
      </c>
      <c r="Q162" t="n">
        <v>1</v>
      </c>
      <c r="R162" s="2" t="inlineStr">
        <is>
          <t>Ängsnycklar × skogsnycklar</t>
        </is>
      </c>
      <c r="S162">
        <f>HYPERLINK("https://klasma.github.io/Logging_0980/artfynd/A 22782-2023 artfynd.xlsx", "A 22782-2023")</f>
        <v/>
      </c>
      <c r="T162">
        <f>HYPERLINK("https://klasma.github.io/Logging_0980/kartor/A 22782-2023 karta.png", "A 22782-2023")</f>
        <v/>
      </c>
      <c r="V162">
        <f>HYPERLINK("https://klasma.github.io/Logging_0980/klagomål/A 22782-2023 FSC-klagomål.docx", "A 22782-2023")</f>
        <v/>
      </c>
      <c r="W162">
        <f>HYPERLINK("https://klasma.github.io/Logging_0980/klagomålsmail/A 22782-2023 FSC-klagomål mail.docx", "A 22782-2023")</f>
        <v/>
      </c>
      <c r="X162">
        <f>HYPERLINK("https://klasma.github.io/Logging_0980/tillsyn/A 22782-2023 tillsynsbegäran.docx", "A 22782-2023")</f>
        <v/>
      </c>
      <c r="Y162">
        <f>HYPERLINK("https://klasma.github.io/Logging_0980/tillsynsmail/A 22782-2023 tillsynsbegäran mail.docx", "A 22782-2023")</f>
        <v/>
      </c>
    </row>
    <row r="163" ht="15" customHeight="1">
      <c r="A163" t="inlineStr">
        <is>
          <t>A 44088-2022</t>
        </is>
      </c>
      <c r="B163" s="1" t="n">
        <v>44839</v>
      </c>
      <c r="C163" s="1" t="n">
        <v>46048</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65927-2021</t>
        </is>
      </c>
      <c r="B164" s="1" t="n">
        <v>44516</v>
      </c>
      <c r="C164" s="1" t="n">
        <v>46048</v>
      </c>
      <c r="D164" t="inlineStr">
        <is>
          <t>GOTLANDS LÄN</t>
        </is>
      </c>
      <c r="E164" t="inlineStr">
        <is>
          <t>GOTLAND</t>
        </is>
      </c>
      <c r="G164" t="n">
        <v>3.1</v>
      </c>
      <c r="H164" t="n">
        <v>1</v>
      </c>
      <c r="I164" t="n">
        <v>0</v>
      </c>
      <c r="J164" t="n">
        <v>0</v>
      </c>
      <c r="K164" t="n">
        <v>1</v>
      </c>
      <c r="L164" t="n">
        <v>0</v>
      </c>
      <c r="M164" t="n">
        <v>0</v>
      </c>
      <c r="N164" t="n">
        <v>0</v>
      </c>
      <c r="O164" t="n">
        <v>1</v>
      </c>
      <c r="P164" t="n">
        <v>1</v>
      </c>
      <c r="Q164" t="n">
        <v>1</v>
      </c>
      <c r="R164" s="2" t="inlineStr">
        <is>
          <t>Grenigt kungsljus</t>
        </is>
      </c>
      <c r="S164">
        <f>HYPERLINK("https://klasma.github.io/Logging_0980/artfynd/A 65927-2021 artfynd.xlsx", "A 65927-2021")</f>
        <v/>
      </c>
      <c r="T164">
        <f>HYPERLINK("https://klasma.github.io/Logging_0980/kartor/A 65927-2021 karta.png", "A 65927-2021")</f>
        <v/>
      </c>
      <c r="V164">
        <f>HYPERLINK("https://klasma.github.io/Logging_0980/klagomål/A 65927-2021 FSC-klagomål.docx", "A 65927-2021")</f>
        <v/>
      </c>
      <c r="W164">
        <f>HYPERLINK("https://klasma.github.io/Logging_0980/klagomålsmail/A 65927-2021 FSC-klagomål mail.docx", "A 65927-2021")</f>
        <v/>
      </c>
      <c r="X164">
        <f>HYPERLINK("https://klasma.github.io/Logging_0980/tillsyn/A 65927-2021 tillsynsbegäran.docx", "A 65927-2021")</f>
        <v/>
      </c>
      <c r="Y164">
        <f>HYPERLINK("https://klasma.github.io/Logging_0980/tillsynsmail/A 65927-2021 tillsynsbegäran mail.docx", "A 65927-2021")</f>
        <v/>
      </c>
    </row>
    <row r="165" ht="15" customHeight="1">
      <c r="A165" t="inlineStr">
        <is>
          <t>A 9862-2024</t>
        </is>
      </c>
      <c r="B165" s="1" t="n">
        <v>45363</v>
      </c>
      <c r="C165" s="1" t="n">
        <v>46048</v>
      </c>
      <c r="D165" t="inlineStr">
        <is>
          <t>GOTLANDS LÄN</t>
        </is>
      </c>
      <c r="E165" t="inlineStr">
        <is>
          <t>GOTLAND</t>
        </is>
      </c>
      <c r="G165" t="n">
        <v>3.5</v>
      </c>
      <c r="H165" t="n">
        <v>1</v>
      </c>
      <c r="I165" t="n">
        <v>0</v>
      </c>
      <c r="J165" t="n">
        <v>0</v>
      </c>
      <c r="K165" t="n">
        <v>0</v>
      </c>
      <c r="L165" t="n">
        <v>0</v>
      </c>
      <c r="M165" t="n">
        <v>0</v>
      </c>
      <c r="N165" t="n">
        <v>0</v>
      </c>
      <c r="O165" t="n">
        <v>0</v>
      </c>
      <c r="P165" t="n">
        <v>0</v>
      </c>
      <c r="Q165" t="n">
        <v>1</v>
      </c>
      <c r="R165" s="2" t="inlineStr">
        <is>
          <t>Nattviol</t>
        </is>
      </c>
      <c r="S165">
        <f>HYPERLINK("https://klasma.github.io/Logging_0980/artfynd/A 9862-2024 artfynd.xlsx", "A 9862-2024")</f>
        <v/>
      </c>
      <c r="T165">
        <f>HYPERLINK("https://klasma.github.io/Logging_0980/kartor/A 9862-2024 karta.png", "A 9862-2024")</f>
        <v/>
      </c>
      <c r="V165">
        <f>HYPERLINK("https://klasma.github.io/Logging_0980/klagomål/A 9862-2024 FSC-klagomål.docx", "A 9862-2024")</f>
        <v/>
      </c>
      <c r="W165">
        <f>HYPERLINK("https://klasma.github.io/Logging_0980/klagomålsmail/A 9862-2024 FSC-klagomål mail.docx", "A 9862-2024")</f>
        <v/>
      </c>
      <c r="X165">
        <f>HYPERLINK("https://klasma.github.io/Logging_0980/tillsyn/A 9862-2024 tillsynsbegäran.docx", "A 9862-2024")</f>
        <v/>
      </c>
      <c r="Y165">
        <f>HYPERLINK("https://klasma.github.io/Logging_0980/tillsynsmail/A 9862-2024 tillsynsbegäran mail.docx", "A 9862-2024")</f>
        <v/>
      </c>
    </row>
    <row r="166" ht="15" customHeight="1">
      <c r="A166" t="inlineStr">
        <is>
          <t>A 34141-2024</t>
        </is>
      </c>
      <c r="B166" s="1" t="n">
        <v>45524.36229166666</v>
      </c>
      <c r="C166" s="1" t="n">
        <v>46048</v>
      </c>
      <c r="D166" t="inlineStr">
        <is>
          <t>GOTLANDS LÄN</t>
        </is>
      </c>
      <c r="E166" t="inlineStr">
        <is>
          <t>GOTLAND</t>
        </is>
      </c>
      <c r="G166" t="n">
        <v>0.9</v>
      </c>
      <c r="H166" t="n">
        <v>0</v>
      </c>
      <c r="I166" t="n">
        <v>1</v>
      </c>
      <c r="J166" t="n">
        <v>0</v>
      </c>
      <c r="K166" t="n">
        <v>0</v>
      </c>
      <c r="L166" t="n">
        <v>0</v>
      </c>
      <c r="M166" t="n">
        <v>0</v>
      </c>
      <c r="N166" t="n">
        <v>0</v>
      </c>
      <c r="O166" t="n">
        <v>0</v>
      </c>
      <c r="P166" t="n">
        <v>0</v>
      </c>
      <c r="Q166" t="n">
        <v>1</v>
      </c>
      <c r="R166" s="2" t="inlineStr">
        <is>
          <t>Strävlosta</t>
        </is>
      </c>
      <c r="S166">
        <f>HYPERLINK("https://klasma.github.io/Logging_0980/artfynd/A 34141-2024 artfynd.xlsx", "A 34141-2024")</f>
        <v/>
      </c>
      <c r="T166">
        <f>HYPERLINK("https://klasma.github.io/Logging_0980/kartor/A 34141-2024 karta.png", "A 34141-2024")</f>
        <v/>
      </c>
      <c r="V166">
        <f>HYPERLINK("https://klasma.github.io/Logging_0980/klagomål/A 34141-2024 FSC-klagomål.docx", "A 34141-2024")</f>
        <v/>
      </c>
      <c r="W166">
        <f>HYPERLINK("https://klasma.github.io/Logging_0980/klagomålsmail/A 34141-2024 FSC-klagomål mail.docx", "A 34141-2024")</f>
        <v/>
      </c>
      <c r="X166">
        <f>HYPERLINK("https://klasma.github.io/Logging_0980/tillsyn/A 34141-2024 tillsynsbegäran.docx", "A 34141-2024")</f>
        <v/>
      </c>
      <c r="Y166">
        <f>HYPERLINK("https://klasma.github.io/Logging_0980/tillsynsmail/A 34141-2024 tillsynsbegäran mail.docx", "A 34141-2024")</f>
        <v/>
      </c>
    </row>
    <row r="167" ht="15" customHeight="1">
      <c r="A167" t="inlineStr">
        <is>
          <t>A 947-2023</t>
        </is>
      </c>
      <c r="B167" s="1" t="n">
        <v>44934</v>
      </c>
      <c r="C167" s="1" t="n">
        <v>46048</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61796-2022</t>
        </is>
      </c>
      <c r="B168" s="1" t="n">
        <v>44917</v>
      </c>
      <c r="C168" s="1" t="n">
        <v>46048</v>
      </c>
      <c r="D168" t="inlineStr">
        <is>
          <t>GOTLANDS LÄN</t>
        </is>
      </c>
      <c r="E168" t="inlineStr">
        <is>
          <t>GOTLAND</t>
        </is>
      </c>
      <c r="G168" t="n">
        <v>1.5</v>
      </c>
      <c r="H168" t="n">
        <v>1</v>
      </c>
      <c r="I168" t="n">
        <v>0</v>
      </c>
      <c r="J168" t="n">
        <v>0</v>
      </c>
      <c r="K168" t="n">
        <v>0</v>
      </c>
      <c r="L168" t="n">
        <v>0</v>
      </c>
      <c r="M168" t="n">
        <v>0</v>
      </c>
      <c r="N168" t="n">
        <v>0</v>
      </c>
      <c r="O168" t="n">
        <v>0</v>
      </c>
      <c r="P168" t="n">
        <v>0</v>
      </c>
      <c r="Q168" t="n">
        <v>1</v>
      </c>
      <c r="R168" s="2" t="inlineStr">
        <is>
          <t>Skogsduva</t>
        </is>
      </c>
      <c r="S168">
        <f>HYPERLINK("https://klasma.github.io/Logging_0980/artfynd/A 61796-2022 artfynd.xlsx", "A 61796-2022")</f>
        <v/>
      </c>
      <c r="T168">
        <f>HYPERLINK("https://klasma.github.io/Logging_0980/kartor/A 61796-2022 karta.png", "A 61796-2022")</f>
        <v/>
      </c>
      <c r="V168">
        <f>HYPERLINK("https://klasma.github.io/Logging_0980/klagomål/A 61796-2022 FSC-klagomål.docx", "A 61796-2022")</f>
        <v/>
      </c>
      <c r="W168">
        <f>HYPERLINK("https://klasma.github.io/Logging_0980/klagomålsmail/A 61796-2022 FSC-klagomål mail.docx", "A 61796-2022")</f>
        <v/>
      </c>
      <c r="X168">
        <f>HYPERLINK("https://klasma.github.io/Logging_0980/tillsyn/A 61796-2022 tillsynsbegäran.docx", "A 61796-2022")</f>
        <v/>
      </c>
      <c r="Y168">
        <f>HYPERLINK("https://klasma.github.io/Logging_0980/tillsynsmail/A 61796-2022 tillsynsbegäran mail.docx", "A 61796-2022")</f>
        <v/>
      </c>
      <c r="Z168">
        <f>HYPERLINK("https://klasma.github.io/Logging_0980/fåglar/A 61796-2022 prioriterade fågelarter.docx", "A 61796-2022")</f>
        <v/>
      </c>
    </row>
    <row r="169" ht="15" customHeight="1">
      <c r="A169" t="inlineStr">
        <is>
          <t>A 61561-2023</t>
        </is>
      </c>
      <c r="B169" s="1" t="n">
        <v>45265</v>
      </c>
      <c r="C169" s="1" t="n">
        <v>46048</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1477-2024</t>
        </is>
      </c>
      <c r="B170" s="1" t="n">
        <v>45305.37987268518</v>
      </c>
      <c r="C170" s="1" t="n">
        <v>46048</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13939-2021</t>
        </is>
      </c>
      <c r="B171" s="1" t="n">
        <v>44277</v>
      </c>
      <c r="C171" s="1" t="n">
        <v>46048</v>
      </c>
      <c r="D171" t="inlineStr">
        <is>
          <t>GOTLANDS LÄN</t>
        </is>
      </c>
      <c r="E171" t="inlineStr">
        <is>
          <t>GOTLAND</t>
        </is>
      </c>
      <c r="G171" t="n">
        <v>1</v>
      </c>
      <c r="H171" t="n">
        <v>0</v>
      </c>
      <c r="I171" t="n">
        <v>0</v>
      </c>
      <c r="J171" t="n">
        <v>1</v>
      </c>
      <c r="K171" t="n">
        <v>0</v>
      </c>
      <c r="L171" t="n">
        <v>0</v>
      </c>
      <c r="M171" t="n">
        <v>0</v>
      </c>
      <c r="N171" t="n">
        <v>0</v>
      </c>
      <c r="O171" t="n">
        <v>1</v>
      </c>
      <c r="P171" t="n">
        <v>0</v>
      </c>
      <c r="Q171" t="n">
        <v>1</v>
      </c>
      <c r="R171" s="2" t="inlineStr">
        <is>
          <t>Axveronika</t>
        </is>
      </c>
      <c r="S171">
        <f>HYPERLINK("https://klasma.github.io/Logging_0980/artfynd/A 13939-2021 artfynd.xlsx", "A 13939-2021")</f>
        <v/>
      </c>
      <c r="T171">
        <f>HYPERLINK("https://klasma.github.io/Logging_0980/kartor/A 13939-2021 karta.png", "A 13939-2021")</f>
        <v/>
      </c>
      <c r="V171">
        <f>HYPERLINK("https://klasma.github.io/Logging_0980/klagomål/A 13939-2021 FSC-klagomål.docx", "A 13939-2021")</f>
        <v/>
      </c>
      <c r="W171">
        <f>HYPERLINK("https://klasma.github.io/Logging_0980/klagomålsmail/A 13939-2021 FSC-klagomål mail.docx", "A 13939-2021")</f>
        <v/>
      </c>
      <c r="X171">
        <f>HYPERLINK("https://klasma.github.io/Logging_0980/tillsyn/A 13939-2021 tillsynsbegäran.docx", "A 13939-2021")</f>
        <v/>
      </c>
      <c r="Y171">
        <f>HYPERLINK("https://klasma.github.io/Logging_0980/tillsynsmail/A 13939-2021 tillsynsbegäran mail.docx", "A 13939-2021")</f>
        <v/>
      </c>
    </row>
    <row r="172" ht="15" customHeight="1">
      <c r="A172" t="inlineStr">
        <is>
          <t>A 10218-2025</t>
        </is>
      </c>
      <c r="B172" s="1" t="n">
        <v>45720</v>
      </c>
      <c r="C172" s="1" t="n">
        <v>46048</v>
      </c>
      <c r="D172" t="inlineStr">
        <is>
          <t>GOTLANDS LÄN</t>
        </is>
      </c>
      <c r="E172" t="inlineStr">
        <is>
          <t>GOTLAND</t>
        </is>
      </c>
      <c r="G172" t="n">
        <v>8.1</v>
      </c>
      <c r="H172" t="n">
        <v>0</v>
      </c>
      <c r="I172" t="n">
        <v>1</v>
      </c>
      <c r="J172" t="n">
        <v>0</v>
      </c>
      <c r="K172" t="n">
        <v>0</v>
      </c>
      <c r="L172" t="n">
        <v>0</v>
      </c>
      <c r="M172" t="n">
        <v>0</v>
      </c>
      <c r="N172" t="n">
        <v>0</v>
      </c>
      <c r="O172" t="n">
        <v>0</v>
      </c>
      <c r="P172" t="n">
        <v>0</v>
      </c>
      <c r="Q172" t="n">
        <v>1</v>
      </c>
      <c r="R172" s="2" t="inlineStr">
        <is>
          <t>Kalktallört</t>
        </is>
      </c>
      <c r="S172">
        <f>HYPERLINK("https://klasma.github.io/Logging_0980/artfynd/A 10218-2025 artfynd.xlsx", "A 10218-2025")</f>
        <v/>
      </c>
      <c r="T172">
        <f>HYPERLINK("https://klasma.github.io/Logging_0980/kartor/A 10218-2025 karta.png", "A 10218-2025")</f>
        <v/>
      </c>
      <c r="V172">
        <f>HYPERLINK("https://klasma.github.io/Logging_0980/klagomål/A 10218-2025 FSC-klagomål.docx", "A 10218-2025")</f>
        <v/>
      </c>
      <c r="W172">
        <f>HYPERLINK("https://klasma.github.io/Logging_0980/klagomålsmail/A 10218-2025 FSC-klagomål mail.docx", "A 10218-2025")</f>
        <v/>
      </c>
      <c r="X172">
        <f>HYPERLINK("https://klasma.github.io/Logging_0980/tillsyn/A 10218-2025 tillsynsbegäran.docx", "A 10218-2025")</f>
        <v/>
      </c>
      <c r="Y172">
        <f>HYPERLINK("https://klasma.github.io/Logging_0980/tillsynsmail/A 10218-2025 tillsynsbegäran mail.docx", "A 10218-2025")</f>
        <v/>
      </c>
    </row>
    <row r="173" ht="15" customHeight="1">
      <c r="A173" t="inlineStr">
        <is>
          <t>A 12924-2025</t>
        </is>
      </c>
      <c r="B173" s="1" t="n">
        <v>45734</v>
      </c>
      <c r="C173" s="1" t="n">
        <v>46048</v>
      </c>
      <c r="D173" t="inlineStr">
        <is>
          <t>GOTLANDS LÄN</t>
        </is>
      </c>
      <c r="E173" t="inlineStr">
        <is>
          <t>GOTLAND</t>
        </is>
      </c>
      <c r="G173" t="n">
        <v>11.7</v>
      </c>
      <c r="H173" t="n">
        <v>0</v>
      </c>
      <c r="I173" t="n">
        <v>0</v>
      </c>
      <c r="J173" t="n">
        <v>0</v>
      </c>
      <c r="K173" t="n">
        <v>1</v>
      </c>
      <c r="L173" t="n">
        <v>0</v>
      </c>
      <c r="M173" t="n">
        <v>0</v>
      </c>
      <c r="N173" t="n">
        <v>0</v>
      </c>
      <c r="O173" t="n">
        <v>1</v>
      </c>
      <c r="P173" t="n">
        <v>1</v>
      </c>
      <c r="Q173" t="n">
        <v>1</v>
      </c>
      <c r="R173" s="2" t="inlineStr">
        <is>
          <t>Gotlandsmåra</t>
        </is>
      </c>
      <c r="S173">
        <f>HYPERLINK("https://klasma.github.io/Logging_0980/artfynd/A 12924-2025 artfynd.xlsx", "A 12924-2025")</f>
        <v/>
      </c>
      <c r="T173">
        <f>HYPERLINK("https://klasma.github.io/Logging_0980/kartor/A 12924-2025 karta.png", "A 12924-2025")</f>
        <v/>
      </c>
      <c r="V173">
        <f>HYPERLINK("https://klasma.github.io/Logging_0980/klagomål/A 12924-2025 FSC-klagomål.docx", "A 12924-2025")</f>
        <v/>
      </c>
      <c r="W173">
        <f>HYPERLINK("https://klasma.github.io/Logging_0980/klagomålsmail/A 12924-2025 FSC-klagomål mail.docx", "A 12924-2025")</f>
        <v/>
      </c>
      <c r="X173">
        <f>HYPERLINK("https://klasma.github.io/Logging_0980/tillsyn/A 12924-2025 tillsynsbegäran.docx", "A 12924-2025")</f>
        <v/>
      </c>
      <c r="Y173">
        <f>HYPERLINK("https://klasma.github.io/Logging_0980/tillsynsmail/A 12924-2025 tillsynsbegäran mail.docx", "A 12924-2025")</f>
        <v/>
      </c>
    </row>
    <row r="174" ht="15" customHeight="1">
      <c r="A174" t="inlineStr">
        <is>
          <t>A 12379-2024</t>
        </is>
      </c>
      <c r="B174" s="1" t="n">
        <v>45379.28155092592</v>
      </c>
      <c r="C174" s="1" t="n">
        <v>46048</v>
      </c>
      <c r="D174" t="inlineStr">
        <is>
          <t>GOTLANDS LÄN</t>
        </is>
      </c>
      <c r="E174" t="inlineStr">
        <is>
          <t>GOTLAND</t>
        </is>
      </c>
      <c r="G174" t="n">
        <v>4.4</v>
      </c>
      <c r="H174" t="n">
        <v>0</v>
      </c>
      <c r="I174" t="n">
        <v>0</v>
      </c>
      <c r="J174" t="n">
        <v>1</v>
      </c>
      <c r="K174" t="n">
        <v>0</v>
      </c>
      <c r="L174" t="n">
        <v>0</v>
      </c>
      <c r="M174" t="n">
        <v>0</v>
      </c>
      <c r="N174" t="n">
        <v>0</v>
      </c>
      <c r="O174" t="n">
        <v>1</v>
      </c>
      <c r="P174" t="n">
        <v>0</v>
      </c>
      <c r="Q174" t="n">
        <v>1</v>
      </c>
      <c r="R174" s="2" t="inlineStr">
        <is>
          <t>Svinrot</t>
        </is>
      </c>
      <c r="S174">
        <f>HYPERLINK("https://klasma.github.io/Logging_0980/artfynd/A 12379-2024 artfynd.xlsx", "A 12379-2024")</f>
        <v/>
      </c>
      <c r="T174">
        <f>HYPERLINK("https://klasma.github.io/Logging_0980/kartor/A 12379-2024 karta.png", "A 12379-2024")</f>
        <v/>
      </c>
      <c r="V174">
        <f>HYPERLINK("https://klasma.github.io/Logging_0980/klagomål/A 12379-2024 FSC-klagomål.docx", "A 12379-2024")</f>
        <v/>
      </c>
      <c r="W174">
        <f>HYPERLINK("https://klasma.github.io/Logging_0980/klagomålsmail/A 12379-2024 FSC-klagomål mail.docx", "A 12379-2024")</f>
        <v/>
      </c>
      <c r="X174">
        <f>HYPERLINK("https://klasma.github.io/Logging_0980/tillsyn/A 12379-2024 tillsynsbegäran.docx", "A 12379-2024")</f>
        <v/>
      </c>
      <c r="Y174">
        <f>HYPERLINK("https://klasma.github.io/Logging_0980/tillsynsmail/A 12379-2024 tillsynsbegäran mail.docx", "A 12379-2024")</f>
        <v/>
      </c>
    </row>
    <row r="175" ht="15" customHeight="1">
      <c r="A175" t="inlineStr">
        <is>
          <t>A 64700-2021</t>
        </is>
      </c>
      <c r="B175" s="1" t="n">
        <v>44511</v>
      </c>
      <c r="C175" s="1" t="n">
        <v>46048</v>
      </c>
      <c r="D175" t="inlineStr">
        <is>
          <t>GOTLANDS LÄN</t>
        </is>
      </c>
      <c r="E175" t="inlineStr">
        <is>
          <t>GOTLAND</t>
        </is>
      </c>
      <c r="F175" t="inlineStr">
        <is>
          <t>Naturvårdsverket</t>
        </is>
      </c>
      <c r="G175" t="n">
        <v>2.4</v>
      </c>
      <c r="H175" t="n">
        <v>1</v>
      </c>
      <c r="I175" t="n">
        <v>0</v>
      </c>
      <c r="J175" t="n">
        <v>0</v>
      </c>
      <c r="K175" t="n">
        <v>1</v>
      </c>
      <c r="L175" t="n">
        <v>0</v>
      </c>
      <c r="M175" t="n">
        <v>0</v>
      </c>
      <c r="N175" t="n">
        <v>0</v>
      </c>
      <c r="O175" t="n">
        <v>1</v>
      </c>
      <c r="P175" t="n">
        <v>1</v>
      </c>
      <c r="Q175" t="n">
        <v>1</v>
      </c>
      <c r="R175" s="2" t="inlineStr">
        <is>
          <t>Kalkdån</t>
        </is>
      </c>
      <c r="S175">
        <f>HYPERLINK("https://klasma.github.io/Logging_0980/artfynd/A 64700-2021 artfynd.xlsx", "A 64700-2021")</f>
        <v/>
      </c>
      <c r="T175">
        <f>HYPERLINK("https://klasma.github.io/Logging_0980/kartor/A 64700-2021 karta.png", "A 64700-2021")</f>
        <v/>
      </c>
      <c r="V175">
        <f>HYPERLINK("https://klasma.github.io/Logging_0980/klagomål/A 64700-2021 FSC-klagomål.docx", "A 64700-2021")</f>
        <v/>
      </c>
      <c r="W175">
        <f>HYPERLINK("https://klasma.github.io/Logging_0980/klagomålsmail/A 64700-2021 FSC-klagomål mail.docx", "A 64700-2021")</f>
        <v/>
      </c>
      <c r="X175">
        <f>HYPERLINK("https://klasma.github.io/Logging_0980/tillsyn/A 64700-2021 tillsynsbegäran.docx", "A 64700-2021")</f>
        <v/>
      </c>
      <c r="Y175">
        <f>HYPERLINK("https://klasma.github.io/Logging_0980/tillsynsmail/A 64700-2021 tillsynsbegäran mail.docx", "A 64700-2021")</f>
        <v/>
      </c>
    </row>
    <row r="176" ht="15" customHeight="1">
      <c r="A176" t="inlineStr">
        <is>
          <t>A 35574-2024</t>
        </is>
      </c>
      <c r="B176" s="1" t="n">
        <v>45531</v>
      </c>
      <c r="C176" s="1" t="n">
        <v>46048</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37591-2023</t>
        </is>
      </c>
      <c r="B177" s="1" t="n">
        <v>45159</v>
      </c>
      <c r="C177" s="1" t="n">
        <v>46048</v>
      </c>
      <c r="D177" t="inlineStr">
        <is>
          <t>GOTLANDS LÄN</t>
        </is>
      </c>
      <c r="E177" t="inlineStr">
        <is>
          <t>GOTLAND</t>
        </is>
      </c>
      <c r="G177" t="n">
        <v>8.300000000000001</v>
      </c>
      <c r="H177" t="n">
        <v>0</v>
      </c>
      <c r="I177" t="n">
        <v>0</v>
      </c>
      <c r="J177" t="n">
        <v>1</v>
      </c>
      <c r="K177" t="n">
        <v>0</v>
      </c>
      <c r="L177" t="n">
        <v>0</v>
      </c>
      <c r="M177" t="n">
        <v>0</v>
      </c>
      <c r="N177" t="n">
        <v>0</v>
      </c>
      <c r="O177" t="n">
        <v>1</v>
      </c>
      <c r="P177" t="n">
        <v>0</v>
      </c>
      <c r="Q177" t="n">
        <v>1</v>
      </c>
      <c r="R177" s="2" t="inlineStr">
        <is>
          <t>Ängsstarr</t>
        </is>
      </c>
      <c r="S177">
        <f>HYPERLINK("https://klasma.github.io/Logging_0980/artfynd/A 37591-2023 artfynd.xlsx", "A 37591-2023")</f>
        <v/>
      </c>
      <c r="T177">
        <f>HYPERLINK("https://klasma.github.io/Logging_0980/kartor/A 37591-2023 karta.png", "A 37591-2023")</f>
        <v/>
      </c>
      <c r="V177">
        <f>HYPERLINK("https://klasma.github.io/Logging_0980/klagomål/A 37591-2023 FSC-klagomål.docx", "A 37591-2023")</f>
        <v/>
      </c>
      <c r="W177">
        <f>HYPERLINK("https://klasma.github.io/Logging_0980/klagomålsmail/A 37591-2023 FSC-klagomål mail.docx", "A 37591-2023")</f>
        <v/>
      </c>
      <c r="X177">
        <f>HYPERLINK("https://klasma.github.io/Logging_0980/tillsyn/A 37591-2023 tillsynsbegäran.docx", "A 37591-2023")</f>
        <v/>
      </c>
      <c r="Y177">
        <f>HYPERLINK("https://klasma.github.io/Logging_0980/tillsynsmail/A 37591-2023 tillsynsbegäran mail.docx", "A 37591-2023")</f>
        <v/>
      </c>
    </row>
    <row r="178" ht="15" customHeight="1">
      <c r="A178" t="inlineStr">
        <is>
          <t>A 15637-2024</t>
        </is>
      </c>
      <c r="B178" s="1" t="n">
        <v>45403.6684837963</v>
      </c>
      <c r="C178" s="1" t="n">
        <v>46048</v>
      </c>
      <c r="D178" t="inlineStr">
        <is>
          <t>GOTLANDS LÄN</t>
        </is>
      </c>
      <c r="E178" t="inlineStr">
        <is>
          <t>GOTLAND</t>
        </is>
      </c>
      <c r="G178" t="n">
        <v>4.1</v>
      </c>
      <c r="H178" t="n">
        <v>1</v>
      </c>
      <c r="I178" t="n">
        <v>0</v>
      </c>
      <c r="J178" t="n">
        <v>0</v>
      </c>
      <c r="K178" t="n">
        <v>0</v>
      </c>
      <c r="L178" t="n">
        <v>0</v>
      </c>
      <c r="M178" t="n">
        <v>0</v>
      </c>
      <c r="N178" t="n">
        <v>0</v>
      </c>
      <c r="O178" t="n">
        <v>0</v>
      </c>
      <c r="P178" t="n">
        <v>0</v>
      </c>
      <c r="Q178" t="n">
        <v>1</v>
      </c>
      <c r="R178" s="2" t="inlineStr">
        <is>
          <t>Blåsippa</t>
        </is>
      </c>
      <c r="S178">
        <f>HYPERLINK("https://klasma.github.io/Logging_0980/artfynd/A 15637-2024 artfynd.xlsx", "A 15637-2024")</f>
        <v/>
      </c>
      <c r="T178">
        <f>HYPERLINK("https://klasma.github.io/Logging_0980/kartor/A 15637-2024 karta.png", "A 15637-2024")</f>
        <v/>
      </c>
      <c r="V178">
        <f>HYPERLINK("https://klasma.github.io/Logging_0980/klagomål/A 15637-2024 FSC-klagomål.docx", "A 15637-2024")</f>
        <v/>
      </c>
      <c r="W178">
        <f>HYPERLINK("https://klasma.github.io/Logging_0980/klagomålsmail/A 15637-2024 FSC-klagomål mail.docx", "A 15637-2024")</f>
        <v/>
      </c>
      <c r="X178">
        <f>HYPERLINK("https://klasma.github.io/Logging_0980/tillsyn/A 15637-2024 tillsynsbegäran.docx", "A 15637-2024")</f>
        <v/>
      </c>
      <c r="Y178">
        <f>HYPERLINK("https://klasma.github.io/Logging_0980/tillsynsmail/A 15637-2024 tillsynsbegäran mail.docx", "A 15637-2024")</f>
        <v/>
      </c>
    </row>
    <row r="179" ht="15" customHeight="1">
      <c r="A179" t="inlineStr">
        <is>
          <t>A 39812-2025</t>
        </is>
      </c>
      <c r="B179" s="1" t="n">
        <v>45891</v>
      </c>
      <c r="C179" s="1" t="n">
        <v>46048</v>
      </c>
      <c r="D179" t="inlineStr">
        <is>
          <t>GOTLANDS LÄN</t>
        </is>
      </c>
      <c r="E179" t="inlineStr">
        <is>
          <t>GOTLAND</t>
        </is>
      </c>
      <c r="G179" t="n">
        <v>6</v>
      </c>
      <c r="H179" t="n">
        <v>1</v>
      </c>
      <c r="I179" t="n">
        <v>0</v>
      </c>
      <c r="J179" t="n">
        <v>0</v>
      </c>
      <c r="K179" t="n">
        <v>0</v>
      </c>
      <c r="L179" t="n">
        <v>1</v>
      </c>
      <c r="M179" t="n">
        <v>0</v>
      </c>
      <c r="N179" t="n">
        <v>0</v>
      </c>
      <c r="O179" t="n">
        <v>1</v>
      </c>
      <c r="P179" t="n">
        <v>1</v>
      </c>
      <c r="Q179" t="n">
        <v>1</v>
      </c>
      <c r="R179" s="2" t="inlineStr">
        <is>
          <t>Nålkörvel</t>
        </is>
      </c>
      <c r="S179">
        <f>HYPERLINK("https://klasma.github.io/Logging_0980/artfynd/A 39812-2025 artfynd.xlsx", "A 39812-2025")</f>
        <v/>
      </c>
      <c r="T179">
        <f>HYPERLINK("https://klasma.github.io/Logging_0980/kartor/A 39812-2025 karta.png", "A 39812-2025")</f>
        <v/>
      </c>
      <c r="V179">
        <f>HYPERLINK("https://klasma.github.io/Logging_0980/klagomål/A 39812-2025 FSC-klagomål.docx", "A 39812-2025")</f>
        <v/>
      </c>
      <c r="W179">
        <f>HYPERLINK("https://klasma.github.io/Logging_0980/klagomålsmail/A 39812-2025 FSC-klagomål mail.docx", "A 39812-2025")</f>
        <v/>
      </c>
      <c r="X179">
        <f>HYPERLINK("https://klasma.github.io/Logging_0980/tillsyn/A 39812-2025 tillsynsbegäran.docx", "A 39812-2025")</f>
        <v/>
      </c>
      <c r="Y179">
        <f>HYPERLINK("https://klasma.github.io/Logging_0980/tillsynsmail/A 39812-2025 tillsynsbegäran mail.docx", "A 39812-2025")</f>
        <v/>
      </c>
    </row>
    <row r="180" ht="15" customHeight="1">
      <c r="A180" t="inlineStr">
        <is>
          <t>A 49847-2023</t>
        </is>
      </c>
      <c r="B180" s="1" t="n">
        <v>45212</v>
      </c>
      <c r="C180" s="1" t="n">
        <v>46048</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35467-2021</t>
        </is>
      </c>
      <c r="B181" s="1" t="n">
        <v>44385</v>
      </c>
      <c r="C181" s="1" t="n">
        <v>46048</v>
      </c>
      <c r="D181" t="inlineStr">
        <is>
          <t>GOTLANDS LÄN</t>
        </is>
      </c>
      <c r="E181" t="inlineStr">
        <is>
          <t>GOTLAND</t>
        </is>
      </c>
      <c r="G181" t="n">
        <v>12.7</v>
      </c>
      <c r="H181" t="n">
        <v>0</v>
      </c>
      <c r="I181" t="n">
        <v>0</v>
      </c>
      <c r="J181" t="n">
        <v>1</v>
      </c>
      <c r="K181" t="n">
        <v>0</v>
      </c>
      <c r="L181" t="n">
        <v>0</v>
      </c>
      <c r="M181" t="n">
        <v>0</v>
      </c>
      <c r="N181" t="n">
        <v>0</v>
      </c>
      <c r="O181" t="n">
        <v>1</v>
      </c>
      <c r="P181" t="n">
        <v>0</v>
      </c>
      <c r="Q181" t="n">
        <v>1</v>
      </c>
      <c r="R181" s="2" t="inlineStr">
        <is>
          <t>Loppstarr</t>
        </is>
      </c>
      <c r="S181">
        <f>HYPERLINK("https://klasma.github.io/Logging_0980/artfynd/A 35467-2021 artfynd.xlsx", "A 35467-2021")</f>
        <v/>
      </c>
      <c r="T181">
        <f>HYPERLINK("https://klasma.github.io/Logging_0980/kartor/A 35467-2021 karta.png", "A 35467-2021")</f>
        <v/>
      </c>
      <c r="V181">
        <f>HYPERLINK("https://klasma.github.io/Logging_0980/klagomål/A 35467-2021 FSC-klagomål.docx", "A 35467-2021")</f>
        <v/>
      </c>
      <c r="W181">
        <f>HYPERLINK("https://klasma.github.io/Logging_0980/klagomålsmail/A 35467-2021 FSC-klagomål mail.docx", "A 35467-2021")</f>
        <v/>
      </c>
      <c r="X181">
        <f>HYPERLINK("https://klasma.github.io/Logging_0980/tillsyn/A 35467-2021 tillsynsbegäran.docx", "A 35467-2021")</f>
        <v/>
      </c>
      <c r="Y181">
        <f>HYPERLINK("https://klasma.github.io/Logging_0980/tillsynsmail/A 35467-2021 tillsynsbegäran mail.docx", "A 35467-2021")</f>
        <v/>
      </c>
    </row>
    <row r="182" ht="15" customHeight="1">
      <c r="A182" t="inlineStr">
        <is>
          <t>A 44619-2025</t>
        </is>
      </c>
      <c r="B182" s="1" t="n">
        <v>45917</v>
      </c>
      <c r="C182" s="1" t="n">
        <v>46048</v>
      </c>
      <c r="D182" t="inlineStr">
        <is>
          <t>GOTLANDS LÄN</t>
        </is>
      </c>
      <c r="E182" t="inlineStr">
        <is>
          <t>GOTLAND</t>
        </is>
      </c>
      <c r="G182" t="n">
        <v>4.3</v>
      </c>
      <c r="H182" t="n">
        <v>0</v>
      </c>
      <c r="I182" t="n">
        <v>1</v>
      </c>
      <c r="J182" t="n">
        <v>0</v>
      </c>
      <c r="K182" t="n">
        <v>0</v>
      </c>
      <c r="L182" t="n">
        <v>0</v>
      </c>
      <c r="M182" t="n">
        <v>0</v>
      </c>
      <c r="N182" t="n">
        <v>0</v>
      </c>
      <c r="O182" t="n">
        <v>0</v>
      </c>
      <c r="P182" t="n">
        <v>0</v>
      </c>
      <c r="Q182" t="n">
        <v>1</v>
      </c>
      <c r="R182" s="2" t="inlineStr">
        <is>
          <t>Ögonpyrola</t>
        </is>
      </c>
      <c r="S182">
        <f>HYPERLINK("https://klasma.github.io/Logging_0980/artfynd/A 44619-2025 artfynd.xlsx", "A 44619-2025")</f>
        <v/>
      </c>
      <c r="T182">
        <f>HYPERLINK("https://klasma.github.io/Logging_0980/kartor/A 44619-2025 karta.png", "A 44619-2025")</f>
        <v/>
      </c>
      <c r="V182">
        <f>HYPERLINK("https://klasma.github.io/Logging_0980/klagomål/A 44619-2025 FSC-klagomål.docx", "A 44619-2025")</f>
        <v/>
      </c>
      <c r="W182">
        <f>HYPERLINK("https://klasma.github.io/Logging_0980/klagomålsmail/A 44619-2025 FSC-klagomål mail.docx", "A 44619-2025")</f>
        <v/>
      </c>
      <c r="X182">
        <f>HYPERLINK("https://klasma.github.io/Logging_0980/tillsyn/A 44619-2025 tillsynsbegäran.docx", "A 44619-2025")</f>
        <v/>
      </c>
      <c r="Y182">
        <f>HYPERLINK("https://klasma.github.io/Logging_0980/tillsynsmail/A 44619-2025 tillsynsbegäran mail.docx", "A 44619-2025")</f>
        <v/>
      </c>
    </row>
    <row r="183" ht="15" customHeight="1">
      <c r="A183" t="inlineStr">
        <is>
          <t>A 10995-2023</t>
        </is>
      </c>
      <c r="B183" s="1" t="n">
        <v>44986</v>
      </c>
      <c r="C183" s="1" t="n">
        <v>46048</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20429-2025</t>
        </is>
      </c>
      <c r="B184" s="1" t="n">
        <v>45775.47728009259</v>
      </c>
      <c r="C184" s="1" t="n">
        <v>46048</v>
      </c>
      <c r="D184" t="inlineStr">
        <is>
          <t>GOTLANDS LÄN</t>
        </is>
      </c>
      <c r="E184" t="inlineStr">
        <is>
          <t>GOTLAND</t>
        </is>
      </c>
      <c r="G184" t="n">
        <v>1.4</v>
      </c>
      <c r="H184" t="n">
        <v>1</v>
      </c>
      <c r="I184" t="n">
        <v>0</v>
      </c>
      <c r="J184" t="n">
        <v>0</v>
      </c>
      <c r="K184" t="n">
        <v>0</v>
      </c>
      <c r="L184" t="n">
        <v>0</v>
      </c>
      <c r="M184" t="n">
        <v>0</v>
      </c>
      <c r="N184" t="n">
        <v>0</v>
      </c>
      <c r="O184" t="n">
        <v>0</v>
      </c>
      <c r="P184" t="n">
        <v>0</v>
      </c>
      <c r="Q184" t="n">
        <v>1</v>
      </c>
      <c r="R184" s="2" t="inlineStr">
        <is>
          <t>Äkta lopplummer</t>
        </is>
      </c>
      <c r="S184">
        <f>HYPERLINK("https://klasma.github.io/Logging_0980/artfynd/A 20429-2025 artfynd.xlsx", "A 20429-2025")</f>
        <v/>
      </c>
      <c r="T184">
        <f>HYPERLINK("https://klasma.github.io/Logging_0980/kartor/A 20429-2025 karta.png", "A 20429-2025")</f>
        <v/>
      </c>
      <c r="V184">
        <f>HYPERLINK("https://klasma.github.io/Logging_0980/klagomål/A 20429-2025 FSC-klagomål.docx", "A 20429-2025")</f>
        <v/>
      </c>
      <c r="W184">
        <f>HYPERLINK("https://klasma.github.io/Logging_0980/klagomålsmail/A 20429-2025 FSC-klagomål mail.docx", "A 20429-2025")</f>
        <v/>
      </c>
      <c r="X184">
        <f>HYPERLINK("https://klasma.github.io/Logging_0980/tillsyn/A 20429-2025 tillsynsbegäran.docx", "A 20429-2025")</f>
        <v/>
      </c>
      <c r="Y184">
        <f>HYPERLINK("https://klasma.github.io/Logging_0980/tillsynsmail/A 20429-2025 tillsynsbegäran mail.docx", "A 20429-2025")</f>
        <v/>
      </c>
    </row>
    <row r="185" ht="15" customHeight="1">
      <c r="A185" t="inlineStr">
        <is>
          <t>A 49726-2025</t>
        </is>
      </c>
      <c r="B185" s="1" t="n">
        <v>45939.84466435185</v>
      </c>
      <c r="C185" s="1" t="n">
        <v>46048</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63149-2025</t>
        </is>
      </c>
      <c r="B186" s="1" t="n">
        <v>46010</v>
      </c>
      <c r="C186" s="1" t="n">
        <v>46048</v>
      </c>
      <c r="D186" t="inlineStr">
        <is>
          <t>GOTLANDS LÄN</t>
        </is>
      </c>
      <c r="E186" t="inlineStr">
        <is>
          <t>GOTLAND</t>
        </is>
      </c>
      <c r="G186" t="n">
        <v>4.3</v>
      </c>
      <c r="H186" t="n">
        <v>0</v>
      </c>
      <c r="I186" t="n">
        <v>1</v>
      </c>
      <c r="J186" t="n">
        <v>0</v>
      </c>
      <c r="K186" t="n">
        <v>0</v>
      </c>
      <c r="L186" t="n">
        <v>0</v>
      </c>
      <c r="M186" t="n">
        <v>0</v>
      </c>
      <c r="N186" t="n">
        <v>0</v>
      </c>
      <c r="O186" t="n">
        <v>0</v>
      </c>
      <c r="P186" t="n">
        <v>0</v>
      </c>
      <c r="Q186" t="n">
        <v>1</v>
      </c>
      <c r="R186" s="2" t="inlineStr">
        <is>
          <t>Anisspindling</t>
        </is>
      </c>
      <c r="S186">
        <f>HYPERLINK("https://klasma.github.io/Logging_0980/artfynd/A 63149-2025 artfynd.xlsx", "A 63149-2025")</f>
        <v/>
      </c>
      <c r="T186">
        <f>HYPERLINK("https://klasma.github.io/Logging_0980/kartor/A 63149-2025 karta.png", "A 63149-2025")</f>
        <v/>
      </c>
      <c r="V186">
        <f>HYPERLINK("https://klasma.github.io/Logging_0980/klagomål/A 63149-2025 FSC-klagomål.docx", "A 63149-2025")</f>
        <v/>
      </c>
      <c r="W186">
        <f>HYPERLINK("https://klasma.github.io/Logging_0980/klagomålsmail/A 63149-2025 FSC-klagomål mail.docx", "A 63149-2025")</f>
        <v/>
      </c>
      <c r="X186">
        <f>HYPERLINK("https://klasma.github.io/Logging_0980/tillsyn/A 63149-2025 tillsynsbegäran.docx", "A 63149-2025")</f>
        <v/>
      </c>
      <c r="Y186">
        <f>HYPERLINK("https://klasma.github.io/Logging_0980/tillsynsmail/A 63149-2025 tillsynsbegäran mail.docx", "A 63149-2025")</f>
        <v/>
      </c>
    </row>
    <row r="187" ht="15" customHeight="1">
      <c r="A187" t="inlineStr">
        <is>
          <t>A 19901-2021</t>
        </is>
      </c>
      <c r="B187" s="1" t="n">
        <v>44312</v>
      </c>
      <c r="C187" s="1" t="n">
        <v>46048</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46048</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46048</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46048</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46048</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46048</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46048</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46048</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46048</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46048</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46048</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46048</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46048</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46048</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46048</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46048</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46048</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46048</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46048</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46048</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46048</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46048</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46048</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46048</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46048</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46048</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46048</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46048</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46048</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46048</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46048</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46048</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46048</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46048</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46048</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46048</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46048</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46048</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46048</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46048</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46048</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46048</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46048</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53225-2022</t>
        </is>
      </c>
      <c r="B230" s="1" t="n">
        <v>44876</v>
      </c>
      <c r="C230" s="1" t="n">
        <v>46048</v>
      </c>
      <c r="D230" t="inlineStr">
        <is>
          <t>GOTLANDS LÄN</t>
        </is>
      </c>
      <c r="E230" t="inlineStr">
        <is>
          <t>GOTLAND</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30055-2021</t>
        </is>
      </c>
      <c r="B231" s="1" t="n">
        <v>44363</v>
      </c>
      <c r="C231" s="1" t="n">
        <v>46048</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46048</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58476-2022</t>
        </is>
      </c>
      <c r="B233" s="1" t="n">
        <v>44902</v>
      </c>
      <c r="C233" s="1" t="n">
        <v>46048</v>
      </c>
      <c r="D233" t="inlineStr">
        <is>
          <t>GOTLANDS LÄN</t>
        </is>
      </c>
      <c r="E233" t="inlineStr">
        <is>
          <t>GOTLAND</t>
        </is>
      </c>
      <c r="G233" t="n">
        <v>0.9</v>
      </c>
      <c r="H233" t="n">
        <v>0</v>
      </c>
      <c r="I233" t="n">
        <v>0</v>
      </c>
      <c r="J233" t="n">
        <v>0</v>
      </c>
      <c r="K233" t="n">
        <v>0</v>
      </c>
      <c r="L233" t="n">
        <v>0</v>
      </c>
      <c r="M233" t="n">
        <v>0</v>
      </c>
      <c r="N233" t="n">
        <v>0</v>
      </c>
      <c r="O233" t="n">
        <v>0</v>
      </c>
      <c r="P233" t="n">
        <v>0</v>
      </c>
      <c r="Q233" t="n">
        <v>0</v>
      </c>
      <c r="R233" s="2" t="inlineStr"/>
    </row>
    <row r="234" ht="15" customHeight="1">
      <c r="A234" t="inlineStr">
        <is>
          <t>A 46189-2022</t>
        </is>
      </c>
      <c r="B234" s="1" t="n">
        <v>44847</v>
      </c>
      <c r="C234" s="1" t="n">
        <v>46048</v>
      </c>
      <c r="D234" t="inlineStr">
        <is>
          <t>GOTLANDS LÄN</t>
        </is>
      </c>
      <c r="E234" t="inlineStr">
        <is>
          <t>GOTLAND</t>
        </is>
      </c>
      <c r="G234" t="n">
        <v>0.4</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46048</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57522-2022</t>
        </is>
      </c>
      <c r="B236" s="1" t="n">
        <v>44896</v>
      </c>
      <c r="C236" s="1" t="n">
        <v>46048</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14797-2024</t>
        </is>
      </c>
      <c r="B237" s="1" t="n">
        <v>45397.87030092593</v>
      </c>
      <c r="C237" s="1" t="n">
        <v>46048</v>
      </c>
      <c r="D237" t="inlineStr">
        <is>
          <t>GOTLANDS LÄN</t>
        </is>
      </c>
      <c r="E237" t="inlineStr">
        <is>
          <t>GOTLAND</t>
        </is>
      </c>
      <c r="G237" t="n">
        <v>8.1</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46048</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61596-2023</t>
        </is>
      </c>
      <c r="B239" s="1" t="n">
        <v>45265</v>
      </c>
      <c r="C239" s="1" t="n">
        <v>46048</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873-2024</t>
        </is>
      </c>
      <c r="B240" s="1" t="n">
        <v>45301</v>
      </c>
      <c r="C240" s="1" t="n">
        <v>46048</v>
      </c>
      <c r="D240" t="inlineStr">
        <is>
          <t>GOTLANDS LÄN</t>
        </is>
      </c>
      <c r="E240" t="inlineStr">
        <is>
          <t>GOTLAND</t>
        </is>
      </c>
      <c r="G240" t="n">
        <v>2.7</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46048</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65393-2021</t>
        </is>
      </c>
      <c r="B242" s="1" t="n">
        <v>44515</v>
      </c>
      <c r="C242" s="1" t="n">
        <v>46048</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44228-2022</t>
        </is>
      </c>
      <c r="B243" s="1" t="n">
        <v>44839.51599537037</v>
      </c>
      <c r="C243" s="1" t="n">
        <v>46048</v>
      </c>
      <c r="D243" t="inlineStr">
        <is>
          <t>GOTLANDS LÄN</t>
        </is>
      </c>
      <c r="E243" t="inlineStr">
        <is>
          <t>GOTLAND</t>
        </is>
      </c>
      <c r="G243" t="n">
        <v>2.1</v>
      </c>
      <c r="H243" t="n">
        <v>0</v>
      </c>
      <c r="I243" t="n">
        <v>0</v>
      </c>
      <c r="J243" t="n">
        <v>0</v>
      </c>
      <c r="K243" t="n">
        <v>0</v>
      </c>
      <c r="L243" t="n">
        <v>0</v>
      </c>
      <c r="M243" t="n">
        <v>0</v>
      </c>
      <c r="N243" t="n">
        <v>0</v>
      </c>
      <c r="O243" t="n">
        <v>0</v>
      </c>
      <c r="P243" t="n">
        <v>0</v>
      </c>
      <c r="Q243" t="n">
        <v>0</v>
      </c>
      <c r="R243" s="2" t="inlineStr"/>
    </row>
    <row r="244" ht="15" customHeight="1">
      <c r="A244" t="inlineStr">
        <is>
          <t>A 61386-2023</t>
        </is>
      </c>
      <c r="B244" s="1" t="n">
        <v>45264</v>
      </c>
      <c r="C244" s="1" t="n">
        <v>46048</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7837-2024</t>
        </is>
      </c>
      <c r="B245" s="1" t="n">
        <v>45349.83787037037</v>
      </c>
      <c r="C245" s="1" t="n">
        <v>46048</v>
      </c>
      <c r="D245" t="inlineStr">
        <is>
          <t>GOTLANDS LÄN</t>
        </is>
      </c>
      <c r="E245" t="inlineStr">
        <is>
          <t>GOTLAND</t>
        </is>
      </c>
      <c r="G245" t="n">
        <v>5</v>
      </c>
      <c r="H245" t="n">
        <v>0</v>
      </c>
      <c r="I245" t="n">
        <v>0</v>
      </c>
      <c r="J245" t="n">
        <v>0</v>
      </c>
      <c r="K245" t="n">
        <v>0</v>
      </c>
      <c r="L245" t="n">
        <v>0</v>
      </c>
      <c r="M245" t="n">
        <v>0</v>
      </c>
      <c r="N245" t="n">
        <v>0</v>
      </c>
      <c r="O245" t="n">
        <v>0</v>
      </c>
      <c r="P245" t="n">
        <v>0</v>
      </c>
      <c r="Q245" t="n">
        <v>0</v>
      </c>
      <c r="R245" s="2" t="inlineStr"/>
    </row>
    <row r="246" ht="15" customHeight="1">
      <c r="A246" t="inlineStr">
        <is>
          <t>A 456-2023</t>
        </is>
      </c>
      <c r="B246" s="1" t="n">
        <v>44929.87122685185</v>
      </c>
      <c r="C246" s="1" t="n">
        <v>46048</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46048</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1394-2023</t>
        </is>
      </c>
      <c r="B248" s="1" t="n">
        <v>44936.72997685185</v>
      </c>
      <c r="C248" s="1" t="n">
        <v>46048</v>
      </c>
      <c r="D248" t="inlineStr">
        <is>
          <t>GOTLANDS LÄN</t>
        </is>
      </c>
      <c r="E248" t="inlineStr">
        <is>
          <t>GOTLAND</t>
        </is>
      </c>
      <c r="G248" t="n">
        <v>2.1</v>
      </c>
      <c r="H248" t="n">
        <v>0</v>
      </c>
      <c r="I248" t="n">
        <v>0</v>
      </c>
      <c r="J248" t="n">
        <v>0</v>
      </c>
      <c r="K248" t="n">
        <v>0</v>
      </c>
      <c r="L248" t="n">
        <v>0</v>
      </c>
      <c r="M248" t="n">
        <v>0</v>
      </c>
      <c r="N248" t="n">
        <v>0</v>
      </c>
      <c r="O248" t="n">
        <v>0</v>
      </c>
      <c r="P248" t="n">
        <v>0</v>
      </c>
      <c r="Q248" t="n">
        <v>0</v>
      </c>
      <c r="R248" s="2" t="inlineStr"/>
    </row>
    <row r="249" ht="15" customHeight="1">
      <c r="A249" t="inlineStr">
        <is>
          <t>A 25129-2023</t>
        </is>
      </c>
      <c r="B249" s="1" t="n">
        <v>45086.44261574074</v>
      </c>
      <c r="C249" s="1" t="n">
        <v>46048</v>
      </c>
      <c r="D249" t="inlineStr">
        <is>
          <t>GOTLANDS LÄN</t>
        </is>
      </c>
      <c r="E249" t="inlineStr">
        <is>
          <t>GOTLAND</t>
        </is>
      </c>
      <c r="G249" t="n">
        <v>1.5</v>
      </c>
      <c r="H249" t="n">
        <v>0</v>
      </c>
      <c r="I249" t="n">
        <v>0</v>
      </c>
      <c r="J249" t="n">
        <v>0</v>
      </c>
      <c r="K249" t="n">
        <v>0</v>
      </c>
      <c r="L249" t="n">
        <v>0</v>
      </c>
      <c r="M249" t="n">
        <v>0</v>
      </c>
      <c r="N249" t="n">
        <v>0</v>
      </c>
      <c r="O249" t="n">
        <v>0</v>
      </c>
      <c r="P249" t="n">
        <v>0</v>
      </c>
      <c r="Q249" t="n">
        <v>0</v>
      </c>
      <c r="R249" s="2" t="inlineStr"/>
    </row>
    <row r="250" ht="15" customHeight="1">
      <c r="A250" t="inlineStr">
        <is>
          <t>A 2676-2023</t>
        </is>
      </c>
      <c r="B250" s="1" t="n">
        <v>44944</v>
      </c>
      <c r="C250" s="1" t="n">
        <v>46048</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4387-2023</t>
        </is>
      </c>
      <c r="B251" s="1" t="n">
        <v>44955.73359953704</v>
      </c>
      <c r="C251" s="1" t="n">
        <v>46048</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49411-2023</t>
        </is>
      </c>
      <c r="B252" s="1" t="n">
        <v>45205</v>
      </c>
      <c r="C252" s="1" t="n">
        <v>46048</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37728-2024</t>
        </is>
      </c>
      <c r="B253" s="1" t="n">
        <v>45541</v>
      </c>
      <c r="C253" s="1" t="n">
        <v>46048</v>
      </c>
      <c r="D253" t="inlineStr">
        <is>
          <t>GOTLANDS LÄN</t>
        </is>
      </c>
      <c r="E253" t="inlineStr">
        <is>
          <t>GOTLAND</t>
        </is>
      </c>
      <c r="G253" t="n">
        <v>0.4</v>
      </c>
      <c r="H253" t="n">
        <v>0</v>
      </c>
      <c r="I253" t="n">
        <v>0</v>
      </c>
      <c r="J253" t="n">
        <v>0</v>
      </c>
      <c r="K253" t="n">
        <v>0</v>
      </c>
      <c r="L253" t="n">
        <v>0</v>
      </c>
      <c r="M253" t="n">
        <v>0</v>
      </c>
      <c r="N253" t="n">
        <v>0</v>
      </c>
      <c r="O253" t="n">
        <v>0</v>
      </c>
      <c r="P253" t="n">
        <v>0</v>
      </c>
      <c r="Q253" t="n">
        <v>0</v>
      </c>
      <c r="R253" s="2" t="inlineStr"/>
    </row>
    <row r="254" ht="15" customHeight="1">
      <c r="A254" t="inlineStr">
        <is>
          <t>A 21164-2024</t>
        </is>
      </c>
      <c r="B254" s="1" t="n">
        <v>45440</v>
      </c>
      <c r="C254" s="1" t="n">
        <v>46048</v>
      </c>
      <c r="D254" t="inlineStr">
        <is>
          <t>GOTLANDS LÄN</t>
        </is>
      </c>
      <c r="E254" t="inlineStr">
        <is>
          <t>GOTLAND</t>
        </is>
      </c>
      <c r="G254" t="n">
        <v>6.3</v>
      </c>
      <c r="H254" t="n">
        <v>0</v>
      </c>
      <c r="I254" t="n">
        <v>0</v>
      </c>
      <c r="J254" t="n">
        <v>0</v>
      </c>
      <c r="K254" t="n">
        <v>0</v>
      </c>
      <c r="L254" t="n">
        <v>0</v>
      </c>
      <c r="M254" t="n">
        <v>0</v>
      </c>
      <c r="N254" t="n">
        <v>0</v>
      </c>
      <c r="O254" t="n">
        <v>0</v>
      </c>
      <c r="P254" t="n">
        <v>0</v>
      </c>
      <c r="Q254" t="n">
        <v>0</v>
      </c>
      <c r="R254" s="2" t="inlineStr"/>
    </row>
    <row r="255" ht="15" customHeight="1">
      <c r="A255" t="inlineStr">
        <is>
          <t>A 17541-2024</t>
        </is>
      </c>
      <c r="B255" s="1" t="n">
        <v>45415</v>
      </c>
      <c r="C255" s="1" t="n">
        <v>46048</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883-2025</t>
        </is>
      </c>
      <c r="B256" s="1" t="n">
        <v>45665</v>
      </c>
      <c r="C256" s="1" t="n">
        <v>46048</v>
      </c>
      <c r="D256" t="inlineStr">
        <is>
          <t>GOTLANDS LÄN</t>
        </is>
      </c>
      <c r="E256" t="inlineStr">
        <is>
          <t>GOTLAND</t>
        </is>
      </c>
      <c r="G256" t="n">
        <v>1.3</v>
      </c>
      <c r="H256" t="n">
        <v>0</v>
      </c>
      <c r="I256" t="n">
        <v>0</v>
      </c>
      <c r="J256" t="n">
        <v>0</v>
      </c>
      <c r="K256" t="n">
        <v>0</v>
      </c>
      <c r="L256" t="n">
        <v>0</v>
      </c>
      <c r="M256" t="n">
        <v>0</v>
      </c>
      <c r="N256" t="n">
        <v>0</v>
      </c>
      <c r="O256" t="n">
        <v>0</v>
      </c>
      <c r="P256" t="n">
        <v>0</v>
      </c>
      <c r="Q256" t="n">
        <v>0</v>
      </c>
      <c r="R256" s="2" t="inlineStr"/>
    </row>
    <row r="257" ht="15" customHeight="1">
      <c r="A257" t="inlineStr">
        <is>
          <t>A 2241-2025</t>
        </is>
      </c>
      <c r="B257" s="1" t="n">
        <v>45673.48710648148</v>
      </c>
      <c r="C257" s="1" t="n">
        <v>46048</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13910-2025</t>
        </is>
      </c>
      <c r="B258" s="1" t="n">
        <v>45737</v>
      </c>
      <c r="C258" s="1" t="n">
        <v>46048</v>
      </c>
      <c r="D258" t="inlineStr">
        <is>
          <t>GOTLANDS LÄN</t>
        </is>
      </c>
      <c r="E258" t="inlineStr">
        <is>
          <t>GOTLAND</t>
        </is>
      </c>
      <c r="F258" t="inlineStr">
        <is>
          <t>Kommuner</t>
        </is>
      </c>
      <c r="G258" t="n">
        <v>3.2</v>
      </c>
      <c r="H258" t="n">
        <v>0</v>
      </c>
      <c r="I258" t="n">
        <v>0</v>
      </c>
      <c r="J258" t="n">
        <v>0</v>
      </c>
      <c r="K258" t="n">
        <v>0</v>
      </c>
      <c r="L258" t="n">
        <v>0</v>
      </c>
      <c r="M258" t="n">
        <v>0</v>
      </c>
      <c r="N258" t="n">
        <v>0</v>
      </c>
      <c r="O258" t="n">
        <v>0</v>
      </c>
      <c r="P258" t="n">
        <v>0</v>
      </c>
      <c r="Q258" t="n">
        <v>0</v>
      </c>
      <c r="R258" s="2" t="inlineStr"/>
    </row>
    <row r="259" ht="15" customHeight="1">
      <c r="A259" t="inlineStr">
        <is>
          <t>A 20794-2025</t>
        </is>
      </c>
      <c r="B259" s="1" t="n">
        <v>45776</v>
      </c>
      <c r="C259" s="1" t="n">
        <v>46048</v>
      </c>
      <c r="D259" t="inlineStr">
        <is>
          <t>GOTLANDS LÄN</t>
        </is>
      </c>
      <c r="E259" t="inlineStr">
        <is>
          <t>GOTLAND</t>
        </is>
      </c>
      <c r="G259" t="n">
        <v>6</v>
      </c>
      <c r="H259" t="n">
        <v>0</v>
      </c>
      <c r="I259" t="n">
        <v>0</v>
      </c>
      <c r="J259" t="n">
        <v>0</v>
      </c>
      <c r="K259" t="n">
        <v>0</v>
      </c>
      <c r="L259" t="n">
        <v>0</v>
      </c>
      <c r="M259" t="n">
        <v>0</v>
      </c>
      <c r="N259" t="n">
        <v>0</v>
      </c>
      <c r="O259" t="n">
        <v>0</v>
      </c>
      <c r="P259" t="n">
        <v>0</v>
      </c>
      <c r="Q259" t="n">
        <v>0</v>
      </c>
      <c r="R259" s="2" t="inlineStr"/>
    </row>
    <row r="260" ht="15" customHeight="1">
      <c r="A260" t="inlineStr">
        <is>
          <t>A 20805-2025</t>
        </is>
      </c>
      <c r="B260" s="1" t="n">
        <v>45776</v>
      </c>
      <c r="C260" s="1" t="n">
        <v>46048</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21389-2025</t>
        </is>
      </c>
      <c r="B261" s="1" t="n">
        <v>45782</v>
      </c>
      <c r="C261" s="1" t="n">
        <v>46048</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56009-2024</t>
        </is>
      </c>
      <c r="B262" s="1" t="n">
        <v>45623.80864583333</v>
      </c>
      <c r="C262" s="1" t="n">
        <v>46048</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54073-2022</t>
        </is>
      </c>
      <c r="B263" s="1" t="n">
        <v>44881.50380787037</v>
      </c>
      <c r="C263" s="1" t="n">
        <v>46048</v>
      </c>
      <c r="D263" t="inlineStr">
        <is>
          <t>GOTLANDS LÄN</t>
        </is>
      </c>
      <c r="E263" t="inlineStr">
        <is>
          <t>GOTLAND</t>
        </is>
      </c>
      <c r="G263" t="n">
        <v>3.8</v>
      </c>
      <c r="H263" t="n">
        <v>0</v>
      </c>
      <c r="I263" t="n">
        <v>0</v>
      </c>
      <c r="J263" t="n">
        <v>0</v>
      </c>
      <c r="K263" t="n">
        <v>0</v>
      </c>
      <c r="L263" t="n">
        <v>0</v>
      </c>
      <c r="M263" t="n">
        <v>0</v>
      </c>
      <c r="N263" t="n">
        <v>0</v>
      </c>
      <c r="O263" t="n">
        <v>0</v>
      </c>
      <c r="P263" t="n">
        <v>0</v>
      </c>
      <c r="Q263" t="n">
        <v>0</v>
      </c>
      <c r="R263" s="2" t="inlineStr"/>
    </row>
    <row r="264" ht="15" customHeight="1">
      <c r="A264" t="inlineStr">
        <is>
          <t>A 22275-2023</t>
        </is>
      </c>
      <c r="B264" s="1" t="n">
        <v>45070.39875</v>
      </c>
      <c r="C264" s="1" t="n">
        <v>46048</v>
      </c>
      <c r="D264" t="inlineStr">
        <is>
          <t>GOTLANDS LÄN</t>
        </is>
      </c>
      <c r="E264" t="inlineStr">
        <is>
          <t>GOTLAND</t>
        </is>
      </c>
      <c r="G264" t="n">
        <v>7.2</v>
      </c>
      <c r="H264" t="n">
        <v>0</v>
      </c>
      <c r="I264" t="n">
        <v>0</v>
      </c>
      <c r="J264" t="n">
        <v>0</v>
      </c>
      <c r="K264" t="n">
        <v>0</v>
      </c>
      <c r="L264" t="n">
        <v>0</v>
      </c>
      <c r="M264" t="n">
        <v>0</v>
      </c>
      <c r="N264" t="n">
        <v>0</v>
      </c>
      <c r="O264" t="n">
        <v>0</v>
      </c>
      <c r="P264" t="n">
        <v>0</v>
      </c>
      <c r="Q264" t="n">
        <v>0</v>
      </c>
      <c r="R264" s="2" t="inlineStr"/>
    </row>
    <row r="265" ht="15" customHeight="1">
      <c r="A265" t="inlineStr">
        <is>
          <t>A 48843-2024</t>
        </is>
      </c>
      <c r="B265" s="1" t="n">
        <v>45593</v>
      </c>
      <c r="C265" s="1" t="n">
        <v>46048</v>
      </c>
      <c r="D265" t="inlineStr">
        <is>
          <t>GOTLANDS LÄN</t>
        </is>
      </c>
      <c r="E265" t="inlineStr">
        <is>
          <t>GOTLAND</t>
        </is>
      </c>
      <c r="G265" t="n">
        <v>0.5</v>
      </c>
      <c r="H265" t="n">
        <v>0</v>
      </c>
      <c r="I265" t="n">
        <v>0</v>
      </c>
      <c r="J265" t="n">
        <v>0</v>
      </c>
      <c r="K265" t="n">
        <v>0</v>
      </c>
      <c r="L265" t="n">
        <v>0</v>
      </c>
      <c r="M265" t="n">
        <v>0</v>
      </c>
      <c r="N265" t="n">
        <v>0</v>
      </c>
      <c r="O265" t="n">
        <v>0</v>
      </c>
      <c r="P265" t="n">
        <v>0</v>
      </c>
      <c r="Q265" t="n">
        <v>0</v>
      </c>
      <c r="R265" s="2" t="inlineStr"/>
    </row>
    <row r="266" ht="15" customHeight="1">
      <c r="A266" t="inlineStr">
        <is>
          <t>A 14635-2023</t>
        </is>
      </c>
      <c r="B266" s="1" t="n">
        <v>45013.69365740741</v>
      </c>
      <c r="C266" s="1" t="n">
        <v>46048</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63763-2023</t>
        </is>
      </c>
      <c r="B267" s="1" t="n">
        <v>45278.33944444444</v>
      </c>
      <c r="C267" s="1" t="n">
        <v>46048</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3964-2024</t>
        </is>
      </c>
      <c r="B268" s="1" t="n">
        <v>45322</v>
      </c>
      <c r="C268" s="1" t="n">
        <v>46048</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7635-2025</t>
        </is>
      </c>
      <c r="B269" s="1" t="n">
        <v>45705</v>
      </c>
      <c r="C269" s="1" t="n">
        <v>46048</v>
      </c>
      <c r="D269" t="inlineStr">
        <is>
          <t>GOTLANDS LÄN</t>
        </is>
      </c>
      <c r="E269" t="inlineStr">
        <is>
          <t>GOTLAND</t>
        </is>
      </c>
      <c r="G269" t="n">
        <v>0.9</v>
      </c>
      <c r="H269" t="n">
        <v>0</v>
      </c>
      <c r="I269" t="n">
        <v>0</v>
      </c>
      <c r="J269" t="n">
        <v>0</v>
      </c>
      <c r="K269" t="n">
        <v>0</v>
      </c>
      <c r="L269" t="n">
        <v>0</v>
      </c>
      <c r="M269" t="n">
        <v>0</v>
      </c>
      <c r="N269" t="n">
        <v>0</v>
      </c>
      <c r="O269" t="n">
        <v>0</v>
      </c>
      <c r="P269" t="n">
        <v>0</v>
      </c>
      <c r="Q269" t="n">
        <v>0</v>
      </c>
      <c r="R269" s="2" t="inlineStr"/>
    </row>
    <row r="270" ht="15" customHeight="1">
      <c r="A270" t="inlineStr">
        <is>
          <t>A 7636-2025</t>
        </is>
      </c>
      <c r="B270" s="1" t="n">
        <v>45705.7687962963</v>
      </c>
      <c r="C270" s="1" t="n">
        <v>46048</v>
      </c>
      <c r="D270" t="inlineStr">
        <is>
          <t>GOTLANDS LÄN</t>
        </is>
      </c>
      <c r="E270" t="inlineStr">
        <is>
          <t>GOTLAND</t>
        </is>
      </c>
      <c r="G270" t="n">
        <v>0.6</v>
      </c>
      <c r="H270" t="n">
        <v>0</v>
      </c>
      <c r="I270" t="n">
        <v>0</v>
      </c>
      <c r="J270" t="n">
        <v>0</v>
      </c>
      <c r="K270" t="n">
        <v>0</v>
      </c>
      <c r="L270" t="n">
        <v>0</v>
      </c>
      <c r="M270" t="n">
        <v>0</v>
      </c>
      <c r="N270" t="n">
        <v>0</v>
      </c>
      <c r="O270" t="n">
        <v>0</v>
      </c>
      <c r="P270" t="n">
        <v>0</v>
      </c>
      <c r="Q270" t="n">
        <v>0</v>
      </c>
      <c r="R270" s="2" t="inlineStr"/>
    </row>
    <row r="271" ht="15" customHeight="1">
      <c r="A271" t="inlineStr">
        <is>
          <t>A 7639-2025</t>
        </is>
      </c>
      <c r="B271" s="1" t="n">
        <v>45705.77465277778</v>
      </c>
      <c r="C271" s="1" t="n">
        <v>46048</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61682-2024</t>
        </is>
      </c>
      <c r="B272" s="1" t="n">
        <v>45647.48824074074</v>
      </c>
      <c r="C272" s="1" t="n">
        <v>46048</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15434-2024</t>
        </is>
      </c>
      <c r="B273" s="1" t="n">
        <v>45401.38836805556</v>
      </c>
      <c r="C273" s="1" t="n">
        <v>46048</v>
      </c>
      <c r="D273" t="inlineStr">
        <is>
          <t>GOTLANDS LÄN</t>
        </is>
      </c>
      <c r="E273" t="inlineStr">
        <is>
          <t>GOTLAND</t>
        </is>
      </c>
      <c r="G273" t="n">
        <v>2.5</v>
      </c>
      <c r="H273" t="n">
        <v>0</v>
      </c>
      <c r="I273" t="n">
        <v>0</v>
      </c>
      <c r="J273" t="n">
        <v>0</v>
      </c>
      <c r="K273" t="n">
        <v>0</v>
      </c>
      <c r="L273" t="n">
        <v>0</v>
      </c>
      <c r="M273" t="n">
        <v>0</v>
      </c>
      <c r="N273" t="n">
        <v>0</v>
      </c>
      <c r="O273" t="n">
        <v>0</v>
      </c>
      <c r="P273" t="n">
        <v>0</v>
      </c>
      <c r="Q273" t="n">
        <v>0</v>
      </c>
      <c r="R273" s="2" t="inlineStr"/>
    </row>
    <row r="274" ht="15" customHeight="1">
      <c r="A274" t="inlineStr">
        <is>
          <t>A 45106-2024</t>
        </is>
      </c>
      <c r="B274" s="1" t="n">
        <v>45575</v>
      </c>
      <c r="C274" s="1" t="n">
        <v>46048</v>
      </c>
      <c r="D274" t="inlineStr">
        <is>
          <t>GOTLANDS LÄN</t>
        </is>
      </c>
      <c r="E274" t="inlineStr">
        <is>
          <t>GOTLAND</t>
        </is>
      </c>
      <c r="G274" t="n">
        <v>10</v>
      </c>
      <c r="H274" t="n">
        <v>0</v>
      </c>
      <c r="I274" t="n">
        <v>0</v>
      </c>
      <c r="J274" t="n">
        <v>0</v>
      </c>
      <c r="K274" t="n">
        <v>0</v>
      </c>
      <c r="L274" t="n">
        <v>0</v>
      </c>
      <c r="M274" t="n">
        <v>0</v>
      </c>
      <c r="N274" t="n">
        <v>0</v>
      </c>
      <c r="O274" t="n">
        <v>0</v>
      </c>
      <c r="P274" t="n">
        <v>0</v>
      </c>
      <c r="Q274" t="n">
        <v>0</v>
      </c>
      <c r="R274" s="2" t="inlineStr"/>
    </row>
    <row r="275" ht="15" customHeight="1">
      <c r="A275" t="inlineStr">
        <is>
          <t>A 45112-2024</t>
        </is>
      </c>
      <c r="B275" s="1" t="n">
        <v>45575</v>
      </c>
      <c r="C275" s="1" t="n">
        <v>46048</v>
      </c>
      <c r="D275" t="inlineStr">
        <is>
          <t>GOTLANDS LÄN</t>
        </is>
      </c>
      <c r="E275" t="inlineStr">
        <is>
          <t>GOTLAND</t>
        </is>
      </c>
      <c r="G275" t="n">
        <v>5.1</v>
      </c>
      <c r="H275" t="n">
        <v>0</v>
      </c>
      <c r="I275" t="n">
        <v>0</v>
      </c>
      <c r="J275" t="n">
        <v>0</v>
      </c>
      <c r="K275" t="n">
        <v>0</v>
      </c>
      <c r="L275" t="n">
        <v>0</v>
      </c>
      <c r="M275" t="n">
        <v>0</v>
      </c>
      <c r="N275" t="n">
        <v>0</v>
      </c>
      <c r="O275" t="n">
        <v>0</v>
      </c>
      <c r="P275" t="n">
        <v>0</v>
      </c>
      <c r="Q275" t="n">
        <v>0</v>
      </c>
      <c r="R275" s="2" t="inlineStr"/>
    </row>
    <row r="276" ht="15" customHeight="1">
      <c r="A276" t="inlineStr">
        <is>
          <t>A 21651-2025</t>
        </is>
      </c>
      <c r="B276" s="1" t="n">
        <v>45783</v>
      </c>
      <c r="C276" s="1" t="n">
        <v>46048</v>
      </c>
      <c r="D276" t="inlineStr">
        <is>
          <t>GOTLANDS LÄN</t>
        </is>
      </c>
      <c r="E276" t="inlineStr">
        <is>
          <t>GOTLAND</t>
        </is>
      </c>
      <c r="G276" t="n">
        <v>4.2</v>
      </c>
      <c r="H276" t="n">
        <v>0</v>
      </c>
      <c r="I276" t="n">
        <v>0</v>
      </c>
      <c r="J276" t="n">
        <v>0</v>
      </c>
      <c r="K276" t="n">
        <v>0</v>
      </c>
      <c r="L276" t="n">
        <v>0</v>
      </c>
      <c r="M276" t="n">
        <v>0</v>
      </c>
      <c r="N276" t="n">
        <v>0</v>
      </c>
      <c r="O276" t="n">
        <v>0</v>
      </c>
      <c r="P276" t="n">
        <v>0</v>
      </c>
      <c r="Q276" t="n">
        <v>0</v>
      </c>
      <c r="R276" s="2" t="inlineStr"/>
    </row>
    <row r="277" ht="15" customHeight="1">
      <c r="A277" t="inlineStr">
        <is>
          <t>A 7026-2023</t>
        </is>
      </c>
      <c r="B277" s="1" t="n">
        <v>44968.30340277778</v>
      </c>
      <c r="C277" s="1" t="n">
        <v>46048</v>
      </c>
      <c r="D277" t="inlineStr">
        <is>
          <t>GOTLANDS LÄN</t>
        </is>
      </c>
      <c r="E277" t="inlineStr">
        <is>
          <t>GOTLAND</t>
        </is>
      </c>
      <c r="G277" t="n">
        <v>2.9</v>
      </c>
      <c r="H277" t="n">
        <v>0</v>
      </c>
      <c r="I277" t="n">
        <v>0</v>
      </c>
      <c r="J277" t="n">
        <v>0</v>
      </c>
      <c r="K277" t="n">
        <v>0</v>
      </c>
      <c r="L277" t="n">
        <v>0</v>
      </c>
      <c r="M277" t="n">
        <v>0</v>
      </c>
      <c r="N277" t="n">
        <v>0</v>
      </c>
      <c r="O277" t="n">
        <v>0</v>
      </c>
      <c r="P277" t="n">
        <v>0</v>
      </c>
      <c r="Q277" t="n">
        <v>0</v>
      </c>
      <c r="R277" s="2" t="inlineStr"/>
    </row>
    <row r="278" ht="15" customHeight="1">
      <c r="A278" t="inlineStr">
        <is>
          <t>A 7034-2023</t>
        </is>
      </c>
      <c r="B278" s="1" t="n">
        <v>44968.32108796296</v>
      </c>
      <c r="C278" s="1" t="n">
        <v>46048</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7042-2023</t>
        </is>
      </c>
      <c r="B279" s="1" t="n">
        <v>44968</v>
      </c>
      <c r="C279" s="1" t="n">
        <v>46048</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52892-2021</t>
        </is>
      </c>
      <c r="B280" s="1" t="n">
        <v>44467.49048611111</v>
      </c>
      <c r="C280" s="1" t="n">
        <v>46048</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1351-2025</t>
        </is>
      </c>
      <c r="B281" s="1" t="n">
        <v>45667.62246527777</v>
      </c>
      <c r="C281" s="1" t="n">
        <v>46048</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2180-2025</t>
        </is>
      </c>
      <c r="B282" s="1" t="n">
        <v>45673</v>
      </c>
      <c r="C282" s="1" t="n">
        <v>46048</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49874-2024</t>
        </is>
      </c>
      <c r="B283" s="1" t="n">
        <v>45597.49274305555</v>
      </c>
      <c r="C283" s="1" t="n">
        <v>46048</v>
      </c>
      <c r="D283" t="inlineStr">
        <is>
          <t>GOTLANDS LÄN</t>
        </is>
      </c>
      <c r="E283" t="inlineStr">
        <is>
          <t>GOTLAND</t>
        </is>
      </c>
      <c r="G283" t="n">
        <v>1.1</v>
      </c>
      <c r="H283" t="n">
        <v>0</v>
      </c>
      <c r="I283" t="n">
        <v>0</v>
      </c>
      <c r="J283" t="n">
        <v>0</v>
      </c>
      <c r="K283" t="n">
        <v>0</v>
      </c>
      <c r="L283" t="n">
        <v>0</v>
      </c>
      <c r="M283" t="n">
        <v>0</v>
      </c>
      <c r="N283" t="n">
        <v>0</v>
      </c>
      <c r="O283" t="n">
        <v>0</v>
      </c>
      <c r="P283" t="n">
        <v>0</v>
      </c>
      <c r="Q283" t="n">
        <v>0</v>
      </c>
      <c r="R283" s="2" t="inlineStr"/>
    </row>
    <row r="284" ht="15" customHeight="1">
      <c r="A284" t="inlineStr">
        <is>
          <t>A 54074-2022</t>
        </is>
      </c>
      <c r="B284" s="1" t="n">
        <v>44881</v>
      </c>
      <c r="C284" s="1" t="n">
        <v>46048</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61694-2023</t>
        </is>
      </c>
      <c r="B285" s="1" t="n">
        <v>45264</v>
      </c>
      <c r="C285" s="1" t="n">
        <v>46048</v>
      </c>
      <c r="D285" t="inlineStr">
        <is>
          <t>GOTLANDS LÄN</t>
        </is>
      </c>
      <c r="E285" t="inlineStr">
        <is>
          <t>GOTLAND</t>
        </is>
      </c>
      <c r="G285" t="n">
        <v>4.6</v>
      </c>
      <c r="H285" t="n">
        <v>0</v>
      </c>
      <c r="I285" t="n">
        <v>0</v>
      </c>
      <c r="J285" t="n">
        <v>0</v>
      </c>
      <c r="K285" t="n">
        <v>0</v>
      </c>
      <c r="L285" t="n">
        <v>0</v>
      </c>
      <c r="M285" t="n">
        <v>0</v>
      </c>
      <c r="N285" t="n">
        <v>0</v>
      </c>
      <c r="O285" t="n">
        <v>0</v>
      </c>
      <c r="P285" t="n">
        <v>0</v>
      </c>
      <c r="Q285" t="n">
        <v>0</v>
      </c>
      <c r="R285" s="2" t="inlineStr"/>
    </row>
    <row r="286" ht="15" customHeight="1">
      <c r="A286" t="inlineStr">
        <is>
          <t>A 64208-2021</t>
        </is>
      </c>
      <c r="B286" s="1" t="n">
        <v>44510</v>
      </c>
      <c r="C286" s="1" t="n">
        <v>46048</v>
      </c>
      <c r="D286" t="inlineStr">
        <is>
          <t>GOTLANDS LÄN</t>
        </is>
      </c>
      <c r="E286" t="inlineStr">
        <is>
          <t>GOTLAND</t>
        </is>
      </c>
      <c r="G286" t="n">
        <v>4.7</v>
      </c>
      <c r="H286" t="n">
        <v>0</v>
      </c>
      <c r="I286" t="n">
        <v>0</v>
      </c>
      <c r="J286" t="n">
        <v>0</v>
      </c>
      <c r="K286" t="n">
        <v>0</v>
      </c>
      <c r="L286" t="n">
        <v>0</v>
      </c>
      <c r="M286" t="n">
        <v>0</v>
      </c>
      <c r="N286" t="n">
        <v>0</v>
      </c>
      <c r="O286" t="n">
        <v>0</v>
      </c>
      <c r="P286" t="n">
        <v>0</v>
      </c>
      <c r="Q286" t="n">
        <v>0</v>
      </c>
      <c r="R286" s="2" t="inlineStr"/>
    </row>
    <row r="287" ht="15" customHeight="1">
      <c r="A287" t="inlineStr">
        <is>
          <t>A 21420-2024</t>
        </is>
      </c>
      <c r="B287" s="1" t="n">
        <v>45441.38293981482</v>
      </c>
      <c r="C287" s="1" t="n">
        <v>46048</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46048</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57356-2023</t>
        </is>
      </c>
      <c r="B289" s="1" t="n">
        <v>45240</v>
      </c>
      <c r="C289" s="1" t="n">
        <v>46048</v>
      </c>
      <c r="D289" t="inlineStr">
        <is>
          <t>GOTLANDS LÄN</t>
        </is>
      </c>
      <c r="E289" t="inlineStr">
        <is>
          <t>GOTLAND</t>
        </is>
      </c>
      <c r="G289" t="n">
        <v>6.4</v>
      </c>
      <c r="H289" t="n">
        <v>0</v>
      </c>
      <c r="I289" t="n">
        <v>0</v>
      </c>
      <c r="J289" t="n">
        <v>0</v>
      </c>
      <c r="K289" t="n">
        <v>0</v>
      </c>
      <c r="L289" t="n">
        <v>0</v>
      </c>
      <c r="M289" t="n">
        <v>0</v>
      </c>
      <c r="N289" t="n">
        <v>0</v>
      </c>
      <c r="O289" t="n">
        <v>0</v>
      </c>
      <c r="P289" t="n">
        <v>0</v>
      </c>
      <c r="Q289" t="n">
        <v>0</v>
      </c>
      <c r="R289" s="2" t="inlineStr"/>
    </row>
    <row r="290" ht="15" customHeight="1">
      <c r="A290" t="inlineStr">
        <is>
          <t>A 51782-2023</t>
        </is>
      </c>
      <c r="B290" s="1" t="n">
        <v>45222.80952546297</v>
      </c>
      <c r="C290" s="1" t="n">
        <v>46048</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28506-2023</t>
        </is>
      </c>
      <c r="B291" s="1" t="n">
        <v>45103</v>
      </c>
      <c r="C291" s="1" t="n">
        <v>46048</v>
      </c>
      <c r="D291" t="inlineStr">
        <is>
          <t>GOTLANDS LÄN</t>
        </is>
      </c>
      <c r="E291" t="inlineStr">
        <is>
          <t>GOTLAND</t>
        </is>
      </c>
      <c r="G291" t="n">
        <v>3.2</v>
      </c>
      <c r="H291" t="n">
        <v>0</v>
      </c>
      <c r="I291" t="n">
        <v>0</v>
      </c>
      <c r="J291" t="n">
        <v>0</v>
      </c>
      <c r="K291" t="n">
        <v>0</v>
      </c>
      <c r="L291" t="n">
        <v>0</v>
      </c>
      <c r="M291" t="n">
        <v>0</v>
      </c>
      <c r="N291" t="n">
        <v>0</v>
      </c>
      <c r="O291" t="n">
        <v>0</v>
      </c>
      <c r="P291" t="n">
        <v>0</v>
      </c>
      <c r="Q291" t="n">
        <v>0</v>
      </c>
      <c r="R291" s="2" t="inlineStr"/>
    </row>
    <row r="292" ht="15" customHeight="1">
      <c r="A292" t="inlineStr">
        <is>
          <t>A 54268-2022</t>
        </is>
      </c>
      <c r="B292" s="1" t="n">
        <v>44882</v>
      </c>
      <c r="C292" s="1" t="n">
        <v>46048</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10653-2023</t>
        </is>
      </c>
      <c r="B293" s="1" t="n">
        <v>44988.48859953704</v>
      </c>
      <c r="C293" s="1" t="n">
        <v>46048</v>
      </c>
      <c r="D293" t="inlineStr">
        <is>
          <t>GOTLANDS LÄN</t>
        </is>
      </c>
      <c r="E293" t="inlineStr">
        <is>
          <t>GOTLAND</t>
        </is>
      </c>
      <c r="F293" t="inlineStr">
        <is>
          <t>Kyrkan</t>
        </is>
      </c>
      <c r="G293" t="n">
        <v>3</v>
      </c>
      <c r="H293" t="n">
        <v>0</v>
      </c>
      <c r="I293" t="n">
        <v>0</v>
      </c>
      <c r="J293" t="n">
        <v>0</v>
      </c>
      <c r="K293" t="n">
        <v>0</v>
      </c>
      <c r="L293" t="n">
        <v>0</v>
      </c>
      <c r="M293" t="n">
        <v>0</v>
      </c>
      <c r="N293" t="n">
        <v>0</v>
      </c>
      <c r="O293" t="n">
        <v>0</v>
      </c>
      <c r="P293" t="n">
        <v>0</v>
      </c>
      <c r="Q293" t="n">
        <v>0</v>
      </c>
      <c r="R293" s="2" t="inlineStr"/>
    </row>
    <row r="294" ht="15" customHeight="1">
      <c r="A294" t="inlineStr">
        <is>
          <t>A 60675-2021</t>
        </is>
      </c>
      <c r="B294" s="1" t="n">
        <v>44496.64855324074</v>
      </c>
      <c r="C294" s="1" t="n">
        <v>46048</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1446-2025</t>
        </is>
      </c>
      <c r="B295" s="1" t="n">
        <v>45669.86035879629</v>
      </c>
      <c r="C295" s="1" t="n">
        <v>46048</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1462-2025</t>
        </is>
      </c>
      <c r="B296" s="1" t="n">
        <v>45670.36319444444</v>
      </c>
      <c r="C296" s="1" t="n">
        <v>46048</v>
      </c>
      <c r="D296" t="inlineStr">
        <is>
          <t>GOTLANDS LÄN</t>
        </is>
      </c>
      <c r="E296" t="inlineStr">
        <is>
          <t>GOTLAND</t>
        </is>
      </c>
      <c r="G296" t="n">
        <v>2.8</v>
      </c>
      <c r="H296" t="n">
        <v>0</v>
      </c>
      <c r="I296" t="n">
        <v>0</v>
      </c>
      <c r="J296" t="n">
        <v>0</v>
      </c>
      <c r="K296" t="n">
        <v>0</v>
      </c>
      <c r="L296" t="n">
        <v>0</v>
      </c>
      <c r="M296" t="n">
        <v>0</v>
      </c>
      <c r="N296" t="n">
        <v>0</v>
      </c>
      <c r="O296" t="n">
        <v>0</v>
      </c>
      <c r="P296" t="n">
        <v>0</v>
      </c>
      <c r="Q296" t="n">
        <v>0</v>
      </c>
      <c r="R296" s="2" t="inlineStr"/>
    </row>
    <row r="297" ht="15" customHeight="1">
      <c r="A297" t="inlineStr">
        <is>
          <t>A 23188-2025</t>
        </is>
      </c>
      <c r="B297" s="1" t="n">
        <v>45791</v>
      </c>
      <c r="C297" s="1" t="n">
        <v>46048</v>
      </c>
      <c r="D297" t="inlineStr">
        <is>
          <t>GOTLANDS LÄN</t>
        </is>
      </c>
      <c r="E297" t="inlineStr">
        <is>
          <t>GOTLAND</t>
        </is>
      </c>
      <c r="G297" t="n">
        <v>6.2</v>
      </c>
      <c r="H297" t="n">
        <v>0</v>
      </c>
      <c r="I297" t="n">
        <v>0</v>
      </c>
      <c r="J297" t="n">
        <v>0</v>
      </c>
      <c r="K297" t="n">
        <v>0</v>
      </c>
      <c r="L297" t="n">
        <v>0</v>
      </c>
      <c r="M297" t="n">
        <v>0</v>
      </c>
      <c r="N297" t="n">
        <v>0</v>
      </c>
      <c r="O297" t="n">
        <v>0</v>
      </c>
      <c r="P297" t="n">
        <v>0</v>
      </c>
      <c r="Q297" t="n">
        <v>0</v>
      </c>
      <c r="R297" s="2" t="inlineStr"/>
    </row>
    <row r="298" ht="15" customHeight="1">
      <c r="A298" t="inlineStr">
        <is>
          <t>A 57685-2022</t>
        </is>
      </c>
      <c r="B298" s="1" t="n">
        <v>44897.4777662037</v>
      </c>
      <c r="C298" s="1" t="n">
        <v>46048</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5217-2023</t>
        </is>
      </c>
      <c r="B299" s="1" t="n">
        <v>44959.39582175926</v>
      </c>
      <c r="C299" s="1" t="n">
        <v>46048</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811-2023</t>
        </is>
      </c>
      <c r="B300" s="1" t="n">
        <v>44931</v>
      </c>
      <c r="C300" s="1" t="n">
        <v>46048</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14638-2025</t>
        </is>
      </c>
      <c r="B301" s="1" t="n">
        <v>45742</v>
      </c>
      <c r="C301" s="1" t="n">
        <v>46048</v>
      </c>
      <c r="D301" t="inlineStr">
        <is>
          <t>GOTLANDS LÄN</t>
        </is>
      </c>
      <c r="E301" t="inlineStr">
        <is>
          <t>GOTLAND</t>
        </is>
      </c>
      <c r="G301" t="n">
        <v>13.4</v>
      </c>
      <c r="H301" t="n">
        <v>0</v>
      </c>
      <c r="I301" t="n">
        <v>0</v>
      </c>
      <c r="J301" t="n">
        <v>0</v>
      </c>
      <c r="K301" t="n">
        <v>0</v>
      </c>
      <c r="L301" t="n">
        <v>0</v>
      </c>
      <c r="M301" t="n">
        <v>0</v>
      </c>
      <c r="N301" t="n">
        <v>0</v>
      </c>
      <c r="O301" t="n">
        <v>0</v>
      </c>
      <c r="P301" t="n">
        <v>0</v>
      </c>
      <c r="Q301" t="n">
        <v>0</v>
      </c>
      <c r="R301" s="2" t="inlineStr"/>
    </row>
    <row r="302" ht="15" customHeight="1">
      <c r="A302" t="inlineStr">
        <is>
          <t>A 4421-2024</t>
        </is>
      </c>
      <c r="B302" s="1" t="n">
        <v>45327.45173611111</v>
      </c>
      <c r="C302" s="1" t="n">
        <v>46048</v>
      </c>
      <c r="D302" t="inlineStr">
        <is>
          <t>GOTLANDS LÄN</t>
        </is>
      </c>
      <c r="E302" t="inlineStr">
        <is>
          <t>GOTLAND</t>
        </is>
      </c>
      <c r="G302" t="n">
        <v>5.1</v>
      </c>
      <c r="H302" t="n">
        <v>0</v>
      </c>
      <c r="I302" t="n">
        <v>0</v>
      </c>
      <c r="J302" t="n">
        <v>0</v>
      </c>
      <c r="K302" t="n">
        <v>0</v>
      </c>
      <c r="L302" t="n">
        <v>0</v>
      </c>
      <c r="M302" t="n">
        <v>0</v>
      </c>
      <c r="N302" t="n">
        <v>0</v>
      </c>
      <c r="O302" t="n">
        <v>0</v>
      </c>
      <c r="P302" t="n">
        <v>0</v>
      </c>
      <c r="Q302" t="n">
        <v>0</v>
      </c>
      <c r="R302" s="2" t="inlineStr"/>
    </row>
    <row r="303" ht="15" customHeight="1">
      <c r="A303" t="inlineStr">
        <is>
          <t>A 35512-2023</t>
        </is>
      </c>
      <c r="B303" s="1" t="n">
        <v>45147.25623842593</v>
      </c>
      <c r="C303" s="1" t="n">
        <v>46048</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46048</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23856-2025</t>
        </is>
      </c>
      <c r="B305" s="1" t="n">
        <v>45793</v>
      </c>
      <c r="C305" s="1" t="n">
        <v>46048</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23473-2025</t>
        </is>
      </c>
      <c r="B306" s="1" t="n">
        <v>45792</v>
      </c>
      <c r="C306" s="1" t="n">
        <v>46048</v>
      </c>
      <c r="D306" t="inlineStr">
        <is>
          <t>GOTLANDS LÄN</t>
        </is>
      </c>
      <c r="E306" t="inlineStr">
        <is>
          <t>GOTLAND</t>
        </is>
      </c>
      <c r="G306" t="n">
        <v>3.6</v>
      </c>
      <c r="H306" t="n">
        <v>0</v>
      </c>
      <c r="I306" t="n">
        <v>0</v>
      </c>
      <c r="J306" t="n">
        <v>0</v>
      </c>
      <c r="K306" t="n">
        <v>0</v>
      </c>
      <c r="L306" t="n">
        <v>0</v>
      </c>
      <c r="M306" t="n">
        <v>0</v>
      </c>
      <c r="N306" t="n">
        <v>0</v>
      </c>
      <c r="O306" t="n">
        <v>0</v>
      </c>
      <c r="P306" t="n">
        <v>0</v>
      </c>
      <c r="Q306" t="n">
        <v>0</v>
      </c>
      <c r="R306" s="2" t="inlineStr"/>
    </row>
    <row r="307" ht="15" customHeight="1">
      <c r="A307" t="inlineStr">
        <is>
          <t>A 20165-2022</t>
        </is>
      </c>
      <c r="B307" s="1" t="n">
        <v>44698.49854166667</v>
      </c>
      <c r="C307" s="1" t="n">
        <v>46048</v>
      </c>
      <c r="D307" t="inlineStr">
        <is>
          <t>GOTLANDS LÄN</t>
        </is>
      </c>
      <c r="E307" t="inlineStr">
        <is>
          <t>GOTLAND</t>
        </is>
      </c>
      <c r="G307" t="n">
        <v>4.1</v>
      </c>
      <c r="H307" t="n">
        <v>0</v>
      </c>
      <c r="I307" t="n">
        <v>0</v>
      </c>
      <c r="J307" t="n">
        <v>0</v>
      </c>
      <c r="K307" t="n">
        <v>0</v>
      </c>
      <c r="L307" t="n">
        <v>0</v>
      </c>
      <c r="M307" t="n">
        <v>0</v>
      </c>
      <c r="N307" t="n">
        <v>0</v>
      </c>
      <c r="O307" t="n">
        <v>0</v>
      </c>
      <c r="P307" t="n">
        <v>0</v>
      </c>
      <c r="Q307" t="n">
        <v>0</v>
      </c>
      <c r="R307" s="2" t="inlineStr"/>
    </row>
    <row r="308" ht="15" customHeight="1">
      <c r="A308" t="inlineStr">
        <is>
          <t>A 3431-2025</t>
        </is>
      </c>
      <c r="B308" s="1" t="n">
        <v>45680.42935185185</v>
      </c>
      <c r="C308" s="1" t="n">
        <v>46048</v>
      </c>
      <c r="D308" t="inlineStr">
        <is>
          <t>GOTLANDS LÄN</t>
        </is>
      </c>
      <c r="E308" t="inlineStr">
        <is>
          <t>GOTLAND</t>
        </is>
      </c>
      <c r="G308" t="n">
        <v>4.8</v>
      </c>
      <c r="H308" t="n">
        <v>0</v>
      </c>
      <c r="I308" t="n">
        <v>0</v>
      </c>
      <c r="J308" t="n">
        <v>0</v>
      </c>
      <c r="K308" t="n">
        <v>0</v>
      </c>
      <c r="L308" t="n">
        <v>0</v>
      </c>
      <c r="M308" t="n">
        <v>0</v>
      </c>
      <c r="N308" t="n">
        <v>0</v>
      </c>
      <c r="O308" t="n">
        <v>0</v>
      </c>
      <c r="P308" t="n">
        <v>0</v>
      </c>
      <c r="Q308" t="n">
        <v>0</v>
      </c>
      <c r="R308" s="2" t="inlineStr"/>
    </row>
    <row r="309" ht="15" customHeight="1">
      <c r="A309" t="inlineStr">
        <is>
          <t>A 34407-2023</t>
        </is>
      </c>
      <c r="B309" s="1" t="n">
        <v>45132</v>
      </c>
      <c r="C309" s="1" t="n">
        <v>46048</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30892-2024</t>
        </is>
      </c>
      <c r="B310" s="1" t="n">
        <v>45491</v>
      </c>
      <c r="C310" s="1" t="n">
        <v>46048</v>
      </c>
      <c r="D310" t="inlineStr">
        <is>
          <t>GOTLANDS LÄN</t>
        </is>
      </c>
      <c r="E310" t="inlineStr">
        <is>
          <t>GOTLAND</t>
        </is>
      </c>
      <c r="G310" t="n">
        <v>6.1</v>
      </c>
      <c r="H310" t="n">
        <v>0</v>
      </c>
      <c r="I310" t="n">
        <v>0</v>
      </c>
      <c r="J310" t="n">
        <v>0</v>
      </c>
      <c r="K310" t="n">
        <v>0</v>
      </c>
      <c r="L310" t="n">
        <v>0</v>
      </c>
      <c r="M310" t="n">
        <v>0</v>
      </c>
      <c r="N310" t="n">
        <v>0</v>
      </c>
      <c r="O310" t="n">
        <v>0</v>
      </c>
      <c r="P310" t="n">
        <v>0</v>
      </c>
      <c r="Q310" t="n">
        <v>0</v>
      </c>
      <c r="R310" s="2" t="inlineStr"/>
    </row>
    <row r="311" ht="15" customHeight="1">
      <c r="A311" t="inlineStr">
        <is>
          <t>A 23698-2025</t>
        </is>
      </c>
      <c r="B311" s="1" t="n">
        <v>45793</v>
      </c>
      <c r="C311" s="1" t="n">
        <v>46048</v>
      </c>
      <c r="D311" t="inlineStr">
        <is>
          <t>GOTLANDS LÄN</t>
        </is>
      </c>
      <c r="E311" t="inlineStr">
        <is>
          <t>GOTLAND</t>
        </is>
      </c>
      <c r="G311" t="n">
        <v>0.8</v>
      </c>
      <c r="H311" t="n">
        <v>0</v>
      </c>
      <c r="I311" t="n">
        <v>0</v>
      </c>
      <c r="J311" t="n">
        <v>0</v>
      </c>
      <c r="K311" t="n">
        <v>0</v>
      </c>
      <c r="L311" t="n">
        <v>0</v>
      </c>
      <c r="M311" t="n">
        <v>0</v>
      </c>
      <c r="N311" t="n">
        <v>0</v>
      </c>
      <c r="O311" t="n">
        <v>0</v>
      </c>
      <c r="P311" t="n">
        <v>0</v>
      </c>
      <c r="Q311" t="n">
        <v>0</v>
      </c>
      <c r="R311" s="2" t="inlineStr"/>
    </row>
    <row r="312" ht="15" customHeight="1">
      <c r="A312" t="inlineStr">
        <is>
          <t>A 32958-2021</t>
        </is>
      </c>
      <c r="B312" s="1" t="n">
        <v>44376</v>
      </c>
      <c r="C312" s="1" t="n">
        <v>46048</v>
      </c>
      <c r="D312" t="inlineStr">
        <is>
          <t>GOTLANDS LÄN</t>
        </is>
      </c>
      <c r="E312" t="inlineStr">
        <is>
          <t>GOTLAND</t>
        </is>
      </c>
      <c r="G312" t="n">
        <v>2.2</v>
      </c>
      <c r="H312" t="n">
        <v>0</v>
      </c>
      <c r="I312" t="n">
        <v>0</v>
      </c>
      <c r="J312" t="n">
        <v>0</v>
      </c>
      <c r="K312" t="n">
        <v>0</v>
      </c>
      <c r="L312" t="n">
        <v>0</v>
      </c>
      <c r="M312" t="n">
        <v>0</v>
      </c>
      <c r="N312" t="n">
        <v>0</v>
      </c>
      <c r="O312" t="n">
        <v>0</v>
      </c>
      <c r="P312" t="n">
        <v>0</v>
      </c>
      <c r="Q312" t="n">
        <v>0</v>
      </c>
      <c r="R312" s="2" t="inlineStr"/>
    </row>
    <row r="313" ht="15" customHeight="1">
      <c r="A313" t="inlineStr">
        <is>
          <t>A 31264-2021</t>
        </is>
      </c>
      <c r="B313" s="1" t="n">
        <v>44368</v>
      </c>
      <c r="C313" s="1" t="n">
        <v>46048</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15073-2025</t>
        </is>
      </c>
      <c r="B314" s="1" t="n">
        <v>45743</v>
      </c>
      <c r="C314" s="1" t="n">
        <v>46048</v>
      </c>
      <c r="D314" t="inlineStr">
        <is>
          <t>GOTLANDS LÄN</t>
        </is>
      </c>
      <c r="E314" t="inlineStr">
        <is>
          <t>GOTLAND</t>
        </is>
      </c>
      <c r="G314" t="n">
        <v>12.1</v>
      </c>
      <c r="H314" t="n">
        <v>0</v>
      </c>
      <c r="I314" t="n">
        <v>0</v>
      </c>
      <c r="J314" t="n">
        <v>0</v>
      </c>
      <c r="K314" t="n">
        <v>0</v>
      </c>
      <c r="L314" t="n">
        <v>0</v>
      </c>
      <c r="M314" t="n">
        <v>0</v>
      </c>
      <c r="N314" t="n">
        <v>0</v>
      </c>
      <c r="O314" t="n">
        <v>0</v>
      </c>
      <c r="P314" t="n">
        <v>0</v>
      </c>
      <c r="Q314" t="n">
        <v>0</v>
      </c>
      <c r="R314" s="2" t="inlineStr"/>
    </row>
    <row r="315" ht="15" customHeight="1">
      <c r="A315" t="inlineStr">
        <is>
          <t>A 11874-2024</t>
        </is>
      </c>
      <c r="B315" s="1" t="n">
        <v>45376.46956018519</v>
      </c>
      <c r="C315" s="1" t="n">
        <v>46048</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33876-2024</t>
        </is>
      </c>
      <c r="B316" s="1" t="n">
        <v>45521.87988425926</v>
      </c>
      <c r="C316" s="1" t="n">
        <v>46048</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43223-2023</t>
        </is>
      </c>
      <c r="B317" s="1" t="n">
        <v>45183.45642361111</v>
      </c>
      <c r="C317" s="1" t="n">
        <v>46048</v>
      </c>
      <c r="D317" t="inlineStr">
        <is>
          <t>GOTLANDS LÄN</t>
        </is>
      </c>
      <c r="E317" t="inlineStr">
        <is>
          <t>GOTLAND</t>
        </is>
      </c>
      <c r="G317" t="n">
        <v>1.8</v>
      </c>
      <c r="H317" t="n">
        <v>0</v>
      </c>
      <c r="I317" t="n">
        <v>0</v>
      </c>
      <c r="J317" t="n">
        <v>0</v>
      </c>
      <c r="K317" t="n">
        <v>0</v>
      </c>
      <c r="L317" t="n">
        <v>0</v>
      </c>
      <c r="M317" t="n">
        <v>0</v>
      </c>
      <c r="N317" t="n">
        <v>0</v>
      </c>
      <c r="O317" t="n">
        <v>0</v>
      </c>
      <c r="P317" t="n">
        <v>0</v>
      </c>
      <c r="Q317" t="n">
        <v>0</v>
      </c>
      <c r="R317" s="2" t="inlineStr"/>
    </row>
    <row r="318" ht="15" customHeight="1">
      <c r="A318" t="inlineStr">
        <is>
          <t>A 7858-2025</t>
        </is>
      </c>
      <c r="B318" s="1" t="n">
        <v>45706.68633101852</v>
      </c>
      <c r="C318" s="1" t="n">
        <v>46048</v>
      </c>
      <c r="D318" t="inlineStr">
        <is>
          <t>GOTLANDS LÄN</t>
        </is>
      </c>
      <c r="E318" t="inlineStr">
        <is>
          <t>GOTLAND</t>
        </is>
      </c>
      <c r="G318" t="n">
        <v>3</v>
      </c>
      <c r="H318" t="n">
        <v>0</v>
      </c>
      <c r="I318" t="n">
        <v>0</v>
      </c>
      <c r="J318" t="n">
        <v>0</v>
      </c>
      <c r="K318" t="n">
        <v>0</v>
      </c>
      <c r="L318" t="n">
        <v>0</v>
      </c>
      <c r="M318" t="n">
        <v>0</v>
      </c>
      <c r="N318" t="n">
        <v>0</v>
      </c>
      <c r="O318" t="n">
        <v>0</v>
      </c>
      <c r="P318" t="n">
        <v>0</v>
      </c>
      <c r="Q318" t="n">
        <v>0</v>
      </c>
      <c r="R318" s="2" t="inlineStr"/>
    </row>
    <row r="319" ht="15" customHeight="1">
      <c r="A319" t="inlineStr">
        <is>
          <t>A 46545-2024</t>
        </is>
      </c>
      <c r="B319" s="1" t="n">
        <v>45582.65831018519</v>
      </c>
      <c r="C319" s="1" t="n">
        <v>46048</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61962-2024</t>
        </is>
      </c>
      <c r="B320" s="1" t="n">
        <v>45653.54340277778</v>
      </c>
      <c r="C320" s="1" t="n">
        <v>46048</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999-2023</t>
        </is>
      </c>
      <c r="B321" s="1" t="n">
        <v>44935</v>
      </c>
      <c r="C321" s="1" t="n">
        <v>46048</v>
      </c>
      <c r="D321" t="inlineStr">
        <is>
          <t>GOTLANDS LÄN</t>
        </is>
      </c>
      <c r="E321" t="inlineStr">
        <is>
          <t>GOTLAND</t>
        </is>
      </c>
      <c r="G321" t="n">
        <v>4.7</v>
      </c>
      <c r="H321" t="n">
        <v>0</v>
      </c>
      <c r="I321" t="n">
        <v>0</v>
      </c>
      <c r="J321" t="n">
        <v>0</v>
      </c>
      <c r="K321" t="n">
        <v>0</v>
      </c>
      <c r="L321" t="n">
        <v>0</v>
      </c>
      <c r="M321" t="n">
        <v>0</v>
      </c>
      <c r="N321" t="n">
        <v>0</v>
      </c>
      <c r="O321" t="n">
        <v>0</v>
      </c>
      <c r="P321" t="n">
        <v>0</v>
      </c>
      <c r="Q321" t="n">
        <v>0</v>
      </c>
      <c r="R321" s="2" t="inlineStr"/>
    </row>
    <row r="322" ht="15" customHeight="1">
      <c r="A322" t="inlineStr">
        <is>
          <t>A 1364-2025</t>
        </is>
      </c>
      <c r="B322" s="1" t="n">
        <v>45667.63929398148</v>
      </c>
      <c r="C322" s="1" t="n">
        <v>46048</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2125-2025</t>
        </is>
      </c>
      <c r="B323" s="1" t="n">
        <v>45672.64940972222</v>
      </c>
      <c r="C323" s="1" t="n">
        <v>46048</v>
      </c>
      <c r="D323" t="inlineStr">
        <is>
          <t>GOTLANDS LÄN</t>
        </is>
      </c>
      <c r="E323" t="inlineStr">
        <is>
          <t>GOTLAND</t>
        </is>
      </c>
      <c r="G323" t="n">
        <v>2.3</v>
      </c>
      <c r="H323" t="n">
        <v>0</v>
      </c>
      <c r="I323" t="n">
        <v>0</v>
      </c>
      <c r="J323" t="n">
        <v>0</v>
      </c>
      <c r="K323" t="n">
        <v>0</v>
      </c>
      <c r="L323" t="n">
        <v>0</v>
      </c>
      <c r="M323" t="n">
        <v>0</v>
      </c>
      <c r="N323" t="n">
        <v>0</v>
      </c>
      <c r="O323" t="n">
        <v>0</v>
      </c>
      <c r="P323" t="n">
        <v>0</v>
      </c>
      <c r="Q323" t="n">
        <v>0</v>
      </c>
      <c r="R323" s="2" t="inlineStr"/>
    </row>
    <row r="324" ht="15" customHeight="1">
      <c r="A324" t="inlineStr">
        <is>
          <t>A 27930-2021</t>
        </is>
      </c>
      <c r="B324" s="1" t="n">
        <v>44354</v>
      </c>
      <c r="C324" s="1" t="n">
        <v>46048</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20225-2025</t>
        </is>
      </c>
      <c r="B325" s="1" t="n">
        <v>45772.65802083333</v>
      </c>
      <c r="C325" s="1" t="n">
        <v>46048</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59469-2024</t>
        </is>
      </c>
      <c r="B326" s="1" t="n">
        <v>45638</v>
      </c>
      <c r="C326" s="1" t="n">
        <v>46048</v>
      </c>
      <c r="D326" t="inlineStr">
        <is>
          <t>GOTLANDS LÄN</t>
        </is>
      </c>
      <c r="E326" t="inlineStr">
        <is>
          <t>GOTLAND</t>
        </is>
      </c>
      <c r="G326" t="n">
        <v>0.4</v>
      </c>
      <c r="H326" t="n">
        <v>0</v>
      </c>
      <c r="I326" t="n">
        <v>0</v>
      </c>
      <c r="J326" t="n">
        <v>0</v>
      </c>
      <c r="K326" t="n">
        <v>0</v>
      </c>
      <c r="L326" t="n">
        <v>0</v>
      </c>
      <c r="M326" t="n">
        <v>0</v>
      </c>
      <c r="N326" t="n">
        <v>0</v>
      </c>
      <c r="O326" t="n">
        <v>0</v>
      </c>
      <c r="P326" t="n">
        <v>0</v>
      </c>
      <c r="Q326" t="n">
        <v>0</v>
      </c>
      <c r="R326" s="2" t="inlineStr"/>
    </row>
    <row r="327" ht="15" customHeight="1">
      <c r="A327" t="inlineStr">
        <is>
          <t>A 6749-2025</t>
        </is>
      </c>
      <c r="B327" s="1" t="n">
        <v>45700</v>
      </c>
      <c r="C327" s="1" t="n">
        <v>46048</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1677-2023</t>
        </is>
      </c>
      <c r="B328" s="1" t="n">
        <v>44938</v>
      </c>
      <c r="C328" s="1" t="n">
        <v>46048</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64831-2023</t>
        </is>
      </c>
      <c r="B329" s="1" t="n">
        <v>45282.44924768519</v>
      </c>
      <c r="C329" s="1" t="n">
        <v>46048</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14141-2024</t>
        </is>
      </c>
      <c r="B330" s="1" t="n">
        <v>45392.85193287037</v>
      </c>
      <c r="C330" s="1" t="n">
        <v>46048</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5462-2025</t>
        </is>
      </c>
      <c r="B331" s="1" t="n">
        <v>45693.29331018519</v>
      </c>
      <c r="C331" s="1" t="n">
        <v>46048</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5751-2024</t>
        </is>
      </c>
      <c r="B332" s="1" t="n">
        <v>45335.32702546296</v>
      </c>
      <c r="C332" s="1" t="n">
        <v>46048</v>
      </c>
      <c r="D332" t="inlineStr">
        <is>
          <t>GOTLANDS LÄN</t>
        </is>
      </c>
      <c r="E332" t="inlineStr">
        <is>
          <t>GOTLAND</t>
        </is>
      </c>
      <c r="G332" t="n">
        <v>4.2</v>
      </c>
      <c r="H332" t="n">
        <v>0</v>
      </c>
      <c r="I332" t="n">
        <v>0</v>
      </c>
      <c r="J332" t="n">
        <v>0</v>
      </c>
      <c r="K332" t="n">
        <v>0</v>
      </c>
      <c r="L332" t="n">
        <v>0</v>
      </c>
      <c r="M332" t="n">
        <v>0</v>
      </c>
      <c r="N332" t="n">
        <v>0</v>
      </c>
      <c r="O332" t="n">
        <v>0</v>
      </c>
      <c r="P332" t="n">
        <v>0</v>
      </c>
      <c r="Q332" t="n">
        <v>0</v>
      </c>
      <c r="R332" s="2" t="inlineStr"/>
    </row>
    <row r="333" ht="15" customHeight="1">
      <c r="A333" t="inlineStr">
        <is>
          <t>A 6696-2023</t>
        </is>
      </c>
      <c r="B333" s="1" t="n">
        <v>44966.66425925926</v>
      </c>
      <c r="C333" s="1" t="n">
        <v>46048</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28480-2023</t>
        </is>
      </c>
      <c r="B334" s="1" t="n">
        <v>45103</v>
      </c>
      <c r="C334" s="1" t="n">
        <v>46048</v>
      </c>
      <c r="D334" t="inlineStr">
        <is>
          <t>GOTLANDS LÄN</t>
        </is>
      </c>
      <c r="E334" t="inlineStr">
        <is>
          <t>GOTLAND</t>
        </is>
      </c>
      <c r="G334" t="n">
        <v>5.7</v>
      </c>
      <c r="H334" t="n">
        <v>0</v>
      </c>
      <c r="I334" t="n">
        <v>0</v>
      </c>
      <c r="J334" t="n">
        <v>0</v>
      </c>
      <c r="K334" t="n">
        <v>0</v>
      </c>
      <c r="L334" t="n">
        <v>0</v>
      </c>
      <c r="M334" t="n">
        <v>0</v>
      </c>
      <c r="N334" t="n">
        <v>0</v>
      </c>
      <c r="O334" t="n">
        <v>0</v>
      </c>
      <c r="P334" t="n">
        <v>0</v>
      </c>
      <c r="Q334" t="n">
        <v>0</v>
      </c>
      <c r="R334" s="2" t="inlineStr"/>
    </row>
    <row r="335" ht="15" customHeight="1">
      <c r="A335" t="inlineStr">
        <is>
          <t>A 28485-2023</t>
        </is>
      </c>
      <c r="B335" s="1" t="n">
        <v>45103.43731481482</v>
      </c>
      <c r="C335" s="1" t="n">
        <v>46048</v>
      </c>
      <c r="D335" t="inlineStr">
        <is>
          <t>GOTLANDS LÄN</t>
        </is>
      </c>
      <c r="E335" t="inlineStr">
        <is>
          <t>GOTLAND</t>
        </is>
      </c>
      <c r="G335" t="n">
        <v>2.3</v>
      </c>
      <c r="H335" t="n">
        <v>0</v>
      </c>
      <c r="I335" t="n">
        <v>0</v>
      </c>
      <c r="J335" t="n">
        <v>0</v>
      </c>
      <c r="K335" t="n">
        <v>0</v>
      </c>
      <c r="L335" t="n">
        <v>0</v>
      </c>
      <c r="M335" t="n">
        <v>0</v>
      </c>
      <c r="N335" t="n">
        <v>0</v>
      </c>
      <c r="O335" t="n">
        <v>0</v>
      </c>
      <c r="P335" t="n">
        <v>0</v>
      </c>
      <c r="Q335" t="n">
        <v>0</v>
      </c>
      <c r="R335" s="2" t="inlineStr"/>
    </row>
    <row r="336" ht="15" customHeight="1">
      <c r="A336" t="inlineStr">
        <is>
          <t>A 4990-2025</t>
        </is>
      </c>
      <c r="B336" s="1" t="n">
        <v>45691</v>
      </c>
      <c r="C336" s="1" t="n">
        <v>46048</v>
      </c>
      <c r="D336" t="inlineStr">
        <is>
          <t>GOTLANDS LÄN</t>
        </is>
      </c>
      <c r="E336" t="inlineStr">
        <is>
          <t>GOTLAND</t>
        </is>
      </c>
      <c r="G336" t="n">
        <v>7.7</v>
      </c>
      <c r="H336" t="n">
        <v>0</v>
      </c>
      <c r="I336" t="n">
        <v>0</v>
      </c>
      <c r="J336" t="n">
        <v>0</v>
      </c>
      <c r="K336" t="n">
        <v>0</v>
      </c>
      <c r="L336" t="n">
        <v>0</v>
      </c>
      <c r="M336" t="n">
        <v>0</v>
      </c>
      <c r="N336" t="n">
        <v>0</v>
      </c>
      <c r="O336" t="n">
        <v>0</v>
      </c>
      <c r="P336" t="n">
        <v>0</v>
      </c>
      <c r="Q336" t="n">
        <v>0</v>
      </c>
      <c r="R336" s="2" t="inlineStr"/>
    </row>
    <row r="337" ht="15" customHeight="1">
      <c r="A337" t="inlineStr">
        <is>
          <t>A 12155-2023</t>
        </is>
      </c>
      <c r="B337" s="1" t="n">
        <v>44998.49106481481</v>
      </c>
      <c r="C337" s="1" t="n">
        <v>46048</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8036-2022</t>
        </is>
      </c>
      <c r="B338" s="1" t="n">
        <v>44609.44362268518</v>
      </c>
      <c r="C338" s="1" t="n">
        <v>46048</v>
      </c>
      <c r="D338" t="inlineStr">
        <is>
          <t>GOTLANDS LÄN</t>
        </is>
      </c>
      <c r="E338" t="inlineStr">
        <is>
          <t>GOTLAND</t>
        </is>
      </c>
      <c r="G338" t="n">
        <v>6.1</v>
      </c>
      <c r="H338" t="n">
        <v>0</v>
      </c>
      <c r="I338" t="n">
        <v>0</v>
      </c>
      <c r="J338" t="n">
        <v>0</v>
      </c>
      <c r="K338" t="n">
        <v>0</v>
      </c>
      <c r="L338" t="n">
        <v>0</v>
      </c>
      <c r="M338" t="n">
        <v>0</v>
      </c>
      <c r="N338" t="n">
        <v>0</v>
      </c>
      <c r="O338" t="n">
        <v>0</v>
      </c>
      <c r="P338" t="n">
        <v>0</v>
      </c>
      <c r="Q338" t="n">
        <v>0</v>
      </c>
      <c r="R338" s="2" t="inlineStr"/>
    </row>
    <row r="339" ht="15" customHeight="1">
      <c r="A339" t="inlineStr">
        <is>
          <t>A 46375-2024</t>
        </is>
      </c>
      <c r="B339" s="1" t="n">
        <v>45582</v>
      </c>
      <c r="C339" s="1" t="n">
        <v>46048</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62915-2021</t>
        </is>
      </c>
      <c r="B340" s="1" t="n">
        <v>44504</v>
      </c>
      <c r="C340" s="1" t="n">
        <v>46048</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2774-2024</t>
        </is>
      </c>
      <c r="B341" s="1" t="n">
        <v>45314.62375</v>
      </c>
      <c r="C341" s="1" t="n">
        <v>46048</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38165-2023</t>
        </is>
      </c>
      <c r="B342" s="1" t="n">
        <v>45161</v>
      </c>
      <c r="C342" s="1" t="n">
        <v>46048</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7638-2025</t>
        </is>
      </c>
      <c r="B343" s="1" t="n">
        <v>45705.77306712963</v>
      </c>
      <c r="C343" s="1" t="n">
        <v>46048</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9947-2024</t>
        </is>
      </c>
      <c r="B344" s="1" t="n">
        <v>45363</v>
      </c>
      <c r="C344" s="1" t="n">
        <v>46048</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42007-2023</t>
        </is>
      </c>
      <c r="B345" s="1" t="n">
        <v>45177</v>
      </c>
      <c r="C345" s="1" t="n">
        <v>46048</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4377-2023</t>
        </is>
      </c>
      <c r="B346" s="1" t="n">
        <v>44955.5502662037</v>
      </c>
      <c r="C346" s="1" t="n">
        <v>46048</v>
      </c>
      <c r="D346" t="inlineStr">
        <is>
          <t>GOTLANDS LÄN</t>
        </is>
      </c>
      <c r="E346" t="inlineStr">
        <is>
          <t>GOTLAND</t>
        </is>
      </c>
      <c r="F346" t="inlineStr">
        <is>
          <t>Kyrkan</t>
        </is>
      </c>
      <c r="G346" t="n">
        <v>0.6</v>
      </c>
      <c r="H346" t="n">
        <v>0</v>
      </c>
      <c r="I346" t="n">
        <v>0</v>
      </c>
      <c r="J346" t="n">
        <v>0</v>
      </c>
      <c r="K346" t="n">
        <v>0</v>
      </c>
      <c r="L346" t="n">
        <v>0</v>
      </c>
      <c r="M346" t="n">
        <v>0</v>
      </c>
      <c r="N346" t="n">
        <v>0</v>
      </c>
      <c r="O346" t="n">
        <v>0</v>
      </c>
      <c r="P346" t="n">
        <v>0</v>
      </c>
      <c r="Q346" t="n">
        <v>0</v>
      </c>
      <c r="R346" s="2" t="inlineStr"/>
    </row>
    <row r="347" ht="15" customHeight="1">
      <c r="A347" t="inlineStr">
        <is>
          <t>A 49693-2023</t>
        </is>
      </c>
      <c r="B347" s="1" t="n">
        <v>45212.38138888889</v>
      </c>
      <c r="C347" s="1" t="n">
        <v>46048</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49697-2023</t>
        </is>
      </c>
      <c r="B348" s="1" t="n">
        <v>45212.38909722222</v>
      </c>
      <c r="C348" s="1" t="n">
        <v>46048</v>
      </c>
      <c r="D348" t="inlineStr">
        <is>
          <t>GOTLANDS LÄN</t>
        </is>
      </c>
      <c r="E348" t="inlineStr">
        <is>
          <t>GOTLAND</t>
        </is>
      </c>
      <c r="G348" t="n">
        <v>4.4</v>
      </c>
      <c r="H348" t="n">
        <v>0</v>
      </c>
      <c r="I348" t="n">
        <v>0</v>
      </c>
      <c r="J348" t="n">
        <v>0</v>
      </c>
      <c r="K348" t="n">
        <v>0</v>
      </c>
      <c r="L348" t="n">
        <v>0</v>
      </c>
      <c r="M348" t="n">
        <v>0</v>
      </c>
      <c r="N348" t="n">
        <v>0</v>
      </c>
      <c r="O348" t="n">
        <v>0</v>
      </c>
      <c r="P348" t="n">
        <v>0</v>
      </c>
      <c r="Q348" t="n">
        <v>0</v>
      </c>
      <c r="R348" s="2" t="inlineStr"/>
    </row>
    <row r="349" ht="15" customHeight="1">
      <c r="A349" t="inlineStr">
        <is>
          <t>A 25796-2025</t>
        </is>
      </c>
      <c r="B349" s="1" t="n">
        <v>45804.39543981481</v>
      </c>
      <c r="C349" s="1" t="n">
        <v>46048</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34312-2024</t>
        </is>
      </c>
      <c r="B350" s="1" t="n">
        <v>45524.69703703704</v>
      </c>
      <c r="C350" s="1" t="n">
        <v>46048</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15083-2025</t>
        </is>
      </c>
      <c r="B351" s="1" t="n">
        <v>45743</v>
      </c>
      <c r="C351" s="1" t="n">
        <v>46048</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48503-2023</t>
        </is>
      </c>
      <c r="B352" s="1" t="n">
        <v>45207</v>
      </c>
      <c r="C352" s="1" t="n">
        <v>46048</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26465-2025</t>
        </is>
      </c>
      <c r="B353" s="1" t="n">
        <v>45807.44377314814</v>
      </c>
      <c r="C353" s="1" t="n">
        <v>46048</v>
      </c>
      <c r="D353" t="inlineStr">
        <is>
          <t>GOTLANDS LÄN</t>
        </is>
      </c>
      <c r="E353" t="inlineStr">
        <is>
          <t>GOTLAND</t>
        </is>
      </c>
      <c r="G353" t="n">
        <v>4.5</v>
      </c>
      <c r="H353" t="n">
        <v>0</v>
      </c>
      <c r="I353" t="n">
        <v>0</v>
      </c>
      <c r="J353" t="n">
        <v>0</v>
      </c>
      <c r="K353" t="n">
        <v>0</v>
      </c>
      <c r="L353" t="n">
        <v>0</v>
      </c>
      <c r="M353" t="n">
        <v>0</v>
      </c>
      <c r="N353" t="n">
        <v>0</v>
      </c>
      <c r="O353" t="n">
        <v>0</v>
      </c>
      <c r="P353" t="n">
        <v>0</v>
      </c>
      <c r="Q353" t="n">
        <v>0</v>
      </c>
      <c r="R353" s="2" t="inlineStr"/>
    </row>
    <row r="354" ht="15" customHeight="1">
      <c r="A354" t="inlineStr">
        <is>
          <t>A 24825-2024</t>
        </is>
      </c>
      <c r="B354" s="1" t="n">
        <v>45461</v>
      </c>
      <c r="C354" s="1" t="n">
        <v>46048</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26457-2025</t>
        </is>
      </c>
      <c r="B355" s="1" t="n">
        <v>45807.42773148148</v>
      </c>
      <c r="C355" s="1" t="n">
        <v>46048</v>
      </c>
      <c r="D355" t="inlineStr">
        <is>
          <t>GOTLANDS LÄN</t>
        </is>
      </c>
      <c r="E355" t="inlineStr">
        <is>
          <t>GOTLAND</t>
        </is>
      </c>
      <c r="G355" t="n">
        <v>5.7</v>
      </c>
      <c r="H355" t="n">
        <v>0</v>
      </c>
      <c r="I355" t="n">
        <v>0</v>
      </c>
      <c r="J355" t="n">
        <v>0</v>
      </c>
      <c r="K355" t="n">
        <v>0</v>
      </c>
      <c r="L355" t="n">
        <v>0</v>
      </c>
      <c r="M355" t="n">
        <v>0</v>
      </c>
      <c r="N355" t="n">
        <v>0</v>
      </c>
      <c r="O355" t="n">
        <v>0</v>
      </c>
      <c r="P355" t="n">
        <v>0</v>
      </c>
      <c r="Q355" t="n">
        <v>0</v>
      </c>
      <c r="R355" s="2" t="inlineStr"/>
    </row>
    <row r="356" ht="15" customHeight="1">
      <c r="A356" t="inlineStr">
        <is>
          <t>A 26467-2025</t>
        </is>
      </c>
      <c r="B356" s="1" t="n">
        <v>45807.44640046296</v>
      </c>
      <c r="C356" s="1" t="n">
        <v>46048</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43901-2023</t>
        </is>
      </c>
      <c r="B357" s="1" t="n">
        <v>45187</v>
      </c>
      <c r="C357" s="1" t="n">
        <v>46048</v>
      </c>
      <c r="D357" t="inlineStr">
        <is>
          <t>GOTLANDS LÄN</t>
        </is>
      </c>
      <c r="E357" t="inlineStr">
        <is>
          <t>GOTLAND</t>
        </is>
      </c>
      <c r="G357" t="n">
        <v>5.4</v>
      </c>
      <c r="H357" t="n">
        <v>0</v>
      </c>
      <c r="I357" t="n">
        <v>0</v>
      </c>
      <c r="J357" t="n">
        <v>0</v>
      </c>
      <c r="K357" t="n">
        <v>0</v>
      </c>
      <c r="L357" t="n">
        <v>0</v>
      </c>
      <c r="M357" t="n">
        <v>0</v>
      </c>
      <c r="N357" t="n">
        <v>0</v>
      </c>
      <c r="O357" t="n">
        <v>0</v>
      </c>
      <c r="P357" t="n">
        <v>0</v>
      </c>
      <c r="Q357" t="n">
        <v>0</v>
      </c>
      <c r="R357" s="2" t="inlineStr"/>
    </row>
    <row r="358" ht="15" customHeight="1">
      <c r="A358" t="inlineStr">
        <is>
          <t>A 17532-2024</t>
        </is>
      </c>
      <c r="B358" s="1" t="n">
        <v>45415</v>
      </c>
      <c r="C358" s="1" t="n">
        <v>46048</v>
      </c>
      <c r="D358" t="inlineStr">
        <is>
          <t>GOTLANDS LÄN</t>
        </is>
      </c>
      <c r="E358" t="inlineStr">
        <is>
          <t>GOTLAND</t>
        </is>
      </c>
      <c r="G358" t="n">
        <v>4.3</v>
      </c>
      <c r="H358" t="n">
        <v>0</v>
      </c>
      <c r="I358" t="n">
        <v>0</v>
      </c>
      <c r="J358" t="n">
        <v>0</v>
      </c>
      <c r="K358" t="n">
        <v>0</v>
      </c>
      <c r="L358" t="n">
        <v>0</v>
      </c>
      <c r="M358" t="n">
        <v>0</v>
      </c>
      <c r="N358" t="n">
        <v>0</v>
      </c>
      <c r="O358" t="n">
        <v>0</v>
      </c>
      <c r="P358" t="n">
        <v>0</v>
      </c>
      <c r="Q358" t="n">
        <v>0</v>
      </c>
      <c r="R358" s="2" t="inlineStr"/>
    </row>
    <row r="359" ht="15" customHeight="1">
      <c r="A359" t="inlineStr">
        <is>
          <t>A 45692-2023</t>
        </is>
      </c>
      <c r="B359" s="1" t="n">
        <v>45195</v>
      </c>
      <c r="C359" s="1" t="n">
        <v>46048</v>
      </c>
      <c r="D359" t="inlineStr">
        <is>
          <t>GOTLANDS LÄN</t>
        </is>
      </c>
      <c r="E359" t="inlineStr">
        <is>
          <t>GOTLAND</t>
        </is>
      </c>
      <c r="G359" t="n">
        <v>5.3</v>
      </c>
      <c r="H359" t="n">
        <v>0</v>
      </c>
      <c r="I359" t="n">
        <v>0</v>
      </c>
      <c r="J359" t="n">
        <v>0</v>
      </c>
      <c r="K359" t="n">
        <v>0</v>
      </c>
      <c r="L359" t="n">
        <v>0</v>
      </c>
      <c r="M359" t="n">
        <v>0</v>
      </c>
      <c r="N359" t="n">
        <v>0</v>
      </c>
      <c r="O359" t="n">
        <v>0</v>
      </c>
      <c r="P359" t="n">
        <v>0</v>
      </c>
      <c r="Q359" t="n">
        <v>0</v>
      </c>
      <c r="R359" s="2" t="inlineStr"/>
    </row>
    <row r="360" ht="15" customHeight="1">
      <c r="A360" t="inlineStr">
        <is>
          <t>A 22031-2024</t>
        </is>
      </c>
      <c r="B360" s="1" t="n">
        <v>45443.60075231481</v>
      </c>
      <c r="C360" s="1" t="n">
        <v>46048</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17688-2024</t>
        </is>
      </c>
      <c r="B361" s="1" t="n">
        <v>45418.43575231481</v>
      </c>
      <c r="C361" s="1" t="n">
        <v>46048</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26660-2025</t>
        </is>
      </c>
      <c r="B362" s="1" t="n">
        <v>45810.39737268518</v>
      </c>
      <c r="C362" s="1" t="n">
        <v>46048</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1066-2024</t>
        </is>
      </c>
      <c r="B363" s="1" t="n">
        <v>45302.285</v>
      </c>
      <c r="C363" s="1" t="n">
        <v>46048</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27694-2024</t>
        </is>
      </c>
      <c r="B364" s="1" t="n">
        <v>45475</v>
      </c>
      <c r="C364" s="1" t="n">
        <v>46048</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37202-2024</t>
        </is>
      </c>
      <c r="B365" s="1" t="n">
        <v>45539.67310185185</v>
      </c>
      <c r="C365" s="1" t="n">
        <v>46048</v>
      </c>
      <c r="D365" t="inlineStr">
        <is>
          <t>GOTLANDS LÄN</t>
        </is>
      </c>
      <c r="E365" t="inlineStr">
        <is>
          <t>GOTLAND</t>
        </is>
      </c>
      <c r="G365" t="n">
        <v>0.3</v>
      </c>
      <c r="H365" t="n">
        <v>0</v>
      </c>
      <c r="I365" t="n">
        <v>0</v>
      </c>
      <c r="J365" t="n">
        <v>0</v>
      </c>
      <c r="K365" t="n">
        <v>0</v>
      </c>
      <c r="L365" t="n">
        <v>0</v>
      </c>
      <c r="M365" t="n">
        <v>0</v>
      </c>
      <c r="N365" t="n">
        <v>0</v>
      </c>
      <c r="O365" t="n">
        <v>0</v>
      </c>
      <c r="P365" t="n">
        <v>0</v>
      </c>
      <c r="Q365" t="n">
        <v>0</v>
      </c>
      <c r="R365" s="2" t="inlineStr"/>
    </row>
    <row r="366" ht="15" customHeight="1">
      <c r="A366" t="inlineStr">
        <is>
          <t>A 39764-2022</t>
        </is>
      </c>
      <c r="B366" s="1" t="n">
        <v>44819</v>
      </c>
      <c r="C366" s="1" t="n">
        <v>46048</v>
      </c>
      <c r="D366" t="inlineStr">
        <is>
          <t>GOTLANDS LÄN</t>
        </is>
      </c>
      <c r="E366" t="inlineStr">
        <is>
          <t>GOTLAND</t>
        </is>
      </c>
      <c r="F366" t="inlineStr">
        <is>
          <t>Kyrkan</t>
        </is>
      </c>
      <c r="G366" t="n">
        <v>3.7</v>
      </c>
      <c r="H366" t="n">
        <v>0</v>
      </c>
      <c r="I366" t="n">
        <v>0</v>
      </c>
      <c r="J366" t="n">
        <v>0</v>
      </c>
      <c r="K366" t="n">
        <v>0</v>
      </c>
      <c r="L366" t="n">
        <v>0</v>
      </c>
      <c r="M366" t="n">
        <v>0</v>
      </c>
      <c r="N366" t="n">
        <v>0</v>
      </c>
      <c r="O366" t="n">
        <v>0</v>
      </c>
      <c r="P366" t="n">
        <v>0</v>
      </c>
      <c r="Q366" t="n">
        <v>0</v>
      </c>
      <c r="R366" s="2" t="inlineStr"/>
    </row>
    <row r="367" ht="15" customHeight="1">
      <c r="A367" t="inlineStr">
        <is>
          <t>A 6099-2024</t>
        </is>
      </c>
      <c r="B367" s="1" t="n">
        <v>45337</v>
      </c>
      <c r="C367" s="1" t="n">
        <v>46048</v>
      </c>
      <c r="D367" t="inlineStr">
        <is>
          <t>GOTLANDS LÄN</t>
        </is>
      </c>
      <c r="E367" t="inlineStr">
        <is>
          <t>GOTLAND</t>
        </is>
      </c>
      <c r="G367" t="n">
        <v>12.6</v>
      </c>
      <c r="H367" t="n">
        <v>0</v>
      </c>
      <c r="I367" t="n">
        <v>0</v>
      </c>
      <c r="J367" t="n">
        <v>0</v>
      </c>
      <c r="K367" t="n">
        <v>0</v>
      </c>
      <c r="L367" t="n">
        <v>0</v>
      </c>
      <c r="M367" t="n">
        <v>0</v>
      </c>
      <c r="N367" t="n">
        <v>0</v>
      </c>
      <c r="O367" t="n">
        <v>0</v>
      </c>
      <c r="P367" t="n">
        <v>0</v>
      </c>
      <c r="Q367" t="n">
        <v>0</v>
      </c>
      <c r="R367" s="2" t="inlineStr"/>
    </row>
    <row r="368" ht="15" customHeight="1">
      <c r="A368" t="inlineStr">
        <is>
          <t>A 27355-2025</t>
        </is>
      </c>
      <c r="B368" s="1" t="n">
        <v>45812</v>
      </c>
      <c r="C368" s="1" t="n">
        <v>46048</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8260-2023</t>
        </is>
      </c>
      <c r="B369" s="1" t="n">
        <v>44974.61608796296</v>
      </c>
      <c r="C369" s="1" t="n">
        <v>46048</v>
      </c>
      <c r="D369" t="inlineStr">
        <is>
          <t>GOTLANDS LÄN</t>
        </is>
      </c>
      <c r="E369" t="inlineStr">
        <is>
          <t>GOTLAND</t>
        </is>
      </c>
      <c r="G369" t="n">
        <v>2.9</v>
      </c>
      <c r="H369" t="n">
        <v>0</v>
      </c>
      <c r="I369" t="n">
        <v>0</v>
      </c>
      <c r="J369" t="n">
        <v>0</v>
      </c>
      <c r="K369" t="n">
        <v>0</v>
      </c>
      <c r="L369" t="n">
        <v>0</v>
      </c>
      <c r="M369" t="n">
        <v>0</v>
      </c>
      <c r="N369" t="n">
        <v>0</v>
      </c>
      <c r="O369" t="n">
        <v>0</v>
      </c>
      <c r="P369" t="n">
        <v>0</v>
      </c>
      <c r="Q369" t="n">
        <v>0</v>
      </c>
      <c r="R369" s="2" t="inlineStr"/>
    </row>
    <row r="370" ht="15" customHeight="1">
      <c r="A370" t="inlineStr">
        <is>
          <t>A 37222-2021</t>
        </is>
      </c>
      <c r="B370" s="1" t="n">
        <v>44396</v>
      </c>
      <c r="C370" s="1" t="n">
        <v>46048</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27371-2025</t>
        </is>
      </c>
      <c r="B371" s="1" t="n">
        <v>45812</v>
      </c>
      <c r="C371" s="1" t="n">
        <v>46048</v>
      </c>
      <c r="D371" t="inlineStr">
        <is>
          <t>GOTLANDS LÄN</t>
        </is>
      </c>
      <c r="E371" t="inlineStr">
        <is>
          <t>GOTLAND</t>
        </is>
      </c>
      <c r="G371" t="n">
        <v>8</v>
      </c>
      <c r="H371" t="n">
        <v>0</v>
      </c>
      <c r="I371" t="n">
        <v>0</v>
      </c>
      <c r="J371" t="n">
        <v>0</v>
      </c>
      <c r="K371" t="n">
        <v>0</v>
      </c>
      <c r="L371" t="n">
        <v>0</v>
      </c>
      <c r="M371" t="n">
        <v>0</v>
      </c>
      <c r="N371" t="n">
        <v>0</v>
      </c>
      <c r="O371" t="n">
        <v>0</v>
      </c>
      <c r="P371" t="n">
        <v>0</v>
      </c>
      <c r="Q371" t="n">
        <v>0</v>
      </c>
      <c r="R371" s="2" t="inlineStr"/>
    </row>
    <row r="372" ht="15" customHeight="1">
      <c r="A372" t="inlineStr">
        <is>
          <t>A 30815-2023</t>
        </is>
      </c>
      <c r="B372" s="1" t="n">
        <v>45112</v>
      </c>
      <c r="C372" s="1" t="n">
        <v>46048</v>
      </c>
      <c r="D372" t="inlineStr">
        <is>
          <t>GOTLANDS LÄN</t>
        </is>
      </c>
      <c r="E372" t="inlineStr">
        <is>
          <t>GOTLAND</t>
        </is>
      </c>
      <c r="G372" t="n">
        <v>6</v>
      </c>
      <c r="H372" t="n">
        <v>0</v>
      </c>
      <c r="I372" t="n">
        <v>0</v>
      </c>
      <c r="J372" t="n">
        <v>0</v>
      </c>
      <c r="K372" t="n">
        <v>0</v>
      </c>
      <c r="L372" t="n">
        <v>0</v>
      </c>
      <c r="M372" t="n">
        <v>0</v>
      </c>
      <c r="N372" t="n">
        <v>0</v>
      </c>
      <c r="O372" t="n">
        <v>0</v>
      </c>
      <c r="P372" t="n">
        <v>0</v>
      </c>
      <c r="Q372" t="n">
        <v>0</v>
      </c>
      <c r="R372" s="2" t="inlineStr"/>
    </row>
    <row r="373" ht="15" customHeight="1">
      <c r="A373" t="inlineStr">
        <is>
          <t>A 22287-2022</t>
        </is>
      </c>
      <c r="B373" s="1" t="n">
        <v>44712</v>
      </c>
      <c r="C373" s="1" t="n">
        <v>46048</v>
      </c>
      <c r="D373" t="inlineStr">
        <is>
          <t>GOTLANDS LÄN</t>
        </is>
      </c>
      <c r="E373" t="inlineStr">
        <is>
          <t>GOTLAND</t>
        </is>
      </c>
      <c r="G373" t="n">
        <v>6.1</v>
      </c>
      <c r="H373" t="n">
        <v>0</v>
      </c>
      <c r="I373" t="n">
        <v>0</v>
      </c>
      <c r="J373" t="n">
        <v>0</v>
      </c>
      <c r="K373" t="n">
        <v>0</v>
      </c>
      <c r="L373" t="n">
        <v>0</v>
      </c>
      <c r="M373" t="n">
        <v>0</v>
      </c>
      <c r="N373" t="n">
        <v>0</v>
      </c>
      <c r="O373" t="n">
        <v>0</v>
      </c>
      <c r="P373" t="n">
        <v>0</v>
      </c>
      <c r="Q373" t="n">
        <v>0</v>
      </c>
      <c r="R373" s="2" t="inlineStr"/>
    </row>
    <row r="374" ht="15" customHeight="1">
      <c r="A374" t="inlineStr">
        <is>
          <t>A 46400-2023</t>
        </is>
      </c>
      <c r="B374" s="1" t="n">
        <v>45197.49290509259</v>
      </c>
      <c r="C374" s="1" t="n">
        <v>46048</v>
      </c>
      <c r="D374" t="inlineStr">
        <is>
          <t>GOTLANDS LÄN</t>
        </is>
      </c>
      <c r="E374" t="inlineStr">
        <is>
          <t>GOTLAND</t>
        </is>
      </c>
      <c r="G374" t="n">
        <v>0.8</v>
      </c>
      <c r="H374" t="n">
        <v>0</v>
      </c>
      <c r="I374" t="n">
        <v>0</v>
      </c>
      <c r="J374" t="n">
        <v>0</v>
      </c>
      <c r="K374" t="n">
        <v>0</v>
      </c>
      <c r="L374" t="n">
        <v>0</v>
      </c>
      <c r="M374" t="n">
        <v>0</v>
      </c>
      <c r="N374" t="n">
        <v>0</v>
      </c>
      <c r="O374" t="n">
        <v>0</v>
      </c>
      <c r="P374" t="n">
        <v>0</v>
      </c>
      <c r="Q374" t="n">
        <v>0</v>
      </c>
      <c r="R374" s="2" t="inlineStr"/>
    </row>
    <row r="375" ht="15" customHeight="1">
      <c r="A375" t="inlineStr">
        <is>
          <t>A 10492-2023</t>
        </is>
      </c>
      <c r="B375" s="1" t="n">
        <v>44987</v>
      </c>
      <c r="C375" s="1" t="n">
        <v>46048</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57534-2022</t>
        </is>
      </c>
      <c r="B376" s="1" t="n">
        <v>44896</v>
      </c>
      <c r="C376" s="1" t="n">
        <v>46048</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7850-2025</t>
        </is>
      </c>
      <c r="B377" s="1" t="n">
        <v>45706</v>
      </c>
      <c r="C377" s="1" t="n">
        <v>46048</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44919-2022</t>
        </is>
      </c>
      <c r="B378" s="1" t="n">
        <v>44841</v>
      </c>
      <c r="C378" s="1" t="n">
        <v>46048</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6739-2025</t>
        </is>
      </c>
      <c r="B379" s="1" t="n">
        <v>45700</v>
      </c>
      <c r="C379" s="1" t="n">
        <v>46048</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16501-2023</t>
        </is>
      </c>
      <c r="B380" s="1" t="n">
        <v>45029</v>
      </c>
      <c r="C380" s="1" t="n">
        <v>46048</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27095-2022</t>
        </is>
      </c>
      <c r="B381" s="1" t="n">
        <v>44741</v>
      </c>
      <c r="C381" s="1" t="n">
        <v>46048</v>
      </c>
      <c r="D381" t="inlineStr">
        <is>
          <t>GOTLANDS LÄN</t>
        </is>
      </c>
      <c r="E381" t="inlineStr">
        <is>
          <t>GOTLAND</t>
        </is>
      </c>
      <c r="F381" t="inlineStr">
        <is>
          <t>Övriga Aktiebolag</t>
        </is>
      </c>
      <c r="G381" t="n">
        <v>2.9</v>
      </c>
      <c r="H381" t="n">
        <v>0</v>
      </c>
      <c r="I381" t="n">
        <v>0</v>
      </c>
      <c r="J381" t="n">
        <v>0</v>
      </c>
      <c r="K381" t="n">
        <v>0</v>
      </c>
      <c r="L381" t="n">
        <v>0</v>
      </c>
      <c r="M381" t="n">
        <v>0</v>
      </c>
      <c r="N381" t="n">
        <v>0</v>
      </c>
      <c r="O381" t="n">
        <v>0</v>
      </c>
      <c r="P381" t="n">
        <v>0</v>
      </c>
      <c r="Q381" t="n">
        <v>0</v>
      </c>
      <c r="R381" s="2" t="inlineStr"/>
    </row>
    <row r="382" ht="15" customHeight="1">
      <c r="A382" t="inlineStr">
        <is>
          <t>A 458-2023</t>
        </is>
      </c>
      <c r="B382" s="1" t="n">
        <v>44929</v>
      </c>
      <c r="C382" s="1" t="n">
        <v>46048</v>
      </c>
      <c r="D382" t="inlineStr">
        <is>
          <t>GOTLANDS LÄN</t>
        </is>
      </c>
      <c r="E382" t="inlineStr">
        <is>
          <t>GOTLAND</t>
        </is>
      </c>
      <c r="G382" t="n">
        <v>3.6</v>
      </c>
      <c r="H382" t="n">
        <v>0</v>
      </c>
      <c r="I382" t="n">
        <v>0</v>
      </c>
      <c r="J382" t="n">
        <v>0</v>
      </c>
      <c r="K382" t="n">
        <v>0</v>
      </c>
      <c r="L382" t="n">
        <v>0</v>
      </c>
      <c r="M382" t="n">
        <v>0</v>
      </c>
      <c r="N382" t="n">
        <v>0</v>
      </c>
      <c r="O382" t="n">
        <v>0</v>
      </c>
      <c r="P382" t="n">
        <v>0</v>
      </c>
      <c r="Q382" t="n">
        <v>0</v>
      </c>
      <c r="R382" s="2" t="inlineStr"/>
    </row>
    <row r="383" ht="15" customHeight="1">
      <c r="A383" t="inlineStr">
        <is>
          <t>A 1291-2023</t>
        </is>
      </c>
      <c r="B383" s="1" t="n">
        <v>44936.47561342592</v>
      </c>
      <c r="C383" s="1" t="n">
        <v>46048</v>
      </c>
      <c r="D383" t="inlineStr">
        <is>
          <t>GOTLANDS LÄN</t>
        </is>
      </c>
      <c r="E383" t="inlineStr">
        <is>
          <t>GOTLAND</t>
        </is>
      </c>
      <c r="G383" t="n">
        <v>7.4</v>
      </c>
      <c r="H383" t="n">
        <v>0</v>
      </c>
      <c r="I383" t="n">
        <v>0</v>
      </c>
      <c r="J383" t="n">
        <v>0</v>
      </c>
      <c r="K383" t="n">
        <v>0</v>
      </c>
      <c r="L383" t="n">
        <v>0</v>
      </c>
      <c r="M383" t="n">
        <v>0</v>
      </c>
      <c r="N383" t="n">
        <v>0</v>
      </c>
      <c r="O383" t="n">
        <v>0</v>
      </c>
      <c r="P383" t="n">
        <v>0</v>
      </c>
      <c r="Q383" t="n">
        <v>0</v>
      </c>
      <c r="R383" s="2" t="inlineStr"/>
    </row>
    <row r="384" ht="15" customHeight="1">
      <c r="A384" t="inlineStr">
        <is>
          <t>A 8444-2025</t>
        </is>
      </c>
      <c r="B384" s="1" t="n">
        <v>45709</v>
      </c>
      <c r="C384" s="1" t="n">
        <v>46048</v>
      </c>
      <c r="D384" t="inlineStr">
        <is>
          <t>GOTLANDS LÄN</t>
        </is>
      </c>
      <c r="E384" t="inlineStr">
        <is>
          <t>GOTLAND</t>
        </is>
      </c>
      <c r="G384" t="n">
        <v>5.2</v>
      </c>
      <c r="H384" t="n">
        <v>0</v>
      </c>
      <c r="I384" t="n">
        <v>0</v>
      </c>
      <c r="J384" t="n">
        <v>0</v>
      </c>
      <c r="K384" t="n">
        <v>0</v>
      </c>
      <c r="L384" t="n">
        <v>0</v>
      </c>
      <c r="M384" t="n">
        <v>0</v>
      </c>
      <c r="N384" t="n">
        <v>0</v>
      </c>
      <c r="O384" t="n">
        <v>0</v>
      </c>
      <c r="P384" t="n">
        <v>0</v>
      </c>
      <c r="Q384" t="n">
        <v>0</v>
      </c>
      <c r="R384" s="2" t="inlineStr"/>
    </row>
    <row r="385" ht="15" customHeight="1">
      <c r="A385" t="inlineStr">
        <is>
          <t>A 19905-2025</t>
        </is>
      </c>
      <c r="B385" s="1" t="n">
        <v>45771</v>
      </c>
      <c r="C385" s="1" t="n">
        <v>46048</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64660-2023</t>
        </is>
      </c>
      <c r="B386" s="1" t="n">
        <v>45281.60122685185</v>
      </c>
      <c r="C386" s="1" t="n">
        <v>46048</v>
      </c>
      <c r="D386" t="inlineStr">
        <is>
          <t>GOTLANDS LÄN</t>
        </is>
      </c>
      <c r="E386" t="inlineStr">
        <is>
          <t>GOTLAND</t>
        </is>
      </c>
      <c r="G386" t="n">
        <v>6.3</v>
      </c>
      <c r="H386" t="n">
        <v>0</v>
      </c>
      <c r="I386" t="n">
        <v>0</v>
      </c>
      <c r="J386" t="n">
        <v>0</v>
      </c>
      <c r="K386" t="n">
        <v>0</v>
      </c>
      <c r="L386" t="n">
        <v>0</v>
      </c>
      <c r="M386" t="n">
        <v>0</v>
      </c>
      <c r="N386" t="n">
        <v>0</v>
      </c>
      <c r="O386" t="n">
        <v>0</v>
      </c>
      <c r="P386" t="n">
        <v>0</v>
      </c>
      <c r="Q386" t="n">
        <v>0</v>
      </c>
      <c r="R386" s="2" t="inlineStr"/>
    </row>
    <row r="387" ht="15" customHeight="1">
      <c r="A387" t="inlineStr">
        <is>
          <t>A 32330-2024</t>
        </is>
      </c>
      <c r="B387" s="1" t="n">
        <v>45512</v>
      </c>
      <c r="C387" s="1" t="n">
        <v>46048</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46396-2023</t>
        </is>
      </c>
      <c r="B388" s="1" t="n">
        <v>45197</v>
      </c>
      <c r="C388" s="1" t="n">
        <v>46048</v>
      </c>
      <c r="D388" t="inlineStr">
        <is>
          <t>GOTLANDS LÄN</t>
        </is>
      </c>
      <c r="E388" t="inlineStr">
        <is>
          <t>GOTLAND</t>
        </is>
      </c>
      <c r="G388" t="n">
        <v>1.4</v>
      </c>
      <c r="H388" t="n">
        <v>0</v>
      </c>
      <c r="I388" t="n">
        <v>0</v>
      </c>
      <c r="J388" t="n">
        <v>0</v>
      </c>
      <c r="K388" t="n">
        <v>0</v>
      </c>
      <c r="L388" t="n">
        <v>0</v>
      </c>
      <c r="M388" t="n">
        <v>0</v>
      </c>
      <c r="N388" t="n">
        <v>0</v>
      </c>
      <c r="O388" t="n">
        <v>0</v>
      </c>
      <c r="P388" t="n">
        <v>0</v>
      </c>
      <c r="Q388" t="n">
        <v>0</v>
      </c>
      <c r="R388" s="2" t="inlineStr"/>
    </row>
    <row r="389" ht="15" customHeight="1">
      <c r="A389" t="inlineStr">
        <is>
          <t>A 5891-2025</t>
        </is>
      </c>
      <c r="B389" s="1" t="n">
        <v>45695.38327546296</v>
      </c>
      <c r="C389" s="1" t="n">
        <v>46048</v>
      </c>
      <c r="D389" t="inlineStr">
        <is>
          <t>GOTLANDS LÄN</t>
        </is>
      </c>
      <c r="E389" t="inlineStr">
        <is>
          <t>GOTLAND</t>
        </is>
      </c>
      <c r="G389" t="n">
        <v>0.8</v>
      </c>
      <c r="H389" t="n">
        <v>0</v>
      </c>
      <c r="I389" t="n">
        <v>0</v>
      </c>
      <c r="J389" t="n">
        <v>0</v>
      </c>
      <c r="K389" t="n">
        <v>0</v>
      </c>
      <c r="L389" t="n">
        <v>0</v>
      </c>
      <c r="M389" t="n">
        <v>0</v>
      </c>
      <c r="N389" t="n">
        <v>0</v>
      </c>
      <c r="O389" t="n">
        <v>0</v>
      </c>
      <c r="P389" t="n">
        <v>0</v>
      </c>
      <c r="Q389" t="n">
        <v>0</v>
      </c>
      <c r="R389" s="2" t="inlineStr"/>
    </row>
    <row r="390" ht="15" customHeight="1">
      <c r="A390" t="inlineStr">
        <is>
          <t>A 58388-2022</t>
        </is>
      </c>
      <c r="B390" s="1" t="n">
        <v>44894</v>
      </c>
      <c r="C390" s="1" t="n">
        <v>46048</v>
      </c>
      <c r="D390" t="inlineStr">
        <is>
          <t>GOTLANDS LÄN</t>
        </is>
      </c>
      <c r="E390" t="inlineStr">
        <is>
          <t>GOTLAND</t>
        </is>
      </c>
      <c r="F390" t="inlineStr">
        <is>
          <t>Övriga statliga verk och myndigheter</t>
        </is>
      </c>
      <c r="G390" t="n">
        <v>3.1</v>
      </c>
      <c r="H390" t="n">
        <v>0</v>
      </c>
      <c r="I390" t="n">
        <v>0</v>
      </c>
      <c r="J390" t="n">
        <v>0</v>
      </c>
      <c r="K390" t="n">
        <v>0</v>
      </c>
      <c r="L390" t="n">
        <v>0</v>
      </c>
      <c r="M390" t="n">
        <v>0</v>
      </c>
      <c r="N390" t="n">
        <v>0</v>
      </c>
      <c r="O390" t="n">
        <v>0</v>
      </c>
      <c r="P390" t="n">
        <v>0</v>
      </c>
      <c r="Q390" t="n">
        <v>0</v>
      </c>
      <c r="R390" s="2" t="inlineStr"/>
    </row>
    <row r="391" ht="15" customHeight="1">
      <c r="A391" t="inlineStr">
        <is>
          <t>A 14804-2021</t>
        </is>
      </c>
      <c r="B391" s="1" t="n">
        <v>44280</v>
      </c>
      <c r="C391" s="1" t="n">
        <v>46048</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29207-2025</t>
        </is>
      </c>
      <c r="B392" s="1" t="n">
        <v>45823</v>
      </c>
      <c r="C392" s="1" t="n">
        <v>46048</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29196-2025</t>
        </is>
      </c>
      <c r="B393" s="1" t="n">
        <v>45822</v>
      </c>
      <c r="C393" s="1" t="n">
        <v>46048</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2719-2023</t>
        </is>
      </c>
      <c r="B394" s="1" t="n">
        <v>44944.55361111111</v>
      </c>
      <c r="C394" s="1" t="n">
        <v>46048</v>
      </c>
      <c r="D394" t="inlineStr">
        <is>
          <t>GOTLANDS LÄN</t>
        </is>
      </c>
      <c r="E394" t="inlineStr">
        <is>
          <t>GOTLAND</t>
        </is>
      </c>
      <c r="G394" t="n">
        <v>0.5</v>
      </c>
      <c r="H394" t="n">
        <v>0</v>
      </c>
      <c r="I394" t="n">
        <v>0</v>
      </c>
      <c r="J394" t="n">
        <v>0</v>
      </c>
      <c r="K394" t="n">
        <v>0</v>
      </c>
      <c r="L394" t="n">
        <v>0</v>
      </c>
      <c r="M394" t="n">
        <v>0</v>
      </c>
      <c r="N394" t="n">
        <v>0</v>
      </c>
      <c r="O394" t="n">
        <v>0</v>
      </c>
      <c r="P394" t="n">
        <v>0</v>
      </c>
      <c r="Q394" t="n">
        <v>0</v>
      </c>
      <c r="R394" s="2" t="inlineStr"/>
    </row>
    <row r="395" ht="15" customHeight="1">
      <c r="A395" t="inlineStr">
        <is>
          <t>A 17144-2025</t>
        </is>
      </c>
      <c r="B395" s="1" t="n">
        <v>45755.9499537037</v>
      </c>
      <c r="C395" s="1" t="n">
        <v>46048</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20855-2023</t>
        </is>
      </c>
      <c r="B396" s="1" t="n">
        <v>45058.82172453704</v>
      </c>
      <c r="C396" s="1" t="n">
        <v>46048</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49314-2024</t>
        </is>
      </c>
      <c r="B397" s="1" t="n">
        <v>45595.55893518519</v>
      </c>
      <c r="C397" s="1" t="n">
        <v>46048</v>
      </c>
      <c r="D397" t="inlineStr">
        <is>
          <t>GOTLANDS LÄN</t>
        </is>
      </c>
      <c r="E397" t="inlineStr">
        <is>
          <t>GOTLAND</t>
        </is>
      </c>
      <c r="G397" t="n">
        <v>1.1</v>
      </c>
      <c r="H397" t="n">
        <v>0</v>
      </c>
      <c r="I397" t="n">
        <v>0</v>
      </c>
      <c r="J397" t="n">
        <v>0</v>
      </c>
      <c r="K397" t="n">
        <v>0</v>
      </c>
      <c r="L397" t="n">
        <v>0</v>
      </c>
      <c r="M397" t="n">
        <v>0</v>
      </c>
      <c r="N397" t="n">
        <v>0</v>
      </c>
      <c r="O397" t="n">
        <v>0</v>
      </c>
      <c r="P397" t="n">
        <v>0</v>
      </c>
      <c r="Q397" t="n">
        <v>0</v>
      </c>
      <c r="R397" s="2" t="inlineStr"/>
    </row>
    <row r="398" ht="15" customHeight="1">
      <c r="A398" t="inlineStr">
        <is>
          <t>A 9875-2025</t>
        </is>
      </c>
      <c r="B398" s="1" t="n">
        <v>45716</v>
      </c>
      <c r="C398" s="1" t="n">
        <v>46048</v>
      </c>
      <c r="D398" t="inlineStr">
        <is>
          <t>GOTLANDS LÄN</t>
        </is>
      </c>
      <c r="E398" t="inlineStr">
        <is>
          <t>GOTLAND</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29809-2022</t>
        </is>
      </c>
      <c r="B399" s="1" t="n">
        <v>44755.8713425926</v>
      </c>
      <c r="C399" s="1" t="n">
        <v>46048</v>
      </c>
      <c r="D399" t="inlineStr">
        <is>
          <t>GOTLANDS LÄN</t>
        </is>
      </c>
      <c r="E399" t="inlineStr">
        <is>
          <t>GOTLAND</t>
        </is>
      </c>
      <c r="G399" t="n">
        <v>11.5</v>
      </c>
      <c r="H399" t="n">
        <v>0</v>
      </c>
      <c r="I399" t="n">
        <v>0</v>
      </c>
      <c r="J399" t="n">
        <v>0</v>
      </c>
      <c r="K399" t="n">
        <v>0</v>
      </c>
      <c r="L399" t="n">
        <v>0</v>
      </c>
      <c r="M399" t="n">
        <v>0</v>
      </c>
      <c r="N399" t="n">
        <v>0</v>
      </c>
      <c r="O399" t="n">
        <v>0</v>
      </c>
      <c r="P399" t="n">
        <v>0</v>
      </c>
      <c r="Q399" t="n">
        <v>0</v>
      </c>
      <c r="R399" s="2" t="inlineStr"/>
    </row>
    <row r="400" ht="15" customHeight="1">
      <c r="A400" t="inlineStr">
        <is>
          <t>A 60709-2023</t>
        </is>
      </c>
      <c r="B400" s="1" t="n">
        <v>45260</v>
      </c>
      <c r="C400" s="1" t="n">
        <v>46048</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1000-2024</t>
        </is>
      </c>
      <c r="B401" s="1" t="n">
        <v>45301.63371527778</v>
      </c>
      <c r="C401" s="1" t="n">
        <v>46048</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1010-2024</t>
        </is>
      </c>
      <c r="B402" s="1" t="n">
        <v>45301</v>
      </c>
      <c r="C402" s="1" t="n">
        <v>46048</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30061-2025</t>
        </is>
      </c>
      <c r="B403" s="1" t="n">
        <v>45826.61488425926</v>
      </c>
      <c r="C403" s="1" t="n">
        <v>46048</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65249-2023</t>
        </is>
      </c>
      <c r="B404" s="1" t="n">
        <v>45290</v>
      </c>
      <c r="C404" s="1" t="n">
        <v>46048</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16361-2024</t>
        </is>
      </c>
      <c r="B405" s="1" t="n">
        <v>45407</v>
      </c>
      <c r="C405" s="1" t="n">
        <v>46048</v>
      </c>
      <c r="D405" t="inlineStr">
        <is>
          <t>GOTLANDS LÄN</t>
        </is>
      </c>
      <c r="E405" t="inlineStr">
        <is>
          <t>GOTLAND</t>
        </is>
      </c>
      <c r="G405" t="n">
        <v>6</v>
      </c>
      <c r="H405" t="n">
        <v>0</v>
      </c>
      <c r="I405" t="n">
        <v>0</v>
      </c>
      <c r="J405" t="n">
        <v>0</v>
      </c>
      <c r="K405" t="n">
        <v>0</v>
      </c>
      <c r="L405" t="n">
        <v>0</v>
      </c>
      <c r="M405" t="n">
        <v>0</v>
      </c>
      <c r="N405" t="n">
        <v>0</v>
      </c>
      <c r="O405" t="n">
        <v>0</v>
      </c>
      <c r="P405" t="n">
        <v>0</v>
      </c>
      <c r="Q405" t="n">
        <v>0</v>
      </c>
      <c r="R405" s="2" t="inlineStr"/>
    </row>
    <row r="406" ht="15" customHeight="1">
      <c r="A406" t="inlineStr">
        <is>
          <t>A 30956-2024</t>
        </is>
      </c>
      <c r="B406" s="1" t="n">
        <v>45499.42527777778</v>
      </c>
      <c r="C406" s="1" t="n">
        <v>46048</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12596-2023</t>
        </is>
      </c>
      <c r="B407" s="1" t="n">
        <v>45000.43310185185</v>
      </c>
      <c r="C407" s="1" t="n">
        <v>46048</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43081-2022</t>
        </is>
      </c>
      <c r="B408" s="1" t="n">
        <v>44833</v>
      </c>
      <c r="C408" s="1" t="n">
        <v>46048</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8045-2022</t>
        </is>
      </c>
      <c r="B409" s="1" t="n">
        <v>44609</v>
      </c>
      <c r="C409" s="1" t="n">
        <v>46048</v>
      </c>
      <c r="D409" t="inlineStr">
        <is>
          <t>GOTLANDS LÄN</t>
        </is>
      </c>
      <c r="E409" t="inlineStr">
        <is>
          <t>GOTLAND</t>
        </is>
      </c>
      <c r="G409" t="n">
        <v>7</v>
      </c>
      <c r="H409" t="n">
        <v>0</v>
      </c>
      <c r="I409" t="n">
        <v>0</v>
      </c>
      <c r="J409" t="n">
        <v>0</v>
      </c>
      <c r="K409" t="n">
        <v>0</v>
      </c>
      <c r="L409" t="n">
        <v>0</v>
      </c>
      <c r="M409" t="n">
        <v>0</v>
      </c>
      <c r="N409" t="n">
        <v>0</v>
      </c>
      <c r="O409" t="n">
        <v>0</v>
      </c>
      <c r="P409" t="n">
        <v>0</v>
      </c>
      <c r="Q409" t="n">
        <v>0</v>
      </c>
      <c r="R409" s="2" t="inlineStr"/>
    </row>
    <row r="410" ht="15" customHeight="1">
      <c r="A410" t="inlineStr">
        <is>
          <t>A 1175-2025</t>
        </is>
      </c>
      <c r="B410" s="1" t="n">
        <v>45667.34449074074</v>
      </c>
      <c r="C410" s="1" t="n">
        <v>46048</v>
      </c>
      <c r="D410" t="inlineStr">
        <is>
          <t>GOTLANDS LÄN</t>
        </is>
      </c>
      <c r="E410" t="inlineStr">
        <is>
          <t>GOTLAND</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58160-2024</t>
        </is>
      </c>
      <c r="B411" s="1" t="n">
        <v>45632.44927083333</v>
      </c>
      <c r="C411" s="1" t="n">
        <v>46048</v>
      </c>
      <c r="D411" t="inlineStr">
        <is>
          <t>GOTLANDS LÄN</t>
        </is>
      </c>
      <c r="E411" t="inlineStr">
        <is>
          <t>GOTLAND</t>
        </is>
      </c>
      <c r="G411" t="n">
        <v>5.6</v>
      </c>
      <c r="H411" t="n">
        <v>0</v>
      </c>
      <c r="I411" t="n">
        <v>0</v>
      </c>
      <c r="J411" t="n">
        <v>0</v>
      </c>
      <c r="K411" t="n">
        <v>0</v>
      </c>
      <c r="L411" t="n">
        <v>0</v>
      </c>
      <c r="M411" t="n">
        <v>0</v>
      </c>
      <c r="N411" t="n">
        <v>0</v>
      </c>
      <c r="O411" t="n">
        <v>0</v>
      </c>
      <c r="P411" t="n">
        <v>0</v>
      </c>
      <c r="Q411" t="n">
        <v>0</v>
      </c>
      <c r="R411" s="2" t="inlineStr"/>
    </row>
    <row r="412" ht="15" customHeight="1">
      <c r="A412" t="inlineStr">
        <is>
          <t>A 42201-2023</t>
        </is>
      </c>
      <c r="B412" s="1" t="n">
        <v>45179</v>
      </c>
      <c r="C412" s="1" t="n">
        <v>46048</v>
      </c>
      <c r="D412" t="inlineStr">
        <is>
          <t>GOTLANDS LÄN</t>
        </is>
      </c>
      <c r="E412" t="inlineStr">
        <is>
          <t>GOTLAND</t>
        </is>
      </c>
      <c r="G412" t="n">
        <v>11.9</v>
      </c>
      <c r="H412" t="n">
        <v>0</v>
      </c>
      <c r="I412" t="n">
        <v>0</v>
      </c>
      <c r="J412" t="n">
        <v>0</v>
      </c>
      <c r="K412" t="n">
        <v>0</v>
      </c>
      <c r="L412" t="n">
        <v>0</v>
      </c>
      <c r="M412" t="n">
        <v>0</v>
      </c>
      <c r="N412" t="n">
        <v>0</v>
      </c>
      <c r="O412" t="n">
        <v>0</v>
      </c>
      <c r="P412" t="n">
        <v>0</v>
      </c>
      <c r="Q412" t="n">
        <v>0</v>
      </c>
      <c r="R412" s="2" t="inlineStr"/>
    </row>
    <row r="413" ht="15" customHeight="1">
      <c r="A413" t="inlineStr">
        <is>
          <t>A 3150-2025</t>
        </is>
      </c>
      <c r="B413" s="1" t="n">
        <v>45679.28974537037</v>
      </c>
      <c r="C413" s="1" t="n">
        <v>46048</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999-2024</t>
        </is>
      </c>
      <c r="B414" s="1" t="n">
        <v>45301</v>
      </c>
      <c r="C414" s="1" t="n">
        <v>46048</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65901-2021</t>
        </is>
      </c>
      <c r="B415" s="1" t="n">
        <v>44516</v>
      </c>
      <c r="C415" s="1" t="n">
        <v>46048</v>
      </c>
      <c r="D415" t="inlineStr">
        <is>
          <t>GOTLANDS LÄN</t>
        </is>
      </c>
      <c r="E415" t="inlineStr">
        <is>
          <t>GOTLAND</t>
        </is>
      </c>
      <c r="G415" t="n">
        <v>4.9</v>
      </c>
      <c r="H415" t="n">
        <v>0</v>
      </c>
      <c r="I415" t="n">
        <v>0</v>
      </c>
      <c r="J415" t="n">
        <v>0</v>
      </c>
      <c r="K415" t="n">
        <v>0</v>
      </c>
      <c r="L415" t="n">
        <v>0</v>
      </c>
      <c r="M415" t="n">
        <v>0</v>
      </c>
      <c r="N415" t="n">
        <v>0</v>
      </c>
      <c r="O415" t="n">
        <v>0</v>
      </c>
      <c r="P415" t="n">
        <v>0</v>
      </c>
      <c r="Q415" t="n">
        <v>0</v>
      </c>
      <c r="R415" s="2" t="inlineStr"/>
    </row>
    <row r="416" ht="15" customHeight="1">
      <c r="A416" t="inlineStr">
        <is>
          <t>A 47762-2023</t>
        </is>
      </c>
      <c r="B416" s="1" t="n">
        <v>45203.86256944444</v>
      </c>
      <c r="C416" s="1" t="n">
        <v>46048</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42041-2024</t>
        </is>
      </c>
      <c r="B417" s="1" t="n">
        <v>45561</v>
      </c>
      <c r="C417" s="1" t="n">
        <v>46048</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40294-2022</t>
        </is>
      </c>
      <c r="B418" s="1" t="n">
        <v>44821</v>
      </c>
      <c r="C418" s="1" t="n">
        <v>46048</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27602-2023</t>
        </is>
      </c>
      <c r="B419" s="1" t="n">
        <v>45097</v>
      </c>
      <c r="C419" s="1" t="n">
        <v>46048</v>
      </c>
      <c r="D419" t="inlineStr">
        <is>
          <t>GOTLANDS LÄN</t>
        </is>
      </c>
      <c r="E419" t="inlineStr">
        <is>
          <t>GOTLAND</t>
        </is>
      </c>
      <c r="G419" t="n">
        <v>2.7</v>
      </c>
      <c r="H419" t="n">
        <v>0</v>
      </c>
      <c r="I419" t="n">
        <v>0</v>
      </c>
      <c r="J419" t="n">
        <v>0</v>
      </c>
      <c r="K419" t="n">
        <v>0</v>
      </c>
      <c r="L419" t="n">
        <v>0</v>
      </c>
      <c r="M419" t="n">
        <v>0</v>
      </c>
      <c r="N419" t="n">
        <v>0</v>
      </c>
      <c r="O419" t="n">
        <v>0</v>
      </c>
      <c r="P419" t="n">
        <v>0</v>
      </c>
      <c r="Q419" t="n">
        <v>0</v>
      </c>
      <c r="R419" s="2" t="inlineStr"/>
    </row>
    <row r="420" ht="15" customHeight="1">
      <c r="A420" t="inlineStr">
        <is>
          <t>A 58780-2024</t>
        </is>
      </c>
      <c r="B420" s="1" t="n">
        <v>45635.84113425926</v>
      </c>
      <c r="C420" s="1" t="n">
        <v>46048</v>
      </c>
      <c r="D420" t="inlineStr">
        <is>
          <t>GOTLANDS LÄN</t>
        </is>
      </c>
      <c r="E420" t="inlineStr">
        <is>
          <t>GOTLAND</t>
        </is>
      </c>
      <c r="G420" t="n">
        <v>2.6</v>
      </c>
      <c r="H420" t="n">
        <v>0</v>
      </c>
      <c r="I420" t="n">
        <v>0</v>
      </c>
      <c r="J420" t="n">
        <v>0</v>
      </c>
      <c r="K420" t="n">
        <v>0</v>
      </c>
      <c r="L420" t="n">
        <v>0</v>
      </c>
      <c r="M420" t="n">
        <v>0</v>
      </c>
      <c r="N420" t="n">
        <v>0</v>
      </c>
      <c r="O420" t="n">
        <v>0</v>
      </c>
      <c r="P420" t="n">
        <v>0</v>
      </c>
      <c r="Q420" t="n">
        <v>0</v>
      </c>
      <c r="R420" s="2" t="inlineStr"/>
    </row>
    <row r="421" ht="15" customHeight="1">
      <c r="A421" t="inlineStr">
        <is>
          <t>A 12322-2025</t>
        </is>
      </c>
      <c r="B421" s="1" t="n">
        <v>45730</v>
      </c>
      <c r="C421" s="1" t="n">
        <v>46048</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16109-2025</t>
        </is>
      </c>
      <c r="B422" s="1" t="n">
        <v>45750</v>
      </c>
      <c r="C422" s="1" t="n">
        <v>46048</v>
      </c>
      <c r="D422" t="inlineStr">
        <is>
          <t>GOTLANDS LÄN</t>
        </is>
      </c>
      <c r="E422" t="inlineStr">
        <is>
          <t>GOTLAND</t>
        </is>
      </c>
      <c r="G422" t="n">
        <v>4.9</v>
      </c>
      <c r="H422" t="n">
        <v>0</v>
      </c>
      <c r="I422" t="n">
        <v>0</v>
      </c>
      <c r="J422" t="n">
        <v>0</v>
      </c>
      <c r="K422" t="n">
        <v>0</v>
      </c>
      <c r="L422" t="n">
        <v>0</v>
      </c>
      <c r="M422" t="n">
        <v>0</v>
      </c>
      <c r="N422" t="n">
        <v>0</v>
      </c>
      <c r="O422" t="n">
        <v>0</v>
      </c>
      <c r="P422" t="n">
        <v>0</v>
      </c>
      <c r="Q422" t="n">
        <v>0</v>
      </c>
      <c r="R422" s="2" t="inlineStr"/>
    </row>
    <row r="423" ht="15" customHeight="1">
      <c r="A423" t="inlineStr">
        <is>
          <t>A 32467-2025</t>
        </is>
      </c>
      <c r="B423" s="1" t="n">
        <v>45838.42111111111</v>
      </c>
      <c r="C423" s="1" t="n">
        <v>46048</v>
      </c>
      <c r="D423" t="inlineStr">
        <is>
          <t>GOTLANDS LÄN</t>
        </is>
      </c>
      <c r="E423" t="inlineStr">
        <is>
          <t>GOTLAND</t>
        </is>
      </c>
      <c r="G423" t="n">
        <v>4.3</v>
      </c>
      <c r="H423" t="n">
        <v>0</v>
      </c>
      <c r="I423" t="n">
        <v>0</v>
      </c>
      <c r="J423" t="n">
        <v>0</v>
      </c>
      <c r="K423" t="n">
        <v>0</v>
      </c>
      <c r="L423" t="n">
        <v>0</v>
      </c>
      <c r="M423" t="n">
        <v>0</v>
      </c>
      <c r="N423" t="n">
        <v>0</v>
      </c>
      <c r="O423" t="n">
        <v>0</v>
      </c>
      <c r="P423" t="n">
        <v>0</v>
      </c>
      <c r="Q423" t="n">
        <v>0</v>
      </c>
      <c r="R423" s="2" t="inlineStr"/>
    </row>
    <row r="424" ht="15" customHeight="1">
      <c r="A424" t="inlineStr">
        <is>
          <t>A 24192-2023</t>
        </is>
      </c>
      <c r="B424" s="1" t="n">
        <v>45079</v>
      </c>
      <c r="C424" s="1" t="n">
        <v>46048</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15436-2025</t>
        </is>
      </c>
      <c r="B425" s="1" t="n">
        <v>45747.47462962963</v>
      </c>
      <c r="C425" s="1" t="n">
        <v>46048</v>
      </c>
      <c r="D425" t="inlineStr">
        <is>
          <t>GOTLANDS LÄN</t>
        </is>
      </c>
      <c r="E425" t="inlineStr">
        <is>
          <t>GOTLAND</t>
        </is>
      </c>
      <c r="G425" t="n">
        <v>4.1</v>
      </c>
      <c r="H425" t="n">
        <v>0</v>
      </c>
      <c r="I425" t="n">
        <v>0</v>
      </c>
      <c r="J425" t="n">
        <v>0</v>
      </c>
      <c r="K425" t="n">
        <v>0</v>
      </c>
      <c r="L425" t="n">
        <v>0</v>
      </c>
      <c r="M425" t="n">
        <v>0</v>
      </c>
      <c r="N425" t="n">
        <v>0</v>
      </c>
      <c r="O425" t="n">
        <v>0</v>
      </c>
      <c r="P425" t="n">
        <v>0</v>
      </c>
      <c r="Q425" t="n">
        <v>0</v>
      </c>
      <c r="R425" s="2" t="inlineStr"/>
    </row>
    <row r="426" ht="15" customHeight="1">
      <c r="A426" t="inlineStr">
        <is>
          <t>A 30282-2022</t>
        </is>
      </c>
      <c r="B426" s="1" t="n">
        <v>44760</v>
      </c>
      <c r="C426" s="1" t="n">
        <v>46048</v>
      </c>
      <c r="D426" t="inlineStr">
        <is>
          <t>GOTLANDS LÄN</t>
        </is>
      </c>
      <c r="E426" t="inlineStr">
        <is>
          <t>GOTLAND</t>
        </is>
      </c>
      <c r="G426" t="n">
        <v>2.6</v>
      </c>
      <c r="H426" t="n">
        <v>0</v>
      </c>
      <c r="I426" t="n">
        <v>0</v>
      </c>
      <c r="J426" t="n">
        <v>0</v>
      </c>
      <c r="K426" t="n">
        <v>0</v>
      </c>
      <c r="L426" t="n">
        <v>0</v>
      </c>
      <c r="M426" t="n">
        <v>0</v>
      </c>
      <c r="N426" t="n">
        <v>0</v>
      </c>
      <c r="O426" t="n">
        <v>0</v>
      </c>
      <c r="P426" t="n">
        <v>0</v>
      </c>
      <c r="Q426" t="n">
        <v>0</v>
      </c>
      <c r="R426" s="2" t="inlineStr"/>
    </row>
    <row r="427" ht="15" customHeight="1">
      <c r="A427" t="inlineStr">
        <is>
          <t>A 7835-2024</t>
        </is>
      </c>
      <c r="B427" s="1" t="n">
        <v>45349.83138888889</v>
      </c>
      <c r="C427" s="1" t="n">
        <v>46048</v>
      </c>
      <c r="D427" t="inlineStr">
        <is>
          <t>GOTLANDS LÄN</t>
        </is>
      </c>
      <c r="E427" t="inlineStr">
        <is>
          <t>GOTLAND</t>
        </is>
      </c>
      <c r="G427" t="n">
        <v>3.8</v>
      </c>
      <c r="H427" t="n">
        <v>0</v>
      </c>
      <c r="I427" t="n">
        <v>0</v>
      </c>
      <c r="J427" t="n">
        <v>0</v>
      </c>
      <c r="K427" t="n">
        <v>0</v>
      </c>
      <c r="L427" t="n">
        <v>0</v>
      </c>
      <c r="M427" t="n">
        <v>0</v>
      </c>
      <c r="N427" t="n">
        <v>0</v>
      </c>
      <c r="O427" t="n">
        <v>0</v>
      </c>
      <c r="P427" t="n">
        <v>0</v>
      </c>
      <c r="Q427" t="n">
        <v>0</v>
      </c>
      <c r="R427" s="2" t="inlineStr"/>
    </row>
    <row r="428" ht="15" customHeight="1">
      <c r="A428" t="inlineStr">
        <is>
          <t>A 32379-2025</t>
        </is>
      </c>
      <c r="B428" s="1" t="n">
        <v>45837</v>
      </c>
      <c r="C428" s="1" t="n">
        <v>46048</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10650-2022</t>
        </is>
      </c>
      <c r="B429" s="1" t="n">
        <v>44624.57945601852</v>
      </c>
      <c r="C429" s="1" t="n">
        <v>46048</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21247-2022</t>
        </is>
      </c>
      <c r="B430" s="1" t="n">
        <v>44705.38832175926</v>
      </c>
      <c r="C430" s="1" t="n">
        <v>46048</v>
      </c>
      <c r="D430" t="inlineStr">
        <is>
          <t>GOTLANDS LÄN</t>
        </is>
      </c>
      <c r="E430" t="inlineStr">
        <is>
          <t>GOTLAND</t>
        </is>
      </c>
      <c r="G430" t="n">
        <v>16.2</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44349.55087962963</v>
      </c>
      <c r="C431" s="1" t="n">
        <v>46048</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53934-2024</t>
        </is>
      </c>
      <c r="B432" s="1" t="n">
        <v>45615</v>
      </c>
      <c r="C432" s="1" t="n">
        <v>46048</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33007-2025</t>
        </is>
      </c>
      <c r="B433" s="1" t="n">
        <v>45840</v>
      </c>
      <c r="C433" s="1" t="n">
        <v>46048</v>
      </c>
      <c r="D433" t="inlineStr">
        <is>
          <t>GOTLANDS LÄN</t>
        </is>
      </c>
      <c r="E433" t="inlineStr">
        <is>
          <t>GOTLAND</t>
        </is>
      </c>
      <c r="G433" t="n">
        <v>4.9</v>
      </c>
      <c r="H433" t="n">
        <v>0</v>
      </c>
      <c r="I433" t="n">
        <v>0</v>
      </c>
      <c r="J433" t="n">
        <v>0</v>
      </c>
      <c r="K433" t="n">
        <v>0</v>
      </c>
      <c r="L433" t="n">
        <v>0</v>
      </c>
      <c r="M433" t="n">
        <v>0</v>
      </c>
      <c r="N433" t="n">
        <v>0</v>
      </c>
      <c r="O433" t="n">
        <v>0</v>
      </c>
      <c r="P433" t="n">
        <v>0</v>
      </c>
      <c r="Q433" t="n">
        <v>0</v>
      </c>
      <c r="R433" s="2" t="inlineStr"/>
    </row>
    <row r="434" ht="15" customHeight="1">
      <c r="A434" t="inlineStr">
        <is>
          <t>A 58132-2023</t>
        </is>
      </c>
      <c r="B434" s="1" t="n">
        <v>45250</v>
      </c>
      <c r="C434" s="1" t="n">
        <v>46048</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17780-2022</t>
        </is>
      </c>
      <c r="B435" s="1" t="n">
        <v>44682.82622685185</v>
      </c>
      <c r="C435" s="1" t="n">
        <v>46048</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22899-2023</t>
        </is>
      </c>
      <c r="B436" s="1" t="n">
        <v>45072</v>
      </c>
      <c r="C436" s="1" t="n">
        <v>46048</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63516-2023</t>
        </is>
      </c>
      <c r="B437" s="1" t="n">
        <v>45274</v>
      </c>
      <c r="C437" s="1" t="n">
        <v>46048</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28425-2023</t>
        </is>
      </c>
      <c r="B438" s="1" t="n">
        <v>45102</v>
      </c>
      <c r="C438" s="1" t="n">
        <v>46048</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28285-2024</t>
        </is>
      </c>
      <c r="B439" s="1" t="n">
        <v>45477</v>
      </c>
      <c r="C439" s="1" t="n">
        <v>46048</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46048</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13037-2025</t>
        </is>
      </c>
      <c r="B441" s="1" t="n">
        <v>45734</v>
      </c>
      <c r="C441" s="1" t="n">
        <v>46048</v>
      </c>
      <c r="D441" t="inlineStr">
        <is>
          <t>GOTLANDS LÄN</t>
        </is>
      </c>
      <c r="E441" t="inlineStr">
        <is>
          <t>GOTLAND</t>
        </is>
      </c>
      <c r="G441" t="n">
        <v>9.5</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46048</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48734-2022</t>
        </is>
      </c>
      <c r="B443" s="1" t="n">
        <v>44855</v>
      </c>
      <c r="C443" s="1" t="n">
        <v>46048</v>
      </c>
      <c r="D443" t="inlineStr">
        <is>
          <t>GOTLANDS LÄN</t>
        </is>
      </c>
      <c r="E443" t="inlineStr">
        <is>
          <t>GOTLAND</t>
        </is>
      </c>
      <c r="G443" t="n">
        <v>1.6</v>
      </c>
      <c r="H443" t="n">
        <v>0</v>
      </c>
      <c r="I443" t="n">
        <v>0</v>
      </c>
      <c r="J443" t="n">
        <v>0</v>
      </c>
      <c r="K443" t="n">
        <v>0</v>
      </c>
      <c r="L443" t="n">
        <v>0</v>
      </c>
      <c r="M443" t="n">
        <v>0</v>
      </c>
      <c r="N443" t="n">
        <v>0</v>
      </c>
      <c r="O443" t="n">
        <v>0</v>
      </c>
      <c r="P443" t="n">
        <v>0</v>
      </c>
      <c r="Q443" t="n">
        <v>0</v>
      </c>
      <c r="R443" s="2" t="inlineStr"/>
    </row>
    <row r="444" ht="15" customHeight="1">
      <c r="A444" t="inlineStr">
        <is>
          <t>A 23516-2023</t>
        </is>
      </c>
      <c r="B444" s="1" t="n">
        <v>45076.93391203704</v>
      </c>
      <c r="C444" s="1" t="n">
        <v>46048</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43231-2023</t>
        </is>
      </c>
      <c r="B445" s="1" t="n">
        <v>45183.47025462963</v>
      </c>
      <c r="C445" s="1" t="n">
        <v>46048</v>
      </c>
      <c r="D445" t="inlineStr">
        <is>
          <t>GOTLANDS LÄN</t>
        </is>
      </c>
      <c r="E445" t="inlineStr">
        <is>
          <t>GOTLAND</t>
        </is>
      </c>
      <c r="G445" t="n">
        <v>3.6</v>
      </c>
      <c r="H445" t="n">
        <v>0</v>
      </c>
      <c r="I445" t="n">
        <v>0</v>
      </c>
      <c r="J445" t="n">
        <v>0</v>
      </c>
      <c r="K445" t="n">
        <v>0</v>
      </c>
      <c r="L445" t="n">
        <v>0</v>
      </c>
      <c r="M445" t="n">
        <v>0</v>
      </c>
      <c r="N445" t="n">
        <v>0</v>
      </c>
      <c r="O445" t="n">
        <v>0</v>
      </c>
      <c r="P445" t="n">
        <v>0</v>
      </c>
      <c r="Q445" t="n">
        <v>0</v>
      </c>
      <c r="R445" s="2" t="inlineStr"/>
    </row>
    <row r="446" ht="15" customHeight="1">
      <c r="A446" t="inlineStr">
        <is>
          <t>A 58230-2024</t>
        </is>
      </c>
      <c r="B446" s="1" t="n">
        <v>45632.51625</v>
      </c>
      <c r="C446" s="1" t="n">
        <v>46048</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64555-2023</t>
        </is>
      </c>
      <c r="B447" s="1" t="n">
        <v>45281</v>
      </c>
      <c r="C447" s="1" t="n">
        <v>46048</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15413-2025</t>
        </is>
      </c>
      <c r="B448" s="1" t="n">
        <v>45747.451875</v>
      </c>
      <c r="C448" s="1" t="n">
        <v>46048</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51963-2024</t>
        </is>
      </c>
      <c r="B449" s="1" t="n">
        <v>45607.64833333333</v>
      </c>
      <c r="C449" s="1" t="n">
        <v>46048</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457-2023</t>
        </is>
      </c>
      <c r="B450" s="1" t="n">
        <v>44929.87238425926</v>
      </c>
      <c r="C450" s="1" t="n">
        <v>46048</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459-2023</t>
        </is>
      </c>
      <c r="B451" s="1" t="n">
        <v>44929.87423611111</v>
      </c>
      <c r="C451" s="1" t="n">
        <v>46048</v>
      </c>
      <c r="D451" t="inlineStr">
        <is>
          <t>GOTLANDS LÄN</t>
        </is>
      </c>
      <c r="E451" t="inlineStr">
        <is>
          <t>GOTLAND</t>
        </is>
      </c>
      <c r="G451" t="n">
        <v>4.2</v>
      </c>
      <c r="H451" t="n">
        <v>0</v>
      </c>
      <c r="I451" t="n">
        <v>0</v>
      </c>
      <c r="J451" t="n">
        <v>0</v>
      </c>
      <c r="K451" t="n">
        <v>0</v>
      </c>
      <c r="L451" t="n">
        <v>0</v>
      </c>
      <c r="M451" t="n">
        <v>0</v>
      </c>
      <c r="N451" t="n">
        <v>0</v>
      </c>
      <c r="O451" t="n">
        <v>0</v>
      </c>
      <c r="P451" t="n">
        <v>0</v>
      </c>
      <c r="Q451" t="n">
        <v>0</v>
      </c>
      <c r="R451" s="2" t="inlineStr"/>
    </row>
    <row r="452" ht="15" customHeight="1">
      <c r="A452" t="inlineStr">
        <is>
          <t>A 35096-2025</t>
        </is>
      </c>
      <c r="B452" s="1" t="n">
        <v>45852.54356481481</v>
      </c>
      <c r="C452" s="1" t="n">
        <v>46048</v>
      </c>
      <c r="D452" t="inlineStr">
        <is>
          <t>GOTLANDS LÄN</t>
        </is>
      </c>
      <c r="E452" t="inlineStr">
        <is>
          <t>GOTLAND</t>
        </is>
      </c>
      <c r="F452" t="inlineStr">
        <is>
          <t>Kyrkan</t>
        </is>
      </c>
      <c r="G452" t="n">
        <v>1</v>
      </c>
      <c r="H452" t="n">
        <v>0</v>
      </c>
      <c r="I452" t="n">
        <v>0</v>
      </c>
      <c r="J452" t="n">
        <v>0</v>
      </c>
      <c r="K452" t="n">
        <v>0</v>
      </c>
      <c r="L452" t="n">
        <v>0</v>
      </c>
      <c r="M452" t="n">
        <v>0</v>
      </c>
      <c r="N452" t="n">
        <v>0</v>
      </c>
      <c r="O452" t="n">
        <v>0</v>
      </c>
      <c r="P452" t="n">
        <v>0</v>
      </c>
      <c r="Q452" t="n">
        <v>0</v>
      </c>
      <c r="R452" s="2" t="inlineStr"/>
    </row>
    <row r="453" ht="15" customHeight="1">
      <c r="A453" t="inlineStr">
        <is>
          <t>A 35123-2025</t>
        </is>
      </c>
      <c r="B453" s="1" t="n">
        <v>45852.614375</v>
      </c>
      <c r="C453" s="1" t="n">
        <v>46048</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10746-2025</t>
        </is>
      </c>
      <c r="B454" s="1" t="n">
        <v>45722.42766203704</v>
      </c>
      <c r="C454" s="1" t="n">
        <v>46048</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35290-2025</t>
        </is>
      </c>
      <c r="B455" s="1" t="n">
        <v>45854.38502314815</v>
      </c>
      <c r="C455" s="1" t="n">
        <v>46048</v>
      </c>
      <c r="D455" t="inlineStr">
        <is>
          <t>GOTLANDS LÄN</t>
        </is>
      </c>
      <c r="E455" t="inlineStr">
        <is>
          <t>GOTLAND</t>
        </is>
      </c>
      <c r="G455" t="n">
        <v>5.4</v>
      </c>
      <c r="H455" t="n">
        <v>0</v>
      </c>
      <c r="I455" t="n">
        <v>0</v>
      </c>
      <c r="J455" t="n">
        <v>0</v>
      </c>
      <c r="K455" t="n">
        <v>0</v>
      </c>
      <c r="L455" t="n">
        <v>0</v>
      </c>
      <c r="M455" t="n">
        <v>0</v>
      </c>
      <c r="N455" t="n">
        <v>0</v>
      </c>
      <c r="O455" t="n">
        <v>0</v>
      </c>
      <c r="P455" t="n">
        <v>0</v>
      </c>
      <c r="Q455" t="n">
        <v>0</v>
      </c>
      <c r="R455" s="2" t="inlineStr"/>
    </row>
    <row r="456" ht="15" customHeight="1">
      <c r="A456" t="inlineStr">
        <is>
          <t>A 876-2024</t>
        </is>
      </c>
      <c r="B456" s="1" t="n">
        <v>45301</v>
      </c>
      <c r="C456" s="1" t="n">
        <v>46048</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30104-2025</t>
        </is>
      </c>
      <c r="B457" s="1" t="n">
        <v>45826.68806712963</v>
      </c>
      <c r="C457" s="1" t="n">
        <v>46048</v>
      </c>
      <c r="D457" t="inlineStr">
        <is>
          <t>GOTLANDS LÄN</t>
        </is>
      </c>
      <c r="E457" t="inlineStr">
        <is>
          <t>GOTLAND</t>
        </is>
      </c>
      <c r="G457" t="n">
        <v>15.4</v>
      </c>
      <c r="H457" t="n">
        <v>0</v>
      </c>
      <c r="I457" t="n">
        <v>0</v>
      </c>
      <c r="J457" t="n">
        <v>0</v>
      </c>
      <c r="K457" t="n">
        <v>0</v>
      </c>
      <c r="L457" t="n">
        <v>0</v>
      </c>
      <c r="M457" t="n">
        <v>0</v>
      </c>
      <c r="N457" t="n">
        <v>0</v>
      </c>
      <c r="O457" t="n">
        <v>0</v>
      </c>
      <c r="P457" t="n">
        <v>0</v>
      </c>
      <c r="Q457" t="n">
        <v>0</v>
      </c>
      <c r="R457" s="2" t="inlineStr"/>
    </row>
    <row r="458" ht="15" customHeight="1">
      <c r="A458" t="inlineStr">
        <is>
          <t>A 32669-2024</t>
        </is>
      </c>
      <c r="B458" s="1" t="n">
        <v>45514</v>
      </c>
      <c r="C458" s="1" t="n">
        <v>46048</v>
      </c>
      <c r="D458" t="inlineStr">
        <is>
          <t>GOTLANDS LÄN</t>
        </is>
      </c>
      <c r="E458" t="inlineStr">
        <is>
          <t>GOTLAND</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26891-2024</t>
        </is>
      </c>
      <c r="B459" s="1" t="n">
        <v>45470.65540509259</v>
      </c>
      <c r="C459" s="1" t="n">
        <v>46048</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14536-2021</t>
        </is>
      </c>
      <c r="B460" s="1" t="n">
        <v>44279.66168981481</v>
      </c>
      <c r="C460" s="1" t="n">
        <v>46048</v>
      </c>
      <c r="D460" t="inlineStr">
        <is>
          <t>GOTLANDS LÄN</t>
        </is>
      </c>
      <c r="E460" t="inlineStr">
        <is>
          <t>GOTLAND</t>
        </is>
      </c>
      <c r="G460" t="n">
        <v>8.5</v>
      </c>
      <c r="H460" t="n">
        <v>0</v>
      </c>
      <c r="I460" t="n">
        <v>0</v>
      </c>
      <c r="J460" t="n">
        <v>0</v>
      </c>
      <c r="K460" t="n">
        <v>0</v>
      </c>
      <c r="L460" t="n">
        <v>0</v>
      </c>
      <c r="M460" t="n">
        <v>0</v>
      </c>
      <c r="N460" t="n">
        <v>0</v>
      </c>
      <c r="O460" t="n">
        <v>0</v>
      </c>
      <c r="P460" t="n">
        <v>0</v>
      </c>
      <c r="Q460" t="n">
        <v>0</v>
      </c>
      <c r="R460" s="2" t="inlineStr"/>
    </row>
    <row r="461" ht="15" customHeight="1">
      <c r="A461" t="inlineStr">
        <is>
          <t>A 5923-2023</t>
        </is>
      </c>
      <c r="B461" s="1" t="n">
        <v>44963.69503472222</v>
      </c>
      <c r="C461" s="1" t="n">
        <v>46048</v>
      </c>
      <c r="D461" t="inlineStr">
        <is>
          <t>GOTLANDS LÄN</t>
        </is>
      </c>
      <c r="E461" t="inlineStr">
        <is>
          <t>GOTLAND</t>
        </is>
      </c>
      <c r="G461" t="n">
        <v>2.6</v>
      </c>
      <c r="H461" t="n">
        <v>0</v>
      </c>
      <c r="I461" t="n">
        <v>0</v>
      </c>
      <c r="J461" t="n">
        <v>0</v>
      </c>
      <c r="K461" t="n">
        <v>0</v>
      </c>
      <c r="L461" t="n">
        <v>0</v>
      </c>
      <c r="M461" t="n">
        <v>0</v>
      </c>
      <c r="N461" t="n">
        <v>0</v>
      </c>
      <c r="O461" t="n">
        <v>0</v>
      </c>
      <c r="P461" t="n">
        <v>0</v>
      </c>
      <c r="Q461" t="n">
        <v>0</v>
      </c>
      <c r="R461" s="2" t="inlineStr"/>
    </row>
    <row r="462" ht="15" customHeight="1">
      <c r="A462" t="inlineStr">
        <is>
          <t>A 35537-2025</t>
        </is>
      </c>
      <c r="B462" s="1" t="n">
        <v>45856</v>
      </c>
      <c r="C462" s="1" t="n">
        <v>46048</v>
      </c>
      <c r="D462" t="inlineStr">
        <is>
          <t>GOTLANDS LÄN</t>
        </is>
      </c>
      <c r="E462" t="inlineStr">
        <is>
          <t>GOTLAND</t>
        </is>
      </c>
      <c r="G462" t="n">
        <v>16.8</v>
      </c>
      <c r="H462" t="n">
        <v>0</v>
      </c>
      <c r="I462" t="n">
        <v>0</v>
      </c>
      <c r="J462" t="n">
        <v>0</v>
      </c>
      <c r="K462" t="n">
        <v>0</v>
      </c>
      <c r="L462" t="n">
        <v>0</v>
      </c>
      <c r="M462" t="n">
        <v>0</v>
      </c>
      <c r="N462" t="n">
        <v>0</v>
      </c>
      <c r="O462" t="n">
        <v>0</v>
      </c>
      <c r="P462" t="n">
        <v>0</v>
      </c>
      <c r="Q462" t="n">
        <v>0</v>
      </c>
      <c r="R462" s="2" t="inlineStr"/>
    </row>
    <row r="463" ht="15" customHeight="1">
      <c r="A463" t="inlineStr">
        <is>
          <t>A 50482-2024</t>
        </is>
      </c>
      <c r="B463" s="1" t="n">
        <v>45601.48114583334</v>
      </c>
      <c r="C463" s="1" t="n">
        <v>46048</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5943-2024</t>
        </is>
      </c>
      <c r="B464" s="1" t="n">
        <v>45336</v>
      </c>
      <c r="C464" s="1" t="n">
        <v>46048</v>
      </c>
      <c r="D464" t="inlineStr">
        <is>
          <t>GOTLANDS LÄN</t>
        </is>
      </c>
      <c r="E464" t="inlineStr">
        <is>
          <t>GOTLAND</t>
        </is>
      </c>
      <c r="G464" t="n">
        <v>4.3</v>
      </c>
      <c r="H464" t="n">
        <v>0</v>
      </c>
      <c r="I464" t="n">
        <v>0</v>
      </c>
      <c r="J464" t="n">
        <v>0</v>
      </c>
      <c r="K464" t="n">
        <v>0</v>
      </c>
      <c r="L464" t="n">
        <v>0</v>
      </c>
      <c r="M464" t="n">
        <v>0</v>
      </c>
      <c r="N464" t="n">
        <v>0</v>
      </c>
      <c r="O464" t="n">
        <v>0</v>
      </c>
      <c r="P464" t="n">
        <v>0</v>
      </c>
      <c r="Q464" t="n">
        <v>0</v>
      </c>
      <c r="R464" s="2" t="inlineStr"/>
    </row>
    <row r="465" ht="15" customHeight="1">
      <c r="A465" t="inlineStr">
        <is>
          <t>A 38234-2023</t>
        </is>
      </c>
      <c r="B465" s="1" t="n">
        <v>45161.56663194444</v>
      </c>
      <c r="C465" s="1" t="n">
        <v>46048</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1273-2023</t>
        </is>
      </c>
      <c r="B466" s="1" t="n">
        <v>44936</v>
      </c>
      <c r="C466" s="1" t="n">
        <v>46048</v>
      </c>
      <c r="D466" t="inlineStr">
        <is>
          <t>GOTLANDS LÄN</t>
        </is>
      </c>
      <c r="E466" t="inlineStr">
        <is>
          <t>GOTLAND</t>
        </is>
      </c>
      <c r="G466" t="n">
        <v>4.5</v>
      </c>
      <c r="H466" t="n">
        <v>0</v>
      </c>
      <c r="I466" t="n">
        <v>0</v>
      </c>
      <c r="J466" t="n">
        <v>0</v>
      </c>
      <c r="K466" t="n">
        <v>0</v>
      </c>
      <c r="L466" t="n">
        <v>0</v>
      </c>
      <c r="M466" t="n">
        <v>0</v>
      </c>
      <c r="N466" t="n">
        <v>0</v>
      </c>
      <c r="O466" t="n">
        <v>0</v>
      </c>
      <c r="P466" t="n">
        <v>0</v>
      </c>
      <c r="Q466" t="n">
        <v>0</v>
      </c>
      <c r="R466" s="2" t="inlineStr"/>
    </row>
    <row r="467" ht="15" customHeight="1">
      <c r="A467" t="inlineStr">
        <is>
          <t>A 1734-2025</t>
        </is>
      </c>
      <c r="B467" s="1" t="n">
        <v>45671.3840625</v>
      </c>
      <c r="C467" s="1" t="n">
        <v>46048</v>
      </c>
      <c r="D467" t="inlineStr">
        <is>
          <t>GOTLANDS LÄN</t>
        </is>
      </c>
      <c r="E467" t="inlineStr">
        <is>
          <t>GOTLAND</t>
        </is>
      </c>
      <c r="G467" t="n">
        <v>1.9</v>
      </c>
      <c r="H467" t="n">
        <v>0</v>
      </c>
      <c r="I467" t="n">
        <v>0</v>
      </c>
      <c r="J467" t="n">
        <v>0</v>
      </c>
      <c r="K467" t="n">
        <v>0</v>
      </c>
      <c r="L467" t="n">
        <v>0</v>
      </c>
      <c r="M467" t="n">
        <v>0</v>
      </c>
      <c r="N467" t="n">
        <v>0</v>
      </c>
      <c r="O467" t="n">
        <v>0</v>
      </c>
      <c r="P467" t="n">
        <v>0</v>
      </c>
      <c r="Q467" t="n">
        <v>0</v>
      </c>
      <c r="R467" s="2" t="inlineStr"/>
    </row>
    <row r="468" ht="15" customHeight="1">
      <c r="A468" t="inlineStr">
        <is>
          <t>A 30365-2024</t>
        </is>
      </c>
      <c r="B468" s="1" t="n">
        <v>45491.3716087963</v>
      </c>
      <c r="C468" s="1" t="n">
        <v>46048</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43229-2023</t>
        </is>
      </c>
      <c r="B469" s="1" t="n">
        <v>45183.46704861111</v>
      </c>
      <c r="C469" s="1" t="n">
        <v>46048</v>
      </c>
      <c r="D469" t="inlineStr">
        <is>
          <t>GOTLANDS LÄN</t>
        </is>
      </c>
      <c r="E469" t="inlineStr">
        <is>
          <t>GOTLAND</t>
        </is>
      </c>
      <c r="G469" t="n">
        <v>7.1</v>
      </c>
      <c r="H469" t="n">
        <v>0</v>
      </c>
      <c r="I469" t="n">
        <v>0</v>
      </c>
      <c r="J469" t="n">
        <v>0</v>
      </c>
      <c r="K469" t="n">
        <v>0</v>
      </c>
      <c r="L469" t="n">
        <v>0</v>
      </c>
      <c r="M469" t="n">
        <v>0</v>
      </c>
      <c r="N469" t="n">
        <v>0</v>
      </c>
      <c r="O469" t="n">
        <v>0</v>
      </c>
      <c r="P469" t="n">
        <v>0</v>
      </c>
      <c r="Q469" t="n">
        <v>0</v>
      </c>
      <c r="R469" s="2" t="inlineStr"/>
    </row>
    <row r="470" ht="15" customHeight="1">
      <c r="A470" t="inlineStr">
        <is>
          <t>A 30488-2025</t>
        </is>
      </c>
      <c r="B470" s="1" t="n">
        <v>45830</v>
      </c>
      <c r="C470" s="1" t="n">
        <v>46048</v>
      </c>
      <c r="D470" t="inlineStr">
        <is>
          <t>GOTLANDS LÄN</t>
        </is>
      </c>
      <c r="E470" t="inlineStr">
        <is>
          <t>GOTLAND</t>
        </is>
      </c>
      <c r="F470" t="inlineStr">
        <is>
          <t>Kyrkan</t>
        </is>
      </c>
      <c r="G470" t="n">
        <v>3.9</v>
      </c>
      <c r="H470" t="n">
        <v>0</v>
      </c>
      <c r="I470" t="n">
        <v>0</v>
      </c>
      <c r="J470" t="n">
        <v>0</v>
      </c>
      <c r="K470" t="n">
        <v>0</v>
      </c>
      <c r="L470" t="n">
        <v>0</v>
      </c>
      <c r="M470" t="n">
        <v>0</v>
      </c>
      <c r="N470" t="n">
        <v>0</v>
      </c>
      <c r="O470" t="n">
        <v>0</v>
      </c>
      <c r="P470" t="n">
        <v>0</v>
      </c>
      <c r="Q470" t="n">
        <v>0</v>
      </c>
      <c r="R470" s="2" t="inlineStr"/>
    </row>
    <row r="471" ht="15" customHeight="1">
      <c r="A471" t="inlineStr">
        <is>
          <t>A 15216-2025</t>
        </is>
      </c>
      <c r="B471" s="1" t="n">
        <v>45744</v>
      </c>
      <c r="C471" s="1" t="n">
        <v>46048</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15001-2025</t>
        </is>
      </c>
      <c r="B472" s="1" t="n">
        <v>45743</v>
      </c>
      <c r="C472" s="1" t="n">
        <v>46048</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43790-2024</t>
        </is>
      </c>
      <c r="B473" s="1" t="n">
        <v>45571</v>
      </c>
      <c r="C473" s="1" t="n">
        <v>46048</v>
      </c>
      <c r="D473" t="inlineStr">
        <is>
          <t>GOTLANDS LÄN</t>
        </is>
      </c>
      <c r="E473" t="inlineStr">
        <is>
          <t>GOTLAND</t>
        </is>
      </c>
      <c r="G473" t="n">
        <v>3.5</v>
      </c>
      <c r="H473" t="n">
        <v>0</v>
      </c>
      <c r="I473" t="n">
        <v>0</v>
      </c>
      <c r="J473" t="n">
        <v>0</v>
      </c>
      <c r="K473" t="n">
        <v>0</v>
      </c>
      <c r="L473" t="n">
        <v>0</v>
      </c>
      <c r="M473" t="n">
        <v>0</v>
      </c>
      <c r="N473" t="n">
        <v>0</v>
      </c>
      <c r="O473" t="n">
        <v>0</v>
      </c>
      <c r="P473" t="n">
        <v>0</v>
      </c>
      <c r="Q473" t="n">
        <v>0</v>
      </c>
      <c r="R473" s="2" t="inlineStr"/>
    </row>
    <row r="474" ht="15" customHeight="1">
      <c r="A474" t="inlineStr">
        <is>
          <t>A 41038-2023</t>
        </is>
      </c>
      <c r="B474" s="1" t="n">
        <v>45173.60959490741</v>
      </c>
      <c r="C474" s="1" t="n">
        <v>46048</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17847-2025</t>
        </is>
      </c>
      <c r="B475" s="1" t="n">
        <v>45758</v>
      </c>
      <c r="C475" s="1" t="n">
        <v>46048</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18742-2025</t>
        </is>
      </c>
      <c r="B476" s="1" t="n">
        <v>45763</v>
      </c>
      <c r="C476" s="1" t="n">
        <v>46048</v>
      </c>
      <c r="D476" t="inlineStr">
        <is>
          <t>GOTLANDS LÄN</t>
        </is>
      </c>
      <c r="E476" t="inlineStr">
        <is>
          <t>GOTLAND</t>
        </is>
      </c>
      <c r="G476" t="n">
        <v>3.4</v>
      </c>
      <c r="H476" t="n">
        <v>0</v>
      </c>
      <c r="I476" t="n">
        <v>0</v>
      </c>
      <c r="J476" t="n">
        <v>0</v>
      </c>
      <c r="K476" t="n">
        <v>0</v>
      </c>
      <c r="L476" t="n">
        <v>0</v>
      </c>
      <c r="M476" t="n">
        <v>0</v>
      </c>
      <c r="N476" t="n">
        <v>0</v>
      </c>
      <c r="O476" t="n">
        <v>0</v>
      </c>
      <c r="P476" t="n">
        <v>0</v>
      </c>
      <c r="Q476" t="n">
        <v>0</v>
      </c>
      <c r="R476" s="2" t="inlineStr"/>
    </row>
    <row r="477" ht="15" customHeight="1">
      <c r="A477" t="inlineStr">
        <is>
          <t>A 35129-2025</t>
        </is>
      </c>
      <c r="B477" s="1" t="n">
        <v>45852.63224537037</v>
      </c>
      <c r="C477" s="1" t="n">
        <v>46048</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2674-2023</t>
        </is>
      </c>
      <c r="B478" s="1" t="n">
        <v>44944</v>
      </c>
      <c r="C478" s="1" t="n">
        <v>46048</v>
      </c>
      <c r="D478" t="inlineStr">
        <is>
          <t>GOTLANDS LÄN</t>
        </is>
      </c>
      <c r="E478" t="inlineStr">
        <is>
          <t>GOTLAND</t>
        </is>
      </c>
      <c r="G478" t="n">
        <v>2.5</v>
      </c>
      <c r="H478" t="n">
        <v>0</v>
      </c>
      <c r="I478" t="n">
        <v>0</v>
      </c>
      <c r="J478" t="n">
        <v>0</v>
      </c>
      <c r="K478" t="n">
        <v>0</v>
      </c>
      <c r="L478" t="n">
        <v>0</v>
      </c>
      <c r="M478" t="n">
        <v>0</v>
      </c>
      <c r="N478" t="n">
        <v>0</v>
      </c>
      <c r="O478" t="n">
        <v>0</v>
      </c>
      <c r="P478" t="n">
        <v>0</v>
      </c>
      <c r="Q478" t="n">
        <v>0</v>
      </c>
      <c r="R478" s="2" t="inlineStr"/>
    </row>
    <row r="479" ht="15" customHeight="1">
      <c r="A479" t="inlineStr">
        <is>
          <t>A 17724-2024</t>
        </is>
      </c>
      <c r="B479" s="1" t="n">
        <v>45418.55096064815</v>
      </c>
      <c r="C479" s="1" t="n">
        <v>46048</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61100-2022</t>
        </is>
      </c>
      <c r="B480" s="1" t="n">
        <v>44915</v>
      </c>
      <c r="C480" s="1" t="n">
        <v>46048</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23978-2023</t>
        </is>
      </c>
      <c r="B481" s="1" t="n">
        <v>45078</v>
      </c>
      <c r="C481" s="1" t="n">
        <v>46048</v>
      </c>
      <c r="D481" t="inlineStr">
        <is>
          <t>GOTLANDS LÄN</t>
        </is>
      </c>
      <c r="E481" t="inlineStr">
        <is>
          <t>GOTLAND</t>
        </is>
      </c>
      <c r="F481" t="inlineStr">
        <is>
          <t>Naturvårdsverket</t>
        </is>
      </c>
      <c r="G481" t="n">
        <v>1.7</v>
      </c>
      <c r="H481" t="n">
        <v>0</v>
      </c>
      <c r="I481" t="n">
        <v>0</v>
      </c>
      <c r="J481" t="n">
        <v>0</v>
      </c>
      <c r="K481" t="n">
        <v>0</v>
      </c>
      <c r="L481" t="n">
        <v>0</v>
      </c>
      <c r="M481" t="n">
        <v>0</v>
      </c>
      <c r="N481" t="n">
        <v>0</v>
      </c>
      <c r="O481" t="n">
        <v>0</v>
      </c>
      <c r="P481" t="n">
        <v>0</v>
      </c>
      <c r="Q481" t="n">
        <v>0</v>
      </c>
      <c r="R481" s="2" t="inlineStr"/>
    </row>
    <row r="482" ht="15" customHeight="1">
      <c r="A482" t="inlineStr">
        <is>
          <t>A 49884-2023</t>
        </is>
      </c>
      <c r="B482" s="1" t="n">
        <v>45213</v>
      </c>
      <c r="C482" s="1" t="n">
        <v>46048</v>
      </c>
      <c r="D482" t="inlineStr">
        <is>
          <t>GOTLANDS LÄN</t>
        </is>
      </c>
      <c r="E482" t="inlineStr">
        <is>
          <t>GOTLAND</t>
        </is>
      </c>
      <c r="G482" t="n">
        <v>8.9</v>
      </c>
      <c r="H482" t="n">
        <v>0</v>
      </c>
      <c r="I482" t="n">
        <v>0</v>
      </c>
      <c r="J482" t="n">
        <v>0</v>
      </c>
      <c r="K482" t="n">
        <v>0</v>
      </c>
      <c r="L482" t="n">
        <v>0</v>
      </c>
      <c r="M482" t="n">
        <v>0</v>
      </c>
      <c r="N482" t="n">
        <v>0</v>
      </c>
      <c r="O482" t="n">
        <v>0</v>
      </c>
      <c r="P482" t="n">
        <v>0</v>
      </c>
      <c r="Q482" t="n">
        <v>0</v>
      </c>
      <c r="R482" s="2" t="inlineStr"/>
    </row>
    <row r="483" ht="15" customHeight="1">
      <c r="A483" t="inlineStr">
        <is>
          <t>A 12846-2025</t>
        </is>
      </c>
      <c r="B483" s="1" t="n">
        <v>45733.65049768519</v>
      </c>
      <c r="C483" s="1" t="n">
        <v>46048</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43200-2023</t>
        </is>
      </c>
      <c r="B484" s="1" t="n">
        <v>45183</v>
      </c>
      <c r="C484" s="1" t="n">
        <v>46048</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3935-2025</t>
        </is>
      </c>
      <c r="B485" s="1" t="n">
        <v>45684.46070601852</v>
      </c>
      <c r="C485" s="1" t="n">
        <v>46048</v>
      </c>
      <c r="D485" t="inlineStr">
        <is>
          <t>GOTLANDS LÄN</t>
        </is>
      </c>
      <c r="E485" t="inlineStr">
        <is>
          <t>GOTLAND</t>
        </is>
      </c>
      <c r="G485" t="n">
        <v>2.6</v>
      </c>
      <c r="H485" t="n">
        <v>0</v>
      </c>
      <c r="I485" t="n">
        <v>0</v>
      </c>
      <c r="J485" t="n">
        <v>0</v>
      </c>
      <c r="K485" t="n">
        <v>0</v>
      </c>
      <c r="L485" t="n">
        <v>0</v>
      </c>
      <c r="M485" t="n">
        <v>0</v>
      </c>
      <c r="N485" t="n">
        <v>0</v>
      </c>
      <c r="O485" t="n">
        <v>0</v>
      </c>
      <c r="P485" t="n">
        <v>0</v>
      </c>
      <c r="Q485" t="n">
        <v>0</v>
      </c>
      <c r="R485" s="2" t="inlineStr"/>
    </row>
    <row r="486" ht="15" customHeight="1">
      <c r="A486" t="inlineStr">
        <is>
          <t>A 581-2023</t>
        </is>
      </c>
      <c r="B486" s="1" t="n">
        <v>44930</v>
      </c>
      <c r="C486" s="1" t="n">
        <v>46048</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24966-2023</t>
        </is>
      </c>
      <c r="B487" s="1" t="n">
        <v>45085</v>
      </c>
      <c r="C487" s="1" t="n">
        <v>46048</v>
      </c>
      <c r="D487" t="inlineStr">
        <is>
          <t>GOTLANDS LÄN</t>
        </is>
      </c>
      <c r="E487" t="inlineStr">
        <is>
          <t>GOTLAND</t>
        </is>
      </c>
      <c r="G487" t="n">
        <v>7</v>
      </c>
      <c r="H487" t="n">
        <v>0</v>
      </c>
      <c r="I487" t="n">
        <v>0</v>
      </c>
      <c r="J487" t="n">
        <v>0</v>
      </c>
      <c r="K487" t="n">
        <v>0</v>
      </c>
      <c r="L487" t="n">
        <v>0</v>
      </c>
      <c r="M487" t="n">
        <v>0</v>
      </c>
      <c r="N487" t="n">
        <v>0</v>
      </c>
      <c r="O487" t="n">
        <v>0</v>
      </c>
      <c r="P487" t="n">
        <v>0</v>
      </c>
      <c r="Q487" t="n">
        <v>0</v>
      </c>
      <c r="R487" s="2" t="inlineStr"/>
    </row>
    <row r="488" ht="15" customHeight="1">
      <c r="A488" t="inlineStr">
        <is>
          <t>A 57652-2023</t>
        </is>
      </c>
      <c r="B488" s="1" t="n">
        <v>45246</v>
      </c>
      <c r="C488" s="1" t="n">
        <v>46048</v>
      </c>
      <c r="D488" t="inlineStr">
        <is>
          <t>GOTLANDS LÄN</t>
        </is>
      </c>
      <c r="E488" t="inlineStr">
        <is>
          <t>GOTLAND</t>
        </is>
      </c>
      <c r="G488" t="n">
        <v>7.2</v>
      </c>
      <c r="H488" t="n">
        <v>0</v>
      </c>
      <c r="I488" t="n">
        <v>0</v>
      </c>
      <c r="J488" t="n">
        <v>0</v>
      </c>
      <c r="K488" t="n">
        <v>0</v>
      </c>
      <c r="L488" t="n">
        <v>0</v>
      </c>
      <c r="M488" t="n">
        <v>0</v>
      </c>
      <c r="N488" t="n">
        <v>0</v>
      </c>
      <c r="O488" t="n">
        <v>0</v>
      </c>
      <c r="P488" t="n">
        <v>0</v>
      </c>
      <c r="Q488" t="n">
        <v>0</v>
      </c>
      <c r="R488" s="2" t="inlineStr"/>
    </row>
    <row r="489" ht="15" customHeight="1">
      <c r="A489" t="inlineStr">
        <is>
          <t>A 21792-2024</t>
        </is>
      </c>
      <c r="B489" s="1" t="n">
        <v>45442.64326388889</v>
      </c>
      <c r="C489" s="1" t="n">
        <v>46048</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10655-2023</t>
        </is>
      </c>
      <c r="B490" s="1" t="n">
        <v>44988.49543981482</v>
      </c>
      <c r="C490" s="1" t="n">
        <v>46048</v>
      </c>
      <c r="D490" t="inlineStr">
        <is>
          <t>GOTLANDS LÄN</t>
        </is>
      </c>
      <c r="E490" t="inlineStr">
        <is>
          <t>GOTLAND</t>
        </is>
      </c>
      <c r="F490" t="inlineStr">
        <is>
          <t>Kyrkan</t>
        </is>
      </c>
      <c r="G490" t="n">
        <v>2</v>
      </c>
      <c r="H490" t="n">
        <v>0</v>
      </c>
      <c r="I490" t="n">
        <v>0</v>
      </c>
      <c r="J490" t="n">
        <v>0</v>
      </c>
      <c r="K490" t="n">
        <v>0</v>
      </c>
      <c r="L490" t="n">
        <v>0</v>
      </c>
      <c r="M490" t="n">
        <v>0</v>
      </c>
      <c r="N490" t="n">
        <v>0</v>
      </c>
      <c r="O490" t="n">
        <v>0</v>
      </c>
      <c r="P490" t="n">
        <v>0</v>
      </c>
      <c r="Q490" t="n">
        <v>0</v>
      </c>
      <c r="R490" s="2" t="inlineStr"/>
    </row>
    <row r="491" ht="15" customHeight="1">
      <c r="A491" t="inlineStr">
        <is>
          <t>A 12599-2025</t>
        </is>
      </c>
      <c r="B491" s="1" t="n">
        <v>45733.29546296296</v>
      </c>
      <c r="C491" s="1" t="n">
        <v>46048</v>
      </c>
      <c r="D491" t="inlineStr">
        <is>
          <t>GOTLANDS LÄN</t>
        </is>
      </c>
      <c r="E491" t="inlineStr">
        <is>
          <t>GOTLAND</t>
        </is>
      </c>
      <c r="G491" t="n">
        <v>4.7</v>
      </c>
      <c r="H491" t="n">
        <v>0</v>
      </c>
      <c r="I491" t="n">
        <v>0</v>
      </c>
      <c r="J491" t="n">
        <v>0</v>
      </c>
      <c r="K491" t="n">
        <v>0</v>
      </c>
      <c r="L491" t="n">
        <v>0</v>
      </c>
      <c r="M491" t="n">
        <v>0</v>
      </c>
      <c r="N491" t="n">
        <v>0</v>
      </c>
      <c r="O491" t="n">
        <v>0</v>
      </c>
      <c r="P491" t="n">
        <v>0</v>
      </c>
      <c r="Q491" t="n">
        <v>0</v>
      </c>
      <c r="R491" s="2" t="inlineStr"/>
    </row>
    <row r="492" ht="15" customHeight="1">
      <c r="A492" t="inlineStr">
        <is>
          <t>A 30489-2025</t>
        </is>
      </c>
      <c r="B492" s="1" t="n">
        <v>45830</v>
      </c>
      <c r="C492" s="1" t="n">
        <v>46048</v>
      </c>
      <c r="D492" t="inlineStr">
        <is>
          <t>GOTLANDS LÄN</t>
        </is>
      </c>
      <c r="E492" t="inlineStr">
        <is>
          <t>GOTLAND</t>
        </is>
      </c>
      <c r="G492" t="n">
        <v>4.6</v>
      </c>
      <c r="H492" t="n">
        <v>0</v>
      </c>
      <c r="I492" t="n">
        <v>0</v>
      </c>
      <c r="J492" t="n">
        <v>0</v>
      </c>
      <c r="K492" t="n">
        <v>0</v>
      </c>
      <c r="L492" t="n">
        <v>0</v>
      </c>
      <c r="M492" t="n">
        <v>0</v>
      </c>
      <c r="N492" t="n">
        <v>0</v>
      </c>
      <c r="O492" t="n">
        <v>0</v>
      </c>
      <c r="P492" t="n">
        <v>0</v>
      </c>
      <c r="Q492" t="n">
        <v>0</v>
      </c>
      <c r="R492" s="2" t="inlineStr"/>
    </row>
    <row r="493" ht="15" customHeight="1">
      <c r="A493" t="inlineStr">
        <is>
          <t>A 21142-2025</t>
        </is>
      </c>
      <c r="B493" s="1" t="n">
        <v>45779</v>
      </c>
      <c r="C493" s="1" t="n">
        <v>46048</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6108-2025</t>
        </is>
      </c>
      <c r="B494" s="1" t="n">
        <v>45698.29880787037</v>
      </c>
      <c r="C494" s="1" t="n">
        <v>46048</v>
      </c>
      <c r="D494" t="inlineStr">
        <is>
          <t>GOTLANDS LÄN</t>
        </is>
      </c>
      <c r="E494" t="inlineStr">
        <is>
          <t>GOTLAND</t>
        </is>
      </c>
      <c r="G494" t="n">
        <v>2.8</v>
      </c>
      <c r="H494" t="n">
        <v>0</v>
      </c>
      <c r="I494" t="n">
        <v>0</v>
      </c>
      <c r="J494" t="n">
        <v>0</v>
      </c>
      <c r="K494" t="n">
        <v>0</v>
      </c>
      <c r="L494" t="n">
        <v>0</v>
      </c>
      <c r="M494" t="n">
        <v>0</v>
      </c>
      <c r="N494" t="n">
        <v>0</v>
      </c>
      <c r="O494" t="n">
        <v>0</v>
      </c>
      <c r="P494" t="n">
        <v>0</v>
      </c>
      <c r="Q494" t="n">
        <v>0</v>
      </c>
      <c r="R494" s="2" t="inlineStr"/>
    </row>
    <row r="495" ht="15" customHeight="1">
      <c r="A495" t="inlineStr">
        <is>
          <t>A 17343-2025</t>
        </is>
      </c>
      <c r="B495" s="1" t="n">
        <v>45756.6687037037</v>
      </c>
      <c r="C495" s="1" t="n">
        <v>46048</v>
      </c>
      <c r="D495" t="inlineStr">
        <is>
          <t>GOTLANDS LÄN</t>
        </is>
      </c>
      <c r="E495" t="inlineStr">
        <is>
          <t>GOTLAND</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18938-2025</t>
        </is>
      </c>
      <c r="B496" s="1" t="n">
        <v>45764.49172453704</v>
      </c>
      <c r="C496" s="1" t="n">
        <v>46048</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20307-2025</t>
        </is>
      </c>
      <c r="B497" s="1" t="n">
        <v>45774.95546296296</v>
      </c>
      <c r="C497" s="1" t="n">
        <v>46048</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44649-2021</t>
        </is>
      </c>
      <c r="B498" s="1" t="n">
        <v>44437</v>
      </c>
      <c r="C498" s="1" t="n">
        <v>46048</v>
      </c>
      <c r="D498" t="inlineStr">
        <is>
          <t>GOTLANDS LÄN</t>
        </is>
      </c>
      <c r="E498" t="inlineStr">
        <is>
          <t>GOTLAND</t>
        </is>
      </c>
      <c r="G498" t="n">
        <v>8.1</v>
      </c>
      <c r="H498" t="n">
        <v>0</v>
      </c>
      <c r="I498" t="n">
        <v>0</v>
      </c>
      <c r="J498" t="n">
        <v>0</v>
      </c>
      <c r="K498" t="n">
        <v>0</v>
      </c>
      <c r="L498" t="n">
        <v>0</v>
      </c>
      <c r="M498" t="n">
        <v>0</v>
      </c>
      <c r="N498" t="n">
        <v>0</v>
      </c>
      <c r="O498" t="n">
        <v>0</v>
      </c>
      <c r="P498" t="n">
        <v>0</v>
      </c>
      <c r="Q498" t="n">
        <v>0</v>
      </c>
      <c r="R498" s="2" t="inlineStr"/>
    </row>
    <row r="499" ht="15" customHeight="1">
      <c r="A499" t="inlineStr">
        <is>
          <t>A 8484-2025</t>
        </is>
      </c>
      <c r="B499" s="1" t="n">
        <v>45709</v>
      </c>
      <c r="C499" s="1" t="n">
        <v>46048</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20356-2022</t>
        </is>
      </c>
      <c r="B500" s="1" t="n">
        <v>44699</v>
      </c>
      <c r="C500" s="1" t="n">
        <v>46048</v>
      </c>
      <c r="D500" t="inlineStr">
        <is>
          <t>GOTLANDS LÄN</t>
        </is>
      </c>
      <c r="E500" t="inlineStr">
        <is>
          <t>GOTLAND</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35142-2025</t>
        </is>
      </c>
      <c r="B501" s="1" t="n">
        <v>45852.65532407408</v>
      </c>
      <c r="C501" s="1" t="n">
        <v>46048</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18993-2025</t>
        </is>
      </c>
      <c r="B502" s="1" t="n">
        <v>45764</v>
      </c>
      <c r="C502" s="1" t="n">
        <v>46048</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30135-2025</t>
        </is>
      </c>
      <c r="B503" s="1" t="n">
        <v>45826</v>
      </c>
      <c r="C503" s="1" t="n">
        <v>46048</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35141-2025</t>
        </is>
      </c>
      <c r="B504" s="1" t="n">
        <v>45852.65206018519</v>
      </c>
      <c r="C504" s="1" t="n">
        <v>46048</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49962-2023</t>
        </is>
      </c>
      <c r="B505" s="1" t="n">
        <v>45215.38775462963</v>
      </c>
      <c r="C505" s="1" t="n">
        <v>46048</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50744-2024</t>
        </is>
      </c>
      <c r="B506" s="1" t="n">
        <v>45602.4187037037</v>
      </c>
      <c r="C506" s="1" t="n">
        <v>46048</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45244-2024</t>
        </is>
      </c>
      <c r="B507" s="1" t="n">
        <v>45576</v>
      </c>
      <c r="C507" s="1" t="n">
        <v>46048</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38787-2023</t>
        </is>
      </c>
      <c r="B508" s="1" t="n">
        <v>45163</v>
      </c>
      <c r="C508" s="1" t="n">
        <v>46048</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2714-2023</t>
        </is>
      </c>
      <c r="B509" s="1" t="n">
        <v>44944.54896990741</v>
      </c>
      <c r="C509" s="1" t="n">
        <v>46048</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22897-2023</t>
        </is>
      </c>
      <c r="B510" s="1" t="n">
        <v>45072.55239583334</v>
      </c>
      <c r="C510" s="1" t="n">
        <v>46048</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4568-2025</t>
        </is>
      </c>
      <c r="B511" s="1" t="n">
        <v>45687</v>
      </c>
      <c r="C511" s="1" t="n">
        <v>46048</v>
      </c>
      <c r="D511" t="inlineStr">
        <is>
          <t>GOTLANDS LÄN</t>
        </is>
      </c>
      <c r="E511" t="inlineStr">
        <is>
          <t>GOTLAND</t>
        </is>
      </c>
      <c r="G511" t="n">
        <v>1.9</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44938.39715277778</v>
      </c>
      <c r="C512" s="1" t="n">
        <v>46048</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39849-2025</t>
        </is>
      </c>
      <c r="B513" s="1" t="n">
        <v>45891.58502314815</v>
      </c>
      <c r="C513" s="1" t="n">
        <v>46048</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42338-2023</t>
        </is>
      </c>
      <c r="B514" s="1" t="n">
        <v>45180</v>
      </c>
      <c r="C514" s="1" t="n">
        <v>46048</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18918-2025</t>
        </is>
      </c>
      <c r="B515" s="1" t="n">
        <v>45764</v>
      </c>
      <c r="C515" s="1" t="n">
        <v>46048</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11013-2024</t>
        </is>
      </c>
      <c r="B516" s="1" t="n">
        <v>45370</v>
      </c>
      <c r="C516" s="1" t="n">
        <v>46048</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39814-2025</t>
        </is>
      </c>
      <c r="B517" s="1" t="n">
        <v>45891.52694444444</v>
      </c>
      <c r="C517" s="1" t="n">
        <v>46048</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39819-2025</t>
        </is>
      </c>
      <c r="B518" s="1" t="n">
        <v>45891.53418981482</v>
      </c>
      <c r="C518" s="1" t="n">
        <v>46048</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39752-2025</t>
        </is>
      </c>
      <c r="B519" s="1" t="n">
        <v>45891</v>
      </c>
      <c r="C519" s="1" t="n">
        <v>46048</v>
      </c>
      <c r="D519" t="inlineStr">
        <is>
          <t>GOTLANDS LÄN</t>
        </is>
      </c>
      <c r="E519" t="inlineStr">
        <is>
          <t>GOTLAND</t>
        </is>
      </c>
      <c r="G519" t="n">
        <v>5.3</v>
      </c>
      <c r="H519" t="n">
        <v>0</v>
      </c>
      <c r="I519" t="n">
        <v>0</v>
      </c>
      <c r="J519" t="n">
        <v>0</v>
      </c>
      <c r="K519" t="n">
        <v>0</v>
      </c>
      <c r="L519" t="n">
        <v>0</v>
      </c>
      <c r="M519" t="n">
        <v>0</v>
      </c>
      <c r="N519" t="n">
        <v>0</v>
      </c>
      <c r="O519" t="n">
        <v>0</v>
      </c>
      <c r="P519" t="n">
        <v>0</v>
      </c>
      <c r="Q519" t="n">
        <v>0</v>
      </c>
      <c r="R519" s="2" t="inlineStr"/>
    </row>
    <row r="520" ht="15" customHeight="1">
      <c r="A520" t="inlineStr">
        <is>
          <t>A 39816-2025</t>
        </is>
      </c>
      <c r="B520" s="1" t="n">
        <v>45891</v>
      </c>
      <c r="C520" s="1" t="n">
        <v>46048</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40372-2025</t>
        </is>
      </c>
      <c r="B521" s="1" t="n">
        <v>45895.5162037037</v>
      </c>
      <c r="C521" s="1" t="n">
        <v>46048</v>
      </c>
      <c r="D521" t="inlineStr">
        <is>
          <t>GOTLANDS LÄN</t>
        </is>
      </c>
      <c r="E521" t="inlineStr">
        <is>
          <t>GOTLAND</t>
        </is>
      </c>
      <c r="G521" t="n">
        <v>3.3</v>
      </c>
      <c r="H521" t="n">
        <v>0</v>
      </c>
      <c r="I521" t="n">
        <v>0</v>
      </c>
      <c r="J521" t="n">
        <v>0</v>
      </c>
      <c r="K521" t="n">
        <v>0</v>
      </c>
      <c r="L521" t="n">
        <v>0</v>
      </c>
      <c r="M521" t="n">
        <v>0</v>
      </c>
      <c r="N521" t="n">
        <v>0</v>
      </c>
      <c r="O521" t="n">
        <v>0</v>
      </c>
      <c r="P521" t="n">
        <v>0</v>
      </c>
      <c r="Q521" t="n">
        <v>0</v>
      </c>
      <c r="R521" s="2" t="inlineStr"/>
    </row>
    <row r="522" ht="15" customHeight="1">
      <c r="A522" t="inlineStr">
        <is>
          <t>A 45084-2024</t>
        </is>
      </c>
      <c r="B522" s="1" t="n">
        <v>45575</v>
      </c>
      <c r="C522" s="1" t="n">
        <v>46048</v>
      </c>
      <c r="D522" t="inlineStr">
        <is>
          <t>GOTLANDS LÄN</t>
        </is>
      </c>
      <c r="E522" t="inlineStr">
        <is>
          <t>GOTLAND</t>
        </is>
      </c>
      <c r="G522" t="n">
        <v>6.8</v>
      </c>
      <c r="H522" t="n">
        <v>0</v>
      </c>
      <c r="I522" t="n">
        <v>0</v>
      </c>
      <c r="J522" t="n">
        <v>0</v>
      </c>
      <c r="K522" t="n">
        <v>0</v>
      </c>
      <c r="L522" t="n">
        <v>0</v>
      </c>
      <c r="M522" t="n">
        <v>0</v>
      </c>
      <c r="N522" t="n">
        <v>0</v>
      </c>
      <c r="O522" t="n">
        <v>0</v>
      </c>
      <c r="P522" t="n">
        <v>0</v>
      </c>
      <c r="Q522" t="n">
        <v>0</v>
      </c>
      <c r="R522" s="2" t="inlineStr"/>
    </row>
    <row r="523" ht="15" customHeight="1">
      <c r="A523" t="inlineStr">
        <is>
          <t>A 40373-2025</t>
        </is>
      </c>
      <c r="B523" s="1" t="n">
        <v>45895.51821759259</v>
      </c>
      <c r="C523" s="1" t="n">
        <v>46048</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20356-2022</t>
        </is>
      </c>
      <c r="B524" s="1" t="n">
        <v>44699</v>
      </c>
      <c r="C524" s="1" t="n">
        <v>46048</v>
      </c>
      <c r="D524" t="inlineStr">
        <is>
          <t>GOTLANDS LÄN</t>
        </is>
      </c>
      <c r="E524" t="inlineStr">
        <is>
          <t>GOTLAND</t>
        </is>
      </c>
      <c r="F524" t="inlineStr">
        <is>
          <t>Övriga Aktiebolag</t>
        </is>
      </c>
      <c r="G524" t="n">
        <v>4.4</v>
      </c>
      <c r="H524" t="n">
        <v>0</v>
      </c>
      <c r="I524" t="n">
        <v>0</v>
      </c>
      <c r="J524" t="n">
        <v>0</v>
      </c>
      <c r="K524" t="n">
        <v>0</v>
      </c>
      <c r="L524" t="n">
        <v>0</v>
      </c>
      <c r="M524" t="n">
        <v>0</v>
      </c>
      <c r="N524" t="n">
        <v>0</v>
      </c>
      <c r="O524" t="n">
        <v>0</v>
      </c>
      <c r="P524" t="n">
        <v>0</v>
      </c>
      <c r="Q524" t="n">
        <v>0</v>
      </c>
      <c r="R524" s="2" t="inlineStr"/>
    </row>
    <row r="525" ht="15" customHeight="1">
      <c r="A525" t="inlineStr">
        <is>
          <t>A 4868-2024</t>
        </is>
      </c>
      <c r="B525" s="1" t="n">
        <v>45329</v>
      </c>
      <c r="C525" s="1" t="n">
        <v>46048</v>
      </c>
      <c r="D525" t="inlineStr">
        <is>
          <t>GOTLANDS LÄN</t>
        </is>
      </c>
      <c r="E525" t="inlineStr">
        <is>
          <t>GOTLAND</t>
        </is>
      </c>
      <c r="G525" t="n">
        <v>7.1</v>
      </c>
      <c r="H525" t="n">
        <v>0</v>
      </c>
      <c r="I525" t="n">
        <v>0</v>
      </c>
      <c r="J525" t="n">
        <v>0</v>
      </c>
      <c r="K525" t="n">
        <v>0</v>
      </c>
      <c r="L525" t="n">
        <v>0</v>
      </c>
      <c r="M525" t="n">
        <v>0</v>
      </c>
      <c r="N525" t="n">
        <v>0</v>
      </c>
      <c r="O525" t="n">
        <v>0</v>
      </c>
      <c r="P525" t="n">
        <v>0</v>
      </c>
      <c r="Q525" t="n">
        <v>0</v>
      </c>
      <c r="R525" s="2" t="inlineStr"/>
    </row>
    <row r="526" ht="15" customHeight="1">
      <c r="A526" t="inlineStr">
        <is>
          <t>A 9613-2025</t>
        </is>
      </c>
      <c r="B526" s="1" t="n">
        <v>45715</v>
      </c>
      <c r="C526" s="1" t="n">
        <v>46048</v>
      </c>
      <c r="D526" t="inlineStr">
        <is>
          <t>GOTLANDS LÄN</t>
        </is>
      </c>
      <c r="E526" t="inlineStr">
        <is>
          <t>GOTLAND</t>
        </is>
      </c>
      <c r="G526" t="n">
        <v>3.5</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46048</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58211-2024</t>
        </is>
      </c>
      <c r="B528" s="1" t="n">
        <v>45632.49292824074</v>
      </c>
      <c r="C528" s="1" t="n">
        <v>46048</v>
      </c>
      <c r="D528" t="inlineStr">
        <is>
          <t>GOTLANDS LÄN</t>
        </is>
      </c>
      <c r="E528" t="inlineStr">
        <is>
          <t>GOTLAND</t>
        </is>
      </c>
      <c r="G528" t="n">
        <v>5.4</v>
      </c>
      <c r="H528" t="n">
        <v>0</v>
      </c>
      <c r="I528" t="n">
        <v>0</v>
      </c>
      <c r="J528" t="n">
        <v>0</v>
      </c>
      <c r="K528" t="n">
        <v>0</v>
      </c>
      <c r="L528" t="n">
        <v>0</v>
      </c>
      <c r="M528" t="n">
        <v>0</v>
      </c>
      <c r="N528" t="n">
        <v>0</v>
      </c>
      <c r="O528" t="n">
        <v>0</v>
      </c>
      <c r="P528" t="n">
        <v>0</v>
      </c>
      <c r="Q528" t="n">
        <v>0</v>
      </c>
      <c r="R528" s="2" t="inlineStr"/>
    </row>
    <row r="529" ht="15" customHeight="1">
      <c r="A529" t="inlineStr">
        <is>
          <t>A 40103-2025</t>
        </is>
      </c>
      <c r="B529" s="1" t="n">
        <v>45894.4880324074</v>
      </c>
      <c r="C529" s="1" t="n">
        <v>46048</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11634-2024</t>
        </is>
      </c>
      <c r="B530" s="1" t="n">
        <v>45373</v>
      </c>
      <c r="C530" s="1" t="n">
        <v>46048</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40499-2025</t>
        </is>
      </c>
      <c r="B531" s="1" t="n">
        <v>45896.32517361111</v>
      </c>
      <c r="C531" s="1" t="n">
        <v>46048</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5884-2025</t>
        </is>
      </c>
      <c r="B532" s="1" t="n">
        <v>45695.37482638889</v>
      </c>
      <c r="C532" s="1" t="n">
        <v>46048</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5897-2025</t>
        </is>
      </c>
      <c r="B533" s="1" t="n">
        <v>45695.39273148148</v>
      </c>
      <c r="C533" s="1" t="n">
        <v>46048</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5909-2025</t>
        </is>
      </c>
      <c r="B534" s="1" t="n">
        <v>45695.40634259259</v>
      </c>
      <c r="C534" s="1" t="n">
        <v>46048</v>
      </c>
      <c r="D534" t="inlineStr">
        <is>
          <t>GOTLANDS LÄN</t>
        </is>
      </c>
      <c r="E534" t="inlineStr">
        <is>
          <t>GOTLAND</t>
        </is>
      </c>
      <c r="G534" t="n">
        <v>2.9</v>
      </c>
      <c r="H534" t="n">
        <v>0</v>
      </c>
      <c r="I534" t="n">
        <v>0</v>
      </c>
      <c r="J534" t="n">
        <v>0</v>
      </c>
      <c r="K534" t="n">
        <v>0</v>
      </c>
      <c r="L534" t="n">
        <v>0</v>
      </c>
      <c r="M534" t="n">
        <v>0</v>
      </c>
      <c r="N534" t="n">
        <v>0</v>
      </c>
      <c r="O534" t="n">
        <v>0</v>
      </c>
      <c r="P534" t="n">
        <v>0</v>
      </c>
      <c r="Q534" t="n">
        <v>0</v>
      </c>
      <c r="R534" s="2" t="inlineStr"/>
    </row>
    <row r="535" ht="15" customHeight="1">
      <c r="A535" t="inlineStr">
        <is>
          <t>A 60086-2022</t>
        </is>
      </c>
      <c r="B535" s="1" t="n">
        <v>44909</v>
      </c>
      <c r="C535" s="1" t="n">
        <v>46048</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22704-2023</t>
        </is>
      </c>
      <c r="B536" s="1" t="n">
        <v>45071</v>
      </c>
      <c r="C536" s="1" t="n">
        <v>46048</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41551-2025</t>
        </is>
      </c>
      <c r="B537" s="1" t="n">
        <v>45901.58854166666</v>
      </c>
      <c r="C537" s="1" t="n">
        <v>46048</v>
      </c>
      <c r="D537" t="inlineStr">
        <is>
          <t>GOTLANDS LÄN</t>
        </is>
      </c>
      <c r="E537" t="inlineStr">
        <is>
          <t>GOTLAND</t>
        </is>
      </c>
      <c r="G537" t="n">
        <v>5.6</v>
      </c>
      <c r="H537" t="n">
        <v>0</v>
      </c>
      <c r="I537" t="n">
        <v>0</v>
      </c>
      <c r="J537" t="n">
        <v>0</v>
      </c>
      <c r="K537" t="n">
        <v>0</v>
      </c>
      <c r="L537" t="n">
        <v>0</v>
      </c>
      <c r="M537" t="n">
        <v>0</v>
      </c>
      <c r="N537" t="n">
        <v>0</v>
      </c>
      <c r="O537" t="n">
        <v>0</v>
      </c>
      <c r="P537" t="n">
        <v>0</v>
      </c>
      <c r="Q537" t="n">
        <v>0</v>
      </c>
      <c r="R537" s="2" t="inlineStr"/>
    </row>
    <row r="538" ht="15" customHeight="1">
      <c r="A538" t="inlineStr">
        <is>
          <t>A 39278-2025</t>
        </is>
      </c>
      <c r="B538" s="1" t="n">
        <v>45889</v>
      </c>
      <c r="C538" s="1" t="n">
        <v>46048</v>
      </c>
      <c r="D538" t="inlineStr">
        <is>
          <t>GOTLANDS LÄN</t>
        </is>
      </c>
      <c r="E538" t="inlineStr">
        <is>
          <t>GOTLAND</t>
        </is>
      </c>
      <c r="G538" t="n">
        <v>3.7</v>
      </c>
      <c r="H538" t="n">
        <v>0</v>
      </c>
      <c r="I538" t="n">
        <v>0</v>
      </c>
      <c r="J538" t="n">
        <v>0</v>
      </c>
      <c r="K538" t="n">
        <v>0</v>
      </c>
      <c r="L538" t="n">
        <v>0</v>
      </c>
      <c r="M538" t="n">
        <v>0</v>
      </c>
      <c r="N538" t="n">
        <v>0</v>
      </c>
      <c r="O538" t="n">
        <v>0</v>
      </c>
      <c r="P538" t="n">
        <v>0</v>
      </c>
      <c r="Q538" t="n">
        <v>0</v>
      </c>
      <c r="R538" s="2" t="inlineStr"/>
    </row>
    <row r="539" ht="15" customHeight="1">
      <c r="A539" t="inlineStr">
        <is>
          <t>A 41435-2025</t>
        </is>
      </c>
      <c r="B539" s="1" t="n">
        <v>45901.39974537037</v>
      </c>
      <c r="C539" s="1" t="n">
        <v>46048</v>
      </c>
      <c r="D539" t="inlineStr">
        <is>
          <t>GOTLANDS LÄN</t>
        </is>
      </c>
      <c r="E539" t="inlineStr">
        <is>
          <t>GOTLAND</t>
        </is>
      </c>
      <c r="G539" t="n">
        <v>4.9</v>
      </c>
      <c r="H539" t="n">
        <v>0</v>
      </c>
      <c r="I539" t="n">
        <v>0</v>
      </c>
      <c r="J539" t="n">
        <v>0</v>
      </c>
      <c r="K539" t="n">
        <v>0</v>
      </c>
      <c r="L539" t="n">
        <v>0</v>
      </c>
      <c r="M539" t="n">
        <v>0</v>
      </c>
      <c r="N539" t="n">
        <v>0</v>
      </c>
      <c r="O539" t="n">
        <v>0</v>
      </c>
      <c r="P539" t="n">
        <v>0</v>
      </c>
      <c r="Q539" t="n">
        <v>0</v>
      </c>
      <c r="R539" s="2" t="inlineStr"/>
    </row>
    <row r="540" ht="15" customHeight="1">
      <c r="A540" t="inlineStr">
        <is>
          <t>A 25866-2022</t>
        </is>
      </c>
      <c r="B540" s="1" t="n">
        <v>44733</v>
      </c>
      <c r="C540" s="1" t="n">
        <v>46048</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9887-2025</t>
        </is>
      </c>
      <c r="B541" s="1" t="n">
        <v>45716</v>
      </c>
      <c r="C541" s="1" t="n">
        <v>46048</v>
      </c>
      <c r="D541" t="inlineStr">
        <is>
          <t>GOTLANDS LÄN</t>
        </is>
      </c>
      <c r="E541" t="inlineStr">
        <is>
          <t>GOTLAND</t>
        </is>
      </c>
      <c r="G541" t="n">
        <v>7.5</v>
      </c>
      <c r="H541" t="n">
        <v>0</v>
      </c>
      <c r="I541" t="n">
        <v>0</v>
      </c>
      <c r="J541" t="n">
        <v>0</v>
      </c>
      <c r="K541" t="n">
        <v>0</v>
      </c>
      <c r="L541" t="n">
        <v>0</v>
      </c>
      <c r="M541" t="n">
        <v>0</v>
      </c>
      <c r="N541" t="n">
        <v>0</v>
      </c>
      <c r="O541" t="n">
        <v>0</v>
      </c>
      <c r="P541" t="n">
        <v>0</v>
      </c>
      <c r="Q541" t="n">
        <v>0</v>
      </c>
      <c r="R541" s="2" t="inlineStr"/>
    </row>
    <row r="542" ht="15" customHeight="1">
      <c r="A542" t="inlineStr">
        <is>
          <t>A 12209-2024</t>
        </is>
      </c>
      <c r="B542" s="1" t="n">
        <v>45378</v>
      </c>
      <c r="C542" s="1" t="n">
        <v>46048</v>
      </c>
      <c r="D542" t="inlineStr">
        <is>
          <t>GOTLANDS LÄN</t>
        </is>
      </c>
      <c r="E542" t="inlineStr">
        <is>
          <t>GOTLAND</t>
        </is>
      </c>
      <c r="G542" t="n">
        <v>5.3</v>
      </c>
      <c r="H542" t="n">
        <v>0</v>
      </c>
      <c r="I542" t="n">
        <v>0</v>
      </c>
      <c r="J542" t="n">
        <v>0</v>
      </c>
      <c r="K542" t="n">
        <v>0</v>
      </c>
      <c r="L542" t="n">
        <v>0</v>
      </c>
      <c r="M542" t="n">
        <v>0</v>
      </c>
      <c r="N542" t="n">
        <v>0</v>
      </c>
      <c r="O542" t="n">
        <v>0</v>
      </c>
      <c r="P542" t="n">
        <v>0</v>
      </c>
      <c r="Q542" t="n">
        <v>0</v>
      </c>
      <c r="R542" s="2" t="inlineStr"/>
    </row>
    <row r="543" ht="15" customHeight="1">
      <c r="A543" t="inlineStr">
        <is>
          <t>A 12210-2024</t>
        </is>
      </c>
      <c r="B543" s="1" t="n">
        <v>45378</v>
      </c>
      <c r="C543" s="1" t="n">
        <v>46048</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59986-2022</t>
        </is>
      </c>
      <c r="B544" s="1" t="n">
        <v>44909</v>
      </c>
      <c r="C544" s="1" t="n">
        <v>46048</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42608-2025</t>
        </is>
      </c>
      <c r="B545" s="1" t="n">
        <v>45905</v>
      </c>
      <c r="C545" s="1" t="n">
        <v>46048</v>
      </c>
      <c r="D545" t="inlineStr">
        <is>
          <t>GOTLANDS LÄN</t>
        </is>
      </c>
      <c r="E545" t="inlineStr">
        <is>
          <t>GOTLAND</t>
        </is>
      </c>
      <c r="G545" t="n">
        <v>1.3</v>
      </c>
      <c r="H545" t="n">
        <v>0</v>
      </c>
      <c r="I545" t="n">
        <v>0</v>
      </c>
      <c r="J545" t="n">
        <v>0</v>
      </c>
      <c r="K545" t="n">
        <v>0</v>
      </c>
      <c r="L545" t="n">
        <v>0</v>
      </c>
      <c r="M545" t="n">
        <v>0</v>
      </c>
      <c r="N545" t="n">
        <v>0</v>
      </c>
      <c r="O545" t="n">
        <v>0</v>
      </c>
      <c r="P545" t="n">
        <v>0</v>
      </c>
      <c r="Q545" t="n">
        <v>0</v>
      </c>
      <c r="R545" s="2" t="inlineStr"/>
    </row>
    <row r="546" ht="15" customHeight="1">
      <c r="A546" t="inlineStr">
        <is>
          <t>A 16373-2025</t>
        </is>
      </c>
      <c r="B546" s="1" t="n">
        <v>45751</v>
      </c>
      <c r="C546" s="1" t="n">
        <v>46048</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31802-2024</t>
        </is>
      </c>
      <c r="B547" s="1" t="n">
        <v>45509</v>
      </c>
      <c r="C547" s="1" t="n">
        <v>46048</v>
      </c>
      <c r="D547" t="inlineStr">
        <is>
          <t>GOTLANDS LÄN</t>
        </is>
      </c>
      <c r="E547" t="inlineStr">
        <is>
          <t>GOTLAND</t>
        </is>
      </c>
      <c r="G547" t="n">
        <v>2.8</v>
      </c>
      <c r="H547" t="n">
        <v>0</v>
      </c>
      <c r="I547" t="n">
        <v>0</v>
      </c>
      <c r="J547" t="n">
        <v>0</v>
      </c>
      <c r="K547" t="n">
        <v>0</v>
      </c>
      <c r="L547" t="n">
        <v>0</v>
      </c>
      <c r="M547" t="n">
        <v>0</v>
      </c>
      <c r="N547" t="n">
        <v>0</v>
      </c>
      <c r="O547" t="n">
        <v>0</v>
      </c>
      <c r="P547" t="n">
        <v>0</v>
      </c>
      <c r="Q547" t="n">
        <v>0</v>
      </c>
      <c r="R547" s="2" t="inlineStr"/>
    </row>
    <row r="548" ht="15" customHeight="1">
      <c r="A548" t="inlineStr">
        <is>
          <t>A 20993-2023</t>
        </is>
      </c>
      <c r="B548" s="1" t="n">
        <v>45056</v>
      </c>
      <c r="C548" s="1" t="n">
        <v>46048</v>
      </c>
      <c r="D548" t="inlineStr">
        <is>
          <t>GOTLANDS LÄN</t>
        </is>
      </c>
      <c r="E548" t="inlineStr">
        <is>
          <t>GOTLAND</t>
        </is>
      </c>
      <c r="G548" t="n">
        <v>7.1</v>
      </c>
      <c r="H548" t="n">
        <v>0</v>
      </c>
      <c r="I548" t="n">
        <v>0</v>
      </c>
      <c r="J548" t="n">
        <v>0</v>
      </c>
      <c r="K548" t="n">
        <v>0</v>
      </c>
      <c r="L548" t="n">
        <v>0</v>
      </c>
      <c r="M548" t="n">
        <v>0</v>
      </c>
      <c r="N548" t="n">
        <v>0</v>
      </c>
      <c r="O548" t="n">
        <v>0</v>
      </c>
      <c r="P548" t="n">
        <v>0</v>
      </c>
      <c r="Q548" t="n">
        <v>0</v>
      </c>
      <c r="R548" s="2" t="inlineStr"/>
    </row>
    <row r="549" ht="15" customHeight="1">
      <c r="A549" t="inlineStr">
        <is>
          <t>A 15042-2025</t>
        </is>
      </c>
      <c r="B549" s="1" t="n">
        <v>45743</v>
      </c>
      <c r="C549" s="1" t="n">
        <v>46048</v>
      </c>
      <c r="D549" t="inlineStr">
        <is>
          <t>GOTLANDS LÄN</t>
        </is>
      </c>
      <c r="E549" t="inlineStr">
        <is>
          <t>GOTLAND</t>
        </is>
      </c>
      <c r="G549" t="n">
        <v>8.5</v>
      </c>
      <c r="H549" t="n">
        <v>0</v>
      </c>
      <c r="I549" t="n">
        <v>0</v>
      </c>
      <c r="J549" t="n">
        <v>0</v>
      </c>
      <c r="K549" t="n">
        <v>0</v>
      </c>
      <c r="L549" t="n">
        <v>0</v>
      </c>
      <c r="M549" t="n">
        <v>0</v>
      </c>
      <c r="N549" t="n">
        <v>0</v>
      </c>
      <c r="O549" t="n">
        <v>0</v>
      </c>
      <c r="P549" t="n">
        <v>0</v>
      </c>
      <c r="Q549" t="n">
        <v>0</v>
      </c>
      <c r="R549" s="2" t="inlineStr"/>
    </row>
    <row r="550" ht="15" customHeight="1">
      <c r="A550" t="inlineStr">
        <is>
          <t>A 12327-2025</t>
        </is>
      </c>
      <c r="B550" s="1" t="n">
        <v>45730</v>
      </c>
      <c r="C550" s="1" t="n">
        <v>46048</v>
      </c>
      <c r="D550" t="inlineStr">
        <is>
          <t>GOTLANDS LÄN</t>
        </is>
      </c>
      <c r="E550" t="inlineStr">
        <is>
          <t>GOTLAND</t>
        </is>
      </c>
      <c r="G550" t="n">
        <v>1.8</v>
      </c>
      <c r="H550" t="n">
        <v>0</v>
      </c>
      <c r="I550" t="n">
        <v>0</v>
      </c>
      <c r="J550" t="n">
        <v>0</v>
      </c>
      <c r="K550" t="n">
        <v>0</v>
      </c>
      <c r="L550" t="n">
        <v>0</v>
      </c>
      <c r="M550" t="n">
        <v>0</v>
      </c>
      <c r="N550" t="n">
        <v>0</v>
      </c>
      <c r="O550" t="n">
        <v>0</v>
      </c>
      <c r="P550" t="n">
        <v>0</v>
      </c>
      <c r="Q550" t="n">
        <v>0</v>
      </c>
      <c r="R550" s="2" t="inlineStr"/>
    </row>
    <row r="551" ht="15" customHeight="1">
      <c r="A551" t="inlineStr">
        <is>
          <t>A 10158-2025</t>
        </is>
      </c>
      <c r="B551" s="1" t="n">
        <v>45719</v>
      </c>
      <c r="C551" s="1" t="n">
        <v>46048</v>
      </c>
      <c r="D551" t="inlineStr">
        <is>
          <t>GOTLANDS LÄN</t>
        </is>
      </c>
      <c r="E551" t="inlineStr">
        <is>
          <t>GOTLAND</t>
        </is>
      </c>
      <c r="G551" t="n">
        <v>3.5</v>
      </c>
      <c r="H551" t="n">
        <v>0</v>
      </c>
      <c r="I551" t="n">
        <v>0</v>
      </c>
      <c r="J551" t="n">
        <v>0</v>
      </c>
      <c r="K551" t="n">
        <v>0</v>
      </c>
      <c r="L551" t="n">
        <v>0</v>
      </c>
      <c r="M551" t="n">
        <v>0</v>
      </c>
      <c r="N551" t="n">
        <v>0</v>
      </c>
      <c r="O551" t="n">
        <v>0</v>
      </c>
      <c r="P551" t="n">
        <v>0</v>
      </c>
      <c r="Q551" t="n">
        <v>0</v>
      </c>
      <c r="R551" s="2" t="inlineStr"/>
    </row>
    <row r="552" ht="15" customHeight="1">
      <c r="A552" t="inlineStr">
        <is>
          <t>A 4420-2025</t>
        </is>
      </c>
      <c r="B552" s="1" t="n">
        <v>45686.47157407407</v>
      </c>
      <c r="C552" s="1" t="n">
        <v>46048</v>
      </c>
      <c r="D552" t="inlineStr">
        <is>
          <t>GOTLANDS LÄN</t>
        </is>
      </c>
      <c r="E552" t="inlineStr">
        <is>
          <t>GOTLAND</t>
        </is>
      </c>
      <c r="G552" t="n">
        <v>1.6</v>
      </c>
      <c r="H552" t="n">
        <v>0</v>
      </c>
      <c r="I552" t="n">
        <v>0</v>
      </c>
      <c r="J552" t="n">
        <v>0</v>
      </c>
      <c r="K552" t="n">
        <v>0</v>
      </c>
      <c r="L552" t="n">
        <v>0</v>
      </c>
      <c r="M552" t="n">
        <v>0</v>
      </c>
      <c r="N552" t="n">
        <v>0</v>
      </c>
      <c r="O552" t="n">
        <v>0</v>
      </c>
      <c r="P552" t="n">
        <v>0</v>
      </c>
      <c r="Q552" t="n">
        <v>0</v>
      </c>
      <c r="R552" s="2" t="inlineStr"/>
    </row>
    <row r="553" ht="15" customHeight="1">
      <c r="A553" t="inlineStr">
        <is>
          <t>A 14427-2024</t>
        </is>
      </c>
      <c r="B553" s="1" t="n">
        <v>45394</v>
      </c>
      <c r="C553" s="1" t="n">
        <v>46048</v>
      </c>
      <c r="D553" t="inlineStr">
        <is>
          <t>GOTLANDS LÄN</t>
        </is>
      </c>
      <c r="E553" t="inlineStr">
        <is>
          <t>GOTLAND</t>
        </is>
      </c>
      <c r="G553" t="n">
        <v>1.3</v>
      </c>
      <c r="H553" t="n">
        <v>0</v>
      </c>
      <c r="I553" t="n">
        <v>0</v>
      </c>
      <c r="J553" t="n">
        <v>0</v>
      </c>
      <c r="K553" t="n">
        <v>0</v>
      </c>
      <c r="L553" t="n">
        <v>0</v>
      </c>
      <c r="M553" t="n">
        <v>0</v>
      </c>
      <c r="N553" t="n">
        <v>0</v>
      </c>
      <c r="O553" t="n">
        <v>0</v>
      </c>
      <c r="P553" t="n">
        <v>0</v>
      </c>
      <c r="Q553" t="n">
        <v>0</v>
      </c>
      <c r="R553" s="2" t="inlineStr"/>
    </row>
    <row r="554" ht="15" customHeight="1">
      <c r="A554" t="inlineStr">
        <is>
          <t>A 43911-2025</t>
        </is>
      </c>
      <c r="B554" s="1" t="n">
        <v>45914.3881712963</v>
      </c>
      <c r="C554" s="1" t="n">
        <v>46048</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43951-2025</t>
        </is>
      </c>
      <c r="B555" s="1" t="n">
        <v>45915.38119212963</v>
      </c>
      <c r="C555" s="1" t="n">
        <v>46048</v>
      </c>
      <c r="D555" t="inlineStr">
        <is>
          <t>GOTLANDS LÄN</t>
        </is>
      </c>
      <c r="E555" t="inlineStr">
        <is>
          <t>GOTLAND</t>
        </is>
      </c>
      <c r="G555" t="n">
        <v>4.4</v>
      </c>
      <c r="H555" t="n">
        <v>0</v>
      </c>
      <c r="I555" t="n">
        <v>0</v>
      </c>
      <c r="J555" t="n">
        <v>0</v>
      </c>
      <c r="K555" t="n">
        <v>0</v>
      </c>
      <c r="L555" t="n">
        <v>0</v>
      </c>
      <c r="M555" t="n">
        <v>0</v>
      </c>
      <c r="N555" t="n">
        <v>0</v>
      </c>
      <c r="O555" t="n">
        <v>0</v>
      </c>
      <c r="P555" t="n">
        <v>0</v>
      </c>
      <c r="Q555" t="n">
        <v>0</v>
      </c>
      <c r="R555" s="2" t="inlineStr"/>
    </row>
    <row r="556" ht="15" customHeight="1">
      <c r="A556" t="inlineStr">
        <is>
          <t>A 44410-2025</t>
        </is>
      </c>
      <c r="B556" s="1" t="n">
        <v>45916.53699074074</v>
      </c>
      <c r="C556" s="1" t="n">
        <v>46048</v>
      </c>
      <c r="D556" t="inlineStr">
        <is>
          <t>GOTLANDS LÄN</t>
        </is>
      </c>
      <c r="E556" t="inlineStr">
        <is>
          <t>GOTLAND</t>
        </is>
      </c>
      <c r="G556" t="n">
        <v>2.3</v>
      </c>
      <c r="H556" t="n">
        <v>0</v>
      </c>
      <c r="I556" t="n">
        <v>0</v>
      </c>
      <c r="J556" t="n">
        <v>0</v>
      </c>
      <c r="K556" t="n">
        <v>0</v>
      </c>
      <c r="L556" t="n">
        <v>0</v>
      </c>
      <c r="M556" t="n">
        <v>0</v>
      </c>
      <c r="N556" t="n">
        <v>0</v>
      </c>
      <c r="O556" t="n">
        <v>0</v>
      </c>
      <c r="P556" t="n">
        <v>0</v>
      </c>
      <c r="Q556" t="n">
        <v>0</v>
      </c>
      <c r="R556" s="2" t="inlineStr"/>
    </row>
    <row r="557" ht="15" customHeight="1">
      <c r="A557" t="inlineStr">
        <is>
          <t>A 49257-2024</t>
        </is>
      </c>
      <c r="B557" s="1" t="n">
        <v>45595.47627314815</v>
      </c>
      <c r="C557" s="1" t="n">
        <v>46048</v>
      </c>
      <c r="D557" t="inlineStr">
        <is>
          <t>GOTLANDS LÄN</t>
        </is>
      </c>
      <c r="E557" t="inlineStr">
        <is>
          <t>GOTLAND</t>
        </is>
      </c>
      <c r="G557" t="n">
        <v>6.3</v>
      </c>
      <c r="H557" t="n">
        <v>0</v>
      </c>
      <c r="I557" t="n">
        <v>0</v>
      </c>
      <c r="J557" t="n">
        <v>0</v>
      </c>
      <c r="K557" t="n">
        <v>0</v>
      </c>
      <c r="L557" t="n">
        <v>0</v>
      </c>
      <c r="M557" t="n">
        <v>0</v>
      </c>
      <c r="N557" t="n">
        <v>0</v>
      </c>
      <c r="O557" t="n">
        <v>0</v>
      </c>
      <c r="P557" t="n">
        <v>0</v>
      </c>
      <c r="Q557" t="n">
        <v>0</v>
      </c>
      <c r="R557" s="2" t="inlineStr"/>
    </row>
    <row r="558" ht="15" customHeight="1">
      <c r="A558" t="inlineStr">
        <is>
          <t>A 49315-2024</t>
        </is>
      </c>
      <c r="B558" s="1" t="n">
        <v>45595</v>
      </c>
      <c r="C558" s="1" t="n">
        <v>46048</v>
      </c>
      <c r="D558" t="inlineStr">
        <is>
          <t>GOTLANDS LÄN</t>
        </is>
      </c>
      <c r="E558" t="inlineStr">
        <is>
          <t>GOTLAND</t>
        </is>
      </c>
      <c r="G558" t="n">
        <v>1.5</v>
      </c>
      <c r="H558" t="n">
        <v>0</v>
      </c>
      <c r="I558" t="n">
        <v>0</v>
      </c>
      <c r="J558" t="n">
        <v>0</v>
      </c>
      <c r="K558" t="n">
        <v>0</v>
      </c>
      <c r="L558" t="n">
        <v>0</v>
      </c>
      <c r="M558" t="n">
        <v>0</v>
      </c>
      <c r="N558" t="n">
        <v>0</v>
      </c>
      <c r="O558" t="n">
        <v>0</v>
      </c>
      <c r="P558" t="n">
        <v>0</v>
      </c>
      <c r="Q558" t="n">
        <v>0</v>
      </c>
      <c r="R558" s="2" t="inlineStr"/>
    </row>
    <row r="559" ht="15" customHeight="1">
      <c r="A559" t="inlineStr">
        <is>
          <t>A 44405-2025</t>
        </is>
      </c>
      <c r="B559" s="1" t="n">
        <v>45916.52405092592</v>
      </c>
      <c r="C559" s="1" t="n">
        <v>46048</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27596-2023</t>
        </is>
      </c>
      <c r="B560" s="1" t="n">
        <v>45097</v>
      </c>
      <c r="C560" s="1" t="n">
        <v>46048</v>
      </c>
      <c r="D560" t="inlineStr">
        <is>
          <t>GOTLANDS LÄN</t>
        </is>
      </c>
      <c r="E560" t="inlineStr">
        <is>
          <t>GOTLAND</t>
        </is>
      </c>
      <c r="G560" t="n">
        <v>3.6</v>
      </c>
      <c r="H560" t="n">
        <v>0</v>
      </c>
      <c r="I560" t="n">
        <v>0</v>
      </c>
      <c r="J560" t="n">
        <v>0</v>
      </c>
      <c r="K560" t="n">
        <v>0</v>
      </c>
      <c r="L560" t="n">
        <v>0</v>
      </c>
      <c r="M560" t="n">
        <v>0</v>
      </c>
      <c r="N560" t="n">
        <v>0</v>
      </c>
      <c r="O560" t="n">
        <v>0</v>
      </c>
      <c r="P560" t="n">
        <v>0</v>
      </c>
      <c r="Q560" t="n">
        <v>0</v>
      </c>
      <c r="R560" s="2" t="inlineStr"/>
    </row>
    <row r="561" ht="15" customHeight="1">
      <c r="A561" t="inlineStr">
        <is>
          <t>A 56115-2023</t>
        </is>
      </c>
      <c r="B561" s="1" t="n">
        <v>45236</v>
      </c>
      <c r="C561" s="1" t="n">
        <v>46048</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64969-2023</t>
        </is>
      </c>
      <c r="B562" s="1" t="n">
        <v>45284.54009259259</v>
      </c>
      <c r="C562" s="1" t="n">
        <v>46048</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33853-2024</t>
        </is>
      </c>
      <c r="B563" s="1" t="n">
        <v>45520.64298611111</v>
      </c>
      <c r="C563" s="1" t="n">
        <v>46048</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18223-2025</t>
        </is>
      </c>
      <c r="B564" s="1" t="n">
        <v>45761</v>
      </c>
      <c r="C564" s="1" t="n">
        <v>46048</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46949-2024</t>
        </is>
      </c>
      <c r="B565" s="1" t="n">
        <v>45585</v>
      </c>
      <c r="C565" s="1" t="n">
        <v>46048</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26391-2025</t>
        </is>
      </c>
      <c r="B566" s="1" t="n">
        <v>45806</v>
      </c>
      <c r="C566" s="1" t="n">
        <v>46048</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24001-2021</t>
        </is>
      </c>
      <c r="B567" s="1" t="n">
        <v>44335</v>
      </c>
      <c r="C567" s="1" t="n">
        <v>46048</v>
      </c>
      <c r="D567" t="inlineStr">
        <is>
          <t>GOTLANDS LÄN</t>
        </is>
      </c>
      <c r="E567" t="inlineStr">
        <is>
          <t>GOTLAND</t>
        </is>
      </c>
      <c r="G567" t="n">
        <v>3.4</v>
      </c>
      <c r="H567" t="n">
        <v>0</v>
      </c>
      <c r="I567" t="n">
        <v>0</v>
      </c>
      <c r="J567" t="n">
        <v>0</v>
      </c>
      <c r="K567" t="n">
        <v>0</v>
      </c>
      <c r="L567" t="n">
        <v>0</v>
      </c>
      <c r="M567" t="n">
        <v>0</v>
      </c>
      <c r="N567" t="n">
        <v>0</v>
      </c>
      <c r="O567" t="n">
        <v>0</v>
      </c>
      <c r="P567" t="n">
        <v>0</v>
      </c>
      <c r="Q567" t="n">
        <v>0</v>
      </c>
      <c r="R567" s="2" t="inlineStr"/>
    </row>
    <row r="568" ht="15" customHeight="1">
      <c r="A568" t="inlineStr">
        <is>
          <t>A 39479-2022</t>
        </is>
      </c>
      <c r="B568" s="1" t="n">
        <v>44818</v>
      </c>
      <c r="C568" s="1" t="n">
        <v>46048</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39496-2022</t>
        </is>
      </c>
      <c r="B569" s="1" t="n">
        <v>44818</v>
      </c>
      <c r="C569" s="1" t="n">
        <v>46048</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46836-2025</t>
        </is>
      </c>
      <c r="B570" s="1" t="n">
        <v>45928.31511574074</v>
      </c>
      <c r="C570" s="1" t="n">
        <v>46048</v>
      </c>
      <c r="D570" t="inlineStr">
        <is>
          <t>GOTLANDS LÄN</t>
        </is>
      </c>
      <c r="E570" t="inlineStr">
        <is>
          <t>GOTLAND</t>
        </is>
      </c>
      <c r="G570" t="n">
        <v>2.8</v>
      </c>
      <c r="H570" t="n">
        <v>0</v>
      </c>
      <c r="I570" t="n">
        <v>0</v>
      </c>
      <c r="J570" t="n">
        <v>0</v>
      </c>
      <c r="K570" t="n">
        <v>0</v>
      </c>
      <c r="L570" t="n">
        <v>0</v>
      </c>
      <c r="M570" t="n">
        <v>0</v>
      </c>
      <c r="N570" t="n">
        <v>0</v>
      </c>
      <c r="O570" t="n">
        <v>0</v>
      </c>
      <c r="P570" t="n">
        <v>0</v>
      </c>
      <c r="Q570" t="n">
        <v>0</v>
      </c>
      <c r="R570" s="2" t="inlineStr"/>
    </row>
    <row r="571" ht="15" customHeight="1">
      <c r="A571" t="inlineStr">
        <is>
          <t>A 46389-2021</t>
        </is>
      </c>
      <c r="B571" s="1" t="n">
        <v>44443</v>
      </c>
      <c r="C571" s="1" t="n">
        <v>46048</v>
      </c>
      <c r="D571" t="inlineStr">
        <is>
          <t>GOTLANDS LÄN</t>
        </is>
      </c>
      <c r="E571" t="inlineStr">
        <is>
          <t>GOTLAND</t>
        </is>
      </c>
      <c r="F571" t="inlineStr">
        <is>
          <t>Kyrkan</t>
        </is>
      </c>
      <c r="G571" t="n">
        <v>2.1</v>
      </c>
      <c r="H571" t="n">
        <v>0</v>
      </c>
      <c r="I571" t="n">
        <v>0</v>
      </c>
      <c r="J571" t="n">
        <v>0</v>
      </c>
      <c r="K571" t="n">
        <v>0</v>
      </c>
      <c r="L571" t="n">
        <v>0</v>
      </c>
      <c r="M571" t="n">
        <v>0</v>
      </c>
      <c r="N571" t="n">
        <v>0</v>
      </c>
      <c r="O571" t="n">
        <v>0</v>
      </c>
      <c r="P571" t="n">
        <v>0</v>
      </c>
      <c r="Q571" t="n">
        <v>0</v>
      </c>
      <c r="R571" s="2" t="inlineStr"/>
    </row>
    <row r="572" ht="15" customHeight="1">
      <c r="A572" t="inlineStr">
        <is>
          <t>A 47637-2025</t>
        </is>
      </c>
      <c r="B572" s="1" t="n">
        <v>45931.49753472222</v>
      </c>
      <c r="C572" s="1" t="n">
        <v>46048</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44949-2023</t>
        </is>
      </c>
      <c r="B573" s="1" t="n">
        <v>45190.69520833333</v>
      </c>
      <c r="C573" s="1" t="n">
        <v>46048</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17682-2024</t>
        </is>
      </c>
      <c r="B574" s="1" t="n">
        <v>45418.42966435185</v>
      </c>
      <c r="C574" s="1" t="n">
        <v>46048</v>
      </c>
      <c r="D574" t="inlineStr">
        <is>
          <t>GOTLANDS LÄN</t>
        </is>
      </c>
      <c r="E574" t="inlineStr">
        <is>
          <t>GOTLAND</t>
        </is>
      </c>
      <c r="G574" t="n">
        <v>2.9</v>
      </c>
      <c r="H574" t="n">
        <v>0</v>
      </c>
      <c r="I574" t="n">
        <v>0</v>
      </c>
      <c r="J574" t="n">
        <v>0</v>
      </c>
      <c r="K574" t="n">
        <v>0</v>
      </c>
      <c r="L574" t="n">
        <v>0</v>
      </c>
      <c r="M574" t="n">
        <v>0</v>
      </c>
      <c r="N574" t="n">
        <v>0</v>
      </c>
      <c r="O574" t="n">
        <v>0</v>
      </c>
      <c r="P574" t="n">
        <v>0</v>
      </c>
      <c r="Q574" t="n">
        <v>0</v>
      </c>
      <c r="R574" s="2" t="inlineStr"/>
    </row>
    <row r="575" ht="15" customHeight="1">
      <c r="A575" t="inlineStr">
        <is>
          <t>A 32378-2025</t>
        </is>
      </c>
      <c r="B575" s="1" t="n">
        <v>45837</v>
      </c>
      <c r="C575" s="1" t="n">
        <v>46048</v>
      </c>
      <c r="D575" t="inlineStr">
        <is>
          <t>GOTLANDS LÄN</t>
        </is>
      </c>
      <c r="E575" t="inlineStr">
        <is>
          <t>GOTLAND</t>
        </is>
      </c>
      <c r="G575" t="n">
        <v>4.1</v>
      </c>
      <c r="H575" t="n">
        <v>0</v>
      </c>
      <c r="I575" t="n">
        <v>0</v>
      </c>
      <c r="J575" t="n">
        <v>0</v>
      </c>
      <c r="K575" t="n">
        <v>0</v>
      </c>
      <c r="L575" t="n">
        <v>0</v>
      </c>
      <c r="M575" t="n">
        <v>0</v>
      </c>
      <c r="N575" t="n">
        <v>0</v>
      </c>
      <c r="O575" t="n">
        <v>0</v>
      </c>
      <c r="P575" t="n">
        <v>0</v>
      </c>
      <c r="Q575" t="n">
        <v>0</v>
      </c>
      <c r="R575" s="2" t="inlineStr"/>
    </row>
    <row r="576" ht="15" customHeight="1">
      <c r="A576" t="inlineStr">
        <is>
          <t>A 61897-2024</t>
        </is>
      </c>
      <c r="B576" s="1" t="n">
        <v>45652.75685185185</v>
      </c>
      <c r="C576" s="1" t="n">
        <v>46048</v>
      </c>
      <c r="D576" t="inlineStr">
        <is>
          <t>GOTLANDS LÄN</t>
        </is>
      </c>
      <c r="E576" t="inlineStr">
        <is>
          <t>GOTLAND</t>
        </is>
      </c>
      <c r="G576" t="n">
        <v>6.4</v>
      </c>
      <c r="H576" t="n">
        <v>0</v>
      </c>
      <c r="I576" t="n">
        <v>0</v>
      </c>
      <c r="J576" t="n">
        <v>0</v>
      </c>
      <c r="K576" t="n">
        <v>0</v>
      </c>
      <c r="L576" t="n">
        <v>0</v>
      </c>
      <c r="M576" t="n">
        <v>0</v>
      </c>
      <c r="N576" t="n">
        <v>0</v>
      </c>
      <c r="O576" t="n">
        <v>0</v>
      </c>
      <c r="P576" t="n">
        <v>0</v>
      </c>
      <c r="Q576" t="n">
        <v>0</v>
      </c>
      <c r="R576" s="2" t="inlineStr"/>
    </row>
    <row r="577" ht="15" customHeight="1">
      <c r="A577" t="inlineStr">
        <is>
          <t>A 12032-2025</t>
        </is>
      </c>
      <c r="B577" s="1" t="n">
        <v>45728.64472222222</v>
      </c>
      <c r="C577" s="1" t="n">
        <v>46048</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15595-2024</t>
        </is>
      </c>
      <c r="B578" s="1" t="n">
        <v>45401.81480324074</v>
      </c>
      <c r="C578" s="1" t="n">
        <v>46048</v>
      </c>
      <c r="D578" t="inlineStr">
        <is>
          <t>GOTLANDS LÄN</t>
        </is>
      </c>
      <c r="E578" t="inlineStr">
        <is>
          <t>GOTLAND</t>
        </is>
      </c>
      <c r="G578" t="n">
        <v>6.4</v>
      </c>
      <c r="H578" t="n">
        <v>0</v>
      </c>
      <c r="I578" t="n">
        <v>0</v>
      </c>
      <c r="J578" t="n">
        <v>0</v>
      </c>
      <c r="K578" t="n">
        <v>0</v>
      </c>
      <c r="L578" t="n">
        <v>0</v>
      </c>
      <c r="M578" t="n">
        <v>0</v>
      </c>
      <c r="N578" t="n">
        <v>0</v>
      </c>
      <c r="O578" t="n">
        <v>0</v>
      </c>
      <c r="P578" t="n">
        <v>0</v>
      </c>
      <c r="Q578" t="n">
        <v>0</v>
      </c>
      <c r="R578" s="2" t="inlineStr"/>
    </row>
    <row r="579" ht="15" customHeight="1">
      <c r="A579" t="inlineStr">
        <is>
          <t>A 35550-2025</t>
        </is>
      </c>
      <c r="B579" s="1" t="n">
        <v>45856.49324074074</v>
      </c>
      <c r="C579" s="1" t="n">
        <v>46048</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47578-2025</t>
        </is>
      </c>
      <c r="B580" s="1" t="n">
        <v>45931</v>
      </c>
      <c r="C580" s="1" t="n">
        <v>46048</v>
      </c>
      <c r="D580" t="inlineStr">
        <is>
          <t>GOTLANDS LÄN</t>
        </is>
      </c>
      <c r="E580" t="inlineStr">
        <is>
          <t>GOTLAND</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33011-2025</t>
        </is>
      </c>
      <c r="B581" s="1" t="n">
        <v>45840</v>
      </c>
      <c r="C581" s="1" t="n">
        <v>46048</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49690-2025</t>
        </is>
      </c>
      <c r="B582" s="1" t="n">
        <v>45939.66730324074</v>
      </c>
      <c r="C582" s="1" t="n">
        <v>46048</v>
      </c>
      <c r="D582" t="inlineStr">
        <is>
          <t>GOTLANDS LÄN</t>
        </is>
      </c>
      <c r="E582" t="inlineStr">
        <is>
          <t>GOTLAND</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49724-2025</t>
        </is>
      </c>
      <c r="B583" s="1" t="n">
        <v>45939.83730324074</v>
      </c>
      <c r="C583" s="1" t="n">
        <v>46048</v>
      </c>
      <c r="D583" t="inlineStr">
        <is>
          <t>GOTLANDS LÄN</t>
        </is>
      </c>
      <c r="E583" t="inlineStr">
        <is>
          <t>GOTLAND</t>
        </is>
      </c>
      <c r="F583" t="inlineStr">
        <is>
          <t>Kyrkan</t>
        </is>
      </c>
      <c r="G583" t="n">
        <v>3.1</v>
      </c>
      <c r="H583" t="n">
        <v>0</v>
      </c>
      <c r="I583" t="n">
        <v>0</v>
      </c>
      <c r="J583" t="n">
        <v>0</v>
      </c>
      <c r="K583" t="n">
        <v>0</v>
      </c>
      <c r="L583" t="n">
        <v>0</v>
      </c>
      <c r="M583" t="n">
        <v>0</v>
      </c>
      <c r="N583" t="n">
        <v>0</v>
      </c>
      <c r="O583" t="n">
        <v>0</v>
      </c>
      <c r="P583" t="n">
        <v>0</v>
      </c>
      <c r="Q583" t="n">
        <v>0</v>
      </c>
      <c r="R583" s="2" t="inlineStr"/>
    </row>
    <row r="584" ht="15" customHeight="1">
      <c r="A584" t="inlineStr">
        <is>
          <t>A 49730-2025</t>
        </is>
      </c>
      <c r="B584" s="1" t="n">
        <v>45939.87613425926</v>
      </c>
      <c r="C584" s="1" t="n">
        <v>46048</v>
      </c>
      <c r="D584" t="inlineStr">
        <is>
          <t>GOTLANDS LÄN</t>
        </is>
      </c>
      <c r="E584" t="inlineStr">
        <is>
          <t>GOTLAND</t>
        </is>
      </c>
      <c r="G584" t="n">
        <v>1.1</v>
      </c>
      <c r="H584" t="n">
        <v>0</v>
      </c>
      <c r="I584" t="n">
        <v>0</v>
      </c>
      <c r="J584" t="n">
        <v>0</v>
      </c>
      <c r="K584" t="n">
        <v>0</v>
      </c>
      <c r="L584" t="n">
        <v>0</v>
      </c>
      <c r="M584" t="n">
        <v>0</v>
      </c>
      <c r="N584" t="n">
        <v>0</v>
      </c>
      <c r="O584" t="n">
        <v>0</v>
      </c>
      <c r="P584" t="n">
        <v>0</v>
      </c>
      <c r="Q584" t="n">
        <v>0</v>
      </c>
      <c r="R584" s="2" t="inlineStr"/>
    </row>
    <row r="585" ht="15" customHeight="1">
      <c r="A585" t="inlineStr">
        <is>
          <t>A 50421-2025</t>
        </is>
      </c>
      <c r="B585" s="1" t="n">
        <v>45944.66049768519</v>
      </c>
      <c r="C585" s="1" t="n">
        <v>46048</v>
      </c>
      <c r="D585" t="inlineStr">
        <is>
          <t>GOTLANDS LÄN</t>
        </is>
      </c>
      <c r="E585" t="inlineStr">
        <is>
          <t>GOTLAND</t>
        </is>
      </c>
      <c r="G585" t="n">
        <v>3.9</v>
      </c>
      <c r="H585" t="n">
        <v>0</v>
      </c>
      <c r="I585" t="n">
        <v>0</v>
      </c>
      <c r="J585" t="n">
        <v>0</v>
      </c>
      <c r="K585" t="n">
        <v>0</v>
      </c>
      <c r="L585" t="n">
        <v>0</v>
      </c>
      <c r="M585" t="n">
        <v>0</v>
      </c>
      <c r="N585" t="n">
        <v>0</v>
      </c>
      <c r="O585" t="n">
        <v>0</v>
      </c>
      <c r="P585" t="n">
        <v>0</v>
      </c>
      <c r="Q585" t="n">
        <v>0</v>
      </c>
      <c r="R585" s="2" t="inlineStr"/>
    </row>
    <row r="586" ht="15" customHeight="1">
      <c r="A586" t="inlineStr">
        <is>
          <t>A 50431-2025</t>
        </is>
      </c>
      <c r="B586" s="1" t="n">
        <v>45944.68453703704</v>
      </c>
      <c r="C586" s="1" t="n">
        <v>46048</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50928-2025</t>
        </is>
      </c>
      <c r="B587" s="1" t="n">
        <v>45946.67896990741</v>
      </c>
      <c r="C587" s="1" t="n">
        <v>46048</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51262-2025</t>
        </is>
      </c>
      <c r="B588" s="1" t="n">
        <v>45949.49872685185</v>
      </c>
      <c r="C588" s="1" t="n">
        <v>46048</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52249-2025</t>
        </is>
      </c>
      <c r="B589" s="1" t="n">
        <v>45953.48637731482</v>
      </c>
      <c r="C589" s="1" t="n">
        <v>46048</v>
      </c>
      <c r="D589" t="inlineStr">
        <is>
          <t>GOTLANDS LÄN</t>
        </is>
      </c>
      <c r="E589" t="inlineStr">
        <is>
          <t>GOTLAND</t>
        </is>
      </c>
      <c r="F589" t="inlineStr">
        <is>
          <t>Övriga Aktiebolag</t>
        </is>
      </c>
      <c r="G589" t="n">
        <v>1</v>
      </c>
      <c r="H589" t="n">
        <v>0</v>
      </c>
      <c r="I589" t="n">
        <v>0</v>
      </c>
      <c r="J589" t="n">
        <v>0</v>
      </c>
      <c r="K589" t="n">
        <v>0</v>
      </c>
      <c r="L589" t="n">
        <v>0</v>
      </c>
      <c r="M589" t="n">
        <v>0</v>
      </c>
      <c r="N589" t="n">
        <v>0</v>
      </c>
      <c r="O589" t="n">
        <v>0</v>
      </c>
      <c r="P589" t="n">
        <v>0</v>
      </c>
      <c r="Q589" t="n">
        <v>0</v>
      </c>
      <c r="R589" s="2" t="inlineStr"/>
    </row>
    <row r="590" ht="15" customHeight="1">
      <c r="A590" t="inlineStr">
        <is>
          <t>A 52637-2025</t>
        </is>
      </c>
      <c r="B590" s="1" t="n">
        <v>45954.75099537037</v>
      </c>
      <c r="C590" s="1" t="n">
        <v>46048</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53577-2025</t>
        </is>
      </c>
      <c r="B591" s="1" t="n">
        <v>45960.42224537037</v>
      </c>
      <c r="C591" s="1" t="n">
        <v>46048</v>
      </c>
      <c r="D591" t="inlineStr">
        <is>
          <t>GOTLANDS LÄN</t>
        </is>
      </c>
      <c r="E591" t="inlineStr">
        <is>
          <t>GOTLAND</t>
        </is>
      </c>
      <c r="F591" t="inlineStr">
        <is>
          <t>Övriga Aktiebolag</t>
        </is>
      </c>
      <c r="G591" t="n">
        <v>3.3</v>
      </c>
      <c r="H591" t="n">
        <v>0</v>
      </c>
      <c r="I591" t="n">
        <v>0</v>
      </c>
      <c r="J591" t="n">
        <v>0</v>
      </c>
      <c r="K591" t="n">
        <v>0</v>
      </c>
      <c r="L591" t="n">
        <v>0</v>
      </c>
      <c r="M591" t="n">
        <v>0</v>
      </c>
      <c r="N591" t="n">
        <v>0</v>
      </c>
      <c r="O591" t="n">
        <v>0</v>
      </c>
      <c r="P591" t="n">
        <v>0</v>
      </c>
      <c r="Q591" t="n">
        <v>0</v>
      </c>
      <c r="R591" s="2" t="inlineStr"/>
    </row>
    <row r="592" ht="15" customHeight="1">
      <c r="A592" t="inlineStr">
        <is>
          <t>A 53569-2025</t>
        </is>
      </c>
      <c r="B592" s="1" t="n">
        <v>45960.41155092593</v>
      </c>
      <c r="C592" s="1" t="n">
        <v>46048</v>
      </c>
      <c r="D592" t="inlineStr">
        <is>
          <t>GOTLANDS LÄN</t>
        </is>
      </c>
      <c r="E592" t="inlineStr">
        <is>
          <t>GOTLAND</t>
        </is>
      </c>
      <c r="F592" t="inlineStr">
        <is>
          <t>Övriga Aktiebolag</t>
        </is>
      </c>
      <c r="G592" t="n">
        <v>11.3</v>
      </c>
      <c r="H592" t="n">
        <v>0</v>
      </c>
      <c r="I592" t="n">
        <v>0</v>
      </c>
      <c r="J592" t="n">
        <v>0</v>
      </c>
      <c r="K592" t="n">
        <v>0</v>
      </c>
      <c r="L592" t="n">
        <v>0</v>
      </c>
      <c r="M592" t="n">
        <v>0</v>
      </c>
      <c r="N592" t="n">
        <v>0</v>
      </c>
      <c r="O592" t="n">
        <v>0</v>
      </c>
      <c r="P592" t="n">
        <v>0</v>
      </c>
      <c r="Q592" t="n">
        <v>0</v>
      </c>
      <c r="R592" s="2" t="inlineStr"/>
    </row>
    <row r="593" ht="15" customHeight="1">
      <c r="A593" t="inlineStr">
        <is>
          <t>A 53587-2025</t>
        </is>
      </c>
      <c r="B593" s="1" t="n">
        <v>45960.43681712963</v>
      </c>
      <c r="C593" s="1" t="n">
        <v>46048</v>
      </c>
      <c r="D593" t="inlineStr">
        <is>
          <t>GOTLANDS LÄN</t>
        </is>
      </c>
      <c r="E593" t="inlineStr">
        <is>
          <t>GOTLAND</t>
        </is>
      </c>
      <c r="F593" t="inlineStr">
        <is>
          <t>Övriga Aktiebolag</t>
        </is>
      </c>
      <c r="G593" t="n">
        <v>1.7</v>
      </c>
      <c r="H593" t="n">
        <v>0</v>
      </c>
      <c r="I593" t="n">
        <v>0</v>
      </c>
      <c r="J593" t="n">
        <v>0</v>
      </c>
      <c r="K593" t="n">
        <v>0</v>
      </c>
      <c r="L593" t="n">
        <v>0</v>
      </c>
      <c r="M593" t="n">
        <v>0</v>
      </c>
      <c r="N593" t="n">
        <v>0</v>
      </c>
      <c r="O593" t="n">
        <v>0</v>
      </c>
      <c r="P593" t="n">
        <v>0</v>
      </c>
      <c r="Q593" t="n">
        <v>0</v>
      </c>
      <c r="R593" s="2" t="inlineStr"/>
    </row>
    <row r="594" ht="15" customHeight="1">
      <c r="A594" t="inlineStr">
        <is>
          <t>A 54584-2025</t>
        </is>
      </c>
      <c r="B594" s="1" t="n">
        <v>45965.71788194445</v>
      </c>
      <c r="C594" s="1" t="n">
        <v>46048</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53561-2025</t>
        </is>
      </c>
      <c r="B595" s="1" t="n">
        <v>45960.4059375</v>
      </c>
      <c r="C595" s="1" t="n">
        <v>46048</v>
      </c>
      <c r="D595" t="inlineStr">
        <is>
          <t>GOTLANDS LÄN</t>
        </is>
      </c>
      <c r="E595" t="inlineStr">
        <is>
          <t>GOTLAND</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62066-2025</t>
        </is>
      </c>
      <c r="B596" s="1" t="n">
        <v>46006.34738425926</v>
      </c>
      <c r="C596" s="1" t="n">
        <v>46048</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63002-2025</t>
        </is>
      </c>
      <c r="B597" s="1" t="n">
        <v>46009.56564814815</v>
      </c>
      <c r="C597" s="1" t="n">
        <v>46048</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56688-2025</t>
        </is>
      </c>
      <c r="B598" s="1" t="n">
        <v>45975.84331018518</v>
      </c>
      <c r="C598" s="1" t="n">
        <v>46048</v>
      </c>
      <c r="D598" t="inlineStr">
        <is>
          <t>GOTLANDS LÄN</t>
        </is>
      </c>
      <c r="E598" t="inlineStr">
        <is>
          <t>GOTLAND</t>
        </is>
      </c>
      <c r="G598" t="n">
        <v>1.3</v>
      </c>
      <c r="H598" t="n">
        <v>0</v>
      </c>
      <c r="I598" t="n">
        <v>0</v>
      </c>
      <c r="J598" t="n">
        <v>0</v>
      </c>
      <c r="K598" t="n">
        <v>0</v>
      </c>
      <c r="L598" t="n">
        <v>0</v>
      </c>
      <c r="M598" t="n">
        <v>0</v>
      </c>
      <c r="N598" t="n">
        <v>0</v>
      </c>
      <c r="O598" t="n">
        <v>0</v>
      </c>
      <c r="P598" t="n">
        <v>0</v>
      </c>
      <c r="Q598" t="n">
        <v>0</v>
      </c>
      <c r="R598" s="2" t="inlineStr"/>
    </row>
    <row r="599" ht="15" customHeight="1">
      <c r="A599" t="inlineStr">
        <is>
          <t>A 56799-2025</t>
        </is>
      </c>
      <c r="B599" s="1" t="n">
        <v>45978.43392361111</v>
      </c>
      <c r="C599" s="1" t="n">
        <v>46048</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36-2026</t>
        </is>
      </c>
      <c r="B600" s="1" t="n">
        <v>46024.38886574074</v>
      </c>
      <c r="C600" s="1" t="n">
        <v>46048</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59197-2025</t>
        </is>
      </c>
      <c r="B601" s="1" t="n">
        <v>45988.59846064815</v>
      </c>
      <c r="C601" s="1" t="n">
        <v>46048</v>
      </c>
      <c r="D601" t="inlineStr">
        <is>
          <t>GOTLANDS LÄN</t>
        </is>
      </c>
      <c r="E601" t="inlineStr">
        <is>
          <t>GOTLAND</t>
        </is>
      </c>
      <c r="G601" t="n">
        <v>2.3</v>
      </c>
      <c r="H601" t="n">
        <v>0</v>
      </c>
      <c r="I601" t="n">
        <v>0</v>
      </c>
      <c r="J601" t="n">
        <v>0</v>
      </c>
      <c r="K601" t="n">
        <v>0</v>
      </c>
      <c r="L601" t="n">
        <v>0</v>
      </c>
      <c r="M601" t="n">
        <v>0</v>
      </c>
      <c r="N601" t="n">
        <v>0</v>
      </c>
      <c r="O601" t="n">
        <v>0</v>
      </c>
      <c r="P601" t="n">
        <v>0</v>
      </c>
      <c r="Q601" t="n">
        <v>0</v>
      </c>
      <c r="R601" s="2" t="inlineStr"/>
    </row>
    <row r="602" ht="15" customHeight="1">
      <c r="A602" t="inlineStr">
        <is>
          <t>A 1355-2026</t>
        </is>
      </c>
      <c r="B602" s="1" t="n">
        <v>46031.59909722222</v>
      </c>
      <c r="C602" s="1" t="n">
        <v>46048</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36319-2025</t>
        </is>
      </c>
      <c r="B603" s="1" t="n">
        <v>45868</v>
      </c>
      <c r="C603" s="1" t="n">
        <v>46048</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63152-2025</t>
        </is>
      </c>
      <c r="B604" s="1" t="n">
        <v>46010</v>
      </c>
      <c r="C604" s="1" t="n">
        <v>46048</v>
      </c>
      <c r="D604" t="inlineStr">
        <is>
          <t>GOTLANDS LÄN</t>
        </is>
      </c>
      <c r="E604" t="inlineStr">
        <is>
          <t>GOTLAND</t>
        </is>
      </c>
      <c r="G604" t="n">
        <v>1.5</v>
      </c>
      <c r="H604" t="n">
        <v>0</v>
      </c>
      <c r="I604" t="n">
        <v>0</v>
      </c>
      <c r="J604" t="n">
        <v>0</v>
      </c>
      <c r="K604" t="n">
        <v>0</v>
      </c>
      <c r="L604" t="n">
        <v>0</v>
      </c>
      <c r="M604" t="n">
        <v>0</v>
      </c>
      <c r="N604" t="n">
        <v>0</v>
      </c>
      <c r="O604" t="n">
        <v>0</v>
      </c>
      <c r="P604" t="n">
        <v>0</v>
      </c>
      <c r="Q604" t="n">
        <v>0</v>
      </c>
      <c r="R604" s="2" t="inlineStr"/>
    </row>
    <row r="605" ht="15" customHeight="1">
      <c r="A605" t="inlineStr">
        <is>
          <t>A 62674-2025</t>
        </is>
      </c>
      <c r="B605" s="1" t="n">
        <v>46008</v>
      </c>
      <c r="C605" s="1" t="n">
        <v>46048</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38649-2025</t>
        </is>
      </c>
      <c r="B606" s="1" t="n">
        <v>45884</v>
      </c>
      <c r="C606" s="1" t="n">
        <v>46048</v>
      </c>
      <c r="D606" t="inlineStr">
        <is>
          <t>GOTLANDS LÄN</t>
        </is>
      </c>
      <c r="E606" t="inlineStr">
        <is>
          <t>GOTLAND</t>
        </is>
      </c>
      <c r="G606" t="n">
        <v>1.5</v>
      </c>
      <c r="H606" t="n">
        <v>0</v>
      </c>
      <c r="I606" t="n">
        <v>0</v>
      </c>
      <c r="J606" t="n">
        <v>0</v>
      </c>
      <c r="K606" t="n">
        <v>0</v>
      </c>
      <c r="L606" t="n">
        <v>0</v>
      </c>
      <c r="M606" t="n">
        <v>0</v>
      </c>
      <c r="N606" t="n">
        <v>0</v>
      </c>
      <c r="O606" t="n">
        <v>0</v>
      </c>
      <c r="P606" t="n">
        <v>0</v>
      </c>
      <c r="Q606" t="n">
        <v>0</v>
      </c>
      <c r="R606" s="2" t="inlineStr"/>
    </row>
    <row r="607" ht="15" customHeight="1">
      <c r="A607" t="inlineStr">
        <is>
          <t>A 62836-2025</t>
        </is>
      </c>
      <c r="B607" s="1" t="n">
        <v>46008</v>
      </c>
      <c r="C607" s="1" t="n">
        <v>46048</v>
      </c>
      <c r="D607" t="inlineStr">
        <is>
          <t>GOTLANDS LÄN</t>
        </is>
      </c>
      <c r="E607" t="inlineStr">
        <is>
          <t>GOTLAND</t>
        </is>
      </c>
      <c r="G607" t="n">
        <v>6.5</v>
      </c>
      <c r="H607" t="n">
        <v>0</v>
      </c>
      <c r="I607" t="n">
        <v>0</v>
      </c>
      <c r="J607" t="n">
        <v>0</v>
      </c>
      <c r="K607" t="n">
        <v>0</v>
      </c>
      <c r="L607" t="n">
        <v>0</v>
      </c>
      <c r="M607" t="n">
        <v>0</v>
      </c>
      <c r="N607" t="n">
        <v>0</v>
      </c>
      <c r="O607" t="n">
        <v>0</v>
      </c>
      <c r="P607" t="n">
        <v>0</v>
      </c>
      <c r="Q607" t="n">
        <v>0</v>
      </c>
      <c r="R607" s="2" t="inlineStr"/>
    </row>
    <row r="608" ht="15" customHeight="1">
      <c r="A608" t="inlineStr">
        <is>
          <t>A 1839-2026</t>
        </is>
      </c>
      <c r="B608" s="1" t="n">
        <v>46035.3942824074</v>
      </c>
      <c r="C608" s="1" t="n">
        <v>46048</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1898-2026</t>
        </is>
      </c>
      <c r="B609" s="1" t="n">
        <v>46035.52024305556</v>
      </c>
      <c r="C609" s="1" t="n">
        <v>46048</v>
      </c>
      <c r="D609" t="inlineStr">
        <is>
          <t>GOTLANDS LÄN</t>
        </is>
      </c>
      <c r="E609" t="inlineStr">
        <is>
          <t>GOTLAND</t>
        </is>
      </c>
      <c r="G609" t="n">
        <v>3.7</v>
      </c>
      <c r="H609" t="n">
        <v>0</v>
      </c>
      <c r="I609" t="n">
        <v>0</v>
      </c>
      <c r="J609" t="n">
        <v>0</v>
      </c>
      <c r="K609" t="n">
        <v>0</v>
      </c>
      <c r="L609" t="n">
        <v>0</v>
      </c>
      <c r="M609" t="n">
        <v>0</v>
      </c>
      <c r="N609" t="n">
        <v>0</v>
      </c>
      <c r="O609" t="n">
        <v>0</v>
      </c>
      <c r="P609" t="n">
        <v>0</v>
      </c>
      <c r="Q609" t="n">
        <v>0</v>
      </c>
      <c r="R609" s="2" t="inlineStr"/>
    </row>
    <row r="610" ht="15" customHeight="1">
      <c r="A610" t="inlineStr">
        <is>
          <t>A 1854-2026</t>
        </is>
      </c>
      <c r="B610" s="1" t="n">
        <v>46035.4171875</v>
      </c>
      <c r="C610" s="1" t="n">
        <v>46048</v>
      </c>
      <c r="D610" t="inlineStr">
        <is>
          <t>GOTLANDS LÄN</t>
        </is>
      </c>
      <c r="E610" t="inlineStr">
        <is>
          <t>GOTLAND</t>
        </is>
      </c>
      <c r="G610" t="n">
        <v>3</v>
      </c>
      <c r="H610" t="n">
        <v>0</v>
      </c>
      <c r="I610" t="n">
        <v>0</v>
      </c>
      <c r="J610" t="n">
        <v>0</v>
      </c>
      <c r="K610" t="n">
        <v>0</v>
      </c>
      <c r="L610" t="n">
        <v>0</v>
      </c>
      <c r="M610" t="n">
        <v>0</v>
      </c>
      <c r="N610" t="n">
        <v>0</v>
      </c>
      <c r="O610" t="n">
        <v>0</v>
      </c>
      <c r="P610" t="n">
        <v>0</v>
      </c>
      <c r="Q610" t="n">
        <v>0</v>
      </c>
      <c r="R610" s="2" t="inlineStr"/>
    </row>
    <row r="611" ht="15" customHeight="1">
      <c r="A611" t="inlineStr">
        <is>
          <t>A 2415-2026</t>
        </is>
      </c>
      <c r="B611" s="1" t="n">
        <v>46036.76203703704</v>
      </c>
      <c r="C611" s="1" t="n">
        <v>46048</v>
      </c>
      <c r="D611" t="inlineStr">
        <is>
          <t>GOTLANDS LÄN</t>
        </is>
      </c>
      <c r="E611" t="inlineStr">
        <is>
          <t>GOTLAND</t>
        </is>
      </c>
      <c r="G611" t="n">
        <v>6.9</v>
      </c>
      <c r="H611" t="n">
        <v>0</v>
      </c>
      <c r="I611" t="n">
        <v>0</v>
      </c>
      <c r="J611" t="n">
        <v>0</v>
      </c>
      <c r="K611" t="n">
        <v>0</v>
      </c>
      <c r="L611" t="n">
        <v>0</v>
      </c>
      <c r="M611" t="n">
        <v>0</v>
      </c>
      <c r="N611" t="n">
        <v>0</v>
      </c>
      <c r="O611" t="n">
        <v>0</v>
      </c>
      <c r="P611" t="n">
        <v>0</v>
      </c>
      <c r="Q611" t="n">
        <v>0</v>
      </c>
      <c r="R611" s="2" t="inlineStr"/>
    </row>
    <row r="612" ht="15" customHeight="1">
      <c r="A612" t="inlineStr">
        <is>
          <t>A 62754-2025</t>
        </is>
      </c>
      <c r="B612" s="1" t="n">
        <v>46008</v>
      </c>
      <c r="C612" s="1" t="n">
        <v>46048</v>
      </c>
      <c r="D612" t="inlineStr">
        <is>
          <t>GOTLANDS LÄN</t>
        </is>
      </c>
      <c r="E612" t="inlineStr">
        <is>
          <t>GOTLAND</t>
        </is>
      </c>
      <c r="F612" t="inlineStr">
        <is>
          <t>Övriga Aktiebolag</t>
        </is>
      </c>
      <c r="G612" t="n">
        <v>2.9</v>
      </c>
      <c r="H612" t="n">
        <v>0</v>
      </c>
      <c r="I612" t="n">
        <v>0</v>
      </c>
      <c r="J612" t="n">
        <v>0</v>
      </c>
      <c r="K612" t="n">
        <v>0</v>
      </c>
      <c r="L612" t="n">
        <v>0</v>
      </c>
      <c r="M612" t="n">
        <v>0</v>
      </c>
      <c r="N612" t="n">
        <v>0</v>
      </c>
      <c r="O612" t="n">
        <v>0</v>
      </c>
      <c r="P612" t="n">
        <v>0</v>
      </c>
      <c r="Q612" t="n">
        <v>0</v>
      </c>
      <c r="R612" s="2" t="inlineStr"/>
    </row>
    <row r="613" ht="15" customHeight="1">
      <c r="A613" t="inlineStr">
        <is>
          <t>A 2134-2026</t>
        </is>
      </c>
      <c r="B613" s="1" t="n">
        <v>46036</v>
      </c>
      <c r="C613" s="1" t="n">
        <v>46048</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2135-2026</t>
        </is>
      </c>
      <c r="B614" s="1" t="n">
        <v>46036</v>
      </c>
      <c r="C614" s="1" t="n">
        <v>46048</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63000-2025</t>
        </is>
      </c>
      <c r="B615" s="1" t="n">
        <v>46009</v>
      </c>
      <c r="C615" s="1" t="n">
        <v>46048</v>
      </c>
      <c r="D615" t="inlineStr">
        <is>
          <t>GOTLANDS LÄN</t>
        </is>
      </c>
      <c r="E615" t="inlineStr">
        <is>
          <t>GOTLAND</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63105-2025</t>
        </is>
      </c>
      <c r="B616" s="1" t="n">
        <v>46009</v>
      </c>
      <c r="C616" s="1" t="n">
        <v>46048</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60384-2025</t>
        </is>
      </c>
      <c r="B617" s="1" t="n">
        <v>45995</v>
      </c>
      <c r="C617" s="1" t="n">
        <v>46048</v>
      </c>
      <c r="D617" t="inlineStr">
        <is>
          <t>GOTLANDS LÄN</t>
        </is>
      </c>
      <c r="E617" t="inlineStr">
        <is>
          <t>GOTLAND</t>
        </is>
      </c>
      <c r="G617" t="n">
        <v>2.5</v>
      </c>
      <c r="H617" t="n">
        <v>0</v>
      </c>
      <c r="I617" t="n">
        <v>0</v>
      </c>
      <c r="J617" t="n">
        <v>0</v>
      </c>
      <c r="K617" t="n">
        <v>0</v>
      </c>
      <c r="L617" t="n">
        <v>0</v>
      </c>
      <c r="M617" t="n">
        <v>0</v>
      </c>
      <c r="N617" t="n">
        <v>0</v>
      </c>
      <c r="O617" t="n">
        <v>0</v>
      </c>
      <c r="P617" t="n">
        <v>0</v>
      </c>
      <c r="Q617" t="n">
        <v>0</v>
      </c>
      <c r="R617" s="2" t="inlineStr"/>
    </row>
    <row r="618" ht="15" customHeight="1">
      <c r="A618" t="inlineStr">
        <is>
          <t>A 62103-2025</t>
        </is>
      </c>
      <c r="B618" s="1" t="n">
        <v>46006</v>
      </c>
      <c r="C618" s="1" t="n">
        <v>46048</v>
      </c>
      <c r="D618" t="inlineStr">
        <is>
          <t>GOTLANDS LÄN</t>
        </is>
      </c>
      <c r="E618" t="inlineStr">
        <is>
          <t>GOTLAND</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3067-2026</t>
        </is>
      </c>
      <c r="B619" s="1" t="n">
        <v>46040.59025462963</v>
      </c>
      <c r="C619" s="1" t="n">
        <v>46048</v>
      </c>
      <c r="D619" t="inlineStr">
        <is>
          <t>GOTLANDS LÄN</t>
        </is>
      </c>
      <c r="E619" t="inlineStr">
        <is>
          <t>GOTLAND</t>
        </is>
      </c>
      <c r="G619" t="n">
        <v>7.8</v>
      </c>
      <c r="H619" t="n">
        <v>0</v>
      </c>
      <c r="I619" t="n">
        <v>0</v>
      </c>
      <c r="J619" t="n">
        <v>0</v>
      </c>
      <c r="K619" t="n">
        <v>0</v>
      </c>
      <c r="L619" t="n">
        <v>0</v>
      </c>
      <c r="M619" t="n">
        <v>0</v>
      </c>
      <c r="N619" t="n">
        <v>0</v>
      </c>
      <c r="O619" t="n">
        <v>0</v>
      </c>
      <c r="P619" t="n">
        <v>0</v>
      </c>
      <c r="Q619" t="n">
        <v>0</v>
      </c>
      <c r="R619" s="2" t="inlineStr"/>
    </row>
    <row r="620" ht="15" customHeight="1">
      <c r="A620" t="inlineStr">
        <is>
          <t>A 62751-2025</t>
        </is>
      </c>
      <c r="B620" s="1" t="n">
        <v>46008</v>
      </c>
      <c r="C620" s="1" t="n">
        <v>46048</v>
      </c>
      <c r="D620" t="inlineStr">
        <is>
          <t>GOTLANDS LÄN</t>
        </is>
      </c>
      <c r="E620" t="inlineStr">
        <is>
          <t>GOTLAND</t>
        </is>
      </c>
      <c r="F620" t="inlineStr">
        <is>
          <t>Övriga Aktiebolag</t>
        </is>
      </c>
      <c r="G620" t="n">
        <v>7.8</v>
      </c>
      <c r="H620" t="n">
        <v>0</v>
      </c>
      <c r="I620" t="n">
        <v>0</v>
      </c>
      <c r="J620" t="n">
        <v>0</v>
      </c>
      <c r="K620" t="n">
        <v>0</v>
      </c>
      <c r="L620" t="n">
        <v>0</v>
      </c>
      <c r="M620" t="n">
        <v>0</v>
      </c>
      <c r="N620" t="n">
        <v>0</v>
      </c>
      <c r="O620" t="n">
        <v>0</v>
      </c>
      <c r="P620" t="n">
        <v>0</v>
      </c>
      <c r="Q620" t="n">
        <v>0</v>
      </c>
      <c r="R620" s="2" t="inlineStr"/>
    </row>
    <row r="621" ht="15" customHeight="1">
      <c r="A621" t="inlineStr">
        <is>
          <t>A 3253-2026</t>
        </is>
      </c>
      <c r="B621" s="1" t="n">
        <v>46041.58902777778</v>
      </c>
      <c r="C621" s="1" t="n">
        <v>46048</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61078-2025</t>
        </is>
      </c>
      <c r="B622" s="1" t="n">
        <v>46000</v>
      </c>
      <c r="C622" s="1" t="n">
        <v>46048</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61080-2025</t>
        </is>
      </c>
      <c r="B623" s="1" t="n">
        <v>46000</v>
      </c>
      <c r="C623" s="1" t="n">
        <v>46048</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c r="A624" t="inlineStr">
        <is>
          <t>A 47147-2025</t>
        </is>
      </c>
      <c r="B624" s="1" t="n">
        <v>45929</v>
      </c>
      <c r="C624" s="1" t="n">
        <v>46048</v>
      </c>
      <c r="D624" t="inlineStr">
        <is>
          <t>GOTLANDS LÄN</t>
        </is>
      </c>
      <c r="E624" t="inlineStr">
        <is>
          <t>GOTLAND</t>
        </is>
      </c>
      <c r="G624" t="n">
        <v>2.3</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2026-01-26T11:02:57Z</dcterms:created>
  <dcterms:modified xmlns:dcterms="http://purl.org/dc/terms/" xmlns:xsi="http://www.w3.org/2001/XMLSchema-instance" xsi:type="dcterms:W3CDTF">2026-01-26T11:02:57Z</dcterms:modified>
</cp:coreProperties>
</file>