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46164</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46164</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46164</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46164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46164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46164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46164</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46164</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2222-2024</t>
        </is>
      </c>
      <c r="B29" s="1" t="n">
        <v>45309</v>
      </c>
      <c r="C29" s="1" t="n">
        <v>46164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46164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46164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46164</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46164</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46164</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45248-2024</t>
        </is>
      </c>
      <c r="B46" s="1" t="n">
        <v>45576</v>
      </c>
      <c r="C46" s="1" t="n">
        <v>46164</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17766-2024</t>
        </is>
      </c>
      <c r="B47" s="1" t="n">
        <v>45418</v>
      </c>
      <c r="C47" s="1" t="n">
        <v>46164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1719-2025</t>
        </is>
      </c>
      <c r="B48" s="1" t="n">
        <v>45671</v>
      </c>
      <c r="C48" s="1" t="n">
        <v>46164</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27280-2023</t>
        </is>
      </c>
      <c r="B49" s="1" t="n">
        <v>45096</v>
      </c>
      <c r="C49" s="1" t="n">
        <v>46164</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14354-2024</t>
        </is>
      </c>
      <c r="B50" s="1" t="n">
        <v>45393</v>
      </c>
      <c r="C50" s="1" t="n">
        <v>46164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46164</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46164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46164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46164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46164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46164</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46164</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46164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46164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46164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54527-2023</t>
        </is>
      </c>
      <c r="B74" s="1" t="n">
        <v>45233</v>
      </c>
      <c r="C74" s="1" t="n">
        <v>46164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46164</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46164</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46164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46164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6839-2026</t>
        </is>
      </c>
      <c r="B80" s="1" t="n">
        <v>46057.41193287037</v>
      </c>
      <c r="C80" s="1" t="n">
        <v>46164</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35293-2025</t>
        </is>
      </c>
      <c r="B81" s="1" t="n">
        <v>45854.39438657407</v>
      </c>
      <c r="C81" s="1" t="n">
        <v>46164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46164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46164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46164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46164</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46164</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46164</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46164</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46164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46164</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46164</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44933-2022</t>
        </is>
      </c>
      <c r="B94" s="1" t="n">
        <v>44841</v>
      </c>
      <c r="C94" s="1" t="n">
        <v>46164</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13203-2026</t>
        </is>
      </c>
      <c r="B95" s="1" t="n">
        <v>46093</v>
      </c>
      <c r="C95" s="1" t="n">
        <v>46164</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54523-2023</t>
        </is>
      </c>
      <c r="B96" s="1" t="n">
        <v>45233</v>
      </c>
      <c r="C96" s="1" t="n">
        <v>46164</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46164</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46164</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46164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46164</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46164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46164</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46164</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46164</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46164</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43013-2022</t>
        </is>
      </c>
      <c r="B111" s="1" t="n">
        <v>44833</v>
      </c>
      <c r="C111" s="1" t="n">
        <v>46164</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46164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46164</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46164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46164</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46164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46164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46164</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46164</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46164</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20429-2025</t>
        </is>
      </c>
      <c r="B128" s="1" t="n">
        <v>45775.47728009259</v>
      </c>
      <c r="C128" s="1" t="n">
        <v>46164</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46164</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46164</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46164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46164</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16997-2026</t>
        </is>
      </c>
      <c r="B133" s="1" t="n">
        <v>46114.42539351852</v>
      </c>
      <c r="C133" s="1" t="n">
        <v>46164</v>
      </c>
      <c r="D133" t="inlineStr">
        <is>
          <t>GOTLANDS LÄN</t>
        </is>
      </c>
      <c r="E133" t="inlineStr">
        <is>
          <t>GOTLAND</t>
        </is>
      </c>
      <c r="G133" t="n">
        <v>0.7</v>
      </c>
      <c r="H133" t="n">
        <v>0</v>
      </c>
      <c r="I133" t="n">
        <v>1</v>
      </c>
      <c r="J133" t="n">
        <v>0</v>
      </c>
      <c r="K133" t="n">
        <v>0</v>
      </c>
      <c r="L133" t="n">
        <v>1</v>
      </c>
      <c r="M133" t="n">
        <v>0</v>
      </c>
      <c r="N133" t="n">
        <v>0</v>
      </c>
      <c r="O133" t="n">
        <v>1</v>
      </c>
      <c r="P133" t="n">
        <v>1</v>
      </c>
      <c r="Q133" t="n">
        <v>2</v>
      </c>
      <c r="R133" s="2" t="inlineStr">
        <is>
          <t>Ask
Hasselticka</t>
        </is>
      </c>
      <c r="S133">
        <f>HYPERLINK("https://klasma.github.io/Logging_0980/artfynd/A 16997-2026 artfynd.xlsx", "A 16997-2026")</f>
        <v/>
      </c>
      <c r="T133">
        <f>HYPERLINK("https://klasma.github.io/Logging_0980/kartor/A 16997-2026 karta.png", "A 16997-2026")</f>
        <v/>
      </c>
      <c r="V133">
        <f>HYPERLINK("https://klasma.github.io/Logging_0980/klagomål/A 16997-2026 FSC-klagomål.docx", "A 16997-2026")</f>
        <v/>
      </c>
      <c r="W133">
        <f>HYPERLINK("https://klasma.github.io/Logging_0980/klagomålsmail/A 16997-2026 FSC-klagomål mail.docx", "A 16997-2026")</f>
        <v/>
      </c>
      <c r="X133">
        <f>HYPERLINK("https://klasma.github.io/Logging_0980/tillsyn/A 16997-2026 tillsynsbegäran.docx", "A 16997-2026")</f>
        <v/>
      </c>
      <c r="Y133">
        <f>HYPERLINK("https://klasma.github.io/Logging_0980/tillsynsmail/A 16997-2026 tillsynsbegäran mail.docx", "A 16997-2026")</f>
        <v/>
      </c>
    </row>
    <row r="134" ht="15" customHeight="1">
      <c r="A134" t="inlineStr">
        <is>
          <t>A 17328-2026</t>
        </is>
      </c>
      <c r="B134" s="1" t="n">
        <v>46119.61216435185</v>
      </c>
      <c r="C134" s="1" t="n">
        <v>46164</v>
      </c>
      <c r="D134" t="inlineStr">
        <is>
          <t>GOTLANDS LÄN</t>
        </is>
      </c>
      <c r="E134" t="inlineStr">
        <is>
          <t>GOTLAND</t>
        </is>
      </c>
      <c r="F134" t="inlineStr">
        <is>
          <t>Kyrkan</t>
        </is>
      </c>
      <c r="G134" t="n">
        <v>4</v>
      </c>
      <c r="H134" t="n">
        <v>1</v>
      </c>
      <c r="I134" t="n">
        <v>0</v>
      </c>
      <c r="J134" t="n">
        <v>2</v>
      </c>
      <c r="K134" t="n">
        <v>0</v>
      </c>
      <c r="L134" t="n">
        <v>0</v>
      </c>
      <c r="M134" t="n">
        <v>0</v>
      </c>
      <c r="N134" t="n">
        <v>0</v>
      </c>
      <c r="O134" t="n">
        <v>2</v>
      </c>
      <c r="P134" t="n">
        <v>0</v>
      </c>
      <c r="Q134" t="n">
        <v>2</v>
      </c>
      <c r="R134" s="2" t="inlineStr">
        <is>
          <t>Backtimjan
Spillkråka</t>
        </is>
      </c>
      <c r="S134">
        <f>HYPERLINK("https://klasma.github.io/Logging_0980/artfynd/A 17328-2026 artfynd.xlsx", "A 17328-2026")</f>
        <v/>
      </c>
      <c r="T134">
        <f>HYPERLINK("https://klasma.github.io/Logging_0980/kartor/A 17328-2026 karta.png", "A 17328-2026")</f>
        <v/>
      </c>
      <c r="V134">
        <f>HYPERLINK("https://klasma.github.io/Logging_0980/klagomål/A 17328-2026 FSC-klagomål.docx", "A 17328-2026")</f>
        <v/>
      </c>
      <c r="W134">
        <f>HYPERLINK("https://klasma.github.io/Logging_0980/klagomålsmail/A 17328-2026 FSC-klagomål mail.docx", "A 17328-2026")</f>
        <v/>
      </c>
      <c r="X134">
        <f>HYPERLINK("https://klasma.github.io/Logging_0980/tillsyn/A 17328-2026 tillsynsbegäran.docx", "A 17328-2026")</f>
        <v/>
      </c>
      <c r="Y134">
        <f>HYPERLINK("https://klasma.github.io/Logging_0980/tillsynsmail/A 17328-2026 tillsynsbegäran mail.docx", "A 17328-2026")</f>
        <v/>
      </c>
      <c r="Z134">
        <f>HYPERLINK("https://klasma.github.io/Logging_0980/fåglar/A 17328-2026 prioriterade fågelarter.docx", "A 17328-2026")</f>
        <v/>
      </c>
    </row>
    <row r="135" ht="15" customHeight="1">
      <c r="A135" t="inlineStr">
        <is>
          <t>A 12914-2025</t>
        </is>
      </c>
      <c r="B135" s="1" t="n">
        <v>45733</v>
      </c>
      <c r="C135" s="1" t="n">
        <v>46164</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46164</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46164</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46164</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46164</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46164</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46164</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46164</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46164</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65927-2021</t>
        </is>
      </c>
      <c r="B145" s="1" t="n">
        <v>44516</v>
      </c>
      <c r="C145" s="1" t="n">
        <v>46164</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46164</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6739-2025</t>
        </is>
      </c>
      <c r="B147" s="1" t="n">
        <v>45700</v>
      </c>
      <c r="C147" s="1" t="n">
        <v>46164</v>
      </c>
      <c r="D147" t="inlineStr">
        <is>
          <t>GOTLANDS LÄN</t>
        </is>
      </c>
      <c r="E147" t="inlineStr">
        <is>
          <t>GOTLAND</t>
        </is>
      </c>
      <c r="G147" t="n">
        <v>4.5</v>
      </c>
      <c r="H147" t="n">
        <v>1</v>
      </c>
      <c r="I147" t="n">
        <v>0</v>
      </c>
      <c r="J147" t="n">
        <v>0</v>
      </c>
      <c r="K147" t="n">
        <v>0</v>
      </c>
      <c r="L147" t="n">
        <v>0</v>
      </c>
      <c r="M147" t="n">
        <v>0</v>
      </c>
      <c r="N147" t="n">
        <v>0</v>
      </c>
      <c r="O147" t="n">
        <v>0</v>
      </c>
      <c r="P147" t="n">
        <v>0</v>
      </c>
      <c r="Q147" t="n">
        <v>1</v>
      </c>
      <c r="R147" s="2" t="inlineStr">
        <is>
          <t>Röd glada</t>
        </is>
      </c>
      <c r="S147">
        <f>HYPERLINK("https://klasma.github.io/Logging_0980/artfynd/A 6739-2025 artfynd.xlsx", "A 6739-2025")</f>
        <v/>
      </c>
      <c r="T147">
        <f>HYPERLINK("https://klasma.github.io/Logging_0980/kartor/A 6739-2025 karta.png", "A 6739-2025")</f>
        <v/>
      </c>
      <c r="V147">
        <f>HYPERLINK("https://klasma.github.io/Logging_0980/klagomål/A 6739-2025 FSC-klagomål.docx", "A 6739-2025")</f>
        <v/>
      </c>
      <c r="W147">
        <f>HYPERLINK("https://klasma.github.io/Logging_0980/klagomålsmail/A 6739-2025 FSC-klagomål mail.docx", "A 6739-2025")</f>
        <v/>
      </c>
      <c r="X147">
        <f>HYPERLINK("https://klasma.github.io/Logging_0980/tillsyn/A 6739-2025 tillsynsbegäran.docx", "A 6739-2025")</f>
        <v/>
      </c>
      <c r="Y147">
        <f>HYPERLINK("https://klasma.github.io/Logging_0980/tillsynsmail/A 6739-2025 tillsynsbegäran mail.docx", "A 6739-2025")</f>
        <v/>
      </c>
      <c r="Z147">
        <f>HYPERLINK("https://klasma.github.io/Logging_0980/fåglar/A 6739-2025 prioriterade fågelarter.docx", "A 6739-2025")</f>
        <v/>
      </c>
    </row>
    <row r="148" ht="15" customHeight="1">
      <c r="A148" t="inlineStr">
        <is>
          <t>A 61796-2022</t>
        </is>
      </c>
      <c r="B148" s="1" t="n">
        <v>44917</v>
      </c>
      <c r="C148" s="1" t="n">
        <v>46164</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39812-2025</t>
        </is>
      </c>
      <c r="B149" s="1" t="n">
        <v>45891</v>
      </c>
      <c r="C149" s="1" t="n">
        <v>46164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15637-2024</t>
        </is>
      </c>
      <c r="B150" s="1" t="n">
        <v>45403.6684837963</v>
      </c>
      <c r="C150" s="1" t="n">
        <v>46164</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34141-2024</t>
        </is>
      </c>
      <c r="B151" s="1" t="n">
        <v>45524.36229166666</v>
      </c>
      <c r="C151" s="1" t="n">
        <v>46164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35467-2021</t>
        </is>
      </c>
      <c r="B152" s="1" t="n">
        <v>44385</v>
      </c>
      <c r="C152" s="1" t="n">
        <v>46164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9862-2024</t>
        </is>
      </c>
      <c r="B153" s="1" t="n">
        <v>45363</v>
      </c>
      <c r="C153" s="1" t="n">
        <v>46164</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44619-2025</t>
        </is>
      </c>
      <c r="B154" s="1" t="n">
        <v>45917</v>
      </c>
      <c r="C154" s="1" t="n">
        <v>46164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2476-2025</t>
        </is>
      </c>
      <c r="B155" s="1" t="n">
        <v>45673</v>
      </c>
      <c r="C155" s="1" t="n">
        <v>46164</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46164</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62552-2022</t>
        </is>
      </c>
      <c r="B157" s="1" t="n">
        <v>44924</v>
      </c>
      <c r="C157" s="1" t="n">
        <v>46164</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12924-2025</t>
        </is>
      </c>
      <c r="B158" s="1" t="n">
        <v>45734</v>
      </c>
      <c r="C158" s="1" t="n">
        <v>46164</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44088-2022</t>
        </is>
      </c>
      <c r="B159" s="1" t="n">
        <v>44839</v>
      </c>
      <c r="C159" s="1" t="n">
        <v>46164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49726-2025</t>
        </is>
      </c>
      <c r="B160" s="1" t="n">
        <v>45939.84466435185</v>
      </c>
      <c r="C160" s="1" t="n">
        <v>46164</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10013-2026</t>
        </is>
      </c>
      <c r="B161" s="1" t="n">
        <v>46073</v>
      </c>
      <c r="C161" s="1" t="n">
        <v>46164</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44308-2021</t>
        </is>
      </c>
      <c r="B162" s="1" t="n">
        <v>44434</v>
      </c>
      <c r="C162" s="1" t="n">
        <v>46164</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18036-2026</t>
        </is>
      </c>
      <c r="B163" s="1" t="n">
        <v>46125.39576388889</v>
      </c>
      <c r="C163" s="1" t="n">
        <v>46164</v>
      </c>
      <c r="D163" t="inlineStr">
        <is>
          <t>GOTLANDS LÄN</t>
        </is>
      </c>
      <c r="E163" t="inlineStr">
        <is>
          <t>GOTLAND</t>
        </is>
      </c>
      <c r="G163" t="n">
        <v>1.8</v>
      </c>
      <c r="H163" t="n">
        <v>0</v>
      </c>
      <c r="I163" t="n">
        <v>0</v>
      </c>
      <c r="J163" t="n">
        <v>1</v>
      </c>
      <c r="K163" t="n">
        <v>0</v>
      </c>
      <c r="L163" t="n">
        <v>0</v>
      </c>
      <c r="M163" t="n">
        <v>0</v>
      </c>
      <c r="N163" t="n">
        <v>0</v>
      </c>
      <c r="O163" t="n">
        <v>1</v>
      </c>
      <c r="P163" t="n">
        <v>0</v>
      </c>
      <c r="Q163" t="n">
        <v>1</v>
      </c>
      <c r="R163" s="2" t="inlineStr">
        <is>
          <t>Sommarfibbla</t>
        </is>
      </c>
      <c r="S163">
        <f>HYPERLINK("https://klasma.github.io/Logging_0980/artfynd/A 18036-2026 artfynd.xlsx", "A 18036-2026")</f>
        <v/>
      </c>
      <c r="T163">
        <f>HYPERLINK("https://klasma.github.io/Logging_0980/kartor/A 18036-2026 karta.png", "A 18036-2026")</f>
        <v/>
      </c>
      <c r="V163">
        <f>HYPERLINK("https://klasma.github.io/Logging_0980/klagomål/A 18036-2026 FSC-klagomål.docx", "A 18036-2026")</f>
        <v/>
      </c>
      <c r="W163">
        <f>HYPERLINK("https://klasma.github.io/Logging_0980/klagomålsmail/A 18036-2026 FSC-klagomål mail.docx", "A 18036-2026")</f>
        <v/>
      </c>
      <c r="X163">
        <f>HYPERLINK("https://klasma.github.io/Logging_0980/tillsyn/A 18036-2026 tillsynsbegäran.docx", "A 18036-2026")</f>
        <v/>
      </c>
      <c r="Y163">
        <f>HYPERLINK("https://klasma.github.io/Logging_0980/tillsynsmail/A 18036-2026 tillsynsbegäran mail.docx", "A 18036-2026")</f>
        <v/>
      </c>
    </row>
    <row r="164" ht="15" customHeight="1">
      <c r="A164" t="inlineStr">
        <is>
          <t>A 447-2023</t>
        </is>
      </c>
      <c r="B164" s="1" t="n">
        <v>44929</v>
      </c>
      <c r="C164" s="1" t="n">
        <v>46164</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11708-2026</t>
        </is>
      </c>
      <c r="B165" s="1" t="n">
        <v>46084</v>
      </c>
      <c r="C165" s="1" t="n">
        <v>46164</v>
      </c>
      <c r="D165" t="inlineStr">
        <is>
          <t>GOTLANDS LÄN</t>
        </is>
      </c>
      <c r="E165" t="inlineStr">
        <is>
          <t>GOTLAND</t>
        </is>
      </c>
      <c r="G165" t="n">
        <v>8.4</v>
      </c>
      <c r="H165" t="n">
        <v>1</v>
      </c>
      <c r="I165" t="n">
        <v>0</v>
      </c>
      <c r="J165" t="n">
        <v>1</v>
      </c>
      <c r="K165" t="n">
        <v>0</v>
      </c>
      <c r="L165" t="n">
        <v>0</v>
      </c>
      <c r="M165" t="n">
        <v>0</v>
      </c>
      <c r="N165" t="n">
        <v>0</v>
      </c>
      <c r="O165" t="n">
        <v>1</v>
      </c>
      <c r="P165" t="n">
        <v>0</v>
      </c>
      <c r="Q165" t="n">
        <v>1</v>
      </c>
      <c r="R165" s="2" t="inlineStr">
        <is>
          <t>Bredarun</t>
        </is>
      </c>
      <c r="S165">
        <f>HYPERLINK("https://klasma.github.io/Logging_0980/artfynd/A 11708-2026 artfynd.xlsx", "A 11708-2026")</f>
        <v/>
      </c>
      <c r="T165">
        <f>HYPERLINK("https://klasma.github.io/Logging_0980/kartor/A 11708-2026 karta.png", "A 11708-2026")</f>
        <v/>
      </c>
      <c r="V165">
        <f>HYPERLINK("https://klasma.github.io/Logging_0980/klagomål/A 11708-2026 FSC-klagomål.docx", "A 11708-2026")</f>
        <v/>
      </c>
      <c r="W165">
        <f>HYPERLINK("https://klasma.github.io/Logging_0980/klagomålsmail/A 11708-2026 FSC-klagomål mail.docx", "A 11708-2026")</f>
        <v/>
      </c>
      <c r="X165">
        <f>HYPERLINK("https://klasma.github.io/Logging_0980/tillsyn/A 11708-2026 tillsynsbegäran.docx", "A 11708-2026")</f>
        <v/>
      </c>
      <c r="Y165">
        <f>HYPERLINK("https://klasma.github.io/Logging_0980/tillsynsmail/A 11708-2026 tillsynsbegäran mail.docx", "A 11708-2026")</f>
        <v/>
      </c>
    </row>
    <row r="166" ht="15" customHeight="1">
      <c r="A166" t="inlineStr">
        <is>
          <t>A 947-2023</t>
        </is>
      </c>
      <c r="B166" s="1" t="n">
        <v>44934</v>
      </c>
      <c r="C166" s="1" t="n">
        <v>46164</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46164</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46164</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46164</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46164</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46164</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46164</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46164</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46164</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46164</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46164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46164</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v>
      </c>
      <c r="C178" s="1" t="n">
        <v>46164</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17854-2026</t>
        </is>
      </c>
      <c r="B179" s="1" t="n">
        <v>46121</v>
      </c>
      <c r="C179" s="1" t="n">
        <v>46164</v>
      </c>
      <c r="D179" t="inlineStr">
        <is>
          <t>GOTLANDS LÄN</t>
        </is>
      </c>
      <c r="E179" t="inlineStr">
        <is>
          <t>GOTLAND</t>
        </is>
      </c>
      <c r="G179" t="n">
        <v>6.6</v>
      </c>
      <c r="H179" t="n">
        <v>0</v>
      </c>
      <c r="I179" t="n">
        <v>1</v>
      </c>
      <c r="J179" t="n">
        <v>0</v>
      </c>
      <c r="K179" t="n">
        <v>0</v>
      </c>
      <c r="L179" t="n">
        <v>0</v>
      </c>
      <c r="M179" t="n">
        <v>0</v>
      </c>
      <c r="N179" t="n">
        <v>0</v>
      </c>
      <c r="O179" t="n">
        <v>0</v>
      </c>
      <c r="P179" t="n">
        <v>0</v>
      </c>
      <c r="Q179" t="n">
        <v>1</v>
      </c>
      <c r="R179" s="2" t="inlineStr">
        <is>
          <t>Blå slemspindling</t>
        </is>
      </c>
      <c r="S179">
        <f>HYPERLINK("https://klasma.github.io/Logging_0980/artfynd/A 17854-2026 artfynd.xlsx", "A 17854-2026")</f>
        <v/>
      </c>
      <c r="T179">
        <f>HYPERLINK("https://klasma.github.io/Logging_0980/kartor/A 17854-2026 karta.png", "A 17854-2026")</f>
        <v/>
      </c>
      <c r="V179">
        <f>HYPERLINK("https://klasma.github.io/Logging_0980/klagomål/A 17854-2026 FSC-klagomål.docx", "A 17854-2026")</f>
        <v/>
      </c>
      <c r="W179">
        <f>HYPERLINK("https://klasma.github.io/Logging_0980/klagomålsmail/A 17854-2026 FSC-klagomål mail.docx", "A 17854-2026")</f>
        <v/>
      </c>
      <c r="X179">
        <f>HYPERLINK("https://klasma.github.io/Logging_0980/tillsyn/A 17854-2026 tillsynsbegäran.docx", "A 17854-2026")</f>
        <v/>
      </c>
      <c r="Y179">
        <f>HYPERLINK("https://klasma.github.io/Logging_0980/tillsynsmail/A 17854-2026 tillsynsbegäran mail.docx", "A 17854-2026")</f>
        <v/>
      </c>
    </row>
    <row r="180" ht="15" customHeight="1">
      <c r="A180" t="inlineStr">
        <is>
          <t>A 61561-2023</t>
        </is>
      </c>
      <c r="B180" s="1" t="n">
        <v>45265</v>
      </c>
      <c r="C180" s="1" t="n">
        <v>46164</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46164</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46164</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46164</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46164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46164</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46164</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46164</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46164</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46164</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36313-2021</t>
        </is>
      </c>
      <c r="B190" s="1" t="n">
        <v>44390</v>
      </c>
      <c r="C190" s="1" t="n">
        <v>46164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46164</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46164</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46164</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46164</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46164</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46164</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46164</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46164</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46164</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46164</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46164</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46164</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46164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46164</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46164</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46164</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46164</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46164</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46164</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46164</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46164</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9613-2025</t>
        </is>
      </c>
      <c r="B224" s="1" t="n">
        <v>45715</v>
      </c>
      <c r="C224" s="1" t="n">
        <v>46164</v>
      </c>
      <c r="D224" t="inlineStr">
        <is>
          <t>GOTLANDS LÄN</t>
        </is>
      </c>
      <c r="E224" t="inlineStr">
        <is>
          <t>GOTLAND</t>
        </is>
      </c>
      <c r="G224" t="n">
        <v>3.5</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46164</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46164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46164</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46164</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46164</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46164</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46164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46164</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46164</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46164</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46164</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46164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46164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46164</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46164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46164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30365-2024</t>
        </is>
      </c>
      <c r="B241" s="1" t="n">
        <v>45491.3716087963</v>
      </c>
      <c r="C241" s="1" t="n">
        <v>46164</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46164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1273-2023</t>
        </is>
      </c>
      <c r="B243" s="1" t="n">
        <v>44936</v>
      </c>
      <c r="C243" s="1" t="n">
        <v>46164</v>
      </c>
      <c r="D243" t="inlineStr">
        <is>
          <t>GOTLANDS LÄN</t>
        </is>
      </c>
      <c r="E243" t="inlineStr">
        <is>
          <t>GOTLAND</t>
        </is>
      </c>
      <c r="G243" t="n">
        <v>4.5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46164</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46164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45692-2023</t>
        </is>
      </c>
      <c r="B246" s="1" t="n">
        <v>45195</v>
      </c>
      <c r="C246" s="1" t="n">
        <v>46164</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46164</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46164</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46164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61682-2024</t>
        </is>
      </c>
      <c r="B250" s="1" t="n">
        <v>45647.48824074074</v>
      </c>
      <c r="C250" s="1" t="n">
        <v>46164</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58388-2022</t>
        </is>
      </c>
      <c r="B251" s="1" t="n">
        <v>44894</v>
      </c>
      <c r="C251" s="1" t="n">
        <v>46164</v>
      </c>
      <c r="D251" t="inlineStr">
        <is>
          <t>GOTLANDS LÄN</t>
        </is>
      </c>
      <c r="E251" t="inlineStr">
        <is>
          <t>GOTLAND</t>
        </is>
      </c>
      <c r="F251" t="inlineStr">
        <is>
          <t>Övriga statliga verk och myndigheter</t>
        </is>
      </c>
      <c r="G251" t="n">
        <v>3.1</v>
      </c>
      <c r="H251" t="n">
        <v>0</v>
      </c>
      <c r="I251" t="n">
        <v>0</v>
      </c>
      <c r="J251" t="n">
        <v>0</v>
      </c>
      <c r="K251" t="n">
        <v>0</v>
      </c>
      <c r="L251" t="n">
        <v>0</v>
      </c>
      <c r="M251" t="n">
        <v>0</v>
      </c>
      <c r="N251" t="n">
        <v>0</v>
      </c>
      <c r="O251" t="n">
        <v>0</v>
      </c>
      <c r="P251" t="n">
        <v>0</v>
      </c>
      <c r="Q251" t="n">
        <v>0</v>
      </c>
      <c r="R251" s="2" t="inlineStr"/>
    </row>
    <row r="252" ht="15" customHeight="1">
      <c r="A252" t="inlineStr">
        <is>
          <t>A 26457-2025</t>
        </is>
      </c>
      <c r="B252" s="1" t="n">
        <v>45807.42773148148</v>
      </c>
      <c r="C252" s="1" t="n">
        <v>46164</v>
      </c>
      <c r="D252" t="inlineStr">
        <is>
          <t>GOTLANDS LÄN</t>
        </is>
      </c>
      <c r="E252" t="inlineStr">
        <is>
          <t>GOTLAND</t>
        </is>
      </c>
      <c r="G252" t="n">
        <v>5.7</v>
      </c>
      <c r="H252" t="n">
        <v>0</v>
      </c>
      <c r="I252" t="n">
        <v>0</v>
      </c>
      <c r="J252" t="n">
        <v>0</v>
      </c>
      <c r="K252" t="n">
        <v>0</v>
      </c>
      <c r="L252" t="n">
        <v>0</v>
      </c>
      <c r="M252" t="n">
        <v>0</v>
      </c>
      <c r="N252" t="n">
        <v>0</v>
      </c>
      <c r="O252" t="n">
        <v>0</v>
      </c>
      <c r="P252" t="n">
        <v>0</v>
      </c>
      <c r="Q252" t="n">
        <v>0</v>
      </c>
      <c r="R252" s="2" t="inlineStr"/>
    </row>
    <row r="253" ht="15" customHeight="1">
      <c r="A253" t="inlineStr">
        <is>
          <t>A 26467-2025</t>
        </is>
      </c>
      <c r="B253" s="1" t="n">
        <v>45807.44640046296</v>
      </c>
      <c r="C253" s="1" t="n">
        <v>46164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26465-2025</t>
        </is>
      </c>
      <c r="B254" s="1" t="n">
        <v>45807.44377314814</v>
      </c>
      <c r="C254" s="1" t="n">
        <v>46164</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3253-2026</t>
        </is>
      </c>
      <c r="B255" s="1" t="n">
        <v>46041.58902777778</v>
      </c>
      <c r="C255" s="1" t="n">
        <v>46164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21792-2024</t>
        </is>
      </c>
      <c r="B256" s="1" t="n">
        <v>45442.64326388889</v>
      </c>
      <c r="C256" s="1" t="n">
        <v>46164</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26660-2025</t>
        </is>
      </c>
      <c r="B257" s="1" t="n">
        <v>45810.39737268518</v>
      </c>
      <c r="C257" s="1" t="n">
        <v>46164</v>
      </c>
      <c r="D257" t="inlineStr">
        <is>
          <t>GOTLANDS LÄN</t>
        </is>
      </c>
      <c r="E257" t="inlineStr">
        <is>
          <t>GOTLAND</t>
        </is>
      </c>
      <c r="G257" t="n">
        <v>1.8</v>
      </c>
      <c r="H257" t="n">
        <v>0</v>
      </c>
      <c r="I257" t="n">
        <v>0</v>
      </c>
      <c r="J257" t="n">
        <v>0</v>
      </c>
      <c r="K257" t="n">
        <v>0</v>
      </c>
      <c r="L257" t="n">
        <v>0</v>
      </c>
      <c r="M257" t="n">
        <v>0</v>
      </c>
      <c r="N257" t="n">
        <v>0</v>
      </c>
      <c r="O257" t="n">
        <v>0</v>
      </c>
      <c r="P257" t="n">
        <v>0</v>
      </c>
      <c r="Q257" t="n">
        <v>0</v>
      </c>
      <c r="R257" s="2" t="inlineStr"/>
    </row>
    <row r="258" ht="15" customHeight="1">
      <c r="A258" t="inlineStr">
        <is>
          <t>A 17688-2024</t>
        </is>
      </c>
      <c r="B258" s="1" t="n">
        <v>45418.43575231481</v>
      </c>
      <c r="C258" s="1" t="n">
        <v>46164</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18993-2025</t>
        </is>
      </c>
      <c r="B259" s="1" t="n">
        <v>45764</v>
      </c>
      <c r="C259" s="1" t="n">
        <v>46164</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7837-2024</t>
        </is>
      </c>
      <c r="B260" s="1" t="n">
        <v>45349.83787037037</v>
      </c>
      <c r="C260" s="1" t="n">
        <v>46164</v>
      </c>
      <c r="D260" t="inlineStr">
        <is>
          <t>GOTLANDS LÄN</t>
        </is>
      </c>
      <c r="E260" t="inlineStr">
        <is>
          <t>GOTLAND</t>
        </is>
      </c>
      <c r="G260" t="n">
        <v>5</v>
      </c>
      <c r="H260" t="n">
        <v>0</v>
      </c>
      <c r="I260" t="n">
        <v>0</v>
      </c>
      <c r="J260" t="n">
        <v>0</v>
      </c>
      <c r="K260" t="n">
        <v>0</v>
      </c>
      <c r="L260" t="n">
        <v>0</v>
      </c>
      <c r="M260" t="n">
        <v>0</v>
      </c>
      <c r="N260" t="n">
        <v>0</v>
      </c>
      <c r="O260" t="n">
        <v>0</v>
      </c>
      <c r="P260" t="n">
        <v>0</v>
      </c>
      <c r="Q260" t="n">
        <v>0</v>
      </c>
      <c r="R260" s="2" t="inlineStr"/>
    </row>
    <row r="261" ht="15" customHeight="1">
      <c r="A261" t="inlineStr">
        <is>
          <t>A 27371-2025</t>
        </is>
      </c>
      <c r="B261" s="1" t="n">
        <v>45812</v>
      </c>
      <c r="C261" s="1" t="n">
        <v>46164</v>
      </c>
      <c r="D261" t="inlineStr">
        <is>
          <t>GOTLANDS LÄN</t>
        </is>
      </c>
      <c r="E261" t="inlineStr">
        <is>
          <t>GOTLAND</t>
        </is>
      </c>
      <c r="G261" t="n">
        <v>8</v>
      </c>
      <c r="H261" t="n">
        <v>0</v>
      </c>
      <c r="I261" t="n">
        <v>0</v>
      </c>
      <c r="J261" t="n">
        <v>0</v>
      </c>
      <c r="K261" t="n">
        <v>0</v>
      </c>
      <c r="L261" t="n">
        <v>0</v>
      </c>
      <c r="M261" t="n">
        <v>0</v>
      </c>
      <c r="N261" t="n">
        <v>0</v>
      </c>
      <c r="O261" t="n">
        <v>0</v>
      </c>
      <c r="P261" t="n">
        <v>0</v>
      </c>
      <c r="Q261" t="n">
        <v>0</v>
      </c>
      <c r="R261" s="2" t="inlineStr"/>
    </row>
    <row r="262" ht="15" customHeight="1">
      <c r="A262" t="inlineStr">
        <is>
          <t>A 27355-2025</t>
        </is>
      </c>
      <c r="B262" s="1" t="n">
        <v>45812</v>
      </c>
      <c r="C262" s="1" t="n">
        <v>46164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7850-2025</t>
        </is>
      </c>
      <c r="B263" s="1" t="n">
        <v>45706</v>
      </c>
      <c r="C263" s="1" t="n">
        <v>46164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30135-2025</t>
        </is>
      </c>
      <c r="B264" s="1" t="n">
        <v>45826</v>
      </c>
      <c r="C264" s="1" t="n">
        <v>46164</v>
      </c>
      <c r="D264" t="inlineStr">
        <is>
          <t>GOTLANDS LÄN</t>
        </is>
      </c>
      <c r="E264" t="inlineStr">
        <is>
          <t>GOTLAND</t>
        </is>
      </c>
      <c r="G264" t="n">
        <v>2.7</v>
      </c>
      <c r="H264" t="n">
        <v>0</v>
      </c>
      <c r="I264" t="n">
        <v>0</v>
      </c>
      <c r="J264" t="n">
        <v>0</v>
      </c>
      <c r="K264" t="n">
        <v>0</v>
      </c>
      <c r="L264" t="n">
        <v>0</v>
      </c>
      <c r="M264" t="n">
        <v>0</v>
      </c>
      <c r="N264" t="n">
        <v>0</v>
      </c>
      <c r="O264" t="n">
        <v>0</v>
      </c>
      <c r="P264" t="n">
        <v>0</v>
      </c>
      <c r="Q264" t="n">
        <v>0</v>
      </c>
      <c r="R264" s="2" t="inlineStr"/>
    </row>
    <row r="265" ht="15" customHeight="1">
      <c r="A265" t="inlineStr">
        <is>
          <t>A 12599-2025</t>
        </is>
      </c>
      <c r="B265" s="1" t="n">
        <v>45733.29546296296</v>
      </c>
      <c r="C265" s="1" t="n">
        <v>46164</v>
      </c>
      <c r="D265" t="inlineStr">
        <is>
          <t>GOTLANDS LÄN</t>
        </is>
      </c>
      <c r="E265" t="inlineStr">
        <is>
          <t>GOTLAND</t>
        </is>
      </c>
      <c r="G265" t="n">
        <v>4.7</v>
      </c>
      <c r="H265" t="n">
        <v>0</v>
      </c>
      <c r="I265" t="n">
        <v>0</v>
      </c>
      <c r="J265" t="n">
        <v>0</v>
      </c>
      <c r="K265" t="n">
        <v>0</v>
      </c>
      <c r="L265" t="n">
        <v>0</v>
      </c>
      <c r="M265" t="n">
        <v>0</v>
      </c>
      <c r="N265" t="n">
        <v>0</v>
      </c>
      <c r="O265" t="n">
        <v>0</v>
      </c>
      <c r="P265" t="n">
        <v>0</v>
      </c>
      <c r="Q265" t="n">
        <v>0</v>
      </c>
      <c r="R265" s="2" t="inlineStr"/>
    </row>
    <row r="266" ht="15" customHeight="1">
      <c r="A266" t="inlineStr">
        <is>
          <t>A 4568-2025</t>
        </is>
      </c>
      <c r="B266" s="1" t="n">
        <v>45687</v>
      </c>
      <c r="C266" s="1" t="n">
        <v>46164</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35141-2025</t>
        </is>
      </c>
      <c r="B267" s="1" t="n">
        <v>45852.65206018519</v>
      </c>
      <c r="C267" s="1" t="n">
        <v>46164</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8444-2025</t>
        </is>
      </c>
      <c r="B268" s="1" t="n">
        <v>45709</v>
      </c>
      <c r="C268" s="1" t="n">
        <v>46164</v>
      </c>
      <c r="D268" t="inlineStr">
        <is>
          <t>GOTLANDS LÄN</t>
        </is>
      </c>
      <c r="E268" t="inlineStr">
        <is>
          <t>GOTLAND</t>
        </is>
      </c>
      <c r="G268" t="n">
        <v>5.2</v>
      </c>
      <c r="H268" t="n">
        <v>0</v>
      </c>
      <c r="I268" t="n">
        <v>0</v>
      </c>
      <c r="J268" t="n">
        <v>0</v>
      </c>
      <c r="K268" t="n">
        <v>0</v>
      </c>
      <c r="L268" t="n">
        <v>0</v>
      </c>
      <c r="M268" t="n">
        <v>0</v>
      </c>
      <c r="N268" t="n">
        <v>0</v>
      </c>
      <c r="O268" t="n">
        <v>0</v>
      </c>
      <c r="P268" t="n">
        <v>0</v>
      </c>
      <c r="Q268" t="n">
        <v>0</v>
      </c>
      <c r="R268" s="2" t="inlineStr"/>
    </row>
    <row r="269" ht="15" customHeight="1">
      <c r="A269" t="inlineStr">
        <is>
          <t>A 35142-2025</t>
        </is>
      </c>
      <c r="B269" s="1" t="n">
        <v>45852.65532407408</v>
      </c>
      <c r="C269" s="1" t="n">
        <v>46164</v>
      </c>
      <c r="D269" t="inlineStr">
        <is>
          <t>GOTLANDS LÄN</t>
        </is>
      </c>
      <c r="E269" t="inlineStr">
        <is>
          <t>GOTLAND</t>
        </is>
      </c>
      <c r="G269" t="n">
        <v>2.4</v>
      </c>
      <c r="H269" t="n">
        <v>0</v>
      </c>
      <c r="I269" t="n">
        <v>0</v>
      </c>
      <c r="J269" t="n">
        <v>0</v>
      </c>
      <c r="K269" t="n">
        <v>0</v>
      </c>
      <c r="L269" t="n">
        <v>0</v>
      </c>
      <c r="M269" t="n">
        <v>0</v>
      </c>
      <c r="N269" t="n">
        <v>0</v>
      </c>
      <c r="O269" t="n">
        <v>0</v>
      </c>
      <c r="P269" t="n">
        <v>0</v>
      </c>
      <c r="Q269" t="n">
        <v>0</v>
      </c>
      <c r="R269" s="2" t="inlineStr"/>
    </row>
    <row r="270" ht="15" customHeight="1">
      <c r="A270" t="inlineStr">
        <is>
          <t>A 4646-2026</t>
        </is>
      </c>
      <c r="B270" s="1" t="n">
        <v>46048.40357638889</v>
      </c>
      <c r="C270" s="1" t="n">
        <v>46164</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35512-2023</t>
        </is>
      </c>
      <c r="B271" s="1" t="n">
        <v>45147.25623842593</v>
      </c>
      <c r="C271" s="1" t="n">
        <v>46164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5905-2024</t>
        </is>
      </c>
      <c r="B272" s="1" t="n">
        <v>45335.88993055555</v>
      </c>
      <c r="C272" s="1" t="n">
        <v>46164</v>
      </c>
      <c r="D272" t="inlineStr">
        <is>
          <t>GOTLANDS LÄN</t>
        </is>
      </c>
      <c r="E272" t="inlineStr">
        <is>
          <t>GOTLAND</t>
        </is>
      </c>
      <c r="G272" t="n">
        <v>3</v>
      </c>
      <c r="H272" t="n">
        <v>0</v>
      </c>
      <c r="I272" t="n">
        <v>0</v>
      </c>
      <c r="J272" t="n">
        <v>0</v>
      </c>
      <c r="K272" t="n">
        <v>0</v>
      </c>
      <c r="L272" t="n">
        <v>0</v>
      </c>
      <c r="M272" t="n">
        <v>0</v>
      </c>
      <c r="N272" t="n">
        <v>0</v>
      </c>
      <c r="O272" t="n">
        <v>0</v>
      </c>
      <c r="P272" t="n">
        <v>0</v>
      </c>
      <c r="Q272" t="n">
        <v>0</v>
      </c>
      <c r="R272" s="2" t="inlineStr"/>
    </row>
    <row r="273" ht="15" customHeight="1">
      <c r="A273" t="inlineStr">
        <is>
          <t>A 1839-2026</t>
        </is>
      </c>
      <c r="B273" s="1" t="n">
        <v>46035.3942824074</v>
      </c>
      <c r="C273" s="1" t="n">
        <v>46164</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1291-2023</t>
        </is>
      </c>
      <c r="B274" s="1" t="n">
        <v>44936.47561342592</v>
      </c>
      <c r="C274" s="1" t="n">
        <v>46164</v>
      </c>
      <c r="D274" t="inlineStr">
        <is>
          <t>GOTLANDS LÄN</t>
        </is>
      </c>
      <c r="E274" t="inlineStr">
        <is>
          <t>GOTLAND</t>
        </is>
      </c>
      <c r="G274" t="n">
        <v>7.4</v>
      </c>
      <c r="H274" t="n">
        <v>0</v>
      </c>
      <c r="I274" t="n">
        <v>0</v>
      </c>
      <c r="J274" t="n">
        <v>0</v>
      </c>
      <c r="K274" t="n">
        <v>0</v>
      </c>
      <c r="L274" t="n">
        <v>0</v>
      </c>
      <c r="M274" t="n">
        <v>0</v>
      </c>
      <c r="N274" t="n">
        <v>0</v>
      </c>
      <c r="O274" t="n">
        <v>0</v>
      </c>
      <c r="P274" t="n">
        <v>0</v>
      </c>
      <c r="Q274" t="n">
        <v>0</v>
      </c>
      <c r="R274" s="2" t="inlineStr"/>
    </row>
    <row r="275" ht="15" customHeight="1">
      <c r="A275" t="inlineStr">
        <is>
          <t>A 39819-2025</t>
        </is>
      </c>
      <c r="B275" s="1" t="n">
        <v>45891.53418981482</v>
      </c>
      <c r="C275" s="1" t="n">
        <v>46164</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46164</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4634-2026</t>
        </is>
      </c>
      <c r="B277" s="1" t="n">
        <v>46048.39304398148</v>
      </c>
      <c r="C277" s="1" t="n">
        <v>46164</v>
      </c>
      <c r="D277" t="inlineStr">
        <is>
          <t>GOTLANDS LÄN</t>
        </is>
      </c>
      <c r="E277" t="inlineStr">
        <is>
          <t>GOTLAND</t>
        </is>
      </c>
      <c r="G277" t="n">
        <v>7.8</v>
      </c>
      <c r="H277" t="n">
        <v>0</v>
      </c>
      <c r="I277" t="n">
        <v>0</v>
      </c>
      <c r="J277" t="n">
        <v>0</v>
      </c>
      <c r="K277" t="n">
        <v>0</v>
      </c>
      <c r="L277" t="n">
        <v>0</v>
      </c>
      <c r="M277" t="n">
        <v>0</v>
      </c>
      <c r="N277" t="n">
        <v>0</v>
      </c>
      <c r="O277" t="n">
        <v>0</v>
      </c>
      <c r="P277" t="n">
        <v>0</v>
      </c>
      <c r="Q277" t="n">
        <v>0</v>
      </c>
      <c r="R277" s="2" t="inlineStr"/>
    </row>
    <row r="278" ht="15" customHeight="1">
      <c r="A278" t="inlineStr">
        <is>
          <t>A 19905-2025</t>
        </is>
      </c>
      <c r="B278" s="1" t="n">
        <v>45771</v>
      </c>
      <c r="C278" s="1" t="n">
        <v>46164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39849-2025</t>
        </is>
      </c>
      <c r="B279" s="1" t="n">
        <v>45891.58502314815</v>
      </c>
      <c r="C279" s="1" t="n">
        <v>46164</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29196-2025</t>
        </is>
      </c>
      <c r="B280" s="1" t="n">
        <v>45822</v>
      </c>
      <c r="C280" s="1" t="n">
        <v>46164</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4670-2026</t>
        </is>
      </c>
      <c r="B281" s="1" t="n">
        <v>46048.41733796296</v>
      </c>
      <c r="C281" s="1" t="n">
        <v>46164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46164</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46164</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40103-2025</t>
        </is>
      </c>
      <c r="B284" s="1" t="n">
        <v>45894.4880324074</v>
      </c>
      <c r="C284" s="1" t="n">
        <v>46164</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29207-2025</t>
        </is>
      </c>
      <c r="B285" s="1" t="n">
        <v>45823</v>
      </c>
      <c r="C285" s="1" t="n">
        <v>46164</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46164</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57652-2023</t>
        </is>
      </c>
      <c r="B287" s="1" t="n">
        <v>45246</v>
      </c>
      <c r="C287" s="1" t="n">
        <v>46164</v>
      </c>
      <c r="D287" t="inlineStr">
        <is>
          <t>GOTLANDS LÄN</t>
        </is>
      </c>
      <c r="E287" t="inlineStr">
        <is>
          <t>GOTLAND</t>
        </is>
      </c>
      <c r="G287" t="n">
        <v>7.2</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46164</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46164</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46164</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45106-2024</t>
        </is>
      </c>
      <c r="B291" s="1" t="n">
        <v>45575</v>
      </c>
      <c r="C291" s="1" t="n">
        <v>46164</v>
      </c>
      <c r="D291" t="inlineStr">
        <is>
          <t>GOTLANDS LÄN</t>
        </is>
      </c>
      <c r="E291" t="inlineStr">
        <is>
          <t>GOTLAND</t>
        </is>
      </c>
      <c r="G291" t="n">
        <v>10</v>
      </c>
      <c r="H291" t="n">
        <v>0</v>
      </c>
      <c r="I291" t="n">
        <v>0</v>
      </c>
      <c r="J291" t="n">
        <v>0</v>
      </c>
      <c r="K291" t="n">
        <v>0</v>
      </c>
      <c r="L291" t="n">
        <v>0</v>
      </c>
      <c r="M291" t="n">
        <v>0</v>
      </c>
      <c r="N291" t="n">
        <v>0</v>
      </c>
      <c r="O291" t="n">
        <v>0</v>
      </c>
      <c r="P291" t="n">
        <v>0</v>
      </c>
      <c r="Q291" t="n">
        <v>0</v>
      </c>
      <c r="R291" s="2" t="inlineStr"/>
    </row>
    <row r="292" ht="15" customHeight="1">
      <c r="A292" t="inlineStr">
        <is>
          <t>A 45112-2024</t>
        </is>
      </c>
      <c r="B292" s="1" t="n">
        <v>45575</v>
      </c>
      <c r="C292" s="1" t="n">
        <v>46164</v>
      </c>
      <c r="D292" t="inlineStr">
        <is>
          <t>GOTLANDS LÄN</t>
        </is>
      </c>
      <c r="E292" t="inlineStr">
        <is>
          <t>GOTLAND</t>
        </is>
      </c>
      <c r="G292" t="n">
        <v>5.1</v>
      </c>
      <c r="H292" t="n">
        <v>0</v>
      </c>
      <c r="I292" t="n">
        <v>0</v>
      </c>
      <c r="J292" t="n">
        <v>0</v>
      </c>
      <c r="K292" t="n">
        <v>0</v>
      </c>
      <c r="L292" t="n">
        <v>0</v>
      </c>
      <c r="M292" t="n">
        <v>0</v>
      </c>
      <c r="N292" t="n">
        <v>0</v>
      </c>
      <c r="O292" t="n">
        <v>0</v>
      </c>
      <c r="P292" t="n">
        <v>0</v>
      </c>
      <c r="Q292" t="n">
        <v>0</v>
      </c>
      <c r="R292" s="2" t="inlineStr"/>
    </row>
    <row r="293" ht="15" customHeight="1">
      <c r="A293" t="inlineStr">
        <is>
          <t>A 39278-2025</t>
        </is>
      </c>
      <c r="B293" s="1" t="n">
        <v>45889</v>
      </c>
      <c r="C293" s="1" t="n">
        <v>46164</v>
      </c>
      <c r="D293" t="inlineStr">
        <is>
          <t>GOTLANDS LÄN</t>
        </is>
      </c>
      <c r="E293" t="inlineStr">
        <is>
          <t>GOTLAND</t>
        </is>
      </c>
      <c r="G293" t="n">
        <v>3.7</v>
      </c>
      <c r="H293" t="n">
        <v>0</v>
      </c>
      <c r="I293" t="n">
        <v>0</v>
      </c>
      <c r="J293" t="n">
        <v>0</v>
      </c>
      <c r="K293" t="n">
        <v>0</v>
      </c>
      <c r="L293" t="n">
        <v>0</v>
      </c>
      <c r="M293" t="n">
        <v>0</v>
      </c>
      <c r="N293" t="n">
        <v>0</v>
      </c>
      <c r="O293" t="n">
        <v>0</v>
      </c>
      <c r="P293" t="n">
        <v>0</v>
      </c>
      <c r="Q293" t="n">
        <v>0</v>
      </c>
      <c r="R293" s="2" t="inlineStr"/>
    </row>
    <row r="294" ht="15" customHeight="1">
      <c r="A294" t="inlineStr">
        <is>
          <t>A 30061-2025</t>
        </is>
      </c>
      <c r="B294" s="1" t="n">
        <v>45826.61488425926</v>
      </c>
      <c r="C294" s="1" t="n">
        <v>46164</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2676-2023</t>
        </is>
      </c>
      <c r="B295" s="1" t="n">
        <v>44944</v>
      </c>
      <c r="C295" s="1" t="n">
        <v>46164</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46164</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58160-2024</t>
        </is>
      </c>
      <c r="B297" s="1" t="n">
        <v>45632.44927083333</v>
      </c>
      <c r="C297" s="1" t="n">
        <v>46164</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8484-2025</t>
        </is>
      </c>
      <c r="B298" s="1" t="n">
        <v>45709</v>
      </c>
      <c r="C298" s="1" t="n">
        <v>46164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7635-2025</t>
        </is>
      </c>
      <c r="B299" s="1" t="n">
        <v>45705</v>
      </c>
      <c r="C299" s="1" t="n">
        <v>46164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7636-2025</t>
        </is>
      </c>
      <c r="B300" s="1" t="n">
        <v>45705.7687962963</v>
      </c>
      <c r="C300" s="1" t="n">
        <v>46164</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7639-2025</t>
        </is>
      </c>
      <c r="B301" s="1" t="n">
        <v>45705.77465277778</v>
      </c>
      <c r="C301" s="1" t="n">
        <v>46164</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20356-2022</t>
        </is>
      </c>
      <c r="B302" s="1" t="n">
        <v>44699</v>
      </c>
      <c r="C302" s="1" t="n">
        <v>46164</v>
      </c>
      <c r="D302" t="inlineStr">
        <is>
          <t>GOTLANDS LÄN</t>
        </is>
      </c>
      <c r="E302" t="inlineStr">
        <is>
          <t>GOTLAND</t>
        </is>
      </c>
      <c r="F302" t="inlineStr">
        <is>
          <t>Övriga Aktiebolag</t>
        </is>
      </c>
      <c r="G302" t="n">
        <v>4.4</v>
      </c>
      <c r="H302" t="n">
        <v>0</v>
      </c>
      <c r="I302" t="n">
        <v>0</v>
      </c>
      <c r="J302" t="n">
        <v>0</v>
      </c>
      <c r="K302" t="n">
        <v>0</v>
      </c>
      <c r="L302" t="n">
        <v>0</v>
      </c>
      <c r="M302" t="n">
        <v>0</v>
      </c>
      <c r="N302" t="n">
        <v>0</v>
      </c>
      <c r="O302" t="n">
        <v>0</v>
      </c>
      <c r="P302" t="n">
        <v>0</v>
      </c>
      <c r="Q302" t="n">
        <v>0</v>
      </c>
      <c r="R302" s="2" t="inlineStr"/>
    </row>
    <row r="303" ht="15" customHeight="1">
      <c r="A303" t="inlineStr">
        <is>
          <t>A 48734-2022</t>
        </is>
      </c>
      <c r="B303" s="1" t="n">
        <v>44855</v>
      </c>
      <c r="C303" s="1" t="n">
        <v>46164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14141-2024</t>
        </is>
      </c>
      <c r="B304" s="1" t="n">
        <v>45392.85193287037</v>
      </c>
      <c r="C304" s="1" t="n">
        <v>46164</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41435-2025</t>
        </is>
      </c>
      <c r="B305" s="1" t="n">
        <v>45901.39974537037</v>
      </c>
      <c r="C305" s="1" t="n">
        <v>46164</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29809-2022</t>
        </is>
      </c>
      <c r="B306" s="1" t="n">
        <v>44755.8713425926</v>
      </c>
      <c r="C306" s="1" t="n">
        <v>46164</v>
      </c>
      <c r="D306" t="inlineStr">
        <is>
          <t>GOTLANDS LÄN</t>
        </is>
      </c>
      <c r="E306" t="inlineStr">
        <is>
          <t>GOTLAND</t>
        </is>
      </c>
      <c r="G306" t="n">
        <v>11.5</v>
      </c>
      <c r="H306" t="n">
        <v>0</v>
      </c>
      <c r="I306" t="n">
        <v>0</v>
      </c>
      <c r="J306" t="n">
        <v>0</v>
      </c>
      <c r="K306" t="n">
        <v>0</v>
      </c>
      <c r="L306" t="n">
        <v>0</v>
      </c>
      <c r="M306" t="n">
        <v>0</v>
      </c>
      <c r="N306" t="n">
        <v>0</v>
      </c>
      <c r="O306" t="n">
        <v>0</v>
      </c>
      <c r="P306" t="n">
        <v>0</v>
      </c>
      <c r="Q306" t="n">
        <v>0</v>
      </c>
      <c r="R306" s="2" t="inlineStr"/>
    </row>
    <row r="307" ht="15" customHeight="1">
      <c r="A307" t="inlineStr">
        <is>
          <t>A 41551-2025</t>
        </is>
      </c>
      <c r="B307" s="1" t="n">
        <v>45901.58854166666</v>
      </c>
      <c r="C307" s="1" t="n">
        <v>46164</v>
      </c>
      <c r="D307" t="inlineStr">
        <is>
          <t>GOTLANDS LÄN</t>
        </is>
      </c>
      <c r="E307" t="inlineStr">
        <is>
          <t>GOTLAND</t>
        </is>
      </c>
      <c r="G307" t="n">
        <v>5.6</v>
      </c>
      <c r="H307" t="n">
        <v>0</v>
      </c>
      <c r="I307" t="n">
        <v>0</v>
      </c>
      <c r="J307" t="n">
        <v>0</v>
      </c>
      <c r="K307" t="n">
        <v>0</v>
      </c>
      <c r="L307" t="n">
        <v>0</v>
      </c>
      <c r="M307" t="n">
        <v>0</v>
      </c>
      <c r="N307" t="n">
        <v>0</v>
      </c>
      <c r="O307" t="n">
        <v>0</v>
      </c>
      <c r="P307" t="n">
        <v>0</v>
      </c>
      <c r="Q307" t="n">
        <v>0</v>
      </c>
      <c r="R307" s="2" t="inlineStr"/>
    </row>
    <row r="308" ht="15" customHeight="1">
      <c r="A308" t="inlineStr">
        <is>
          <t>A 57685-2022</t>
        </is>
      </c>
      <c r="B308" s="1" t="n">
        <v>44897.4777662037</v>
      </c>
      <c r="C308" s="1" t="n">
        <v>46164</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30815-2023</t>
        </is>
      </c>
      <c r="B309" s="1" t="n">
        <v>45112</v>
      </c>
      <c r="C309" s="1" t="n">
        <v>46164</v>
      </c>
      <c r="D309" t="inlineStr">
        <is>
          <t>GOTLANDS LÄN</t>
        </is>
      </c>
      <c r="E309" t="inlineStr">
        <is>
          <t>GOTLAND</t>
        </is>
      </c>
      <c r="G309" t="n">
        <v>6</v>
      </c>
      <c r="H309" t="n">
        <v>0</v>
      </c>
      <c r="I309" t="n">
        <v>0</v>
      </c>
      <c r="J309" t="n">
        <v>0</v>
      </c>
      <c r="K309" t="n">
        <v>0</v>
      </c>
      <c r="L309" t="n">
        <v>0</v>
      </c>
      <c r="M309" t="n">
        <v>0</v>
      </c>
      <c r="N309" t="n">
        <v>0</v>
      </c>
      <c r="O309" t="n">
        <v>0</v>
      </c>
      <c r="P309" t="n">
        <v>0</v>
      </c>
      <c r="Q309" t="n">
        <v>0</v>
      </c>
      <c r="R309" s="2" t="inlineStr"/>
    </row>
    <row r="310" ht="15" customHeight="1">
      <c r="A310" t="inlineStr">
        <is>
          <t>A 32379-2025</t>
        </is>
      </c>
      <c r="B310" s="1" t="n">
        <v>45837</v>
      </c>
      <c r="C310" s="1" t="n">
        <v>46164</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46164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46164</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23516-2023</t>
        </is>
      </c>
      <c r="B313" s="1" t="n">
        <v>45076.93391203704</v>
      </c>
      <c r="C313" s="1" t="n">
        <v>46164</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46164</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32467-2025</t>
        </is>
      </c>
      <c r="B315" s="1" t="n">
        <v>45838.42111111111</v>
      </c>
      <c r="C315" s="1" t="n">
        <v>46164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45278.33944444444</v>
      </c>
      <c r="C316" s="1" t="n">
        <v>46164</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42608-2025</t>
        </is>
      </c>
      <c r="B317" s="1" t="n">
        <v>45905</v>
      </c>
      <c r="C317" s="1" t="n">
        <v>46164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46164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46164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63229-2021</t>
        </is>
      </c>
      <c r="B320" s="1" t="n">
        <v>44508.34518518519</v>
      </c>
      <c r="C320" s="1" t="n">
        <v>46164</v>
      </c>
      <c r="D320" t="inlineStr">
        <is>
          <t>GOTLANDS LÄN</t>
        </is>
      </c>
      <c r="E320" t="inlineStr">
        <is>
          <t>GOTLAND</t>
        </is>
      </c>
      <c r="F320" t="inlineStr">
        <is>
          <t>Kyrkan</t>
        </is>
      </c>
      <c r="G320" t="n">
        <v>3.8</v>
      </c>
      <c r="H320" t="n">
        <v>0</v>
      </c>
      <c r="I320" t="n">
        <v>0</v>
      </c>
      <c r="J320" t="n">
        <v>0</v>
      </c>
      <c r="K320" t="n">
        <v>0</v>
      </c>
      <c r="L320" t="n">
        <v>0</v>
      </c>
      <c r="M320" t="n">
        <v>0</v>
      </c>
      <c r="N320" t="n">
        <v>0</v>
      </c>
      <c r="O320" t="n">
        <v>0</v>
      </c>
      <c r="P320" t="n">
        <v>0</v>
      </c>
      <c r="Q320" t="n">
        <v>0</v>
      </c>
      <c r="R320" s="2" t="inlineStr"/>
    </row>
    <row r="321" ht="15" customHeight="1">
      <c r="A321" t="inlineStr">
        <is>
          <t>A 46375-2024</t>
        </is>
      </c>
      <c r="B321" s="1" t="n">
        <v>45582</v>
      </c>
      <c r="C321" s="1" t="n">
        <v>46164</v>
      </c>
      <c r="D321" t="inlineStr">
        <is>
          <t>GOTLANDS LÄN</t>
        </is>
      </c>
      <c r="E321" t="inlineStr">
        <is>
          <t>GOTLAND</t>
        </is>
      </c>
      <c r="G321" t="n">
        <v>3</v>
      </c>
      <c r="H321" t="n">
        <v>0</v>
      </c>
      <c r="I321" t="n">
        <v>0</v>
      </c>
      <c r="J321" t="n">
        <v>0</v>
      </c>
      <c r="K321" t="n">
        <v>0</v>
      </c>
      <c r="L321" t="n">
        <v>0</v>
      </c>
      <c r="M321" t="n">
        <v>0</v>
      </c>
      <c r="N321" t="n">
        <v>0</v>
      </c>
      <c r="O321" t="n">
        <v>0</v>
      </c>
      <c r="P321" t="n">
        <v>0</v>
      </c>
      <c r="Q321" t="n">
        <v>0</v>
      </c>
      <c r="R321" s="2" t="inlineStr"/>
    </row>
    <row r="322" ht="15" customHeight="1">
      <c r="A322" t="inlineStr">
        <is>
          <t>A 33007-2025</t>
        </is>
      </c>
      <c r="B322" s="1" t="n">
        <v>45840</v>
      </c>
      <c r="C322" s="1" t="n">
        <v>46164</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6218-2026</t>
        </is>
      </c>
      <c r="B323" s="1" t="n">
        <v>46055.42859953704</v>
      </c>
      <c r="C323" s="1" t="n">
        <v>46164</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6207-2026</t>
        </is>
      </c>
      <c r="B324" s="1" t="n">
        <v>46055.42083333333</v>
      </c>
      <c r="C324" s="1" t="n">
        <v>46164</v>
      </c>
      <c r="D324" t="inlineStr">
        <is>
          <t>GOTLANDS LÄN</t>
        </is>
      </c>
      <c r="E324" t="inlineStr">
        <is>
          <t>GOTLAND</t>
        </is>
      </c>
      <c r="G324" t="n">
        <v>7.6</v>
      </c>
      <c r="H324" t="n">
        <v>0</v>
      </c>
      <c r="I324" t="n">
        <v>0</v>
      </c>
      <c r="J324" t="n">
        <v>0</v>
      </c>
      <c r="K324" t="n">
        <v>0</v>
      </c>
      <c r="L324" t="n">
        <v>0</v>
      </c>
      <c r="M324" t="n">
        <v>0</v>
      </c>
      <c r="N324" t="n">
        <v>0</v>
      </c>
      <c r="O324" t="n">
        <v>0</v>
      </c>
      <c r="P324" t="n">
        <v>0</v>
      </c>
      <c r="Q324" t="n">
        <v>0</v>
      </c>
      <c r="R324" s="2" t="inlineStr"/>
    </row>
    <row r="325" ht="15" customHeight="1">
      <c r="A325" t="inlineStr">
        <is>
          <t>A 10158-2025</t>
        </is>
      </c>
      <c r="B325" s="1" t="n">
        <v>45719</v>
      </c>
      <c r="C325" s="1" t="n">
        <v>46164</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6959-2026</t>
        </is>
      </c>
      <c r="B326" s="1" t="n">
        <v>46057.580625</v>
      </c>
      <c r="C326" s="1" t="n">
        <v>46164</v>
      </c>
      <c r="D326" t="inlineStr">
        <is>
          <t>GOTLANDS LÄN</t>
        </is>
      </c>
      <c r="E326" t="inlineStr">
        <is>
          <t>GOTLAND</t>
        </is>
      </c>
      <c r="F326" t="inlineStr">
        <is>
          <t>Kyrkan</t>
        </is>
      </c>
      <c r="G326" t="n">
        <v>1.2</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46164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46164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46164</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46164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1734-2025</t>
        </is>
      </c>
      <c r="B331" s="1" t="n">
        <v>45671.3840625</v>
      </c>
      <c r="C331" s="1" t="n">
        <v>46164</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46164</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6960-2026</t>
        </is>
      </c>
      <c r="B333" s="1" t="n">
        <v>46057.58105324074</v>
      </c>
      <c r="C333" s="1" t="n">
        <v>46164</v>
      </c>
      <c r="D333" t="inlineStr">
        <is>
          <t>GOTLANDS LÄN</t>
        </is>
      </c>
      <c r="E333" t="inlineStr">
        <is>
          <t>GOTLAND</t>
        </is>
      </c>
      <c r="F333" t="inlineStr">
        <is>
          <t>Kyrkan</t>
        </is>
      </c>
      <c r="G333" t="n">
        <v>2.4</v>
      </c>
      <c r="H333" t="n">
        <v>0</v>
      </c>
      <c r="I333" t="n">
        <v>0</v>
      </c>
      <c r="J333" t="n">
        <v>0</v>
      </c>
      <c r="K333" t="n">
        <v>0</v>
      </c>
      <c r="L333" t="n">
        <v>0</v>
      </c>
      <c r="M333" t="n">
        <v>0</v>
      </c>
      <c r="N333" t="n">
        <v>0</v>
      </c>
      <c r="O333" t="n">
        <v>0</v>
      </c>
      <c r="P333" t="n">
        <v>0</v>
      </c>
      <c r="Q333" t="n">
        <v>0</v>
      </c>
      <c r="R333" s="2" t="inlineStr"/>
    </row>
    <row r="334" ht="15" customHeight="1">
      <c r="A334" t="inlineStr">
        <is>
          <t>A 15413-2025</t>
        </is>
      </c>
      <c r="B334" s="1" t="n">
        <v>45747.451875</v>
      </c>
      <c r="C334" s="1" t="n">
        <v>46164</v>
      </c>
      <c r="D334" t="inlineStr">
        <is>
          <t>GOTLANDS LÄN</t>
        </is>
      </c>
      <c r="E334" t="inlineStr">
        <is>
          <t>GOTLAND</t>
        </is>
      </c>
      <c r="G334" t="n">
        <v>0.6</v>
      </c>
      <c r="H334" t="n">
        <v>0</v>
      </c>
      <c r="I334" t="n">
        <v>0</v>
      </c>
      <c r="J334" t="n">
        <v>0</v>
      </c>
      <c r="K334" t="n">
        <v>0</v>
      </c>
      <c r="L334" t="n">
        <v>0</v>
      </c>
      <c r="M334" t="n">
        <v>0</v>
      </c>
      <c r="N334" t="n">
        <v>0</v>
      </c>
      <c r="O334" t="n">
        <v>0</v>
      </c>
      <c r="P334" t="n">
        <v>0</v>
      </c>
      <c r="Q334" t="n">
        <v>0</v>
      </c>
      <c r="R334" s="2" t="inlineStr"/>
    </row>
    <row r="335" ht="15" customHeight="1">
      <c r="A335" t="inlineStr">
        <is>
          <t>A 7625-2026</t>
        </is>
      </c>
      <c r="B335" s="1" t="n">
        <v>46062.35135416667</v>
      </c>
      <c r="C335" s="1" t="n">
        <v>46164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7627-2026</t>
        </is>
      </c>
      <c r="B336" s="1" t="n">
        <v>46062.35465277778</v>
      </c>
      <c r="C336" s="1" t="n">
        <v>46164</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63105-2025</t>
        </is>
      </c>
      <c r="B337" s="1" t="n">
        <v>46009</v>
      </c>
      <c r="C337" s="1" t="n">
        <v>46164</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46164</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2135-2026</t>
        </is>
      </c>
      <c r="B339" s="1" t="n">
        <v>46036</v>
      </c>
      <c r="C339" s="1" t="n">
        <v>46164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2125-2025</t>
        </is>
      </c>
      <c r="B340" s="1" t="n">
        <v>45672.64940972222</v>
      </c>
      <c r="C340" s="1" t="n">
        <v>46164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2134-2026</t>
        </is>
      </c>
      <c r="B341" s="1" t="n">
        <v>46036</v>
      </c>
      <c r="C341" s="1" t="n">
        <v>46164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46164</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35096-2025</t>
        </is>
      </c>
      <c r="B343" s="1" t="n">
        <v>45852.54356481481</v>
      </c>
      <c r="C343" s="1" t="n">
        <v>46164</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12155-2023</t>
        </is>
      </c>
      <c r="B344" s="1" t="n">
        <v>44998.49106481481</v>
      </c>
      <c r="C344" s="1" t="n">
        <v>46164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457-2023</t>
        </is>
      </c>
      <c r="B345" s="1" t="n">
        <v>44929.87238425926</v>
      </c>
      <c r="C345" s="1" t="n">
        <v>46164</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459-2023</t>
        </is>
      </c>
      <c r="B346" s="1" t="n">
        <v>44929.87423611111</v>
      </c>
      <c r="C346" s="1" t="n">
        <v>46164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38234-2023</t>
        </is>
      </c>
      <c r="B347" s="1" t="n">
        <v>45161.56663194444</v>
      </c>
      <c r="C347" s="1" t="n">
        <v>46164</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46164</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50744-2024</t>
        </is>
      </c>
      <c r="B349" s="1" t="n">
        <v>45602.4187037037</v>
      </c>
      <c r="C349" s="1" t="n">
        <v>46164</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35290-2025</t>
        </is>
      </c>
      <c r="B350" s="1" t="n">
        <v>45854.38502314815</v>
      </c>
      <c r="C350" s="1" t="n">
        <v>46164</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32669-2024</t>
        </is>
      </c>
      <c r="B351" s="1" t="n">
        <v>45514</v>
      </c>
      <c r="C351" s="1" t="n">
        <v>46164</v>
      </c>
      <c r="D351" t="inlineStr">
        <is>
          <t>GOTLANDS LÄN</t>
        </is>
      </c>
      <c r="E351" t="inlineStr">
        <is>
          <t>GOTLAND</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35537-2025</t>
        </is>
      </c>
      <c r="B352" s="1" t="n">
        <v>45856</v>
      </c>
      <c r="C352" s="1" t="n">
        <v>46164</v>
      </c>
      <c r="D352" t="inlineStr">
        <is>
          <t>GOTLANDS LÄN</t>
        </is>
      </c>
      <c r="E352" t="inlineStr">
        <is>
          <t>GOTLAND</t>
        </is>
      </c>
      <c r="G352" t="n">
        <v>16.8</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46164</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26391-2025</t>
        </is>
      </c>
      <c r="B354" s="1" t="n">
        <v>45806</v>
      </c>
      <c r="C354" s="1" t="n">
        <v>46164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46164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15216-2025</t>
        </is>
      </c>
      <c r="B356" s="1" t="n">
        <v>45744</v>
      </c>
      <c r="C356" s="1" t="n">
        <v>46164</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43790-2024</t>
        </is>
      </c>
      <c r="B357" s="1" t="n">
        <v>45571</v>
      </c>
      <c r="C357" s="1" t="n">
        <v>46164</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15001-2025</t>
        </is>
      </c>
      <c r="B358" s="1" t="n">
        <v>45743</v>
      </c>
      <c r="C358" s="1" t="n">
        <v>46164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30488-2025</t>
        </is>
      </c>
      <c r="B359" s="1" t="n">
        <v>45830</v>
      </c>
      <c r="C359" s="1" t="n">
        <v>46164</v>
      </c>
      <c r="D359" t="inlineStr">
        <is>
          <t>GOTLANDS LÄN</t>
        </is>
      </c>
      <c r="E359" t="inlineStr">
        <is>
          <t>GOTLAND</t>
        </is>
      </c>
      <c r="F359" t="inlineStr">
        <is>
          <t>Kyrkan</t>
        </is>
      </c>
      <c r="G359" t="n">
        <v>3.9</v>
      </c>
      <c r="H359" t="n">
        <v>0</v>
      </c>
      <c r="I359" t="n">
        <v>0</v>
      </c>
      <c r="J359" t="n">
        <v>0</v>
      </c>
      <c r="K359" t="n">
        <v>0</v>
      </c>
      <c r="L359" t="n">
        <v>0</v>
      </c>
      <c r="M359" t="n">
        <v>0</v>
      </c>
      <c r="N359" t="n">
        <v>0</v>
      </c>
      <c r="O359" t="n">
        <v>0</v>
      </c>
      <c r="P359" t="n">
        <v>0</v>
      </c>
      <c r="Q359" t="n">
        <v>0</v>
      </c>
      <c r="R359" s="2" t="inlineStr"/>
    </row>
    <row r="360" ht="15" customHeight="1">
      <c r="A360" t="inlineStr">
        <is>
          <t>A 17847-2025</t>
        </is>
      </c>
      <c r="B360" s="1" t="n">
        <v>45758</v>
      </c>
      <c r="C360" s="1" t="n">
        <v>46164</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46164</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18742-2025</t>
        </is>
      </c>
      <c r="B362" s="1" t="n">
        <v>45763</v>
      </c>
      <c r="C362" s="1" t="n">
        <v>46164</v>
      </c>
      <c r="D362" t="inlineStr">
        <is>
          <t>GOTLANDS LÄN</t>
        </is>
      </c>
      <c r="E362" t="inlineStr">
        <is>
          <t>GOTLAND</t>
        </is>
      </c>
      <c r="G362" t="n">
        <v>3.4</v>
      </c>
      <c r="H362" t="n">
        <v>0</v>
      </c>
      <c r="I362" t="n">
        <v>0</v>
      </c>
      <c r="J362" t="n">
        <v>0</v>
      </c>
      <c r="K362" t="n">
        <v>0</v>
      </c>
      <c r="L362" t="n">
        <v>0</v>
      </c>
      <c r="M362" t="n">
        <v>0</v>
      </c>
      <c r="N362" t="n">
        <v>0</v>
      </c>
      <c r="O362" t="n">
        <v>0</v>
      </c>
      <c r="P362" t="n">
        <v>0</v>
      </c>
      <c r="Q362" t="n">
        <v>0</v>
      </c>
      <c r="R362" s="2" t="inlineStr"/>
    </row>
    <row r="363" ht="15" customHeight="1">
      <c r="A363" t="inlineStr">
        <is>
          <t>A 35129-2025</t>
        </is>
      </c>
      <c r="B363" s="1" t="n">
        <v>45852.63224537037</v>
      </c>
      <c r="C363" s="1" t="n">
        <v>46164</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31264-2021</t>
        </is>
      </c>
      <c r="B364" s="1" t="n">
        <v>44368</v>
      </c>
      <c r="C364" s="1" t="n">
        <v>46164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46164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46164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46164</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47637-2025</t>
        </is>
      </c>
      <c r="B368" s="1" t="n">
        <v>45931.49753472222</v>
      </c>
      <c r="C368" s="1" t="n">
        <v>46164</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27930-2021</t>
        </is>
      </c>
      <c r="B369" s="1" t="n">
        <v>44354</v>
      </c>
      <c r="C369" s="1" t="n">
        <v>46164</v>
      </c>
      <c r="D369" t="inlineStr">
        <is>
          <t>GOTLANDS LÄN</t>
        </is>
      </c>
      <c r="E369" t="inlineStr">
        <is>
          <t>GOTLAND</t>
        </is>
      </c>
      <c r="G369" t="n">
        <v>2.5</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46164</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61962-2024</t>
        </is>
      </c>
      <c r="B371" s="1" t="n">
        <v>45653.54340277778</v>
      </c>
      <c r="C371" s="1" t="n">
        <v>46164</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10492-2023</t>
        </is>
      </c>
      <c r="B372" s="1" t="n">
        <v>44987</v>
      </c>
      <c r="C372" s="1" t="n">
        <v>46164</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46164</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53587-2025</t>
        </is>
      </c>
      <c r="B374" s="1" t="n">
        <v>45960.43681712963</v>
      </c>
      <c r="C374" s="1" t="n">
        <v>46164</v>
      </c>
      <c r="D374" t="inlineStr">
        <is>
          <t>GOTLANDS LÄN</t>
        </is>
      </c>
      <c r="E374" t="inlineStr">
        <is>
          <t>GOTLAND</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9504-2026</t>
        </is>
      </c>
      <c r="B375" s="1" t="n">
        <v>46071.57730324074</v>
      </c>
      <c r="C375" s="1" t="n">
        <v>46164</v>
      </c>
      <c r="D375" t="inlineStr">
        <is>
          <t>GOTLANDS LÄN</t>
        </is>
      </c>
      <c r="E375" t="inlineStr">
        <is>
          <t>GOTLAND</t>
        </is>
      </c>
      <c r="G375" t="n">
        <v>0.6</v>
      </c>
      <c r="H375" t="n">
        <v>0</v>
      </c>
      <c r="I375" t="n">
        <v>0</v>
      </c>
      <c r="J375" t="n">
        <v>0</v>
      </c>
      <c r="K375" t="n">
        <v>0</v>
      </c>
      <c r="L375" t="n">
        <v>0</v>
      </c>
      <c r="M375" t="n">
        <v>0</v>
      </c>
      <c r="N375" t="n">
        <v>0</v>
      </c>
      <c r="O375" t="n">
        <v>0</v>
      </c>
      <c r="P375" t="n">
        <v>0</v>
      </c>
      <c r="Q375" t="n">
        <v>0</v>
      </c>
      <c r="R375" s="2" t="inlineStr"/>
    </row>
    <row r="376" ht="15" customHeight="1">
      <c r="A376" t="inlineStr">
        <is>
          <t>A 9518-2026</t>
        </is>
      </c>
      <c r="B376" s="1" t="n">
        <v>46071.59653935185</v>
      </c>
      <c r="C376" s="1" t="n">
        <v>46164</v>
      </c>
      <c r="D376" t="inlineStr">
        <is>
          <t>GOTLANDS LÄN</t>
        </is>
      </c>
      <c r="E376" t="inlineStr">
        <is>
          <t>GOTLAND</t>
        </is>
      </c>
      <c r="G376" t="n">
        <v>6.2</v>
      </c>
      <c r="H376" t="n">
        <v>0</v>
      </c>
      <c r="I376" t="n">
        <v>0</v>
      </c>
      <c r="J376" t="n">
        <v>0</v>
      </c>
      <c r="K376" t="n">
        <v>0</v>
      </c>
      <c r="L376" t="n">
        <v>0</v>
      </c>
      <c r="M376" t="n">
        <v>0</v>
      </c>
      <c r="N376" t="n">
        <v>0</v>
      </c>
      <c r="O376" t="n">
        <v>0</v>
      </c>
      <c r="P376" t="n">
        <v>0</v>
      </c>
      <c r="Q376" t="n">
        <v>0</v>
      </c>
      <c r="R376" s="2" t="inlineStr"/>
    </row>
    <row r="377" ht="15" customHeight="1">
      <c r="A377" t="inlineStr">
        <is>
          <t>A 9519-2026</t>
        </is>
      </c>
      <c r="B377" s="1" t="n">
        <v>46071.59820601852</v>
      </c>
      <c r="C377" s="1" t="n">
        <v>46164</v>
      </c>
      <c r="D377" t="inlineStr">
        <is>
          <t>GOTLANDS LÄN</t>
        </is>
      </c>
      <c r="E377" t="inlineStr">
        <is>
          <t>GOTLAND</t>
        </is>
      </c>
      <c r="G377" t="n">
        <v>4</v>
      </c>
      <c r="H377" t="n">
        <v>0</v>
      </c>
      <c r="I377" t="n">
        <v>0</v>
      </c>
      <c r="J377" t="n">
        <v>0</v>
      </c>
      <c r="K377" t="n">
        <v>0</v>
      </c>
      <c r="L377" t="n">
        <v>0</v>
      </c>
      <c r="M377" t="n">
        <v>0</v>
      </c>
      <c r="N377" t="n">
        <v>0</v>
      </c>
      <c r="O377" t="n">
        <v>0</v>
      </c>
      <c r="P377" t="n">
        <v>0</v>
      </c>
      <c r="Q377" t="n">
        <v>0</v>
      </c>
      <c r="R377" s="2" t="inlineStr"/>
    </row>
    <row r="378" ht="15" customHeight="1">
      <c r="A378" t="inlineStr">
        <is>
          <t>A 35550-2025</t>
        </is>
      </c>
      <c r="B378" s="1" t="n">
        <v>45856.49324074074</v>
      </c>
      <c r="C378" s="1" t="n">
        <v>46164</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9540-2026</t>
        </is>
      </c>
      <c r="B379" s="1" t="n">
        <v>46071.61961805556</v>
      </c>
      <c r="C379" s="1" t="n">
        <v>46164</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5909-2025</t>
        </is>
      </c>
      <c r="B380" s="1" t="n">
        <v>45695.40634259259</v>
      </c>
      <c r="C380" s="1" t="n">
        <v>46164</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10653-2023</t>
        </is>
      </c>
      <c r="B381" s="1" t="n">
        <v>44988.48859953704</v>
      </c>
      <c r="C381" s="1" t="n">
        <v>46164</v>
      </c>
      <c r="D381" t="inlineStr">
        <is>
          <t>GOTLANDS LÄN</t>
        </is>
      </c>
      <c r="E381" t="inlineStr">
        <is>
          <t>GOTLAND</t>
        </is>
      </c>
      <c r="F381" t="inlineStr">
        <is>
          <t>Kyrkan</t>
        </is>
      </c>
      <c r="G381" t="n">
        <v>3</v>
      </c>
      <c r="H381" t="n">
        <v>0</v>
      </c>
      <c r="I381" t="n">
        <v>0</v>
      </c>
      <c r="J381" t="n">
        <v>0</v>
      </c>
      <c r="K381" t="n">
        <v>0</v>
      </c>
      <c r="L381" t="n">
        <v>0</v>
      </c>
      <c r="M381" t="n">
        <v>0</v>
      </c>
      <c r="N381" t="n">
        <v>0</v>
      </c>
      <c r="O381" t="n">
        <v>0</v>
      </c>
      <c r="P381" t="n">
        <v>0</v>
      </c>
      <c r="Q381" t="n">
        <v>0</v>
      </c>
      <c r="R381" s="2" t="inlineStr"/>
    </row>
    <row r="382" ht="15" customHeight="1">
      <c r="A382" t="inlineStr">
        <is>
          <t>A 9521-2026</t>
        </is>
      </c>
      <c r="B382" s="1" t="n">
        <v>46071.59969907408</v>
      </c>
      <c r="C382" s="1" t="n">
        <v>46164</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9524-2026</t>
        </is>
      </c>
      <c r="B383" s="1" t="n">
        <v>46071.60108796296</v>
      </c>
      <c r="C383" s="1" t="n">
        <v>46164</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9543-2026</t>
        </is>
      </c>
      <c r="B384" s="1" t="n">
        <v>46071.62486111111</v>
      </c>
      <c r="C384" s="1" t="n">
        <v>46164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4990-2025</t>
        </is>
      </c>
      <c r="B385" s="1" t="n">
        <v>45691</v>
      </c>
      <c r="C385" s="1" t="n">
        <v>46164</v>
      </c>
      <c r="D385" t="inlineStr">
        <is>
          <t>GOTLANDS LÄN</t>
        </is>
      </c>
      <c r="E385" t="inlineStr">
        <is>
          <t>GOTLAND</t>
        </is>
      </c>
      <c r="G385" t="n">
        <v>7.7</v>
      </c>
      <c r="H385" t="n">
        <v>0</v>
      </c>
      <c r="I385" t="n">
        <v>0</v>
      </c>
      <c r="J385" t="n">
        <v>0</v>
      </c>
      <c r="K385" t="n">
        <v>0</v>
      </c>
      <c r="L385" t="n">
        <v>0</v>
      </c>
      <c r="M385" t="n">
        <v>0</v>
      </c>
      <c r="N385" t="n">
        <v>0</v>
      </c>
      <c r="O385" t="n">
        <v>0</v>
      </c>
      <c r="P385" t="n">
        <v>0</v>
      </c>
      <c r="Q385" t="n">
        <v>0</v>
      </c>
      <c r="R385" s="2" t="inlineStr"/>
    </row>
    <row r="386" ht="15" customHeight="1">
      <c r="A386" t="inlineStr">
        <is>
          <t>A 6108-2025</t>
        </is>
      </c>
      <c r="B386" s="1" t="n">
        <v>45698.29880787037</v>
      </c>
      <c r="C386" s="1" t="n">
        <v>46164</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21142-2025</t>
        </is>
      </c>
      <c r="B387" s="1" t="n">
        <v>45779</v>
      </c>
      <c r="C387" s="1" t="n">
        <v>46164</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47578-2025</t>
        </is>
      </c>
      <c r="B388" s="1" t="n">
        <v>45931</v>
      </c>
      <c r="C388" s="1" t="n">
        <v>46164</v>
      </c>
      <c r="D388" t="inlineStr">
        <is>
          <t>GOTLANDS LÄN</t>
        </is>
      </c>
      <c r="E388" t="inlineStr">
        <is>
          <t>GOTLAND</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17343-2025</t>
        </is>
      </c>
      <c r="B389" s="1" t="n">
        <v>45756.6687037037</v>
      </c>
      <c r="C389" s="1" t="n">
        <v>46164</v>
      </c>
      <c r="D389" t="inlineStr">
        <is>
          <t>GOTLANDS LÄN</t>
        </is>
      </c>
      <c r="E389" t="inlineStr">
        <is>
          <t>GOTLAND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18938-2025</t>
        </is>
      </c>
      <c r="B390" s="1" t="n">
        <v>45764.49172453704</v>
      </c>
      <c r="C390" s="1" t="n">
        <v>46164</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49724-2025</t>
        </is>
      </c>
      <c r="B391" s="1" t="n">
        <v>45939.83730324074</v>
      </c>
      <c r="C391" s="1" t="n">
        <v>46164</v>
      </c>
      <c r="D391" t="inlineStr">
        <is>
          <t>GOTLANDS LÄN</t>
        </is>
      </c>
      <c r="E391" t="inlineStr">
        <is>
          <t>GOTLAND</t>
        </is>
      </c>
      <c r="F391" t="inlineStr">
        <is>
          <t>Kyrkan</t>
        </is>
      </c>
      <c r="G391" t="n">
        <v>3.1</v>
      </c>
      <c r="H391" t="n">
        <v>0</v>
      </c>
      <c r="I391" t="n">
        <v>0</v>
      </c>
      <c r="J391" t="n">
        <v>0</v>
      </c>
      <c r="K391" t="n">
        <v>0</v>
      </c>
      <c r="L391" t="n">
        <v>0</v>
      </c>
      <c r="M391" t="n">
        <v>0</v>
      </c>
      <c r="N391" t="n">
        <v>0</v>
      </c>
      <c r="O391" t="n">
        <v>0</v>
      </c>
      <c r="P391" t="n">
        <v>0</v>
      </c>
      <c r="Q391" t="n">
        <v>0</v>
      </c>
      <c r="R391" s="2" t="inlineStr"/>
    </row>
    <row r="392" ht="15" customHeight="1">
      <c r="A392" t="inlineStr">
        <is>
          <t>A 49730-2025</t>
        </is>
      </c>
      <c r="B392" s="1" t="n">
        <v>45939.87613425926</v>
      </c>
      <c r="C392" s="1" t="n">
        <v>46164</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30489-2025</t>
        </is>
      </c>
      <c r="B393" s="1" t="n">
        <v>45830</v>
      </c>
      <c r="C393" s="1" t="n">
        <v>46164</v>
      </c>
      <c r="D393" t="inlineStr">
        <is>
          <t>GOTLANDS LÄN</t>
        </is>
      </c>
      <c r="E393" t="inlineStr">
        <is>
          <t>GOTLAND</t>
        </is>
      </c>
      <c r="G393" t="n">
        <v>4.6</v>
      </c>
      <c r="H393" t="n">
        <v>0</v>
      </c>
      <c r="I393" t="n">
        <v>0</v>
      </c>
      <c r="J393" t="n">
        <v>0</v>
      </c>
      <c r="K393" t="n">
        <v>0</v>
      </c>
      <c r="L393" t="n">
        <v>0</v>
      </c>
      <c r="M393" t="n">
        <v>0</v>
      </c>
      <c r="N393" t="n">
        <v>0</v>
      </c>
      <c r="O393" t="n">
        <v>0</v>
      </c>
      <c r="P393" t="n">
        <v>0</v>
      </c>
      <c r="Q393" t="n">
        <v>0</v>
      </c>
      <c r="R393" s="2" t="inlineStr"/>
    </row>
    <row r="394" ht="15" customHeight="1">
      <c r="A394" t="inlineStr">
        <is>
          <t>A 43081-2022</t>
        </is>
      </c>
      <c r="B394" s="1" t="n">
        <v>44833</v>
      </c>
      <c r="C394" s="1" t="n">
        <v>46164</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46164</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46164</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49690-2025</t>
        </is>
      </c>
      <c r="B397" s="1" t="n">
        <v>45939.66730324074</v>
      </c>
      <c r="C397" s="1" t="n">
        <v>46164</v>
      </c>
      <c r="D397" t="inlineStr">
        <is>
          <t>GOTLANDS LÄN</t>
        </is>
      </c>
      <c r="E397" t="inlineStr">
        <is>
          <t>GOTLAND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33011-2025</t>
        </is>
      </c>
      <c r="B398" s="1" t="n">
        <v>45840</v>
      </c>
      <c r="C398" s="1" t="n">
        <v>46164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5884-2025</t>
        </is>
      </c>
      <c r="B399" s="1" t="n">
        <v>45695.37482638889</v>
      </c>
      <c r="C399" s="1" t="n">
        <v>46164</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5897-2025</t>
        </is>
      </c>
      <c r="B400" s="1" t="n">
        <v>45695.39273148148</v>
      </c>
      <c r="C400" s="1" t="n">
        <v>46164</v>
      </c>
      <c r="D400" t="inlineStr">
        <is>
          <t>GOTLANDS LÄN</t>
        </is>
      </c>
      <c r="E400" t="inlineStr">
        <is>
          <t>GOTLAND</t>
        </is>
      </c>
      <c r="G400" t="n">
        <v>3.7</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46164</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49693-2023</t>
        </is>
      </c>
      <c r="B402" s="1" t="n">
        <v>45212.38138888889</v>
      </c>
      <c r="C402" s="1" t="n">
        <v>46164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10486-2026</t>
        </is>
      </c>
      <c r="B403" s="1" t="n">
        <v>46077.51425925926</v>
      </c>
      <c r="C403" s="1" t="n">
        <v>46164</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49697-2023</t>
        </is>
      </c>
      <c r="B404" s="1" t="n">
        <v>45212.38909722222</v>
      </c>
      <c r="C404" s="1" t="n">
        <v>46164</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50431-2025</t>
        </is>
      </c>
      <c r="B405" s="1" t="n">
        <v>45944.68453703704</v>
      </c>
      <c r="C405" s="1" t="n">
        <v>46164</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50928-2025</t>
        </is>
      </c>
      <c r="B406" s="1" t="n">
        <v>45946.67896990741</v>
      </c>
      <c r="C406" s="1" t="n">
        <v>46164</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9901-2026</t>
        </is>
      </c>
      <c r="B407" s="1" t="n">
        <v>46073.40391203704</v>
      </c>
      <c r="C407" s="1" t="n">
        <v>46164</v>
      </c>
      <c r="D407" t="inlineStr">
        <is>
          <t>GOTLANDS LÄN</t>
        </is>
      </c>
      <c r="E407" t="inlineStr">
        <is>
          <t>GOTLAND</t>
        </is>
      </c>
      <c r="F407" t="inlineStr">
        <is>
          <t>Kyrkan</t>
        </is>
      </c>
      <c r="G407" t="n">
        <v>0.9</v>
      </c>
      <c r="H407" t="n">
        <v>0</v>
      </c>
      <c r="I407" t="n">
        <v>0</v>
      </c>
      <c r="J407" t="n">
        <v>0</v>
      </c>
      <c r="K407" t="n">
        <v>0</v>
      </c>
      <c r="L407" t="n">
        <v>0</v>
      </c>
      <c r="M407" t="n">
        <v>0</v>
      </c>
      <c r="N407" t="n">
        <v>0</v>
      </c>
      <c r="O407" t="n">
        <v>0</v>
      </c>
      <c r="P407" t="n">
        <v>0</v>
      </c>
      <c r="Q407" t="n">
        <v>0</v>
      </c>
      <c r="R407" s="2" t="inlineStr"/>
    </row>
    <row r="408" ht="15" customHeight="1">
      <c r="A408" t="inlineStr">
        <is>
          <t>A 10284-2026</t>
        </is>
      </c>
      <c r="B408" s="1" t="n">
        <v>46076</v>
      </c>
      <c r="C408" s="1" t="n">
        <v>46164</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60384-2025</t>
        </is>
      </c>
      <c r="B409" s="1" t="n">
        <v>45995</v>
      </c>
      <c r="C409" s="1" t="n">
        <v>46164</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17901-2023</t>
        </is>
      </c>
      <c r="B410" s="1" t="n">
        <v>45039</v>
      </c>
      <c r="C410" s="1" t="n">
        <v>46164</v>
      </c>
      <c r="D410" t="inlineStr">
        <is>
          <t>GOTLANDS LÄN</t>
        </is>
      </c>
      <c r="E410" t="inlineStr">
        <is>
          <t>GOTLAND</t>
        </is>
      </c>
      <c r="F410" t="inlineStr">
        <is>
          <t>Kyrkan</t>
        </is>
      </c>
      <c r="G410" t="n">
        <v>0.6</v>
      </c>
      <c r="H410" t="n">
        <v>0</v>
      </c>
      <c r="I410" t="n">
        <v>0</v>
      </c>
      <c r="J410" t="n">
        <v>0</v>
      </c>
      <c r="K410" t="n">
        <v>0</v>
      </c>
      <c r="L410" t="n">
        <v>0</v>
      </c>
      <c r="M410" t="n">
        <v>0</v>
      </c>
      <c r="N410" t="n">
        <v>0</v>
      </c>
      <c r="O410" t="n">
        <v>0</v>
      </c>
      <c r="P410" t="n">
        <v>0</v>
      </c>
      <c r="Q410" t="n">
        <v>0</v>
      </c>
      <c r="R410" s="2" t="inlineStr"/>
    </row>
    <row r="411" ht="15" customHeight="1">
      <c r="A411" t="inlineStr">
        <is>
          <t>A 51262-2025</t>
        </is>
      </c>
      <c r="B411" s="1" t="n">
        <v>45949.49872685185</v>
      </c>
      <c r="C411" s="1" t="n">
        <v>46164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52892-2021</t>
        </is>
      </c>
      <c r="B412" s="1" t="n">
        <v>44467.49048611111</v>
      </c>
      <c r="C412" s="1" t="n">
        <v>46164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20356-2022</t>
        </is>
      </c>
      <c r="B413" s="1" t="n">
        <v>44699</v>
      </c>
      <c r="C413" s="1" t="n">
        <v>46164</v>
      </c>
      <c r="D413" t="inlineStr">
        <is>
          <t>GOTLANDS LÄN</t>
        </is>
      </c>
      <c r="E413" t="inlineStr">
        <is>
          <t>GOTLAND</t>
        </is>
      </c>
      <c r="F413" t="inlineStr">
        <is>
          <t>Övriga Aktiebolag</t>
        </is>
      </c>
      <c r="G413" t="n">
        <v>4.4</v>
      </c>
      <c r="H413" t="n">
        <v>0</v>
      </c>
      <c r="I413" t="n">
        <v>0</v>
      </c>
      <c r="J413" t="n">
        <v>0</v>
      </c>
      <c r="K413" t="n">
        <v>0</v>
      </c>
      <c r="L413" t="n">
        <v>0</v>
      </c>
      <c r="M413" t="n">
        <v>0</v>
      </c>
      <c r="N413" t="n">
        <v>0</v>
      </c>
      <c r="O413" t="n">
        <v>0</v>
      </c>
      <c r="P413" t="n">
        <v>0</v>
      </c>
      <c r="Q413" t="n">
        <v>0</v>
      </c>
      <c r="R413" s="2" t="inlineStr"/>
    </row>
    <row r="414" ht="15" customHeight="1">
      <c r="A414" t="inlineStr">
        <is>
          <t>A 46396-2023</t>
        </is>
      </c>
      <c r="B414" s="1" t="n">
        <v>45197</v>
      </c>
      <c r="C414" s="1" t="n">
        <v>46164</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46164</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46164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17935-2026</t>
        </is>
      </c>
      <c r="B417" s="1" t="n">
        <v>46122</v>
      </c>
      <c r="C417" s="1" t="n">
        <v>46164</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34312-2024</t>
        </is>
      </c>
      <c r="B418" s="1" t="n">
        <v>45524.69703703704</v>
      </c>
      <c r="C418" s="1" t="n">
        <v>46164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52637-2025</t>
        </is>
      </c>
      <c r="B419" s="1" t="n">
        <v>45954.75099537037</v>
      </c>
      <c r="C419" s="1" t="n">
        <v>46164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11424-2026</t>
        </is>
      </c>
      <c r="B420" s="1" t="n">
        <v>46083.48068287037</v>
      </c>
      <c r="C420" s="1" t="n">
        <v>46164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53569-2025</t>
        </is>
      </c>
      <c r="B421" s="1" t="n">
        <v>45960.41155092593</v>
      </c>
      <c r="C421" s="1" t="n">
        <v>46164</v>
      </c>
      <c r="D421" t="inlineStr">
        <is>
          <t>GOTLANDS LÄN</t>
        </is>
      </c>
      <c r="E421" t="inlineStr">
        <is>
          <t>GOTLAND</t>
        </is>
      </c>
      <c r="F421" t="inlineStr">
        <is>
          <t>Övriga Aktiebolag</t>
        </is>
      </c>
      <c r="G421" t="n">
        <v>11.3</v>
      </c>
      <c r="H421" t="n">
        <v>0</v>
      </c>
      <c r="I421" t="n">
        <v>0</v>
      </c>
      <c r="J421" t="n">
        <v>0</v>
      </c>
      <c r="K421" t="n">
        <v>0</v>
      </c>
      <c r="L421" t="n">
        <v>0</v>
      </c>
      <c r="M421" t="n">
        <v>0</v>
      </c>
      <c r="N421" t="n">
        <v>0</v>
      </c>
      <c r="O421" t="n">
        <v>0</v>
      </c>
      <c r="P421" t="n">
        <v>0</v>
      </c>
      <c r="Q421" t="n">
        <v>0</v>
      </c>
      <c r="R421" s="2" t="inlineStr"/>
    </row>
    <row r="422" ht="15" customHeight="1">
      <c r="A422" t="inlineStr">
        <is>
          <t>A 53577-2025</t>
        </is>
      </c>
      <c r="B422" s="1" t="n">
        <v>45960.42224537037</v>
      </c>
      <c r="C422" s="1" t="n">
        <v>46164</v>
      </c>
      <c r="D422" t="inlineStr">
        <is>
          <t>GOTLANDS LÄN</t>
        </is>
      </c>
      <c r="E422" t="inlineStr">
        <is>
          <t>GOTLAND</t>
        </is>
      </c>
      <c r="F422" t="inlineStr">
        <is>
          <t>Övriga Aktiebolag</t>
        </is>
      </c>
      <c r="G422" t="n">
        <v>3.3</v>
      </c>
      <c r="H422" t="n">
        <v>0</v>
      </c>
      <c r="I422" t="n">
        <v>0</v>
      </c>
      <c r="J422" t="n">
        <v>0</v>
      </c>
      <c r="K422" t="n">
        <v>0</v>
      </c>
      <c r="L422" t="n">
        <v>0</v>
      </c>
      <c r="M422" t="n">
        <v>0</v>
      </c>
      <c r="N422" t="n">
        <v>0</v>
      </c>
      <c r="O422" t="n">
        <v>0</v>
      </c>
      <c r="P422" t="n">
        <v>0</v>
      </c>
      <c r="Q422" t="n">
        <v>0</v>
      </c>
      <c r="R422" s="2" t="inlineStr"/>
    </row>
    <row r="423" ht="15" customHeight="1">
      <c r="A423" t="inlineStr">
        <is>
          <t>A 69112-2021</t>
        </is>
      </c>
      <c r="B423" s="1" t="n">
        <v>44530</v>
      </c>
      <c r="C423" s="1" t="n">
        <v>46164</v>
      </c>
      <c r="D423" t="inlineStr">
        <is>
          <t>GOTLANDS LÄN</t>
        </is>
      </c>
      <c r="E423" t="inlineStr">
        <is>
          <t>GOTLAND</t>
        </is>
      </c>
      <c r="G423" t="n">
        <v>4.2</v>
      </c>
      <c r="H423" t="n">
        <v>0</v>
      </c>
      <c r="I423" t="n">
        <v>0</v>
      </c>
      <c r="J423" t="n">
        <v>0</v>
      </c>
      <c r="K423" t="n">
        <v>0</v>
      </c>
      <c r="L423" t="n">
        <v>0</v>
      </c>
      <c r="M423" t="n">
        <v>0</v>
      </c>
      <c r="N423" t="n">
        <v>0</v>
      </c>
      <c r="O423" t="n">
        <v>0</v>
      </c>
      <c r="P423" t="n">
        <v>0</v>
      </c>
      <c r="Q423" t="n">
        <v>0</v>
      </c>
      <c r="R423" s="2" t="inlineStr"/>
    </row>
    <row r="424" ht="15" customHeight="1">
      <c r="A424" t="inlineStr">
        <is>
          <t>A 11414-2026</t>
        </is>
      </c>
      <c r="B424" s="1" t="n">
        <v>46083.46336805556</v>
      </c>
      <c r="C424" s="1" t="n">
        <v>46164</v>
      </c>
      <c r="D424" t="inlineStr">
        <is>
          <t>GOTLANDS LÄN</t>
        </is>
      </c>
      <c r="E424" t="inlineStr">
        <is>
          <t>GOTLAND</t>
        </is>
      </c>
      <c r="G424" t="n">
        <v>4.9</v>
      </c>
      <c r="H424" t="n">
        <v>0</v>
      </c>
      <c r="I424" t="n">
        <v>0</v>
      </c>
      <c r="J424" t="n">
        <v>0</v>
      </c>
      <c r="K424" t="n">
        <v>0</v>
      </c>
      <c r="L424" t="n">
        <v>0</v>
      </c>
      <c r="M424" t="n">
        <v>0</v>
      </c>
      <c r="N424" t="n">
        <v>0</v>
      </c>
      <c r="O424" t="n">
        <v>0</v>
      </c>
      <c r="P424" t="n">
        <v>0</v>
      </c>
      <c r="Q424" t="n">
        <v>0</v>
      </c>
      <c r="R424" s="2" t="inlineStr"/>
    </row>
    <row r="425" ht="15" customHeight="1">
      <c r="A425" t="inlineStr">
        <is>
          <t>A 7638-2025</t>
        </is>
      </c>
      <c r="B425" s="1" t="n">
        <v>45705.77306712963</v>
      </c>
      <c r="C425" s="1" t="n">
        <v>46164</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50482-2024</t>
        </is>
      </c>
      <c r="B426" s="1" t="n">
        <v>45601.48114583334</v>
      </c>
      <c r="C426" s="1" t="n">
        <v>46164</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46164</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54584-2025</t>
        </is>
      </c>
      <c r="B428" s="1" t="n">
        <v>45965.71788194445</v>
      </c>
      <c r="C428" s="1" t="n">
        <v>46164</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1394-2023</t>
        </is>
      </c>
      <c r="B429" s="1" t="n">
        <v>44936.72997685185</v>
      </c>
      <c r="C429" s="1" t="n">
        <v>46164</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3067-2026</t>
        </is>
      </c>
      <c r="B430" s="1" t="n">
        <v>46040.59025462963</v>
      </c>
      <c r="C430" s="1" t="n">
        <v>46164</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58230-2024</t>
        </is>
      </c>
      <c r="B431" s="1" t="n">
        <v>45632.51625</v>
      </c>
      <c r="C431" s="1" t="n">
        <v>46164</v>
      </c>
      <c r="D431" t="inlineStr">
        <is>
          <t>GOTLANDS LÄN</t>
        </is>
      </c>
      <c r="E431" t="inlineStr">
        <is>
          <t>GOTLAND</t>
        </is>
      </c>
      <c r="G431" t="n">
        <v>7.3</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46164</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25129-2023</t>
        </is>
      </c>
      <c r="B433" s="1" t="n">
        <v>45086.44261574074</v>
      </c>
      <c r="C433" s="1" t="n">
        <v>46164</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24192-2023</t>
        </is>
      </c>
      <c r="B434" s="1" t="n">
        <v>45079</v>
      </c>
      <c r="C434" s="1" t="n">
        <v>46164</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5386-2023</t>
        </is>
      </c>
      <c r="B435" s="1" t="n">
        <v>44959</v>
      </c>
      <c r="C435" s="1" t="n">
        <v>46164</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7026-2023</t>
        </is>
      </c>
      <c r="B436" s="1" t="n">
        <v>44968.30340277778</v>
      </c>
      <c r="C436" s="1" t="n">
        <v>46164</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46164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1000-2024</t>
        </is>
      </c>
      <c r="B438" s="1" t="n">
        <v>45301.63371527778</v>
      </c>
      <c r="C438" s="1" t="n">
        <v>46164</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1010-2024</t>
        </is>
      </c>
      <c r="B439" s="1" t="n">
        <v>45301</v>
      </c>
      <c r="C439" s="1" t="n">
        <v>46164</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11982-2026</t>
        </is>
      </c>
      <c r="B440" s="1" t="n">
        <v>46085.6434375</v>
      </c>
      <c r="C440" s="1" t="n">
        <v>46164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46164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47762-2023</t>
        </is>
      </c>
      <c r="B442" s="1" t="n">
        <v>45203.86256944444</v>
      </c>
      <c r="C442" s="1" t="n">
        <v>46164</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56688-2025</t>
        </is>
      </c>
      <c r="B443" s="1" t="n">
        <v>45975.84331018518</v>
      </c>
      <c r="C443" s="1" t="n">
        <v>46164</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46545-2024</t>
        </is>
      </c>
      <c r="B444" s="1" t="n">
        <v>45582.65831018519</v>
      </c>
      <c r="C444" s="1" t="n">
        <v>46164</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60086-2022</t>
        </is>
      </c>
      <c r="B445" s="1" t="n">
        <v>44909</v>
      </c>
      <c r="C445" s="1" t="n">
        <v>46164</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28480-2023</t>
        </is>
      </c>
      <c r="B446" s="1" t="n">
        <v>45103</v>
      </c>
      <c r="C446" s="1" t="n">
        <v>46164</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28485-2023</t>
        </is>
      </c>
      <c r="B447" s="1" t="n">
        <v>45103.43731481482</v>
      </c>
      <c r="C447" s="1" t="n">
        <v>46164</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18804-2026</t>
        </is>
      </c>
      <c r="B448" s="1" t="n">
        <v>46128.62366898148</v>
      </c>
      <c r="C448" s="1" t="n">
        <v>46164</v>
      </c>
      <c r="D448" t="inlineStr">
        <is>
          <t>GOTLANDS LÄN</t>
        </is>
      </c>
      <c r="E448" t="inlineStr">
        <is>
          <t>GOTLAND</t>
        </is>
      </c>
      <c r="F448" t="inlineStr">
        <is>
          <t>Kyrkan</t>
        </is>
      </c>
      <c r="G448" t="n">
        <v>2.6</v>
      </c>
      <c r="H448" t="n">
        <v>0</v>
      </c>
      <c r="I448" t="n">
        <v>0</v>
      </c>
      <c r="J448" t="n">
        <v>0</v>
      </c>
      <c r="K448" t="n">
        <v>0</v>
      </c>
      <c r="L448" t="n">
        <v>0</v>
      </c>
      <c r="M448" t="n">
        <v>0</v>
      </c>
      <c r="N448" t="n">
        <v>0</v>
      </c>
      <c r="O448" t="n">
        <v>0</v>
      </c>
      <c r="P448" t="n">
        <v>0</v>
      </c>
      <c r="Q448" t="n">
        <v>0</v>
      </c>
      <c r="R448" s="2" t="inlineStr"/>
    </row>
    <row r="449" ht="15" customHeight="1">
      <c r="A449" t="inlineStr">
        <is>
          <t>A 12135-2026</t>
        </is>
      </c>
      <c r="B449" s="1" t="n">
        <v>46086</v>
      </c>
      <c r="C449" s="1" t="n">
        <v>46164</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42201-2023</t>
        </is>
      </c>
      <c r="B450" s="1" t="n">
        <v>45179</v>
      </c>
      <c r="C450" s="1" t="n">
        <v>46164</v>
      </c>
      <c r="D450" t="inlineStr">
        <is>
          <t>GOTLANDS LÄN</t>
        </is>
      </c>
      <c r="E450" t="inlineStr">
        <is>
          <t>GOTLAND</t>
        </is>
      </c>
      <c r="G450" t="n">
        <v>11.9</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46164</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19322-2026</t>
        </is>
      </c>
      <c r="B452" s="1" t="n">
        <v>46129</v>
      </c>
      <c r="C452" s="1" t="n">
        <v>46164</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46164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46164</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3964-2024</t>
        </is>
      </c>
      <c r="B455" s="1" t="n">
        <v>45322</v>
      </c>
      <c r="C455" s="1" t="n">
        <v>46164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46164</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59197-2025</t>
        </is>
      </c>
      <c r="B457" s="1" t="n">
        <v>45988.59846064815</v>
      </c>
      <c r="C457" s="1" t="n">
        <v>46164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5217-2023</t>
        </is>
      </c>
      <c r="B458" s="1" t="n">
        <v>44959.39582175926</v>
      </c>
      <c r="C458" s="1" t="n">
        <v>46164</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36319-2025</t>
        </is>
      </c>
      <c r="B459" s="1" t="n">
        <v>45868</v>
      </c>
      <c r="C459" s="1" t="n">
        <v>46164</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46164</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62754-2025</t>
        </is>
      </c>
      <c r="B461" s="1" t="n">
        <v>46008</v>
      </c>
      <c r="C461" s="1" t="n">
        <v>46164</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46164</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8260-2023</t>
        </is>
      </c>
      <c r="B463" s="1" t="n">
        <v>44974.61608796296</v>
      </c>
      <c r="C463" s="1" t="n">
        <v>46164</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64969-2023</t>
        </is>
      </c>
      <c r="B464" s="1" t="n">
        <v>45284.54009259259</v>
      </c>
      <c r="C464" s="1" t="n">
        <v>46164</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48843-2024</t>
        </is>
      </c>
      <c r="B465" s="1" t="n">
        <v>45593</v>
      </c>
      <c r="C465" s="1" t="n">
        <v>46164</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17541-2024</t>
        </is>
      </c>
      <c r="B466" s="1" t="n">
        <v>45415</v>
      </c>
      <c r="C466" s="1" t="n">
        <v>46164</v>
      </c>
      <c r="D466" t="inlineStr">
        <is>
          <t>GOTLANDS LÄN</t>
        </is>
      </c>
      <c r="E466" t="inlineStr">
        <is>
          <t>GOTLAND</t>
        </is>
      </c>
      <c r="G466" t="n">
        <v>2.6</v>
      </c>
      <c r="H466" t="n">
        <v>0</v>
      </c>
      <c r="I466" t="n">
        <v>0</v>
      </c>
      <c r="J466" t="n">
        <v>0</v>
      </c>
      <c r="K466" t="n">
        <v>0</v>
      </c>
      <c r="L466" t="n">
        <v>0</v>
      </c>
      <c r="M466" t="n">
        <v>0</v>
      </c>
      <c r="N466" t="n">
        <v>0</v>
      </c>
      <c r="O466" t="n">
        <v>0</v>
      </c>
      <c r="P466" t="n">
        <v>0</v>
      </c>
      <c r="Q466" t="n">
        <v>0</v>
      </c>
      <c r="R466" s="2" t="inlineStr"/>
    </row>
    <row r="467" ht="15" customHeight="1">
      <c r="A467" t="inlineStr">
        <is>
          <t>A 2241-2025</t>
        </is>
      </c>
      <c r="B467" s="1" t="n">
        <v>45673.48710648148</v>
      </c>
      <c r="C467" s="1" t="n">
        <v>46164</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62066-2025</t>
        </is>
      </c>
      <c r="B468" s="1" t="n">
        <v>46006.34738425926</v>
      </c>
      <c r="C468" s="1" t="n">
        <v>46164</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15434-2024</t>
        </is>
      </c>
      <c r="B469" s="1" t="n">
        <v>45401.38836805556</v>
      </c>
      <c r="C469" s="1" t="n">
        <v>46164</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62103-2025</t>
        </is>
      </c>
      <c r="B470" s="1" t="n">
        <v>46006</v>
      </c>
      <c r="C470" s="1" t="n">
        <v>46164</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5943-2024</t>
        </is>
      </c>
      <c r="B471" s="1" t="n">
        <v>45336</v>
      </c>
      <c r="C471" s="1" t="n">
        <v>46164</v>
      </c>
      <c r="D471" t="inlineStr">
        <is>
          <t>GOTLANDS LÄN</t>
        </is>
      </c>
      <c r="E471" t="inlineStr">
        <is>
          <t>GOTLAND</t>
        </is>
      </c>
      <c r="G471" t="n">
        <v>4.3</v>
      </c>
      <c r="H471" t="n">
        <v>0</v>
      </c>
      <c r="I471" t="n">
        <v>0</v>
      </c>
      <c r="J471" t="n">
        <v>0</v>
      </c>
      <c r="K471" t="n">
        <v>0</v>
      </c>
      <c r="L471" t="n">
        <v>0</v>
      </c>
      <c r="M471" t="n">
        <v>0</v>
      </c>
      <c r="N471" t="n">
        <v>0</v>
      </c>
      <c r="O471" t="n">
        <v>0</v>
      </c>
      <c r="P471" t="n">
        <v>0</v>
      </c>
      <c r="Q471" t="n">
        <v>0</v>
      </c>
      <c r="R471" s="2" t="inlineStr"/>
    </row>
    <row r="472" ht="15" customHeight="1">
      <c r="A472" t="inlineStr">
        <is>
          <t>A 54073-2022</t>
        </is>
      </c>
      <c r="B472" s="1" t="n">
        <v>44881.50380787037</v>
      </c>
      <c r="C472" s="1" t="n">
        <v>46164</v>
      </c>
      <c r="D472" t="inlineStr">
        <is>
          <t>GOTLANDS LÄN</t>
        </is>
      </c>
      <c r="E472" t="inlineStr">
        <is>
          <t>GOTLAND</t>
        </is>
      </c>
      <c r="G472" t="n">
        <v>3.8</v>
      </c>
      <c r="H472" t="n">
        <v>0</v>
      </c>
      <c r="I472" t="n">
        <v>0</v>
      </c>
      <c r="J472" t="n">
        <v>0</v>
      </c>
      <c r="K472" t="n">
        <v>0</v>
      </c>
      <c r="L472" t="n">
        <v>0</v>
      </c>
      <c r="M472" t="n">
        <v>0</v>
      </c>
      <c r="N472" t="n">
        <v>0</v>
      </c>
      <c r="O472" t="n">
        <v>0</v>
      </c>
      <c r="P472" t="n">
        <v>0</v>
      </c>
      <c r="Q472" t="n">
        <v>0</v>
      </c>
      <c r="R472" s="2" t="inlineStr"/>
    </row>
    <row r="473" ht="15" customHeight="1">
      <c r="A473" t="inlineStr">
        <is>
          <t>A 63000-2025</t>
        </is>
      </c>
      <c r="B473" s="1" t="n">
        <v>46009</v>
      </c>
      <c r="C473" s="1" t="n">
        <v>46164</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46164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46164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46164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14427-2024</t>
        </is>
      </c>
      <c r="B477" s="1" t="n">
        <v>45394</v>
      </c>
      <c r="C477" s="1" t="n">
        <v>46164</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13486-2026</t>
        </is>
      </c>
      <c r="B478" s="1" t="n">
        <v>46094</v>
      </c>
      <c r="C478" s="1" t="n">
        <v>46164</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46164</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62751-2025</t>
        </is>
      </c>
      <c r="B480" s="1" t="n">
        <v>46008</v>
      </c>
      <c r="C480" s="1" t="n">
        <v>46164</v>
      </c>
      <c r="D480" t="inlineStr">
        <is>
          <t>GOTLANDS LÄN</t>
        </is>
      </c>
      <c r="E480" t="inlineStr">
        <is>
          <t>GOTLAND</t>
        </is>
      </c>
      <c r="F480" t="inlineStr">
        <is>
          <t>Övriga Aktiebolag</t>
        </is>
      </c>
      <c r="G480" t="n">
        <v>7.8</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46164</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44609.44362268518</v>
      </c>
      <c r="C482" s="1" t="n">
        <v>46164</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46164</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61078-2025</t>
        </is>
      </c>
      <c r="B484" s="1" t="n">
        <v>46000</v>
      </c>
      <c r="C484" s="1" t="n">
        <v>46164</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36-2026</t>
        </is>
      </c>
      <c r="B485" s="1" t="n">
        <v>46024.38886574074</v>
      </c>
      <c r="C485" s="1" t="n">
        <v>46164</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46949-2024</t>
        </is>
      </c>
      <c r="B486" s="1" t="n">
        <v>45585</v>
      </c>
      <c r="C486" s="1" t="n">
        <v>46164</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44624.57945601852</v>
      </c>
      <c r="C487" s="1" t="n">
        <v>46164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1355-2026</t>
        </is>
      </c>
      <c r="B488" s="1" t="n">
        <v>46031.59909722222</v>
      </c>
      <c r="C488" s="1" t="n">
        <v>46164</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1898-2026</t>
        </is>
      </c>
      <c r="B489" s="1" t="n">
        <v>46035.52024305556</v>
      </c>
      <c r="C489" s="1" t="n">
        <v>46164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46164</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11634-2024</t>
        </is>
      </c>
      <c r="B491" s="1" t="n">
        <v>45373</v>
      </c>
      <c r="C491" s="1" t="n">
        <v>46164</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1351-2025</t>
        </is>
      </c>
      <c r="B492" s="1" t="n">
        <v>45667.62246527777</v>
      </c>
      <c r="C492" s="1" t="n">
        <v>46164</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46164</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46164</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14840-2026</t>
        </is>
      </c>
      <c r="B495" s="1" t="n">
        <v>46104.39498842593</v>
      </c>
      <c r="C495" s="1" t="n">
        <v>46164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46164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46164</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46164</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46164</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46164</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21396-2026</t>
        </is>
      </c>
      <c r="B501" s="1" t="n">
        <v>46148.30710648148</v>
      </c>
      <c r="C501" s="1" t="n">
        <v>46164</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46164</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49962-2023</t>
        </is>
      </c>
      <c r="B503" s="1" t="n">
        <v>45215.38775462963</v>
      </c>
      <c r="C503" s="1" t="n">
        <v>46164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4662-2026</t>
        </is>
      </c>
      <c r="B504" s="1" t="n">
        <v>46048.40949074074</v>
      </c>
      <c r="C504" s="1" t="n">
        <v>46164</v>
      </c>
      <c r="D504" t="inlineStr">
        <is>
          <t>GOTLANDS LÄN</t>
        </is>
      </c>
      <c r="E504" t="inlineStr">
        <is>
          <t>GOTLAND</t>
        </is>
      </c>
      <c r="G504" t="n">
        <v>7.6</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44698.49854166667</v>
      </c>
      <c r="C505" s="1" t="n">
        <v>46164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46164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12032-2025</t>
        </is>
      </c>
      <c r="B507" s="1" t="n">
        <v>45728.64472222222</v>
      </c>
      <c r="C507" s="1" t="n">
        <v>46164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4639-2026</t>
        </is>
      </c>
      <c r="B508" s="1" t="n">
        <v>46048.39880787037</v>
      </c>
      <c r="C508" s="1" t="n">
        <v>46164</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38787-2023</t>
        </is>
      </c>
      <c r="B509" s="1" t="n">
        <v>45163</v>
      </c>
      <c r="C509" s="1" t="n">
        <v>46164</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1854-2026</t>
        </is>
      </c>
      <c r="B510" s="1" t="n">
        <v>46035.4171875</v>
      </c>
      <c r="C510" s="1" t="n">
        <v>46164</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46164</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17532-2024</t>
        </is>
      </c>
      <c r="B512" s="1" t="n">
        <v>45415</v>
      </c>
      <c r="C512" s="1" t="n">
        <v>46164</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22351-2026</t>
        </is>
      </c>
      <c r="B513" s="1" t="n">
        <v>46154.58350694444</v>
      </c>
      <c r="C513" s="1" t="n">
        <v>46164</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22275-2026</t>
        </is>
      </c>
      <c r="B514" s="1" t="n">
        <v>46154.41924768518</v>
      </c>
      <c r="C514" s="1" t="n">
        <v>46164</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22348-2026</t>
        </is>
      </c>
      <c r="B515" s="1" t="n">
        <v>46154.58071759259</v>
      </c>
      <c r="C515" s="1" t="n">
        <v>46164</v>
      </c>
      <c r="D515" t="inlineStr">
        <is>
          <t>GOTLANDS LÄN</t>
        </is>
      </c>
      <c r="E515" t="inlineStr">
        <is>
          <t>GOTLAND</t>
        </is>
      </c>
      <c r="G515" t="n">
        <v>3.3</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46164</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46164</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883-2025</t>
        </is>
      </c>
      <c r="B518" s="1" t="n">
        <v>45665</v>
      </c>
      <c r="C518" s="1" t="n">
        <v>46164</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46164</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46164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46160.47591435185</v>
      </c>
      <c r="C521" s="1" t="n">
        <v>46164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1066-2024</t>
        </is>
      </c>
      <c r="B522" s="1" t="n">
        <v>45302.285</v>
      </c>
      <c r="C522" s="1" t="n">
        <v>46164</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23103-2026</t>
        </is>
      </c>
      <c r="B523" s="1" t="n">
        <v>46161.57108796296</v>
      </c>
      <c r="C523" s="1" t="n">
        <v>46164</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17144-2025</t>
        </is>
      </c>
      <c r="B524" s="1" t="n">
        <v>45755.9499537037</v>
      </c>
      <c r="C524" s="1" t="n">
        <v>46164</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5863-2026</t>
        </is>
      </c>
      <c r="B525" s="1" t="n">
        <v>46052</v>
      </c>
      <c r="C525" s="1" t="n">
        <v>46164</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63152-2025</t>
        </is>
      </c>
      <c r="B526" s="1" t="n">
        <v>46010</v>
      </c>
      <c r="C526" s="1" t="n">
        <v>46164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62836-2025</t>
        </is>
      </c>
      <c r="B527" s="1" t="n">
        <v>46008</v>
      </c>
      <c r="C527" s="1" t="n">
        <v>46164</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62674-2025</t>
        </is>
      </c>
      <c r="B528" s="1" t="n">
        <v>46008</v>
      </c>
      <c r="C528" s="1" t="n">
        <v>46164</v>
      </c>
      <c r="D528" t="inlineStr">
        <is>
          <t>GOTLANDS LÄN</t>
        </is>
      </c>
      <c r="E528" t="inlineStr">
        <is>
          <t>GOTLAND</t>
        </is>
      </c>
      <c r="G528" t="n">
        <v>5</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46164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46164</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23504-2026</t>
        </is>
      </c>
      <c r="B531" s="1" t="n">
        <v>46163.45875</v>
      </c>
      <c r="C531" s="1" t="n">
        <v>46164</v>
      </c>
      <c r="D531" t="inlineStr">
        <is>
          <t>GOTLANDS LÄN</t>
        </is>
      </c>
      <c r="E531" t="inlineStr">
        <is>
          <t>GOTLAND</t>
        </is>
      </c>
      <c r="G531" t="n">
        <v>1</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46164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873-2024</t>
        </is>
      </c>
      <c r="B534" s="1" t="n">
        <v>45301</v>
      </c>
      <c r="C534" s="1" t="n">
        <v>46164</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49411-2023</t>
        </is>
      </c>
      <c r="B535" s="1" t="n">
        <v>45205</v>
      </c>
      <c r="C535" s="1" t="n">
        <v>46164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22275-2023</t>
        </is>
      </c>
      <c r="B536" s="1" t="n">
        <v>45070.39875</v>
      </c>
      <c r="C536" s="1" t="n">
        <v>46164</v>
      </c>
      <c r="D536" t="inlineStr">
        <is>
          <t>GOTLANDS LÄN</t>
        </is>
      </c>
      <c r="E536" t="inlineStr">
        <is>
          <t>GOTLAND</t>
        </is>
      </c>
      <c r="G536" t="n">
        <v>7.2</v>
      </c>
      <c r="H536" t="n">
        <v>0</v>
      </c>
      <c r="I536" t="n">
        <v>0</v>
      </c>
      <c r="J536" t="n">
        <v>0</v>
      </c>
      <c r="K536" t="n">
        <v>0</v>
      </c>
      <c r="L536" t="n">
        <v>0</v>
      </c>
      <c r="M536" t="n">
        <v>0</v>
      </c>
      <c r="N536" t="n">
        <v>0</v>
      </c>
      <c r="O536" t="n">
        <v>0</v>
      </c>
      <c r="P536" t="n">
        <v>0</v>
      </c>
      <c r="Q536" t="n">
        <v>0</v>
      </c>
      <c r="R536" s="2" t="inlineStr"/>
    </row>
    <row r="537" ht="15" customHeight="1">
      <c r="A537" t="inlineStr">
        <is>
          <t>A 12322-2025</t>
        </is>
      </c>
      <c r="B537" s="1" t="n">
        <v>45730</v>
      </c>
      <c r="C537" s="1" t="n">
        <v>46164</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14797-2024</t>
        </is>
      </c>
      <c r="B538" s="1" t="n">
        <v>45397.87030092593</v>
      </c>
      <c r="C538" s="1" t="n">
        <v>46164</v>
      </c>
      <c r="D538" t="inlineStr">
        <is>
          <t>GOTLANDS LÄN</t>
        </is>
      </c>
      <c r="E538" t="inlineStr">
        <is>
          <t>GOTLAND</t>
        </is>
      </c>
      <c r="G538" t="n">
        <v>8.1</v>
      </c>
      <c r="H538" t="n">
        <v>0</v>
      </c>
      <c r="I538" t="n">
        <v>0</v>
      </c>
      <c r="J538" t="n">
        <v>0</v>
      </c>
      <c r="K538" t="n">
        <v>0</v>
      </c>
      <c r="L538" t="n">
        <v>0</v>
      </c>
      <c r="M538" t="n">
        <v>0</v>
      </c>
      <c r="N538" t="n">
        <v>0</v>
      </c>
      <c r="O538" t="n">
        <v>0</v>
      </c>
      <c r="P538" t="n">
        <v>0</v>
      </c>
      <c r="Q538" t="n">
        <v>0</v>
      </c>
      <c r="R538" s="2" t="inlineStr"/>
    </row>
    <row r="539" ht="15" customHeight="1">
      <c r="A539" t="inlineStr">
        <is>
          <t>A 999-2024</t>
        </is>
      </c>
      <c r="B539" s="1" t="n">
        <v>45301</v>
      </c>
      <c r="C539" s="1" t="n">
        <v>46164</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61596-2023</t>
        </is>
      </c>
      <c r="B540" s="1" t="n">
        <v>45265</v>
      </c>
      <c r="C540" s="1" t="n">
        <v>46164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14638-2025</t>
        </is>
      </c>
      <c r="B541" s="1" t="n">
        <v>45742</v>
      </c>
      <c r="C541" s="1" t="n">
        <v>46164</v>
      </c>
      <c r="D541" t="inlineStr">
        <is>
          <t>GOTLANDS LÄN</t>
        </is>
      </c>
      <c r="E541" t="inlineStr">
        <is>
          <t>GOTLAND</t>
        </is>
      </c>
      <c r="G541" t="n">
        <v>13.4</v>
      </c>
      <c r="H541" t="n">
        <v>0</v>
      </c>
      <c r="I541" t="n">
        <v>0</v>
      </c>
      <c r="J541" t="n">
        <v>0</v>
      </c>
      <c r="K541" t="n">
        <v>0</v>
      </c>
      <c r="L541" t="n">
        <v>0</v>
      </c>
      <c r="M541" t="n">
        <v>0</v>
      </c>
      <c r="N541" t="n">
        <v>0</v>
      </c>
      <c r="O541" t="n">
        <v>0</v>
      </c>
      <c r="P541" t="n">
        <v>0</v>
      </c>
      <c r="Q541" t="n">
        <v>0</v>
      </c>
      <c r="R541" s="2" t="inlineStr"/>
    </row>
    <row r="542" ht="15" customHeight="1">
      <c r="A542" t="inlineStr">
        <is>
          <t>A 60675-2021</t>
        </is>
      </c>
      <c r="B542" s="1" t="n">
        <v>44496.64855324074</v>
      </c>
      <c r="C542" s="1" t="n">
        <v>46164</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37728-2024</t>
        </is>
      </c>
      <c r="B543" s="1" t="n">
        <v>45541</v>
      </c>
      <c r="C543" s="1" t="n">
        <v>46164</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22287-2022</t>
        </is>
      </c>
      <c r="B544" s="1" t="n">
        <v>44712</v>
      </c>
      <c r="C544" s="1" t="n">
        <v>46164</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46164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65249-2023</t>
        </is>
      </c>
      <c r="B546" s="1" t="n">
        <v>45290</v>
      </c>
      <c r="C546" s="1" t="n">
        <v>46164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13910-2025</t>
        </is>
      </c>
      <c r="B547" s="1" t="n">
        <v>45737</v>
      </c>
      <c r="C547" s="1" t="n">
        <v>46164</v>
      </c>
      <c r="D547" t="inlineStr">
        <is>
          <t>GOTLANDS LÄN</t>
        </is>
      </c>
      <c r="E547" t="inlineStr">
        <is>
          <t>GOTLAND</t>
        </is>
      </c>
      <c r="F547" t="inlineStr">
        <is>
          <t>Kommuner</t>
        </is>
      </c>
      <c r="G547" t="n">
        <v>3.2</v>
      </c>
      <c r="H547" t="n">
        <v>0</v>
      </c>
      <c r="I547" t="n">
        <v>0</v>
      </c>
      <c r="J547" t="n">
        <v>0</v>
      </c>
      <c r="K547" t="n">
        <v>0</v>
      </c>
      <c r="L547" t="n">
        <v>0</v>
      </c>
      <c r="M547" t="n">
        <v>0</v>
      </c>
      <c r="N547" t="n">
        <v>0</v>
      </c>
      <c r="O547" t="n">
        <v>0</v>
      </c>
      <c r="P547" t="n">
        <v>0</v>
      </c>
      <c r="Q547" t="n">
        <v>0</v>
      </c>
      <c r="R547" s="2" t="inlineStr"/>
    </row>
    <row r="548" ht="15" customHeight="1">
      <c r="A548" t="inlineStr">
        <is>
          <t>A 17780-2022</t>
        </is>
      </c>
      <c r="B548" s="1" t="n">
        <v>44682.82622685185</v>
      </c>
      <c r="C548" s="1" t="n">
        <v>46164</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46164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11874-2024</t>
        </is>
      </c>
      <c r="B550" s="1" t="n">
        <v>45376.46956018519</v>
      </c>
      <c r="C550" s="1" t="n">
        <v>46164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42041-2024</t>
        </is>
      </c>
      <c r="B551" s="1" t="n">
        <v>45561</v>
      </c>
      <c r="C551" s="1" t="n">
        <v>46164</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61694-2023</t>
        </is>
      </c>
      <c r="B552" s="1" t="n">
        <v>45264</v>
      </c>
      <c r="C552" s="1" t="n">
        <v>46164</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64555-2023</t>
        </is>
      </c>
      <c r="B553" s="1" t="n">
        <v>45281</v>
      </c>
      <c r="C553" s="1" t="n">
        <v>46164</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46164</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999-2023</t>
        </is>
      </c>
      <c r="B555" s="1" t="n">
        <v>44935</v>
      </c>
      <c r="C555" s="1" t="n">
        <v>46164</v>
      </c>
      <c r="D555" t="inlineStr">
        <is>
          <t>GOTLANDS LÄN</t>
        </is>
      </c>
      <c r="E555" t="inlineStr">
        <is>
          <t>GOTLAND</t>
        </is>
      </c>
      <c r="G555" t="n">
        <v>4.7</v>
      </c>
      <c r="H555" t="n">
        <v>0</v>
      </c>
      <c r="I555" t="n">
        <v>0</v>
      </c>
      <c r="J555" t="n">
        <v>0</v>
      </c>
      <c r="K555" t="n">
        <v>0</v>
      </c>
      <c r="L555" t="n">
        <v>0</v>
      </c>
      <c r="M555" t="n">
        <v>0</v>
      </c>
      <c r="N555" t="n">
        <v>0</v>
      </c>
      <c r="O555" t="n">
        <v>0</v>
      </c>
      <c r="P555" t="n">
        <v>0</v>
      </c>
      <c r="Q555" t="n">
        <v>0</v>
      </c>
      <c r="R555" s="2" t="inlineStr"/>
    </row>
    <row r="556" ht="15" customHeight="1">
      <c r="A556" t="inlineStr">
        <is>
          <t>A 27602-2023</t>
        </is>
      </c>
      <c r="B556" s="1" t="n">
        <v>45097</v>
      </c>
      <c r="C556" s="1" t="n">
        <v>46164</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46164</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44955.73359953704</v>
      </c>
      <c r="C558" s="1" t="n">
        <v>46164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39479-2022</t>
        </is>
      </c>
      <c r="B559" s="1" t="n">
        <v>44818</v>
      </c>
      <c r="C559" s="1" t="n">
        <v>46164</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51963-2024</t>
        </is>
      </c>
      <c r="B560" s="1" t="n">
        <v>45607.64833333333</v>
      </c>
      <c r="C560" s="1" t="n">
        <v>46164</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46164</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46389-2021</t>
        </is>
      </c>
      <c r="B562" s="1" t="n">
        <v>44443</v>
      </c>
      <c r="C562" s="1" t="n">
        <v>46164</v>
      </c>
      <c r="D562" t="inlineStr">
        <is>
          <t>GOTLANDS LÄN</t>
        </is>
      </c>
      <c r="E562" t="inlineStr">
        <is>
          <t>GOTLAND</t>
        </is>
      </c>
      <c r="F562" t="inlineStr">
        <is>
          <t>Kyrkan</t>
        </is>
      </c>
      <c r="G562" t="n">
        <v>2.1</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46164</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5923-2023</t>
        </is>
      </c>
      <c r="B564" s="1" t="n">
        <v>44963.69503472222</v>
      </c>
      <c r="C564" s="1" t="n">
        <v>46164</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33853-2024</t>
        </is>
      </c>
      <c r="B565" s="1" t="n">
        <v>45520.64298611111</v>
      </c>
      <c r="C565" s="1" t="n">
        <v>46164</v>
      </c>
      <c r="D565" t="inlineStr">
        <is>
          <t>GOTLANDS LÄN</t>
        </is>
      </c>
      <c r="E565" t="inlineStr">
        <is>
          <t>GOTLAND</t>
        </is>
      </c>
      <c r="G565" t="n">
        <v>3.9</v>
      </c>
      <c r="H565" t="n">
        <v>0</v>
      </c>
      <c r="I565" t="n">
        <v>0</v>
      </c>
      <c r="J565" t="n">
        <v>0</v>
      </c>
      <c r="K565" t="n">
        <v>0</v>
      </c>
      <c r="L565" t="n">
        <v>0</v>
      </c>
      <c r="M565" t="n">
        <v>0</v>
      </c>
      <c r="N565" t="n">
        <v>0</v>
      </c>
      <c r="O565" t="n">
        <v>0</v>
      </c>
      <c r="P565" t="n">
        <v>0</v>
      </c>
      <c r="Q565" t="n">
        <v>0</v>
      </c>
      <c r="R565" s="2" t="inlineStr"/>
    </row>
    <row r="566" ht="15" customHeight="1">
      <c r="A566" t="inlineStr">
        <is>
          <t>A 18918-2025</t>
        </is>
      </c>
      <c r="B566" s="1" t="n">
        <v>45764</v>
      </c>
      <c r="C566" s="1" t="n">
        <v>46164</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46164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44988.49543981482</v>
      </c>
      <c r="C568" s="1" t="n">
        <v>46164</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44944.55361111111</v>
      </c>
      <c r="C569" s="1" t="n">
        <v>46164</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26891-2024</t>
        </is>
      </c>
      <c r="B570" s="1" t="n">
        <v>45470.65540509259</v>
      </c>
      <c r="C570" s="1" t="n">
        <v>46164</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42007-2023</t>
        </is>
      </c>
      <c r="B571" s="1" t="n">
        <v>45177</v>
      </c>
      <c r="C571" s="1" t="n">
        <v>46164</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9887-2025</t>
        </is>
      </c>
      <c r="B572" s="1" t="n">
        <v>45716</v>
      </c>
      <c r="C572" s="1" t="n">
        <v>46164</v>
      </c>
      <c r="D572" t="inlineStr">
        <is>
          <t>GOTLANDS LÄN</t>
        </is>
      </c>
      <c r="E572" t="inlineStr">
        <is>
          <t>GOTLAND</t>
        </is>
      </c>
      <c r="G572" t="n">
        <v>7.5</v>
      </c>
      <c r="H572" t="n">
        <v>0</v>
      </c>
      <c r="I572" t="n">
        <v>0</v>
      </c>
      <c r="J572" t="n">
        <v>0</v>
      </c>
      <c r="K572" t="n">
        <v>0</v>
      </c>
      <c r="L572" t="n">
        <v>0</v>
      </c>
      <c r="M572" t="n">
        <v>0</v>
      </c>
      <c r="N572" t="n">
        <v>0</v>
      </c>
      <c r="O572" t="n">
        <v>0</v>
      </c>
      <c r="P572" t="n">
        <v>0</v>
      </c>
      <c r="Q572" t="n">
        <v>0</v>
      </c>
      <c r="R572" s="2" t="inlineStr"/>
    </row>
    <row r="573" ht="15" customHeight="1">
      <c r="A573" t="inlineStr">
        <is>
          <t>A 38165-2023</t>
        </is>
      </c>
      <c r="B573" s="1" t="n">
        <v>45161</v>
      </c>
      <c r="C573" s="1" t="n">
        <v>46164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27596-2023</t>
        </is>
      </c>
      <c r="B574" s="1" t="n">
        <v>45097</v>
      </c>
      <c r="C574" s="1" t="n">
        <v>46164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24825-2024</t>
        </is>
      </c>
      <c r="B575" s="1" t="n">
        <v>45461</v>
      </c>
      <c r="C575" s="1" t="n">
        <v>46164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6696-2023</t>
        </is>
      </c>
      <c r="B576" s="1" t="n">
        <v>44966.66425925926</v>
      </c>
      <c r="C576" s="1" t="n">
        <v>46164</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21247-2022</t>
        </is>
      </c>
      <c r="B577" s="1" t="n">
        <v>44705.38832175926</v>
      </c>
      <c r="C577" s="1" t="n">
        <v>46164</v>
      </c>
      <c r="D577" t="inlineStr">
        <is>
          <t>GOTLANDS LÄN</t>
        </is>
      </c>
      <c r="E577" t="inlineStr">
        <is>
          <t>GOTLAND</t>
        </is>
      </c>
      <c r="G577" t="n">
        <v>16.2</v>
      </c>
      <c r="H577" t="n">
        <v>0</v>
      </c>
      <c r="I577" t="n">
        <v>0</v>
      </c>
      <c r="J577" t="n">
        <v>0</v>
      </c>
      <c r="K577" t="n">
        <v>0</v>
      </c>
      <c r="L577" t="n">
        <v>0</v>
      </c>
      <c r="M577" t="n">
        <v>0</v>
      </c>
      <c r="N577" t="n">
        <v>0</v>
      </c>
      <c r="O577" t="n">
        <v>0</v>
      </c>
      <c r="P577" t="n">
        <v>0</v>
      </c>
      <c r="Q577" t="n">
        <v>0</v>
      </c>
      <c r="R577" s="2" t="inlineStr"/>
    </row>
    <row r="578" ht="15" customHeight="1">
      <c r="A578" t="inlineStr">
        <is>
          <t>A 456-2023</t>
        </is>
      </c>
      <c r="B578" s="1" t="n">
        <v>44929.87122685185</v>
      </c>
      <c r="C578" s="1" t="n">
        <v>46164</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46164</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4421-2024</t>
        </is>
      </c>
      <c r="B580" s="1" t="n">
        <v>45327.45173611111</v>
      </c>
      <c r="C580" s="1" t="n">
        <v>46164</v>
      </c>
      <c r="D580" t="inlineStr">
        <is>
          <t>GOTLANDS LÄN</t>
        </is>
      </c>
      <c r="E580" t="inlineStr">
        <is>
          <t>GOTLAND</t>
        </is>
      </c>
      <c r="G580" t="n">
        <v>5.1</v>
      </c>
      <c r="H580" t="n">
        <v>0</v>
      </c>
      <c r="I580" t="n">
        <v>0</v>
      </c>
      <c r="J580" t="n">
        <v>0</v>
      </c>
      <c r="K580" t="n">
        <v>0</v>
      </c>
      <c r="L580" t="n">
        <v>0</v>
      </c>
      <c r="M580" t="n">
        <v>0</v>
      </c>
      <c r="N580" t="n">
        <v>0</v>
      </c>
      <c r="O580" t="n">
        <v>0</v>
      </c>
      <c r="P580" t="n">
        <v>0</v>
      </c>
      <c r="Q580" t="n">
        <v>0</v>
      </c>
      <c r="R580" s="2" t="inlineStr"/>
    </row>
    <row r="581" ht="15" customHeight="1">
      <c r="A581" t="inlineStr">
        <is>
          <t>A 51782-2023</t>
        </is>
      </c>
      <c r="B581" s="1" t="n">
        <v>45222.80952546297</v>
      </c>
      <c r="C581" s="1" t="n">
        <v>46164</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54268-2022</t>
        </is>
      </c>
      <c r="B582" s="1" t="n">
        <v>44882</v>
      </c>
      <c r="C582" s="1" t="n">
        <v>46164</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57534-2022</t>
        </is>
      </c>
      <c r="B583" s="1" t="n">
        <v>44896</v>
      </c>
      <c r="C583" s="1" t="n">
        <v>46164</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25866-2022</t>
        </is>
      </c>
      <c r="B584" s="1" t="n">
        <v>44733</v>
      </c>
      <c r="C584" s="1" t="n">
        <v>46164</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43229-2023</t>
        </is>
      </c>
      <c r="B585" s="1" t="n">
        <v>45183.46704861111</v>
      </c>
      <c r="C585" s="1" t="n">
        <v>46164</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1175-2025</t>
        </is>
      </c>
      <c r="B586" s="1" t="n">
        <v>45667.34449074074</v>
      </c>
      <c r="C586" s="1" t="n">
        <v>46164</v>
      </c>
      <c r="D586" t="inlineStr">
        <is>
          <t>GOTLANDS LÄN</t>
        </is>
      </c>
      <c r="E586" t="inlineStr">
        <is>
          <t>GOTLAND</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27095-2022</t>
        </is>
      </c>
      <c r="B587" s="1" t="n">
        <v>44741</v>
      </c>
      <c r="C587" s="1" t="n">
        <v>46164</v>
      </c>
      <c r="D587" t="inlineStr">
        <is>
          <t>GOTLANDS LÄN</t>
        </is>
      </c>
      <c r="E587" t="inlineStr">
        <is>
          <t>GOTLAND</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22899-2023</t>
        </is>
      </c>
      <c r="B588" s="1" t="n">
        <v>45072</v>
      </c>
      <c r="C588" s="1" t="n">
        <v>46164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23978-2023</t>
        </is>
      </c>
      <c r="B589" s="1" t="n">
        <v>45078</v>
      </c>
      <c r="C589" s="1" t="n">
        <v>46164</v>
      </c>
      <c r="D589" t="inlineStr">
        <is>
          <t>GOTLANDS LÄN</t>
        </is>
      </c>
      <c r="E589" t="inlineStr">
        <is>
          <t>GOTLAND</t>
        </is>
      </c>
      <c r="F589" t="inlineStr">
        <is>
          <t>Naturvårdsverket</t>
        </is>
      </c>
      <c r="G589" t="n">
        <v>1.7</v>
      </c>
      <c r="H589" t="n">
        <v>0</v>
      </c>
      <c r="I589" t="n">
        <v>0</v>
      </c>
      <c r="J589" t="n">
        <v>0</v>
      </c>
      <c r="K589" t="n">
        <v>0</v>
      </c>
      <c r="L589" t="n">
        <v>0</v>
      </c>
      <c r="M589" t="n">
        <v>0</v>
      </c>
      <c r="N589" t="n">
        <v>0</v>
      </c>
      <c r="O589" t="n">
        <v>0</v>
      </c>
      <c r="P589" t="n">
        <v>0</v>
      </c>
      <c r="Q589" t="n">
        <v>0</v>
      </c>
      <c r="R589" s="2" t="inlineStr"/>
    </row>
    <row r="590" ht="15" customHeight="1">
      <c r="A590" t="inlineStr">
        <is>
          <t>A 34407-2023</t>
        </is>
      </c>
      <c r="B590" s="1" t="n">
        <v>45132</v>
      </c>
      <c r="C590" s="1" t="n">
        <v>46164</v>
      </c>
      <c r="D590" t="inlineStr">
        <is>
          <t>GOTLANDS LÄN</t>
        </is>
      </c>
      <c r="E590" t="inlineStr">
        <is>
          <t>GOTLAND</t>
        </is>
      </c>
      <c r="G590" t="n">
        <v>4.4</v>
      </c>
      <c r="H590" t="n">
        <v>0</v>
      </c>
      <c r="I590" t="n">
        <v>0</v>
      </c>
      <c r="J590" t="n">
        <v>0</v>
      </c>
      <c r="K590" t="n">
        <v>0</v>
      </c>
      <c r="L590" t="n">
        <v>0</v>
      </c>
      <c r="M590" t="n">
        <v>0</v>
      </c>
      <c r="N590" t="n">
        <v>0</v>
      </c>
      <c r="O590" t="n">
        <v>0</v>
      </c>
      <c r="P590" t="n">
        <v>0</v>
      </c>
      <c r="Q590" t="n">
        <v>0</v>
      </c>
      <c r="R590" s="2" t="inlineStr"/>
    </row>
    <row r="591" ht="15" customHeight="1">
      <c r="A591" t="inlineStr">
        <is>
          <t>A 11013-2024</t>
        </is>
      </c>
      <c r="B591" s="1" t="n">
        <v>45370</v>
      </c>
      <c r="C591" s="1" t="n">
        <v>46164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27694-2024</t>
        </is>
      </c>
      <c r="B592" s="1" t="n">
        <v>45475</v>
      </c>
      <c r="C592" s="1" t="n">
        <v>46164</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15083-2025</t>
        </is>
      </c>
      <c r="B593" s="1" t="n">
        <v>45743</v>
      </c>
      <c r="C593" s="1" t="n">
        <v>46164</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13037-2025</t>
        </is>
      </c>
      <c r="B594" s="1" t="n">
        <v>45734</v>
      </c>
      <c r="C594" s="1" t="n">
        <v>46164</v>
      </c>
      <c r="D594" t="inlineStr">
        <is>
          <t>GOTLANDS LÄN</t>
        </is>
      </c>
      <c r="E594" t="inlineStr">
        <is>
          <t>GOTLAND</t>
        </is>
      </c>
      <c r="G594" t="n">
        <v>9.5</v>
      </c>
      <c r="H594" t="n">
        <v>0</v>
      </c>
      <c r="I594" t="n">
        <v>0</v>
      </c>
      <c r="J594" t="n">
        <v>0</v>
      </c>
      <c r="K594" t="n">
        <v>0</v>
      </c>
      <c r="L594" t="n">
        <v>0</v>
      </c>
      <c r="M594" t="n">
        <v>0</v>
      </c>
      <c r="N594" t="n">
        <v>0</v>
      </c>
      <c r="O594" t="n">
        <v>0</v>
      </c>
      <c r="P594" t="n">
        <v>0</v>
      </c>
      <c r="Q594" t="n">
        <v>0</v>
      </c>
      <c r="R594" s="2" t="inlineStr"/>
    </row>
    <row r="595" ht="15" customHeight="1">
      <c r="A595" t="inlineStr">
        <is>
          <t>A 458-2023</t>
        </is>
      </c>
      <c r="B595" s="1" t="n">
        <v>44929</v>
      </c>
      <c r="C595" s="1" t="n">
        <v>46164</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44228-2022</t>
        </is>
      </c>
      <c r="B596" s="1" t="n">
        <v>44839.51599537037</v>
      </c>
      <c r="C596" s="1" t="n">
        <v>46164</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58132-2023</t>
        </is>
      </c>
      <c r="B597" s="1" t="n">
        <v>45250</v>
      </c>
      <c r="C597" s="1" t="n">
        <v>46164</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49884-2023</t>
        </is>
      </c>
      <c r="B598" s="1" t="n">
        <v>45213</v>
      </c>
      <c r="C598" s="1" t="n">
        <v>46164</v>
      </c>
      <c r="D598" t="inlineStr">
        <is>
          <t>GOTLANDS LÄN</t>
        </is>
      </c>
      <c r="E598" t="inlineStr">
        <is>
          <t>GOTLAND</t>
        </is>
      </c>
      <c r="G598" t="n">
        <v>8.9</v>
      </c>
      <c r="H598" t="n">
        <v>0</v>
      </c>
      <c r="I598" t="n">
        <v>0</v>
      </c>
      <c r="J598" t="n">
        <v>0</v>
      </c>
      <c r="K598" t="n">
        <v>0</v>
      </c>
      <c r="L598" t="n">
        <v>0</v>
      </c>
      <c r="M598" t="n">
        <v>0</v>
      </c>
      <c r="N598" t="n">
        <v>0</v>
      </c>
      <c r="O598" t="n">
        <v>0</v>
      </c>
      <c r="P598" t="n">
        <v>0</v>
      </c>
      <c r="Q598" t="n">
        <v>0</v>
      </c>
      <c r="R598" s="2" t="inlineStr"/>
    </row>
    <row r="599" ht="15" customHeight="1">
      <c r="A599" t="inlineStr">
        <is>
          <t>A 876-2024</t>
        </is>
      </c>
      <c r="B599" s="1" t="n">
        <v>45301</v>
      </c>
      <c r="C599" s="1" t="n">
        <v>46164</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46164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46164</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58476-2022</t>
        </is>
      </c>
      <c r="B602" s="1" t="n">
        <v>44902</v>
      </c>
      <c r="C602" s="1" t="n">
        <v>46164</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43200-2023</t>
        </is>
      </c>
      <c r="B603" s="1" t="n">
        <v>45183</v>
      </c>
      <c r="C603" s="1" t="n">
        <v>46164</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43223-2023</t>
        </is>
      </c>
      <c r="B604" s="1" t="n">
        <v>45183.45642361111</v>
      </c>
      <c r="C604" s="1" t="n">
        <v>46164</v>
      </c>
      <c r="D604" t="inlineStr">
        <is>
          <t>GOTLANDS LÄN</t>
        </is>
      </c>
      <c r="E604" t="inlineStr">
        <is>
          <t>GOTLAND</t>
        </is>
      </c>
      <c r="G604" t="n">
        <v>1.8</v>
      </c>
      <c r="H604" t="n">
        <v>0</v>
      </c>
      <c r="I604" t="n">
        <v>0</v>
      </c>
      <c r="J604" t="n">
        <v>0</v>
      </c>
      <c r="K604" t="n">
        <v>0</v>
      </c>
      <c r="L604" t="n">
        <v>0</v>
      </c>
      <c r="M604" t="n">
        <v>0</v>
      </c>
      <c r="N604" t="n">
        <v>0</v>
      </c>
      <c r="O604" t="n">
        <v>0</v>
      </c>
      <c r="P604" t="n">
        <v>0</v>
      </c>
      <c r="Q604" t="n">
        <v>0</v>
      </c>
      <c r="R604" s="2" t="inlineStr"/>
    </row>
    <row r="605" ht="15" customHeight="1">
      <c r="A605" t="inlineStr">
        <is>
          <t>A 12327-2025</t>
        </is>
      </c>
      <c r="B605" s="1" t="n">
        <v>45730</v>
      </c>
      <c r="C605" s="1" t="n">
        <v>46164</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3431-2025</t>
        </is>
      </c>
      <c r="B606" s="1" t="n">
        <v>45680.42935185185</v>
      </c>
      <c r="C606" s="1" t="n">
        <v>46164</v>
      </c>
      <c r="D606" t="inlineStr">
        <is>
          <t>GOTLANDS LÄN</t>
        </is>
      </c>
      <c r="E606" t="inlineStr">
        <is>
          <t>GOTLAND</t>
        </is>
      </c>
      <c r="G606" t="n">
        <v>4.8</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46164</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46164</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1364-2025</t>
        </is>
      </c>
      <c r="B609" s="1" t="n">
        <v>45667.63929398148</v>
      </c>
      <c r="C609" s="1" t="n">
        <v>46164</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15042-2025</t>
        </is>
      </c>
      <c r="B610" s="1" t="n">
        <v>45743</v>
      </c>
      <c r="C610" s="1" t="n">
        <v>46164</v>
      </c>
      <c r="D610" t="inlineStr">
        <is>
          <t>GOTLANDS LÄN</t>
        </is>
      </c>
      <c r="E610" t="inlineStr">
        <is>
          <t>GOTLAND</t>
        </is>
      </c>
      <c r="G610" t="n">
        <v>8.5</v>
      </c>
      <c r="H610" t="n">
        <v>0</v>
      </c>
      <c r="I610" t="n">
        <v>0</v>
      </c>
      <c r="J610" t="n">
        <v>0</v>
      </c>
      <c r="K610" t="n">
        <v>0</v>
      </c>
      <c r="L610" t="n">
        <v>0</v>
      </c>
      <c r="M610" t="n">
        <v>0</v>
      </c>
      <c r="N610" t="n">
        <v>0</v>
      </c>
      <c r="O610" t="n">
        <v>0</v>
      </c>
      <c r="P610" t="n">
        <v>0</v>
      </c>
      <c r="Q610" t="n">
        <v>0</v>
      </c>
      <c r="R610" s="2" t="inlineStr"/>
    </row>
    <row r="611" ht="15" customHeight="1">
      <c r="A611" t="inlineStr">
        <is>
          <t>A 2180-2025</t>
        </is>
      </c>
      <c r="B611" s="1" t="n">
        <v>45673</v>
      </c>
      <c r="C611" s="1" t="n">
        <v>46164</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15436-2025</t>
        </is>
      </c>
      <c r="B612" s="1" t="n">
        <v>45747.47462962963</v>
      </c>
      <c r="C612" s="1" t="n">
        <v>46164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49257-2024</t>
        </is>
      </c>
      <c r="B613" s="1" t="n">
        <v>45595.47627314815</v>
      </c>
      <c r="C613" s="1" t="n">
        <v>46164</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37202-2024</t>
        </is>
      </c>
      <c r="B614" s="1" t="n">
        <v>45539.67310185185</v>
      </c>
      <c r="C614" s="1" t="n">
        <v>46164</v>
      </c>
      <c r="D614" t="inlineStr">
        <is>
          <t>GOTLANDS LÄN</t>
        </is>
      </c>
      <c r="E614" t="inlineStr">
        <is>
          <t>GOTLAND</t>
        </is>
      </c>
      <c r="G614" t="n">
        <v>0.3</v>
      </c>
      <c r="H614" t="n">
        <v>0</v>
      </c>
      <c r="I614" t="n">
        <v>0</v>
      </c>
      <c r="J614" t="n">
        <v>0</v>
      </c>
      <c r="K614" t="n">
        <v>0</v>
      </c>
      <c r="L614" t="n">
        <v>0</v>
      </c>
      <c r="M614" t="n">
        <v>0</v>
      </c>
      <c r="N614" t="n">
        <v>0</v>
      </c>
      <c r="O614" t="n">
        <v>0</v>
      </c>
      <c r="P614" t="n">
        <v>0</v>
      </c>
      <c r="Q614" t="n">
        <v>0</v>
      </c>
      <c r="R614" s="2" t="inlineStr"/>
    </row>
    <row r="615" ht="15" customHeight="1">
      <c r="A615" t="inlineStr">
        <is>
          <t>A 56115-2023</t>
        </is>
      </c>
      <c r="B615" s="1" t="n">
        <v>45236</v>
      </c>
      <c r="C615" s="1" t="n">
        <v>46164</v>
      </c>
      <c r="D615" t="inlineStr">
        <is>
          <t>GOTLANDS LÄN</t>
        </is>
      </c>
      <c r="E615" t="inlineStr">
        <is>
          <t>GOTLAND</t>
        </is>
      </c>
      <c r="G615" t="n">
        <v>2</v>
      </c>
      <c r="H615" t="n">
        <v>0</v>
      </c>
      <c r="I615" t="n">
        <v>0</v>
      </c>
      <c r="J615" t="n">
        <v>0</v>
      </c>
      <c r="K615" t="n">
        <v>0</v>
      </c>
      <c r="L615" t="n">
        <v>0</v>
      </c>
      <c r="M615" t="n">
        <v>0</v>
      </c>
      <c r="N615" t="n">
        <v>0</v>
      </c>
      <c r="O615" t="n">
        <v>0</v>
      </c>
      <c r="P615" t="n">
        <v>0</v>
      </c>
      <c r="Q615" t="n">
        <v>0</v>
      </c>
      <c r="R615" s="2" t="inlineStr"/>
    </row>
    <row r="616" ht="15" customHeight="1">
      <c r="A616" t="inlineStr">
        <is>
          <t>A 2774-2024</t>
        </is>
      </c>
      <c r="B616" s="1" t="n">
        <v>45314.62375</v>
      </c>
      <c r="C616" s="1" t="n">
        <v>46164</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60709-2023</t>
        </is>
      </c>
      <c r="B617" s="1" t="n">
        <v>45260</v>
      </c>
      <c r="C617" s="1" t="n">
        <v>46164</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64208-2021</t>
        </is>
      </c>
      <c r="B618" s="1" t="n">
        <v>44510</v>
      </c>
      <c r="C618" s="1" t="n">
        <v>46164</v>
      </c>
      <c r="D618" t="inlineStr">
        <is>
          <t>GOTLANDS LÄN</t>
        </is>
      </c>
      <c r="E618" t="inlineStr">
        <is>
          <t>GOTLAND</t>
        </is>
      </c>
      <c r="G618" t="n">
        <v>4.7</v>
      </c>
      <c r="H618" t="n">
        <v>0</v>
      </c>
      <c r="I618" t="n">
        <v>0</v>
      </c>
      <c r="J618" t="n">
        <v>0</v>
      </c>
      <c r="K618" t="n">
        <v>0</v>
      </c>
      <c r="L618" t="n">
        <v>0</v>
      </c>
      <c r="M618" t="n">
        <v>0</v>
      </c>
      <c r="N618" t="n">
        <v>0</v>
      </c>
      <c r="O618" t="n">
        <v>0</v>
      </c>
      <c r="P618" t="n">
        <v>0</v>
      </c>
      <c r="Q618" t="n">
        <v>0</v>
      </c>
      <c r="R618" s="2" t="inlineStr"/>
    </row>
    <row r="619" ht="15" customHeight="1">
      <c r="A619" t="inlineStr">
        <is>
          <t>A 39764-2022</t>
        </is>
      </c>
      <c r="B619" s="1" t="n">
        <v>44819</v>
      </c>
      <c r="C619" s="1" t="n">
        <v>46164</v>
      </c>
      <c r="D619" t="inlineStr">
        <is>
          <t>GOTLANDS LÄN</t>
        </is>
      </c>
      <c r="E619" t="inlineStr">
        <is>
          <t>GOTLAND</t>
        </is>
      </c>
      <c r="F619" t="inlineStr">
        <is>
          <t>Kyrkan</t>
        </is>
      </c>
      <c r="G619" t="n">
        <v>3.7</v>
      </c>
      <c r="H619" t="n">
        <v>0</v>
      </c>
      <c r="I619" t="n">
        <v>0</v>
      </c>
      <c r="J619" t="n">
        <v>0</v>
      </c>
      <c r="K619" t="n">
        <v>0</v>
      </c>
      <c r="L619" t="n">
        <v>0</v>
      </c>
      <c r="M619" t="n">
        <v>0</v>
      </c>
      <c r="N619" t="n">
        <v>0</v>
      </c>
      <c r="O619" t="n">
        <v>0</v>
      </c>
      <c r="P619" t="n">
        <v>0</v>
      </c>
      <c r="Q619" t="n">
        <v>0</v>
      </c>
      <c r="R619" s="2" t="inlineStr"/>
    </row>
    <row r="620" ht="15" customHeight="1">
      <c r="A620" t="inlineStr">
        <is>
          <t>A 58211-2024</t>
        </is>
      </c>
      <c r="B620" s="1" t="n">
        <v>45632.49292824074</v>
      </c>
      <c r="C620" s="1" t="n">
        <v>46164</v>
      </c>
      <c r="D620" t="inlineStr">
        <is>
          <t>GOTLANDS LÄN</t>
        </is>
      </c>
      <c r="E620" t="inlineStr">
        <is>
          <t>GOTLAND</t>
        </is>
      </c>
      <c r="G620" t="n">
        <v>5.4</v>
      </c>
      <c r="H620" t="n">
        <v>0</v>
      </c>
      <c r="I620" t="n">
        <v>0</v>
      </c>
      <c r="J620" t="n">
        <v>0</v>
      </c>
      <c r="K620" t="n">
        <v>0</v>
      </c>
      <c r="L620" t="n">
        <v>0</v>
      </c>
      <c r="M620" t="n">
        <v>0</v>
      </c>
      <c r="N620" t="n">
        <v>0</v>
      </c>
      <c r="O620" t="n">
        <v>0</v>
      </c>
      <c r="P620" t="n">
        <v>0</v>
      </c>
      <c r="Q620" t="n">
        <v>0</v>
      </c>
      <c r="R620" s="2" t="inlineStr"/>
    </row>
    <row r="621" ht="15" customHeight="1">
      <c r="A621" t="inlineStr">
        <is>
          <t>A 30956-2024</t>
        </is>
      </c>
      <c r="B621" s="1" t="n">
        <v>45499.42527777778</v>
      </c>
      <c r="C621" s="1" t="n">
        <v>46164</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30892-2024</t>
        </is>
      </c>
      <c r="B622" s="1" t="n">
        <v>45491</v>
      </c>
      <c r="C622" s="1" t="n">
        <v>46164</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45013.69365740741</v>
      </c>
      <c r="C623" s="1" t="n">
        <v>46164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59469-2024</t>
        </is>
      </c>
      <c r="B624" s="1" t="n">
        <v>45638</v>
      </c>
      <c r="C624" s="1" t="n">
        <v>46164</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7858-2025</t>
        </is>
      </c>
      <c r="B625" s="1" t="n">
        <v>45706.68633101852</v>
      </c>
      <c r="C625" s="1" t="n">
        <v>46164</v>
      </c>
      <c r="D625" t="inlineStr">
        <is>
          <t>GOTLANDS LÄN</t>
        </is>
      </c>
      <c r="E625" t="inlineStr">
        <is>
          <t>GOTLAND</t>
        </is>
      </c>
      <c r="G625" t="n">
        <v>3</v>
      </c>
      <c r="H625" t="n">
        <v>0</v>
      </c>
      <c r="I625" t="n">
        <v>0</v>
      </c>
      <c r="J625" t="n">
        <v>0</v>
      </c>
      <c r="K625" t="n">
        <v>0</v>
      </c>
      <c r="L625" t="n">
        <v>0</v>
      </c>
      <c r="M625" t="n">
        <v>0</v>
      </c>
      <c r="N625" t="n">
        <v>0</v>
      </c>
      <c r="O625" t="n">
        <v>0</v>
      </c>
      <c r="P625" t="n">
        <v>0</v>
      </c>
      <c r="Q625" t="n">
        <v>0</v>
      </c>
      <c r="R625" s="2" t="inlineStr"/>
    </row>
    <row r="626" ht="15" customHeight="1">
      <c r="A626" t="inlineStr">
        <is>
          <t>A 53935-2024</t>
        </is>
      </c>
      <c r="B626" s="1" t="n">
        <v>45615</v>
      </c>
      <c r="C626" s="1" t="n">
        <v>46164</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46164</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4420-2025</t>
        </is>
      </c>
      <c r="B628" s="1" t="n">
        <v>45686.47157407407</v>
      </c>
      <c r="C628" s="1" t="n">
        <v>46164</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5891-2025</t>
        </is>
      </c>
      <c r="B629" s="1" t="n">
        <v>45695.38327546296</v>
      </c>
      <c r="C629" s="1" t="n">
        <v>46164</v>
      </c>
      <c r="D629" t="inlineStr">
        <is>
          <t>GOTLANDS LÄN</t>
        </is>
      </c>
      <c r="E629" t="inlineStr">
        <is>
          <t>GOTLAND</t>
        </is>
      </c>
      <c r="G629" t="n">
        <v>0.8</v>
      </c>
      <c r="H629" t="n">
        <v>0</v>
      </c>
      <c r="I629" t="n">
        <v>0</v>
      </c>
      <c r="J629" t="n">
        <v>0</v>
      </c>
      <c r="K629" t="n">
        <v>0</v>
      </c>
      <c r="L629" t="n">
        <v>0</v>
      </c>
      <c r="M629" t="n">
        <v>0</v>
      </c>
      <c r="N629" t="n">
        <v>0</v>
      </c>
      <c r="O629" t="n">
        <v>0</v>
      </c>
      <c r="P629" t="n">
        <v>0</v>
      </c>
      <c r="Q629" t="n">
        <v>0</v>
      </c>
      <c r="R629" s="2" t="inlineStr"/>
    </row>
    <row r="630" ht="15" customHeight="1">
      <c r="A630" t="inlineStr">
        <is>
          <t>A 7835-2024</t>
        </is>
      </c>
      <c r="B630" s="1" t="n">
        <v>45349.83138888889</v>
      </c>
      <c r="C630" s="1" t="n">
        <v>46164</v>
      </c>
      <c r="D630" t="inlineStr">
        <is>
          <t>GOTLANDS LÄN</t>
        </is>
      </c>
      <c r="E630" t="inlineStr">
        <is>
          <t>GOTLAND</t>
        </is>
      </c>
      <c r="G630" t="n">
        <v>3.8</v>
      </c>
      <c r="H630" t="n">
        <v>0</v>
      </c>
      <c r="I630" t="n">
        <v>0</v>
      </c>
      <c r="J630" t="n">
        <v>0</v>
      </c>
      <c r="K630" t="n">
        <v>0</v>
      </c>
      <c r="L630" t="n">
        <v>0</v>
      </c>
      <c r="M630" t="n">
        <v>0</v>
      </c>
      <c r="N630" t="n">
        <v>0</v>
      </c>
      <c r="O630" t="n">
        <v>0</v>
      </c>
      <c r="P630" t="n">
        <v>0</v>
      </c>
      <c r="Q630" t="n">
        <v>0</v>
      </c>
      <c r="R630" s="2" t="inlineStr"/>
    </row>
    <row r="631" ht="15" customHeight="1">
      <c r="A631" t="inlineStr">
        <is>
          <t>A 20794-2025</t>
        </is>
      </c>
      <c r="B631" s="1" t="n">
        <v>45776</v>
      </c>
      <c r="C631" s="1" t="n">
        <v>46164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20805-2025</t>
        </is>
      </c>
      <c r="B632" s="1" t="n">
        <v>45776</v>
      </c>
      <c r="C632" s="1" t="n">
        <v>46164</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21389-2025</t>
        </is>
      </c>
      <c r="B633" s="1" t="n">
        <v>45782</v>
      </c>
      <c r="C633" s="1" t="n">
        <v>46164</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21651-2025</t>
        </is>
      </c>
      <c r="B634" s="1" t="n">
        <v>45783</v>
      </c>
      <c r="C634" s="1" t="n">
        <v>46164</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57356-2023</t>
        </is>
      </c>
      <c r="B635" s="1" t="n">
        <v>45240</v>
      </c>
      <c r="C635" s="1" t="n">
        <v>46164</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10656-2024</t>
        </is>
      </c>
      <c r="B636" s="1" t="n">
        <v>45368</v>
      </c>
      <c r="C636" s="1" t="n">
        <v>46164</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46164</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21420-2024</t>
        </is>
      </c>
      <c r="B638" s="1" t="n">
        <v>45441.38293981482</v>
      </c>
      <c r="C638" s="1" t="n">
        <v>46164</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23188-2025</t>
        </is>
      </c>
      <c r="B639" s="1" t="n">
        <v>45791</v>
      </c>
      <c r="C639" s="1" t="n">
        <v>46164</v>
      </c>
      <c r="D639" t="inlineStr">
        <is>
          <t>GOTLANDS LÄN</t>
        </is>
      </c>
      <c r="E639" t="inlineStr">
        <is>
          <t>GOTLAND</t>
        </is>
      </c>
      <c r="G639" t="n">
        <v>6.2</v>
      </c>
      <c r="H639" t="n">
        <v>0</v>
      </c>
      <c r="I639" t="n">
        <v>0</v>
      </c>
      <c r="J639" t="n">
        <v>0</v>
      </c>
      <c r="K639" t="n">
        <v>0</v>
      </c>
      <c r="L639" t="n">
        <v>0</v>
      </c>
      <c r="M639" t="n">
        <v>0</v>
      </c>
      <c r="N639" t="n">
        <v>0</v>
      </c>
      <c r="O639" t="n">
        <v>0</v>
      </c>
      <c r="P639" t="n">
        <v>0</v>
      </c>
      <c r="Q639" t="n">
        <v>0</v>
      </c>
      <c r="R639" s="2" t="inlineStr"/>
    </row>
    <row r="640" ht="15" customHeight="1">
      <c r="A640" t="inlineStr">
        <is>
          <t>A 23473-2025</t>
        </is>
      </c>
      <c r="B640" s="1" t="n">
        <v>45792</v>
      </c>
      <c r="C640" s="1" t="n">
        <v>46164</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23856-2025</t>
        </is>
      </c>
      <c r="B641" s="1" t="n">
        <v>45793</v>
      </c>
      <c r="C641" s="1" t="n">
        <v>46164</v>
      </c>
      <c r="D641" t="inlineStr">
        <is>
          <t>GOTLANDS LÄN</t>
        </is>
      </c>
      <c r="E641" t="inlineStr">
        <is>
          <t>GOTLAND</t>
        </is>
      </c>
      <c r="G641" t="n">
        <v>4.4</v>
      </c>
      <c r="H641" t="n">
        <v>0</v>
      </c>
      <c r="I641" t="n">
        <v>0</v>
      </c>
      <c r="J641" t="n">
        <v>0</v>
      </c>
      <c r="K641" t="n">
        <v>0</v>
      </c>
      <c r="L641" t="n">
        <v>0</v>
      </c>
      <c r="M641" t="n">
        <v>0</v>
      </c>
      <c r="N641" t="n">
        <v>0</v>
      </c>
      <c r="O641" t="n">
        <v>0</v>
      </c>
      <c r="P641" t="n">
        <v>0</v>
      </c>
      <c r="Q641" t="n">
        <v>0</v>
      </c>
      <c r="R641" s="2" t="inlineStr"/>
    </row>
    <row r="642" ht="15" customHeight="1">
      <c r="A642" t="inlineStr">
        <is>
          <t>A 15073-2025</t>
        </is>
      </c>
      <c r="B642" s="1" t="n">
        <v>45743</v>
      </c>
      <c r="C642" s="1" t="n">
        <v>46164</v>
      </c>
      <c r="D642" t="inlineStr">
        <is>
          <t>GOTLANDS LÄN</t>
        </is>
      </c>
      <c r="E642" t="inlineStr">
        <is>
          <t>GOTLAND</t>
        </is>
      </c>
      <c r="G642" t="n">
        <v>12.1</v>
      </c>
      <c r="H642" t="n">
        <v>0</v>
      </c>
      <c r="I642" t="n">
        <v>0</v>
      </c>
      <c r="J642" t="n">
        <v>0</v>
      </c>
      <c r="K642" t="n">
        <v>0</v>
      </c>
      <c r="L642" t="n">
        <v>0</v>
      </c>
      <c r="M642" t="n">
        <v>0</v>
      </c>
      <c r="N642" t="n">
        <v>0</v>
      </c>
      <c r="O642" t="n">
        <v>0</v>
      </c>
      <c r="P642" t="n">
        <v>0</v>
      </c>
      <c r="Q642" t="n">
        <v>0</v>
      </c>
      <c r="R642" s="2" t="inlineStr"/>
    </row>
    <row r="643" ht="15" customHeight="1">
      <c r="A643" t="inlineStr">
        <is>
          <t>A 6749-2025</t>
        </is>
      </c>
      <c r="B643" s="1" t="n">
        <v>45700</v>
      </c>
      <c r="C643" s="1" t="n">
        <v>46164</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23698-2025</t>
        </is>
      </c>
      <c r="B644" s="1" t="n">
        <v>45793</v>
      </c>
      <c r="C644" s="1" t="n">
        <v>46164</v>
      </c>
      <c r="D644" t="inlineStr">
        <is>
          <t>GOTLANDS LÄN</t>
        </is>
      </c>
      <c r="E644" t="inlineStr">
        <is>
          <t>GOTLAND</t>
        </is>
      </c>
      <c r="G644" t="n">
        <v>0.8</v>
      </c>
      <c r="H644" t="n">
        <v>0</v>
      </c>
      <c r="I644" t="n">
        <v>0</v>
      </c>
      <c r="J644" t="n">
        <v>0</v>
      </c>
      <c r="K644" t="n">
        <v>0</v>
      </c>
      <c r="L644" t="n">
        <v>0</v>
      </c>
      <c r="M644" t="n">
        <v>0</v>
      </c>
      <c r="N644" t="n">
        <v>0</v>
      </c>
      <c r="O644" t="n">
        <v>0</v>
      </c>
      <c r="P644" t="n">
        <v>0</v>
      </c>
      <c r="Q644" t="n">
        <v>0</v>
      </c>
      <c r="R644" s="2" t="inlineStr"/>
    </row>
    <row r="645" ht="15" customHeight="1">
      <c r="A645" t="inlineStr">
        <is>
          <t>A 5462-2025</t>
        </is>
      </c>
      <c r="B645" s="1" t="n">
        <v>45693.29331018519</v>
      </c>
      <c r="C645" s="1" t="n">
        <v>46164</v>
      </c>
      <c r="D645" t="inlineStr">
        <is>
          <t>GOTLANDS LÄN</t>
        </is>
      </c>
      <c r="E645" t="inlineStr">
        <is>
          <t>GOTLAND</t>
        </is>
      </c>
      <c r="G645" t="n">
        <v>2.6</v>
      </c>
      <c r="H645" t="n">
        <v>0</v>
      </c>
      <c r="I645" t="n">
        <v>0</v>
      </c>
      <c r="J645" t="n">
        <v>0</v>
      </c>
      <c r="K645" t="n">
        <v>0</v>
      </c>
      <c r="L645" t="n">
        <v>0</v>
      </c>
      <c r="M645" t="n">
        <v>0</v>
      </c>
      <c r="N645" t="n">
        <v>0</v>
      </c>
      <c r="O645" t="n">
        <v>0</v>
      </c>
      <c r="P645" t="n">
        <v>0</v>
      </c>
      <c r="Q645" t="n">
        <v>0</v>
      </c>
      <c r="R645" s="2" t="inlineStr"/>
    </row>
    <row r="646">
      <c r="A646" t="inlineStr">
        <is>
          <t>A 25796-2025</t>
        </is>
      </c>
      <c r="B646" s="1" t="n">
        <v>45804.39543981481</v>
      </c>
      <c r="C646" s="1" t="n">
        <v>46164</v>
      </c>
      <c r="D646" t="inlineStr">
        <is>
          <t>GOTLANDS LÄN</t>
        </is>
      </c>
      <c r="E646" t="inlineStr">
        <is>
          <t>GOTLAND</t>
        </is>
      </c>
      <c r="G646" t="n">
        <v>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2026-05-22T10:43:23Z</dcterms:created>
  <dcterms:modified xmlns:dcterms="http://purl.org/dc/terms/" xmlns:xsi="http://www.w3.org/2001/XMLSchema-instance" xsi:type="dcterms:W3CDTF">2026-05-22T10:43:23Z</dcterms:modified>
</cp:coreProperties>
</file>