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45890</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45890</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45890</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45890</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45890</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45890</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8645-2025</t>
        </is>
      </c>
      <c r="B11" s="1" t="n">
        <v>45712</v>
      </c>
      <c r="C11" s="1" t="n">
        <v>45890</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34100-2024</t>
        </is>
      </c>
      <c r="B12" s="1" t="n">
        <v>45523</v>
      </c>
      <c r="C12" s="1" t="n">
        <v>45890</v>
      </c>
      <c r="D12" t="inlineStr">
        <is>
          <t>GOTLANDS LÄN</t>
        </is>
      </c>
      <c r="E12" t="inlineStr">
        <is>
          <t>GOTLAND</t>
        </is>
      </c>
      <c r="F12" t="inlineStr">
        <is>
          <t>Övriga statliga verk och myndigheter</t>
        </is>
      </c>
      <c r="G12" t="n">
        <v>8.5</v>
      </c>
      <c r="H12" t="n">
        <v>3</v>
      </c>
      <c r="I12" t="n">
        <v>7</v>
      </c>
      <c r="J12" t="n">
        <v>3</v>
      </c>
      <c r="K12" t="n">
        <v>2</v>
      </c>
      <c r="L12" t="n">
        <v>0</v>
      </c>
      <c r="M12" t="n">
        <v>0</v>
      </c>
      <c r="N12" t="n">
        <v>0</v>
      </c>
      <c r="O12" t="n">
        <v>6</v>
      </c>
      <c r="P12" t="n">
        <v>2</v>
      </c>
      <c r="Q12" t="n">
        <v>16</v>
      </c>
      <c r="R1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2">
        <f>HYPERLINK("https://klasma.github.io/Logging_0980/artfynd/A 34100-2024 artfynd.xlsx", "A 34100-2024")</f>
        <v/>
      </c>
      <c r="T12">
        <f>HYPERLINK("https://klasma.github.io/Logging_0980/kartor/A 34100-2024 karta.png", "A 34100-2024")</f>
        <v/>
      </c>
      <c r="V12">
        <f>HYPERLINK("https://klasma.github.io/Logging_0980/klagomål/A 34100-2024 FSC-klagomål.docx", "A 34100-2024")</f>
        <v/>
      </c>
      <c r="W12">
        <f>HYPERLINK("https://klasma.github.io/Logging_0980/klagomålsmail/A 34100-2024 FSC-klagomål mail.docx", "A 34100-2024")</f>
        <v/>
      </c>
      <c r="X12">
        <f>HYPERLINK("https://klasma.github.io/Logging_0980/tillsyn/A 34100-2024 tillsynsbegäran.docx", "A 34100-2024")</f>
        <v/>
      </c>
      <c r="Y12">
        <f>HYPERLINK("https://klasma.github.io/Logging_0980/tillsynsmail/A 34100-2024 tillsynsbegäran mail.docx", "A 34100-2024")</f>
        <v/>
      </c>
      <c r="Z12">
        <f>HYPERLINK("https://klasma.github.io/Logging_0980/fåglar/A 34100-2024 prioriterade fågelarter.docx", "A 34100-2024")</f>
        <v/>
      </c>
    </row>
    <row r="13" ht="15" customHeight="1">
      <c r="A13" t="inlineStr">
        <is>
          <t>A 4572-2025</t>
        </is>
      </c>
      <c r="B13" s="1" t="n">
        <v>45687</v>
      </c>
      <c r="C13" s="1" t="n">
        <v>45890</v>
      </c>
      <c r="D13" t="inlineStr">
        <is>
          <t>GOTLANDS LÄN</t>
        </is>
      </c>
      <c r="E13" t="inlineStr">
        <is>
          <t>GOTLAND</t>
        </is>
      </c>
      <c r="G13" t="n">
        <v>6.2</v>
      </c>
      <c r="H13" t="n">
        <v>12</v>
      </c>
      <c r="I13" t="n">
        <v>2</v>
      </c>
      <c r="J13" t="n">
        <v>8</v>
      </c>
      <c r="K13" t="n">
        <v>0</v>
      </c>
      <c r="L13" t="n">
        <v>1</v>
      </c>
      <c r="M13" t="n">
        <v>0</v>
      </c>
      <c r="N13" t="n">
        <v>0</v>
      </c>
      <c r="O13" t="n">
        <v>9</v>
      </c>
      <c r="P13" t="n">
        <v>1</v>
      </c>
      <c r="Q13" t="n">
        <v>16</v>
      </c>
      <c r="R13" s="2" t="inlineStr">
        <is>
          <t>Brun glada
Apollofjäril
Axveronika
Backtimjan
Havsörn
Jordtistel
Solvända
Spillkråka
Svartfläckig blåvinge
Purpurknipprot
Skogsknipprot
Brudsporre
Grönvit nattviol
Nattviol
Sankt pers nycklar
Blåsippa</t>
        </is>
      </c>
      <c r="S13">
        <f>HYPERLINK("https://klasma.github.io/Logging_0980/artfynd/A 4572-2025 artfynd.xlsx", "A 4572-2025")</f>
        <v/>
      </c>
      <c r="T13">
        <f>HYPERLINK("https://klasma.github.io/Logging_0980/kartor/A 4572-2025 karta.png", "A 4572-2025")</f>
        <v/>
      </c>
      <c r="V13">
        <f>HYPERLINK("https://klasma.github.io/Logging_0980/klagomål/A 4572-2025 FSC-klagomål.docx", "A 4572-2025")</f>
        <v/>
      </c>
      <c r="W13">
        <f>HYPERLINK("https://klasma.github.io/Logging_0980/klagomålsmail/A 4572-2025 FSC-klagomål mail.docx", "A 4572-2025")</f>
        <v/>
      </c>
      <c r="X13">
        <f>HYPERLINK("https://klasma.github.io/Logging_0980/tillsyn/A 4572-2025 tillsynsbegäran.docx", "A 4572-2025")</f>
        <v/>
      </c>
      <c r="Y13">
        <f>HYPERLINK("https://klasma.github.io/Logging_0980/tillsynsmail/A 4572-2025 tillsynsbegäran mail.docx", "A 4572-2025")</f>
        <v/>
      </c>
      <c r="Z13">
        <f>HYPERLINK("https://klasma.github.io/Logging_0980/fåglar/A 4572-2025 prioriterade fågelarter.docx", "A 4572-2025")</f>
        <v/>
      </c>
    </row>
    <row r="14" ht="15" customHeight="1">
      <c r="A14" t="inlineStr">
        <is>
          <t>A 24575-2025</t>
        </is>
      </c>
      <c r="B14" s="1" t="n">
        <v>45798</v>
      </c>
      <c r="C14" s="1" t="n">
        <v>45890</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61664-2023</t>
        </is>
      </c>
      <c r="B15" s="1" t="n">
        <v>45265</v>
      </c>
      <c r="C15" s="1" t="n">
        <v>45890</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17762-2024</t>
        </is>
      </c>
      <c r="B16" s="1" t="n">
        <v>45418</v>
      </c>
      <c r="C16" s="1" t="n">
        <v>45890</v>
      </c>
      <c r="D16" t="inlineStr">
        <is>
          <t>GOTLANDS LÄN</t>
        </is>
      </c>
      <c r="E16" t="inlineStr">
        <is>
          <t>GOTLAND</t>
        </is>
      </c>
      <c r="G16" t="n">
        <v>5.8</v>
      </c>
      <c r="H16" t="n">
        <v>2</v>
      </c>
      <c r="I16" t="n">
        <v>2</v>
      </c>
      <c r="J16" t="n">
        <v>8</v>
      </c>
      <c r="K16" t="n">
        <v>1</v>
      </c>
      <c r="L16" t="n">
        <v>1</v>
      </c>
      <c r="M16" t="n">
        <v>1</v>
      </c>
      <c r="N16" t="n">
        <v>0</v>
      </c>
      <c r="O16" t="n">
        <v>11</v>
      </c>
      <c r="P16" t="n">
        <v>3</v>
      </c>
      <c r="Q16" t="n">
        <v>15</v>
      </c>
      <c r="R16" s="2" t="inlineStr">
        <is>
          <t>Järnek
Naveljordstjärna
Gråfingerört
Axveronika
Backstarr
Backtimjan
Crepis tectorum subsp. tectorum
Kalkvaxing
Odörspindling
Solvända
Svinrot
Anisspindling
Mindre märgborre
Sankt pers nycklar
Blåsippa</t>
        </is>
      </c>
      <c r="S16">
        <f>HYPERLINK("https://klasma.github.io/Logging_0980/artfynd/A 17762-2024 artfynd.xlsx", "A 17762-2024")</f>
        <v/>
      </c>
      <c r="T16">
        <f>HYPERLINK("https://klasma.github.io/Logging_0980/kartor/A 17762-2024 karta.png", "A 17762-2024")</f>
        <v/>
      </c>
      <c r="V16">
        <f>HYPERLINK("https://klasma.github.io/Logging_0980/klagomål/A 17762-2024 FSC-klagomål.docx", "A 17762-2024")</f>
        <v/>
      </c>
      <c r="W16">
        <f>HYPERLINK("https://klasma.github.io/Logging_0980/klagomålsmail/A 17762-2024 FSC-klagomål mail.docx", "A 17762-2024")</f>
        <v/>
      </c>
      <c r="X16">
        <f>HYPERLINK("https://klasma.github.io/Logging_0980/tillsyn/A 17762-2024 tillsynsbegäran.docx", "A 17762-2024")</f>
        <v/>
      </c>
      <c r="Y16">
        <f>HYPERLINK("https://klasma.github.io/Logging_0980/tillsynsmail/A 17762-2024 tillsynsbegäran mail.docx", "A 17762-2024")</f>
        <v/>
      </c>
    </row>
    <row r="17" ht="15" customHeight="1">
      <c r="A17" t="inlineStr">
        <is>
          <t>A 61697-2023</t>
        </is>
      </c>
      <c r="B17" s="1" t="n">
        <v>45265</v>
      </c>
      <c r="C17" s="1" t="n">
        <v>45890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62132-2023</t>
        </is>
      </c>
      <c r="B18" s="1" t="n">
        <v>45267</v>
      </c>
      <c r="C18" s="1" t="n">
        <v>45890</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15629-2024</t>
        </is>
      </c>
      <c r="B19" s="1" t="n">
        <v>45402.78372685185</v>
      </c>
      <c r="C19" s="1" t="n">
        <v>45890</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45890</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25779-2022</t>
        </is>
      </c>
      <c r="B21" s="1" t="n">
        <v>44733</v>
      </c>
      <c r="C21" s="1" t="n">
        <v>45890</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45890</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45890</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45890</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35141-2022</t>
        </is>
      </c>
      <c r="B25" s="1" t="n">
        <v>44797.53318287037</v>
      </c>
      <c r="C25" s="1" t="n">
        <v>45890</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45890</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45890</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45890</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45890</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45890</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45890</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45890</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45890</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45890</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45890</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11176-2024</t>
        </is>
      </c>
      <c r="B36" s="1" t="n">
        <v>45371</v>
      </c>
      <c r="C36" s="1" t="n">
        <v>45890</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45890</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15068-2025</t>
        </is>
      </c>
      <c r="B38" s="1" t="n">
        <v>45743</v>
      </c>
      <c r="C38" s="1" t="n">
        <v>45890</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45890</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17766-2024</t>
        </is>
      </c>
      <c r="B40" s="1" t="n">
        <v>45418</v>
      </c>
      <c r="C40" s="1" t="n">
        <v>45890</v>
      </c>
      <c r="D40" t="inlineStr">
        <is>
          <t>GOTLANDS LÄN</t>
        </is>
      </c>
      <c r="E40" t="inlineStr">
        <is>
          <t>GOTLAND</t>
        </is>
      </c>
      <c r="G40" t="n">
        <v>1.3</v>
      </c>
      <c r="H40" t="n">
        <v>2</v>
      </c>
      <c r="I40" t="n">
        <v>3</v>
      </c>
      <c r="J40" t="n">
        <v>4</v>
      </c>
      <c r="K40" t="n">
        <v>1</v>
      </c>
      <c r="L40" t="n">
        <v>2</v>
      </c>
      <c r="M40" t="n">
        <v>0</v>
      </c>
      <c r="N40" t="n">
        <v>0</v>
      </c>
      <c r="O40" t="n">
        <v>7</v>
      </c>
      <c r="P40" t="n">
        <v>3</v>
      </c>
      <c r="Q40" t="n">
        <v>10</v>
      </c>
      <c r="R40" s="2" t="inlineStr">
        <is>
          <t>Naveljordstjärna
Svartnande fingersvamp
Gulsträngad fagerspindling
Bredbrämad bastardsvärmare
Fyrflikig jordstjärna
Svartfläckig blåvinge
Timjansnyltrot
Besk kastanjemusseron
Kragjordstjärna
Rödgul trumpetsvamp</t>
        </is>
      </c>
      <c r="S40">
        <f>HYPERLINK("https://klasma.github.io/Logging_0980/artfynd/A 17766-2024 artfynd.xlsx", "A 17766-2024")</f>
        <v/>
      </c>
      <c r="T40">
        <f>HYPERLINK("https://klasma.github.io/Logging_0980/kartor/A 17766-2024 karta.png", "A 17766-2024")</f>
        <v/>
      </c>
      <c r="V40">
        <f>HYPERLINK("https://klasma.github.io/Logging_0980/klagomål/A 17766-2024 FSC-klagomål.docx", "A 17766-2024")</f>
        <v/>
      </c>
      <c r="W40">
        <f>HYPERLINK("https://klasma.github.io/Logging_0980/klagomålsmail/A 17766-2024 FSC-klagomål mail.docx", "A 17766-2024")</f>
        <v/>
      </c>
      <c r="X40">
        <f>HYPERLINK("https://klasma.github.io/Logging_0980/tillsyn/A 17766-2024 tillsynsbegäran.docx", "A 17766-2024")</f>
        <v/>
      </c>
      <c r="Y40">
        <f>HYPERLINK("https://klasma.github.io/Logging_0980/tillsynsmail/A 17766-2024 tillsynsbegäran mail.docx", "A 17766-2024")</f>
        <v/>
      </c>
    </row>
    <row r="41" ht="15" customHeight="1">
      <c r="A41" t="inlineStr">
        <is>
          <t>A 584-2023</t>
        </is>
      </c>
      <c r="B41" s="1" t="n">
        <v>44930</v>
      </c>
      <c r="C41" s="1" t="n">
        <v>45890</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45890</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45890</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14354-2024</t>
        </is>
      </c>
      <c r="B44" s="1" t="n">
        <v>45393</v>
      </c>
      <c r="C44" s="1" t="n">
        <v>45890</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33153-2024</t>
        </is>
      </c>
      <c r="B45" s="1" t="n">
        <v>45518</v>
      </c>
      <c r="C45" s="1" t="n">
        <v>45890</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39376-2023</t>
        </is>
      </c>
      <c r="B46" s="1" t="n">
        <v>45166</v>
      </c>
      <c r="C46" s="1" t="n">
        <v>45890</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45890</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45890</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45890</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45890</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45890</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4984-2025</t>
        </is>
      </c>
      <c r="B52" s="1" t="n">
        <v>45691.29891203704</v>
      </c>
      <c r="C52" s="1" t="n">
        <v>45890</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6960-2025</t>
        </is>
      </c>
      <c r="B53" s="1" t="n">
        <v>45701.49409722222</v>
      </c>
      <c r="C53" s="1" t="n">
        <v>45890</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10419-2025</t>
        </is>
      </c>
      <c r="B54" s="1" t="n">
        <v>45720</v>
      </c>
      <c r="C54" s="1" t="n">
        <v>45890</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27280-2023</t>
        </is>
      </c>
      <c r="B55" s="1" t="n">
        <v>45096</v>
      </c>
      <c r="C55" s="1" t="n">
        <v>45890</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16353-2025</t>
        </is>
      </c>
      <c r="B56" s="1" t="n">
        <v>45751</v>
      </c>
      <c r="C56" s="1" t="n">
        <v>45890</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18541-2024</t>
        </is>
      </c>
      <c r="B57" s="1" t="n">
        <v>45425</v>
      </c>
      <c r="C57" s="1" t="n">
        <v>45890</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25205-2021</t>
        </is>
      </c>
      <c r="B58" s="1" t="n">
        <v>44342</v>
      </c>
      <c r="C58" s="1" t="n">
        <v>45890</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45890</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446-2023</t>
        </is>
      </c>
      <c r="B60" s="1" t="n">
        <v>44929</v>
      </c>
      <c r="C60" s="1" t="n">
        <v>45890</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45248-2024</t>
        </is>
      </c>
      <c r="B61" s="1" t="n">
        <v>45576</v>
      </c>
      <c r="C61" s="1" t="n">
        <v>45890</v>
      </c>
      <c r="D61" t="inlineStr">
        <is>
          <t>GOTLANDS LÄN</t>
        </is>
      </c>
      <c r="E61" t="inlineStr">
        <is>
          <t>GOTLAND</t>
        </is>
      </c>
      <c r="G61" t="n">
        <v>9.4</v>
      </c>
      <c r="H61" t="n">
        <v>0</v>
      </c>
      <c r="I61" t="n">
        <v>3</v>
      </c>
      <c r="J61" t="n">
        <v>1</v>
      </c>
      <c r="K61" t="n">
        <v>0</v>
      </c>
      <c r="L61" t="n">
        <v>1</v>
      </c>
      <c r="M61" t="n">
        <v>1</v>
      </c>
      <c r="N61" t="n">
        <v>0</v>
      </c>
      <c r="O61" t="n">
        <v>3</v>
      </c>
      <c r="P61" t="n">
        <v>2</v>
      </c>
      <c r="Q61" t="n">
        <v>6</v>
      </c>
      <c r="R61" s="2" t="inlineStr">
        <is>
          <t>Lundalm
Ask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54527-2023</t>
        </is>
      </c>
      <c r="B62" s="1" t="n">
        <v>45233</v>
      </c>
      <c r="C62" s="1" t="n">
        <v>45890</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65819-2020</t>
        </is>
      </c>
      <c r="B63" s="1" t="n">
        <v>44174</v>
      </c>
      <c r="C63" s="1" t="n">
        <v>45890</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45890</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16823-2024</t>
        </is>
      </c>
      <c r="B65" s="1" t="n">
        <v>45411</v>
      </c>
      <c r="C65" s="1" t="n">
        <v>45890</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39425-2023</t>
        </is>
      </c>
      <c r="B66" s="1" t="n">
        <v>45166</v>
      </c>
      <c r="C66" s="1" t="n">
        <v>45890</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45890</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45890</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35293-2025</t>
        </is>
      </c>
      <c r="B69" s="1" t="n">
        <v>45854.39438657407</v>
      </c>
      <c r="C69" s="1" t="n">
        <v>45890</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45890</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32326-2024</t>
        </is>
      </c>
      <c r="B71" s="1" t="n">
        <v>45512</v>
      </c>
      <c r="C71" s="1" t="n">
        <v>45890</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54055-2022</t>
        </is>
      </c>
      <c r="B72" s="1" t="n">
        <v>44881</v>
      </c>
      <c r="C72" s="1" t="n">
        <v>45890</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29331-2021</t>
        </is>
      </c>
      <c r="B73" s="1" t="n">
        <v>44361</v>
      </c>
      <c r="C73" s="1" t="n">
        <v>45890</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45890</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64378-2020</t>
        </is>
      </c>
      <c r="B75" s="1" t="n">
        <v>44168</v>
      </c>
      <c r="C75" s="1" t="n">
        <v>45890</v>
      </c>
      <c r="D75" t="inlineStr">
        <is>
          <t>GOTLANDS LÄN</t>
        </is>
      </c>
      <c r="E75" t="inlineStr">
        <is>
          <t>GOTLAND</t>
        </is>
      </c>
      <c r="G75" t="n">
        <v>2.1</v>
      </c>
      <c r="H75" t="n">
        <v>0</v>
      </c>
      <c r="I75" t="n">
        <v>1</v>
      </c>
      <c r="J75" t="n">
        <v>0</v>
      </c>
      <c r="K75" t="n">
        <v>2</v>
      </c>
      <c r="L75" t="n">
        <v>1</v>
      </c>
      <c r="M75" t="n">
        <v>0</v>
      </c>
      <c r="N75" t="n">
        <v>0</v>
      </c>
      <c r="O75" t="n">
        <v>3</v>
      </c>
      <c r="P75" t="n">
        <v>3</v>
      </c>
      <c r="Q75" t="n">
        <v>4</v>
      </c>
      <c r="R75" s="2" t="inlineStr">
        <is>
          <t>Sienamusseron
Bitter taggsvamp
Duvspindling
Fjällig taggsvamp s.str.</t>
        </is>
      </c>
      <c r="S75">
        <f>HYPERLINK("https://klasma.github.io/Logging_0980/artfynd/A 64378-2020 artfynd.xlsx", "A 64378-2020")</f>
        <v/>
      </c>
      <c r="T75">
        <f>HYPERLINK("https://klasma.github.io/Logging_0980/kartor/A 64378-2020 karta.png", "A 64378-2020")</f>
        <v/>
      </c>
      <c r="V75">
        <f>HYPERLINK("https://klasma.github.io/Logging_0980/klagomål/A 64378-2020 FSC-klagomål.docx", "A 64378-2020")</f>
        <v/>
      </c>
      <c r="W75">
        <f>HYPERLINK("https://klasma.github.io/Logging_0980/klagomålsmail/A 64378-2020 FSC-klagomål mail.docx", "A 64378-2020")</f>
        <v/>
      </c>
      <c r="X75">
        <f>HYPERLINK("https://klasma.github.io/Logging_0980/tillsyn/A 64378-2020 tillsynsbegäran.docx", "A 64378-2020")</f>
        <v/>
      </c>
      <c r="Y75">
        <f>HYPERLINK("https://klasma.github.io/Logging_0980/tillsynsmail/A 64378-2020 tillsynsbegäran mail.docx", "A 64378-2020")</f>
        <v/>
      </c>
    </row>
    <row r="76" ht="15" customHeight="1">
      <c r="A76" t="inlineStr">
        <is>
          <t>A 1971-2023</t>
        </is>
      </c>
      <c r="B76" s="1" t="n">
        <v>44939</v>
      </c>
      <c r="C76" s="1" t="n">
        <v>45890</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186-2023</t>
        </is>
      </c>
      <c r="B77" s="1" t="n">
        <v>44928</v>
      </c>
      <c r="C77" s="1" t="n">
        <v>45890</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45890</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20833-2024</t>
        </is>
      </c>
      <c r="B79" s="1" t="n">
        <v>45439</v>
      </c>
      <c r="C79" s="1" t="n">
        <v>45890</v>
      </c>
      <c r="D79" t="inlineStr">
        <is>
          <t>GOTLANDS LÄN</t>
        </is>
      </c>
      <c r="E79" t="inlineStr">
        <is>
          <t>GOTLAND</t>
        </is>
      </c>
      <c r="G79" t="n">
        <v>0.9</v>
      </c>
      <c r="H79" t="n">
        <v>3</v>
      </c>
      <c r="I79" t="n">
        <v>1</v>
      </c>
      <c r="J79" t="n">
        <v>3</v>
      </c>
      <c r="K79" t="n">
        <v>0</v>
      </c>
      <c r="L79" t="n">
        <v>0</v>
      </c>
      <c r="M79" t="n">
        <v>0</v>
      </c>
      <c r="N79" t="n">
        <v>0</v>
      </c>
      <c r="O79" t="n">
        <v>3</v>
      </c>
      <c r="P79" t="n">
        <v>0</v>
      </c>
      <c r="Q79" t="n">
        <v>4</v>
      </c>
      <c r="R79" s="2" t="inlineStr">
        <is>
          <t>Dårgräsfjäril
Spillkråka
Svinrot
Skogsknipprot</t>
        </is>
      </c>
      <c r="S79">
        <f>HYPERLINK("https://klasma.github.io/Logging_0980/artfynd/A 20833-2024 artfynd.xlsx", "A 20833-2024")</f>
        <v/>
      </c>
      <c r="T79">
        <f>HYPERLINK("https://klasma.github.io/Logging_0980/kartor/A 20833-2024 karta.png", "A 20833-2024")</f>
        <v/>
      </c>
      <c r="V79">
        <f>HYPERLINK("https://klasma.github.io/Logging_0980/klagomål/A 20833-2024 FSC-klagomål.docx", "A 20833-2024")</f>
        <v/>
      </c>
      <c r="W79">
        <f>HYPERLINK("https://klasma.github.io/Logging_0980/klagomålsmail/A 20833-2024 FSC-klagomål mail.docx", "A 20833-2024")</f>
        <v/>
      </c>
      <c r="X79">
        <f>HYPERLINK("https://klasma.github.io/Logging_0980/tillsyn/A 20833-2024 tillsynsbegäran.docx", "A 20833-2024")</f>
        <v/>
      </c>
      <c r="Y79">
        <f>HYPERLINK("https://klasma.github.io/Logging_0980/tillsynsmail/A 20833-2024 tillsynsbegäran mail.docx", "A 20833-2024")</f>
        <v/>
      </c>
      <c r="Z79">
        <f>HYPERLINK("https://klasma.github.io/Logging_0980/fåglar/A 20833-2024 prioriterade fågelarter.docx", "A 20833-2024")</f>
        <v/>
      </c>
    </row>
    <row r="80" ht="15" customHeight="1">
      <c r="A80" t="inlineStr">
        <is>
          <t>A 54523-2023</t>
        </is>
      </c>
      <c r="B80" s="1" t="n">
        <v>45233</v>
      </c>
      <c r="C80" s="1" t="n">
        <v>45890</v>
      </c>
      <c r="D80" t="inlineStr">
        <is>
          <t>GOTLANDS LÄN</t>
        </is>
      </c>
      <c r="E80" t="inlineStr">
        <is>
          <t>GOTLAND</t>
        </is>
      </c>
      <c r="G80" t="n">
        <v>3.7</v>
      </c>
      <c r="H80" t="n">
        <v>2</v>
      </c>
      <c r="I80" t="n">
        <v>0</v>
      </c>
      <c r="J80" t="n">
        <v>1</v>
      </c>
      <c r="K80" t="n">
        <v>1</v>
      </c>
      <c r="L80" t="n">
        <v>0</v>
      </c>
      <c r="M80" t="n">
        <v>0</v>
      </c>
      <c r="N80" t="n">
        <v>0</v>
      </c>
      <c r="O80" t="n">
        <v>2</v>
      </c>
      <c r="P80" t="n">
        <v>1</v>
      </c>
      <c r="Q80" t="n">
        <v>4</v>
      </c>
      <c r="R80" s="2" t="inlineStr">
        <is>
          <t>Sommarklynne
Åkerkulla
Brudsporre
Kärrknipprot</t>
        </is>
      </c>
      <c r="S80">
        <f>HYPERLINK("https://klasma.github.io/Logging_0980/artfynd/A 54523-2023 artfynd.xlsx", "A 54523-2023")</f>
        <v/>
      </c>
      <c r="T80">
        <f>HYPERLINK("https://klasma.github.io/Logging_0980/kartor/A 54523-2023 karta.png", "A 54523-2023")</f>
        <v/>
      </c>
      <c r="V80">
        <f>HYPERLINK("https://klasma.github.io/Logging_0980/klagomål/A 54523-2023 FSC-klagomål.docx", "A 54523-2023")</f>
        <v/>
      </c>
      <c r="W80">
        <f>HYPERLINK("https://klasma.github.io/Logging_0980/klagomålsmail/A 54523-2023 FSC-klagomål mail.docx", "A 54523-2023")</f>
        <v/>
      </c>
      <c r="X80">
        <f>HYPERLINK("https://klasma.github.io/Logging_0980/tillsyn/A 54523-2023 tillsynsbegäran.docx", "A 54523-2023")</f>
        <v/>
      </c>
      <c r="Y80">
        <f>HYPERLINK("https://klasma.github.io/Logging_0980/tillsynsmail/A 54523-2023 tillsynsbegäran mail.docx", "A 54523-2023")</f>
        <v/>
      </c>
    </row>
    <row r="81" ht="15" customHeight="1">
      <c r="A81" t="inlineStr">
        <is>
          <t>A 2485-2025</t>
        </is>
      </c>
      <c r="B81" s="1" t="n">
        <v>45673</v>
      </c>
      <c r="C81" s="1" t="n">
        <v>45890</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8265-2023</t>
        </is>
      </c>
      <c r="B82" s="1" t="n">
        <v>44974</v>
      </c>
      <c r="C82" s="1" t="n">
        <v>45890</v>
      </c>
      <c r="D82" t="inlineStr">
        <is>
          <t>GOTLANDS LÄN</t>
        </is>
      </c>
      <c r="E82" t="inlineStr">
        <is>
          <t>GOTLAND</t>
        </is>
      </c>
      <c r="G82" t="n">
        <v>3.3</v>
      </c>
      <c r="H82" t="n">
        <v>4</v>
      </c>
      <c r="I82" t="n">
        <v>3</v>
      </c>
      <c r="J82" t="n">
        <v>0</v>
      </c>
      <c r="K82" t="n">
        <v>0</v>
      </c>
      <c r="L82" t="n">
        <v>0</v>
      </c>
      <c r="M82" t="n">
        <v>0</v>
      </c>
      <c r="N82" t="n">
        <v>0</v>
      </c>
      <c r="O82" t="n">
        <v>0</v>
      </c>
      <c r="P82" t="n">
        <v>0</v>
      </c>
      <c r="Q82" t="n">
        <v>4</v>
      </c>
      <c r="R82" s="2" t="inlineStr">
        <is>
          <t>Flugblomster
Purpurknipprot
Tvåblad
Salepsrot</t>
        </is>
      </c>
      <c r="S82">
        <f>HYPERLINK("https://klasma.github.io/Logging_0980/artfynd/A 8265-2023 artfynd.xlsx", "A 8265-2023")</f>
        <v/>
      </c>
      <c r="T82">
        <f>HYPERLINK("https://klasma.github.io/Logging_0980/kartor/A 8265-2023 karta.png", "A 8265-2023")</f>
        <v/>
      </c>
      <c r="V82">
        <f>HYPERLINK("https://klasma.github.io/Logging_0980/klagomål/A 8265-2023 FSC-klagomål.docx", "A 8265-2023")</f>
        <v/>
      </c>
      <c r="W82">
        <f>HYPERLINK("https://klasma.github.io/Logging_0980/klagomålsmail/A 8265-2023 FSC-klagomål mail.docx", "A 8265-2023")</f>
        <v/>
      </c>
      <c r="X82">
        <f>HYPERLINK("https://klasma.github.io/Logging_0980/tillsyn/A 8265-2023 tillsynsbegäran.docx", "A 8265-2023")</f>
        <v/>
      </c>
      <c r="Y82">
        <f>HYPERLINK("https://klasma.github.io/Logging_0980/tillsynsmail/A 8265-2023 tillsynsbegäran mail.docx", "A 8265-2023")</f>
        <v/>
      </c>
    </row>
    <row r="83" ht="15" customHeight="1">
      <c r="A83" t="inlineStr">
        <is>
          <t>A 6159-2023</t>
        </is>
      </c>
      <c r="B83" s="1" t="n">
        <v>44964</v>
      </c>
      <c r="C83" s="1" t="n">
        <v>45890</v>
      </c>
      <c r="D83" t="inlineStr">
        <is>
          <t>GOTLANDS LÄN</t>
        </is>
      </c>
      <c r="E83" t="inlineStr">
        <is>
          <t>GOTLAND</t>
        </is>
      </c>
      <c r="G83" t="n">
        <v>2</v>
      </c>
      <c r="H83" t="n">
        <v>0</v>
      </c>
      <c r="I83" t="n">
        <v>2</v>
      </c>
      <c r="J83" t="n">
        <v>2</v>
      </c>
      <c r="K83" t="n">
        <v>0</v>
      </c>
      <c r="L83" t="n">
        <v>0</v>
      </c>
      <c r="M83" t="n">
        <v>0</v>
      </c>
      <c r="N83" t="n">
        <v>0</v>
      </c>
      <c r="O83" t="n">
        <v>2</v>
      </c>
      <c r="P83" t="n">
        <v>0</v>
      </c>
      <c r="Q83" t="n">
        <v>4</v>
      </c>
      <c r="R83" s="2" t="inlineStr">
        <is>
          <t>Dofttaggsvamp
Odörspindling
Anisspindling
Olivspindling</t>
        </is>
      </c>
      <c r="S83">
        <f>HYPERLINK("https://klasma.github.io/Logging_0980/artfynd/A 6159-2023 artfynd.xlsx", "A 6159-2023")</f>
        <v/>
      </c>
      <c r="T83">
        <f>HYPERLINK("https://klasma.github.io/Logging_0980/kartor/A 6159-2023 karta.png", "A 6159-2023")</f>
        <v/>
      </c>
      <c r="V83">
        <f>HYPERLINK("https://klasma.github.io/Logging_0980/klagomål/A 6159-2023 FSC-klagomål.docx", "A 6159-2023")</f>
        <v/>
      </c>
      <c r="W83">
        <f>HYPERLINK("https://klasma.github.io/Logging_0980/klagomålsmail/A 6159-2023 FSC-klagomål mail.docx", "A 6159-2023")</f>
        <v/>
      </c>
      <c r="X83">
        <f>HYPERLINK("https://klasma.github.io/Logging_0980/tillsyn/A 6159-2023 tillsynsbegäran.docx", "A 6159-2023")</f>
        <v/>
      </c>
      <c r="Y83">
        <f>HYPERLINK("https://klasma.github.io/Logging_0980/tillsynsmail/A 6159-2023 tillsynsbegäran mail.docx", "A 6159-2023")</f>
        <v/>
      </c>
    </row>
    <row r="84" ht="15" customHeight="1">
      <c r="A84" t="inlineStr">
        <is>
          <t>A 43197-2023</t>
        </is>
      </c>
      <c r="B84" s="1" t="n">
        <v>45183</v>
      </c>
      <c r="C84" s="1" t="n">
        <v>45890</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5904-2024</t>
        </is>
      </c>
      <c r="B85" s="1" t="n">
        <v>45335</v>
      </c>
      <c r="C85" s="1" t="n">
        <v>45890</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55029-2020</t>
        </is>
      </c>
      <c r="B86" s="1" t="n">
        <v>44130</v>
      </c>
      <c r="C86" s="1" t="n">
        <v>45890</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45890</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45890</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45890</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45890</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45890</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45890</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17982-2023</t>
        </is>
      </c>
      <c r="B93" s="1" t="n">
        <v>45040</v>
      </c>
      <c r="C93" s="1" t="n">
        <v>45890</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13499-2022</t>
        </is>
      </c>
      <c r="B94" s="1" t="n">
        <v>44647.79203703703</v>
      </c>
      <c r="C94" s="1" t="n">
        <v>45890</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5235-2025</t>
        </is>
      </c>
      <c r="B95" s="1" t="n">
        <v>45692.26797453704</v>
      </c>
      <c r="C95" s="1" t="n">
        <v>45890</v>
      </c>
      <c r="D95" t="inlineStr">
        <is>
          <t>GOTLANDS LÄN</t>
        </is>
      </c>
      <c r="E95" t="inlineStr">
        <is>
          <t>GOTLAND</t>
        </is>
      </c>
      <c r="G95" t="n">
        <v>7.6</v>
      </c>
      <c r="H95" t="n">
        <v>1</v>
      </c>
      <c r="I95" t="n">
        <v>2</v>
      </c>
      <c r="J95" t="n">
        <v>1</v>
      </c>
      <c r="K95" t="n">
        <v>0</v>
      </c>
      <c r="L95" t="n">
        <v>0</v>
      </c>
      <c r="M95" t="n">
        <v>0</v>
      </c>
      <c r="N95" t="n">
        <v>0</v>
      </c>
      <c r="O95" t="n">
        <v>1</v>
      </c>
      <c r="P95" t="n">
        <v>0</v>
      </c>
      <c r="Q95" t="n">
        <v>3</v>
      </c>
      <c r="R95" s="2" t="inlineStr">
        <is>
          <t>Svinrot
Blåmossa
Tvåblad</t>
        </is>
      </c>
      <c r="S95">
        <f>HYPERLINK("https://klasma.github.io/Logging_0980/artfynd/A 5235-2025 artfynd.xlsx", "A 5235-2025")</f>
        <v/>
      </c>
      <c r="T95">
        <f>HYPERLINK("https://klasma.github.io/Logging_0980/kartor/A 5235-2025 karta.png", "A 5235-2025")</f>
        <v/>
      </c>
      <c r="V95">
        <f>HYPERLINK("https://klasma.github.io/Logging_0980/klagomål/A 5235-2025 FSC-klagomål.docx", "A 5235-2025")</f>
        <v/>
      </c>
      <c r="W95">
        <f>HYPERLINK("https://klasma.github.io/Logging_0980/klagomålsmail/A 5235-2025 FSC-klagomål mail.docx", "A 5235-2025")</f>
        <v/>
      </c>
      <c r="X95">
        <f>HYPERLINK("https://klasma.github.io/Logging_0980/tillsyn/A 5235-2025 tillsynsbegäran.docx", "A 5235-2025")</f>
        <v/>
      </c>
      <c r="Y95">
        <f>HYPERLINK("https://klasma.github.io/Logging_0980/tillsynsmail/A 5235-2025 tillsynsbegäran mail.docx", "A 5235-2025")</f>
        <v/>
      </c>
    </row>
    <row r="96" ht="15" customHeight="1">
      <c r="A96" t="inlineStr">
        <is>
          <t>A 53552-2021</t>
        </is>
      </c>
      <c r="B96" s="1" t="n">
        <v>44468</v>
      </c>
      <c r="C96" s="1" t="n">
        <v>45890</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12315-2024</t>
        </is>
      </c>
      <c r="B97" s="1" t="n">
        <v>45378.6434837963</v>
      </c>
      <c r="C97" s="1" t="n">
        <v>45890</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30490-2025</t>
        </is>
      </c>
      <c r="B98" s="1" t="n">
        <v>45830</v>
      </c>
      <c r="C98" s="1" t="n">
        <v>45890</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20831-2024</t>
        </is>
      </c>
      <c r="B99" s="1" t="n">
        <v>45439</v>
      </c>
      <c r="C99" s="1" t="n">
        <v>45890</v>
      </c>
      <c r="D99" t="inlineStr">
        <is>
          <t>GOTLANDS LÄN</t>
        </is>
      </c>
      <c r="E99" t="inlineStr">
        <is>
          <t>GOTLAND</t>
        </is>
      </c>
      <c r="G99" t="n">
        <v>2.9</v>
      </c>
      <c r="H99" t="n">
        <v>2</v>
      </c>
      <c r="I99" t="n">
        <v>1</v>
      </c>
      <c r="J99" t="n">
        <v>2</v>
      </c>
      <c r="K99" t="n">
        <v>0</v>
      </c>
      <c r="L99" t="n">
        <v>0</v>
      </c>
      <c r="M99" t="n">
        <v>0</v>
      </c>
      <c r="N99" t="n">
        <v>0</v>
      </c>
      <c r="O99" t="n">
        <v>2</v>
      </c>
      <c r="P99" t="n">
        <v>0</v>
      </c>
      <c r="Q99" t="n">
        <v>3</v>
      </c>
      <c r="R99" s="2" t="inlineStr">
        <is>
          <t>Dårgräsfjäril
Svinrot
Skogsknipprot</t>
        </is>
      </c>
      <c r="S99">
        <f>HYPERLINK("https://klasma.github.io/Logging_0980/artfynd/A 20831-2024 artfynd.xlsx", "A 20831-2024")</f>
        <v/>
      </c>
      <c r="T99">
        <f>HYPERLINK("https://klasma.github.io/Logging_0980/kartor/A 20831-2024 karta.png", "A 20831-2024")</f>
        <v/>
      </c>
      <c r="V99">
        <f>HYPERLINK("https://klasma.github.io/Logging_0980/klagomål/A 20831-2024 FSC-klagomål.docx", "A 20831-2024")</f>
        <v/>
      </c>
      <c r="W99">
        <f>HYPERLINK("https://klasma.github.io/Logging_0980/klagomålsmail/A 20831-2024 FSC-klagomål mail.docx", "A 20831-2024")</f>
        <v/>
      </c>
      <c r="X99">
        <f>HYPERLINK("https://klasma.github.io/Logging_0980/tillsyn/A 20831-2024 tillsynsbegäran.docx", "A 20831-2024")</f>
        <v/>
      </c>
      <c r="Y99">
        <f>HYPERLINK("https://klasma.github.io/Logging_0980/tillsynsmail/A 20831-2024 tillsynsbegäran mail.docx", "A 20831-2024")</f>
        <v/>
      </c>
    </row>
    <row r="100" ht="15" customHeight="1">
      <c r="A100" t="inlineStr">
        <is>
          <t>A 17975-2024</t>
        </is>
      </c>
      <c r="B100" s="1" t="n">
        <v>45419.85546296297</v>
      </c>
      <c r="C100" s="1" t="n">
        <v>45890</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62326-2020</t>
        </is>
      </c>
      <c r="B101" s="1" t="n">
        <v>44160</v>
      </c>
      <c r="C101" s="1" t="n">
        <v>45890</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45890</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45890</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45890</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60665-2021</t>
        </is>
      </c>
      <c r="B105" s="1" t="n">
        <v>44496</v>
      </c>
      <c r="C105" s="1" t="n">
        <v>45890</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9930-2021</t>
        </is>
      </c>
      <c r="B106" s="1" t="n">
        <v>44252</v>
      </c>
      <c r="C106" s="1" t="n">
        <v>45890</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20218-2022</t>
        </is>
      </c>
      <c r="B107" s="1" t="n">
        <v>44698</v>
      </c>
      <c r="C107" s="1" t="n">
        <v>45890</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28261-2024</t>
        </is>
      </c>
      <c r="B108" s="1" t="n">
        <v>45477</v>
      </c>
      <c r="C108" s="1" t="n">
        <v>45890</v>
      </c>
      <c r="D108" t="inlineStr">
        <is>
          <t>GOTLANDS LÄN</t>
        </is>
      </c>
      <c r="E108" t="inlineStr">
        <is>
          <t>GOTLAND</t>
        </is>
      </c>
      <c r="G108" t="n">
        <v>22.8</v>
      </c>
      <c r="H108" t="n">
        <v>0</v>
      </c>
      <c r="I108" t="n">
        <v>0</v>
      </c>
      <c r="J108" t="n">
        <v>2</v>
      </c>
      <c r="K108" t="n">
        <v>0</v>
      </c>
      <c r="L108" t="n">
        <v>0</v>
      </c>
      <c r="M108" t="n">
        <v>0</v>
      </c>
      <c r="N108" t="n">
        <v>0</v>
      </c>
      <c r="O108" t="n">
        <v>2</v>
      </c>
      <c r="P108" t="n">
        <v>0</v>
      </c>
      <c r="Q108" t="n">
        <v>2</v>
      </c>
      <c r="R108" s="2" t="inlineStr">
        <is>
          <t>Grådådra
Åkerkulla</t>
        </is>
      </c>
      <c r="S108">
        <f>HYPERLINK("https://klasma.github.io/Logging_0980/artfynd/A 28261-2024 artfynd.xlsx", "A 28261-2024")</f>
        <v/>
      </c>
      <c r="T108">
        <f>HYPERLINK("https://klasma.github.io/Logging_0980/kartor/A 28261-2024 karta.png", "A 28261-2024")</f>
        <v/>
      </c>
      <c r="V108">
        <f>HYPERLINK("https://klasma.github.io/Logging_0980/klagomål/A 28261-2024 FSC-klagomål.docx", "A 28261-2024")</f>
        <v/>
      </c>
      <c r="W108">
        <f>HYPERLINK("https://klasma.github.io/Logging_0980/klagomålsmail/A 28261-2024 FSC-klagomål mail.docx", "A 28261-2024")</f>
        <v/>
      </c>
      <c r="X108">
        <f>HYPERLINK("https://klasma.github.io/Logging_0980/tillsyn/A 28261-2024 tillsynsbegäran.docx", "A 28261-2024")</f>
        <v/>
      </c>
      <c r="Y108">
        <f>HYPERLINK("https://klasma.github.io/Logging_0980/tillsynsmail/A 28261-2024 tillsynsbegäran mail.docx", "A 28261-2024")</f>
        <v/>
      </c>
    </row>
    <row r="109" ht="15" customHeight="1">
      <c r="A109" t="inlineStr">
        <is>
          <t>A 73144-2021</t>
        </is>
      </c>
      <c r="B109" s="1" t="n">
        <v>44550</v>
      </c>
      <c r="C109" s="1" t="n">
        <v>45890</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45890</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55649-2024</t>
        </is>
      </c>
      <c r="B111" s="1" t="n">
        <v>45622.63053240741</v>
      </c>
      <c r="C111" s="1" t="n">
        <v>45890</v>
      </c>
      <c r="D111" t="inlineStr">
        <is>
          <t>GOTLANDS LÄN</t>
        </is>
      </c>
      <c r="E111" t="inlineStr">
        <is>
          <t>GOTLAND</t>
        </is>
      </c>
      <c r="G111" t="n">
        <v>4.6</v>
      </c>
      <c r="H111" t="n">
        <v>2</v>
      </c>
      <c r="I111" t="n">
        <v>0</v>
      </c>
      <c r="J111" t="n">
        <v>0</v>
      </c>
      <c r="K111" t="n">
        <v>0</v>
      </c>
      <c r="L111" t="n">
        <v>0</v>
      </c>
      <c r="M111" t="n">
        <v>0</v>
      </c>
      <c r="N111" t="n">
        <v>0</v>
      </c>
      <c r="O111" t="n">
        <v>0</v>
      </c>
      <c r="P111" t="n">
        <v>0</v>
      </c>
      <c r="Q111" t="n">
        <v>2</v>
      </c>
      <c r="R111" s="2" t="inlineStr">
        <is>
          <t>Sankt pers nycklar
Blåsippa</t>
        </is>
      </c>
      <c r="S111">
        <f>HYPERLINK("https://klasma.github.io/Logging_0980/artfynd/A 55649-2024 artfynd.xlsx", "A 55649-2024")</f>
        <v/>
      </c>
      <c r="T111">
        <f>HYPERLINK("https://klasma.github.io/Logging_0980/kartor/A 55649-2024 karta.png", "A 55649-2024")</f>
        <v/>
      </c>
      <c r="V111">
        <f>HYPERLINK("https://klasma.github.io/Logging_0980/klagomål/A 55649-2024 FSC-klagomål.docx", "A 55649-2024")</f>
        <v/>
      </c>
      <c r="W111">
        <f>HYPERLINK("https://klasma.github.io/Logging_0980/klagomålsmail/A 55649-2024 FSC-klagomål mail.docx", "A 55649-2024")</f>
        <v/>
      </c>
      <c r="X111">
        <f>HYPERLINK("https://klasma.github.io/Logging_0980/tillsyn/A 55649-2024 tillsynsbegäran.docx", "A 55649-2024")</f>
        <v/>
      </c>
      <c r="Y111">
        <f>HYPERLINK("https://klasma.github.io/Logging_0980/tillsynsmail/A 55649-2024 tillsynsbegäran mail.docx", "A 55649-2024")</f>
        <v/>
      </c>
    </row>
    <row r="112" ht="15" customHeight="1">
      <c r="A112" t="inlineStr">
        <is>
          <t>A 21879-2025</t>
        </is>
      </c>
      <c r="B112" s="1" t="n">
        <v>45784.40533564815</v>
      </c>
      <c r="C112" s="1" t="n">
        <v>45890</v>
      </c>
      <c r="D112" t="inlineStr">
        <is>
          <t>GOTLANDS LÄN</t>
        </is>
      </c>
      <c r="E112" t="inlineStr">
        <is>
          <t>GOTLAND</t>
        </is>
      </c>
      <c r="G112" t="n">
        <v>11.1</v>
      </c>
      <c r="H112" t="n">
        <v>0</v>
      </c>
      <c r="I112" t="n">
        <v>1</v>
      </c>
      <c r="J112" t="n">
        <v>0</v>
      </c>
      <c r="K112" t="n">
        <v>0</v>
      </c>
      <c r="L112" t="n">
        <v>1</v>
      </c>
      <c r="M112" t="n">
        <v>0</v>
      </c>
      <c r="N112" t="n">
        <v>0</v>
      </c>
      <c r="O112" t="n">
        <v>1</v>
      </c>
      <c r="P112" t="n">
        <v>1</v>
      </c>
      <c r="Q112" t="n">
        <v>2</v>
      </c>
      <c r="R112" s="2" t="inlineStr">
        <is>
          <t>Ask
Murgröna</t>
        </is>
      </c>
      <c r="S112">
        <f>HYPERLINK("https://klasma.github.io/Logging_0980/artfynd/A 21879-2025 artfynd.xlsx", "A 21879-2025")</f>
        <v/>
      </c>
      <c r="T112">
        <f>HYPERLINK("https://klasma.github.io/Logging_0980/kartor/A 21879-2025 karta.png", "A 21879-2025")</f>
        <v/>
      </c>
      <c r="V112">
        <f>HYPERLINK("https://klasma.github.io/Logging_0980/klagomål/A 21879-2025 FSC-klagomål.docx", "A 21879-2025")</f>
        <v/>
      </c>
      <c r="W112">
        <f>HYPERLINK("https://klasma.github.io/Logging_0980/klagomålsmail/A 21879-2025 FSC-klagomål mail.docx", "A 21879-2025")</f>
        <v/>
      </c>
      <c r="X112">
        <f>HYPERLINK("https://klasma.github.io/Logging_0980/tillsyn/A 21879-2025 tillsynsbegäran.docx", "A 21879-2025")</f>
        <v/>
      </c>
      <c r="Y112">
        <f>HYPERLINK("https://klasma.github.io/Logging_0980/tillsynsmail/A 21879-2025 tillsynsbegäran mail.docx", "A 21879-2025")</f>
        <v/>
      </c>
    </row>
    <row r="113" ht="15" customHeight="1">
      <c r="A113" t="inlineStr">
        <is>
          <t>A 43321-2020</t>
        </is>
      </c>
      <c r="B113" s="1" t="n">
        <v>44081</v>
      </c>
      <c r="C113" s="1" t="n">
        <v>45890</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45890</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45890</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45890</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45890</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64263-2020</t>
        </is>
      </c>
      <c r="B118" s="1" t="n">
        <v>44168</v>
      </c>
      <c r="C118" s="1" t="n">
        <v>45890</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45890</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54357-2024</t>
        </is>
      </c>
      <c r="B120" s="1" t="n">
        <v>45617.40662037037</v>
      </c>
      <c r="C120" s="1" t="n">
        <v>45890</v>
      </c>
      <c r="D120" t="inlineStr">
        <is>
          <t>GOTLANDS LÄN</t>
        </is>
      </c>
      <c r="E120" t="inlineStr">
        <is>
          <t>GOTLAND</t>
        </is>
      </c>
      <c r="G120" t="n">
        <v>1.5</v>
      </c>
      <c r="H120" t="n">
        <v>1</v>
      </c>
      <c r="I120" t="n">
        <v>0</v>
      </c>
      <c r="J120" t="n">
        <v>1</v>
      </c>
      <c r="K120" t="n">
        <v>0</v>
      </c>
      <c r="L120" t="n">
        <v>0</v>
      </c>
      <c r="M120" t="n">
        <v>0</v>
      </c>
      <c r="N120" t="n">
        <v>0</v>
      </c>
      <c r="O120" t="n">
        <v>1</v>
      </c>
      <c r="P120" t="n">
        <v>0</v>
      </c>
      <c r="Q120" t="n">
        <v>2</v>
      </c>
      <c r="R120" s="2" t="inlineStr">
        <is>
          <t>Loppstarr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28276-2024</t>
        </is>
      </c>
      <c r="B121" s="1" t="n">
        <v>45477</v>
      </c>
      <c r="C121" s="1" t="n">
        <v>45890</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45890</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45890</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45890</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45890</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45890</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45890</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45890</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2476-2025</t>
        </is>
      </c>
      <c r="B129" s="1" t="n">
        <v>45673</v>
      </c>
      <c r="C129" s="1" t="n">
        <v>45890</v>
      </c>
      <c r="D129" t="inlineStr">
        <is>
          <t>GOTLANDS LÄN</t>
        </is>
      </c>
      <c r="E129" t="inlineStr">
        <is>
          <t>GOTLAND</t>
        </is>
      </c>
      <c r="G129" t="n">
        <v>3.1</v>
      </c>
      <c r="H129" t="n">
        <v>0</v>
      </c>
      <c r="I129" t="n">
        <v>1</v>
      </c>
      <c r="J129" t="n">
        <v>0</v>
      </c>
      <c r="K129" t="n">
        <v>0</v>
      </c>
      <c r="L129" t="n">
        <v>0</v>
      </c>
      <c r="M129" t="n">
        <v>0</v>
      </c>
      <c r="N129" t="n">
        <v>0</v>
      </c>
      <c r="O129" t="n">
        <v>0</v>
      </c>
      <c r="P129" t="n">
        <v>0</v>
      </c>
      <c r="Q129" t="n">
        <v>1</v>
      </c>
      <c r="R129" s="2" t="inlineStr">
        <is>
          <t>Kryddspindling</t>
        </is>
      </c>
      <c r="S129">
        <f>HYPERLINK("https://klasma.github.io/Logging_0980/artfynd/A 2476-2025 artfynd.xlsx", "A 2476-2025")</f>
        <v/>
      </c>
      <c r="T129">
        <f>HYPERLINK("https://klasma.github.io/Logging_0980/kartor/A 2476-2025 karta.png", "A 2476-2025")</f>
        <v/>
      </c>
      <c r="V129">
        <f>HYPERLINK("https://klasma.github.io/Logging_0980/klagomål/A 2476-2025 FSC-klagomål.docx", "A 2476-2025")</f>
        <v/>
      </c>
      <c r="W129">
        <f>HYPERLINK("https://klasma.github.io/Logging_0980/klagomålsmail/A 2476-2025 FSC-klagomål mail.docx", "A 2476-2025")</f>
        <v/>
      </c>
      <c r="X129">
        <f>HYPERLINK("https://klasma.github.io/Logging_0980/tillsyn/A 2476-2025 tillsynsbegäran.docx", "A 2476-2025")</f>
        <v/>
      </c>
      <c r="Y129">
        <f>HYPERLINK("https://klasma.github.io/Logging_0980/tillsynsmail/A 2476-2025 tillsynsbegäran mail.docx", "A 2476-2025")</f>
        <v/>
      </c>
    </row>
    <row r="130" ht="15" customHeight="1">
      <c r="A130" t="inlineStr">
        <is>
          <t>A 24245-2022</t>
        </is>
      </c>
      <c r="B130" s="1" t="n">
        <v>44725</v>
      </c>
      <c r="C130" s="1" t="n">
        <v>45890</v>
      </c>
      <c r="D130" t="inlineStr">
        <is>
          <t>GOTLANDS LÄN</t>
        </is>
      </c>
      <c r="E130" t="inlineStr">
        <is>
          <t>GOTLAND</t>
        </is>
      </c>
      <c r="G130" t="n">
        <v>4.9</v>
      </c>
      <c r="H130" t="n">
        <v>0</v>
      </c>
      <c r="I130" t="n">
        <v>0</v>
      </c>
      <c r="J130" t="n">
        <v>0</v>
      </c>
      <c r="K130" t="n">
        <v>0</v>
      </c>
      <c r="L130" t="n">
        <v>1</v>
      </c>
      <c r="M130" t="n">
        <v>0</v>
      </c>
      <c r="N130" t="n">
        <v>0</v>
      </c>
      <c r="O130" t="n">
        <v>1</v>
      </c>
      <c r="P130" t="n">
        <v>1</v>
      </c>
      <c r="Q130" t="n">
        <v>1</v>
      </c>
      <c r="R130" s="2" t="inlineStr">
        <is>
          <t>Slät taggsvamp</t>
        </is>
      </c>
      <c r="S130">
        <f>HYPERLINK("https://klasma.github.io/Logging_0980/artfynd/A 24245-2022 artfynd.xlsx", "A 24245-2022")</f>
        <v/>
      </c>
      <c r="T130">
        <f>HYPERLINK("https://klasma.github.io/Logging_0980/kartor/A 24245-2022 karta.png", "A 24245-2022")</f>
        <v/>
      </c>
      <c r="V130">
        <f>HYPERLINK("https://klasma.github.io/Logging_0980/klagomål/A 24245-2022 FSC-klagomål.docx", "A 24245-2022")</f>
        <v/>
      </c>
      <c r="W130">
        <f>HYPERLINK("https://klasma.github.io/Logging_0980/klagomålsmail/A 24245-2022 FSC-klagomål mail.docx", "A 24245-2022")</f>
        <v/>
      </c>
      <c r="X130">
        <f>HYPERLINK("https://klasma.github.io/Logging_0980/tillsyn/A 24245-2022 tillsynsbegäran.docx", "A 24245-2022")</f>
        <v/>
      </c>
      <c r="Y130">
        <f>HYPERLINK("https://klasma.github.io/Logging_0980/tillsynsmail/A 24245-2022 tillsynsbegäran mail.docx", "A 24245-2022")</f>
        <v/>
      </c>
    </row>
    <row r="131" ht="15" customHeight="1">
      <c r="A131" t="inlineStr">
        <is>
          <t>A 20429-2025</t>
        </is>
      </c>
      <c r="B131" s="1" t="n">
        <v>45775.47728009259</v>
      </c>
      <c r="C131" s="1" t="n">
        <v>45890</v>
      </c>
      <c r="D131" t="inlineStr">
        <is>
          <t>GOTLANDS LÄN</t>
        </is>
      </c>
      <c r="E131" t="inlineStr">
        <is>
          <t>GOTLAND</t>
        </is>
      </c>
      <c r="G131" t="n">
        <v>1.4</v>
      </c>
      <c r="H131" t="n">
        <v>1</v>
      </c>
      <c r="I131" t="n">
        <v>0</v>
      </c>
      <c r="J131" t="n">
        <v>0</v>
      </c>
      <c r="K131" t="n">
        <v>0</v>
      </c>
      <c r="L131" t="n">
        <v>0</v>
      </c>
      <c r="M131" t="n">
        <v>0</v>
      </c>
      <c r="N131" t="n">
        <v>0</v>
      </c>
      <c r="O131" t="n">
        <v>0</v>
      </c>
      <c r="P131" t="n">
        <v>0</v>
      </c>
      <c r="Q131" t="n">
        <v>1</v>
      </c>
      <c r="R131" s="2" t="inlineStr">
        <is>
          <t>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447-2023</t>
        </is>
      </c>
      <c r="B132" s="1" t="n">
        <v>44929</v>
      </c>
      <c r="C132" s="1" t="n">
        <v>45890</v>
      </c>
      <c r="D132" t="inlineStr">
        <is>
          <t>GOTLANDS LÄN</t>
        </is>
      </c>
      <c r="E132" t="inlineStr">
        <is>
          <t>GOTLAND</t>
        </is>
      </c>
      <c r="G132" t="n">
        <v>5.1</v>
      </c>
      <c r="H132" t="n">
        <v>0</v>
      </c>
      <c r="I132" t="n">
        <v>0</v>
      </c>
      <c r="J132" t="n">
        <v>1</v>
      </c>
      <c r="K132" t="n">
        <v>0</v>
      </c>
      <c r="L132" t="n">
        <v>0</v>
      </c>
      <c r="M132" t="n">
        <v>0</v>
      </c>
      <c r="N132" t="n">
        <v>0</v>
      </c>
      <c r="O132" t="n">
        <v>1</v>
      </c>
      <c r="P132" t="n">
        <v>0</v>
      </c>
      <c r="Q132" t="n">
        <v>1</v>
      </c>
      <c r="R132" s="2" t="inlineStr">
        <is>
          <t>Äggspindling</t>
        </is>
      </c>
      <c r="S132">
        <f>HYPERLINK("https://klasma.github.io/Logging_0980/artfynd/A 447-2023 artfynd.xlsx", "A 447-2023")</f>
        <v/>
      </c>
      <c r="T132">
        <f>HYPERLINK("https://klasma.github.io/Logging_0980/kartor/A 447-2023 karta.png", "A 447-2023")</f>
        <v/>
      </c>
      <c r="V132">
        <f>HYPERLINK("https://klasma.github.io/Logging_0980/klagomål/A 447-2023 FSC-klagomål.docx", "A 447-2023")</f>
        <v/>
      </c>
      <c r="W132">
        <f>HYPERLINK("https://klasma.github.io/Logging_0980/klagomålsmail/A 447-2023 FSC-klagomål mail.docx", "A 447-2023")</f>
        <v/>
      </c>
      <c r="X132">
        <f>HYPERLINK("https://klasma.github.io/Logging_0980/tillsyn/A 447-2023 tillsynsbegäran.docx", "A 447-2023")</f>
        <v/>
      </c>
      <c r="Y132">
        <f>HYPERLINK("https://klasma.github.io/Logging_0980/tillsynsmail/A 447-2023 tillsynsbegäran mail.docx", "A 447-2023")</f>
        <v/>
      </c>
    </row>
    <row r="133" ht="15" customHeight="1">
      <c r="A133" t="inlineStr">
        <is>
          <t>A 48155-2024</t>
        </is>
      </c>
      <c r="B133" s="1" t="n">
        <v>45589.68863425926</v>
      </c>
      <c r="C133" s="1" t="n">
        <v>45890</v>
      </c>
      <c r="D133" t="inlineStr">
        <is>
          <t>GOTLANDS LÄN</t>
        </is>
      </c>
      <c r="E133" t="inlineStr">
        <is>
          <t>GOTLAND</t>
        </is>
      </c>
      <c r="G133" t="n">
        <v>2.4</v>
      </c>
      <c r="H133" t="n">
        <v>1</v>
      </c>
      <c r="I133" t="n">
        <v>0</v>
      </c>
      <c r="J133" t="n">
        <v>0</v>
      </c>
      <c r="K133" t="n">
        <v>0</v>
      </c>
      <c r="L133" t="n">
        <v>0</v>
      </c>
      <c r="M133" t="n">
        <v>0</v>
      </c>
      <c r="N133" t="n">
        <v>0</v>
      </c>
      <c r="O133" t="n">
        <v>0</v>
      </c>
      <c r="P133" t="n">
        <v>0</v>
      </c>
      <c r="Q133" t="n">
        <v>1</v>
      </c>
      <c r="R133" s="2" t="inlineStr">
        <is>
          <t>Gröngöling</t>
        </is>
      </c>
      <c r="S133">
        <f>HYPERLINK("https://klasma.github.io/Logging_0980/artfynd/A 48155-2024 artfynd.xlsx", "A 48155-2024")</f>
        <v/>
      </c>
      <c r="T133">
        <f>HYPERLINK("https://klasma.github.io/Logging_0980/kartor/A 48155-2024 karta.png", "A 48155-2024")</f>
        <v/>
      </c>
      <c r="V133">
        <f>HYPERLINK("https://klasma.github.io/Logging_0980/klagomål/A 48155-2024 FSC-klagomål.docx", "A 48155-2024")</f>
        <v/>
      </c>
      <c r="W133">
        <f>HYPERLINK("https://klasma.github.io/Logging_0980/klagomålsmail/A 48155-2024 FSC-klagomål mail.docx", "A 48155-2024")</f>
        <v/>
      </c>
      <c r="X133">
        <f>HYPERLINK("https://klasma.github.io/Logging_0980/tillsyn/A 48155-2024 tillsynsbegäran.docx", "A 48155-2024")</f>
        <v/>
      </c>
      <c r="Y133">
        <f>HYPERLINK("https://klasma.github.io/Logging_0980/tillsynsmail/A 48155-2024 tillsynsbegäran mail.docx", "A 48155-2024")</f>
        <v/>
      </c>
      <c r="Z133">
        <f>HYPERLINK("https://klasma.github.io/Logging_0980/fåglar/A 48155-2024 prioriterade fågelarter.docx", "A 48155-2024")</f>
        <v/>
      </c>
    </row>
    <row r="134" ht="15" customHeight="1">
      <c r="A134" t="inlineStr">
        <is>
          <t>A 34809-2024</t>
        </is>
      </c>
      <c r="B134" s="1" t="n">
        <v>45526</v>
      </c>
      <c r="C134" s="1" t="n">
        <v>45890</v>
      </c>
      <c r="D134" t="inlineStr">
        <is>
          <t>GOTLANDS LÄN</t>
        </is>
      </c>
      <c r="E134" t="inlineStr">
        <is>
          <t>GOTLAND</t>
        </is>
      </c>
      <c r="G134" t="n">
        <v>9.9</v>
      </c>
      <c r="H134" t="n">
        <v>1</v>
      </c>
      <c r="I134" t="n">
        <v>0</v>
      </c>
      <c r="J134" t="n">
        <v>1</v>
      </c>
      <c r="K134" t="n">
        <v>0</v>
      </c>
      <c r="L134" t="n">
        <v>0</v>
      </c>
      <c r="M134" t="n">
        <v>0</v>
      </c>
      <c r="N134" t="n">
        <v>0</v>
      </c>
      <c r="O134" t="n">
        <v>1</v>
      </c>
      <c r="P134" t="n">
        <v>0</v>
      </c>
      <c r="Q134" t="n">
        <v>1</v>
      </c>
      <c r="R134" s="2" t="inlineStr">
        <is>
          <t>Brun ögontröst</t>
        </is>
      </c>
      <c r="S134">
        <f>HYPERLINK("https://klasma.github.io/Logging_0980/artfynd/A 34809-2024 artfynd.xlsx", "A 34809-2024")</f>
        <v/>
      </c>
      <c r="T134">
        <f>HYPERLINK("https://klasma.github.io/Logging_0980/kartor/A 34809-2024 karta.png", "A 34809-2024")</f>
        <v/>
      </c>
      <c r="V134">
        <f>HYPERLINK("https://klasma.github.io/Logging_0980/klagomål/A 34809-2024 FSC-klagomål.docx", "A 34809-2024")</f>
        <v/>
      </c>
      <c r="W134">
        <f>HYPERLINK("https://klasma.github.io/Logging_0980/klagomålsmail/A 34809-2024 FSC-klagomål mail.docx", "A 34809-2024")</f>
        <v/>
      </c>
      <c r="X134">
        <f>HYPERLINK("https://klasma.github.io/Logging_0980/tillsyn/A 34809-2024 tillsynsbegäran.docx", "A 34809-2024")</f>
        <v/>
      </c>
      <c r="Y134">
        <f>HYPERLINK("https://klasma.github.io/Logging_0980/tillsynsmail/A 34809-2024 tillsynsbegäran mail.docx", "A 34809-2024")</f>
        <v/>
      </c>
    </row>
    <row r="135" ht="15" customHeight="1">
      <c r="A135" t="inlineStr">
        <is>
          <t>A 10995-2023</t>
        </is>
      </c>
      <c r="B135" s="1" t="n">
        <v>44986</v>
      </c>
      <c r="C135" s="1" t="n">
        <v>45890</v>
      </c>
      <c r="D135" t="inlineStr">
        <is>
          <t>GOTLANDS LÄN</t>
        </is>
      </c>
      <c r="E135" t="inlineStr">
        <is>
          <t>GOTLAND</t>
        </is>
      </c>
      <c r="G135" t="n">
        <v>2.8</v>
      </c>
      <c r="H135" t="n">
        <v>0</v>
      </c>
      <c r="I135" t="n">
        <v>0</v>
      </c>
      <c r="J135" t="n">
        <v>0</v>
      </c>
      <c r="K135" t="n">
        <v>1</v>
      </c>
      <c r="L135" t="n">
        <v>0</v>
      </c>
      <c r="M135" t="n">
        <v>0</v>
      </c>
      <c r="N135" t="n">
        <v>0</v>
      </c>
      <c r="O135" t="n">
        <v>1</v>
      </c>
      <c r="P135" t="n">
        <v>1</v>
      </c>
      <c r="Q135" t="n">
        <v>1</v>
      </c>
      <c r="R135" s="2" t="inlineStr">
        <is>
          <t>Violettfläckig spindling</t>
        </is>
      </c>
      <c r="S135">
        <f>HYPERLINK("https://klasma.github.io/Logging_0980/artfynd/A 10995-2023 artfynd.xlsx", "A 10995-2023")</f>
        <v/>
      </c>
      <c r="T135">
        <f>HYPERLINK("https://klasma.github.io/Logging_0980/kartor/A 10995-2023 karta.png", "A 10995-2023")</f>
        <v/>
      </c>
      <c r="V135">
        <f>HYPERLINK("https://klasma.github.io/Logging_0980/klagomål/A 10995-2023 FSC-klagomål.docx", "A 10995-2023")</f>
        <v/>
      </c>
      <c r="W135">
        <f>HYPERLINK("https://klasma.github.io/Logging_0980/klagomålsmail/A 10995-2023 FSC-klagomål mail.docx", "A 10995-2023")</f>
        <v/>
      </c>
      <c r="X135">
        <f>HYPERLINK("https://klasma.github.io/Logging_0980/tillsyn/A 10995-2023 tillsynsbegäran.docx", "A 10995-2023")</f>
        <v/>
      </c>
      <c r="Y135">
        <f>HYPERLINK("https://klasma.github.io/Logging_0980/tillsynsmail/A 10995-2023 tillsynsbegäran mail.docx", "A 10995-2023")</f>
        <v/>
      </c>
    </row>
    <row r="136" ht="15" customHeight="1">
      <c r="A136" t="inlineStr">
        <is>
          <t>A 63576-2021</t>
        </is>
      </c>
      <c r="B136" s="1" t="n">
        <v>44508</v>
      </c>
      <c r="C136" s="1" t="n">
        <v>45890</v>
      </c>
      <c r="D136" t="inlineStr">
        <is>
          <t>GOTLANDS LÄN</t>
        </is>
      </c>
      <c r="E136" t="inlineStr">
        <is>
          <t>GOTLAND</t>
        </is>
      </c>
      <c r="F136" t="inlineStr">
        <is>
          <t>Kyrkan</t>
        </is>
      </c>
      <c r="G136" t="n">
        <v>4.1</v>
      </c>
      <c r="H136" t="n">
        <v>1</v>
      </c>
      <c r="I136" t="n">
        <v>0</v>
      </c>
      <c r="J136" t="n">
        <v>1</v>
      </c>
      <c r="K136" t="n">
        <v>0</v>
      </c>
      <c r="L136" t="n">
        <v>0</v>
      </c>
      <c r="M136" t="n">
        <v>0</v>
      </c>
      <c r="N136" t="n">
        <v>0</v>
      </c>
      <c r="O136" t="n">
        <v>1</v>
      </c>
      <c r="P136" t="n">
        <v>0</v>
      </c>
      <c r="Q136" t="n">
        <v>1</v>
      </c>
      <c r="R136" s="2" t="inlineStr">
        <is>
          <t>Dårgräsfjäril</t>
        </is>
      </c>
      <c r="S136">
        <f>HYPERLINK("https://klasma.github.io/Logging_0980/artfynd/A 63576-2021 artfynd.xlsx", "A 63576-2021")</f>
        <v/>
      </c>
      <c r="T136">
        <f>HYPERLINK("https://klasma.github.io/Logging_0980/kartor/A 63576-2021 karta.png", "A 63576-2021")</f>
        <v/>
      </c>
      <c r="V136">
        <f>HYPERLINK("https://klasma.github.io/Logging_0980/klagomål/A 63576-2021 FSC-klagomål.docx", "A 63576-2021")</f>
        <v/>
      </c>
      <c r="W136">
        <f>HYPERLINK("https://klasma.github.io/Logging_0980/klagomålsmail/A 63576-2021 FSC-klagomål mail.docx", "A 63576-2021")</f>
        <v/>
      </c>
      <c r="X136">
        <f>HYPERLINK("https://klasma.github.io/Logging_0980/tillsyn/A 63576-2021 tillsynsbegäran.docx", "A 63576-2021")</f>
        <v/>
      </c>
      <c r="Y136">
        <f>HYPERLINK("https://klasma.github.io/Logging_0980/tillsynsmail/A 63576-2021 tillsynsbegäran mail.docx", "A 63576-2021")</f>
        <v/>
      </c>
    </row>
    <row r="137" ht="15" customHeight="1">
      <c r="A137" t="inlineStr">
        <is>
          <t>A 49304-2024</t>
        </is>
      </c>
      <c r="B137" s="1" t="n">
        <v>45595.54996527778</v>
      </c>
      <c r="C137" s="1" t="n">
        <v>45890</v>
      </c>
      <c r="D137" t="inlineStr">
        <is>
          <t>GOTLANDS LÄN</t>
        </is>
      </c>
      <c r="E137" t="inlineStr">
        <is>
          <t>GOTLAND</t>
        </is>
      </c>
      <c r="G137" t="n">
        <v>10.8</v>
      </c>
      <c r="H137" t="n">
        <v>0</v>
      </c>
      <c r="I137" t="n">
        <v>0</v>
      </c>
      <c r="J137" t="n">
        <v>1</v>
      </c>
      <c r="K137" t="n">
        <v>0</v>
      </c>
      <c r="L137" t="n">
        <v>0</v>
      </c>
      <c r="M137" t="n">
        <v>0</v>
      </c>
      <c r="N137" t="n">
        <v>0</v>
      </c>
      <c r="O137" t="n">
        <v>1</v>
      </c>
      <c r="P137" t="n">
        <v>0</v>
      </c>
      <c r="Q137" t="n">
        <v>1</v>
      </c>
      <c r="R137" s="2" t="inlineStr">
        <is>
          <t>Åkerranunkel</t>
        </is>
      </c>
      <c r="S137">
        <f>HYPERLINK("https://klasma.github.io/Logging_0980/artfynd/A 49304-2024 artfynd.xlsx", "A 49304-2024")</f>
        <v/>
      </c>
      <c r="T137">
        <f>HYPERLINK("https://klasma.github.io/Logging_0980/kartor/A 49304-2024 karta.png", "A 49304-2024")</f>
        <v/>
      </c>
      <c r="V137">
        <f>HYPERLINK("https://klasma.github.io/Logging_0980/klagomål/A 49304-2024 FSC-klagomål.docx", "A 49304-2024")</f>
        <v/>
      </c>
      <c r="W137">
        <f>HYPERLINK("https://klasma.github.io/Logging_0980/klagomålsmail/A 49304-2024 FSC-klagomål mail.docx", "A 49304-2024")</f>
        <v/>
      </c>
      <c r="X137">
        <f>HYPERLINK("https://klasma.github.io/Logging_0980/tillsyn/A 49304-2024 tillsynsbegäran.docx", "A 49304-2024")</f>
        <v/>
      </c>
      <c r="Y137">
        <f>HYPERLINK("https://klasma.github.io/Logging_0980/tillsynsmail/A 49304-2024 tillsynsbegäran mail.docx", "A 49304-2024")</f>
        <v/>
      </c>
    </row>
    <row r="138" ht="15" customHeight="1">
      <c r="A138" t="inlineStr">
        <is>
          <t>A 21466-2025</t>
        </is>
      </c>
      <c r="B138" s="1" t="n">
        <v>45782</v>
      </c>
      <c r="C138" s="1" t="n">
        <v>45890</v>
      </c>
      <c r="D138" t="inlineStr">
        <is>
          <t>GOTLANDS LÄN</t>
        </is>
      </c>
      <c r="E138" t="inlineStr">
        <is>
          <t>GOTLAND</t>
        </is>
      </c>
      <c r="F138" t="inlineStr">
        <is>
          <t>Övriga statliga verk och myndigheter</t>
        </is>
      </c>
      <c r="G138" t="n">
        <v>1.7</v>
      </c>
      <c r="H138" t="n">
        <v>1</v>
      </c>
      <c r="I138" t="n">
        <v>0</v>
      </c>
      <c r="J138" t="n">
        <v>0</v>
      </c>
      <c r="K138" t="n">
        <v>0</v>
      </c>
      <c r="L138" t="n">
        <v>0</v>
      </c>
      <c r="M138" t="n">
        <v>0</v>
      </c>
      <c r="N138" t="n">
        <v>0</v>
      </c>
      <c r="O138" t="n">
        <v>0</v>
      </c>
      <c r="P138" t="n">
        <v>0</v>
      </c>
      <c r="Q138" t="n">
        <v>1</v>
      </c>
      <c r="R138" s="2" t="inlineStr">
        <is>
          <t>Blåsippa</t>
        </is>
      </c>
      <c r="S138">
        <f>HYPERLINK("https://klasma.github.io/Logging_0980/artfynd/A 21466-2025 artfynd.xlsx", "A 21466-2025")</f>
        <v/>
      </c>
      <c r="T138">
        <f>HYPERLINK("https://klasma.github.io/Logging_0980/kartor/A 21466-2025 karta.png", "A 21466-2025")</f>
        <v/>
      </c>
      <c r="V138">
        <f>HYPERLINK("https://klasma.github.io/Logging_0980/klagomål/A 21466-2025 FSC-klagomål.docx", "A 21466-2025")</f>
        <v/>
      </c>
      <c r="W138">
        <f>HYPERLINK("https://klasma.github.io/Logging_0980/klagomålsmail/A 21466-2025 FSC-klagomål mail.docx", "A 21466-2025")</f>
        <v/>
      </c>
      <c r="X138">
        <f>HYPERLINK("https://klasma.github.io/Logging_0980/tillsyn/A 21466-2025 tillsynsbegäran.docx", "A 21466-2025")</f>
        <v/>
      </c>
      <c r="Y138">
        <f>HYPERLINK("https://klasma.github.io/Logging_0980/tillsynsmail/A 21466-2025 tillsynsbegäran mail.docx", "A 21466-2025")</f>
        <v/>
      </c>
    </row>
    <row r="139" ht="15" customHeight="1">
      <c r="A139" t="inlineStr">
        <is>
          <t>A 22782-2023</t>
        </is>
      </c>
      <c r="B139" s="1" t="n">
        <v>45072</v>
      </c>
      <c r="C139" s="1" t="n">
        <v>45890</v>
      </c>
      <c r="D139" t="inlineStr">
        <is>
          <t>GOTLANDS LÄN</t>
        </is>
      </c>
      <c r="E139" t="inlineStr">
        <is>
          <t>GOTLAND</t>
        </is>
      </c>
      <c r="F139" t="inlineStr">
        <is>
          <t>Kyrkan</t>
        </is>
      </c>
      <c r="G139" t="n">
        <v>3.1</v>
      </c>
      <c r="H139" t="n">
        <v>1</v>
      </c>
      <c r="I139" t="n">
        <v>0</v>
      </c>
      <c r="J139" t="n">
        <v>0</v>
      </c>
      <c r="K139" t="n">
        <v>0</v>
      </c>
      <c r="L139" t="n">
        <v>0</v>
      </c>
      <c r="M139" t="n">
        <v>0</v>
      </c>
      <c r="N139" t="n">
        <v>0</v>
      </c>
      <c r="O139" t="n">
        <v>0</v>
      </c>
      <c r="P139" t="n">
        <v>0</v>
      </c>
      <c r="Q139" t="n">
        <v>1</v>
      </c>
      <c r="R139" s="2" t="inlineStr">
        <is>
          <t>Ängsnycklar × skogsnycklar</t>
        </is>
      </c>
      <c r="S139">
        <f>HYPERLINK("https://klasma.github.io/Logging_0980/artfynd/A 22782-2023 artfynd.xlsx", "A 22782-2023")</f>
        <v/>
      </c>
      <c r="T139">
        <f>HYPERLINK("https://klasma.github.io/Logging_0980/kartor/A 22782-2023 karta.png", "A 22782-2023")</f>
        <v/>
      </c>
      <c r="V139">
        <f>HYPERLINK("https://klasma.github.io/Logging_0980/klagomål/A 22782-2023 FSC-klagomål.docx", "A 22782-2023")</f>
        <v/>
      </c>
      <c r="W139">
        <f>HYPERLINK("https://klasma.github.io/Logging_0980/klagomålsmail/A 22782-2023 FSC-klagomål mail.docx", "A 22782-2023")</f>
        <v/>
      </c>
      <c r="X139">
        <f>HYPERLINK("https://klasma.github.io/Logging_0980/tillsyn/A 22782-2023 tillsynsbegäran.docx", "A 22782-2023")</f>
        <v/>
      </c>
      <c r="Y139">
        <f>HYPERLINK("https://klasma.github.io/Logging_0980/tillsynsmail/A 22782-2023 tillsynsbegäran mail.docx", "A 22782-2023")</f>
        <v/>
      </c>
    </row>
    <row r="140" ht="15" customHeight="1">
      <c r="A140" t="inlineStr">
        <is>
          <t>A 44308-2021</t>
        </is>
      </c>
      <c r="B140" s="1" t="n">
        <v>44434</v>
      </c>
      <c r="C140" s="1" t="n">
        <v>45890</v>
      </c>
      <c r="D140" t="inlineStr">
        <is>
          <t>GOTLANDS LÄN</t>
        </is>
      </c>
      <c r="E140" t="inlineStr">
        <is>
          <t>GOTLAND</t>
        </is>
      </c>
      <c r="G140" t="n">
        <v>5.9</v>
      </c>
      <c r="H140" t="n">
        <v>0</v>
      </c>
      <c r="I140" t="n">
        <v>1</v>
      </c>
      <c r="J140" t="n">
        <v>0</v>
      </c>
      <c r="K140" t="n">
        <v>0</v>
      </c>
      <c r="L140" t="n">
        <v>0</v>
      </c>
      <c r="M140" t="n">
        <v>0</v>
      </c>
      <c r="N140" t="n">
        <v>0</v>
      </c>
      <c r="O140" t="n">
        <v>0</v>
      </c>
      <c r="P140" t="n">
        <v>0</v>
      </c>
      <c r="Q140" t="n">
        <v>1</v>
      </c>
      <c r="R140" s="2" t="inlineStr">
        <is>
          <t>Svavelriska</t>
        </is>
      </c>
      <c r="S140">
        <f>HYPERLINK("https://klasma.github.io/Logging_0980/artfynd/A 44308-2021 artfynd.xlsx", "A 44308-2021")</f>
        <v/>
      </c>
      <c r="T140">
        <f>HYPERLINK("https://klasma.github.io/Logging_0980/kartor/A 44308-2021 karta.png", "A 44308-2021")</f>
        <v/>
      </c>
      <c r="V140">
        <f>HYPERLINK("https://klasma.github.io/Logging_0980/klagomål/A 44308-2021 FSC-klagomål.docx", "A 44308-2021")</f>
        <v/>
      </c>
      <c r="W140">
        <f>HYPERLINK("https://klasma.github.io/Logging_0980/klagomålsmail/A 44308-2021 FSC-klagomål mail.docx", "A 44308-2021")</f>
        <v/>
      </c>
      <c r="X140">
        <f>HYPERLINK("https://klasma.github.io/Logging_0980/tillsyn/A 44308-2021 tillsynsbegäran.docx", "A 44308-2021")</f>
        <v/>
      </c>
      <c r="Y140">
        <f>HYPERLINK("https://klasma.github.io/Logging_0980/tillsynsmail/A 44308-2021 tillsynsbegäran mail.docx", "A 44308-2021")</f>
        <v/>
      </c>
    </row>
    <row r="141" ht="15" customHeight="1">
      <c r="A141" t="inlineStr">
        <is>
          <t>A 12924-2025</t>
        </is>
      </c>
      <c r="B141" s="1" t="n">
        <v>45734</v>
      </c>
      <c r="C141" s="1" t="n">
        <v>45890</v>
      </c>
      <c r="D141" t="inlineStr">
        <is>
          <t>GOTLANDS LÄN</t>
        </is>
      </c>
      <c r="E141" t="inlineStr">
        <is>
          <t>GOTLAND</t>
        </is>
      </c>
      <c r="G141" t="n">
        <v>11.7</v>
      </c>
      <c r="H141" t="n">
        <v>0</v>
      </c>
      <c r="I141" t="n">
        <v>0</v>
      </c>
      <c r="J141" t="n">
        <v>0</v>
      </c>
      <c r="K141" t="n">
        <v>1</v>
      </c>
      <c r="L141" t="n">
        <v>0</v>
      </c>
      <c r="M141" t="n">
        <v>0</v>
      </c>
      <c r="N141" t="n">
        <v>0</v>
      </c>
      <c r="O141" t="n">
        <v>1</v>
      </c>
      <c r="P141" t="n">
        <v>1</v>
      </c>
      <c r="Q141" t="n">
        <v>1</v>
      </c>
      <c r="R141" s="2" t="inlineStr">
        <is>
          <t>Gotlandsmåra</t>
        </is>
      </c>
      <c r="S141">
        <f>HYPERLINK("https://klasma.github.io/Logging_0980/artfynd/A 12924-2025 artfynd.xlsx", "A 12924-2025")</f>
        <v/>
      </c>
      <c r="T141">
        <f>HYPERLINK("https://klasma.github.io/Logging_0980/kartor/A 12924-2025 karta.png", "A 12924-2025")</f>
        <v/>
      </c>
      <c r="V141">
        <f>HYPERLINK("https://klasma.github.io/Logging_0980/klagomål/A 12924-2025 FSC-klagomål.docx", "A 12924-2025")</f>
        <v/>
      </c>
      <c r="W141">
        <f>HYPERLINK("https://klasma.github.io/Logging_0980/klagomålsmail/A 12924-2025 FSC-klagomål mail.docx", "A 12924-2025")</f>
        <v/>
      </c>
      <c r="X141">
        <f>HYPERLINK("https://klasma.github.io/Logging_0980/tillsyn/A 12924-2025 tillsynsbegäran.docx", "A 12924-2025")</f>
        <v/>
      </c>
      <c r="Y141">
        <f>HYPERLINK("https://klasma.github.io/Logging_0980/tillsynsmail/A 12924-2025 tillsynsbegäran mail.docx", "A 12924-2025")</f>
        <v/>
      </c>
    </row>
    <row r="142" ht="15" customHeight="1">
      <c r="A142" t="inlineStr">
        <is>
          <t>A 44088-2022</t>
        </is>
      </c>
      <c r="B142" s="1" t="n">
        <v>44839</v>
      </c>
      <c r="C142" s="1" t="n">
        <v>45890</v>
      </c>
      <c r="D142" t="inlineStr">
        <is>
          <t>GOTLANDS LÄN</t>
        </is>
      </c>
      <c r="E142" t="inlineStr">
        <is>
          <t>GOTLAND</t>
        </is>
      </c>
      <c r="G142" t="n">
        <v>1.5</v>
      </c>
      <c r="H142" t="n">
        <v>0</v>
      </c>
      <c r="I142" t="n">
        <v>1</v>
      </c>
      <c r="J142" t="n">
        <v>0</v>
      </c>
      <c r="K142" t="n">
        <v>0</v>
      </c>
      <c r="L142" t="n">
        <v>0</v>
      </c>
      <c r="M142" t="n">
        <v>0</v>
      </c>
      <c r="N142" t="n">
        <v>0</v>
      </c>
      <c r="O142" t="n">
        <v>0</v>
      </c>
      <c r="P142" t="n">
        <v>0</v>
      </c>
      <c r="Q142" t="n">
        <v>1</v>
      </c>
      <c r="R142" s="2" t="inlineStr">
        <is>
          <t>Strävlosta</t>
        </is>
      </c>
      <c r="S142">
        <f>HYPERLINK("https://klasma.github.io/Logging_0980/artfynd/A 44088-2022 artfynd.xlsx", "A 44088-2022")</f>
        <v/>
      </c>
      <c r="T142">
        <f>HYPERLINK("https://klasma.github.io/Logging_0980/kartor/A 44088-2022 karta.png", "A 44088-2022")</f>
        <v/>
      </c>
      <c r="V142">
        <f>HYPERLINK("https://klasma.github.io/Logging_0980/klagomål/A 44088-2022 FSC-klagomål.docx", "A 44088-2022")</f>
        <v/>
      </c>
      <c r="W142">
        <f>HYPERLINK("https://klasma.github.io/Logging_0980/klagomålsmail/A 44088-2022 FSC-klagomål mail.docx", "A 44088-2022")</f>
        <v/>
      </c>
      <c r="X142">
        <f>HYPERLINK("https://klasma.github.io/Logging_0980/tillsyn/A 44088-2022 tillsynsbegäran.docx", "A 44088-2022")</f>
        <v/>
      </c>
      <c r="Y142">
        <f>HYPERLINK("https://klasma.github.io/Logging_0980/tillsynsmail/A 44088-2022 tillsynsbegäran mail.docx", "A 44088-2022")</f>
        <v/>
      </c>
    </row>
    <row r="143" ht="15" customHeight="1">
      <c r="A143" t="inlineStr">
        <is>
          <t>A 10440-2024</t>
        </is>
      </c>
      <c r="B143" s="1" t="n">
        <v>45366.32818287037</v>
      </c>
      <c r="C143" s="1" t="n">
        <v>45890</v>
      </c>
      <c r="D143" t="inlineStr">
        <is>
          <t>GOTLANDS LÄN</t>
        </is>
      </c>
      <c r="E143" t="inlineStr">
        <is>
          <t>GOTLAND</t>
        </is>
      </c>
      <c r="G143" t="n">
        <v>2.5</v>
      </c>
      <c r="H143" t="n">
        <v>1</v>
      </c>
      <c r="I143" t="n">
        <v>0</v>
      </c>
      <c r="J143" t="n">
        <v>1</v>
      </c>
      <c r="K143" t="n">
        <v>0</v>
      </c>
      <c r="L143" t="n">
        <v>0</v>
      </c>
      <c r="M143" t="n">
        <v>0</v>
      </c>
      <c r="N143" t="n">
        <v>0</v>
      </c>
      <c r="O143" t="n">
        <v>1</v>
      </c>
      <c r="P143" t="n">
        <v>0</v>
      </c>
      <c r="Q143" t="n">
        <v>1</v>
      </c>
      <c r="R143" s="2" t="inlineStr">
        <is>
          <t>Mindre hackspett</t>
        </is>
      </c>
      <c r="S143">
        <f>HYPERLINK("https://klasma.github.io/Logging_0980/artfynd/A 10440-2024 artfynd.xlsx", "A 10440-2024")</f>
        <v/>
      </c>
      <c r="T143">
        <f>HYPERLINK("https://klasma.github.io/Logging_0980/kartor/A 10440-2024 karta.png", "A 10440-2024")</f>
        <v/>
      </c>
      <c r="V143">
        <f>HYPERLINK("https://klasma.github.io/Logging_0980/klagomål/A 10440-2024 FSC-klagomål.docx", "A 10440-2024")</f>
        <v/>
      </c>
      <c r="W143">
        <f>HYPERLINK("https://klasma.github.io/Logging_0980/klagomålsmail/A 10440-2024 FSC-klagomål mail.docx", "A 10440-2024")</f>
        <v/>
      </c>
      <c r="X143">
        <f>HYPERLINK("https://klasma.github.io/Logging_0980/tillsyn/A 10440-2024 tillsynsbegäran.docx", "A 10440-2024")</f>
        <v/>
      </c>
      <c r="Y143">
        <f>HYPERLINK("https://klasma.github.io/Logging_0980/tillsynsmail/A 10440-2024 tillsynsbegäran mail.docx", "A 10440-2024")</f>
        <v/>
      </c>
      <c r="Z143">
        <f>HYPERLINK("https://klasma.github.io/Logging_0980/fåglar/A 10440-2024 prioriterade fågelarter.docx", "A 10440-2024")</f>
        <v/>
      </c>
    </row>
    <row r="144" ht="15" customHeight="1">
      <c r="A144" t="inlineStr">
        <is>
          <t>A 2213-2023</t>
        </is>
      </c>
      <c r="B144" s="1" t="n">
        <v>44942</v>
      </c>
      <c r="C144" s="1" t="n">
        <v>45890</v>
      </c>
      <c r="D144" t="inlineStr">
        <is>
          <t>GOTLANDS LÄN</t>
        </is>
      </c>
      <c r="E144" t="inlineStr">
        <is>
          <t>GOTLAND</t>
        </is>
      </c>
      <c r="G144" t="n">
        <v>2.7</v>
      </c>
      <c r="H144" t="n">
        <v>0</v>
      </c>
      <c r="I144" t="n">
        <v>0</v>
      </c>
      <c r="J144" t="n">
        <v>1</v>
      </c>
      <c r="K144" t="n">
        <v>0</v>
      </c>
      <c r="L144" t="n">
        <v>0</v>
      </c>
      <c r="M144" t="n">
        <v>0</v>
      </c>
      <c r="N144" t="n">
        <v>0</v>
      </c>
      <c r="O144" t="n">
        <v>1</v>
      </c>
      <c r="P144" t="n">
        <v>0</v>
      </c>
      <c r="Q144" t="n">
        <v>1</v>
      </c>
      <c r="R144" s="2" t="inlineStr">
        <is>
          <t>Odörspindling</t>
        </is>
      </c>
      <c r="S144">
        <f>HYPERLINK("https://klasma.github.io/Logging_0980/artfynd/A 2213-2023 artfynd.xlsx", "A 2213-2023")</f>
        <v/>
      </c>
      <c r="T144">
        <f>HYPERLINK("https://klasma.github.io/Logging_0980/kartor/A 2213-2023 karta.png", "A 2213-2023")</f>
        <v/>
      </c>
      <c r="V144">
        <f>HYPERLINK("https://klasma.github.io/Logging_0980/klagomål/A 2213-2023 FSC-klagomål.docx", "A 2213-2023")</f>
        <v/>
      </c>
      <c r="W144">
        <f>HYPERLINK("https://klasma.github.io/Logging_0980/klagomålsmail/A 2213-2023 FSC-klagomål mail.docx", "A 2213-2023")</f>
        <v/>
      </c>
      <c r="X144">
        <f>HYPERLINK("https://klasma.github.io/Logging_0980/tillsyn/A 2213-2023 tillsynsbegäran.docx", "A 2213-2023")</f>
        <v/>
      </c>
      <c r="Y144">
        <f>HYPERLINK("https://klasma.github.io/Logging_0980/tillsynsmail/A 2213-2023 tillsynsbegäran mail.docx", "A 2213-2023")</f>
        <v/>
      </c>
    </row>
    <row r="145" ht="15" customHeight="1">
      <c r="A145" t="inlineStr">
        <is>
          <t>A 46527-2023</t>
        </is>
      </c>
      <c r="B145" s="1" t="n">
        <v>45197</v>
      </c>
      <c r="C145" s="1" t="n">
        <v>45890</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17723-2021</t>
        </is>
      </c>
      <c r="B146" s="1" t="n">
        <v>44300</v>
      </c>
      <c r="C146" s="1" t="n">
        <v>45890</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8725-2025</t>
        </is>
      </c>
      <c r="B147" s="1" t="n">
        <v>45712</v>
      </c>
      <c r="C147" s="1" t="n">
        <v>45890</v>
      </c>
      <c r="D147" t="inlineStr">
        <is>
          <t>GOTLANDS LÄN</t>
        </is>
      </c>
      <c r="E147" t="inlineStr">
        <is>
          <t>GOTLAND</t>
        </is>
      </c>
      <c r="G147" t="n">
        <v>4.4</v>
      </c>
      <c r="H147" t="n">
        <v>1</v>
      </c>
      <c r="I147" t="n">
        <v>0</v>
      </c>
      <c r="J147" t="n">
        <v>1</v>
      </c>
      <c r="K147" t="n">
        <v>0</v>
      </c>
      <c r="L147" t="n">
        <v>0</v>
      </c>
      <c r="M147" t="n">
        <v>0</v>
      </c>
      <c r="N147" t="n">
        <v>0</v>
      </c>
      <c r="O147" t="n">
        <v>1</v>
      </c>
      <c r="P147" t="n">
        <v>0</v>
      </c>
      <c r="Q147" t="n">
        <v>1</v>
      </c>
      <c r="R147" s="2" t="inlineStr">
        <is>
          <t>Spillkråka</t>
        </is>
      </c>
      <c r="S147">
        <f>HYPERLINK("https://klasma.github.io/Logging_0980/artfynd/A 8725-2025 artfynd.xlsx", "A 8725-2025")</f>
        <v/>
      </c>
      <c r="T147">
        <f>HYPERLINK("https://klasma.github.io/Logging_0980/kartor/A 8725-2025 karta.png", "A 8725-2025")</f>
        <v/>
      </c>
      <c r="V147">
        <f>HYPERLINK("https://klasma.github.io/Logging_0980/klagomål/A 8725-2025 FSC-klagomål.docx", "A 8725-2025")</f>
        <v/>
      </c>
      <c r="W147">
        <f>HYPERLINK("https://klasma.github.io/Logging_0980/klagomålsmail/A 8725-2025 FSC-klagomål mail.docx", "A 8725-2025")</f>
        <v/>
      </c>
      <c r="X147">
        <f>HYPERLINK("https://klasma.github.io/Logging_0980/tillsyn/A 8725-2025 tillsynsbegäran.docx", "A 8725-2025")</f>
        <v/>
      </c>
      <c r="Y147">
        <f>HYPERLINK("https://klasma.github.io/Logging_0980/tillsynsmail/A 8725-2025 tillsynsbegäran mail.docx", "A 8725-2025")</f>
        <v/>
      </c>
      <c r="Z147">
        <f>HYPERLINK("https://klasma.github.io/Logging_0980/fåglar/A 8725-2025 prioriterade fågelarter.docx", "A 8725-2025")</f>
        <v/>
      </c>
    </row>
    <row r="148" ht="15" customHeight="1">
      <c r="A148" t="inlineStr">
        <is>
          <t>A 6303-2024</t>
        </is>
      </c>
      <c r="B148" s="1" t="n">
        <v>45338.35376157407</v>
      </c>
      <c r="C148" s="1" t="n">
        <v>45890</v>
      </c>
      <c r="D148" t="inlineStr">
        <is>
          <t>GOTLANDS LÄN</t>
        </is>
      </c>
      <c r="E148" t="inlineStr">
        <is>
          <t>GOTLAND</t>
        </is>
      </c>
      <c r="G148" t="n">
        <v>0.6</v>
      </c>
      <c r="H148" t="n">
        <v>0</v>
      </c>
      <c r="I148" t="n">
        <v>1</v>
      </c>
      <c r="J148" t="n">
        <v>0</v>
      </c>
      <c r="K148" t="n">
        <v>0</v>
      </c>
      <c r="L148" t="n">
        <v>0</v>
      </c>
      <c r="M148" t="n">
        <v>0</v>
      </c>
      <c r="N148" t="n">
        <v>0</v>
      </c>
      <c r="O148" t="n">
        <v>0</v>
      </c>
      <c r="P148" t="n">
        <v>0</v>
      </c>
      <c r="Q148" t="n">
        <v>1</v>
      </c>
      <c r="R148" s="2" t="inlineStr">
        <is>
          <t>Strävlosta</t>
        </is>
      </c>
      <c r="S148">
        <f>HYPERLINK("https://klasma.github.io/Logging_0980/artfynd/A 6303-2024 artfynd.xlsx", "A 6303-2024")</f>
        <v/>
      </c>
      <c r="T148">
        <f>HYPERLINK("https://klasma.github.io/Logging_0980/kartor/A 6303-2024 karta.png", "A 6303-2024")</f>
        <v/>
      </c>
      <c r="V148">
        <f>HYPERLINK("https://klasma.github.io/Logging_0980/klagomål/A 6303-2024 FSC-klagomål.docx", "A 6303-2024")</f>
        <v/>
      </c>
      <c r="W148">
        <f>HYPERLINK("https://klasma.github.io/Logging_0980/klagomålsmail/A 6303-2024 FSC-klagomål mail.docx", "A 6303-2024")</f>
        <v/>
      </c>
      <c r="X148">
        <f>HYPERLINK("https://klasma.github.io/Logging_0980/tillsyn/A 6303-2024 tillsynsbegäran.docx", "A 6303-2024")</f>
        <v/>
      </c>
      <c r="Y148">
        <f>HYPERLINK("https://klasma.github.io/Logging_0980/tillsynsmail/A 6303-2024 tillsynsbegäran mail.docx", "A 6303-2024")</f>
        <v/>
      </c>
    </row>
    <row r="149" ht="15" customHeight="1">
      <c r="A149" t="inlineStr">
        <is>
          <t>A 62552-2022</t>
        </is>
      </c>
      <c r="B149" s="1" t="n">
        <v>44924</v>
      </c>
      <c r="C149" s="1" t="n">
        <v>45890</v>
      </c>
      <c r="D149" t="inlineStr">
        <is>
          <t>GOTLANDS LÄN</t>
        </is>
      </c>
      <c r="E149" t="inlineStr">
        <is>
          <t>GOTLAND</t>
        </is>
      </c>
      <c r="G149" t="n">
        <v>1.6</v>
      </c>
      <c r="H149" t="n">
        <v>0</v>
      </c>
      <c r="I149" t="n">
        <v>0</v>
      </c>
      <c r="J149" t="n">
        <v>1</v>
      </c>
      <c r="K149" t="n">
        <v>0</v>
      </c>
      <c r="L149" t="n">
        <v>0</v>
      </c>
      <c r="M149" t="n">
        <v>0</v>
      </c>
      <c r="N149" t="n">
        <v>0</v>
      </c>
      <c r="O149" t="n">
        <v>1</v>
      </c>
      <c r="P149" t="n">
        <v>0</v>
      </c>
      <c r="Q149" t="n">
        <v>1</v>
      </c>
      <c r="R149" s="2" t="inlineStr">
        <is>
          <t>Äggspindling</t>
        </is>
      </c>
      <c r="S149">
        <f>HYPERLINK("https://klasma.github.io/Logging_0980/artfynd/A 62552-2022 artfynd.xlsx", "A 62552-2022")</f>
        <v/>
      </c>
      <c r="T149">
        <f>HYPERLINK("https://klasma.github.io/Logging_0980/kartor/A 62552-2022 karta.png", "A 62552-2022")</f>
        <v/>
      </c>
      <c r="V149">
        <f>HYPERLINK("https://klasma.github.io/Logging_0980/klagomål/A 62552-2022 FSC-klagomål.docx", "A 62552-2022")</f>
        <v/>
      </c>
      <c r="W149">
        <f>HYPERLINK("https://klasma.github.io/Logging_0980/klagomålsmail/A 62552-2022 FSC-klagomål mail.docx", "A 62552-2022")</f>
        <v/>
      </c>
      <c r="X149">
        <f>HYPERLINK("https://klasma.github.io/Logging_0980/tillsyn/A 62552-2022 tillsynsbegäran.docx", "A 62552-2022")</f>
        <v/>
      </c>
      <c r="Y149">
        <f>HYPERLINK("https://klasma.github.io/Logging_0980/tillsynsmail/A 62552-2022 tillsynsbegäran mail.docx", "A 62552-2022")</f>
        <v/>
      </c>
    </row>
    <row r="150" ht="15" customHeight="1">
      <c r="A150" t="inlineStr">
        <is>
          <t>A 27168-2022</t>
        </is>
      </c>
      <c r="B150" s="1" t="n">
        <v>44741</v>
      </c>
      <c r="C150" s="1" t="n">
        <v>45890</v>
      </c>
      <c r="D150" t="inlineStr">
        <is>
          <t>GOTLANDS LÄN</t>
        </is>
      </c>
      <c r="E150" t="inlineStr">
        <is>
          <t>GOTLAND</t>
        </is>
      </c>
      <c r="G150" t="n">
        <v>2.2</v>
      </c>
      <c r="H150" t="n">
        <v>1</v>
      </c>
      <c r="I150" t="n">
        <v>1</v>
      </c>
      <c r="J150" t="n">
        <v>0</v>
      </c>
      <c r="K150" t="n">
        <v>0</v>
      </c>
      <c r="L150" t="n">
        <v>0</v>
      </c>
      <c r="M150" t="n">
        <v>0</v>
      </c>
      <c r="N150" t="n">
        <v>0</v>
      </c>
      <c r="O150" t="n">
        <v>0</v>
      </c>
      <c r="P150" t="n">
        <v>0</v>
      </c>
      <c r="Q150" t="n">
        <v>1</v>
      </c>
      <c r="R150" s="2" t="inlineStr">
        <is>
          <t>Purpurknipprot</t>
        </is>
      </c>
      <c r="S150">
        <f>HYPERLINK("https://klasma.github.io/Logging_0980/artfynd/A 27168-2022 artfynd.xlsx", "A 27168-2022")</f>
        <v/>
      </c>
      <c r="T150">
        <f>HYPERLINK("https://klasma.github.io/Logging_0980/kartor/A 27168-2022 karta.png", "A 27168-2022")</f>
        <v/>
      </c>
      <c r="V150">
        <f>HYPERLINK("https://klasma.github.io/Logging_0980/klagomål/A 27168-2022 FSC-klagomål.docx", "A 27168-2022")</f>
        <v/>
      </c>
      <c r="W150">
        <f>HYPERLINK("https://klasma.github.io/Logging_0980/klagomålsmail/A 27168-2022 FSC-klagomål mail.docx", "A 27168-2022")</f>
        <v/>
      </c>
      <c r="X150">
        <f>HYPERLINK("https://klasma.github.io/Logging_0980/tillsyn/A 27168-2022 tillsynsbegäran.docx", "A 27168-2022")</f>
        <v/>
      </c>
      <c r="Y150">
        <f>HYPERLINK("https://klasma.github.io/Logging_0980/tillsynsmail/A 27168-2022 tillsynsbegäran mail.docx", "A 27168-2022")</f>
        <v/>
      </c>
    </row>
    <row r="151" ht="15" customHeight="1">
      <c r="A151" t="inlineStr">
        <is>
          <t>A 26461-2025</t>
        </is>
      </c>
      <c r="B151" s="1" t="n">
        <v>45807.43337962963</v>
      </c>
      <c r="C151" s="1" t="n">
        <v>45890</v>
      </c>
      <c r="D151" t="inlineStr">
        <is>
          <t>GOTLANDS LÄN</t>
        </is>
      </c>
      <c r="E151" t="inlineStr">
        <is>
          <t>GOTLAND</t>
        </is>
      </c>
      <c r="G151" t="n">
        <v>4.1</v>
      </c>
      <c r="H151" t="n">
        <v>0</v>
      </c>
      <c r="I151" t="n">
        <v>0</v>
      </c>
      <c r="J151" t="n">
        <v>0</v>
      </c>
      <c r="K151" t="n">
        <v>1</v>
      </c>
      <c r="L151" t="n">
        <v>0</v>
      </c>
      <c r="M151" t="n">
        <v>0</v>
      </c>
      <c r="N151" t="n">
        <v>0</v>
      </c>
      <c r="O151" t="n">
        <v>1</v>
      </c>
      <c r="P151" t="n">
        <v>1</v>
      </c>
      <c r="Q151" t="n">
        <v>1</v>
      </c>
      <c r="R151" s="2" t="inlineStr">
        <is>
          <t>Gotlandsmåra</t>
        </is>
      </c>
      <c r="S151">
        <f>HYPERLINK("https://klasma.github.io/Logging_0980/artfynd/A 26461-2025 artfynd.xlsx", "A 26461-2025")</f>
        <v/>
      </c>
      <c r="T151">
        <f>HYPERLINK("https://klasma.github.io/Logging_0980/kartor/A 26461-2025 karta.png", "A 26461-2025")</f>
        <v/>
      </c>
      <c r="V151">
        <f>HYPERLINK("https://klasma.github.io/Logging_0980/klagomål/A 26461-2025 FSC-klagomål.docx", "A 26461-2025")</f>
        <v/>
      </c>
      <c r="W151">
        <f>HYPERLINK("https://klasma.github.io/Logging_0980/klagomålsmail/A 26461-2025 FSC-klagomål mail.docx", "A 26461-2025")</f>
        <v/>
      </c>
      <c r="X151">
        <f>HYPERLINK("https://klasma.github.io/Logging_0980/tillsyn/A 26461-2025 tillsynsbegäran.docx", "A 26461-2025")</f>
        <v/>
      </c>
      <c r="Y151">
        <f>HYPERLINK("https://klasma.github.io/Logging_0980/tillsynsmail/A 26461-2025 tillsynsbegäran mail.docx", "A 26461-2025")</f>
        <v/>
      </c>
    </row>
    <row r="152" ht="15" customHeight="1">
      <c r="A152" t="inlineStr">
        <is>
          <t>A 25977-2024</t>
        </is>
      </c>
      <c r="B152" s="1" t="n">
        <v>45467.69356481481</v>
      </c>
      <c r="C152" s="1" t="n">
        <v>45890</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45890</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7637-2025</t>
        </is>
      </c>
      <c r="B154" s="1" t="n">
        <v>45705.77181712963</v>
      </c>
      <c r="C154" s="1" t="n">
        <v>45890</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44468-2024</t>
        </is>
      </c>
      <c r="B155" s="1" t="n">
        <v>45574.36651620371</v>
      </c>
      <c r="C155" s="1" t="n">
        <v>45890</v>
      </c>
      <c r="D155" t="inlineStr">
        <is>
          <t>GOTLANDS LÄN</t>
        </is>
      </c>
      <c r="E155" t="inlineStr">
        <is>
          <t>GOTLAND</t>
        </is>
      </c>
      <c r="G155" t="n">
        <v>7</v>
      </c>
      <c r="H155" t="n">
        <v>0</v>
      </c>
      <c r="I155" t="n">
        <v>0</v>
      </c>
      <c r="J155" t="n">
        <v>0</v>
      </c>
      <c r="K155" t="n">
        <v>0</v>
      </c>
      <c r="L155" t="n">
        <v>0</v>
      </c>
      <c r="M155" t="n">
        <v>1</v>
      </c>
      <c r="N155" t="n">
        <v>0</v>
      </c>
      <c r="O155" t="n">
        <v>1</v>
      </c>
      <c r="P155" t="n">
        <v>1</v>
      </c>
      <c r="Q155" t="n">
        <v>1</v>
      </c>
      <c r="R155" s="2" t="inlineStr">
        <is>
          <t>Skogsalm</t>
        </is>
      </c>
      <c r="S155">
        <f>HYPERLINK("https://klasma.github.io/Logging_0980/artfynd/A 44468-2024 artfynd.xlsx", "A 44468-2024")</f>
        <v/>
      </c>
      <c r="T155">
        <f>HYPERLINK("https://klasma.github.io/Logging_0980/kartor/A 44468-2024 karta.png", "A 44468-2024")</f>
        <v/>
      </c>
      <c r="V155">
        <f>HYPERLINK("https://klasma.github.io/Logging_0980/klagomål/A 44468-2024 FSC-klagomål.docx", "A 44468-2024")</f>
        <v/>
      </c>
      <c r="W155">
        <f>HYPERLINK("https://klasma.github.io/Logging_0980/klagomålsmail/A 44468-2024 FSC-klagomål mail.docx", "A 44468-2024")</f>
        <v/>
      </c>
      <c r="X155">
        <f>HYPERLINK("https://klasma.github.io/Logging_0980/tillsyn/A 44468-2024 tillsynsbegäran.docx", "A 44468-2024")</f>
        <v/>
      </c>
      <c r="Y155">
        <f>HYPERLINK("https://klasma.github.io/Logging_0980/tillsynsmail/A 44468-2024 tillsynsbegäran mail.docx", "A 44468-2024")</f>
        <v/>
      </c>
    </row>
    <row r="156" ht="15" customHeight="1">
      <c r="A156" t="inlineStr">
        <is>
          <t>A 65927-2021</t>
        </is>
      </c>
      <c r="B156" s="1" t="n">
        <v>44516</v>
      </c>
      <c r="C156" s="1" t="n">
        <v>45890</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45890</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61796-2022</t>
        </is>
      </c>
      <c r="B158" s="1" t="n">
        <v>44917</v>
      </c>
      <c r="C158" s="1" t="n">
        <v>45890</v>
      </c>
      <c r="D158" t="inlineStr">
        <is>
          <t>GOTLANDS LÄN</t>
        </is>
      </c>
      <c r="E158" t="inlineStr">
        <is>
          <t>GOTLAND</t>
        </is>
      </c>
      <c r="G158" t="n">
        <v>1.5</v>
      </c>
      <c r="H158" t="n">
        <v>1</v>
      </c>
      <c r="I158" t="n">
        <v>0</v>
      </c>
      <c r="J158" t="n">
        <v>0</v>
      </c>
      <c r="K158" t="n">
        <v>0</v>
      </c>
      <c r="L158" t="n">
        <v>0</v>
      </c>
      <c r="M158" t="n">
        <v>0</v>
      </c>
      <c r="N158" t="n">
        <v>0</v>
      </c>
      <c r="O158" t="n">
        <v>0</v>
      </c>
      <c r="P158" t="n">
        <v>0</v>
      </c>
      <c r="Q158" t="n">
        <v>1</v>
      </c>
      <c r="R158" s="2" t="inlineStr">
        <is>
          <t>Skogsduva</t>
        </is>
      </c>
      <c r="S158">
        <f>HYPERLINK("https://klasma.github.io/Logging_0980/artfynd/A 61796-2022 artfynd.xlsx", "A 61796-2022")</f>
        <v/>
      </c>
      <c r="T158">
        <f>HYPERLINK("https://klasma.github.io/Logging_0980/kartor/A 61796-2022 karta.png", "A 61796-2022")</f>
        <v/>
      </c>
      <c r="V158">
        <f>HYPERLINK("https://klasma.github.io/Logging_0980/klagomål/A 61796-2022 FSC-klagomål.docx", "A 61796-2022")</f>
        <v/>
      </c>
      <c r="W158">
        <f>HYPERLINK("https://klasma.github.io/Logging_0980/klagomålsmail/A 61796-2022 FSC-klagomål mail.docx", "A 61796-2022")</f>
        <v/>
      </c>
      <c r="X158">
        <f>HYPERLINK("https://klasma.github.io/Logging_0980/tillsyn/A 61796-2022 tillsynsbegäran.docx", "A 61796-2022")</f>
        <v/>
      </c>
      <c r="Y158">
        <f>HYPERLINK("https://klasma.github.io/Logging_0980/tillsynsmail/A 61796-2022 tillsynsbegäran mail.docx", "A 61796-2022")</f>
        <v/>
      </c>
      <c r="Z158">
        <f>HYPERLINK("https://klasma.github.io/Logging_0980/fåglar/A 61796-2022 prioriterade fågelarter.docx", "A 61796-2022")</f>
        <v/>
      </c>
    </row>
    <row r="159" ht="15" customHeight="1">
      <c r="A159" t="inlineStr">
        <is>
          <t>A 10218-2025</t>
        </is>
      </c>
      <c r="B159" s="1" t="n">
        <v>45720</v>
      </c>
      <c r="C159" s="1" t="n">
        <v>45890</v>
      </c>
      <c r="D159" t="inlineStr">
        <is>
          <t>GOTLANDS LÄN</t>
        </is>
      </c>
      <c r="E159" t="inlineStr">
        <is>
          <t>GOTLAND</t>
        </is>
      </c>
      <c r="G159" t="n">
        <v>8.1</v>
      </c>
      <c r="H159" t="n">
        <v>0</v>
      </c>
      <c r="I159" t="n">
        <v>1</v>
      </c>
      <c r="J159" t="n">
        <v>0</v>
      </c>
      <c r="K159" t="n">
        <v>0</v>
      </c>
      <c r="L159" t="n">
        <v>0</v>
      </c>
      <c r="M159" t="n">
        <v>0</v>
      </c>
      <c r="N159" t="n">
        <v>0</v>
      </c>
      <c r="O159" t="n">
        <v>0</v>
      </c>
      <c r="P159" t="n">
        <v>0</v>
      </c>
      <c r="Q159" t="n">
        <v>1</v>
      </c>
      <c r="R159" s="2" t="inlineStr">
        <is>
          <t>Kalktallört</t>
        </is>
      </c>
      <c r="S159">
        <f>HYPERLINK("https://klasma.github.io/Logging_0980/artfynd/A 10218-2025 artfynd.xlsx", "A 10218-2025")</f>
        <v/>
      </c>
      <c r="T159">
        <f>HYPERLINK("https://klasma.github.io/Logging_0980/kartor/A 10218-2025 karta.png", "A 10218-2025")</f>
        <v/>
      </c>
      <c r="V159">
        <f>HYPERLINK("https://klasma.github.io/Logging_0980/klagomål/A 10218-2025 FSC-klagomål.docx", "A 10218-2025")</f>
        <v/>
      </c>
      <c r="W159">
        <f>HYPERLINK("https://klasma.github.io/Logging_0980/klagomålsmail/A 10218-2025 FSC-klagomål mail.docx", "A 10218-2025")</f>
        <v/>
      </c>
      <c r="X159">
        <f>HYPERLINK("https://klasma.github.io/Logging_0980/tillsyn/A 10218-2025 tillsynsbegäran.docx", "A 10218-2025")</f>
        <v/>
      </c>
      <c r="Y159">
        <f>HYPERLINK("https://klasma.github.io/Logging_0980/tillsynsmail/A 10218-2025 tillsynsbegäran mail.docx", "A 10218-2025")</f>
        <v/>
      </c>
    </row>
    <row r="160" ht="15" customHeight="1">
      <c r="A160" t="inlineStr">
        <is>
          <t>A 12379-2024</t>
        </is>
      </c>
      <c r="B160" s="1" t="n">
        <v>45379.28155092592</v>
      </c>
      <c r="C160" s="1" t="n">
        <v>45890</v>
      </c>
      <c r="D160" t="inlineStr">
        <is>
          <t>GOTLANDS LÄN</t>
        </is>
      </c>
      <c r="E160" t="inlineStr">
        <is>
          <t>GOTLAND</t>
        </is>
      </c>
      <c r="G160" t="n">
        <v>4.4</v>
      </c>
      <c r="H160" t="n">
        <v>0</v>
      </c>
      <c r="I160" t="n">
        <v>0</v>
      </c>
      <c r="J160" t="n">
        <v>1</v>
      </c>
      <c r="K160" t="n">
        <v>0</v>
      </c>
      <c r="L160" t="n">
        <v>0</v>
      </c>
      <c r="M160" t="n">
        <v>0</v>
      </c>
      <c r="N160" t="n">
        <v>0</v>
      </c>
      <c r="O160" t="n">
        <v>1</v>
      </c>
      <c r="P160" t="n">
        <v>0</v>
      </c>
      <c r="Q160" t="n">
        <v>1</v>
      </c>
      <c r="R160" s="2" t="inlineStr">
        <is>
          <t>Svinrot</t>
        </is>
      </c>
      <c r="S160">
        <f>HYPERLINK("https://klasma.github.io/Logging_0980/artfynd/A 12379-2024 artfynd.xlsx", "A 12379-2024")</f>
        <v/>
      </c>
      <c r="T160">
        <f>HYPERLINK("https://klasma.github.io/Logging_0980/kartor/A 12379-2024 karta.png", "A 12379-2024")</f>
        <v/>
      </c>
      <c r="V160">
        <f>HYPERLINK("https://klasma.github.io/Logging_0980/klagomål/A 12379-2024 FSC-klagomål.docx", "A 12379-2024")</f>
        <v/>
      </c>
      <c r="W160">
        <f>HYPERLINK("https://klasma.github.io/Logging_0980/klagomålsmail/A 12379-2024 FSC-klagomål mail.docx", "A 12379-2024")</f>
        <v/>
      </c>
      <c r="X160">
        <f>HYPERLINK("https://klasma.github.io/Logging_0980/tillsyn/A 12379-2024 tillsynsbegäran.docx", "A 12379-2024")</f>
        <v/>
      </c>
      <c r="Y160">
        <f>HYPERLINK("https://klasma.github.io/Logging_0980/tillsynsmail/A 12379-2024 tillsynsbegäran mail.docx", "A 12379-2024")</f>
        <v/>
      </c>
    </row>
    <row r="161" ht="15" customHeight="1">
      <c r="A161" t="inlineStr">
        <is>
          <t>A 64700-2021</t>
        </is>
      </c>
      <c r="B161" s="1" t="n">
        <v>44511</v>
      </c>
      <c r="C161" s="1" t="n">
        <v>45890</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61561-2023</t>
        </is>
      </c>
      <c r="B162" s="1" t="n">
        <v>45265</v>
      </c>
      <c r="C162" s="1" t="n">
        <v>45890</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35574-2024</t>
        </is>
      </c>
      <c r="B163" s="1" t="n">
        <v>45531</v>
      </c>
      <c r="C163" s="1" t="n">
        <v>45890</v>
      </c>
      <c r="D163" t="inlineStr">
        <is>
          <t>GOTLANDS LÄN</t>
        </is>
      </c>
      <c r="E163" t="inlineStr">
        <is>
          <t>GOTLAND</t>
        </is>
      </c>
      <c r="G163" t="n">
        <v>5.7</v>
      </c>
      <c r="H163" t="n">
        <v>0</v>
      </c>
      <c r="I163" t="n">
        <v>1</v>
      </c>
      <c r="J163" t="n">
        <v>0</v>
      </c>
      <c r="K163" t="n">
        <v>0</v>
      </c>
      <c r="L163" t="n">
        <v>0</v>
      </c>
      <c r="M163" t="n">
        <v>0</v>
      </c>
      <c r="N163" t="n">
        <v>0</v>
      </c>
      <c r="O163" t="n">
        <v>0</v>
      </c>
      <c r="P163" t="n">
        <v>0</v>
      </c>
      <c r="Q163" t="n">
        <v>1</v>
      </c>
      <c r="R163" s="2" t="inlineStr">
        <is>
          <t>Murgröna</t>
        </is>
      </c>
      <c r="S163">
        <f>HYPERLINK("https://klasma.github.io/Logging_0980/artfynd/A 35574-2024 artfynd.xlsx", "A 35574-2024")</f>
        <v/>
      </c>
      <c r="T163">
        <f>HYPERLINK("https://klasma.github.io/Logging_0980/kartor/A 35574-2024 karta.png", "A 35574-2024")</f>
        <v/>
      </c>
      <c r="V163">
        <f>HYPERLINK("https://klasma.github.io/Logging_0980/klagomål/A 35574-2024 FSC-klagomål.docx", "A 35574-2024")</f>
        <v/>
      </c>
      <c r="W163">
        <f>HYPERLINK("https://klasma.github.io/Logging_0980/klagomålsmail/A 35574-2024 FSC-klagomål mail.docx", "A 35574-2024")</f>
        <v/>
      </c>
      <c r="X163">
        <f>HYPERLINK("https://klasma.github.io/Logging_0980/tillsyn/A 35574-2024 tillsynsbegäran.docx", "A 35574-2024")</f>
        <v/>
      </c>
      <c r="Y163">
        <f>HYPERLINK("https://klasma.github.io/Logging_0980/tillsynsmail/A 35574-2024 tillsynsbegäran mail.docx", "A 35574-2024")</f>
        <v/>
      </c>
    </row>
    <row r="164" ht="15" customHeight="1">
      <c r="A164" t="inlineStr">
        <is>
          <t>A 15637-2024</t>
        </is>
      </c>
      <c r="B164" s="1" t="n">
        <v>45403.6684837963</v>
      </c>
      <c r="C164" s="1" t="n">
        <v>45890</v>
      </c>
      <c r="D164" t="inlineStr">
        <is>
          <t>GOTLANDS LÄN</t>
        </is>
      </c>
      <c r="E164" t="inlineStr">
        <is>
          <t>GOTLAND</t>
        </is>
      </c>
      <c r="G164" t="n">
        <v>4.1</v>
      </c>
      <c r="H164" t="n">
        <v>1</v>
      </c>
      <c r="I164" t="n">
        <v>0</v>
      </c>
      <c r="J164" t="n">
        <v>0</v>
      </c>
      <c r="K164" t="n">
        <v>0</v>
      </c>
      <c r="L164" t="n">
        <v>0</v>
      </c>
      <c r="M164" t="n">
        <v>0</v>
      </c>
      <c r="N164" t="n">
        <v>0</v>
      </c>
      <c r="O164" t="n">
        <v>0</v>
      </c>
      <c r="P164" t="n">
        <v>0</v>
      </c>
      <c r="Q164" t="n">
        <v>1</v>
      </c>
      <c r="R164" s="2" t="inlineStr">
        <is>
          <t>Blåsippa</t>
        </is>
      </c>
      <c r="S164">
        <f>HYPERLINK("https://klasma.github.io/Logging_0980/artfynd/A 15637-2024 artfynd.xlsx", "A 15637-2024")</f>
        <v/>
      </c>
      <c r="T164">
        <f>HYPERLINK("https://klasma.github.io/Logging_0980/kartor/A 15637-2024 karta.png", "A 15637-2024")</f>
        <v/>
      </c>
      <c r="V164">
        <f>HYPERLINK("https://klasma.github.io/Logging_0980/klagomål/A 15637-2024 FSC-klagomål.docx", "A 15637-2024")</f>
        <v/>
      </c>
      <c r="W164">
        <f>HYPERLINK("https://klasma.github.io/Logging_0980/klagomålsmail/A 15637-2024 FSC-klagomål mail.docx", "A 15637-2024")</f>
        <v/>
      </c>
      <c r="X164">
        <f>HYPERLINK("https://klasma.github.io/Logging_0980/tillsyn/A 15637-2024 tillsynsbegäran.docx", "A 15637-2024")</f>
        <v/>
      </c>
      <c r="Y164">
        <f>HYPERLINK("https://klasma.github.io/Logging_0980/tillsynsmail/A 15637-2024 tillsynsbegäran mail.docx", "A 15637-2024")</f>
        <v/>
      </c>
    </row>
    <row r="165" ht="15" customHeight="1">
      <c r="A165" t="inlineStr">
        <is>
          <t>A 9862-2024</t>
        </is>
      </c>
      <c r="B165" s="1" t="n">
        <v>45363</v>
      </c>
      <c r="C165" s="1" t="n">
        <v>45890</v>
      </c>
      <c r="D165" t="inlineStr">
        <is>
          <t>GOTLANDS LÄN</t>
        </is>
      </c>
      <c r="E165" t="inlineStr">
        <is>
          <t>GOTLAND</t>
        </is>
      </c>
      <c r="G165" t="n">
        <v>3.5</v>
      </c>
      <c r="H165" t="n">
        <v>1</v>
      </c>
      <c r="I165" t="n">
        <v>0</v>
      </c>
      <c r="J165" t="n">
        <v>0</v>
      </c>
      <c r="K165" t="n">
        <v>0</v>
      </c>
      <c r="L165" t="n">
        <v>0</v>
      </c>
      <c r="M165" t="n">
        <v>0</v>
      </c>
      <c r="N165" t="n">
        <v>0</v>
      </c>
      <c r="O165" t="n">
        <v>0</v>
      </c>
      <c r="P165" t="n">
        <v>0</v>
      </c>
      <c r="Q165" t="n">
        <v>1</v>
      </c>
      <c r="R165" s="2" t="inlineStr">
        <is>
          <t>Nattviol</t>
        </is>
      </c>
      <c r="S165">
        <f>HYPERLINK("https://klasma.github.io/Logging_0980/artfynd/A 9862-2024 artfynd.xlsx", "A 9862-2024")</f>
        <v/>
      </c>
      <c r="T165">
        <f>HYPERLINK("https://klasma.github.io/Logging_0980/kartor/A 9862-2024 karta.png", "A 9862-2024")</f>
        <v/>
      </c>
      <c r="V165">
        <f>HYPERLINK("https://klasma.github.io/Logging_0980/klagomål/A 9862-2024 FSC-klagomål.docx", "A 9862-2024")</f>
        <v/>
      </c>
      <c r="W165">
        <f>HYPERLINK("https://klasma.github.io/Logging_0980/klagomålsmail/A 9862-2024 FSC-klagomål mail.docx", "A 9862-2024")</f>
        <v/>
      </c>
      <c r="X165">
        <f>HYPERLINK("https://klasma.github.io/Logging_0980/tillsyn/A 9862-2024 tillsynsbegäran.docx", "A 9862-2024")</f>
        <v/>
      </c>
      <c r="Y165">
        <f>HYPERLINK("https://klasma.github.io/Logging_0980/tillsynsmail/A 9862-2024 tillsynsbegäran mail.docx", "A 9862-2024")</f>
        <v/>
      </c>
    </row>
    <row r="166" ht="15" customHeight="1">
      <c r="A166" t="inlineStr">
        <is>
          <t>A 34141-2024</t>
        </is>
      </c>
      <c r="B166" s="1" t="n">
        <v>45524.36229166666</v>
      </c>
      <c r="C166" s="1" t="n">
        <v>45890</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43219-2023</t>
        </is>
      </c>
      <c r="B167" s="1" t="n">
        <v>45183</v>
      </c>
      <c r="C167" s="1" t="n">
        <v>45890</v>
      </c>
      <c r="D167" t="inlineStr">
        <is>
          <t>GOTLANDS LÄN</t>
        </is>
      </c>
      <c r="E167" t="inlineStr">
        <is>
          <t>GOTLAND</t>
        </is>
      </c>
      <c r="G167" t="n">
        <v>3.6</v>
      </c>
      <c r="H167" t="n">
        <v>1</v>
      </c>
      <c r="I167" t="n">
        <v>0</v>
      </c>
      <c r="J167" t="n">
        <v>0</v>
      </c>
      <c r="K167" t="n">
        <v>0</v>
      </c>
      <c r="L167" t="n">
        <v>0</v>
      </c>
      <c r="M167" t="n">
        <v>0</v>
      </c>
      <c r="N167" t="n">
        <v>0</v>
      </c>
      <c r="O167" t="n">
        <v>0</v>
      </c>
      <c r="P167" t="n">
        <v>0</v>
      </c>
      <c r="Q167" t="n">
        <v>1</v>
      </c>
      <c r="R167" s="2" t="inlineStr">
        <is>
          <t>Skogsduva</t>
        </is>
      </c>
      <c r="S167">
        <f>HYPERLINK("https://klasma.github.io/Logging_0980/artfynd/A 43219-2023 artfynd.xlsx", "A 43219-2023")</f>
        <v/>
      </c>
      <c r="T167">
        <f>HYPERLINK("https://klasma.github.io/Logging_0980/kartor/A 43219-2023 karta.png", "A 43219-2023")</f>
        <v/>
      </c>
      <c r="V167">
        <f>HYPERLINK("https://klasma.github.io/Logging_0980/klagomål/A 43219-2023 FSC-klagomål.docx", "A 43219-2023")</f>
        <v/>
      </c>
      <c r="W167">
        <f>HYPERLINK("https://klasma.github.io/Logging_0980/klagomålsmail/A 43219-2023 FSC-klagomål mail.docx", "A 43219-2023")</f>
        <v/>
      </c>
      <c r="X167">
        <f>HYPERLINK("https://klasma.github.io/Logging_0980/tillsyn/A 43219-2023 tillsynsbegäran.docx", "A 43219-2023")</f>
        <v/>
      </c>
      <c r="Y167">
        <f>HYPERLINK("https://klasma.github.io/Logging_0980/tillsynsmail/A 43219-2023 tillsynsbegäran mail.docx", "A 43219-2023")</f>
        <v/>
      </c>
      <c r="Z167">
        <f>HYPERLINK("https://klasma.github.io/Logging_0980/fåglar/A 43219-2023 prioriterade fågelarter.docx", "A 43219-2023")</f>
        <v/>
      </c>
    </row>
    <row r="168" ht="15" customHeight="1">
      <c r="A168" t="inlineStr">
        <is>
          <t>A 12324-2025</t>
        </is>
      </c>
      <c r="B168" s="1" t="n">
        <v>45730</v>
      </c>
      <c r="C168" s="1" t="n">
        <v>45890</v>
      </c>
      <c r="D168" t="inlineStr">
        <is>
          <t>GOTLANDS LÄN</t>
        </is>
      </c>
      <c r="E168" t="inlineStr">
        <is>
          <t>GOTLAND</t>
        </is>
      </c>
      <c r="G168" t="n">
        <v>5</v>
      </c>
      <c r="H168" t="n">
        <v>0</v>
      </c>
      <c r="I168" t="n">
        <v>0</v>
      </c>
      <c r="J168" t="n">
        <v>0</v>
      </c>
      <c r="K168" t="n">
        <v>1</v>
      </c>
      <c r="L168" t="n">
        <v>0</v>
      </c>
      <c r="M168" t="n">
        <v>0</v>
      </c>
      <c r="N168" t="n">
        <v>0</v>
      </c>
      <c r="O168" t="n">
        <v>1</v>
      </c>
      <c r="P168" t="n">
        <v>1</v>
      </c>
      <c r="Q168" t="n">
        <v>1</v>
      </c>
      <c r="R168" s="2" t="inlineStr">
        <is>
          <t>Sommarklynne</t>
        </is>
      </c>
      <c r="S168">
        <f>HYPERLINK("https://klasma.github.io/Logging_0980/artfynd/A 12324-2025 artfynd.xlsx", "A 12324-2025")</f>
        <v/>
      </c>
      <c r="T168">
        <f>HYPERLINK("https://klasma.github.io/Logging_0980/kartor/A 12324-2025 karta.png", "A 12324-2025")</f>
        <v/>
      </c>
      <c r="V168">
        <f>HYPERLINK("https://klasma.github.io/Logging_0980/klagomål/A 12324-2025 FSC-klagomål.docx", "A 12324-2025")</f>
        <v/>
      </c>
      <c r="W168">
        <f>HYPERLINK("https://klasma.github.io/Logging_0980/klagomålsmail/A 12324-2025 FSC-klagomål mail.docx", "A 12324-2025")</f>
        <v/>
      </c>
      <c r="X168">
        <f>HYPERLINK("https://klasma.github.io/Logging_0980/tillsyn/A 12324-2025 tillsynsbegäran.docx", "A 12324-2025")</f>
        <v/>
      </c>
      <c r="Y168">
        <f>HYPERLINK("https://klasma.github.io/Logging_0980/tillsynsmail/A 12324-2025 tillsynsbegäran mail.docx", "A 12324-2025")</f>
        <v/>
      </c>
    </row>
    <row r="169" ht="15" customHeight="1">
      <c r="A169" t="inlineStr">
        <is>
          <t>A 63299-2020</t>
        </is>
      </c>
      <c r="B169" s="1" t="n">
        <v>44165</v>
      </c>
      <c r="C169" s="1" t="n">
        <v>45890</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44958-2020</t>
        </is>
      </c>
      <c r="B170" s="1" t="n">
        <v>44088</v>
      </c>
      <c r="C170" s="1" t="n">
        <v>45890</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49847-2023</t>
        </is>
      </c>
      <c r="B171" s="1" t="n">
        <v>45212</v>
      </c>
      <c r="C171" s="1" t="n">
        <v>45890</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19901-2021</t>
        </is>
      </c>
      <c r="B172" s="1" t="n">
        <v>44312</v>
      </c>
      <c r="C172" s="1" t="n">
        <v>45890</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45890</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45890</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45890</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45890</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45890</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45890</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45890</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45890</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26857-2021</t>
        </is>
      </c>
      <c r="B181" s="1" t="n">
        <v>44349.60091435185</v>
      </c>
      <c r="C181" s="1" t="n">
        <v>45890</v>
      </c>
      <c r="D181" t="inlineStr">
        <is>
          <t>GOTLANDS LÄN</t>
        </is>
      </c>
      <c r="E181" t="inlineStr">
        <is>
          <t>GOTLAND</t>
        </is>
      </c>
      <c r="G181" t="n">
        <v>1.9</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45890</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45890</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45890</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45890</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45890</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45890</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45890</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45890</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45890</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45890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45890</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45890</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45890</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45890</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45890</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45890</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45890</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39477-2020</t>
        </is>
      </c>
      <c r="B199" s="1" t="n">
        <v>44064.44814814815</v>
      </c>
      <c r="C199" s="1" t="n">
        <v>45890</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45890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45890</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45890</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45890</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45890</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45890</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45890</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45890</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45890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45890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45890</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45890</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45890</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45890</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45890</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45890</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58224-2021</t>
        </is>
      </c>
      <c r="B216" s="1" t="n">
        <v>44487</v>
      </c>
      <c r="C216" s="1" t="n">
        <v>45890</v>
      </c>
      <c r="D216" t="inlineStr">
        <is>
          <t>GOTLANDS LÄN</t>
        </is>
      </c>
      <c r="E216" t="inlineStr">
        <is>
          <t>GOTLAND</t>
        </is>
      </c>
      <c r="G216" t="n">
        <v>1.4</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45890</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45890</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45890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45890</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1229-2021</t>
        </is>
      </c>
      <c r="B221" s="1" t="n">
        <v>44208</v>
      </c>
      <c r="C221" s="1" t="n">
        <v>45890</v>
      </c>
      <c r="D221" t="inlineStr">
        <is>
          <t>GOTLANDS LÄN</t>
        </is>
      </c>
      <c r="E221" t="inlineStr">
        <is>
          <t>GOTLAND</t>
        </is>
      </c>
      <c r="G221" t="n">
        <v>5.3</v>
      </c>
      <c r="H221" t="n">
        <v>0</v>
      </c>
      <c r="I221" t="n">
        <v>0</v>
      </c>
      <c r="J221" t="n">
        <v>0</v>
      </c>
      <c r="K221" t="n">
        <v>0</v>
      </c>
      <c r="L221" t="n">
        <v>0</v>
      </c>
      <c r="M221" t="n">
        <v>0</v>
      </c>
      <c r="N221" t="n">
        <v>0</v>
      </c>
      <c r="O221" t="n">
        <v>0</v>
      </c>
      <c r="P221" t="n">
        <v>0</v>
      </c>
      <c r="Q221" t="n">
        <v>0</v>
      </c>
      <c r="R221" s="2" t="inlineStr"/>
    </row>
    <row r="222" ht="15" customHeight="1">
      <c r="A222" t="inlineStr">
        <is>
          <t>A 62120-2020</t>
        </is>
      </c>
      <c r="B222" s="1" t="n">
        <v>44158</v>
      </c>
      <c r="C222" s="1" t="n">
        <v>45890</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45890</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45890</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45890</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45890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45890</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45890</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45890</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45890</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45890</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45890</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45890</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53641-2020</t>
        </is>
      </c>
      <c r="B234" s="1" t="n">
        <v>44124</v>
      </c>
      <c r="C234" s="1" t="n">
        <v>45890</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17901-2023</t>
        </is>
      </c>
      <c r="B235" s="1" t="n">
        <v>45039</v>
      </c>
      <c r="C235" s="1" t="n">
        <v>45890</v>
      </c>
      <c r="D235" t="inlineStr">
        <is>
          <t>GOTLANDS LÄN</t>
        </is>
      </c>
      <c r="E235" t="inlineStr">
        <is>
          <t>GOTLAND</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999-2023</t>
        </is>
      </c>
      <c r="B236" s="1" t="n">
        <v>44935</v>
      </c>
      <c r="C236" s="1" t="n">
        <v>45890</v>
      </c>
      <c r="D236" t="inlineStr">
        <is>
          <t>GOTLANDS LÄN</t>
        </is>
      </c>
      <c r="E236" t="inlineStr">
        <is>
          <t>GOTLAND</t>
        </is>
      </c>
      <c r="G236" t="n">
        <v>4.7</v>
      </c>
      <c r="H236" t="n">
        <v>0</v>
      </c>
      <c r="I236" t="n">
        <v>0</v>
      </c>
      <c r="J236" t="n">
        <v>0</v>
      </c>
      <c r="K236" t="n">
        <v>0</v>
      </c>
      <c r="L236" t="n">
        <v>0</v>
      </c>
      <c r="M236" t="n">
        <v>0</v>
      </c>
      <c r="N236" t="n">
        <v>0</v>
      </c>
      <c r="O236" t="n">
        <v>0</v>
      </c>
      <c r="P236" t="n">
        <v>0</v>
      </c>
      <c r="Q236" t="n">
        <v>0</v>
      </c>
      <c r="R236" s="2" t="inlineStr"/>
    </row>
    <row r="237" ht="15" customHeight="1">
      <c r="A237" t="inlineStr">
        <is>
          <t>A 456-2023</t>
        </is>
      </c>
      <c r="B237" s="1" t="n">
        <v>44929.87122685185</v>
      </c>
      <c r="C237" s="1" t="n">
        <v>45890</v>
      </c>
      <c r="D237" t="inlineStr">
        <is>
          <t>GOTLANDS LÄN</t>
        </is>
      </c>
      <c r="E237" t="inlineStr">
        <is>
          <t>GOTLAND</t>
        </is>
      </c>
      <c r="G237" t="n">
        <v>3.2</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45890</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1364-2025</t>
        </is>
      </c>
      <c r="B239" s="1" t="n">
        <v>45667.63929398148</v>
      </c>
      <c r="C239" s="1" t="n">
        <v>45890</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2125-2025</t>
        </is>
      </c>
      <c r="B240" s="1" t="n">
        <v>45672.64940972222</v>
      </c>
      <c r="C240" s="1" t="n">
        <v>45890</v>
      </c>
      <c r="D240" t="inlineStr">
        <is>
          <t>GOTLANDS LÄN</t>
        </is>
      </c>
      <c r="E240" t="inlineStr">
        <is>
          <t>GOTLAND</t>
        </is>
      </c>
      <c r="G240" t="n">
        <v>2.3</v>
      </c>
      <c r="H240" t="n">
        <v>0</v>
      </c>
      <c r="I240" t="n">
        <v>0</v>
      </c>
      <c r="J240" t="n">
        <v>0</v>
      </c>
      <c r="K240" t="n">
        <v>0</v>
      </c>
      <c r="L240" t="n">
        <v>0</v>
      </c>
      <c r="M240" t="n">
        <v>0</v>
      </c>
      <c r="N240" t="n">
        <v>0</v>
      </c>
      <c r="O240" t="n">
        <v>0</v>
      </c>
      <c r="P240" t="n">
        <v>0</v>
      </c>
      <c r="Q240" t="n">
        <v>0</v>
      </c>
      <c r="R240" s="2" t="inlineStr"/>
    </row>
    <row r="241" ht="15" customHeight="1">
      <c r="A241" t="inlineStr">
        <is>
          <t>A 8684-2025</t>
        </is>
      </c>
      <c r="B241" s="1" t="n">
        <v>45712.45605324074</v>
      </c>
      <c r="C241" s="1" t="n">
        <v>45890</v>
      </c>
      <c r="D241" t="inlineStr">
        <is>
          <t>GOTLANDS LÄN</t>
        </is>
      </c>
      <c r="E241" t="inlineStr">
        <is>
          <t>GOTLAND</t>
        </is>
      </c>
      <c r="G241" t="n">
        <v>3.5</v>
      </c>
      <c r="H241" t="n">
        <v>0</v>
      </c>
      <c r="I241" t="n">
        <v>0</v>
      </c>
      <c r="J241" t="n">
        <v>0</v>
      </c>
      <c r="K241" t="n">
        <v>0</v>
      </c>
      <c r="L241" t="n">
        <v>0</v>
      </c>
      <c r="M241" t="n">
        <v>0</v>
      </c>
      <c r="N241" t="n">
        <v>0</v>
      </c>
      <c r="O241" t="n">
        <v>0</v>
      </c>
      <c r="P241" t="n">
        <v>0</v>
      </c>
      <c r="Q241" t="n">
        <v>0</v>
      </c>
      <c r="R241" s="2" t="inlineStr"/>
    </row>
    <row r="242" ht="15" customHeight="1">
      <c r="A242" t="inlineStr">
        <is>
          <t>A 37037-2021</t>
        </is>
      </c>
      <c r="B242" s="1" t="n">
        <v>44393.84688657407</v>
      </c>
      <c r="C242" s="1" t="n">
        <v>45890</v>
      </c>
      <c r="D242" t="inlineStr">
        <is>
          <t>GOTLANDS LÄN</t>
        </is>
      </c>
      <c r="E242" t="inlineStr">
        <is>
          <t>GOTLAND</t>
        </is>
      </c>
      <c r="G242" t="n">
        <v>10.2</v>
      </c>
      <c r="H242" t="n">
        <v>0</v>
      </c>
      <c r="I242" t="n">
        <v>0</v>
      </c>
      <c r="J242" t="n">
        <v>0</v>
      </c>
      <c r="K242" t="n">
        <v>0</v>
      </c>
      <c r="L242" t="n">
        <v>0</v>
      </c>
      <c r="M242" t="n">
        <v>0</v>
      </c>
      <c r="N242" t="n">
        <v>0</v>
      </c>
      <c r="O242" t="n">
        <v>0</v>
      </c>
      <c r="P242" t="n">
        <v>0</v>
      </c>
      <c r="Q242" t="n">
        <v>0</v>
      </c>
      <c r="R242" s="2" t="inlineStr"/>
    </row>
    <row r="243" ht="15" customHeight="1">
      <c r="A243" t="inlineStr">
        <is>
          <t>A 14427-2024</t>
        </is>
      </c>
      <c r="B243" s="1" t="n">
        <v>45394</v>
      </c>
      <c r="C243" s="1" t="n">
        <v>45890</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6153-2024</t>
        </is>
      </c>
      <c r="B244" s="1" t="n">
        <v>45337</v>
      </c>
      <c r="C244" s="1" t="n">
        <v>45890</v>
      </c>
      <c r="D244" t="inlineStr">
        <is>
          <t>GOTLANDS LÄN</t>
        </is>
      </c>
      <c r="E244" t="inlineStr">
        <is>
          <t>GOTLAND</t>
        </is>
      </c>
      <c r="G244" t="n">
        <v>14.2</v>
      </c>
      <c r="H244" t="n">
        <v>0</v>
      </c>
      <c r="I244" t="n">
        <v>0</v>
      </c>
      <c r="J244" t="n">
        <v>0</v>
      </c>
      <c r="K244" t="n">
        <v>0</v>
      </c>
      <c r="L244" t="n">
        <v>0</v>
      </c>
      <c r="M244" t="n">
        <v>0</v>
      </c>
      <c r="N244" t="n">
        <v>0</v>
      </c>
      <c r="O244" t="n">
        <v>0</v>
      </c>
      <c r="P244" t="n">
        <v>0</v>
      </c>
      <c r="Q244" t="n">
        <v>0</v>
      </c>
      <c r="R244" s="2" t="inlineStr"/>
    </row>
    <row r="245" ht="15" customHeight="1">
      <c r="A245" t="inlineStr">
        <is>
          <t>A 14141-2024</t>
        </is>
      </c>
      <c r="B245" s="1" t="n">
        <v>45392.85193287037</v>
      </c>
      <c r="C245" s="1" t="n">
        <v>45890</v>
      </c>
      <c r="D245" t="inlineStr">
        <is>
          <t>GOTLANDS LÄN</t>
        </is>
      </c>
      <c r="E245" t="inlineStr">
        <is>
          <t>GOTLAND</t>
        </is>
      </c>
      <c r="G245" t="n">
        <v>5.3</v>
      </c>
      <c r="H245" t="n">
        <v>0</v>
      </c>
      <c r="I245" t="n">
        <v>0</v>
      </c>
      <c r="J245" t="n">
        <v>0</v>
      </c>
      <c r="K245" t="n">
        <v>0</v>
      </c>
      <c r="L245" t="n">
        <v>0</v>
      </c>
      <c r="M245" t="n">
        <v>0</v>
      </c>
      <c r="N245" t="n">
        <v>0</v>
      </c>
      <c r="O245" t="n">
        <v>0</v>
      </c>
      <c r="P245" t="n">
        <v>0</v>
      </c>
      <c r="Q245" t="n">
        <v>0</v>
      </c>
      <c r="R245" s="2" t="inlineStr"/>
    </row>
    <row r="246" ht="15" customHeight="1">
      <c r="A246" t="inlineStr">
        <is>
          <t>A 12155-2023</t>
        </is>
      </c>
      <c r="B246" s="1" t="n">
        <v>44998.49106481481</v>
      </c>
      <c r="C246" s="1" t="n">
        <v>45890</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2774-2024</t>
        </is>
      </c>
      <c r="B247" s="1" t="n">
        <v>45314.62375</v>
      </c>
      <c r="C247" s="1" t="n">
        <v>45890</v>
      </c>
      <c r="D247" t="inlineStr">
        <is>
          <t>GOTLANDS LÄN</t>
        </is>
      </c>
      <c r="E247" t="inlineStr">
        <is>
          <t>GOTLAND</t>
        </is>
      </c>
      <c r="G247" t="n">
        <v>1</v>
      </c>
      <c r="H247" t="n">
        <v>0</v>
      </c>
      <c r="I247" t="n">
        <v>0</v>
      </c>
      <c r="J247" t="n">
        <v>0</v>
      </c>
      <c r="K247" t="n">
        <v>0</v>
      </c>
      <c r="L247" t="n">
        <v>0</v>
      </c>
      <c r="M247" t="n">
        <v>0</v>
      </c>
      <c r="N247" t="n">
        <v>0</v>
      </c>
      <c r="O247" t="n">
        <v>0</v>
      </c>
      <c r="P247" t="n">
        <v>0</v>
      </c>
      <c r="Q247" t="n">
        <v>0</v>
      </c>
      <c r="R247" s="2" t="inlineStr"/>
    </row>
    <row r="248" ht="15" customHeight="1">
      <c r="A248" t="inlineStr">
        <is>
          <t>A 18742-2025</t>
        </is>
      </c>
      <c r="B248" s="1" t="n">
        <v>45763</v>
      </c>
      <c r="C248" s="1" t="n">
        <v>45890</v>
      </c>
      <c r="D248" t="inlineStr">
        <is>
          <t>GOTLANDS LÄN</t>
        </is>
      </c>
      <c r="E248" t="inlineStr">
        <is>
          <t>GOTLAND</t>
        </is>
      </c>
      <c r="G248" t="n">
        <v>3.4</v>
      </c>
      <c r="H248" t="n">
        <v>0</v>
      </c>
      <c r="I248" t="n">
        <v>0</v>
      </c>
      <c r="J248" t="n">
        <v>0</v>
      </c>
      <c r="K248" t="n">
        <v>0</v>
      </c>
      <c r="L248" t="n">
        <v>0</v>
      </c>
      <c r="M248" t="n">
        <v>0</v>
      </c>
      <c r="N248" t="n">
        <v>0</v>
      </c>
      <c r="O248" t="n">
        <v>0</v>
      </c>
      <c r="P248" t="n">
        <v>0</v>
      </c>
      <c r="Q248" t="n">
        <v>0</v>
      </c>
      <c r="R248" s="2" t="inlineStr"/>
    </row>
    <row r="249" ht="15" customHeight="1">
      <c r="A249" t="inlineStr">
        <is>
          <t>A 58476-2022</t>
        </is>
      </c>
      <c r="B249" s="1" t="n">
        <v>44902</v>
      </c>
      <c r="C249" s="1" t="n">
        <v>45890</v>
      </c>
      <c r="D249" t="inlineStr">
        <is>
          <t>GOTLANDS LÄN</t>
        </is>
      </c>
      <c r="E249" t="inlineStr">
        <is>
          <t>GOTLAND</t>
        </is>
      </c>
      <c r="G249" t="n">
        <v>0.9</v>
      </c>
      <c r="H249" t="n">
        <v>0</v>
      </c>
      <c r="I249" t="n">
        <v>0</v>
      </c>
      <c r="J249" t="n">
        <v>0</v>
      </c>
      <c r="K249" t="n">
        <v>0</v>
      </c>
      <c r="L249" t="n">
        <v>0</v>
      </c>
      <c r="M249" t="n">
        <v>0</v>
      </c>
      <c r="N249" t="n">
        <v>0</v>
      </c>
      <c r="O249" t="n">
        <v>0</v>
      </c>
      <c r="P249" t="n">
        <v>0</v>
      </c>
      <c r="Q249" t="n">
        <v>0</v>
      </c>
      <c r="R249" s="2" t="inlineStr"/>
    </row>
    <row r="250" ht="15" customHeight="1">
      <c r="A250" t="inlineStr">
        <is>
          <t>A 9947-2024</t>
        </is>
      </c>
      <c r="B250" s="1" t="n">
        <v>45363</v>
      </c>
      <c r="C250" s="1" t="n">
        <v>45890</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42007-2023</t>
        </is>
      </c>
      <c r="B251" s="1" t="n">
        <v>45177</v>
      </c>
      <c r="C251" s="1" t="n">
        <v>45890</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2292-2021</t>
        </is>
      </c>
      <c r="B252" s="1" t="n">
        <v>44212</v>
      </c>
      <c r="C252" s="1" t="n">
        <v>45890</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49257-2024</t>
        </is>
      </c>
      <c r="B253" s="1" t="n">
        <v>45595.47627314815</v>
      </c>
      <c r="C253" s="1" t="n">
        <v>45890</v>
      </c>
      <c r="D253" t="inlineStr">
        <is>
          <t>GOTLANDS LÄN</t>
        </is>
      </c>
      <c r="E253" t="inlineStr">
        <is>
          <t>GOTLAND</t>
        </is>
      </c>
      <c r="G253" t="n">
        <v>6.3</v>
      </c>
      <c r="H253" t="n">
        <v>0</v>
      </c>
      <c r="I253" t="n">
        <v>0</v>
      </c>
      <c r="J253" t="n">
        <v>0</v>
      </c>
      <c r="K253" t="n">
        <v>0</v>
      </c>
      <c r="L253" t="n">
        <v>0</v>
      </c>
      <c r="M253" t="n">
        <v>0</v>
      </c>
      <c r="N253" t="n">
        <v>0</v>
      </c>
      <c r="O253" t="n">
        <v>0</v>
      </c>
      <c r="P253" t="n">
        <v>0</v>
      </c>
      <c r="Q253" t="n">
        <v>0</v>
      </c>
      <c r="R253" s="2" t="inlineStr"/>
    </row>
    <row r="254" ht="15" customHeight="1">
      <c r="A254" t="inlineStr">
        <is>
          <t>A 63229-2021</t>
        </is>
      </c>
      <c r="B254" s="1" t="n">
        <v>44508.34518518519</v>
      </c>
      <c r="C254" s="1" t="n">
        <v>45890</v>
      </c>
      <c r="D254" t="inlineStr">
        <is>
          <t>GOTLANDS LÄN</t>
        </is>
      </c>
      <c r="E254" t="inlineStr">
        <is>
          <t>GOTLAND</t>
        </is>
      </c>
      <c r="F254" t="inlineStr">
        <is>
          <t>Kyrkan</t>
        </is>
      </c>
      <c r="G254" t="n">
        <v>3.8</v>
      </c>
      <c r="H254" t="n">
        <v>0</v>
      </c>
      <c r="I254" t="n">
        <v>0</v>
      </c>
      <c r="J254" t="n">
        <v>0</v>
      </c>
      <c r="K254" t="n">
        <v>0</v>
      </c>
      <c r="L254" t="n">
        <v>0</v>
      </c>
      <c r="M254" t="n">
        <v>0</v>
      </c>
      <c r="N254" t="n">
        <v>0</v>
      </c>
      <c r="O254" t="n">
        <v>0</v>
      </c>
      <c r="P254" t="n">
        <v>0</v>
      </c>
      <c r="Q254" t="n">
        <v>0</v>
      </c>
      <c r="R254" s="2" t="inlineStr"/>
    </row>
    <row r="255" ht="15" customHeight="1">
      <c r="A255" t="inlineStr">
        <is>
          <t>A 49315-2024</t>
        </is>
      </c>
      <c r="B255" s="1" t="n">
        <v>45595</v>
      </c>
      <c r="C255" s="1" t="n">
        <v>45890</v>
      </c>
      <c r="D255" t="inlineStr">
        <is>
          <t>GOTLANDS LÄN</t>
        </is>
      </c>
      <c r="E255" t="inlineStr">
        <is>
          <t>GOTLAND</t>
        </is>
      </c>
      <c r="G255" t="n">
        <v>1.5</v>
      </c>
      <c r="H255" t="n">
        <v>0</v>
      </c>
      <c r="I255" t="n">
        <v>0</v>
      </c>
      <c r="J255" t="n">
        <v>0</v>
      </c>
      <c r="K255" t="n">
        <v>0</v>
      </c>
      <c r="L255" t="n">
        <v>0</v>
      </c>
      <c r="M255" t="n">
        <v>0</v>
      </c>
      <c r="N255" t="n">
        <v>0</v>
      </c>
      <c r="O255" t="n">
        <v>0</v>
      </c>
      <c r="P255" t="n">
        <v>0</v>
      </c>
      <c r="Q255" t="n">
        <v>0</v>
      </c>
      <c r="R255" s="2" t="inlineStr"/>
    </row>
    <row r="256" ht="15" customHeight="1">
      <c r="A256" t="inlineStr">
        <is>
          <t>A 61596-2023</t>
        </is>
      </c>
      <c r="B256" s="1" t="n">
        <v>45265</v>
      </c>
      <c r="C256" s="1" t="n">
        <v>45890</v>
      </c>
      <c r="D256" t="inlineStr">
        <is>
          <t>GOTLANDS LÄN</t>
        </is>
      </c>
      <c r="E256" t="inlineStr">
        <is>
          <t>GOTLAND</t>
        </is>
      </c>
      <c r="G256" t="n">
        <v>1.7</v>
      </c>
      <c r="H256" t="n">
        <v>0</v>
      </c>
      <c r="I256" t="n">
        <v>0</v>
      </c>
      <c r="J256" t="n">
        <v>0</v>
      </c>
      <c r="K256" t="n">
        <v>0</v>
      </c>
      <c r="L256" t="n">
        <v>0</v>
      </c>
      <c r="M256" t="n">
        <v>0</v>
      </c>
      <c r="N256" t="n">
        <v>0</v>
      </c>
      <c r="O256" t="n">
        <v>0</v>
      </c>
      <c r="P256" t="n">
        <v>0</v>
      </c>
      <c r="Q256" t="n">
        <v>0</v>
      </c>
      <c r="R256" s="2" t="inlineStr"/>
    </row>
    <row r="257" ht="15" customHeight="1">
      <c r="A257" t="inlineStr">
        <is>
          <t>A 873-2024</t>
        </is>
      </c>
      <c r="B257" s="1" t="n">
        <v>45301</v>
      </c>
      <c r="C257" s="1" t="n">
        <v>45890</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44228-2022</t>
        </is>
      </c>
      <c r="B258" s="1" t="n">
        <v>44839.51599537037</v>
      </c>
      <c r="C258" s="1" t="n">
        <v>45890</v>
      </c>
      <c r="D258" t="inlineStr">
        <is>
          <t>GOTLANDS LÄN</t>
        </is>
      </c>
      <c r="E258" t="inlineStr">
        <is>
          <t>GOTLAND</t>
        </is>
      </c>
      <c r="G258" t="n">
        <v>2.1</v>
      </c>
      <c r="H258" t="n">
        <v>0</v>
      </c>
      <c r="I258" t="n">
        <v>0</v>
      </c>
      <c r="J258" t="n">
        <v>0</v>
      </c>
      <c r="K258" t="n">
        <v>0</v>
      </c>
      <c r="L258" t="n">
        <v>0</v>
      </c>
      <c r="M258" t="n">
        <v>0</v>
      </c>
      <c r="N258" t="n">
        <v>0</v>
      </c>
      <c r="O258" t="n">
        <v>0</v>
      </c>
      <c r="P258" t="n">
        <v>0</v>
      </c>
      <c r="Q258" t="n">
        <v>0</v>
      </c>
      <c r="R258" s="2" t="inlineStr"/>
    </row>
    <row r="259" ht="15" customHeight="1">
      <c r="A259" t="inlineStr">
        <is>
          <t>A 61386-2023</t>
        </is>
      </c>
      <c r="B259" s="1" t="n">
        <v>45264</v>
      </c>
      <c r="C259" s="1" t="n">
        <v>45890</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22883-2024</t>
        </is>
      </c>
      <c r="B260" s="1" t="n">
        <v>45448.66368055555</v>
      </c>
      <c r="C260" s="1" t="n">
        <v>45890</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44304-2021</t>
        </is>
      </c>
      <c r="B261" s="1" t="n">
        <v>44434</v>
      </c>
      <c r="C261" s="1" t="n">
        <v>45890</v>
      </c>
      <c r="D261" t="inlineStr">
        <is>
          <t>GOTLANDS LÄN</t>
        </is>
      </c>
      <c r="E261" t="inlineStr">
        <is>
          <t>GOTLAND</t>
        </is>
      </c>
      <c r="G261" t="n">
        <v>5.8</v>
      </c>
      <c r="H261" t="n">
        <v>0</v>
      </c>
      <c r="I261" t="n">
        <v>0</v>
      </c>
      <c r="J261" t="n">
        <v>0</v>
      </c>
      <c r="K261" t="n">
        <v>0</v>
      </c>
      <c r="L261" t="n">
        <v>0</v>
      </c>
      <c r="M261" t="n">
        <v>0</v>
      </c>
      <c r="N261" t="n">
        <v>0</v>
      </c>
      <c r="O261" t="n">
        <v>0</v>
      </c>
      <c r="P261" t="n">
        <v>0</v>
      </c>
      <c r="Q261" t="n">
        <v>0</v>
      </c>
      <c r="R261" s="2" t="inlineStr"/>
    </row>
    <row r="262" ht="15" customHeight="1">
      <c r="A262" t="inlineStr">
        <is>
          <t>A 6108-2025</t>
        </is>
      </c>
      <c r="B262" s="1" t="n">
        <v>45698.29880787037</v>
      </c>
      <c r="C262" s="1" t="n">
        <v>45890</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15083-2025</t>
        </is>
      </c>
      <c r="B263" s="1" t="n">
        <v>45743</v>
      </c>
      <c r="C263" s="1" t="n">
        <v>45890</v>
      </c>
      <c r="D263" t="inlineStr">
        <is>
          <t>GOTLANDS LÄN</t>
        </is>
      </c>
      <c r="E263" t="inlineStr">
        <is>
          <t>GOTLAND</t>
        </is>
      </c>
      <c r="G263" t="n">
        <v>2.3</v>
      </c>
      <c r="H263" t="n">
        <v>0</v>
      </c>
      <c r="I263" t="n">
        <v>0</v>
      </c>
      <c r="J263" t="n">
        <v>0</v>
      </c>
      <c r="K263" t="n">
        <v>0</v>
      </c>
      <c r="L263" t="n">
        <v>0</v>
      </c>
      <c r="M263" t="n">
        <v>0</v>
      </c>
      <c r="N263" t="n">
        <v>0</v>
      </c>
      <c r="O263" t="n">
        <v>0</v>
      </c>
      <c r="P263" t="n">
        <v>0</v>
      </c>
      <c r="Q263" t="n">
        <v>0</v>
      </c>
      <c r="R263" s="2" t="inlineStr"/>
    </row>
    <row r="264" ht="15" customHeight="1">
      <c r="A264" t="inlineStr">
        <is>
          <t>A 27593-2023</t>
        </is>
      </c>
      <c r="B264" s="1" t="n">
        <v>45097</v>
      </c>
      <c r="C264" s="1" t="n">
        <v>45890</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25129-2023</t>
        </is>
      </c>
      <c r="B265" s="1" t="n">
        <v>45086.44261574074</v>
      </c>
      <c r="C265" s="1" t="n">
        <v>45890</v>
      </c>
      <c r="D265" t="inlineStr">
        <is>
          <t>GOTLANDS LÄN</t>
        </is>
      </c>
      <c r="E265" t="inlineStr">
        <is>
          <t>GOTLAND</t>
        </is>
      </c>
      <c r="G265" t="n">
        <v>1.5</v>
      </c>
      <c r="H265" t="n">
        <v>0</v>
      </c>
      <c r="I265" t="n">
        <v>0</v>
      </c>
      <c r="J265" t="n">
        <v>0</v>
      </c>
      <c r="K265" t="n">
        <v>0</v>
      </c>
      <c r="L265" t="n">
        <v>0</v>
      </c>
      <c r="M265" t="n">
        <v>0</v>
      </c>
      <c r="N265" t="n">
        <v>0</v>
      </c>
      <c r="O265" t="n">
        <v>0</v>
      </c>
      <c r="P265" t="n">
        <v>0</v>
      </c>
      <c r="Q265" t="n">
        <v>0</v>
      </c>
      <c r="R265" s="2" t="inlineStr"/>
    </row>
    <row r="266" ht="15" customHeight="1">
      <c r="A266" t="inlineStr">
        <is>
          <t>A 27596-2023</t>
        </is>
      </c>
      <c r="B266" s="1" t="n">
        <v>45097</v>
      </c>
      <c r="C266" s="1" t="n">
        <v>45890</v>
      </c>
      <c r="D266" t="inlineStr">
        <is>
          <t>GOTLANDS LÄN</t>
        </is>
      </c>
      <c r="E266" t="inlineStr">
        <is>
          <t>GOTLAND</t>
        </is>
      </c>
      <c r="G266" t="n">
        <v>3.6</v>
      </c>
      <c r="H266" t="n">
        <v>0</v>
      </c>
      <c r="I266" t="n">
        <v>0</v>
      </c>
      <c r="J266" t="n">
        <v>0</v>
      </c>
      <c r="K266" t="n">
        <v>0</v>
      </c>
      <c r="L266" t="n">
        <v>0</v>
      </c>
      <c r="M266" t="n">
        <v>0</v>
      </c>
      <c r="N266" t="n">
        <v>0</v>
      </c>
      <c r="O266" t="n">
        <v>0</v>
      </c>
      <c r="P266" t="n">
        <v>0</v>
      </c>
      <c r="Q266" t="n">
        <v>0</v>
      </c>
      <c r="R266" s="2" t="inlineStr"/>
    </row>
    <row r="267" ht="15" customHeight="1">
      <c r="A267" t="inlineStr">
        <is>
          <t>A 56115-2023</t>
        </is>
      </c>
      <c r="B267" s="1" t="n">
        <v>45236</v>
      </c>
      <c r="C267" s="1" t="n">
        <v>45890</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64969-2023</t>
        </is>
      </c>
      <c r="B268" s="1" t="n">
        <v>45284.54009259259</v>
      </c>
      <c r="C268" s="1" t="n">
        <v>45890</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33853-2024</t>
        </is>
      </c>
      <c r="B269" s="1" t="n">
        <v>45520.64298611111</v>
      </c>
      <c r="C269" s="1" t="n">
        <v>45890</v>
      </c>
      <c r="D269" t="inlineStr">
        <is>
          <t>GOTLANDS LÄN</t>
        </is>
      </c>
      <c r="E269" t="inlineStr">
        <is>
          <t>GOTLAND</t>
        </is>
      </c>
      <c r="G269" t="n">
        <v>3.9</v>
      </c>
      <c r="H269" t="n">
        <v>0</v>
      </c>
      <c r="I269" t="n">
        <v>0</v>
      </c>
      <c r="J269" t="n">
        <v>0</v>
      </c>
      <c r="K269" t="n">
        <v>0</v>
      </c>
      <c r="L269" t="n">
        <v>0</v>
      </c>
      <c r="M269" t="n">
        <v>0</v>
      </c>
      <c r="N269" t="n">
        <v>0</v>
      </c>
      <c r="O269" t="n">
        <v>0</v>
      </c>
      <c r="P269" t="n">
        <v>0</v>
      </c>
      <c r="Q269" t="n">
        <v>0</v>
      </c>
      <c r="R269" s="2" t="inlineStr"/>
    </row>
    <row r="270" ht="15" customHeight="1">
      <c r="A270" t="inlineStr">
        <is>
          <t>A 14570-2025</t>
        </is>
      </c>
      <c r="B270" s="1" t="n">
        <v>45741.87113425926</v>
      </c>
      <c r="C270" s="1" t="n">
        <v>45890</v>
      </c>
      <c r="D270" t="inlineStr">
        <is>
          <t>GOTLANDS LÄN</t>
        </is>
      </c>
      <c r="E270" t="inlineStr">
        <is>
          <t>GOTLAND</t>
        </is>
      </c>
      <c r="G270" t="n">
        <v>6.2</v>
      </c>
      <c r="H270" t="n">
        <v>0</v>
      </c>
      <c r="I270" t="n">
        <v>0</v>
      </c>
      <c r="J270" t="n">
        <v>0</v>
      </c>
      <c r="K270" t="n">
        <v>0</v>
      </c>
      <c r="L270" t="n">
        <v>0</v>
      </c>
      <c r="M270" t="n">
        <v>0</v>
      </c>
      <c r="N270" t="n">
        <v>0</v>
      </c>
      <c r="O270" t="n">
        <v>0</v>
      </c>
      <c r="P270" t="n">
        <v>0</v>
      </c>
      <c r="Q270" t="n">
        <v>0</v>
      </c>
      <c r="R270" s="2" t="inlineStr"/>
    </row>
    <row r="271" ht="15" customHeight="1">
      <c r="A271" t="inlineStr">
        <is>
          <t>A 10652-2025</t>
        </is>
      </c>
      <c r="B271" s="1" t="n">
        <v>45721.68640046296</v>
      </c>
      <c r="C271" s="1" t="n">
        <v>45890</v>
      </c>
      <c r="D271" t="inlineStr">
        <is>
          <t>GOTLANDS LÄN</t>
        </is>
      </c>
      <c r="E271" t="inlineStr">
        <is>
          <t>GOTLAND</t>
        </is>
      </c>
      <c r="G271" t="n">
        <v>3.6</v>
      </c>
      <c r="H271" t="n">
        <v>0</v>
      </c>
      <c r="I271" t="n">
        <v>0</v>
      </c>
      <c r="J271" t="n">
        <v>0</v>
      </c>
      <c r="K271" t="n">
        <v>0</v>
      </c>
      <c r="L271" t="n">
        <v>0</v>
      </c>
      <c r="M271" t="n">
        <v>0</v>
      </c>
      <c r="N271" t="n">
        <v>0</v>
      </c>
      <c r="O271" t="n">
        <v>0</v>
      </c>
      <c r="P271" t="n">
        <v>0</v>
      </c>
      <c r="Q271" t="n">
        <v>0</v>
      </c>
      <c r="R271" s="2" t="inlineStr"/>
    </row>
    <row r="272" ht="15" customHeight="1">
      <c r="A272" t="inlineStr">
        <is>
          <t>A 44204-2022</t>
        </is>
      </c>
      <c r="B272" s="1" t="n">
        <v>44839</v>
      </c>
      <c r="C272" s="1" t="n">
        <v>45890</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18223-2025</t>
        </is>
      </c>
      <c r="B273" s="1" t="n">
        <v>45761</v>
      </c>
      <c r="C273" s="1" t="n">
        <v>45890</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10497-2025</t>
        </is>
      </c>
      <c r="B274" s="1" t="n">
        <v>45721</v>
      </c>
      <c r="C274" s="1" t="n">
        <v>45890</v>
      </c>
      <c r="D274" t="inlineStr">
        <is>
          <t>GOTLANDS LÄN</t>
        </is>
      </c>
      <c r="E274" t="inlineStr">
        <is>
          <t>GOTLAND</t>
        </is>
      </c>
      <c r="G274" t="n">
        <v>0.9</v>
      </c>
      <c r="H274" t="n">
        <v>0</v>
      </c>
      <c r="I274" t="n">
        <v>0</v>
      </c>
      <c r="J274" t="n">
        <v>0</v>
      </c>
      <c r="K274" t="n">
        <v>0</v>
      </c>
      <c r="L274" t="n">
        <v>0</v>
      </c>
      <c r="M274" t="n">
        <v>0</v>
      </c>
      <c r="N274" t="n">
        <v>0</v>
      </c>
      <c r="O274" t="n">
        <v>0</v>
      </c>
      <c r="P274" t="n">
        <v>0</v>
      </c>
      <c r="Q274" t="n">
        <v>0</v>
      </c>
      <c r="R274" s="2" t="inlineStr"/>
    </row>
    <row r="275" ht="15" customHeight="1">
      <c r="A275" t="inlineStr">
        <is>
          <t>A 10813-2025</t>
        </is>
      </c>
      <c r="B275" s="1" t="n">
        <v>45722.54163194444</v>
      </c>
      <c r="C275" s="1" t="n">
        <v>45890</v>
      </c>
      <c r="D275" t="inlineStr">
        <is>
          <t>GOTLANDS LÄN</t>
        </is>
      </c>
      <c r="E275" t="inlineStr">
        <is>
          <t>GOTLAND</t>
        </is>
      </c>
      <c r="G275" t="n">
        <v>1.5</v>
      </c>
      <c r="H275" t="n">
        <v>0</v>
      </c>
      <c r="I275" t="n">
        <v>0</v>
      </c>
      <c r="J275" t="n">
        <v>0</v>
      </c>
      <c r="K275" t="n">
        <v>0</v>
      </c>
      <c r="L275" t="n">
        <v>0</v>
      </c>
      <c r="M275" t="n">
        <v>0</v>
      </c>
      <c r="N275" t="n">
        <v>0</v>
      </c>
      <c r="O275" t="n">
        <v>0</v>
      </c>
      <c r="P275" t="n">
        <v>0</v>
      </c>
      <c r="Q275" t="n">
        <v>0</v>
      </c>
      <c r="R275" s="2" t="inlineStr"/>
    </row>
    <row r="276" ht="15" customHeight="1">
      <c r="A276" t="inlineStr">
        <is>
          <t>A 1066-2024</t>
        </is>
      </c>
      <c r="B276" s="1" t="n">
        <v>45302.285</v>
      </c>
      <c r="C276" s="1" t="n">
        <v>45890</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46949-2024</t>
        </is>
      </c>
      <c r="B277" s="1" t="n">
        <v>45585</v>
      </c>
      <c r="C277" s="1" t="n">
        <v>45890</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2035-2025</t>
        </is>
      </c>
      <c r="B278" s="1" t="n">
        <v>45672</v>
      </c>
      <c r="C278" s="1" t="n">
        <v>45890</v>
      </c>
      <c r="D278" t="inlineStr">
        <is>
          <t>GOTLANDS LÄN</t>
        </is>
      </c>
      <c r="E278" t="inlineStr">
        <is>
          <t>GOTLAND</t>
        </is>
      </c>
      <c r="G278" t="n">
        <v>7.5</v>
      </c>
      <c r="H278" t="n">
        <v>0</v>
      </c>
      <c r="I278" t="n">
        <v>0</v>
      </c>
      <c r="J278" t="n">
        <v>0</v>
      </c>
      <c r="K278" t="n">
        <v>0</v>
      </c>
      <c r="L278" t="n">
        <v>0</v>
      </c>
      <c r="M278" t="n">
        <v>0</v>
      </c>
      <c r="N278" t="n">
        <v>0</v>
      </c>
      <c r="O278" t="n">
        <v>0</v>
      </c>
      <c r="P278" t="n">
        <v>0</v>
      </c>
      <c r="Q278" t="n">
        <v>0</v>
      </c>
      <c r="R278" s="2" t="inlineStr"/>
    </row>
    <row r="279" ht="15" customHeight="1">
      <c r="A279" t="inlineStr">
        <is>
          <t>A 37202-2024</t>
        </is>
      </c>
      <c r="B279" s="1" t="n">
        <v>45539.67310185185</v>
      </c>
      <c r="C279" s="1" t="n">
        <v>45890</v>
      </c>
      <c r="D279" t="inlineStr">
        <is>
          <t>GOTLANDS LÄN</t>
        </is>
      </c>
      <c r="E279" t="inlineStr">
        <is>
          <t>GOTLAND</t>
        </is>
      </c>
      <c r="G279" t="n">
        <v>0.3</v>
      </c>
      <c r="H279" t="n">
        <v>0</v>
      </c>
      <c r="I279" t="n">
        <v>0</v>
      </c>
      <c r="J279" t="n">
        <v>0</v>
      </c>
      <c r="K279" t="n">
        <v>0</v>
      </c>
      <c r="L279" t="n">
        <v>0</v>
      </c>
      <c r="M279" t="n">
        <v>0</v>
      </c>
      <c r="N279" t="n">
        <v>0</v>
      </c>
      <c r="O279" t="n">
        <v>0</v>
      </c>
      <c r="P279" t="n">
        <v>0</v>
      </c>
      <c r="Q279" t="n">
        <v>0</v>
      </c>
      <c r="R279" s="2" t="inlineStr"/>
    </row>
    <row r="280" ht="15" customHeight="1">
      <c r="A280" t="inlineStr">
        <is>
          <t>A 24001-2021</t>
        </is>
      </c>
      <c r="B280" s="1" t="n">
        <v>44335</v>
      </c>
      <c r="C280" s="1" t="n">
        <v>45890</v>
      </c>
      <c r="D280" t="inlineStr">
        <is>
          <t>GOTLANDS LÄN</t>
        </is>
      </c>
      <c r="E280" t="inlineStr">
        <is>
          <t>GOTLAND</t>
        </is>
      </c>
      <c r="G280" t="n">
        <v>3.4</v>
      </c>
      <c r="H280" t="n">
        <v>0</v>
      </c>
      <c r="I280" t="n">
        <v>0</v>
      </c>
      <c r="J280" t="n">
        <v>0</v>
      </c>
      <c r="K280" t="n">
        <v>0</v>
      </c>
      <c r="L280" t="n">
        <v>0</v>
      </c>
      <c r="M280" t="n">
        <v>0</v>
      </c>
      <c r="N280" t="n">
        <v>0</v>
      </c>
      <c r="O280" t="n">
        <v>0</v>
      </c>
      <c r="P280" t="n">
        <v>0</v>
      </c>
      <c r="Q280" t="n">
        <v>0</v>
      </c>
      <c r="R280" s="2" t="inlineStr"/>
    </row>
    <row r="281" ht="15" customHeight="1">
      <c r="A281" t="inlineStr">
        <is>
          <t>A 39479-2022</t>
        </is>
      </c>
      <c r="B281" s="1" t="n">
        <v>44818</v>
      </c>
      <c r="C281" s="1" t="n">
        <v>45890</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39496-2022</t>
        </is>
      </c>
      <c r="B282" s="1" t="n">
        <v>44818</v>
      </c>
      <c r="C282" s="1" t="n">
        <v>45890</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30815-2023</t>
        </is>
      </c>
      <c r="B283" s="1" t="n">
        <v>45112</v>
      </c>
      <c r="C283" s="1" t="n">
        <v>45890</v>
      </c>
      <c r="D283" t="inlineStr">
        <is>
          <t>GOTLANDS LÄN</t>
        </is>
      </c>
      <c r="E283" t="inlineStr">
        <is>
          <t>GOTLAND</t>
        </is>
      </c>
      <c r="G283" t="n">
        <v>6</v>
      </c>
      <c r="H283" t="n">
        <v>0</v>
      </c>
      <c r="I283" t="n">
        <v>0</v>
      </c>
      <c r="J283" t="n">
        <v>0</v>
      </c>
      <c r="K283" t="n">
        <v>0</v>
      </c>
      <c r="L283" t="n">
        <v>0</v>
      </c>
      <c r="M283" t="n">
        <v>0</v>
      </c>
      <c r="N283" t="n">
        <v>0</v>
      </c>
      <c r="O283" t="n">
        <v>0</v>
      </c>
      <c r="P283" t="n">
        <v>0</v>
      </c>
      <c r="Q283" t="n">
        <v>0</v>
      </c>
      <c r="R283" s="2" t="inlineStr"/>
    </row>
    <row r="284" ht="15" customHeight="1">
      <c r="A284" t="inlineStr">
        <is>
          <t>A 56009-2024</t>
        </is>
      </c>
      <c r="B284" s="1" t="n">
        <v>45623.80864583333</v>
      </c>
      <c r="C284" s="1" t="n">
        <v>45890</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54073-2022</t>
        </is>
      </c>
      <c r="B285" s="1" t="n">
        <v>44881.50380787037</v>
      </c>
      <c r="C285" s="1" t="n">
        <v>45890</v>
      </c>
      <c r="D285" t="inlineStr">
        <is>
          <t>GOTLANDS LÄN</t>
        </is>
      </c>
      <c r="E285" t="inlineStr">
        <is>
          <t>GOTLAND</t>
        </is>
      </c>
      <c r="G285" t="n">
        <v>3.8</v>
      </c>
      <c r="H285" t="n">
        <v>0</v>
      </c>
      <c r="I285" t="n">
        <v>0</v>
      </c>
      <c r="J285" t="n">
        <v>0</v>
      </c>
      <c r="K285" t="n">
        <v>0</v>
      </c>
      <c r="L285" t="n">
        <v>0</v>
      </c>
      <c r="M285" t="n">
        <v>0</v>
      </c>
      <c r="N285" t="n">
        <v>0</v>
      </c>
      <c r="O285" t="n">
        <v>0</v>
      </c>
      <c r="P285" t="n">
        <v>0</v>
      </c>
      <c r="Q285" t="n">
        <v>0</v>
      </c>
      <c r="R285" s="2" t="inlineStr"/>
    </row>
    <row r="286" ht="15" customHeight="1">
      <c r="A286" t="inlineStr">
        <is>
          <t>A 46400-2023</t>
        </is>
      </c>
      <c r="B286" s="1" t="n">
        <v>45197.49290509259</v>
      </c>
      <c r="C286" s="1" t="n">
        <v>45890</v>
      </c>
      <c r="D286" t="inlineStr">
        <is>
          <t>GOTLANDS LÄN</t>
        </is>
      </c>
      <c r="E286" t="inlineStr">
        <is>
          <t>GOTLAND</t>
        </is>
      </c>
      <c r="G286" t="n">
        <v>0.8</v>
      </c>
      <c r="H286" t="n">
        <v>0</v>
      </c>
      <c r="I286" t="n">
        <v>0</v>
      </c>
      <c r="J286" t="n">
        <v>0</v>
      </c>
      <c r="K286" t="n">
        <v>0</v>
      </c>
      <c r="L286" t="n">
        <v>0</v>
      </c>
      <c r="M286" t="n">
        <v>0</v>
      </c>
      <c r="N286" t="n">
        <v>0</v>
      </c>
      <c r="O286" t="n">
        <v>0</v>
      </c>
      <c r="P286" t="n">
        <v>0</v>
      </c>
      <c r="Q286" t="n">
        <v>0</v>
      </c>
      <c r="R286" s="2" t="inlineStr"/>
    </row>
    <row r="287" ht="15" customHeight="1">
      <c r="A287" t="inlineStr">
        <is>
          <t>A 10492-2023</t>
        </is>
      </c>
      <c r="B287" s="1" t="n">
        <v>44987</v>
      </c>
      <c r="C287" s="1" t="n">
        <v>45890</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3964-2024</t>
        </is>
      </c>
      <c r="B288" s="1" t="n">
        <v>45322</v>
      </c>
      <c r="C288" s="1" t="n">
        <v>45890</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46389-2021</t>
        </is>
      </c>
      <c r="B289" s="1" t="n">
        <v>44443</v>
      </c>
      <c r="C289" s="1" t="n">
        <v>45890</v>
      </c>
      <c r="D289" t="inlineStr">
        <is>
          <t>GOTLANDS LÄN</t>
        </is>
      </c>
      <c r="E289" t="inlineStr">
        <is>
          <t>GOTLAND</t>
        </is>
      </c>
      <c r="F289" t="inlineStr">
        <is>
          <t>Kyrkan</t>
        </is>
      </c>
      <c r="G289" t="n">
        <v>2.1</v>
      </c>
      <c r="H289" t="n">
        <v>0</v>
      </c>
      <c r="I289" t="n">
        <v>0</v>
      </c>
      <c r="J289" t="n">
        <v>0</v>
      </c>
      <c r="K289" t="n">
        <v>0</v>
      </c>
      <c r="L289" t="n">
        <v>0</v>
      </c>
      <c r="M289" t="n">
        <v>0</v>
      </c>
      <c r="N289" t="n">
        <v>0</v>
      </c>
      <c r="O289" t="n">
        <v>0</v>
      </c>
      <c r="P289" t="n">
        <v>0</v>
      </c>
      <c r="Q289" t="n">
        <v>0</v>
      </c>
      <c r="R289" s="2" t="inlineStr"/>
    </row>
    <row r="290" ht="15" customHeight="1">
      <c r="A290" t="inlineStr">
        <is>
          <t>A 45106-2024</t>
        </is>
      </c>
      <c r="B290" s="1" t="n">
        <v>45575</v>
      </c>
      <c r="C290" s="1" t="n">
        <v>45890</v>
      </c>
      <c r="D290" t="inlineStr">
        <is>
          <t>GOTLANDS LÄN</t>
        </is>
      </c>
      <c r="E290" t="inlineStr">
        <is>
          <t>GOTLAND</t>
        </is>
      </c>
      <c r="G290" t="n">
        <v>10</v>
      </c>
      <c r="H290" t="n">
        <v>0</v>
      </c>
      <c r="I290" t="n">
        <v>0</v>
      </c>
      <c r="J290" t="n">
        <v>0</v>
      </c>
      <c r="K290" t="n">
        <v>0</v>
      </c>
      <c r="L290" t="n">
        <v>0</v>
      </c>
      <c r="M290" t="n">
        <v>0</v>
      </c>
      <c r="N290" t="n">
        <v>0</v>
      </c>
      <c r="O290" t="n">
        <v>0</v>
      </c>
      <c r="P290" t="n">
        <v>0</v>
      </c>
      <c r="Q290" t="n">
        <v>0</v>
      </c>
      <c r="R290" s="2" t="inlineStr"/>
    </row>
    <row r="291" ht="15" customHeight="1">
      <c r="A291" t="inlineStr">
        <is>
          <t>A 45112-2024</t>
        </is>
      </c>
      <c r="B291" s="1" t="n">
        <v>45575</v>
      </c>
      <c r="C291" s="1" t="n">
        <v>45890</v>
      </c>
      <c r="D291" t="inlineStr">
        <is>
          <t>GOTLANDS LÄN</t>
        </is>
      </c>
      <c r="E291" t="inlineStr">
        <is>
          <t>GOTLAND</t>
        </is>
      </c>
      <c r="G291" t="n">
        <v>5.1</v>
      </c>
      <c r="H291" t="n">
        <v>0</v>
      </c>
      <c r="I291" t="n">
        <v>0</v>
      </c>
      <c r="J291" t="n">
        <v>0</v>
      </c>
      <c r="K291" t="n">
        <v>0</v>
      </c>
      <c r="L291" t="n">
        <v>0</v>
      </c>
      <c r="M291" t="n">
        <v>0</v>
      </c>
      <c r="N291" t="n">
        <v>0</v>
      </c>
      <c r="O291" t="n">
        <v>0</v>
      </c>
      <c r="P291" t="n">
        <v>0</v>
      </c>
      <c r="Q291" t="n">
        <v>0</v>
      </c>
      <c r="R291" s="2" t="inlineStr"/>
    </row>
    <row r="292" ht="15" customHeight="1">
      <c r="A292" t="inlineStr">
        <is>
          <t>A 44949-2023</t>
        </is>
      </c>
      <c r="B292" s="1" t="n">
        <v>45190.69520833333</v>
      </c>
      <c r="C292" s="1" t="n">
        <v>45890</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44919-2022</t>
        </is>
      </c>
      <c r="B293" s="1" t="n">
        <v>44841</v>
      </c>
      <c r="C293" s="1" t="n">
        <v>45890</v>
      </c>
      <c r="D293" t="inlineStr">
        <is>
          <t>GOTLANDS LÄN</t>
        </is>
      </c>
      <c r="E293" t="inlineStr">
        <is>
          <t>GOTLAND</t>
        </is>
      </c>
      <c r="G293" t="n">
        <v>2.2</v>
      </c>
      <c r="H293" t="n">
        <v>0</v>
      </c>
      <c r="I293" t="n">
        <v>0</v>
      </c>
      <c r="J293" t="n">
        <v>0</v>
      </c>
      <c r="K293" t="n">
        <v>0</v>
      </c>
      <c r="L293" t="n">
        <v>0</v>
      </c>
      <c r="M293" t="n">
        <v>0</v>
      </c>
      <c r="N293" t="n">
        <v>0</v>
      </c>
      <c r="O293" t="n">
        <v>0</v>
      </c>
      <c r="P293" t="n">
        <v>0</v>
      </c>
      <c r="Q293" t="n">
        <v>0</v>
      </c>
      <c r="R293" s="2" t="inlineStr"/>
    </row>
    <row r="294" ht="15" customHeight="1">
      <c r="A294" t="inlineStr">
        <is>
          <t>A 20307-2025</t>
        </is>
      </c>
      <c r="B294" s="1" t="n">
        <v>45774.95546296296</v>
      </c>
      <c r="C294" s="1" t="n">
        <v>45890</v>
      </c>
      <c r="D294" t="inlineStr">
        <is>
          <t>GOTLANDS LÄN</t>
        </is>
      </c>
      <c r="E294" t="inlineStr">
        <is>
          <t>GOTLAND</t>
        </is>
      </c>
      <c r="G294" t="n">
        <v>6.8</v>
      </c>
      <c r="H294" t="n">
        <v>0</v>
      </c>
      <c r="I294" t="n">
        <v>0</v>
      </c>
      <c r="J294" t="n">
        <v>0</v>
      </c>
      <c r="K294" t="n">
        <v>0</v>
      </c>
      <c r="L294" t="n">
        <v>0</v>
      </c>
      <c r="M294" t="n">
        <v>0</v>
      </c>
      <c r="N294" t="n">
        <v>0</v>
      </c>
      <c r="O294" t="n">
        <v>0</v>
      </c>
      <c r="P294" t="n">
        <v>0</v>
      </c>
      <c r="Q294" t="n">
        <v>0</v>
      </c>
      <c r="R294" s="2" t="inlineStr"/>
    </row>
    <row r="295" ht="15" customHeight="1">
      <c r="A295" t="inlineStr">
        <is>
          <t>A 17227-2021</t>
        </is>
      </c>
      <c r="B295" s="1" t="n">
        <v>44298.49725694444</v>
      </c>
      <c r="C295" s="1" t="n">
        <v>45890</v>
      </c>
      <c r="D295" t="inlineStr">
        <is>
          <t>GOTLANDS LÄN</t>
        </is>
      </c>
      <c r="E295" t="inlineStr">
        <is>
          <t>GOTLAND</t>
        </is>
      </c>
      <c r="G295" t="n">
        <v>6.2</v>
      </c>
      <c r="H295" t="n">
        <v>0</v>
      </c>
      <c r="I295" t="n">
        <v>0</v>
      </c>
      <c r="J295" t="n">
        <v>0</v>
      </c>
      <c r="K295" t="n">
        <v>0</v>
      </c>
      <c r="L295" t="n">
        <v>0</v>
      </c>
      <c r="M295" t="n">
        <v>0</v>
      </c>
      <c r="N295" t="n">
        <v>0</v>
      </c>
      <c r="O295" t="n">
        <v>0</v>
      </c>
      <c r="P295" t="n">
        <v>0</v>
      </c>
      <c r="Q295" t="n">
        <v>0</v>
      </c>
      <c r="R295" s="2" t="inlineStr"/>
    </row>
    <row r="296" ht="15" customHeight="1">
      <c r="A296" t="inlineStr">
        <is>
          <t>A 7026-2023</t>
        </is>
      </c>
      <c r="B296" s="1" t="n">
        <v>44968.30340277778</v>
      </c>
      <c r="C296" s="1" t="n">
        <v>45890</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16501-2023</t>
        </is>
      </c>
      <c r="B297" s="1" t="n">
        <v>45029</v>
      </c>
      <c r="C297" s="1" t="n">
        <v>45890</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52892-2021</t>
        </is>
      </c>
      <c r="B298" s="1" t="n">
        <v>44467.49048611111</v>
      </c>
      <c r="C298" s="1" t="n">
        <v>45890</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1351-2025</t>
        </is>
      </c>
      <c r="B299" s="1" t="n">
        <v>45667.62246527777</v>
      </c>
      <c r="C299" s="1" t="n">
        <v>45890</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17682-2024</t>
        </is>
      </c>
      <c r="B300" s="1" t="n">
        <v>45418.42966435185</v>
      </c>
      <c r="C300" s="1" t="n">
        <v>45890</v>
      </c>
      <c r="D300" t="inlineStr">
        <is>
          <t>GOTLANDS LÄN</t>
        </is>
      </c>
      <c r="E300" t="inlineStr">
        <is>
          <t>GOTLAND</t>
        </is>
      </c>
      <c r="G300" t="n">
        <v>2.9</v>
      </c>
      <c r="H300" t="n">
        <v>0</v>
      </c>
      <c r="I300" t="n">
        <v>0</v>
      </c>
      <c r="J300" t="n">
        <v>0</v>
      </c>
      <c r="K300" t="n">
        <v>0</v>
      </c>
      <c r="L300" t="n">
        <v>0</v>
      </c>
      <c r="M300" t="n">
        <v>0</v>
      </c>
      <c r="N300" t="n">
        <v>0</v>
      </c>
      <c r="O300" t="n">
        <v>0</v>
      </c>
      <c r="P300" t="n">
        <v>0</v>
      </c>
      <c r="Q300" t="n">
        <v>0</v>
      </c>
      <c r="R300" s="2" t="inlineStr"/>
    </row>
    <row r="301" ht="15" customHeight="1">
      <c r="A301" t="inlineStr">
        <is>
          <t>A 27095-2022</t>
        </is>
      </c>
      <c r="B301" s="1" t="n">
        <v>44741</v>
      </c>
      <c r="C301" s="1" t="n">
        <v>45890</v>
      </c>
      <c r="D301" t="inlineStr">
        <is>
          <t>GOTLANDS LÄN</t>
        </is>
      </c>
      <c r="E301" t="inlineStr">
        <is>
          <t>GOTLAND</t>
        </is>
      </c>
      <c r="F301" t="inlineStr">
        <is>
          <t>Övriga Aktiebolag</t>
        </is>
      </c>
      <c r="G301" t="n">
        <v>2.9</v>
      </c>
      <c r="H301" t="n">
        <v>0</v>
      </c>
      <c r="I301" t="n">
        <v>0</v>
      </c>
      <c r="J301" t="n">
        <v>0</v>
      </c>
      <c r="K301" t="n">
        <v>0</v>
      </c>
      <c r="L301" t="n">
        <v>0</v>
      </c>
      <c r="M301" t="n">
        <v>0</v>
      </c>
      <c r="N301" t="n">
        <v>0</v>
      </c>
      <c r="O301" t="n">
        <v>0</v>
      </c>
      <c r="P301" t="n">
        <v>0</v>
      </c>
      <c r="Q301" t="n">
        <v>0</v>
      </c>
      <c r="R301" s="2" t="inlineStr"/>
    </row>
    <row r="302" ht="15" customHeight="1">
      <c r="A302" t="inlineStr">
        <is>
          <t>A 458-2023</t>
        </is>
      </c>
      <c r="B302" s="1" t="n">
        <v>44929</v>
      </c>
      <c r="C302" s="1" t="n">
        <v>45890</v>
      </c>
      <c r="D302" t="inlineStr">
        <is>
          <t>GOTLANDS LÄN</t>
        </is>
      </c>
      <c r="E302" t="inlineStr">
        <is>
          <t>GOTLAND</t>
        </is>
      </c>
      <c r="G302" t="n">
        <v>3.6</v>
      </c>
      <c r="H302" t="n">
        <v>0</v>
      </c>
      <c r="I302" t="n">
        <v>0</v>
      </c>
      <c r="J302" t="n">
        <v>0</v>
      </c>
      <c r="K302" t="n">
        <v>0</v>
      </c>
      <c r="L302" t="n">
        <v>0</v>
      </c>
      <c r="M302" t="n">
        <v>0</v>
      </c>
      <c r="N302" t="n">
        <v>0</v>
      </c>
      <c r="O302" t="n">
        <v>0</v>
      </c>
      <c r="P302" t="n">
        <v>0</v>
      </c>
      <c r="Q302" t="n">
        <v>0</v>
      </c>
      <c r="R302" s="2" t="inlineStr"/>
    </row>
    <row r="303" ht="15" customHeight="1">
      <c r="A303" t="inlineStr">
        <is>
          <t>A 1291-2023</t>
        </is>
      </c>
      <c r="B303" s="1" t="n">
        <v>44936.47561342592</v>
      </c>
      <c r="C303" s="1" t="n">
        <v>45890</v>
      </c>
      <c r="D303" t="inlineStr">
        <is>
          <t>GOTLANDS LÄN</t>
        </is>
      </c>
      <c r="E303" t="inlineStr">
        <is>
          <t>GOTLAND</t>
        </is>
      </c>
      <c r="G303" t="n">
        <v>7.4</v>
      </c>
      <c r="H303" t="n">
        <v>0</v>
      </c>
      <c r="I303" t="n">
        <v>0</v>
      </c>
      <c r="J303" t="n">
        <v>0</v>
      </c>
      <c r="K303" t="n">
        <v>0</v>
      </c>
      <c r="L303" t="n">
        <v>0</v>
      </c>
      <c r="M303" t="n">
        <v>0</v>
      </c>
      <c r="N303" t="n">
        <v>0</v>
      </c>
      <c r="O303" t="n">
        <v>0</v>
      </c>
      <c r="P303" t="n">
        <v>0</v>
      </c>
      <c r="Q303" t="n">
        <v>0</v>
      </c>
      <c r="R303" s="2" t="inlineStr"/>
    </row>
    <row r="304" ht="15" customHeight="1">
      <c r="A304" t="inlineStr">
        <is>
          <t>A 61897-2024</t>
        </is>
      </c>
      <c r="B304" s="1" t="n">
        <v>45652.75685185185</v>
      </c>
      <c r="C304" s="1" t="n">
        <v>45890</v>
      </c>
      <c r="D304" t="inlineStr">
        <is>
          <t>GOTLANDS LÄN</t>
        </is>
      </c>
      <c r="E304" t="inlineStr">
        <is>
          <t>GOTLAND</t>
        </is>
      </c>
      <c r="G304" t="n">
        <v>6.4</v>
      </c>
      <c r="H304" t="n">
        <v>0</v>
      </c>
      <c r="I304" t="n">
        <v>0</v>
      </c>
      <c r="J304" t="n">
        <v>0</v>
      </c>
      <c r="K304" t="n">
        <v>0</v>
      </c>
      <c r="L304" t="n">
        <v>0</v>
      </c>
      <c r="M304" t="n">
        <v>0</v>
      </c>
      <c r="N304" t="n">
        <v>0</v>
      </c>
      <c r="O304" t="n">
        <v>0</v>
      </c>
      <c r="P304" t="n">
        <v>0</v>
      </c>
      <c r="Q304" t="n">
        <v>0</v>
      </c>
      <c r="R304" s="2" t="inlineStr"/>
    </row>
    <row r="305" ht="15" customHeight="1">
      <c r="A305" t="inlineStr">
        <is>
          <t>A 12032-2025</t>
        </is>
      </c>
      <c r="B305" s="1" t="n">
        <v>45728.64472222222</v>
      </c>
      <c r="C305" s="1" t="n">
        <v>45890</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49874-2024</t>
        </is>
      </c>
      <c r="B306" s="1" t="n">
        <v>45597.49274305555</v>
      </c>
      <c r="C306" s="1" t="n">
        <v>45890</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15595-2024</t>
        </is>
      </c>
      <c r="B307" s="1" t="n">
        <v>45401.81480324074</v>
      </c>
      <c r="C307" s="1" t="n">
        <v>45890</v>
      </c>
      <c r="D307" t="inlineStr">
        <is>
          <t>GOTLANDS LÄN</t>
        </is>
      </c>
      <c r="E307" t="inlineStr">
        <is>
          <t>GOTLAND</t>
        </is>
      </c>
      <c r="G307" t="n">
        <v>6.4</v>
      </c>
      <c r="H307" t="n">
        <v>0</v>
      </c>
      <c r="I307" t="n">
        <v>0</v>
      </c>
      <c r="J307" t="n">
        <v>0</v>
      </c>
      <c r="K307" t="n">
        <v>0</v>
      </c>
      <c r="L307" t="n">
        <v>0</v>
      </c>
      <c r="M307" t="n">
        <v>0</v>
      </c>
      <c r="N307" t="n">
        <v>0</v>
      </c>
      <c r="O307" t="n">
        <v>0</v>
      </c>
      <c r="P307" t="n">
        <v>0</v>
      </c>
      <c r="Q307" t="n">
        <v>0</v>
      </c>
      <c r="R307" s="2" t="inlineStr"/>
    </row>
    <row r="308" ht="15" customHeight="1">
      <c r="A308" t="inlineStr">
        <is>
          <t>A 8701-2025</t>
        </is>
      </c>
      <c r="B308" s="1" t="n">
        <v>45712</v>
      </c>
      <c r="C308" s="1" t="n">
        <v>45890</v>
      </c>
      <c r="D308" t="inlineStr">
        <is>
          <t>GOTLANDS LÄN</t>
        </is>
      </c>
      <c r="E308" t="inlineStr">
        <is>
          <t>GOTLAND</t>
        </is>
      </c>
      <c r="G308" t="n">
        <v>7</v>
      </c>
      <c r="H308" t="n">
        <v>0</v>
      </c>
      <c r="I308" t="n">
        <v>0</v>
      </c>
      <c r="J308" t="n">
        <v>0</v>
      </c>
      <c r="K308" t="n">
        <v>0</v>
      </c>
      <c r="L308" t="n">
        <v>0</v>
      </c>
      <c r="M308" t="n">
        <v>0</v>
      </c>
      <c r="N308" t="n">
        <v>0</v>
      </c>
      <c r="O308" t="n">
        <v>0</v>
      </c>
      <c r="P308" t="n">
        <v>0</v>
      </c>
      <c r="Q308" t="n">
        <v>0</v>
      </c>
      <c r="R308" s="2" t="inlineStr"/>
    </row>
    <row r="309" ht="15" customHeight="1">
      <c r="A309" t="inlineStr">
        <is>
          <t>A 32330-2024</t>
        </is>
      </c>
      <c r="B309" s="1" t="n">
        <v>45512</v>
      </c>
      <c r="C309" s="1" t="n">
        <v>45890</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12599-2025</t>
        </is>
      </c>
      <c r="B310" s="1" t="n">
        <v>45733.29546296296</v>
      </c>
      <c r="C310" s="1" t="n">
        <v>45890</v>
      </c>
      <c r="D310" t="inlineStr">
        <is>
          <t>GOTLANDS LÄN</t>
        </is>
      </c>
      <c r="E310" t="inlineStr">
        <is>
          <t>GOTLAND</t>
        </is>
      </c>
      <c r="G310" t="n">
        <v>4.7</v>
      </c>
      <c r="H310" t="n">
        <v>0</v>
      </c>
      <c r="I310" t="n">
        <v>0</v>
      </c>
      <c r="J310" t="n">
        <v>0</v>
      </c>
      <c r="K310" t="n">
        <v>0</v>
      </c>
      <c r="L310" t="n">
        <v>0</v>
      </c>
      <c r="M310" t="n">
        <v>0</v>
      </c>
      <c r="N310" t="n">
        <v>0</v>
      </c>
      <c r="O310" t="n">
        <v>0</v>
      </c>
      <c r="P310" t="n">
        <v>0</v>
      </c>
      <c r="Q310" t="n">
        <v>0</v>
      </c>
      <c r="R310" s="2" t="inlineStr"/>
    </row>
    <row r="311" ht="15" customHeight="1">
      <c r="A311" t="inlineStr">
        <is>
          <t>A 5891-2025</t>
        </is>
      </c>
      <c r="B311" s="1" t="n">
        <v>45695.38327546296</v>
      </c>
      <c r="C311" s="1" t="n">
        <v>45890</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14804-2021</t>
        </is>
      </c>
      <c r="B312" s="1" t="n">
        <v>44280</v>
      </c>
      <c r="C312" s="1" t="n">
        <v>45890</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19002-2025</t>
        </is>
      </c>
      <c r="B313" s="1" t="n">
        <v>45764</v>
      </c>
      <c r="C313" s="1" t="n">
        <v>45890</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2719-2023</t>
        </is>
      </c>
      <c r="B314" s="1" t="n">
        <v>44944.55361111111</v>
      </c>
      <c r="C314" s="1" t="n">
        <v>45890</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17144-2025</t>
        </is>
      </c>
      <c r="B315" s="1" t="n">
        <v>45755.9499537037</v>
      </c>
      <c r="C315" s="1" t="n">
        <v>45890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49314-2024</t>
        </is>
      </c>
      <c r="B316" s="1" t="n">
        <v>45595.55893518519</v>
      </c>
      <c r="C316" s="1" t="n">
        <v>45890</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21164-2024</t>
        </is>
      </c>
      <c r="B317" s="1" t="n">
        <v>45440</v>
      </c>
      <c r="C317" s="1" t="n">
        <v>45890</v>
      </c>
      <c r="D317" t="inlineStr">
        <is>
          <t>GOTLANDS LÄN</t>
        </is>
      </c>
      <c r="E317" t="inlineStr">
        <is>
          <t>GOTLAND</t>
        </is>
      </c>
      <c r="G317" t="n">
        <v>6.3</v>
      </c>
      <c r="H317" t="n">
        <v>0</v>
      </c>
      <c r="I317" t="n">
        <v>0</v>
      </c>
      <c r="J317" t="n">
        <v>0</v>
      </c>
      <c r="K317" t="n">
        <v>0</v>
      </c>
      <c r="L317" t="n">
        <v>0</v>
      </c>
      <c r="M317" t="n">
        <v>0</v>
      </c>
      <c r="N317" t="n">
        <v>0</v>
      </c>
      <c r="O317" t="n">
        <v>0</v>
      </c>
      <c r="P317" t="n">
        <v>0</v>
      </c>
      <c r="Q317" t="n">
        <v>0</v>
      </c>
      <c r="R317" s="2" t="inlineStr"/>
    </row>
    <row r="318" ht="15" customHeight="1">
      <c r="A318" t="inlineStr">
        <is>
          <t>A 9875-2025</t>
        </is>
      </c>
      <c r="B318" s="1" t="n">
        <v>45716</v>
      </c>
      <c r="C318" s="1" t="n">
        <v>45890</v>
      </c>
      <c r="D318" t="inlineStr">
        <is>
          <t>GOTLANDS LÄN</t>
        </is>
      </c>
      <c r="E318" t="inlineStr">
        <is>
          <t>GOTLAND</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17541-2024</t>
        </is>
      </c>
      <c r="B319" s="1" t="n">
        <v>45415</v>
      </c>
      <c r="C319" s="1" t="n">
        <v>45890</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883-2025</t>
        </is>
      </c>
      <c r="B320" s="1" t="n">
        <v>45665</v>
      </c>
      <c r="C320" s="1" t="n">
        <v>45890</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13910-2025</t>
        </is>
      </c>
      <c r="B321" s="1" t="n">
        <v>45737</v>
      </c>
      <c r="C321" s="1" t="n">
        <v>45890</v>
      </c>
      <c r="D321" t="inlineStr">
        <is>
          <t>GOTLANDS LÄN</t>
        </is>
      </c>
      <c r="E321" t="inlineStr">
        <is>
          <t>GOTLAND</t>
        </is>
      </c>
      <c r="F321" t="inlineStr">
        <is>
          <t>Kommuner</t>
        </is>
      </c>
      <c r="G321" t="n">
        <v>3.2</v>
      </c>
      <c r="H321" t="n">
        <v>0</v>
      </c>
      <c r="I321" t="n">
        <v>0</v>
      </c>
      <c r="J321" t="n">
        <v>0</v>
      </c>
      <c r="K321" t="n">
        <v>0</v>
      </c>
      <c r="L321" t="n">
        <v>0</v>
      </c>
      <c r="M321" t="n">
        <v>0</v>
      </c>
      <c r="N321" t="n">
        <v>0</v>
      </c>
      <c r="O321" t="n">
        <v>0</v>
      </c>
      <c r="P321" t="n">
        <v>0</v>
      </c>
      <c r="Q321" t="n">
        <v>0</v>
      </c>
      <c r="R321" s="2" t="inlineStr"/>
    </row>
    <row r="322" ht="15" customHeight="1">
      <c r="A322" t="inlineStr">
        <is>
          <t>A 29809-2022</t>
        </is>
      </c>
      <c r="B322" s="1" t="n">
        <v>44755.8713425926</v>
      </c>
      <c r="C322" s="1" t="n">
        <v>45890</v>
      </c>
      <c r="D322" t="inlineStr">
        <is>
          <t>GOTLANDS LÄN</t>
        </is>
      </c>
      <c r="E322" t="inlineStr">
        <is>
          <t>GOTLAND</t>
        </is>
      </c>
      <c r="G322" t="n">
        <v>11.5</v>
      </c>
      <c r="H322" t="n">
        <v>0</v>
      </c>
      <c r="I322" t="n">
        <v>0</v>
      </c>
      <c r="J322" t="n">
        <v>0</v>
      </c>
      <c r="K322" t="n">
        <v>0</v>
      </c>
      <c r="L322" t="n">
        <v>0</v>
      </c>
      <c r="M322" t="n">
        <v>0</v>
      </c>
      <c r="N322" t="n">
        <v>0</v>
      </c>
      <c r="O322" t="n">
        <v>0</v>
      </c>
      <c r="P322" t="n">
        <v>0</v>
      </c>
      <c r="Q322" t="n">
        <v>0</v>
      </c>
      <c r="R322" s="2" t="inlineStr"/>
    </row>
    <row r="323" ht="15" customHeight="1">
      <c r="A323" t="inlineStr">
        <is>
          <t>A 51782-2023</t>
        </is>
      </c>
      <c r="B323" s="1" t="n">
        <v>45222.80952546297</v>
      </c>
      <c r="C323" s="1" t="n">
        <v>45890</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60675-2021</t>
        </is>
      </c>
      <c r="B324" s="1" t="n">
        <v>44496.64855324074</v>
      </c>
      <c r="C324" s="1" t="n">
        <v>45890</v>
      </c>
      <c r="D324" t="inlineStr">
        <is>
          <t>GOTLANDS LÄN</t>
        </is>
      </c>
      <c r="E324" t="inlineStr">
        <is>
          <t>GOTLAND</t>
        </is>
      </c>
      <c r="G324" t="n">
        <v>4.6</v>
      </c>
      <c r="H324" t="n">
        <v>0</v>
      </c>
      <c r="I324" t="n">
        <v>0</v>
      </c>
      <c r="J324" t="n">
        <v>0</v>
      </c>
      <c r="K324" t="n">
        <v>0</v>
      </c>
      <c r="L324" t="n">
        <v>0</v>
      </c>
      <c r="M324" t="n">
        <v>0</v>
      </c>
      <c r="N324" t="n">
        <v>0</v>
      </c>
      <c r="O324" t="n">
        <v>0</v>
      </c>
      <c r="P324" t="n">
        <v>0</v>
      </c>
      <c r="Q324" t="n">
        <v>0</v>
      </c>
      <c r="R324" s="2" t="inlineStr"/>
    </row>
    <row r="325" ht="15" customHeight="1">
      <c r="A325" t="inlineStr">
        <is>
          <t>A 20794-2025</t>
        </is>
      </c>
      <c r="B325" s="1" t="n">
        <v>45776</v>
      </c>
      <c r="C325" s="1" t="n">
        <v>45890</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20812-2025</t>
        </is>
      </c>
      <c r="B326" s="1" t="n">
        <v>45776</v>
      </c>
      <c r="C326" s="1" t="n">
        <v>45890</v>
      </c>
      <c r="D326" t="inlineStr">
        <is>
          <t>GOTLANDS LÄN</t>
        </is>
      </c>
      <c r="E326" t="inlineStr">
        <is>
          <t>GOTLAND</t>
        </is>
      </c>
      <c r="G326" t="n">
        <v>3</v>
      </c>
      <c r="H326" t="n">
        <v>0</v>
      </c>
      <c r="I326" t="n">
        <v>0</v>
      </c>
      <c r="J326" t="n">
        <v>0</v>
      </c>
      <c r="K326" t="n">
        <v>0</v>
      </c>
      <c r="L326" t="n">
        <v>0</v>
      </c>
      <c r="M326" t="n">
        <v>0</v>
      </c>
      <c r="N326" t="n">
        <v>0</v>
      </c>
      <c r="O326" t="n">
        <v>0</v>
      </c>
      <c r="P326" t="n">
        <v>0</v>
      </c>
      <c r="Q326" t="n">
        <v>0</v>
      </c>
      <c r="R326" s="2" t="inlineStr"/>
    </row>
    <row r="327" ht="15" customHeight="1">
      <c r="A327" t="inlineStr">
        <is>
          <t>A 16361-2024</t>
        </is>
      </c>
      <c r="B327" s="1" t="n">
        <v>45407</v>
      </c>
      <c r="C327" s="1" t="n">
        <v>45890</v>
      </c>
      <c r="D327" t="inlineStr">
        <is>
          <t>GOTLANDS LÄN</t>
        </is>
      </c>
      <c r="E327" t="inlineStr">
        <is>
          <t>GOTLAND</t>
        </is>
      </c>
      <c r="G327" t="n">
        <v>6</v>
      </c>
      <c r="H327" t="n">
        <v>0</v>
      </c>
      <c r="I327" t="n">
        <v>0</v>
      </c>
      <c r="J327" t="n">
        <v>0</v>
      </c>
      <c r="K327" t="n">
        <v>0</v>
      </c>
      <c r="L327" t="n">
        <v>0</v>
      </c>
      <c r="M327" t="n">
        <v>0</v>
      </c>
      <c r="N327" t="n">
        <v>0</v>
      </c>
      <c r="O327" t="n">
        <v>0</v>
      </c>
      <c r="P327" t="n">
        <v>0</v>
      </c>
      <c r="Q327" t="n">
        <v>0</v>
      </c>
      <c r="R327" s="2" t="inlineStr"/>
    </row>
    <row r="328" ht="15" customHeight="1">
      <c r="A328" t="inlineStr">
        <is>
          <t>A 20805-2025</t>
        </is>
      </c>
      <c r="B328" s="1" t="n">
        <v>45776</v>
      </c>
      <c r="C328" s="1" t="n">
        <v>45890</v>
      </c>
      <c r="D328" t="inlineStr">
        <is>
          <t>GOTLANDS LÄN</t>
        </is>
      </c>
      <c r="E328" t="inlineStr">
        <is>
          <t>GOTLAND</t>
        </is>
      </c>
      <c r="G328" t="n">
        <v>3.1</v>
      </c>
      <c r="H328" t="n">
        <v>0</v>
      </c>
      <c r="I328" t="n">
        <v>0</v>
      </c>
      <c r="J328" t="n">
        <v>0</v>
      </c>
      <c r="K328" t="n">
        <v>0</v>
      </c>
      <c r="L328" t="n">
        <v>0</v>
      </c>
      <c r="M328" t="n">
        <v>0</v>
      </c>
      <c r="N328" t="n">
        <v>0</v>
      </c>
      <c r="O328" t="n">
        <v>0</v>
      </c>
      <c r="P328" t="n">
        <v>0</v>
      </c>
      <c r="Q328" t="n">
        <v>0</v>
      </c>
      <c r="R328" s="2" t="inlineStr"/>
    </row>
    <row r="329" ht="15" customHeight="1">
      <c r="A329" t="inlineStr">
        <is>
          <t>A 5217-2023</t>
        </is>
      </c>
      <c r="B329" s="1" t="n">
        <v>44959.39582175926</v>
      </c>
      <c r="C329" s="1" t="n">
        <v>45890</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21389-2025</t>
        </is>
      </c>
      <c r="B330" s="1" t="n">
        <v>45782</v>
      </c>
      <c r="C330" s="1" t="n">
        <v>45890</v>
      </c>
      <c r="D330" t="inlineStr">
        <is>
          <t>GOTLANDS LÄN</t>
        </is>
      </c>
      <c r="E330" t="inlineStr">
        <is>
          <t>GOTLAND</t>
        </is>
      </c>
      <c r="G330" t="n">
        <v>4.1</v>
      </c>
      <c r="H330" t="n">
        <v>0</v>
      </c>
      <c r="I330" t="n">
        <v>0</v>
      </c>
      <c r="J330" t="n">
        <v>0</v>
      </c>
      <c r="K330" t="n">
        <v>0</v>
      </c>
      <c r="L330" t="n">
        <v>0</v>
      </c>
      <c r="M330" t="n">
        <v>0</v>
      </c>
      <c r="N330" t="n">
        <v>0</v>
      </c>
      <c r="O330" t="n">
        <v>0</v>
      </c>
      <c r="P330" t="n">
        <v>0</v>
      </c>
      <c r="Q330" t="n">
        <v>0</v>
      </c>
      <c r="R330" s="2" t="inlineStr"/>
    </row>
    <row r="331" ht="15" customHeight="1">
      <c r="A331" t="inlineStr">
        <is>
          <t>A 21142-2025</t>
        </is>
      </c>
      <c r="B331" s="1" t="n">
        <v>45779</v>
      </c>
      <c r="C331" s="1" t="n">
        <v>45890</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14638-2025</t>
        </is>
      </c>
      <c r="B332" s="1" t="n">
        <v>45742</v>
      </c>
      <c r="C332" s="1" t="n">
        <v>45890</v>
      </c>
      <c r="D332" t="inlineStr">
        <is>
          <t>GOTLANDS LÄN</t>
        </is>
      </c>
      <c r="E332" t="inlineStr">
        <is>
          <t>GOTLAND</t>
        </is>
      </c>
      <c r="G332" t="n">
        <v>13.4</v>
      </c>
      <c r="H332" t="n">
        <v>0</v>
      </c>
      <c r="I332" t="n">
        <v>0</v>
      </c>
      <c r="J332" t="n">
        <v>0</v>
      </c>
      <c r="K332" t="n">
        <v>0</v>
      </c>
      <c r="L332" t="n">
        <v>0</v>
      </c>
      <c r="M332" t="n">
        <v>0</v>
      </c>
      <c r="N332" t="n">
        <v>0</v>
      </c>
      <c r="O332" t="n">
        <v>0</v>
      </c>
      <c r="P332" t="n">
        <v>0</v>
      </c>
      <c r="Q332" t="n">
        <v>0</v>
      </c>
      <c r="R332" s="2" t="inlineStr"/>
    </row>
    <row r="333" ht="15" customHeight="1">
      <c r="A333" t="inlineStr">
        <is>
          <t>A 4421-2024</t>
        </is>
      </c>
      <c r="B333" s="1" t="n">
        <v>45327.45173611111</v>
      </c>
      <c r="C333" s="1" t="n">
        <v>45890</v>
      </c>
      <c r="D333" t="inlineStr">
        <is>
          <t>GOTLANDS LÄN</t>
        </is>
      </c>
      <c r="E333" t="inlineStr">
        <is>
          <t>GOTLAND</t>
        </is>
      </c>
      <c r="G333" t="n">
        <v>5.1</v>
      </c>
      <c r="H333" t="n">
        <v>0</v>
      </c>
      <c r="I333" t="n">
        <v>0</v>
      </c>
      <c r="J333" t="n">
        <v>0</v>
      </c>
      <c r="K333" t="n">
        <v>0</v>
      </c>
      <c r="L333" t="n">
        <v>0</v>
      </c>
      <c r="M333" t="n">
        <v>0</v>
      </c>
      <c r="N333" t="n">
        <v>0</v>
      </c>
      <c r="O333" t="n">
        <v>0</v>
      </c>
      <c r="P333" t="n">
        <v>0</v>
      </c>
      <c r="Q333" t="n">
        <v>0</v>
      </c>
      <c r="R333" s="2" t="inlineStr"/>
    </row>
    <row r="334" ht="15" customHeight="1">
      <c r="A334" t="inlineStr">
        <is>
          <t>A 43081-2022</t>
        </is>
      </c>
      <c r="B334" s="1" t="n">
        <v>44833</v>
      </c>
      <c r="C334" s="1" t="n">
        <v>45890</v>
      </c>
      <c r="D334" t="inlineStr">
        <is>
          <t>GOTLANDS LÄN</t>
        </is>
      </c>
      <c r="E334" t="inlineStr">
        <is>
          <t>GOTLAND</t>
        </is>
      </c>
      <c r="G334" t="n">
        <v>6.8</v>
      </c>
      <c r="H334" t="n">
        <v>0</v>
      </c>
      <c r="I334" t="n">
        <v>0</v>
      </c>
      <c r="J334" t="n">
        <v>0</v>
      </c>
      <c r="K334" t="n">
        <v>0</v>
      </c>
      <c r="L334" t="n">
        <v>0</v>
      </c>
      <c r="M334" t="n">
        <v>0</v>
      </c>
      <c r="N334" t="n">
        <v>0</v>
      </c>
      <c r="O334" t="n">
        <v>0</v>
      </c>
      <c r="P334" t="n">
        <v>0</v>
      </c>
      <c r="Q334" t="n">
        <v>0</v>
      </c>
      <c r="R334" s="2" t="inlineStr"/>
    </row>
    <row r="335" ht="15" customHeight="1">
      <c r="A335" t="inlineStr">
        <is>
          <t>A 1175-2025</t>
        </is>
      </c>
      <c r="B335" s="1" t="n">
        <v>45667.34449074074</v>
      </c>
      <c r="C335" s="1" t="n">
        <v>45890</v>
      </c>
      <c r="D335" t="inlineStr">
        <is>
          <t>GOTLANDS LÄN</t>
        </is>
      </c>
      <c r="E335" t="inlineStr">
        <is>
          <t>GOTLAND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21651-2025</t>
        </is>
      </c>
      <c r="B336" s="1" t="n">
        <v>45783</v>
      </c>
      <c r="C336" s="1" t="n">
        <v>45890</v>
      </c>
      <c r="D336" t="inlineStr">
        <is>
          <t>GOTLANDS LÄN</t>
        </is>
      </c>
      <c r="E336" t="inlineStr">
        <is>
          <t>GOTLAND</t>
        </is>
      </c>
      <c r="G336" t="n">
        <v>4.2</v>
      </c>
      <c r="H336" t="n">
        <v>0</v>
      </c>
      <c r="I336" t="n">
        <v>0</v>
      </c>
      <c r="J336" t="n">
        <v>0</v>
      </c>
      <c r="K336" t="n">
        <v>0</v>
      </c>
      <c r="L336" t="n">
        <v>0</v>
      </c>
      <c r="M336" t="n">
        <v>0</v>
      </c>
      <c r="N336" t="n">
        <v>0</v>
      </c>
      <c r="O336" t="n">
        <v>0</v>
      </c>
      <c r="P336" t="n">
        <v>0</v>
      </c>
      <c r="Q336" t="n">
        <v>0</v>
      </c>
      <c r="R336" s="2" t="inlineStr"/>
    </row>
    <row r="337" ht="15" customHeight="1">
      <c r="A337" t="inlineStr">
        <is>
          <t>A 20165-2022</t>
        </is>
      </c>
      <c r="B337" s="1" t="n">
        <v>44698.49854166667</v>
      </c>
      <c r="C337" s="1" t="n">
        <v>45890</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31264-2021</t>
        </is>
      </c>
      <c r="B338" s="1" t="n">
        <v>44368</v>
      </c>
      <c r="C338" s="1" t="n">
        <v>45890</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42201-2023</t>
        </is>
      </c>
      <c r="B339" s="1" t="n">
        <v>45179</v>
      </c>
      <c r="C339" s="1" t="n">
        <v>45890</v>
      </c>
      <c r="D339" t="inlineStr">
        <is>
          <t>GOTLANDS LÄN</t>
        </is>
      </c>
      <c r="E339" t="inlineStr">
        <is>
          <t>GOTLAND</t>
        </is>
      </c>
      <c r="G339" t="n">
        <v>11.9</v>
      </c>
      <c r="H339" t="n">
        <v>0</v>
      </c>
      <c r="I339" t="n">
        <v>0</v>
      </c>
      <c r="J339" t="n">
        <v>0</v>
      </c>
      <c r="K339" t="n">
        <v>0</v>
      </c>
      <c r="L339" t="n">
        <v>0</v>
      </c>
      <c r="M339" t="n">
        <v>0</v>
      </c>
      <c r="N339" t="n">
        <v>0</v>
      </c>
      <c r="O339" t="n">
        <v>0</v>
      </c>
      <c r="P339" t="n">
        <v>0</v>
      </c>
      <c r="Q339" t="n">
        <v>0</v>
      </c>
      <c r="R339" s="2" t="inlineStr"/>
    </row>
    <row r="340" ht="15" customHeight="1">
      <c r="A340" t="inlineStr">
        <is>
          <t>A 3150-2025</t>
        </is>
      </c>
      <c r="B340" s="1" t="n">
        <v>45679.28974537037</v>
      </c>
      <c r="C340" s="1" t="n">
        <v>45890</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33876-2024</t>
        </is>
      </c>
      <c r="B341" s="1" t="n">
        <v>45521.87988425926</v>
      </c>
      <c r="C341" s="1" t="n">
        <v>45890</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43223-2023</t>
        </is>
      </c>
      <c r="B342" s="1" t="n">
        <v>45183.45642361111</v>
      </c>
      <c r="C342" s="1" t="n">
        <v>45890</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42041-2024</t>
        </is>
      </c>
      <c r="B343" s="1" t="n">
        <v>45561</v>
      </c>
      <c r="C343" s="1" t="n">
        <v>45890</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61962-2024</t>
        </is>
      </c>
      <c r="B344" s="1" t="n">
        <v>45653.54340277778</v>
      </c>
      <c r="C344" s="1" t="n">
        <v>45890</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61964-2024</t>
        </is>
      </c>
      <c r="B345" s="1" t="n">
        <v>45653.54789351852</v>
      </c>
      <c r="C345" s="1" t="n">
        <v>45890</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27930-2021</t>
        </is>
      </c>
      <c r="B346" s="1" t="n">
        <v>44354</v>
      </c>
      <c r="C346" s="1" t="n">
        <v>45890</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59469-2024</t>
        </is>
      </c>
      <c r="B347" s="1" t="n">
        <v>45638</v>
      </c>
      <c r="C347" s="1" t="n">
        <v>45890</v>
      </c>
      <c r="D347" t="inlineStr">
        <is>
          <t>GOTLANDS LÄN</t>
        </is>
      </c>
      <c r="E347" t="inlineStr">
        <is>
          <t>GOTLAND</t>
        </is>
      </c>
      <c r="G347" t="n">
        <v>0.4</v>
      </c>
      <c r="H347" t="n">
        <v>0</v>
      </c>
      <c r="I347" t="n">
        <v>0</v>
      </c>
      <c r="J347" t="n">
        <v>0</v>
      </c>
      <c r="K347" t="n">
        <v>0</v>
      </c>
      <c r="L347" t="n">
        <v>0</v>
      </c>
      <c r="M347" t="n">
        <v>0</v>
      </c>
      <c r="N347" t="n">
        <v>0</v>
      </c>
      <c r="O347" t="n">
        <v>0</v>
      </c>
      <c r="P347" t="n">
        <v>0</v>
      </c>
      <c r="Q347" t="n">
        <v>0</v>
      </c>
      <c r="R347" s="2" t="inlineStr"/>
    </row>
    <row r="348" ht="15" customHeight="1">
      <c r="A348" t="inlineStr">
        <is>
          <t>A 1345-2025</t>
        </is>
      </c>
      <c r="B348" s="1" t="n">
        <v>45667.60511574074</v>
      </c>
      <c r="C348" s="1" t="n">
        <v>45890</v>
      </c>
      <c r="D348" t="inlineStr">
        <is>
          <t>GOTLANDS LÄN</t>
        </is>
      </c>
      <c r="E348" t="inlineStr">
        <is>
          <t>GOTLAND</t>
        </is>
      </c>
      <c r="G348" t="n">
        <v>5.7</v>
      </c>
      <c r="H348" t="n">
        <v>0</v>
      </c>
      <c r="I348" t="n">
        <v>0</v>
      </c>
      <c r="J348" t="n">
        <v>0</v>
      </c>
      <c r="K348" t="n">
        <v>0</v>
      </c>
      <c r="L348" t="n">
        <v>0</v>
      </c>
      <c r="M348" t="n">
        <v>0</v>
      </c>
      <c r="N348" t="n">
        <v>0</v>
      </c>
      <c r="O348" t="n">
        <v>0</v>
      </c>
      <c r="P348" t="n">
        <v>0</v>
      </c>
      <c r="Q348" t="n">
        <v>0</v>
      </c>
      <c r="R348" s="2" t="inlineStr"/>
    </row>
    <row r="349" ht="15" customHeight="1">
      <c r="A349" t="inlineStr">
        <is>
          <t>A 18993-2025</t>
        </is>
      </c>
      <c r="B349" s="1" t="n">
        <v>45764</v>
      </c>
      <c r="C349" s="1" t="n">
        <v>45890</v>
      </c>
      <c r="D349" t="inlineStr">
        <is>
          <t>GOTLANDS LÄN</t>
        </is>
      </c>
      <c r="E349" t="inlineStr">
        <is>
          <t>GOTLAND</t>
        </is>
      </c>
      <c r="G349" t="n">
        <v>3</v>
      </c>
      <c r="H349" t="n">
        <v>0</v>
      </c>
      <c r="I349" t="n">
        <v>0</v>
      </c>
      <c r="J349" t="n">
        <v>0</v>
      </c>
      <c r="K349" t="n">
        <v>0</v>
      </c>
      <c r="L349" t="n">
        <v>0</v>
      </c>
      <c r="M349" t="n">
        <v>0</v>
      </c>
      <c r="N349" t="n">
        <v>0</v>
      </c>
      <c r="O349" t="n">
        <v>0</v>
      </c>
      <c r="P349" t="n">
        <v>0</v>
      </c>
      <c r="Q349" t="n">
        <v>0</v>
      </c>
      <c r="R349" s="2" t="inlineStr"/>
    </row>
    <row r="350" ht="15" customHeight="1">
      <c r="A350" t="inlineStr">
        <is>
          <t>A 21420-2024</t>
        </is>
      </c>
      <c r="B350" s="1" t="n">
        <v>45441.38293981482</v>
      </c>
      <c r="C350" s="1" t="n">
        <v>45890</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15436-2025</t>
        </is>
      </c>
      <c r="B351" s="1" t="n">
        <v>45747.47462962963</v>
      </c>
      <c r="C351" s="1" t="n">
        <v>45890</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5751-2024</t>
        </is>
      </c>
      <c r="B352" s="1" t="n">
        <v>45335.32702546296</v>
      </c>
      <c r="C352" s="1" t="n">
        <v>45890</v>
      </c>
      <c r="D352" t="inlineStr">
        <is>
          <t>GOTLANDS LÄN</t>
        </is>
      </c>
      <c r="E352" t="inlineStr">
        <is>
          <t>GOTLAND</t>
        </is>
      </c>
      <c r="G352" t="n">
        <v>4.2</v>
      </c>
      <c r="H352" t="n">
        <v>0</v>
      </c>
      <c r="I352" t="n">
        <v>0</v>
      </c>
      <c r="J352" t="n">
        <v>0</v>
      </c>
      <c r="K352" t="n">
        <v>0</v>
      </c>
      <c r="L352" t="n">
        <v>0</v>
      </c>
      <c r="M352" t="n">
        <v>0</v>
      </c>
      <c r="N352" t="n">
        <v>0</v>
      </c>
      <c r="O352" t="n">
        <v>0</v>
      </c>
      <c r="P352" t="n">
        <v>0</v>
      </c>
      <c r="Q352" t="n">
        <v>0</v>
      </c>
      <c r="R352" s="2" t="inlineStr"/>
    </row>
    <row r="353" ht="15" customHeight="1">
      <c r="A353" t="inlineStr">
        <is>
          <t>A 10656-2024</t>
        </is>
      </c>
      <c r="B353" s="1" t="n">
        <v>45368</v>
      </c>
      <c r="C353" s="1" t="n">
        <v>45890</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6696-2023</t>
        </is>
      </c>
      <c r="B354" s="1" t="n">
        <v>44966.66425925926</v>
      </c>
      <c r="C354" s="1" t="n">
        <v>45890</v>
      </c>
      <c r="D354" t="inlineStr">
        <is>
          <t>GOTLANDS LÄN</t>
        </is>
      </c>
      <c r="E354" t="inlineStr">
        <is>
          <t>GOTLAND</t>
        </is>
      </c>
      <c r="G354" t="n">
        <v>1.5</v>
      </c>
      <c r="H354" t="n">
        <v>0</v>
      </c>
      <c r="I354" t="n">
        <v>0</v>
      </c>
      <c r="J354" t="n">
        <v>0</v>
      </c>
      <c r="K354" t="n">
        <v>0</v>
      </c>
      <c r="L354" t="n">
        <v>0</v>
      </c>
      <c r="M354" t="n">
        <v>0</v>
      </c>
      <c r="N354" t="n">
        <v>0</v>
      </c>
      <c r="O354" t="n">
        <v>0</v>
      </c>
      <c r="P354" t="n">
        <v>0</v>
      </c>
      <c r="Q354" t="n">
        <v>0</v>
      </c>
      <c r="R354" s="2" t="inlineStr"/>
    </row>
    <row r="355" ht="15" customHeight="1">
      <c r="A355" t="inlineStr">
        <is>
          <t>A 57356-2023</t>
        </is>
      </c>
      <c r="B355" s="1" t="n">
        <v>45240</v>
      </c>
      <c r="C355" s="1" t="n">
        <v>45890</v>
      </c>
      <c r="D355" t="inlineStr">
        <is>
          <t>GOTLANDS LÄN</t>
        </is>
      </c>
      <c r="E355" t="inlineStr">
        <is>
          <t>GOTLAND</t>
        </is>
      </c>
      <c r="G355" t="n">
        <v>6.4</v>
      </c>
      <c r="H355" t="n">
        <v>0</v>
      </c>
      <c r="I355" t="n">
        <v>0</v>
      </c>
      <c r="J355" t="n">
        <v>0</v>
      </c>
      <c r="K355" t="n">
        <v>0</v>
      </c>
      <c r="L355" t="n">
        <v>0</v>
      </c>
      <c r="M355" t="n">
        <v>0</v>
      </c>
      <c r="N355" t="n">
        <v>0</v>
      </c>
      <c r="O355" t="n">
        <v>0</v>
      </c>
      <c r="P355" t="n">
        <v>0</v>
      </c>
      <c r="Q355" t="n">
        <v>0</v>
      </c>
      <c r="R355" s="2" t="inlineStr"/>
    </row>
    <row r="356" ht="15" customHeight="1">
      <c r="A356" t="inlineStr">
        <is>
          <t>A 28480-2023</t>
        </is>
      </c>
      <c r="B356" s="1" t="n">
        <v>45103</v>
      </c>
      <c r="C356" s="1" t="n">
        <v>45890</v>
      </c>
      <c r="D356" t="inlineStr">
        <is>
          <t>GOTLANDS LÄN</t>
        </is>
      </c>
      <c r="E356" t="inlineStr">
        <is>
          <t>GOTLAND</t>
        </is>
      </c>
      <c r="G356" t="n">
        <v>5.7</v>
      </c>
      <c r="H356" t="n">
        <v>0</v>
      </c>
      <c r="I356" t="n">
        <v>0</v>
      </c>
      <c r="J356" t="n">
        <v>0</v>
      </c>
      <c r="K356" t="n">
        <v>0</v>
      </c>
      <c r="L356" t="n">
        <v>0</v>
      </c>
      <c r="M356" t="n">
        <v>0</v>
      </c>
      <c r="N356" t="n">
        <v>0</v>
      </c>
      <c r="O356" t="n">
        <v>0</v>
      </c>
      <c r="P356" t="n">
        <v>0</v>
      </c>
      <c r="Q356" t="n">
        <v>0</v>
      </c>
      <c r="R356" s="2" t="inlineStr"/>
    </row>
    <row r="357" ht="15" customHeight="1">
      <c r="A357" t="inlineStr">
        <is>
          <t>A 28485-2023</t>
        </is>
      </c>
      <c r="B357" s="1" t="n">
        <v>45103.43731481482</v>
      </c>
      <c r="C357" s="1" t="n">
        <v>45890</v>
      </c>
      <c r="D357" t="inlineStr">
        <is>
          <t>GOTLANDS LÄN</t>
        </is>
      </c>
      <c r="E357" t="inlineStr">
        <is>
          <t>GOTLAND</t>
        </is>
      </c>
      <c r="G357" t="n">
        <v>2.3</v>
      </c>
      <c r="H357" t="n">
        <v>0</v>
      </c>
      <c r="I357" t="n">
        <v>0</v>
      </c>
      <c r="J357" t="n">
        <v>0</v>
      </c>
      <c r="K357" t="n">
        <v>0</v>
      </c>
      <c r="L357" t="n">
        <v>0</v>
      </c>
      <c r="M357" t="n">
        <v>0</v>
      </c>
      <c r="N357" t="n">
        <v>0</v>
      </c>
      <c r="O357" t="n">
        <v>0</v>
      </c>
      <c r="P357" t="n">
        <v>0</v>
      </c>
      <c r="Q357" t="n">
        <v>0</v>
      </c>
      <c r="R357" s="2" t="inlineStr"/>
    </row>
    <row r="358" ht="15" customHeight="1">
      <c r="A358" t="inlineStr">
        <is>
          <t>A 4990-2025</t>
        </is>
      </c>
      <c r="B358" s="1" t="n">
        <v>45691</v>
      </c>
      <c r="C358" s="1" t="n">
        <v>45890</v>
      </c>
      <c r="D358" t="inlineStr">
        <is>
          <t>GOTLANDS LÄN</t>
        </is>
      </c>
      <c r="E358" t="inlineStr">
        <is>
          <t>GOTLAND</t>
        </is>
      </c>
      <c r="G358" t="n">
        <v>7.7</v>
      </c>
      <c r="H358" t="n">
        <v>0</v>
      </c>
      <c r="I358" t="n">
        <v>0</v>
      </c>
      <c r="J358" t="n">
        <v>0</v>
      </c>
      <c r="K358" t="n">
        <v>0</v>
      </c>
      <c r="L358" t="n">
        <v>0</v>
      </c>
      <c r="M358" t="n">
        <v>0</v>
      </c>
      <c r="N358" t="n">
        <v>0</v>
      </c>
      <c r="O358" t="n">
        <v>0</v>
      </c>
      <c r="P358" t="n">
        <v>0</v>
      </c>
      <c r="Q358" t="n">
        <v>0</v>
      </c>
      <c r="R358" s="2" t="inlineStr"/>
    </row>
    <row r="359" ht="15" customHeight="1">
      <c r="A359" t="inlineStr">
        <is>
          <t>A 28506-2023</t>
        </is>
      </c>
      <c r="B359" s="1" t="n">
        <v>45103</v>
      </c>
      <c r="C359" s="1" t="n">
        <v>45890</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21247-2022</t>
        </is>
      </c>
      <c r="B360" s="1" t="n">
        <v>44705.38832175926</v>
      </c>
      <c r="C360" s="1" t="n">
        <v>45890</v>
      </c>
      <c r="D360" t="inlineStr">
        <is>
          <t>GOTLANDS LÄN</t>
        </is>
      </c>
      <c r="E360" t="inlineStr">
        <is>
          <t>GOTLAND</t>
        </is>
      </c>
      <c r="G360" t="n">
        <v>16.2</v>
      </c>
      <c r="H360" t="n">
        <v>0</v>
      </c>
      <c r="I360" t="n">
        <v>0</v>
      </c>
      <c r="J360" t="n">
        <v>0</v>
      </c>
      <c r="K360" t="n">
        <v>0</v>
      </c>
      <c r="L360" t="n">
        <v>0</v>
      </c>
      <c r="M360" t="n">
        <v>0</v>
      </c>
      <c r="N360" t="n">
        <v>0</v>
      </c>
      <c r="O360" t="n">
        <v>0</v>
      </c>
      <c r="P360" t="n">
        <v>0</v>
      </c>
      <c r="Q360" t="n">
        <v>0</v>
      </c>
      <c r="R360" s="2" t="inlineStr"/>
    </row>
    <row r="361" ht="15" customHeight="1">
      <c r="A361" t="inlineStr">
        <is>
          <t>A 23188-2025</t>
        </is>
      </c>
      <c r="B361" s="1" t="n">
        <v>45791</v>
      </c>
      <c r="C361" s="1" t="n">
        <v>45890</v>
      </c>
      <c r="D361" t="inlineStr">
        <is>
          <t>GOTLANDS LÄN</t>
        </is>
      </c>
      <c r="E361" t="inlineStr">
        <is>
          <t>GOTLAND</t>
        </is>
      </c>
      <c r="G361" t="n">
        <v>6.2</v>
      </c>
      <c r="H361" t="n">
        <v>0</v>
      </c>
      <c r="I361" t="n">
        <v>0</v>
      </c>
      <c r="J361" t="n">
        <v>0</v>
      </c>
      <c r="K361" t="n">
        <v>0</v>
      </c>
      <c r="L361" t="n">
        <v>0</v>
      </c>
      <c r="M361" t="n">
        <v>0</v>
      </c>
      <c r="N361" t="n">
        <v>0</v>
      </c>
      <c r="O361" t="n">
        <v>0</v>
      </c>
      <c r="P361" t="n">
        <v>0</v>
      </c>
      <c r="Q361" t="n">
        <v>0</v>
      </c>
      <c r="R361" s="2" t="inlineStr"/>
    </row>
    <row r="362" ht="15" customHeight="1">
      <c r="A362" t="inlineStr">
        <is>
          <t>A 18914-2025</t>
        </is>
      </c>
      <c r="B362" s="1" t="n">
        <v>45764.46783564815</v>
      </c>
      <c r="C362" s="1" t="n">
        <v>45890</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38165-2023</t>
        </is>
      </c>
      <c r="B363" s="1" t="n">
        <v>45161</v>
      </c>
      <c r="C363" s="1" t="n">
        <v>45890</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17780-2022</t>
        </is>
      </c>
      <c r="B364" s="1" t="n">
        <v>44682.82622685185</v>
      </c>
      <c r="C364" s="1" t="n">
        <v>45890</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63516-2023</t>
        </is>
      </c>
      <c r="B365" s="1" t="n">
        <v>45274</v>
      </c>
      <c r="C365" s="1" t="n">
        <v>45890</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53935-2024</t>
        </is>
      </c>
      <c r="B366" s="1" t="n">
        <v>45615</v>
      </c>
      <c r="C366" s="1" t="n">
        <v>45890</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45890</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18938-2025</t>
        </is>
      </c>
      <c r="B368" s="1" t="n">
        <v>45764.49172453704</v>
      </c>
      <c r="C368" s="1" t="n">
        <v>45890</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69112-2021</t>
        </is>
      </c>
      <c r="B369" s="1" t="n">
        <v>44530</v>
      </c>
      <c r="C369" s="1" t="n">
        <v>45890</v>
      </c>
      <c r="D369" t="inlineStr">
        <is>
          <t>GOTLANDS LÄN</t>
        </is>
      </c>
      <c r="E369" t="inlineStr">
        <is>
          <t>GOTLAND</t>
        </is>
      </c>
      <c r="G369" t="n">
        <v>4.2</v>
      </c>
      <c r="H369" t="n">
        <v>0</v>
      </c>
      <c r="I369" t="n">
        <v>0</v>
      </c>
      <c r="J369" t="n">
        <v>0</v>
      </c>
      <c r="K369" t="n">
        <v>0</v>
      </c>
      <c r="L369" t="n">
        <v>0</v>
      </c>
      <c r="M369" t="n">
        <v>0</v>
      </c>
      <c r="N369" t="n">
        <v>0</v>
      </c>
      <c r="O369" t="n">
        <v>0</v>
      </c>
      <c r="P369" t="n">
        <v>0</v>
      </c>
      <c r="Q369" t="n">
        <v>0</v>
      </c>
      <c r="R369" s="2" t="inlineStr"/>
    </row>
    <row r="370" ht="15" customHeight="1">
      <c r="A370" t="inlineStr">
        <is>
          <t>A 48734-2022</t>
        </is>
      </c>
      <c r="B370" s="1" t="n">
        <v>44855</v>
      </c>
      <c r="C370" s="1" t="n">
        <v>45890</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23516-2023</t>
        </is>
      </c>
      <c r="B371" s="1" t="n">
        <v>45076.93391203704</v>
      </c>
      <c r="C371" s="1" t="n">
        <v>45890</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43231-2023</t>
        </is>
      </c>
      <c r="B372" s="1" t="n">
        <v>45183.47025462963</v>
      </c>
      <c r="C372" s="1" t="n">
        <v>45890</v>
      </c>
      <c r="D372" t="inlineStr">
        <is>
          <t>GOTLANDS LÄN</t>
        </is>
      </c>
      <c r="E372" t="inlineStr">
        <is>
          <t>GOTLAND</t>
        </is>
      </c>
      <c r="G372" t="n">
        <v>3.6</v>
      </c>
      <c r="H372" t="n">
        <v>0</v>
      </c>
      <c r="I372" t="n">
        <v>0</v>
      </c>
      <c r="J372" t="n">
        <v>0</v>
      </c>
      <c r="K372" t="n">
        <v>0</v>
      </c>
      <c r="L372" t="n">
        <v>0</v>
      </c>
      <c r="M372" t="n">
        <v>0</v>
      </c>
      <c r="N372" t="n">
        <v>0</v>
      </c>
      <c r="O372" t="n">
        <v>0</v>
      </c>
      <c r="P372" t="n">
        <v>0</v>
      </c>
      <c r="Q372" t="n">
        <v>0</v>
      </c>
      <c r="R372" s="2" t="inlineStr"/>
    </row>
    <row r="373" ht="15" customHeight="1">
      <c r="A373" t="inlineStr">
        <is>
          <t>A 49693-2023</t>
        </is>
      </c>
      <c r="B373" s="1" t="n">
        <v>45212.38138888889</v>
      </c>
      <c r="C373" s="1" t="n">
        <v>45890</v>
      </c>
      <c r="D373" t="inlineStr">
        <is>
          <t>GOTLANDS LÄN</t>
        </is>
      </c>
      <c r="E373" t="inlineStr">
        <is>
          <t>GOTLAND</t>
        </is>
      </c>
      <c r="G373" t="n">
        <v>2.4</v>
      </c>
      <c r="H373" t="n">
        <v>0</v>
      </c>
      <c r="I373" t="n">
        <v>0</v>
      </c>
      <c r="J373" t="n">
        <v>0</v>
      </c>
      <c r="K373" t="n">
        <v>0</v>
      </c>
      <c r="L373" t="n">
        <v>0</v>
      </c>
      <c r="M373" t="n">
        <v>0</v>
      </c>
      <c r="N373" t="n">
        <v>0</v>
      </c>
      <c r="O373" t="n">
        <v>0</v>
      </c>
      <c r="P373" t="n">
        <v>0</v>
      </c>
      <c r="Q373" t="n">
        <v>0</v>
      </c>
      <c r="R373" s="2" t="inlineStr"/>
    </row>
    <row r="374" ht="15" customHeight="1">
      <c r="A374" t="inlineStr">
        <is>
          <t>A 49697-2023</t>
        </is>
      </c>
      <c r="B374" s="1" t="n">
        <v>45212.38909722222</v>
      </c>
      <c r="C374" s="1" t="n">
        <v>45890</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58230-2024</t>
        </is>
      </c>
      <c r="B375" s="1" t="n">
        <v>45632.51625</v>
      </c>
      <c r="C375" s="1" t="n">
        <v>45890</v>
      </c>
      <c r="D375" t="inlineStr">
        <is>
          <t>GOTLANDS LÄN</t>
        </is>
      </c>
      <c r="E375" t="inlineStr">
        <is>
          <t>GOTLAND</t>
        </is>
      </c>
      <c r="G375" t="n">
        <v>7.3</v>
      </c>
      <c r="H375" t="n">
        <v>0</v>
      </c>
      <c r="I375" t="n">
        <v>0</v>
      </c>
      <c r="J375" t="n">
        <v>0</v>
      </c>
      <c r="K375" t="n">
        <v>0</v>
      </c>
      <c r="L375" t="n">
        <v>0</v>
      </c>
      <c r="M375" t="n">
        <v>0</v>
      </c>
      <c r="N375" t="n">
        <v>0</v>
      </c>
      <c r="O375" t="n">
        <v>0</v>
      </c>
      <c r="P375" t="n">
        <v>0</v>
      </c>
      <c r="Q375" t="n">
        <v>0</v>
      </c>
      <c r="R375" s="2" t="inlineStr"/>
    </row>
    <row r="376" ht="15" customHeight="1">
      <c r="A376" t="inlineStr">
        <is>
          <t>A 34312-2024</t>
        </is>
      </c>
      <c r="B376" s="1" t="n">
        <v>45524.69703703704</v>
      </c>
      <c r="C376" s="1" t="n">
        <v>45890</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64555-2023</t>
        </is>
      </c>
      <c r="B377" s="1" t="n">
        <v>45281</v>
      </c>
      <c r="C377" s="1" t="n">
        <v>45890</v>
      </c>
      <c r="D377" t="inlineStr">
        <is>
          <t>GOTLANDS LÄN</t>
        </is>
      </c>
      <c r="E377" t="inlineStr">
        <is>
          <t>GOTLAND</t>
        </is>
      </c>
      <c r="G377" t="n">
        <v>3.5</v>
      </c>
      <c r="H377" t="n">
        <v>0</v>
      </c>
      <c r="I377" t="n">
        <v>0</v>
      </c>
      <c r="J377" t="n">
        <v>0</v>
      </c>
      <c r="K377" t="n">
        <v>0</v>
      </c>
      <c r="L377" t="n">
        <v>0</v>
      </c>
      <c r="M377" t="n">
        <v>0</v>
      </c>
      <c r="N377" t="n">
        <v>0</v>
      </c>
      <c r="O377" t="n">
        <v>0</v>
      </c>
      <c r="P377" t="n">
        <v>0</v>
      </c>
      <c r="Q377" t="n">
        <v>0</v>
      </c>
      <c r="R377" s="2" t="inlineStr"/>
    </row>
    <row r="378" ht="15" customHeight="1">
      <c r="A378" t="inlineStr">
        <is>
          <t>A 457-2023</t>
        </is>
      </c>
      <c r="B378" s="1" t="n">
        <v>44929.87238425926</v>
      </c>
      <c r="C378" s="1" t="n">
        <v>45890</v>
      </c>
      <c r="D378" t="inlineStr">
        <is>
          <t>GOTLANDS LÄN</t>
        </is>
      </c>
      <c r="E378" t="inlineStr">
        <is>
          <t>GOTLAND</t>
        </is>
      </c>
      <c r="G378" t="n">
        <v>2.4</v>
      </c>
      <c r="H378" t="n">
        <v>0</v>
      </c>
      <c r="I378" t="n">
        <v>0</v>
      </c>
      <c r="J378" t="n">
        <v>0</v>
      </c>
      <c r="K378" t="n">
        <v>0</v>
      </c>
      <c r="L378" t="n">
        <v>0</v>
      </c>
      <c r="M378" t="n">
        <v>0</v>
      </c>
      <c r="N378" t="n">
        <v>0</v>
      </c>
      <c r="O378" t="n">
        <v>0</v>
      </c>
      <c r="P378" t="n">
        <v>0</v>
      </c>
      <c r="Q378" t="n">
        <v>0</v>
      </c>
      <c r="R378" s="2" t="inlineStr"/>
    </row>
    <row r="379" ht="15" customHeight="1">
      <c r="A379" t="inlineStr">
        <is>
          <t>A 459-2023</t>
        </is>
      </c>
      <c r="B379" s="1" t="n">
        <v>44929.87423611111</v>
      </c>
      <c r="C379" s="1" t="n">
        <v>45890</v>
      </c>
      <c r="D379" t="inlineStr">
        <is>
          <t>GOTLANDS LÄN</t>
        </is>
      </c>
      <c r="E379" t="inlineStr">
        <is>
          <t>GOTLAND</t>
        </is>
      </c>
      <c r="G379" t="n">
        <v>4.2</v>
      </c>
      <c r="H379" t="n">
        <v>0</v>
      </c>
      <c r="I379" t="n">
        <v>0</v>
      </c>
      <c r="J379" t="n">
        <v>0</v>
      </c>
      <c r="K379" t="n">
        <v>0</v>
      </c>
      <c r="L379" t="n">
        <v>0</v>
      </c>
      <c r="M379" t="n">
        <v>0</v>
      </c>
      <c r="N379" t="n">
        <v>0</v>
      </c>
      <c r="O379" t="n">
        <v>0</v>
      </c>
      <c r="P379" t="n">
        <v>0</v>
      </c>
      <c r="Q379" t="n">
        <v>0</v>
      </c>
      <c r="R379" s="2" t="inlineStr"/>
    </row>
    <row r="380" ht="15" customHeight="1">
      <c r="A380" t="inlineStr">
        <is>
          <t>A 23856-2025</t>
        </is>
      </c>
      <c r="B380" s="1" t="n">
        <v>45793</v>
      </c>
      <c r="C380" s="1" t="n">
        <v>45890</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23473-2025</t>
        </is>
      </c>
      <c r="B381" s="1" t="n">
        <v>45792</v>
      </c>
      <c r="C381" s="1" t="n">
        <v>45890</v>
      </c>
      <c r="D381" t="inlineStr">
        <is>
          <t>GOTLANDS LÄN</t>
        </is>
      </c>
      <c r="E381" t="inlineStr">
        <is>
          <t>GOTLAND</t>
        </is>
      </c>
      <c r="G381" t="n">
        <v>3.6</v>
      </c>
      <c r="H381" t="n">
        <v>0</v>
      </c>
      <c r="I381" t="n">
        <v>0</v>
      </c>
      <c r="J381" t="n">
        <v>0</v>
      </c>
      <c r="K381" t="n">
        <v>0</v>
      </c>
      <c r="L381" t="n">
        <v>0</v>
      </c>
      <c r="M381" t="n">
        <v>0</v>
      </c>
      <c r="N381" t="n">
        <v>0</v>
      </c>
      <c r="O381" t="n">
        <v>0</v>
      </c>
      <c r="P381" t="n">
        <v>0</v>
      </c>
      <c r="Q381" t="n">
        <v>0</v>
      </c>
      <c r="R381" s="2" t="inlineStr"/>
    </row>
    <row r="382" ht="15" customHeight="1">
      <c r="A382" t="inlineStr">
        <is>
          <t>A 6796-2025</t>
        </is>
      </c>
      <c r="B382" s="1" t="n">
        <v>45700.66559027778</v>
      </c>
      <c r="C382" s="1" t="n">
        <v>45890</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5674-2025</t>
        </is>
      </c>
      <c r="B383" s="1" t="n">
        <v>45694.28993055555</v>
      </c>
      <c r="C383" s="1" t="n">
        <v>45890</v>
      </c>
      <c r="D383" t="inlineStr">
        <is>
          <t>GOTLANDS LÄN</t>
        </is>
      </c>
      <c r="E383" t="inlineStr">
        <is>
          <t>GOTLAND</t>
        </is>
      </c>
      <c r="G383" t="n">
        <v>4.2</v>
      </c>
      <c r="H383" t="n">
        <v>0</v>
      </c>
      <c r="I383" t="n">
        <v>0</v>
      </c>
      <c r="J383" t="n">
        <v>0</v>
      </c>
      <c r="K383" t="n">
        <v>0</v>
      </c>
      <c r="L383" t="n">
        <v>0</v>
      </c>
      <c r="M383" t="n">
        <v>0</v>
      </c>
      <c r="N383" t="n">
        <v>0</v>
      </c>
      <c r="O383" t="n">
        <v>0</v>
      </c>
      <c r="P383" t="n">
        <v>0</v>
      </c>
      <c r="Q383" t="n">
        <v>0</v>
      </c>
      <c r="R383" s="2" t="inlineStr"/>
    </row>
    <row r="384" ht="15" customHeight="1">
      <c r="A384" t="inlineStr">
        <is>
          <t>A 5676-2025</t>
        </is>
      </c>
      <c r="B384" s="1" t="n">
        <v>45694.29512731481</v>
      </c>
      <c r="C384" s="1" t="n">
        <v>45890</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48503-2023</t>
        </is>
      </c>
      <c r="B385" s="1" t="n">
        <v>45207</v>
      </c>
      <c r="C385" s="1" t="n">
        <v>45890</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23698-2025</t>
        </is>
      </c>
      <c r="B386" s="1" t="n">
        <v>45793</v>
      </c>
      <c r="C386" s="1" t="n">
        <v>45890</v>
      </c>
      <c r="D386" t="inlineStr">
        <is>
          <t>GOTLANDS LÄN</t>
        </is>
      </c>
      <c r="E386" t="inlineStr">
        <is>
          <t>GOTLAND</t>
        </is>
      </c>
      <c r="G386" t="n">
        <v>0.8</v>
      </c>
      <c r="H386" t="n">
        <v>0</v>
      </c>
      <c r="I386" t="n">
        <v>0</v>
      </c>
      <c r="J386" t="n">
        <v>0</v>
      </c>
      <c r="K386" t="n">
        <v>0</v>
      </c>
      <c r="L386" t="n">
        <v>0</v>
      </c>
      <c r="M386" t="n">
        <v>0</v>
      </c>
      <c r="N386" t="n">
        <v>0</v>
      </c>
      <c r="O386" t="n">
        <v>0</v>
      </c>
      <c r="P386" t="n">
        <v>0</v>
      </c>
      <c r="Q386" t="n">
        <v>0</v>
      </c>
      <c r="R386" s="2" t="inlineStr"/>
    </row>
    <row r="387" ht="15" customHeight="1">
      <c r="A387" t="inlineStr">
        <is>
          <t>A 876-2024</t>
        </is>
      </c>
      <c r="B387" s="1" t="n">
        <v>45301</v>
      </c>
      <c r="C387" s="1" t="n">
        <v>45890</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23700-2025</t>
        </is>
      </c>
      <c r="B388" s="1" t="n">
        <v>45793</v>
      </c>
      <c r="C388" s="1" t="n">
        <v>45890</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15073-2025</t>
        </is>
      </c>
      <c r="B389" s="1" t="n">
        <v>45743</v>
      </c>
      <c r="C389" s="1" t="n">
        <v>45890</v>
      </c>
      <c r="D389" t="inlineStr">
        <is>
          <t>GOTLANDS LÄN</t>
        </is>
      </c>
      <c r="E389" t="inlineStr">
        <is>
          <t>GOTLAND</t>
        </is>
      </c>
      <c r="G389" t="n">
        <v>12.1</v>
      </c>
      <c r="H389" t="n">
        <v>0</v>
      </c>
      <c r="I389" t="n">
        <v>0</v>
      </c>
      <c r="J389" t="n">
        <v>0</v>
      </c>
      <c r="K389" t="n">
        <v>0</v>
      </c>
      <c r="L389" t="n">
        <v>0</v>
      </c>
      <c r="M389" t="n">
        <v>0</v>
      </c>
      <c r="N389" t="n">
        <v>0</v>
      </c>
      <c r="O389" t="n">
        <v>0</v>
      </c>
      <c r="P389" t="n">
        <v>0</v>
      </c>
      <c r="Q389" t="n">
        <v>0</v>
      </c>
      <c r="R389" s="2" t="inlineStr"/>
    </row>
    <row r="390" ht="15" customHeight="1">
      <c r="A390" t="inlineStr">
        <is>
          <t>A 15075-2025</t>
        </is>
      </c>
      <c r="B390" s="1" t="n">
        <v>45743</v>
      </c>
      <c r="C390" s="1" t="n">
        <v>45890</v>
      </c>
      <c r="D390" t="inlineStr">
        <is>
          <t>GOTLANDS LÄN</t>
        </is>
      </c>
      <c r="E390" t="inlineStr">
        <is>
          <t>GOTLAND</t>
        </is>
      </c>
      <c r="G390" t="n">
        <v>20.9</v>
      </c>
      <c r="H390" t="n">
        <v>0</v>
      </c>
      <c r="I390" t="n">
        <v>0</v>
      </c>
      <c r="J390" t="n">
        <v>0</v>
      </c>
      <c r="K390" t="n">
        <v>0</v>
      </c>
      <c r="L390" t="n">
        <v>0</v>
      </c>
      <c r="M390" t="n">
        <v>0</v>
      </c>
      <c r="N390" t="n">
        <v>0</v>
      </c>
      <c r="O390" t="n">
        <v>0</v>
      </c>
      <c r="P390" t="n">
        <v>0</v>
      </c>
      <c r="Q390" t="n">
        <v>0</v>
      </c>
      <c r="R390" s="2" t="inlineStr"/>
    </row>
    <row r="391" ht="15" customHeight="1">
      <c r="A391" t="inlineStr">
        <is>
          <t>A 26891-2024</t>
        </is>
      </c>
      <c r="B391" s="1" t="n">
        <v>45470.65540509259</v>
      </c>
      <c r="C391" s="1" t="n">
        <v>45890</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14536-2021</t>
        </is>
      </c>
      <c r="B392" s="1" t="n">
        <v>44279.66168981481</v>
      </c>
      <c r="C392" s="1" t="n">
        <v>45890</v>
      </c>
      <c r="D392" t="inlineStr">
        <is>
          <t>GOTLANDS LÄN</t>
        </is>
      </c>
      <c r="E392" t="inlineStr">
        <is>
          <t>GOTLAND</t>
        </is>
      </c>
      <c r="G392" t="n">
        <v>8.5</v>
      </c>
      <c r="H392" t="n">
        <v>0</v>
      </c>
      <c r="I392" t="n">
        <v>0</v>
      </c>
      <c r="J392" t="n">
        <v>0</v>
      </c>
      <c r="K392" t="n">
        <v>0</v>
      </c>
      <c r="L392" t="n">
        <v>0</v>
      </c>
      <c r="M392" t="n">
        <v>0</v>
      </c>
      <c r="N392" t="n">
        <v>0</v>
      </c>
      <c r="O392" t="n">
        <v>0</v>
      </c>
      <c r="P392" t="n">
        <v>0</v>
      </c>
      <c r="Q392" t="n">
        <v>0</v>
      </c>
      <c r="R392" s="2" t="inlineStr"/>
    </row>
    <row r="393" ht="15" customHeight="1">
      <c r="A393" t="inlineStr">
        <is>
          <t>A 24825-2024</t>
        </is>
      </c>
      <c r="B393" s="1" t="n">
        <v>45461</v>
      </c>
      <c r="C393" s="1" t="n">
        <v>45890</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5923-2023</t>
        </is>
      </c>
      <c r="B394" s="1" t="n">
        <v>44963.69503472222</v>
      </c>
      <c r="C394" s="1" t="n">
        <v>45890</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50482-2024</t>
        </is>
      </c>
      <c r="B395" s="1" t="n">
        <v>45601.48114583334</v>
      </c>
      <c r="C395" s="1" t="n">
        <v>45890</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5943-2024</t>
        </is>
      </c>
      <c r="B396" s="1" t="n">
        <v>45336</v>
      </c>
      <c r="C396" s="1" t="n">
        <v>45890</v>
      </c>
      <c r="D396" t="inlineStr">
        <is>
          <t>GOTLANDS LÄN</t>
        </is>
      </c>
      <c r="E396" t="inlineStr">
        <is>
          <t>GOTLAND</t>
        </is>
      </c>
      <c r="G396" t="n">
        <v>4.3</v>
      </c>
      <c r="H396" t="n">
        <v>0</v>
      </c>
      <c r="I396" t="n">
        <v>0</v>
      </c>
      <c r="J396" t="n">
        <v>0</v>
      </c>
      <c r="K396" t="n">
        <v>0</v>
      </c>
      <c r="L396" t="n">
        <v>0</v>
      </c>
      <c r="M396" t="n">
        <v>0</v>
      </c>
      <c r="N396" t="n">
        <v>0</v>
      </c>
      <c r="O396" t="n">
        <v>0</v>
      </c>
      <c r="P396" t="n">
        <v>0</v>
      </c>
      <c r="Q396" t="n">
        <v>0</v>
      </c>
      <c r="R396" s="2" t="inlineStr"/>
    </row>
    <row r="397" ht="15" customHeight="1">
      <c r="A397" t="inlineStr">
        <is>
          <t>A 38234-2023</t>
        </is>
      </c>
      <c r="B397" s="1" t="n">
        <v>45161.56663194444</v>
      </c>
      <c r="C397" s="1" t="n">
        <v>45890</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22031-2024</t>
        </is>
      </c>
      <c r="B398" s="1" t="n">
        <v>45443.60075231481</v>
      </c>
      <c r="C398" s="1" t="n">
        <v>45890</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17688-2024</t>
        </is>
      </c>
      <c r="B399" s="1" t="n">
        <v>45418.43575231481</v>
      </c>
      <c r="C399" s="1" t="n">
        <v>45890</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1273-2023</t>
        </is>
      </c>
      <c r="B400" s="1" t="n">
        <v>44936</v>
      </c>
      <c r="C400" s="1" t="n">
        <v>45890</v>
      </c>
      <c r="D400" t="inlineStr">
        <is>
          <t>GOTLANDS LÄN</t>
        </is>
      </c>
      <c r="E400" t="inlineStr">
        <is>
          <t>GOTLAND</t>
        </is>
      </c>
      <c r="G400" t="n">
        <v>4.5</v>
      </c>
      <c r="H400" t="n">
        <v>0</v>
      </c>
      <c r="I400" t="n">
        <v>0</v>
      </c>
      <c r="J400" t="n">
        <v>0</v>
      </c>
      <c r="K400" t="n">
        <v>0</v>
      </c>
      <c r="L400" t="n">
        <v>0</v>
      </c>
      <c r="M400" t="n">
        <v>0</v>
      </c>
      <c r="N400" t="n">
        <v>0</v>
      </c>
      <c r="O400" t="n">
        <v>0</v>
      </c>
      <c r="P400" t="n">
        <v>0</v>
      </c>
      <c r="Q400" t="n">
        <v>0</v>
      </c>
      <c r="R400" s="2" t="inlineStr"/>
    </row>
    <row r="401" ht="15" customHeight="1">
      <c r="A401" t="inlineStr">
        <is>
          <t>A 6749-2025</t>
        </is>
      </c>
      <c r="B401" s="1" t="n">
        <v>45700</v>
      </c>
      <c r="C401" s="1" t="n">
        <v>45890</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45890</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17724-2024</t>
        </is>
      </c>
      <c r="B403" s="1" t="n">
        <v>45418.55096064815</v>
      </c>
      <c r="C403" s="1" t="n">
        <v>45890</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39764-2022</t>
        </is>
      </c>
      <c r="B404" s="1" t="n">
        <v>44819</v>
      </c>
      <c r="C404" s="1" t="n">
        <v>45890</v>
      </c>
      <c r="D404" t="inlineStr">
        <is>
          <t>GOTLANDS LÄN</t>
        </is>
      </c>
      <c r="E404" t="inlineStr">
        <is>
          <t>GOTLAND</t>
        </is>
      </c>
      <c r="F404" t="inlineStr">
        <is>
          <t>Kyrkan</t>
        </is>
      </c>
      <c r="G404" t="n">
        <v>3.7</v>
      </c>
      <c r="H404" t="n">
        <v>0</v>
      </c>
      <c r="I404" t="n">
        <v>0</v>
      </c>
      <c r="J404" t="n">
        <v>0</v>
      </c>
      <c r="K404" t="n">
        <v>0</v>
      </c>
      <c r="L404" t="n">
        <v>0</v>
      </c>
      <c r="M404" t="n">
        <v>0</v>
      </c>
      <c r="N404" t="n">
        <v>0</v>
      </c>
      <c r="O404" t="n">
        <v>0</v>
      </c>
      <c r="P404" t="n">
        <v>0</v>
      </c>
      <c r="Q404" t="n">
        <v>0</v>
      </c>
      <c r="R404" s="2" t="inlineStr"/>
    </row>
    <row r="405" ht="15" customHeight="1">
      <c r="A405" t="inlineStr">
        <is>
          <t>A 6099-2024</t>
        </is>
      </c>
      <c r="B405" s="1" t="n">
        <v>45337</v>
      </c>
      <c r="C405" s="1" t="n">
        <v>45890</v>
      </c>
      <c r="D405" t="inlineStr">
        <is>
          <t>GOTLANDS LÄN</t>
        </is>
      </c>
      <c r="E405" t="inlineStr">
        <is>
          <t>GOTLAND</t>
        </is>
      </c>
      <c r="G405" t="n">
        <v>12.6</v>
      </c>
      <c r="H405" t="n">
        <v>0</v>
      </c>
      <c r="I405" t="n">
        <v>0</v>
      </c>
      <c r="J405" t="n">
        <v>0</v>
      </c>
      <c r="K405" t="n">
        <v>0</v>
      </c>
      <c r="L405" t="n">
        <v>0</v>
      </c>
      <c r="M405" t="n">
        <v>0</v>
      </c>
      <c r="N405" t="n">
        <v>0</v>
      </c>
      <c r="O405" t="n">
        <v>0</v>
      </c>
      <c r="P405" t="n">
        <v>0</v>
      </c>
      <c r="Q405" t="n">
        <v>0</v>
      </c>
      <c r="R405" s="2" t="inlineStr"/>
    </row>
    <row r="406" ht="15" customHeight="1">
      <c r="A406" t="inlineStr">
        <is>
          <t>A 8260-2023</t>
        </is>
      </c>
      <c r="B406" s="1" t="n">
        <v>44974.61608796296</v>
      </c>
      <c r="C406" s="1" t="n">
        <v>45890</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5462-2025</t>
        </is>
      </c>
      <c r="B407" s="1" t="n">
        <v>45693.29331018519</v>
      </c>
      <c r="C407" s="1" t="n">
        <v>45890</v>
      </c>
      <c r="D407" t="inlineStr">
        <is>
          <t>GOTLANDS LÄN</t>
        </is>
      </c>
      <c r="E407" t="inlineStr">
        <is>
          <t>GOTLAND</t>
        </is>
      </c>
      <c r="G407" t="n">
        <v>2.6</v>
      </c>
      <c r="H407" t="n">
        <v>0</v>
      </c>
      <c r="I407" t="n">
        <v>0</v>
      </c>
      <c r="J407" t="n">
        <v>0</v>
      </c>
      <c r="K407" t="n">
        <v>0</v>
      </c>
      <c r="L407" t="n">
        <v>0</v>
      </c>
      <c r="M407" t="n">
        <v>0</v>
      </c>
      <c r="N407" t="n">
        <v>0</v>
      </c>
      <c r="O407" t="n">
        <v>0</v>
      </c>
      <c r="P407" t="n">
        <v>0</v>
      </c>
      <c r="Q407" t="n">
        <v>0</v>
      </c>
      <c r="R407" s="2" t="inlineStr"/>
    </row>
    <row r="408" ht="15" customHeight="1">
      <c r="A408" t="inlineStr">
        <is>
          <t>A 23978-2023</t>
        </is>
      </c>
      <c r="B408" s="1" t="n">
        <v>45078</v>
      </c>
      <c r="C408" s="1" t="n">
        <v>45890</v>
      </c>
      <c r="D408" t="inlineStr">
        <is>
          <t>GOTLANDS LÄN</t>
        </is>
      </c>
      <c r="E408" t="inlineStr">
        <is>
          <t>GOTLAND</t>
        </is>
      </c>
      <c r="F408" t="inlineStr">
        <is>
          <t>Naturvårdsverket</t>
        </is>
      </c>
      <c r="G408" t="n">
        <v>1.7</v>
      </c>
      <c r="H408" t="n">
        <v>0</v>
      </c>
      <c r="I408" t="n">
        <v>0</v>
      </c>
      <c r="J408" t="n">
        <v>0</v>
      </c>
      <c r="K408" t="n">
        <v>0</v>
      </c>
      <c r="L408" t="n">
        <v>0</v>
      </c>
      <c r="M408" t="n">
        <v>0</v>
      </c>
      <c r="N408" t="n">
        <v>0</v>
      </c>
      <c r="O408" t="n">
        <v>0</v>
      </c>
      <c r="P408" t="n">
        <v>0</v>
      </c>
      <c r="Q408" t="n">
        <v>0</v>
      </c>
      <c r="R408" s="2" t="inlineStr"/>
    </row>
    <row r="409" ht="15" customHeight="1">
      <c r="A409" t="inlineStr">
        <is>
          <t>A 49884-2023</t>
        </is>
      </c>
      <c r="B409" s="1" t="n">
        <v>45213</v>
      </c>
      <c r="C409" s="1" t="n">
        <v>45890</v>
      </c>
      <c r="D409" t="inlineStr">
        <is>
          <t>GOTLANDS LÄN</t>
        </is>
      </c>
      <c r="E409" t="inlineStr">
        <is>
          <t>GOTLAND</t>
        </is>
      </c>
      <c r="G409" t="n">
        <v>8.9</v>
      </c>
      <c r="H409" t="n">
        <v>0</v>
      </c>
      <c r="I409" t="n">
        <v>0</v>
      </c>
      <c r="J409" t="n">
        <v>0</v>
      </c>
      <c r="K409" t="n">
        <v>0</v>
      </c>
      <c r="L409" t="n">
        <v>0</v>
      </c>
      <c r="M409" t="n">
        <v>0</v>
      </c>
      <c r="N409" t="n">
        <v>0</v>
      </c>
      <c r="O409" t="n">
        <v>0</v>
      </c>
      <c r="P409" t="n">
        <v>0</v>
      </c>
      <c r="Q409" t="n">
        <v>0</v>
      </c>
      <c r="R409" s="2" t="inlineStr"/>
    </row>
    <row r="410" ht="15" customHeight="1">
      <c r="A410" t="inlineStr">
        <is>
          <t>A 12846-2025</t>
        </is>
      </c>
      <c r="B410" s="1" t="n">
        <v>45733.65049768519</v>
      </c>
      <c r="C410" s="1" t="n">
        <v>45890</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43200-2023</t>
        </is>
      </c>
      <c r="B411" s="1" t="n">
        <v>45183</v>
      </c>
      <c r="C411" s="1" t="n">
        <v>45890</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22287-2022</t>
        </is>
      </c>
      <c r="B412" s="1" t="n">
        <v>44712</v>
      </c>
      <c r="C412" s="1" t="n">
        <v>45890</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17343-2025</t>
        </is>
      </c>
      <c r="B413" s="1" t="n">
        <v>45756.6687037037</v>
      </c>
      <c r="C413" s="1" t="n">
        <v>45890</v>
      </c>
      <c r="D413" t="inlineStr">
        <is>
          <t>GOTLANDS LÄN</t>
        </is>
      </c>
      <c r="E413" t="inlineStr">
        <is>
          <t>GOTLAND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1477-2024</t>
        </is>
      </c>
      <c r="B414" s="1" t="n">
        <v>45305.37987268518</v>
      </c>
      <c r="C414" s="1" t="n">
        <v>45890</v>
      </c>
      <c r="D414" t="inlineStr">
        <is>
          <t>GOTLANDS LÄN</t>
        </is>
      </c>
      <c r="E414" t="inlineStr">
        <is>
          <t>GOTLAND</t>
        </is>
      </c>
      <c r="G414" t="n">
        <v>6.9</v>
      </c>
      <c r="H414" t="n">
        <v>0</v>
      </c>
      <c r="I414" t="n">
        <v>0</v>
      </c>
      <c r="J414" t="n">
        <v>0</v>
      </c>
      <c r="K414" t="n">
        <v>0</v>
      </c>
      <c r="L414" t="n">
        <v>0</v>
      </c>
      <c r="M414" t="n">
        <v>0</v>
      </c>
      <c r="N414" t="n">
        <v>0</v>
      </c>
      <c r="O414" t="n">
        <v>0</v>
      </c>
      <c r="P414" t="n">
        <v>0</v>
      </c>
      <c r="Q414" t="n">
        <v>0</v>
      </c>
      <c r="R414" s="2" t="inlineStr"/>
    </row>
    <row r="415" ht="15" customHeight="1">
      <c r="A415" t="inlineStr">
        <is>
          <t>A 3935-2025</t>
        </is>
      </c>
      <c r="B415" s="1" t="n">
        <v>45684.46070601852</v>
      </c>
      <c r="C415" s="1" t="n">
        <v>45890</v>
      </c>
      <c r="D415" t="inlineStr">
        <is>
          <t>GOTLANDS LÄN</t>
        </is>
      </c>
      <c r="E415" t="inlineStr">
        <is>
          <t>GOTLAND</t>
        </is>
      </c>
      <c r="G415" t="n">
        <v>2.6</v>
      </c>
      <c r="H415" t="n">
        <v>0</v>
      </c>
      <c r="I415" t="n">
        <v>0</v>
      </c>
      <c r="J415" t="n">
        <v>0</v>
      </c>
      <c r="K415" t="n">
        <v>0</v>
      </c>
      <c r="L415" t="n">
        <v>0</v>
      </c>
      <c r="M415" t="n">
        <v>0</v>
      </c>
      <c r="N415" t="n">
        <v>0</v>
      </c>
      <c r="O415" t="n">
        <v>0</v>
      </c>
      <c r="P415" t="n">
        <v>0</v>
      </c>
      <c r="Q415" t="n">
        <v>0</v>
      </c>
      <c r="R415" s="2" t="inlineStr"/>
    </row>
    <row r="416" ht="15" customHeight="1">
      <c r="A416" t="inlineStr">
        <is>
          <t>A 57534-2022</t>
        </is>
      </c>
      <c r="B416" s="1" t="n">
        <v>44896</v>
      </c>
      <c r="C416" s="1" t="n">
        <v>45890</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25678-2025</t>
        </is>
      </c>
      <c r="B417" s="1" t="n">
        <v>45803.64118055555</v>
      </c>
      <c r="C417" s="1" t="n">
        <v>45890</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21792-2024</t>
        </is>
      </c>
      <c r="B418" s="1" t="n">
        <v>45442.64326388889</v>
      </c>
      <c r="C418" s="1" t="n">
        <v>45890</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25796-2025</t>
        </is>
      </c>
      <c r="B419" s="1" t="n">
        <v>45804.39543981481</v>
      </c>
      <c r="C419" s="1" t="n">
        <v>45890</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48843-2024</t>
        </is>
      </c>
      <c r="B420" s="1" t="n">
        <v>45593</v>
      </c>
      <c r="C420" s="1" t="n">
        <v>45890</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10158-2025</t>
        </is>
      </c>
      <c r="B421" s="1" t="n">
        <v>45719</v>
      </c>
      <c r="C421" s="1" t="n">
        <v>45890</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64660-2023</t>
        </is>
      </c>
      <c r="B422" s="1" t="n">
        <v>45281.60122685185</v>
      </c>
      <c r="C422" s="1" t="n">
        <v>45890</v>
      </c>
      <c r="D422" t="inlineStr">
        <is>
          <t>GOTLANDS LÄN</t>
        </is>
      </c>
      <c r="E422" t="inlineStr">
        <is>
          <t>GOTLAND</t>
        </is>
      </c>
      <c r="G422" t="n">
        <v>6.3</v>
      </c>
      <c r="H422" t="n">
        <v>0</v>
      </c>
      <c r="I422" t="n">
        <v>0</v>
      </c>
      <c r="J422" t="n">
        <v>0</v>
      </c>
      <c r="K422" t="n">
        <v>0</v>
      </c>
      <c r="L422" t="n">
        <v>0</v>
      </c>
      <c r="M422" t="n">
        <v>0</v>
      </c>
      <c r="N422" t="n">
        <v>0</v>
      </c>
      <c r="O422" t="n">
        <v>0</v>
      </c>
      <c r="P422" t="n">
        <v>0</v>
      </c>
      <c r="Q422" t="n">
        <v>0</v>
      </c>
      <c r="R422" s="2" t="inlineStr"/>
    </row>
    <row r="423" ht="15" customHeight="1">
      <c r="A423" t="inlineStr">
        <is>
          <t>A 10653-2023</t>
        </is>
      </c>
      <c r="B423" s="1" t="n">
        <v>44988.48859953704</v>
      </c>
      <c r="C423" s="1" t="n">
        <v>45890</v>
      </c>
      <c r="D423" t="inlineStr">
        <is>
          <t>GOTLANDS LÄN</t>
        </is>
      </c>
      <c r="E423" t="inlineStr">
        <is>
          <t>GOTLAND</t>
        </is>
      </c>
      <c r="F423" t="inlineStr">
        <is>
          <t>Kyrkan</t>
        </is>
      </c>
      <c r="G423" t="n">
        <v>3</v>
      </c>
      <c r="H423" t="n">
        <v>0</v>
      </c>
      <c r="I423" t="n">
        <v>0</v>
      </c>
      <c r="J423" t="n">
        <v>0</v>
      </c>
      <c r="K423" t="n">
        <v>0</v>
      </c>
      <c r="L423" t="n">
        <v>0</v>
      </c>
      <c r="M423" t="n">
        <v>0</v>
      </c>
      <c r="N423" t="n">
        <v>0</v>
      </c>
      <c r="O423" t="n">
        <v>0</v>
      </c>
      <c r="P423" t="n">
        <v>0</v>
      </c>
      <c r="Q423" t="n">
        <v>0</v>
      </c>
      <c r="R423" s="2" t="inlineStr"/>
    </row>
    <row r="424" ht="15" customHeight="1">
      <c r="A424" t="inlineStr">
        <is>
          <t>A 26391-2025</t>
        </is>
      </c>
      <c r="B424" s="1" t="n">
        <v>45806</v>
      </c>
      <c r="C424" s="1" t="n">
        <v>45890</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26465-2025</t>
        </is>
      </c>
      <c r="B425" s="1" t="n">
        <v>45807.44377314814</v>
      </c>
      <c r="C425" s="1" t="n">
        <v>45890</v>
      </c>
      <c r="D425" t="inlineStr">
        <is>
          <t>GOTLANDS LÄN</t>
        </is>
      </c>
      <c r="E425" t="inlineStr">
        <is>
          <t>GOTLAND</t>
        </is>
      </c>
      <c r="G425" t="n">
        <v>4.5</v>
      </c>
      <c r="H425" t="n">
        <v>0</v>
      </c>
      <c r="I425" t="n">
        <v>0</v>
      </c>
      <c r="J425" t="n">
        <v>0</v>
      </c>
      <c r="K425" t="n">
        <v>0</v>
      </c>
      <c r="L425" t="n">
        <v>0</v>
      </c>
      <c r="M425" t="n">
        <v>0</v>
      </c>
      <c r="N425" t="n">
        <v>0</v>
      </c>
      <c r="O425" t="n">
        <v>0</v>
      </c>
      <c r="P425" t="n">
        <v>0</v>
      </c>
      <c r="Q425" t="n">
        <v>0</v>
      </c>
      <c r="R425" s="2" t="inlineStr"/>
    </row>
    <row r="426" ht="15" customHeight="1">
      <c r="A426" t="inlineStr">
        <is>
          <t>A 35512-2023</t>
        </is>
      </c>
      <c r="B426" s="1" t="n">
        <v>45147.25623842593</v>
      </c>
      <c r="C426" s="1" t="n">
        <v>45890</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26457-2025</t>
        </is>
      </c>
      <c r="B427" s="1" t="n">
        <v>45807.42773148148</v>
      </c>
      <c r="C427" s="1" t="n">
        <v>45890</v>
      </c>
      <c r="D427" t="inlineStr">
        <is>
          <t>GOTLANDS LÄN</t>
        </is>
      </c>
      <c r="E427" t="inlineStr">
        <is>
          <t>GOTLAND</t>
        </is>
      </c>
      <c r="G427" t="n">
        <v>5.7</v>
      </c>
      <c r="H427" t="n">
        <v>0</v>
      </c>
      <c r="I427" t="n">
        <v>0</v>
      </c>
      <c r="J427" t="n">
        <v>0</v>
      </c>
      <c r="K427" t="n">
        <v>0</v>
      </c>
      <c r="L427" t="n">
        <v>0</v>
      </c>
      <c r="M427" t="n">
        <v>0</v>
      </c>
      <c r="N427" t="n">
        <v>0</v>
      </c>
      <c r="O427" t="n">
        <v>0</v>
      </c>
      <c r="P427" t="n">
        <v>0</v>
      </c>
      <c r="Q427" t="n">
        <v>0</v>
      </c>
      <c r="R427" s="2" t="inlineStr"/>
    </row>
    <row r="428" ht="15" customHeight="1">
      <c r="A428" t="inlineStr">
        <is>
          <t>A 26467-2025</t>
        </is>
      </c>
      <c r="B428" s="1" t="n">
        <v>45807.44640046296</v>
      </c>
      <c r="C428" s="1" t="n">
        <v>45890</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11874-2024</t>
        </is>
      </c>
      <c r="B429" s="1" t="n">
        <v>45376.46956018519</v>
      </c>
      <c r="C429" s="1" t="n">
        <v>45890</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35123-2025</t>
        </is>
      </c>
      <c r="B430" s="1" t="n">
        <v>45852.614375</v>
      </c>
      <c r="C430" s="1" t="n">
        <v>45890</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35129-2025</t>
        </is>
      </c>
      <c r="B431" s="1" t="n">
        <v>45852.63224537037</v>
      </c>
      <c r="C431" s="1" t="n">
        <v>45890</v>
      </c>
      <c r="D431" t="inlineStr">
        <is>
          <t>GOTLANDS LÄN</t>
        </is>
      </c>
      <c r="E431" t="inlineStr">
        <is>
          <t>GOTLAND</t>
        </is>
      </c>
      <c r="G431" t="n">
        <v>3.2</v>
      </c>
      <c r="H431" t="n">
        <v>0</v>
      </c>
      <c r="I431" t="n">
        <v>0</v>
      </c>
      <c r="J431" t="n">
        <v>0</v>
      </c>
      <c r="K431" t="n">
        <v>0</v>
      </c>
      <c r="L431" t="n">
        <v>0</v>
      </c>
      <c r="M431" t="n">
        <v>0</v>
      </c>
      <c r="N431" t="n">
        <v>0</v>
      </c>
      <c r="O431" t="n">
        <v>0</v>
      </c>
      <c r="P431" t="n">
        <v>0</v>
      </c>
      <c r="Q431" t="n">
        <v>0</v>
      </c>
      <c r="R431" s="2" t="inlineStr"/>
    </row>
    <row r="432" ht="15" customHeight="1">
      <c r="A432" t="inlineStr">
        <is>
          <t>A 35133-2025</t>
        </is>
      </c>
      <c r="B432" s="1" t="n">
        <v>45852.6363425926</v>
      </c>
      <c r="C432" s="1" t="n">
        <v>45890</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35096-2025</t>
        </is>
      </c>
      <c r="B433" s="1" t="n">
        <v>45852.54356481481</v>
      </c>
      <c r="C433" s="1" t="n">
        <v>45890</v>
      </c>
      <c r="D433" t="inlineStr">
        <is>
          <t>GOTLANDS LÄN</t>
        </is>
      </c>
      <c r="E433" t="inlineStr">
        <is>
          <t>GOTLAND</t>
        </is>
      </c>
      <c r="F433" t="inlineStr">
        <is>
          <t>Kyrkan</t>
        </is>
      </c>
      <c r="G433" t="n">
        <v>1</v>
      </c>
      <c r="H433" t="n">
        <v>0</v>
      </c>
      <c r="I433" t="n">
        <v>0</v>
      </c>
      <c r="J433" t="n">
        <v>0</v>
      </c>
      <c r="K433" t="n">
        <v>0</v>
      </c>
      <c r="L433" t="n">
        <v>0</v>
      </c>
      <c r="M433" t="n">
        <v>0</v>
      </c>
      <c r="N433" t="n">
        <v>0</v>
      </c>
      <c r="O433" t="n">
        <v>0</v>
      </c>
      <c r="P433" t="n">
        <v>0</v>
      </c>
      <c r="Q433" t="n">
        <v>0</v>
      </c>
      <c r="R433" s="2" t="inlineStr"/>
    </row>
    <row r="434" ht="15" customHeight="1">
      <c r="A434" t="inlineStr">
        <is>
          <t>A 32669-2024</t>
        </is>
      </c>
      <c r="B434" s="1" t="n">
        <v>45514</v>
      </c>
      <c r="C434" s="1" t="n">
        <v>45890</v>
      </c>
      <c r="D434" t="inlineStr">
        <is>
          <t>GOTLANDS LÄN</t>
        </is>
      </c>
      <c r="E434" t="inlineStr">
        <is>
          <t>GOTLAND</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35141-2025</t>
        </is>
      </c>
      <c r="B435" s="1" t="n">
        <v>45852.65206018519</v>
      </c>
      <c r="C435" s="1" t="n">
        <v>45890</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35142-2025</t>
        </is>
      </c>
      <c r="B436" s="1" t="n">
        <v>45852.65532407408</v>
      </c>
      <c r="C436" s="1" t="n">
        <v>45890</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20855-2023</t>
        </is>
      </c>
      <c r="B437" s="1" t="n">
        <v>45058.82172453704</v>
      </c>
      <c r="C437" s="1" t="n">
        <v>45890</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26660-2025</t>
        </is>
      </c>
      <c r="B438" s="1" t="n">
        <v>45810.39737268518</v>
      </c>
      <c r="C438" s="1" t="n">
        <v>45890</v>
      </c>
      <c r="D438" t="inlineStr">
        <is>
          <t>GOTLANDS LÄN</t>
        </is>
      </c>
      <c r="E438" t="inlineStr">
        <is>
          <t>GOTLAND</t>
        </is>
      </c>
      <c r="G438" t="n">
        <v>1.8</v>
      </c>
      <c r="H438" t="n">
        <v>0</v>
      </c>
      <c r="I438" t="n">
        <v>0</v>
      </c>
      <c r="J438" t="n">
        <v>0</v>
      </c>
      <c r="K438" t="n">
        <v>0</v>
      </c>
      <c r="L438" t="n">
        <v>0</v>
      </c>
      <c r="M438" t="n">
        <v>0</v>
      </c>
      <c r="N438" t="n">
        <v>0</v>
      </c>
      <c r="O438" t="n">
        <v>0</v>
      </c>
      <c r="P438" t="n">
        <v>0</v>
      </c>
      <c r="Q438" t="n">
        <v>0</v>
      </c>
      <c r="R438" s="2" t="inlineStr"/>
    </row>
    <row r="439" ht="15" customHeight="1">
      <c r="A439" t="inlineStr">
        <is>
          <t>A 20225-2025</t>
        </is>
      </c>
      <c r="B439" s="1" t="n">
        <v>45772.65802083333</v>
      </c>
      <c r="C439" s="1" t="n">
        <v>45890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1677-2023</t>
        </is>
      </c>
      <c r="B440" s="1" t="n">
        <v>44938</v>
      </c>
      <c r="C440" s="1" t="n">
        <v>45890</v>
      </c>
      <c r="D440" t="inlineStr">
        <is>
          <t>GOTLANDS LÄN</t>
        </is>
      </c>
      <c r="E440" t="inlineStr">
        <is>
          <t>GOTLAND</t>
        </is>
      </c>
      <c r="G440" t="n">
        <v>1.6</v>
      </c>
      <c r="H440" t="n">
        <v>0</v>
      </c>
      <c r="I440" t="n">
        <v>0</v>
      </c>
      <c r="J440" t="n">
        <v>0</v>
      </c>
      <c r="K440" t="n">
        <v>0</v>
      </c>
      <c r="L440" t="n">
        <v>0</v>
      </c>
      <c r="M440" t="n">
        <v>0</v>
      </c>
      <c r="N440" t="n">
        <v>0</v>
      </c>
      <c r="O440" t="n">
        <v>0</v>
      </c>
      <c r="P440" t="n">
        <v>0</v>
      </c>
      <c r="Q440" t="n">
        <v>0</v>
      </c>
      <c r="R440" s="2" t="inlineStr"/>
    </row>
    <row r="441" ht="15" customHeight="1">
      <c r="A441" t="inlineStr">
        <is>
          <t>A 60709-2023</t>
        </is>
      </c>
      <c r="B441" s="1" t="n">
        <v>45260</v>
      </c>
      <c r="C441" s="1" t="n">
        <v>45890</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64831-2023</t>
        </is>
      </c>
      <c r="B442" s="1" t="n">
        <v>45282.44924768519</v>
      </c>
      <c r="C442" s="1" t="n">
        <v>45890</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27355-2025</t>
        </is>
      </c>
      <c r="B443" s="1" t="n">
        <v>45812</v>
      </c>
      <c r="C443" s="1" t="n">
        <v>45890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1000-2024</t>
        </is>
      </c>
      <c r="B444" s="1" t="n">
        <v>45301.63371527778</v>
      </c>
      <c r="C444" s="1" t="n">
        <v>45890</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1010-2024</t>
        </is>
      </c>
      <c r="B445" s="1" t="n">
        <v>45301</v>
      </c>
      <c r="C445" s="1" t="n">
        <v>45890</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65249-2023</t>
        </is>
      </c>
      <c r="B446" s="1" t="n">
        <v>45290</v>
      </c>
      <c r="C446" s="1" t="n">
        <v>45890</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27348-2025</t>
        </is>
      </c>
      <c r="B447" s="1" t="n">
        <v>45812.62451388889</v>
      </c>
      <c r="C447" s="1" t="n">
        <v>45890</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27371-2025</t>
        </is>
      </c>
      <c r="B448" s="1" t="n">
        <v>45812</v>
      </c>
      <c r="C448" s="1" t="n">
        <v>45890</v>
      </c>
      <c r="D448" t="inlineStr">
        <is>
          <t>GOTLANDS LÄN</t>
        </is>
      </c>
      <c r="E448" t="inlineStr">
        <is>
          <t>GOTLAND</t>
        </is>
      </c>
      <c r="G448" t="n">
        <v>8</v>
      </c>
      <c r="H448" t="n">
        <v>0</v>
      </c>
      <c r="I448" t="n">
        <v>0</v>
      </c>
      <c r="J448" t="n">
        <v>0</v>
      </c>
      <c r="K448" t="n">
        <v>0</v>
      </c>
      <c r="L448" t="n">
        <v>0</v>
      </c>
      <c r="M448" t="n">
        <v>0</v>
      </c>
      <c r="N448" t="n">
        <v>0</v>
      </c>
      <c r="O448" t="n">
        <v>0</v>
      </c>
      <c r="P448" t="n">
        <v>0</v>
      </c>
      <c r="Q448" t="n">
        <v>0</v>
      </c>
      <c r="R448" s="2" t="inlineStr"/>
    </row>
    <row r="449" ht="15" customHeight="1">
      <c r="A449" t="inlineStr">
        <is>
          <t>A 30956-2024</t>
        </is>
      </c>
      <c r="B449" s="1" t="n">
        <v>45499.42527777778</v>
      </c>
      <c r="C449" s="1" t="n">
        <v>45890</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44609.44362268518</v>
      </c>
      <c r="C450" s="1" t="n">
        <v>45890</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35290-2025</t>
        </is>
      </c>
      <c r="B451" s="1" t="n">
        <v>45854.38502314815</v>
      </c>
      <c r="C451" s="1" t="n">
        <v>45890</v>
      </c>
      <c r="D451" t="inlineStr">
        <is>
          <t>GOTLANDS LÄN</t>
        </is>
      </c>
      <c r="E451" t="inlineStr">
        <is>
          <t>GOTLAND</t>
        </is>
      </c>
      <c r="G451" t="n">
        <v>5.4</v>
      </c>
      <c r="H451" t="n">
        <v>0</v>
      </c>
      <c r="I451" t="n">
        <v>0</v>
      </c>
      <c r="J451" t="n">
        <v>0</v>
      </c>
      <c r="K451" t="n">
        <v>0</v>
      </c>
      <c r="L451" t="n">
        <v>0</v>
      </c>
      <c r="M451" t="n">
        <v>0</v>
      </c>
      <c r="N451" t="n">
        <v>0</v>
      </c>
      <c r="O451" t="n">
        <v>0</v>
      </c>
      <c r="P451" t="n">
        <v>0</v>
      </c>
      <c r="Q451" t="n">
        <v>0</v>
      </c>
      <c r="R451" s="2" t="inlineStr"/>
    </row>
    <row r="452" ht="15" customHeight="1">
      <c r="A452" t="inlineStr">
        <is>
          <t>A 12596-2023</t>
        </is>
      </c>
      <c r="B452" s="1" t="n">
        <v>45000.43310185185</v>
      </c>
      <c r="C452" s="1" t="n">
        <v>45890</v>
      </c>
      <c r="D452" t="inlineStr">
        <is>
          <t>GOTLANDS LÄN</t>
        </is>
      </c>
      <c r="E452" t="inlineStr">
        <is>
          <t>GOTLAND</t>
        </is>
      </c>
      <c r="G452" t="n">
        <v>4.1</v>
      </c>
      <c r="H452" t="n">
        <v>0</v>
      </c>
      <c r="I452" t="n">
        <v>0</v>
      </c>
      <c r="J452" t="n">
        <v>0</v>
      </c>
      <c r="K452" t="n">
        <v>0</v>
      </c>
      <c r="L452" t="n">
        <v>0</v>
      </c>
      <c r="M452" t="n">
        <v>0</v>
      </c>
      <c r="N452" t="n">
        <v>0</v>
      </c>
      <c r="O452" t="n">
        <v>0</v>
      </c>
      <c r="P452" t="n">
        <v>0</v>
      </c>
      <c r="Q452" t="n">
        <v>0</v>
      </c>
      <c r="R452" s="2" t="inlineStr"/>
    </row>
    <row r="453" ht="15" customHeight="1">
      <c r="A453" t="inlineStr">
        <is>
          <t>A 46375-2024</t>
        </is>
      </c>
      <c r="B453" s="1" t="n">
        <v>45582</v>
      </c>
      <c r="C453" s="1" t="n">
        <v>45890</v>
      </c>
      <c r="D453" t="inlineStr">
        <is>
          <t>GOTLANDS LÄN</t>
        </is>
      </c>
      <c r="E453" t="inlineStr">
        <is>
          <t>GOTLAND</t>
        </is>
      </c>
      <c r="G453" t="n">
        <v>3</v>
      </c>
      <c r="H453" t="n">
        <v>0</v>
      </c>
      <c r="I453" t="n">
        <v>0</v>
      </c>
      <c r="J453" t="n">
        <v>0</v>
      </c>
      <c r="K453" t="n">
        <v>0</v>
      </c>
      <c r="L453" t="n">
        <v>0</v>
      </c>
      <c r="M453" t="n">
        <v>0</v>
      </c>
      <c r="N453" t="n">
        <v>0</v>
      </c>
      <c r="O453" t="n">
        <v>0</v>
      </c>
      <c r="P453" t="n">
        <v>0</v>
      </c>
      <c r="Q453" t="n">
        <v>0</v>
      </c>
      <c r="R453" s="2" t="inlineStr"/>
    </row>
    <row r="454" ht="15" customHeight="1">
      <c r="A454" t="inlineStr">
        <is>
          <t>A 8045-2022</t>
        </is>
      </c>
      <c r="B454" s="1" t="n">
        <v>44609</v>
      </c>
      <c r="C454" s="1" t="n">
        <v>45890</v>
      </c>
      <c r="D454" t="inlineStr">
        <is>
          <t>GOTLANDS LÄN</t>
        </is>
      </c>
      <c r="E454" t="inlineStr">
        <is>
          <t>GOTLAND</t>
        </is>
      </c>
      <c r="G454" t="n">
        <v>7</v>
      </c>
      <c r="H454" t="n">
        <v>0</v>
      </c>
      <c r="I454" t="n">
        <v>0</v>
      </c>
      <c r="J454" t="n">
        <v>0</v>
      </c>
      <c r="K454" t="n">
        <v>0</v>
      </c>
      <c r="L454" t="n">
        <v>0</v>
      </c>
      <c r="M454" t="n">
        <v>0</v>
      </c>
      <c r="N454" t="n">
        <v>0</v>
      </c>
      <c r="O454" t="n">
        <v>0</v>
      </c>
      <c r="P454" t="n">
        <v>0</v>
      </c>
      <c r="Q454" t="n">
        <v>0</v>
      </c>
      <c r="R454" s="2" t="inlineStr"/>
    </row>
    <row r="455" ht="15" customHeight="1">
      <c r="A455" t="inlineStr">
        <is>
          <t>A 62915-2021</t>
        </is>
      </c>
      <c r="B455" s="1" t="n">
        <v>44504</v>
      </c>
      <c r="C455" s="1" t="n">
        <v>45890</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7638-2025</t>
        </is>
      </c>
      <c r="B456" s="1" t="n">
        <v>45705.77306712963</v>
      </c>
      <c r="C456" s="1" t="n">
        <v>45890</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35537-2025</t>
        </is>
      </c>
      <c r="B457" s="1" t="n">
        <v>45856</v>
      </c>
      <c r="C457" s="1" t="n">
        <v>45890</v>
      </c>
      <c r="D457" t="inlineStr">
        <is>
          <t>GOTLANDS LÄN</t>
        </is>
      </c>
      <c r="E457" t="inlineStr">
        <is>
          <t>GOTLAND</t>
        </is>
      </c>
      <c r="G457" t="n">
        <v>16.8</v>
      </c>
      <c r="H457" t="n">
        <v>0</v>
      </c>
      <c r="I457" t="n">
        <v>0</v>
      </c>
      <c r="J457" t="n">
        <v>0</v>
      </c>
      <c r="K457" t="n">
        <v>0</v>
      </c>
      <c r="L457" t="n">
        <v>0</v>
      </c>
      <c r="M457" t="n">
        <v>0</v>
      </c>
      <c r="N457" t="n">
        <v>0</v>
      </c>
      <c r="O457" t="n">
        <v>0</v>
      </c>
      <c r="P457" t="n">
        <v>0</v>
      </c>
      <c r="Q457" t="n">
        <v>0</v>
      </c>
      <c r="R457" s="2" t="inlineStr"/>
    </row>
    <row r="458" ht="15" customHeight="1">
      <c r="A458" t="inlineStr">
        <is>
          <t>A 35550-2025</t>
        </is>
      </c>
      <c r="B458" s="1" t="n">
        <v>45856.49324074074</v>
      </c>
      <c r="C458" s="1" t="n">
        <v>45890</v>
      </c>
      <c r="D458" t="inlineStr">
        <is>
          <t>GOTLANDS LÄN</t>
        </is>
      </c>
      <c r="E458" t="inlineStr">
        <is>
          <t>GOTLAND</t>
        </is>
      </c>
      <c r="G458" t="n">
        <v>3.2</v>
      </c>
      <c r="H458" t="n">
        <v>0</v>
      </c>
      <c r="I458" t="n">
        <v>0</v>
      </c>
      <c r="J458" t="n">
        <v>0</v>
      </c>
      <c r="K458" t="n">
        <v>0</v>
      </c>
      <c r="L458" t="n">
        <v>0</v>
      </c>
      <c r="M458" t="n">
        <v>0</v>
      </c>
      <c r="N458" t="n">
        <v>0</v>
      </c>
      <c r="O458" t="n">
        <v>0</v>
      </c>
      <c r="P458" t="n">
        <v>0</v>
      </c>
      <c r="Q458" t="n">
        <v>0</v>
      </c>
      <c r="R458" s="2" t="inlineStr"/>
    </row>
    <row r="459" ht="15" customHeight="1">
      <c r="A459" t="inlineStr">
        <is>
          <t>A 7850-2025</t>
        </is>
      </c>
      <c r="B459" s="1" t="n">
        <v>45706</v>
      </c>
      <c r="C459" s="1" t="n">
        <v>45890</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6739-2025</t>
        </is>
      </c>
      <c r="B460" s="1" t="n">
        <v>45700</v>
      </c>
      <c r="C460" s="1" t="n">
        <v>45890</v>
      </c>
      <c r="D460" t="inlineStr">
        <is>
          <t>GOTLANDS LÄN</t>
        </is>
      </c>
      <c r="E460" t="inlineStr">
        <is>
          <t>GOTLAND</t>
        </is>
      </c>
      <c r="G460" t="n">
        <v>4.5</v>
      </c>
      <c r="H460" t="n">
        <v>0</v>
      </c>
      <c r="I460" t="n">
        <v>0</v>
      </c>
      <c r="J460" t="n">
        <v>0</v>
      </c>
      <c r="K460" t="n">
        <v>0</v>
      </c>
      <c r="L460" t="n">
        <v>0</v>
      </c>
      <c r="M460" t="n">
        <v>0</v>
      </c>
      <c r="N460" t="n">
        <v>0</v>
      </c>
      <c r="O460" t="n">
        <v>0</v>
      </c>
      <c r="P460" t="n">
        <v>0</v>
      </c>
      <c r="Q460" t="n">
        <v>0</v>
      </c>
      <c r="R460" s="2" t="inlineStr"/>
    </row>
    <row r="461" ht="15" customHeight="1">
      <c r="A461" t="inlineStr">
        <is>
          <t>A 4377-2023</t>
        </is>
      </c>
      <c r="B461" s="1" t="n">
        <v>44955.5502662037</v>
      </c>
      <c r="C461" s="1" t="n">
        <v>45890</v>
      </c>
      <c r="D461" t="inlineStr">
        <is>
          <t>GOTLANDS LÄN</t>
        </is>
      </c>
      <c r="E461" t="inlineStr">
        <is>
          <t>GOTLAND</t>
        </is>
      </c>
      <c r="F461" t="inlineStr">
        <is>
          <t>Kyrkan</t>
        </is>
      </c>
      <c r="G461" t="n">
        <v>0.6</v>
      </c>
      <c r="H461" t="n">
        <v>0</v>
      </c>
      <c r="I461" t="n">
        <v>0</v>
      </c>
      <c r="J461" t="n">
        <v>0</v>
      </c>
      <c r="K461" t="n">
        <v>0</v>
      </c>
      <c r="L461" t="n">
        <v>0</v>
      </c>
      <c r="M461" t="n">
        <v>0</v>
      </c>
      <c r="N461" t="n">
        <v>0</v>
      </c>
      <c r="O461" t="n">
        <v>0</v>
      </c>
      <c r="P461" t="n">
        <v>0</v>
      </c>
      <c r="Q461" t="n">
        <v>0</v>
      </c>
      <c r="R461" s="2" t="inlineStr"/>
    </row>
    <row r="462" ht="15" customHeight="1">
      <c r="A462" t="inlineStr">
        <is>
          <t>A 999-2024</t>
        </is>
      </c>
      <c r="B462" s="1" t="n">
        <v>45301</v>
      </c>
      <c r="C462" s="1" t="n">
        <v>45890</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45890</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47762-2023</t>
        </is>
      </c>
      <c r="B464" s="1" t="n">
        <v>45203.86256944444</v>
      </c>
      <c r="C464" s="1" t="n">
        <v>45890</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43901-2023</t>
        </is>
      </c>
      <c r="B465" s="1" t="n">
        <v>45187</v>
      </c>
      <c r="C465" s="1" t="n">
        <v>45890</v>
      </c>
      <c r="D465" t="inlineStr">
        <is>
          <t>GOTLANDS LÄN</t>
        </is>
      </c>
      <c r="E465" t="inlineStr">
        <is>
          <t>GOTLAND</t>
        </is>
      </c>
      <c r="G465" t="n">
        <v>5.4</v>
      </c>
      <c r="H465" t="n">
        <v>0</v>
      </c>
      <c r="I465" t="n">
        <v>0</v>
      </c>
      <c r="J465" t="n">
        <v>0</v>
      </c>
      <c r="K465" t="n">
        <v>0</v>
      </c>
      <c r="L465" t="n">
        <v>0</v>
      </c>
      <c r="M465" t="n">
        <v>0</v>
      </c>
      <c r="N465" t="n">
        <v>0</v>
      </c>
      <c r="O465" t="n">
        <v>0</v>
      </c>
      <c r="P465" t="n">
        <v>0</v>
      </c>
      <c r="Q465" t="n">
        <v>0</v>
      </c>
      <c r="R465" s="2" t="inlineStr"/>
    </row>
    <row r="466" ht="15" customHeight="1">
      <c r="A466" t="inlineStr">
        <is>
          <t>A 17532-2024</t>
        </is>
      </c>
      <c r="B466" s="1" t="n">
        <v>45415</v>
      </c>
      <c r="C466" s="1" t="n">
        <v>45890</v>
      </c>
      <c r="D466" t="inlineStr">
        <is>
          <t>GOTLANDS LÄN</t>
        </is>
      </c>
      <c r="E466" t="inlineStr">
        <is>
          <t>GOTLAND</t>
        </is>
      </c>
      <c r="G466" t="n">
        <v>4.3</v>
      </c>
      <c r="H466" t="n">
        <v>0</v>
      </c>
      <c r="I466" t="n">
        <v>0</v>
      </c>
      <c r="J466" t="n">
        <v>0</v>
      </c>
      <c r="K466" t="n">
        <v>0</v>
      </c>
      <c r="L466" t="n">
        <v>0</v>
      </c>
      <c r="M466" t="n">
        <v>0</v>
      </c>
      <c r="N466" t="n">
        <v>0</v>
      </c>
      <c r="O466" t="n">
        <v>0</v>
      </c>
      <c r="P466" t="n">
        <v>0</v>
      </c>
      <c r="Q466" t="n">
        <v>0</v>
      </c>
      <c r="R466" s="2" t="inlineStr"/>
    </row>
    <row r="467" ht="15" customHeight="1">
      <c r="A467" t="inlineStr">
        <is>
          <t>A 45692-2023</t>
        </is>
      </c>
      <c r="B467" s="1" t="n">
        <v>45195</v>
      </c>
      <c r="C467" s="1" t="n">
        <v>45890</v>
      </c>
      <c r="D467" t="inlineStr">
        <is>
          <t>GOTLANDS LÄN</t>
        </is>
      </c>
      <c r="E467" t="inlineStr">
        <is>
          <t>GOTLAND</t>
        </is>
      </c>
      <c r="G467" t="n">
        <v>5.3</v>
      </c>
      <c r="H467" t="n">
        <v>0</v>
      </c>
      <c r="I467" t="n">
        <v>0</v>
      </c>
      <c r="J467" t="n">
        <v>0</v>
      </c>
      <c r="K467" t="n">
        <v>0</v>
      </c>
      <c r="L467" t="n">
        <v>0</v>
      </c>
      <c r="M467" t="n">
        <v>0</v>
      </c>
      <c r="N467" t="n">
        <v>0</v>
      </c>
      <c r="O467" t="n">
        <v>0</v>
      </c>
      <c r="P467" t="n">
        <v>0</v>
      </c>
      <c r="Q467" t="n">
        <v>0</v>
      </c>
      <c r="R467" s="2" t="inlineStr"/>
    </row>
    <row r="468" ht="15" customHeight="1">
      <c r="A468" t="inlineStr">
        <is>
          <t>A 40294-2022</t>
        </is>
      </c>
      <c r="B468" s="1" t="n">
        <v>44821</v>
      </c>
      <c r="C468" s="1" t="n">
        <v>45890</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8444-2025</t>
        </is>
      </c>
      <c r="B469" s="1" t="n">
        <v>45709</v>
      </c>
      <c r="C469" s="1" t="n">
        <v>45890</v>
      </c>
      <c r="D469" t="inlineStr">
        <is>
          <t>GOTLANDS LÄN</t>
        </is>
      </c>
      <c r="E469" t="inlineStr">
        <is>
          <t>GOTLAND</t>
        </is>
      </c>
      <c r="G469" t="n">
        <v>5.2</v>
      </c>
      <c r="H469" t="n">
        <v>0</v>
      </c>
      <c r="I469" t="n">
        <v>0</v>
      </c>
      <c r="J469" t="n">
        <v>0</v>
      </c>
      <c r="K469" t="n">
        <v>0</v>
      </c>
      <c r="L469" t="n">
        <v>0</v>
      </c>
      <c r="M469" t="n">
        <v>0</v>
      </c>
      <c r="N469" t="n">
        <v>0</v>
      </c>
      <c r="O469" t="n">
        <v>0</v>
      </c>
      <c r="P469" t="n">
        <v>0</v>
      </c>
      <c r="Q469" t="n">
        <v>0</v>
      </c>
      <c r="R469" s="2" t="inlineStr"/>
    </row>
    <row r="470" ht="15" customHeight="1">
      <c r="A470" t="inlineStr">
        <is>
          <t>A 19905-2025</t>
        </is>
      </c>
      <c r="B470" s="1" t="n">
        <v>45771</v>
      </c>
      <c r="C470" s="1" t="n">
        <v>45890</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27602-2023</t>
        </is>
      </c>
      <c r="B471" s="1" t="n">
        <v>45097</v>
      </c>
      <c r="C471" s="1" t="n">
        <v>45890</v>
      </c>
      <c r="D471" t="inlineStr">
        <is>
          <t>GOTLANDS LÄN</t>
        </is>
      </c>
      <c r="E471" t="inlineStr">
        <is>
          <t>GOTLAND</t>
        </is>
      </c>
      <c r="G471" t="n">
        <v>2.7</v>
      </c>
      <c r="H471" t="n">
        <v>0</v>
      </c>
      <c r="I471" t="n">
        <v>0</v>
      </c>
      <c r="J471" t="n">
        <v>0</v>
      </c>
      <c r="K471" t="n">
        <v>0</v>
      </c>
      <c r="L471" t="n">
        <v>0</v>
      </c>
      <c r="M471" t="n">
        <v>0</v>
      </c>
      <c r="N471" t="n">
        <v>0</v>
      </c>
      <c r="O471" t="n">
        <v>0</v>
      </c>
      <c r="P471" t="n">
        <v>0</v>
      </c>
      <c r="Q471" t="n">
        <v>0</v>
      </c>
      <c r="R471" s="2" t="inlineStr"/>
    </row>
    <row r="472" ht="15" customHeight="1">
      <c r="A472" t="inlineStr">
        <is>
          <t>A 58780-2024</t>
        </is>
      </c>
      <c r="B472" s="1" t="n">
        <v>45635.84113425926</v>
      </c>
      <c r="C472" s="1" t="n">
        <v>45890</v>
      </c>
      <c r="D472" t="inlineStr">
        <is>
          <t>GOTLANDS LÄN</t>
        </is>
      </c>
      <c r="E472" t="inlineStr">
        <is>
          <t>GOTLAND</t>
        </is>
      </c>
      <c r="G472" t="n">
        <v>2.6</v>
      </c>
      <c r="H472" t="n">
        <v>0</v>
      </c>
      <c r="I472" t="n">
        <v>0</v>
      </c>
      <c r="J472" t="n">
        <v>0</v>
      </c>
      <c r="K472" t="n">
        <v>0</v>
      </c>
      <c r="L472" t="n">
        <v>0</v>
      </c>
      <c r="M472" t="n">
        <v>0</v>
      </c>
      <c r="N472" t="n">
        <v>0</v>
      </c>
      <c r="O472" t="n">
        <v>0</v>
      </c>
      <c r="P472" t="n">
        <v>0</v>
      </c>
      <c r="Q472" t="n">
        <v>0</v>
      </c>
      <c r="R472" s="2" t="inlineStr"/>
    </row>
    <row r="473" ht="15" customHeight="1">
      <c r="A473" t="inlineStr">
        <is>
          <t>A 12322-2025</t>
        </is>
      </c>
      <c r="B473" s="1" t="n">
        <v>45730</v>
      </c>
      <c r="C473" s="1" t="n">
        <v>45890</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37222-2021</t>
        </is>
      </c>
      <c r="B474" s="1" t="n">
        <v>44396</v>
      </c>
      <c r="C474" s="1" t="n">
        <v>45890</v>
      </c>
      <c r="D474" t="inlineStr">
        <is>
          <t>GOTLANDS LÄN</t>
        </is>
      </c>
      <c r="E474" t="inlineStr">
        <is>
          <t>GOTLAND</t>
        </is>
      </c>
      <c r="G474" t="n">
        <v>3</v>
      </c>
      <c r="H474" t="n">
        <v>0</v>
      </c>
      <c r="I474" t="n">
        <v>0</v>
      </c>
      <c r="J474" t="n">
        <v>0</v>
      </c>
      <c r="K474" t="n">
        <v>0</v>
      </c>
      <c r="L474" t="n">
        <v>0</v>
      </c>
      <c r="M474" t="n">
        <v>0</v>
      </c>
      <c r="N474" t="n">
        <v>0</v>
      </c>
      <c r="O474" t="n">
        <v>0</v>
      </c>
      <c r="P474" t="n">
        <v>0</v>
      </c>
      <c r="Q474" t="n">
        <v>0</v>
      </c>
      <c r="R474" s="2" t="inlineStr"/>
    </row>
    <row r="475" ht="15" customHeight="1">
      <c r="A475" t="inlineStr">
        <is>
          <t>A 46778-2020</t>
        </is>
      </c>
      <c r="B475" s="1" t="n">
        <v>44096</v>
      </c>
      <c r="C475" s="1" t="n">
        <v>45890</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24192-2023</t>
        </is>
      </c>
      <c r="B476" s="1" t="n">
        <v>45079</v>
      </c>
      <c r="C476" s="1" t="n">
        <v>45890</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30282-2022</t>
        </is>
      </c>
      <c r="B477" s="1" t="n">
        <v>44760</v>
      </c>
      <c r="C477" s="1" t="n">
        <v>45890</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46396-2023</t>
        </is>
      </c>
      <c r="B478" s="1" t="n">
        <v>45197</v>
      </c>
      <c r="C478" s="1" t="n">
        <v>45890</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58388-2022</t>
        </is>
      </c>
      <c r="B479" s="1" t="n">
        <v>44894</v>
      </c>
      <c r="C479" s="1" t="n">
        <v>45890</v>
      </c>
      <c r="D479" t="inlineStr">
        <is>
          <t>GOTLANDS LÄN</t>
        </is>
      </c>
      <c r="E479" t="inlineStr">
        <is>
          <t>GOTLAND</t>
        </is>
      </c>
      <c r="F479" t="inlineStr">
        <is>
          <t>Övriga statliga verk och myndigheter</t>
        </is>
      </c>
      <c r="G479" t="n">
        <v>3.1</v>
      </c>
      <c r="H479" t="n">
        <v>0</v>
      </c>
      <c r="I479" t="n">
        <v>0</v>
      </c>
      <c r="J479" t="n">
        <v>0</v>
      </c>
      <c r="K479" t="n">
        <v>0</v>
      </c>
      <c r="L479" t="n">
        <v>0</v>
      </c>
      <c r="M479" t="n">
        <v>0</v>
      </c>
      <c r="N479" t="n">
        <v>0</v>
      </c>
      <c r="O479" t="n">
        <v>0</v>
      </c>
      <c r="P479" t="n">
        <v>0</v>
      </c>
      <c r="Q479" t="n">
        <v>0</v>
      </c>
      <c r="R479" s="2" t="inlineStr"/>
    </row>
    <row r="480" ht="15" customHeight="1">
      <c r="A480" t="inlineStr">
        <is>
          <t>A 7835-2024</t>
        </is>
      </c>
      <c r="B480" s="1" t="n">
        <v>45349.83138888889</v>
      </c>
      <c r="C480" s="1" t="n">
        <v>45890</v>
      </c>
      <c r="D480" t="inlineStr">
        <is>
          <t>GOTLANDS LÄN</t>
        </is>
      </c>
      <c r="E480" t="inlineStr">
        <is>
          <t>GOTLAND</t>
        </is>
      </c>
      <c r="G480" t="n">
        <v>3.8</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44624.57945601852</v>
      </c>
      <c r="C481" s="1" t="n">
        <v>45890</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26810-2021</t>
        </is>
      </c>
      <c r="B482" s="1" t="n">
        <v>44349.55087962963</v>
      </c>
      <c r="C482" s="1" t="n">
        <v>45890</v>
      </c>
      <c r="D482" t="inlineStr">
        <is>
          <t>GOTLANDS LÄN</t>
        </is>
      </c>
      <c r="E482" t="inlineStr">
        <is>
          <t>GOTLAND</t>
        </is>
      </c>
      <c r="G482" t="n">
        <v>3.5</v>
      </c>
      <c r="H482" t="n">
        <v>0</v>
      </c>
      <c r="I482" t="n">
        <v>0</v>
      </c>
      <c r="J482" t="n">
        <v>0</v>
      </c>
      <c r="K482" t="n">
        <v>0</v>
      </c>
      <c r="L482" t="n">
        <v>0</v>
      </c>
      <c r="M482" t="n">
        <v>0</v>
      </c>
      <c r="N482" t="n">
        <v>0</v>
      </c>
      <c r="O482" t="n">
        <v>0</v>
      </c>
      <c r="P482" t="n">
        <v>0</v>
      </c>
      <c r="Q482" t="n">
        <v>0</v>
      </c>
      <c r="R482" s="2" t="inlineStr"/>
    </row>
    <row r="483" ht="15" customHeight="1">
      <c r="A483" t="inlineStr">
        <is>
          <t>A 29207-2025</t>
        </is>
      </c>
      <c r="B483" s="1" t="n">
        <v>45823</v>
      </c>
      <c r="C483" s="1" t="n">
        <v>45890</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29196-2025</t>
        </is>
      </c>
      <c r="B484" s="1" t="n">
        <v>45822</v>
      </c>
      <c r="C484" s="1" t="n">
        <v>45890</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28425-2023</t>
        </is>
      </c>
      <c r="B485" s="1" t="n">
        <v>45102</v>
      </c>
      <c r="C485" s="1" t="n">
        <v>45890</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53934-2024</t>
        </is>
      </c>
      <c r="B486" s="1" t="n">
        <v>45615</v>
      </c>
      <c r="C486" s="1" t="n">
        <v>45890</v>
      </c>
      <c r="D486" t="inlineStr">
        <is>
          <t>GOTLANDS LÄN</t>
        </is>
      </c>
      <c r="E486" t="inlineStr">
        <is>
          <t>GOTLAND</t>
        </is>
      </c>
      <c r="G486" t="n">
        <v>5</v>
      </c>
      <c r="H486" t="n">
        <v>0</v>
      </c>
      <c r="I486" t="n">
        <v>0</v>
      </c>
      <c r="J486" t="n">
        <v>0</v>
      </c>
      <c r="K486" t="n">
        <v>0</v>
      </c>
      <c r="L486" t="n">
        <v>0</v>
      </c>
      <c r="M486" t="n">
        <v>0</v>
      </c>
      <c r="N486" t="n">
        <v>0</v>
      </c>
      <c r="O486" t="n">
        <v>0</v>
      </c>
      <c r="P486" t="n">
        <v>0</v>
      </c>
      <c r="Q486" t="n">
        <v>0</v>
      </c>
      <c r="R486" s="2" t="inlineStr"/>
    </row>
    <row r="487" ht="15" customHeight="1">
      <c r="A487" t="inlineStr">
        <is>
          <t>A 36319-2025</t>
        </is>
      </c>
      <c r="B487" s="1" t="n">
        <v>45868.38543981482</v>
      </c>
      <c r="C487" s="1" t="n">
        <v>45890</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58132-2023</t>
        </is>
      </c>
      <c r="B488" s="1" t="n">
        <v>45250</v>
      </c>
      <c r="C488" s="1" t="n">
        <v>45890</v>
      </c>
      <c r="D488" t="inlineStr">
        <is>
          <t>GOTLANDS LÄN</t>
        </is>
      </c>
      <c r="E488" t="inlineStr">
        <is>
          <t>GOTLAND</t>
        </is>
      </c>
      <c r="G488" t="n">
        <v>3.1</v>
      </c>
      <c r="H488" t="n">
        <v>0</v>
      </c>
      <c r="I488" t="n">
        <v>0</v>
      </c>
      <c r="J488" t="n">
        <v>0</v>
      </c>
      <c r="K488" t="n">
        <v>0</v>
      </c>
      <c r="L488" t="n">
        <v>0</v>
      </c>
      <c r="M488" t="n">
        <v>0</v>
      </c>
      <c r="N488" t="n">
        <v>0</v>
      </c>
      <c r="O488" t="n">
        <v>0</v>
      </c>
      <c r="P488" t="n">
        <v>0</v>
      </c>
      <c r="Q488" t="n">
        <v>0</v>
      </c>
      <c r="R488" s="2" t="inlineStr"/>
    </row>
    <row r="489" ht="15" customHeight="1">
      <c r="A489" t="inlineStr">
        <is>
          <t>A 22899-2023</t>
        </is>
      </c>
      <c r="B489" s="1" t="n">
        <v>45072</v>
      </c>
      <c r="C489" s="1" t="n">
        <v>45890</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28285-2024</t>
        </is>
      </c>
      <c r="B490" s="1" t="n">
        <v>45477</v>
      </c>
      <c r="C490" s="1" t="n">
        <v>45890</v>
      </c>
      <c r="D490" t="inlineStr">
        <is>
          <t>GOTLANDS LÄN</t>
        </is>
      </c>
      <c r="E490" t="inlineStr">
        <is>
          <t>GOTLAND</t>
        </is>
      </c>
      <c r="G490" t="n">
        <v>1.6</v>
      </c>
      <c r="H490" t="n">
        <v>0</v>
      </c>
      <c r="I490" t="n">
        <v>0</v>
      </c>
      <c r="J490" t="n">
        <v>0</v>
      </c>
      <c r="K490" t="n">
        <v>0</v>
      </c>
      <c r="L490" t="n">
        <v>0</v>
      </c>
      <c r="M490" t="n">
        <v>0</v>
      </c>
      <c r="N490" t="n">
        <v>0</v>
      </c>
      <c r="O490" t="n">
        <v>0</v>
      </c>
      <c r="P490" t="n">
        <v>0</v>
      </c>
      <c r="Q490" t="n">
        <v>0</v>
      </c>
      <c r="R490" s="2" t="inlineStr"/>
    </row>
    <row r="491" ht="15" customHeight="1">
      <c r="A491" t="inlineStr">
        <is>
          <t>A 13037-2025</t>
        </is>
      </c>
      <c r="B491" s="1" t="n">
        <v>45734</v>
      </c>
      <c r="C491" s="1" t="n">
        <v>45890</v>
      </c>
      <c r="D491" t="inlineStr">
        <is>
          <t>GOTLANDS LÄN</t>
        </is>
      </c>
      <c r="E491" t="inlineStr">
        <is>
          <t>GOTLAND</t>
        </is>
      </c>
      <c r="G491" t="n">
        <v>9.5</v>
      </c>
      <c r="H491" t="n">
        <v>0</v>
      </c>
      <c r="I491" t="n">
        <v>0</v>
      </c>
      <c r="J491" t="n">
        <v>0</v>
      </c>
      <c r="K491" t="n">
        <v>0</v>
      </c>
      <c r="L491" t="n">
        <v>0</v>
      </c>
      <c r="M491" t="n">
        <v>0</v>
      </c>
      <c r="N491" t="n">
        <v>0</v>
      </c>
      <c r="O491" t="n">
        <v>0</v>
      </c>
      <c r="P491" t="n">
        <v>0</v>
      </c>
      <c r="Q491" t="n">
        <v>0</v>
      </c>
      <c r="R491" s="2" t="inlineStr"/>
    </row>
    <row r="492" ht="15" customHeight="1">
      <c r="A492" t="inlineStr">
        <is>
          <t>A 51963-2024</t>
        </is>
      </c>
      <c r="B492" s="1" t="n">
        <v>45607.64833333333</v>
      </c>
      <c r="C492" s="1" t="n">
        <v>45890</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30061-2025</t>
        </is>
      </c>
      <c r="B493" s="1" t="n">
        <v>45826.61488425926</v>
      </c>
      <c r="C493" s="1" t="n">
        <v>45890</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30104-2025</t>
        </is>
      </c>
      <c r="B494" s="1" t="n">
        <v>45826.68806712963</v>
      </c>
      <c r="C494" s="1" t="n">
        <v>45890</v>
      </c>
      <c r="D494" t="inlineStr">
        <is>
          <t>GOTLANDS LÄN</t>
        </is>
      </c>
      <c r="E494" t="inlineStr">
        <is>
          <t>GOTLAND</t>
        </is>
      </c>
      <c r="G494" t="n">
        <v>15.4</v>
      </c>
      <c r="H494" t="n">
        <v>0</v>
      </c>
      <c r="I494" t="n">
        <v>0</v>
      </c>
      <c r="J494" t="n">
        <v>0</v>
      </c>
      <c r="K494" t="n">
        <v>0</v>
      </c>
      <c r="L494" t="n">
        <v>0</v>
      </c>
      <c r="M494" t="n">
        <v>0</v>
      </c>
      <c r="N494" t="n">
        <v>0</v>
      </c>
      <c r="O494" t="n">
        <v>0</v>
      </c>
      <c r="P494" t="n">
        <v>0</v>
      </c>
      <c r="Q494" t="n">
        <v>0</v>
      </c>
      <c r="R494" s="2" t="inlineStr"/>
    </row>
    <row r="495" ht="15" customHeight="1">
      <c r="A495" t="inlineStr">
        <is>
          <t>A 30157-2025</t>
        </is>
      </c>
      <c r="B495" s="1" t="n">
        <v>45826</v>
      </c>
      <c r="C495" s="1" t="n">
        <v>45890</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30488-2025</t>
        </is>
      </c>
      <c r="B496" s="1" t="n">
        <v>45830</v>
      </c>
      <c r="C496" s="1" t="n">
        <v>45890</v>
      </c>
      <c r="D496" t="inlineStr">
        <is>
          <t>GOTLANDS LÄN</t>
        </is>
      </c>
      <c r="E496" t="inlineStr">
        <is>
          <t>GOTLAND</t>
        </is>
      </c>
      <c r="F496" t="inlineStr">
        <is>
          <t>Kyrkan</t>
        </is>
      </c>
      <c r="G496" t="n">
        <v>3.9</v>
      </c>
      <c r="H496" t="n">
        <v>0</v>
      </c>
      <c r="I496" t="n">
        <v>0</v>
      </c>
      <c r="J496" t="n">
        <v>0</v>
      </c>
      <c r="K496" t="n">
        <v>0</v>
      </c>
      <c r="L496" t="n">
        <v>0</v>
      </c>
      <c r="M496" t="n">
        <v>0</v>
      </c>
      <c r="N496" t="n">
        <v>0</v>
      </c>
      <c r="O496" t="n">
        <v>0</v>
      </c>
      <c r="P496" t="n">
        <v>0</v>
      </c>
      <c r="Q496" t="n">
        <v>0</v>
      </c>
      <c r="R496" s="2" t="inlineStr"/>
    </row>
    <row r="497" ht="15" customHeight="1">
      <c r="A497" t="inlineStr">
        <is>
          <t>A 55334-2024</t>
        </is>
      </c>
      <c r="B497" s="1" t="n">
        <v>45621</v>
      </c>
      <c r="C497" s="1" t="n">
        <v>45890</v>
      </c>
      <c r="D497" t="inlineStr">
        <is>
          <t>GOTLANDS LÄN</t>
        </is>
      </c>
      <c r="E497" t="inlineStr">
        <is>
          <t>GOTLAND</t>
        </is>
      </c>
      <c r="G497" t="n">
        <v>21.7</v>
      </c>
      <c r="H497" t="n">
        <v>0</v>
      </c>
      <c r="I497" t="n">
        <v>0</v>
      </c>
      <c r="J497" t="n">
        <v>0</v>
      </c>
      <c r="K497" t="n">
        <v>0</v>
      </c>
      <c r="L497" t="n">
        <v>0</v>
      </c>
      <c r="M497" t="n">
        <v>0</v>
      </c>
      <c r="N497" t="n">
        <v>0</v>
      </c>
      <c r="O497" t="n">
        <v>0</v>
      </c>
      <c r="P497" t="n">
        <v>0</v>
      </c>
      <c r="Q497" t="n">
        <v>0</v>
      </c>
      <c r="R497" s="2" t="inlineStr"/>
    </row>
    <row r="498" ht="15" customHeight="1">
      <c r="A498" t="inlineStr">
        <is>
          <t>A 30489-2025</t>
        </is>
      </c>
      <c r="B498" s="1" t="n">
        <v>45830</v>
      </c>
      <c r="C498" s="1" t="n">
        <v>45890</v>
      </c>
      <c r="D498" t="inlineStr">
        <is>
          <t>GOTLANDS LÄN</t>
        </is>
      </c>
      <c r="E498" t="inlineStr">
        <is>
          <t>GOTLAND</t>
        </is>
      </c>
      <c r="G498" t="n">
        <v>4.6</v>
      </c>
      <c r="H498" t="n">
        <v>0</v>
      </c>
      <c r="I498" t="n">
        <v>0</v>
      </c>
      <c r="J498" t="n">
        <v>0</v>
      </c>
      <c r="K498" t="n">
        <v>0</v>
      </c>
      <c r="L498" t="n">
        <v>0</v>
      </c>
      <c r="M498" t="n">
        <v>0</v>
      </c>
      <c r="N498" t="n">
        <v>0</v>
      </c>
      <c r="O498" t="n">
        <v>0</v>
      </c>
      <c r="P498" t="n">
        <v>0</v>
      </c>
      <c r="Q498" t="n">
        <v>0</v>
      </c>
      <c r="R498" s="2" t="inlineStr"/>
    </row>
    <row r="499" ht="15" customHeight="1">
      <c r="A499" t="inlineStr">
        <is>
          <t>A 1734-2025</t>
        </is>
      </c>
      <c r="B499" s="1" t="n">
        <v>45671.3840625</v>
      </c>
      <c r="C499" s="1" t="n">
        <v>45890</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30365-2024</t>
        </is>
      </c>
      <c r="B500" s="1" t="n">
        <v>45491.3716087963</v>
      </c>
      <c r="C500" s="1" t="n">
        <v>45890</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2674-2023</t>
        </is>
      </c>
      <c r="B501" s="1" t="n">
        <v>44944</v>
      </c>
      <c r="C501" s="1" t="n">
        <v>45890</v>
      </c>
      <c r="D501" t="inlineStr">
        <is>
          <t>GOTLANDS LÄN</t>
        </is>
      </c>
      <c r="E501" t="inlineStr">
        <is>
          <t>GOTLAND</t>
        </is>
      </c>
      <c r="G501" t="n">
        <v>2.5</v>
      </c>
      <c r="H501" t="n">
        <v>0</v>
      </c>
      <c r="I501" t="n">
        <v>0</v>
      </c>
      <c r="J501" t="n">
        <v>0</v>
      </c>
      <c r="K501" t="n">
        <v>0</v>
      </c>
      <c r="L501" t="n">
        <v>0</v>
      </c>
      <c r="M501" t="n">
        <v>0</v>
      </c>
      <c r="N501" t="n">
        <v>0</v>
      </c>
      <c r="O501" t="n">
        <v>0</v>
      </c>
      <c r="P501" t="n">
        <v>0</v>
      </c>
      <c r="Q501" t="n">
        <v>0</v>
      </c>
      <c r="R501" s="2" t="inlineStr"/>
    </row>
    <row r="502" ht="15" customHeight="1">
      <c r="A502" t="inlineStr">
        <is>
          <t>A 58160-2024</t>
        </is>
      </c>
      <c r="B502" s="1" t="n">
        <v>45632.44927083333</v>
      </c>
      <c r="C502" s="1" t="n">
        <v>45890</v>
      </c>
      <c r="D502" t="inlineStr">
        <is>
          <t>GOTLANDS LÄN</t>
        </is>
      </c>
      <c r="E502" t="inlineStr">
        <is>
          <t>GOTLAND</t>
        </is>
      </c>
      <c r="G502" t="n">
        <v>5.6</v>
      </c>
      <c r="H502" t="n">
        <v>0</v>
      </c>
      <c r="I502" t="n">
        <v>0</v>
      </c>
      <c r="J502" t="n">
        <v>0</v>
      </c>
      <c r="K502" t="n">
        <v>0</v>
      </c>
      <c r="L502" t="n">
        <v>0</v>
      </c>
      <c r="M502" t="n">
        <v>0</v>
      </c>
      <c r="N502" t="n">
        <v>0</v>
      </c>
      <c r="O502" t="n">
        <v>0</v>
      </c>
      <c r="P502" t="n">
        <v>0</v>
      </c>
      <c r="Q502" t="n">
        <v>0</v>
      </c>
      <c r="R502" s="2" t="inlineStr"/>
    </row>
    <row r="503" ht="15" customHeight="1">
      <c r="A503" t="inlineStr">
        <is>
          <t>A 14915-2025</t>
        </is>
      </c>
      <c r="B503" s="1" t="n">
        <v>45743.53121527778</v>
      </c>
      <c r="C503" s="1" t="n">
        <v>45890</v>
      </c>
      <c r="D503" t="inlineStr">
        <is>
          <t>GOTLANDS LÄN</t>
        </is>
      </c>
      <c r="E503" t="inlineStr">
        <is>
          <t>GOTLAND</t>
        </is>
      </c>
      <c r="G503" t="n">
        <v>5.9</v>
      </c>
      <c r="H503" t="n">
        <v>0</v>
      </c>
      <c r="I503" t="n">
        <v>0</v>
      </c>
      <c r="J503" t="n">
        <v>0</v>
      </c>
      <c r="K503" t="n">
        <v>0</v>
      </c>
      <c r="L503" t="n">
        <v>0</v>
      </c>
      <c r="M503" t="n">
        <v>0</v>
      </c>
      <c r="N503" t="n">
        <v>0</v>
      </c>
      <c r="O503" t="n">
        <v>0</v>
      </c>
      <c r="P503" t="n">
        <v>0</v>
      </c>
      <c r="Q503" t="n">
        <v>0</v>
      </c>
      <c r="R503" s="2" t="inlineStr"/>
    </row>
    <row r="504" ht="15" customHeight="1">
      <c r="A504" t="inlineStr">
        <is>
          <t>A 61100-2022</t>
        </is>
      </c>
      <c r="B504" s="1" t="n">
        <v>44915</v>
      </c>
      <c r="C504" s="1" t="n">
        <v>45890</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10746-2025</t>
        </is>
      </c>
      <c r="B505" s="1" t="n">
        <v>45722.42766203704</v>
      </c>
      <c r="C505" s="1" t="n">
        <v>45890</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43785-2024</t>
        </is>
      </c>
      <c r="B506" s="1" t="n">
        <v>45570</v>
      </c>
      <c r="C506" s="1" t="n">
        <v>45890</v>
      </c>
      <c r="D506" t="inlineStr">
        <is>
          <t>GOTLANDS LÄN</t>
        </is>
      </c>
      <c r="E506" t="inlineStr">
        <is>
          <t>GOTLAND</t>
        </is>
      </c>
      <c r="G506" t="n">
        <v>12.6</v>
      </c>
      <c r="H506" t="n">
        <v>0</v>
      </c>
      <c r="I506" t="n">
        <v>0</v>
      </c>
      <c r="J506" t="n">
        <v>0</v>
      </c>
      <c r="K506" t="n">
        <v>0</v>
      </c>
      <c r="L506" t="n">
        <v>0</v>
      </c>
      <c r="M506" t="n">
        <v>0</v>
      </c>
      <c r="N506" t="n">
        <v>0</v>
      </c>
      <c r="O506" t="n">
        <v>0</v>
      </c>
      <c r="P506" t="n">
        <v>0</v>
      </c>
      <c r="Q506" t="n">
        <v>0</v>
      </c>
      <c r="R506" s="2" t="inlineStr"/>
    </row>
    <row r="507" ht="15" customHeight="1">
      <c r="A507" t="inlineStr">
        <is>
          <t>A 43790-2024</t>
        </is>
      </c>
      <c r="B507" s="1" t="n">
        <v>45571</v>
      </c>
      <c r="C507" s="1" t="n">
        <v>45890</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581-2023</t>
        </is>
      </c>
      <c r="B508" s="1" t="n">
        <v>44930</v>
      </c>
      <c r="C508" s="1" t="n">
        <v>45890</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10655-2023</t>
        </is>
      </c>
      <c r="B509" s="1" t="n">
        <v>44988.49543981482</v>
      </c>
      <c r="C509" s="1" t="n">
        <v>45890</v>
      </c>
      <c r="D509" t="inlineStr">
        <is>
          <t>GOTLANDS LÄN</t>
        </is>
      </c>
      <c r="E509" t="inlineStr">
        <is>
          <t>GOTLAND</t>
        </is>
      </c>
      <c r="F509" t="inlineStr">
        <is>
          <t>Kyrkan</t>
        </is>
      </c>
      <c r="G509" t="n">
        <v>2</v>
      </c>
      <c r="H509" t="n">
        <v>0</v>
      </c>
      <c r="I509" t="n">
        <v>0</v>
      </c>
      <c r="J509" t="n">
        <v>0</v>
      </c>
      <c r="K509" t="n">
        <v>0</v>
      </c>
      <c r="L509" t="n">
        <v>0</v>
      </c>
      <c r="M509" t="n">
        <v>0</v>
      </c>
      <c r="N509" t="n">
        <v>0</v>
      </c>
      <c r="O509" t="n">
        <v>0</v>
      </c>
      <c r="P509" t="n">
        <v>0</v>
      </c>
      <c r="Q509" t="n">
        <v>0</v>
      </c>
      <c r="R509" s="2" t="inlineStr"/>
    </row>
    <row r="510" ht="15" customHeight="1">
      <c r="A510" t="inlineStr">
        <is>
          <t>A 44649-2021</t>
        </is>
      </c>
      <c r="B510" s="1" t="n">
        <v>44437</v>
      </c>
      <c r="C510" s="1" t="n">
        <v>45890</v>
      </c>
      <c r="D510" t="inlineStr">
        <is>
          <t>GOTLANDS LÄN</t>
        </is>
      </c>
      <c r="E510" t="inlineStr">
        <is>
          <t>GOTLAND</t>
        </is>
      </c>
      <c r="G510" t="n">
        <v>8.1</v>
      </c>
      <c r="H510" t="n">
        <v>0</v>
      </c>
      <c r="I510" t="n">
        <v>0</v>
      </c>
      <c r="J510" t="n">
        <v>0</v>
      </c>
      <c r="K510" t="n">
        <v>0</v>
      </c>
      <c r="L510" t="n">
        <v>0</v>
      </c>
      <c r="M510" t="n">
        <v>0</v>
      </c>
      <c r="N510" t="n">
        <v>0</v>
      </c>
      <c r="O510" t="n">
        <v>0</v>
      </c>
      <c r="P510" t="n">
        <v>0</v>
      </c>
      <c r="Q510" t="n">
        <v>0</v>
      </c>
      <c r="R510" s="2" t="inlineStr"/>
    </row>
    <row r="511" ht="15" customHeight="1">
      <c r="A511" t="inlineStr">
        <is>
          <t>A 8484-2025</t>
        </is>
      </c>
      <c r="B511" s="1" t="n">
        <v>45709</v>
      </c>
      <c r="C511" s="1" t="n">
        <v>45890</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30135-2025</t>
        </is>
      </c>
      <c r="B512" s="1" t="n">
        <v>45826</v>
      </c>
      <c r="C512" s="1" t="n">
        <v>45890</v>
      </c>
      <c r="D512" t="inlineStr">
        <is>
          <t>GOTLANDS LÄN</t>
        </is>
      </c>
      <c r="E512" t="inlineStr">
        <is>
          <t>GOTLAND</t>
        </is>
      </c>
      <c r="G512" t="n">
        <v>2.7</v>
      </c>
      <c r="H512" t="n">
        <v>0</v>
      </c>
      <c r="I512" t="n">
        <v>0</v>
      </c>
      <c r="J512" t="n">
        <v>0</v>
      </c>
      <c r="K512" t="n">
        <v>0</v>
      </c>
      <c r="L512" t="n">
        <v>0</v>
      </c>
      <c r="M512" t="n">
        <v>0</v>
      </c>
      <c r="N512" t="n">
        <v>0</v>
      </c>
      <c r="O512" t="n">
        <v>0</v>
      </c>
      <c r="P512" t="n">
        <v>0</v>
      </c>
      <c r="Q512" t="n">
        <v>0</v>
      </c>
      <c r="R512" s="2" t="inlineStr"/>
    </row>
    <row r="513" ht="15" customHeight="1">
      <c r="A513" t="inlineStr">
        <is>
          <t>A 43229-2023</t>
        </is>
      </c>
      <c r="B513" s="1" t="n">
        <v>45183.46704861111</v>
      </c>
      <c r="C513" s="1" t="n">
        <v>45890</v>
      </c>
      <c r="D513" t="inlineStr">
        <is>
          <t>GOTLANDS LÄN</t>
        </is>
      </c>
      <c r="E513" t="inlineStr">
        <is>
          <t>GOTLAND</t>
        </is>
      </c>
      <c r="G513" t="n">
        <v>7.1</v>
      </c>
      <c r="H513" t="n">
        <v>0</v>
      </c>
      <c r="I513" t="n">
        <v>0</v>
      </c>
      <c r="J513" t="n">
        <v>0</v>
      </c>
      <c r="K513" t="n">
        <v>0</v>
      </c>
      <c r="L513" t="n">
        <v>0</v>
      </c>
      <c r="M513" t="n">
        <v>0</v>
      </c>
      <c r="N513" t="n">
        <v>0</v>
      </c>
      <c r="O513" t="n">
        <v>0</v>
      </c>
      <c r="P513" t="n">
        <v>0</v>
      </c>
      <c r="Q513" t="n">
        <v>0</v>
      </c>
      <c r="R513" s="2" t="inlineStr"/>
    </row>
    <row r="514" ht="15" customHeight="1">
      <c r="A514" t="inlineStr">
        <is>
          <t>A 3930-2025</t>
        </is>
      </c>
      <c r="B514" s="1" t="n">
        <v>45684.45427083333</v>
      </c>
      <c r="C514" s="1" t="n">
        <v>45890</v>
      </c>
      <c r="D514" t="inlineStr">
        <is>
          <t>GOTLANDS LÄN</t>
        </is>
      </c>
      <c r="E514" t="inlineStr">
        <is>
          <t>GOTLAND</t>
        </is>
      </c>
      <c r="G514" t="n">
        <v>5.2</v>
      </c>
      <c r="H514" t="n">
        <v>0</v>
      </c>
      <c r="I514" t="n">
        <v>0</v>
      </c>
      <c r="J514" t="n">
        <v>0</v>
      </c>
      <c r="K514" t="n">
        <v>0</v>
      </c>
      <c r="L514" t="n">
        <v>0</v>
      </c>
      <c r="M514" t="n">
        <v>0</v>
      </c>
      <c r="N514" t="n">
        <v>0</v>
      </c>
      <c r="O514" t="n">
        <v>0</v>
      </c>
      <c r="P514" t="n">
        <v>0</v>
      </c>
      <c r="Q514" t="n">
        <v>0</v>
      </c>
      <c r="R514" s="2" t="inlineStr"/>
    </row>
    <row r="515" ht="15" customHeight="1">
      <c r="A515" t="inlineStr">
        <is>
          <t>A 41038-2023</t>
        </is>
      </c>
      <c r="B515" s="1" t="n">
        <v>45173.60959490741</v>
      </c>
      <c r="C515" s="1" t="n">
        <v>45890</v>
      </c>
      <c r="D515" t="inlineStr">
        <is>
          <t>GOTLANDS LÄN</t>
        </is>
      </c>
      <c r="E515" t="inlineStr">
        <is>
          <t>GOTLAND</t>
        </is>
      </c>
      <c r="G515" t="n">
        <v>2.7</v>
      </c>
      <c r="H515" t="n">
        <v>0</v>
      </c>
      <c r="I515" t="n">
        <v>0</v>
      </c>
      <c r="J515" t="n">
        <v>0</v>
      </c>
      <c r="K515" t="n">
        <v>0</v>
      </c>
      <c r="L515" t="n">
        <v>0</v>
      </c>
      <c r="M515" t="n">
        <v>0</v>
      </c>
      <c r="N515" t="n">
        <v>0</v>
      </c>
      <c r="O515" t="n">
        <v>0</v>
      </c>
      <c r="P515" t="n">
        <v>0</v>
      </c>
      <c r="Q515" t="n">
        <v>0</v>
      </c>
      <c r="R515" s="2" t="inlineStr"/>
    </row>
    <row r="516" ht="15" customHeight="1">
      <c r="A516" t="inlineStr">
        <is>
          <t>A 16109-2025</t>
        </is>
      </c>
      <c r="B516" s="1" t="n">
        <v>45750</v>
      </c>
      <c r="C516" s="1" t="n">
        <v>45890</v>
      </c>
      <c r="D516" t="inlineStr">
        <is>
          <t>GOTLANDS LÄN</t>
        </is>
      </c>
      <c r="E516" t="inlineStr">
        <is>
          <t>GOTLAND</t>
        </is>
      </c>
      <c r="G516" t="n">
        <v>4.9</v>
      </c>
      <c r="H516" t="n">
        <v>0</v>
      </c>
      <c r="I516" t="n">
        <v>0</v>
      </c>
      <c r="J516" t="n">
        <v>0</v>
      </c>
      <c r="K516" t="n">
        <v>0</v>
      </c>
      <c r="L516" t="n">
        <v>0</v>
      </c>
      <c r="M516" t="n">
        <v>0</v>
      </c>
      <c r="N516" t="n">
        <v>0</v>
      </c>
      <c r="O516" t="n">
        <v>0</v>
      </c>
      <c r="P516" t="n">
        <v>0</v>
      </c>
      <c r="Q516" t="n">
        <v>0</v>
      </c>
      <c r="R516" s="2" t="inlineStr"/>
    </row>
    <row r="517" ht="15" customHeight="1">
      <c r="A517" t="inlineStr">
        <is>
          <t>A 32467-2025</t>
        </is>
      </c>
      <c r="B517" s="1" t="n">
        <v>45838.42111111111</v>
      </c>
      <c r="C517" s="1" t="n">
        <v>45890</v>
      </c>
      <c r="D517" t="inlineStr">
        <is>
          <t>GOTLANDS LÄN</t>
        </is>
      </c>
      <c r="E517" t="inlineStr">
        <is>
          <t>GOTLAND</t>
        </is>
      </c>
      <c r="G517" t="n">
        <v>4.3</v>
      </c>
      <c r="H517" t="n">
        <v>0</v>
      </c>
      <c r="I517" t="n">
        <v>0</v>
      </c>
      <c r="J517" t="n">
        <v>0</v>
      </c>
      <c r="K517" t="n">
        <v>0</v>
      </c>
      <c r="L517" t="n">
        <v>0</v>
      </c>
      <c r="M517" t="n">
        <v>0</v>
      </c>
      <c r="N517" t="n">
        <v>0</v>
      </c>
      <c r="O517" t="n">
        <v>0</v>
      </c>
      <c r="P517" t="n">
        <v>0</v>
      </c>
      <c r="Q517" t="n">
        <v>0</v>
      </c>
      <c r="R517" s="2" t="inlineStr"/>
    </row>
    <row r="518" ht="15" customHeight="1">
      <c r="A518" t="inlineStr">
        <is>
          <t>A 49962-2023</t>
        </is>
      </c>
      <c r="B518" s="1" t="n">
        <v>45215.38775462963</v>
      </c>
      <c r="C518" s="1" t="n">
        <v>45890</v>
      </c>
      <c r="D518" t="inlineStr">
        <is>
          <t>GOTLANDS LÄN</t>
        </is>
      </c>
      <c r="E518" t="inlineStr">
        <is>
          <t>GOTLAND</t>
        </is>
      </c>
      <c r="G518" t="n">
        <v>1.4</v>
      </c>
      <c r="H518" t="n">
        <v>0</v>
      </c>
      <c r="I518" t="n">
        <v>0</v>
      </c>
      <c r="J518" t="n">
        <v>0</v>
      </c>
      <c r="K518" t="n">
        <v>0</v>
      </c>
      <c r="L518" t="n">
        <v>0</v>
      </c>
      <c r="M518" t="n">
        <v>0</v>
      </c>
      <c r="N518" t="n">
        <v>0</v>
      </c>
      <c r="O518" t="n">
        <v>0</v>
      </c>
      <c r="P518" t="n">
        <v>0</v>
      </c>
      <c r="Q518" t="n">
        <v>0</v>
      </c>
      <c r="R518" s="2" t="inlineStr"/>
    </row>
    <row r="519" ht="15" customHeight="1">
      <c r="A519" t="inlineStr">
        <is>
          <t>A 37591-2023</t>
        </is>
      </c>
      <c r="B519" s="1" t="n">
        <v>45159</v>
      </c>
      <c r="C519" s="1" t="n">
        <v>45890</v>
      </c>
      <c r="D519" t="inlineStr">
        <is>
          <t>GOTLANDS LÄN</t>
        </is>
      </c>
      <c r="E519" t="inlineStr">
        <is>
          <t>GOTLAND</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50744-2024</t>
        </is>
      </c>
      <c r="B520" s="1" t="n">
        <v>45602.4187037037</v>
      </c>
      <c r="C520" s="1" t="n">
        <v>45890</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32378-2025</t>
        </is>
      </c>
      <c r="B521" s="1" t="n">
        <v>45837</v>
      </c>
      <c r="C521" s="1" t="n">
        <v>45890</v>
      </c>
      <c r="D521" t="inlineStr">
        <is>
          <t>GOTLANDS LÄN</t>
        </is>
      </c>
      <c r="E521" t="inlineStr">
        <is>
          <t>GOTLAND</t>
        </is>
      </c>
      <c r="G521" t="n">
        <v>4.1</v>
      </c>
      <c r="H521" t="n">
        <v>0</v>
      </c>
      <c r="I521" t="n">
        <v>0</v>
      </c>
      <c r="J521" t="n">
        <v>0</v>
      </c>
      <c r="K521" t="n">
        <v>0</v>
      </c>
      <c r="L521" t="n">
        <v>0</v>
      </c>
      <c r="M521" t="n">
        <v>0</v>
      </c>
      <c r="N521" t="n">
        <v>0</v>
      </c>
      <c r="O521" t="n">
        <v>0</v>
      </c>
      <c r="P521" t="n">
        <v>0</v>
      </c>
      <c r="Q521" t="n">
        <v>0</v>
      </c>
      <c r="R521" s="2" t="inlineStr"/>
    </row>
    <row r="522" ht="15" customHeight="1">
      <c r="A522" t="inlineStr">
        <is>
          <t>A 32686-2025</t>
        </is>
      </c>
      <c r="B522" s="1" t="n">
        <v>45838</v>
      </c>
      <c r="C522" s="1" t="n">
        <v>45890</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20660-2025</t>
        </is>
      </c>
      <c r="B523" s="1" t="n">
        <v>45776</v>
      </c>
      <c r="C523" s="1" t="n">
        <v>45890</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45244-2024</t>
        </is>
      </c>
      <c r="B524" s="1" t="n">
        <v>45576</v>
      </c>
      <c r="C524" s="1" t="n">
        <v>45890</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1713-2025</t>
        </is>
      </c>
      <c r="B525" s="1" t="n">
        <v>45671.32342592593</v>
      </c>
      <c r="C525" s="1" t="n">
        <v>45890</v>
      </c>
      <c r="D525" t="inlineStr">
        <is>
          <t>GOTLANDS LÄN</t>
        </is>
      </c>
      <c r="E525" t="inlineStr">
        <is>
          <t>GOTLAND</t>
        </is>
      </c>
      <c r="G525" t="n">
        <v>10.1</v>
      </c>
      <c r="H525" t="n">
        <v>0</v>
      </c>
      <c r="I525" t="n">
        <v>0</v>
      </c>
      <c r="J525" t="n">
        <v>0</v>
      </c>
      <c r="K525" t="n">
        <v>0</v>
      </c>
      <c r="L525" t="n">
        <v>0</v>
      </c>
      <c r="M525" t="n">
        <v>0</v>
      </c>
      <c r="N525" t="n">
        <v>0</v>
      </c>
      <c r="O525" t="n">
        <v>0</v>
      </c>
      <c r="P525" t="n">
        <v>0</v>
      </c>
      <c r="Q525" t="n">
        <v>0</v>
      </c>
      <c r="R525" s="2" t="inlineStr"/>
    </row>
    <row r="526" ht="15" customHeight="1">
      <c r="A526" t="inlineStr">
        <is>
          <t>A 32379-2025</t>
        </is>
      </c>
      <c r="B526" s="1" t="n">
        <v>45837</v>
      </c>
      <c r="C526" s="1" t="n">
        <v>45890</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38787-2023</t>
        </is>
      </c>
      <c r="B527" s="1" t="n">
        <v>45163</v>
      </c>
      <c r="C527" s="1" t="n">
        <v>45890</v>
      </c>
      <c r="D527" t="inlineStr">
        <is>
          <t>GOTLANDS LÄN</t>
        </is>
      </c>
      <c r="E527" t="inlineStr">
        <is>
          <t>GOTLAND</t>
        </is>
      </c>
      <c r="G527" t="n">
        <v>0.4</v>
      </c>
      <c r="H527" t="n">
        <v>0</v>
      </c>
      <c r="I527" t="n">
        <v>0</v>
      </c>
      <c r="J527" t="n">
        <v>0</v>
      </c>
      <c r="K527" t="n">
        <v>0</v>
      </c>
      <c r="L527" t="n">
        <v>0</v>
      </c>
      <c r="M527" t="n">
        <v>0</v>
      </c>
      <c r="N527" t="n">
        <v>0</v>
      </c>
      <c r="O527" t="n">
        <v>0</v>
      </c>
      <c r="P527" t="n">
        <v>0</v>
      </c>
      <c r="Q527" t="n">
        <v>0</v>
      </c>
      <c r="R527" s="2" t="inlineStr"/>
    </row>
    <row r="528" ht="15" customHeight="1">
      <c r="A528" t="inlineStr">
        <is>
          <t>A 33078-2025</t>
        </is>
      </c>
      <c r="B528" s="1" t="n">
        <v>45840</v>
      </c>
      <c r="C528" s="1" t="n">
        <v>45890</v>
      </c>
      <c r="D528" t="inlineStr">
        <is>
          <t>GOTLANDS LÄN</t>
        </is>
      </c>
      <c r="E528" t="inlineStr">
        <is>
          <t>GOTLAND</t>
        </is>
      </c>
      <c r="G528" t="n">
        <v>0.8</v>
      </c>
      <c r="H528" t="n">
        <v>0</v>
      </c>
      <c r="I528" t="n">
        <v>0</v>
      </c>
      <c r="J528" t="n">
        <v>0</v>
      </c>
      <c r="K528" t="n">
        <v>0</v>
      </c>
      <c r="L528" t="n">
        <v>0</v>
      </c>
      <c r="M528" t="n">
        <v>0</v>
      </c>
      <c r="N528" t="n">
        <v>0</v>
      </c>
      <c r="O528" t="n">
        <v>0</v>
      </c>
      <c r="P528" t="n">
        <v>0</v>
      </c>
      <c r="Q528" t="n">
        <v>0</v>
      </c>
      <c r="R528" s="2" t="inlineStr"/>
    </row>
    <row r="529" ht="15" customHeight="1">
      <c r="A529" t="inlineStr">
        <is>
          <t>A 24966-2023</t>
        </is>
      </c>
      <c r="B529" s="1" t="n">
        <v>45085</v>
      </c>
      <c r="C529" s="1" t="n">
        <v>45890</v>
      </c>
      <c r="D529" t="inlineStr">
        <is>
          <t>GOTLANDS LÄN</t>
        </is>
      </c>
      <c r="E529" t="inlineStr">
        <is>
          <t>GOTLAND</t>
        </is>
      </c>
      <c r="G529" t="n">
        <v>7</v>
      </c>
      <c r="H529" t="n">
        <v>0</v>
      </c>
      <c r="I529" t="n">
        <v>0</v>
      </c>
      <c r="J529" t="n">
        <v>0</v>
      </c>
      <c r="K529" t="n">
        <v>0</v>
      </c>
      <c r="L529" t="n">
        <v>0</v>
      </c>
      <c r="M529" t="n">
        <v>0</v>
      </c>
      <c r="N529" t="n">
        <v>0</v>
      </c>
      <c r="O529" t="n">
        <v>0</v>
      </c>
      <c r="P529" t="n">
        <v>0</v>
      </c>
      <c r="Q529" t="n">
        <v>0</v>
      </c>
      <c r="R529" s="2" t="inlineStr"/>
    </row>
    <row r="530" ht="15" customHeight="1">
      <c r="A530" t="inlineStr">
        <is>
          <t>A 2714-2023</t>
        </is>
      </c>
      <c r="B530" s="1" t="n">
        <v>44944.54896990741</v>
      </c>
      <c r="C530" s="1" t="n">
        <v>45890</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57652-2023</t>
        </is>
      </c>
      <c r="B531" s="1" t="n">
        <v>45246</v>
      </c>
      <c r="C531" s="1" t="n">
        <v>45890</v>
      </c>
      <c r="D531" t="inlineStr">
        <is>
          <t>GOTLANDS LÄN</t>
        </is>
      </c>
      <c r="E531" t="inlineStr">
        <is>
          <t>GOTLAND</t>
        </is>
      </c>
      <c r="G531" t="n">
        <v>7.2</v>
      </c>
      <c r="H531" t="n">
        <v>0</v>
      </c>
      <c r="I531" t="n">
        <v>0</v>
      </c>
      <c r="J531" t="n">
        <v>0</v>
      </c>
      <c r="K531" t="n">
        <v>0</v>
      </c>
      <c r="L531" t="n">
        <v>0</v>
      </c>
      <c r="M531" t="n">
        <v>0</v>
      </c>
      <c r="N531" t="n">
        <v>0</v>
      </c>
      <c r="O531" t="n">
        <v>0</v>
      </c>
      <c r="P531" t="n">
        <v>0</v>
      </c>
      <c r="Q531" t="n">
        <v>0</v>
      </c>
      <c r="R531" s="2" t="inlineStr"/>
    </row>
    <row r="532" ht="15" customHeight="1">
      <c r="A532" t="inlineStr">
        <is>
          <t>A 22897-2023</t>
        </is>
      </c>
      <c r="B532" s="1" t="n">
        <v>45072.55239583334</v>
      </c>
      <c r="C532" s="1" t="n">
        <v>45890</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34142-2024</t>
        </is>
      </c>
      <c r="B533" s="1" t="n">
        <v>45524.36521990741</v>
      </c>
      <c r="C533" s="1" t="n">
        <v>45890</v>
      </c>
      <c r="D533" t="inlineStr">
        <is>
          <t>GOTLANDS LÄN</t>
        </is>
      </c>
      <c r="E533" t="inlineStr">
        <is>
          <t>GOTLAND</t>
        </is>
      </c>
      <c r="G533" t="n">
        <v>6</v>
      </c>
      <c r="H533" t="n">
        <v>0</v>
      </c>
      <c r="I533" t="n">
        <v>0</v>
      </c>
      <c r="J533" t="n">
        <v>0</v>
      </c>
      <c r="K533" t="n">
        <v>0</v>
      </c>
      <c r="L533" t="n">
        <v>0</v>
      </c>
      <c r="M533" t="n">
        <v>0</v>
      </c>
      <c r="N533" t="n">
        <v>0</v>
      </c>
      <c r="O533" t="n">
        <v>0</v>
      </c>
      <c r="P533" t="n">
        <v>0</v>
      </c>
      <c r="Q533" t="n">
        <v>0</v>
      </c>
      <c r="R533" s="2" t="inlineStr"/>
    </row>
    <row r="534" ht="15" customHeight="1">
      <c r="A534" t="inlineStr">
        <is>
          <t>A 46189-2022</t>
        </is>
      </c>
      <c r="B534" s="1" t="n">
        <v>44847</v>
      </c>
      <c r="C534" s="1" t="n">
        <v>45890</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4568-2025</t>
        </is>
      </c>
      <c r="B535" s="1" t="n">
        <v>45687</v>
      </c>
      <c r="C535" s="1" t="n">
        <v>45890</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1681-2023</t>
        </is>
      </c>
      <c r="B536" s="1" t="n">
        <v>44938.39715277778</v>
      </c>
      <c r="C536" s="1" t="n">
        <v>45890</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42338-2023</t>
        </is>
      </c>
      <c r="B537" s="1" t="n">
        <v>45180</v>
      </c>
      <c r="C537" s="1" t="n">
        <v>45890</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45890</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18918-2025</t>
        </is>
      </c>
      <c r="B539" s="1" t="n">
        <v>45764</v>
      </c>
      <c r="C539" s="1" t="n">
        <v>45890</v>
      </c>
      <c r="D539" t="inlineStr">
        <is>
          <t>GOTLANDS LÄN</t>
        </is>
      </c>
      <c r="E539" t="inlineStr">
        <is>
          <t>GOTLAND</t>
        </is>
      </c>
      <c r="G539" t="n">
        <v>1.7</v>
      </c>
      <c r="H539" t="n">
        <v>0</v>
      </c>
      <c r="I539" t="n">
        <v>0</v>
      </c>
      <c r="J539" t="n">
        <v>0</v>
      </c>
      <c r="K539" t="n">
        <v>0</v>
      </c>
      <c r="L539" t="n">
        <v>0</v>
      </c>
      <c r="M539" t="n">
        <v>0</v>
      </c>
      <c r="N539" t="n">
        <v>0</v>
      </c>
      <c r="O539" t="n">
        <v>0</v>
      </c>
      <c r="P539" t="n">
        <v>0</v>
      </c>
      <c r="Q539" t="n">
        <v>0</v>
      </c>
      <c r="R539" s="2" t="inlineStr"/>
    </row>
    <row r="540" ht="15" customHeight="1">
      <c r="A540" t="inlineStr">
        <is>
          <t>A 14797-2024</t>
        </is>
      </c>
      <c r="B540" s="1" t="n">
        <v>45397.87030092593</v>
      </c>
      <c r="C540" s="1" t="n">
        <v>45890</v>
      </c>
      <c r="D540" t="inlineStr">
        <is>
          <t>GOTLANDS LÄN</t>
        </is>
      </c>
      <c r="E540" t="inlineStr">
        <is>
          <t>GOTLAND</t>
        </is>
      </c>
      <c r="G540" t="n">
        <v>8.1</v>
      </c>
      <c r="H540" t="n">
        <v>0</v>
      </c>
      <c r="I540" t="n">
        <v>0</v>
      </c>
      <c r="J540" t="n">
        <v>0</v>
      </c>
      <c r="K540" t="n">
        <v>0</v>
      </c>
      <c r="L540" t="n">
        <v>0</v>
      </c>
      <c r="M540" t="n">
        <v>0</v>
      </c>
      <c r="N540" t="n">
        <v>0</v>
      </c>
      <c r="O540" t="n">
        <v>0</v>
      </c>
      <c r="P540" t="n">
        <v>0</v>
      </c>
      <c r="Q540" t="n">
        <v>0</v>
      </c>
      <c r="R540" s="2" t="inlineStr"/>
    </row>
    <row r="541" ht="15" customHeight="1">
      <c r="A541" t="inlineStr">
        <is>
          <t>A 11013-2024</t>
        </is>
      </c>
      <c r="B541" s="1" t="n">
        <v>45370</v>
      </c>
      <c r="C541" s="1" t="n">
        <v>45890</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33007-2025</t>
        </is>
      </c>
      <c r="B542" s="1" t="n">
        <v>45840</v>
      </c>
      <c r="C542" s="1" t="n">
        <v>45890</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33011-2025</t>
        </is>
      </c>
      <c r="B543" s="1" t="n">
        <v>45840</v>
      </c>
      <c r="C543" s="1" t="n">
        <v>45890</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45084-2024</t>
        </is>
      </c>
      <c r="B544" s="1" t="n">
        <v>45575</v>
      </c>
      <c r="C544" s="1" t="n">
        <v>45890</v>
      </c>
      <c r="D544" t="inlineStr">
        <is>
          <t>GOTLANDS LÄN</t>
        </is>
      </c>
      <c r="E544" t="inlineStr">
        <is>
          <t>GOTLAND</t>
        </is>
      </c>
      <c r="G544" t="n">
        <v>6.8</v>
      </c>
      <c r="H544" t="n">
        <v>0</v>
      </c>
      <c r="I544" t="n">
        <v>0</v>
      </c>
      <c r="J544" t="n">
        <v>0</v>
      </c>
      <c r="K544" t="n">
        <v>0</v>
      </c>
      <c r="L544" t="n">
        <v>0</v>
      </c>
      <c r="M544" t="n">
        <v>0</v>
      </c>
      <c r="N544" t="n">
        <v>0</v>
      </c>
      <c r="O544" t="n">
        <v>0</v>
      </c>
      <c r="P544" t="n">
        <v>0</v>
      </c>
      <c r="Q544" t="n">
        <v>0</v>
      </c>
      <c r="R544" s="2" t="inlineStr"/>
    </row>
    <row r="545" ht="15" customHeight="1">
      <c r="A545" t="inlineStr">
        <is>
          <t>A 20356-2022</t>
        </is>
      </c>
      <c r="B545" s="1" t="n">
        <v>44699</v>
      </c>
      <c r="C545" s="1" t="n">
        <v>45890</v>
      </c>
      <c r="D545" t="inlineStr">
        <is>
          <t>GOTLANDS LÄN</t>
        </is>
      </c>
      <c r="E545" t="inlineStr">
        <is>
          <t>GOTLAND</t>
        </is>
      </c>
      <c r="F545" t="inlineStr">
        <is>
          <t>Övriga Aktiebolag</t>
        </is>
      </c>
      <c r="G545" t="n">
        <v>4.4</v>
      </c>
      <c r="H545" t="n">
        <v>0</v>
      </c>
      <c r="I545" t="n">
        <v>0</v>
      </c>
      <c r="J545" t="n">
        <v>0</v>
      </c>
      <c r="K545" t="n">
        <v>0</v>
      </c>
      <c r="L545" t="n">
        <v>0</v>
      </c>
      <c r="M545" t="n">
        <v>0</v>
      </c>
      <c r="N545" t="n">
        <v>0</v>
      </c>
      <c r="O545" t="n">
        <v>0</v>
      </c>
      <c r="P545" t="n">
        <v>0</v>
      </c>
      <c r="Q545" t="n">
        <v>0</v>
      </c>
      <c r="R545" s="2" t="inlineStr"/>
    </row>
    <row r="546" ht="15" customHeight="1">
      <c r="A546" t="inlineStr">
        <is>
          <t>A 7837-2024</t>
        </is>
      </c>
      <c r="B546" s="1" t="n">
        <v>45349.83787037037</v>
      </c>
      <c r="C546" s="1" t="n">
        <v>45890</v>
      </c>
      <c r="D546" t="inlineStr">
        <is>
          <t>GOTLANDS LÄN</t>
        </is>
      </c>
      <c r="E546" t="inlineStr">
        <is>
          <t>GOTLAND</t>
        </is>
      </c>
      <c r="G546" t="n">
        <v>5</v>
      </c>
      <c r="H546" t="n">
        <v>0</v>
      </c>
      <c r="I546" t="n">
        <v>0</v>
      </c>
      <c r="J546" t="n">
        <v>0</v>
      </c>
      <c r="K546" t="n">
        <v>0</v>
      </c>
      <c r="L546" t="n">
        <v>0</v>
      </c>
      <c r="M546" t="n">
        <v>0</v>
      </c>
      <c r="N546" t="n">
        <v>0</v>
      </c>
      <c r="O546" t="n">
        <v>0</v>
      </c>
      <c r="P546" t="n">
        <v>0</v>
      </c>
      <c r="Q546" t="n">
        <v>0</v>
      </c>
      <c r="R546" s="2" t="inlineStr"/>
    </row>
    <row r="547" ht="15" customHeight="1">
      <c r="A547" t="inlineStr">
        <is>
          <t>A 4868-2024</t>
        </is>
      </c>
      <c r="B547" s="1" t="n">
        <v>45329</v>
      </c>
      <c r="C547" s="1" t="n">
        <v>45890</v>
      </c>
      <c r="D547" t="inlineStr">
        <is>
          <t>GOTLANDS LÄN</t>
        </is>
      </c>
      <c r="E547" t="inlineStr">
        <is>
          <t>GOTLAND</t>
        </is>
      </c>
      <c r="G547" t="n">
        <v>7.1</v>
      </c>
      <c r="H547" t="n">
        <v>0</v>
      </c>
      <c r="I547" t="n">
        <v>0</v>
      </c>
      <c r="J547" t="n">
        <v>0</v>
      </c>
      <c r="K547" t="n">
        <v>0</v>
      </c>
      <c r="L547" t="n">
        <v>0</v>
      </c>
      <c r="M547" t="n">
        <v>0</v>
      </c>
      <c r="N547" t="n">
        <v>0</v>
      </c>
      <c r="O547" t="n">
        <v>0</v>
      </c>
      <c r="P547" t="n">
        <v>0</v>
      </c>
      <c r="Q547" t="n">
        <v>0</v>
      </c>
      <c r="R547" s="2" t="inlineStr"/>
    </row>
    <row r="548" ht="15" customHeight="1">
      <c r="A548" t="inlineStr">
        <is>
          <t>A 9613-2025</t>
        </is>
      </c>
      <c r="B548" s="1" t="n">
        <v>45715</v>
      </c>
      <c r="C548" s="1" t="n">
        <v>45890</v>
      </c>
      <c r="D548" t="inlineStr">
        <is>
          <t>GOTLANDS LÄN</t>
        </is>
      </c>
      <c r="E548" t="inlineStr">
        <is>
          <t>GOTLAND</t>
        </is>
      </c>
      <c r="G548" t="n">
        <v>3.5</v>
      </c>
      <c r="H548" t="n">
        <v>0</v>
      </c>
      <c r="I548" t="n">
        <v>0</v>
      </c>
      <c r="J548" t="n">
        <v>0</v>
      </c>
      <c r="K548" t="n">
        <v>0</v>
      </c>
      <c r="L548" t="n">
        <v>0</v>
      </c>
      <c r="M548" t="n">
        <v>0</v>
      </c>
      <c r="N548" t="n">
        <v>0</v>
      </c>
      <c r="O548" t="n">
        <v>0</v>
      </c>
      <c r="P548" t="n">
        <v>0</v>
      </c>
      <c r="Q548" t="n">
        <v>0</v>
      </c>
      <c r="R548" s="2" t="inlineStr"/>
    </row>
    <row r="549" ht="15" customHeight="1">
      <c r="A549" t="inlineStr">
        <is>
          <t>A 5386-2023</t>
        </is>
      </c>
      <c r="B549" s="1" t="n">
        <v>44959</v>
      </c>
      <c r="C549" s="1" t="n">
        <v>45890</v>
      </c>
      <c r="D549" t="inlineStr">
        <is>
          <t>GOTLANDS LÄN</t>
        </is>
      </c>
      <c r="E549" t="inlineStr">
        <is>
          <t>GOTLAND</t>
        </is>
      </c>
      <c r="G549" t="n">
        <v>5.4</v>
      </c>
      <c r="H549" t="n">
        <v>0</v>
      </c>
      <c r="I549" t="n">
        <v>0</v>
      </c>
      <c r="J549" t="n">
        <v>0</v>
      </c>
      <c r="K549" t="n">
        <v>0</v>
      </c>
      <c r="L549" t="n">
        <v>0</v>
      </c>
      <c r="M549" t="n">
        <v>0</v>
      </c>
      <c r="N549" t="n">
        <v>0</v>
      </c>
      <c r="O549" t="n">
        <v>0</v>
      </c>
      <c r="P549" t="n">
        <v>0</v>
      </c>
      <c r="Q549" t="n">
        <v>0</v>
      </c>
      <c r="R549" s="2" t="inlineStr"/>
    </row>
    <row r="550" ht="15" customHeight="1">
      <c r="A550" t="inlineStr">
        <is>
          <t>A 38649-2025</t>
        </is>
      </c>
      <c r="B550" s="1" t="n">
        <v>45884</v>
      </c>
      <c r="C550" s="1" t="n">
        <v>45890</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1394-2023</t>
        </is>
      </c>
      <c r="B551" s="1" t="n">
        <v>44936.72997685185</v>
      </c>
      <c r="C551" s="1" t="n">
        <v>45890</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58211-2024</t>
        </is>
      </c>
      <c r="B552" s="1" t="n">
        <v>45632.49292824074</v>
      </c>
      <c r="C552" s="1" t="n">
        <v>45890</v>
      </c>
      <c r="D552" t="inlineStr">
        <is>
          <t>GOTLANDS LÄN</t>
        </is>
      </c>
      <c r="E552" t="inlineStr">
        <is>
          <t>GOTLAND</t>
        </is>
      </c>
      <c r="G552" t="n">
        <v>5.4</v>
      </c>
      <c r="H552" t="n">
        <v>0</v>
      </c>
      <c r="I552" t="n">
        <v>0</v>
      </c>
      <c r="J552" t="n">
        <v>0</v>
      </c>
      <c r="K552" t="n">
        <v>0</v>
      </c>
      <c r="L552" t="n">
        <v>0</v>
      </c>
      <c r="M552" t="n">
        <v>0</v>
      </c>
      <c r="N552" t="n">
        <v>0</v>
      </c>
      <c r="O552" t="n">
        <v>0</v>
      </c>
      <c r="P552" t="n">
        <v>0</v>
      </c>
      <c r="Q552" t="n">
        <v>0</v>
      </c>
      <c r="R552" s="2" t="inlineStr"/>
    </row>
    <row r="553" ht="15" customHeight="1">
      <c r="A553" t="inlineStr">
        <is>
          <t>A 2676-2023</t>
        </is>
      </c>
      <c r="B553" s="1" t="n">
        <v>44944</v>
      </c>
      <c r="C553" s="1" t="n">
        <v>45890</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4387-2023</t>
        </is>
      </c>
      <c r="B554" s="1" t="n">
        <v>44955.73359953704</v>
      </c>
      <c r="C554" s="1" t="n">
        <v>45890</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49411-2023</t>
        </is>
      </c>
      <c r="B555" s="1" t="n">
        <v>45205</v>
      </c>
      <c r="C555" s="1" t="n">
        <v>45890</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11634-2024</t>
        </is>
      </c>
      <c r="B556" s="1" t="n">
        <v>45373</v>
      </c>
      <c r="C556" s="1" t="n">
        <v>45890</v>
      </c>
      <c r="D556" t="inlineStr">
        <is>
          <t>GOTLANDS LÄN</t>
        </is>
      </c>
      <c r="E556" t="inlineStr">
        <is>
          <t>GOTLAND</t>
        </is>
      </c>
      <c r="G556" t="n">
        <v>3</v>
      </c>
      <c r="H556" t="n">
        <v>0</v>
      </c>
      <c r="I556" t="n">
        <v>0</v>
      </c>
      <c r="J556" t="n">
        <v>0</v>
      </c>
      <c r="K556" t="n">
        <v>0</v>
      </c>
      <c r="L556" t="n">
        <v>0</v>
      </c>
      <c r="M556" t="n">
        <v>0</v>
      </c>
      <c r="N556" t="n">
        <v>0</v>
      </c>
      <c r="O556" t="n">
        <v>0</v>
      </c>
      <c r="P556" t="n">
        <v>0</v>
      </c>
      <c r="Q556" t="n">
        <v>0</v>
      </c>
      <c r="R556" s="2" t="inlineStr"/>
    </row>
    <row r="557" ht="15" customHeight="1">
      <c r="A557" t="inlineStr">
        <is>
          <t>A 37728-2024</t>
        </is>
      </c>
      <c r="B557" s="1" t="n">
        <v>45541</v>
      </c>
      <c r="C557" s="1" t="n">
        <v>45890</v>
      </c>
      <c r="D557" t="inlineStr">
        <is>
          <t>GOTLANDS LÄN</t>
        </is>
      </c>
      <c r="E557" t="inlineStr">
        <is>
          <t>GOTLAND</t>
        </is>
      </c>
      <c r="G557" t="n">
        <v>0.4</v>
      </c>
      <c r="H557" t="n">
        <v>0</v>
      </c>
      <c r="I557" t="n">
        <v>0</v>
      </c>
      <c r="J557" t="n">
        <v>0</v>
      </c>
      <c r="K557" t="n">
        <v>0</v>
      </c>
      <c r="L557" t="n">
        <v>0</v>
      </c>
      <c r="M557" t="n">
        <v>0</v>
      </c>
      <c r="N557" t="n">
        <v>0</v>
      </c>
      <c r="O557" t="n">
        <v>0</v>
      </c>
      <c r="P557" t="n">
        <v>0</v>
      </c>
      <c r="Q557" t="n">
        <v>0</v>
      </c>
      <c r="R557" s="2" t="inlineStr"/>
    </row>
    <row r="558" ht="15" customHeight="1">
      <c r="A558" t="inlineStr">
        <is>
          <t>A 15413-2025</t>
        </is>
      </c>
      <c r="B558" s="1" t="n">
        <v>45747.451875</v>
      </c>
      <c r="C558" s="1" t="n">
        <v>45890</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5884-2025</t>
        </is>
      </c>
      <c r="B559" s="1" t="n">
        <v>45695.37482638889</v>
      </c>
      <c r="C559" s="1" t="n">
        <v>45890</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5897-2025</t>
        </is>
      </c>
      <c r="B560" s="1" t="n">
        <v>45695.39273148148</v>
      </c>
      <c r="C560" s="1" t="n">
        <v>45890</v>
      </c>
      <c r="D560" t="inlineStr">
        <is>
          <t>GOTLANDS LÄN</t>
        </is>
      </c>
      <c r="E560" t="inlineStr">
        <is>
          <t>GOTLAND</t>
        </is>
      </c>
      <c r="G560" t="n">
        <v>3.7</v>
      </c>
      <c r="H560" t="n">
        <v>0</v>
      </c>
      <c r="I560" t="n">
        <v>0</v>
      </c>
      <c r="J560" t="n">
        <v>0</v>
      </c>
      <c r="K560" t="n">
        <v>0</v>
      </c>
      <c r="L560" t="n">
        <v>0</v>
      </c>
      <c r="M560" t="n">
        <v>0</v>
      </c>
      <c r="N560" t="n">
        <v>0</v>
      </c>
      <c r="O560" t="n">
        <v>0</v>
      </c>
      <c r="P560" t="n">
        <v>0</v>
      </c>
      <c r="Q560" t="n">
        <v>0</v>
      </c>
      <c r="R560" s="2" t="inlineStr"/>
    </row>
    <row r="561" ht="15" customHeight="1">
      <c r="A561" t="inlineStr">
        <is>
          <t>A 5909-2025</t>
        </is>
      </c>
      <c r="B561" s="1" t="n">
        <v>45695.40634259259</v>
      </c>
      <c r="C561" s="1" t="n">
        <v>45890</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13627-2023</t>
        </is>
      </c>
      <c r="B562" s="1" t="n">
        <v>45006</v>
      </c>
      <c r="C562" s="1" t="n">
        <v>45890</v>
      </c>
      <c r="D562" t="inlineStr">
        <is>
          <t>GOTLANDS LÄN</t>
        </is>
      </c>
      <c r="E562" t="inlineStr">
        <is>
          <t>GOTLAND</t>
        </is>
      </c>
      <c r="G562" t="n">
        <v>10.7</v>
      </c>
      <c r="H562" t="n">
        <v>0</v>
      </c>
      <c r="I562" t="n">
        <v>0</v>
      </c>
      <c r="J562" t="n">
        <v>0</v>
      </c>
      <c r="K562" t="n">
        <v>0</v>
      </c>
      <c r="L562" t="n">
        <v>0</v>
      </c>
      <c r="M562" t="n">
        <v>0</v>
      </c>
      <c r="N562" t="n">
        <v>0</v>
      </c>
      <c r="O562" t="n">
        <v>0</v>
      </c>
      <c r="P562" t="n">
        <v>0</v>
      </c>
      <c r="Q562" t="n">
        <v>0</v>
      </c>
      <c r="R562" s="2" t="inlineStr"/>
    </row>
    <row r="563" ht="15" customHeight="1">
      <c r="A563" t="inlineStr">
        <is>
          <t>A 2241-2025</t>
        </is>
      </c>
      <c r="B563" s="1" t="n">
        <v>45673.48710648148</v>
      </c>
      <c r="C563" s="1" t="n">
        <v>45890</v>
      </c>
      <c r="D563" t="inlineStr">
        <is>
          <t>GOTLANDS LÄN</t>
        </is>
      </c>
      <c r="E563" t="inlineStr">
        <is>
          <t>GOTLAND</t>
        </is>
      </c>
      <c r="G563" t="n">
        <v>1</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45890</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16373-2025</t>
        </is>
      </c>
      <c r="B565" s="1" t="n">
        <v>45751</v>
      </c>
      <c r="C565" s="1" t="n">
        <v>45890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45890</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39278-2025</t>
        </is>
      </c>
      <c r="B567" s="1" t="n">
        <v>45889</v>
      </c>
      <c r="C567" s="1" t="n">
        <v>45890</v>
      </c>
      <c r="D567" t="inlineStr">
        <is>
          <t>GOTLANDS LÄN</t>
        </is>
      </c>
      <c r="E567" t="inlineStr">
        <is>
          <t>GOTLAND</t>
        </is>
      </c>
      <c r="G567" t="n">
        <v>3.7</v>
      </c>
      <c r="H567" t="n">
        <v>0</v>
      </c>
      <c r="I567" t="n">
        <v>0</v>
      </c>
      <c r="J567" t="n">
        <v>0</v>
      </c>
      <c r="K567" t="n">
        <v>0</v>
      </c>
      <c r="L567" t="n">
        <v>0</v>
      </c>
      <c r="M567" t="n">
        <v>0</v>
      </c>
      <c r="N567" t="n">
        <v>0</v>
      </c>
      <c r="O567" t="n">
        <v>0</v>
      </c>
      <c r="P567" t="n">
        <v>0</v>
      </c>
      <c r="Q567" t="n">
        <v>0</v>
      </c>
      <c r="R567" s="2" t="inlineStr"/>
    </row>
    <row r="568" ht="15" customHeight="1">
      <c r="A568" t="inlineStr">
        <is>
          <t>A 17847-2025</t>
        </is>
      </c>
      <c r="B568" s="1" t="n">
        <v>45758</v>
      </c>
      <c r="C568" s="1" t="n">
        <v>45890</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25866-2022</t>
        </is>
      </c>
      <c r="B569" s="1" t="n">
        <v>44733</v>
      </c>
      <c r="C569" s="1" t="n">
        <v>45890</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22275-2023</t>
        </is>
      </c>
      <c r="B570" s="1" t="n">
        <v>45070.39875</v>
      </c>
      <c r="C570" s="1" t="n">
        <v>45890</v>
      </c>
      <c r="D570" t="inlineStr">
        <is>
          <t>GOTLANDS LÄN</t>
        </is>
      </c>
      <c r="E570" t="inlineStr">
        <is>
          <t>GOTLAND</t>
        </is>
      </c>
      <c r="G570" t="n">
        <v>7.2</v>
      </c>
      <c r="H570" t="n">
        <v>0</v>
      </c>
      <c r="I570" t="n">
        <v>0</v>
      </c>
      <c r="J570" t="n">
        <v>0</v>
      </c>
      <c r="K570" t="n">
        <v>0</v>
      </c>
      <c r="L570" t="n">
        <v>0</v>
      </c>
      <c r="M570" t="n">
        <v>0</v>
      </c>
      <c r="N570" t="n">
        <v>0</v>
      </c>
      <c r="O570" t="n">
        <v>0</v>
      </c>
      <c r="P570" t="n">
        <v>0</v>
      </c>
      <c r="Q570" t="n">
        <v>0</v>
      </c>
      <c r="R570" s="2" t="inlineStr"/>
    </row>
    <row r="571" ht="15" customHeight="1">
      <c r="A571" t="inlineStr">
        <is>
          <t>A 15001-2025</t>
        </is>
      </c>
      <c r="B571" s="1" t="n">
        <v>45743</v>
      </c>
      <c r="C571" s="1" t="n">
        <v>45890</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14635-2023</t>
        </is>
      </c>
      <c r="B572" s="1" t="n">
        <v>45013.69365740741</v>
      </c>
      <c r="C572" s="1" t="n">
        <v>45890</v>
      </c>
      <c r="D572" t="inlineStr">
        <is>
          <t>GOTLANDS LÄN</t>
        </is>
      </c>
      <c r="E572" t="inlineStr">
        <is>
          <t>GOTLAND</t>
        </is>
      </c>
      <c r="G572" t="n">
        <v>3.1</v>
      </c>
      <c r="H572" t="n">
        <v>0</v>
      </c>
      <c r="I572" t="n">
        <v>0</v>
      </c>
      <c r="J572" t="n">
        <v>0</v>
      </c>
      <c r="K572" t="n">
        <v>0</v>
      </c>
      <c r="L572" t="n">
        <v>0</v>
      </c>
      <c r="M572" t="n">
        <v>0</v>
      </c>
      <c r="N572" t="n">
        <v>0</v>
      </c>
      <c r="O572" t="n">
        <v>0</v>
      </c>
      <c r="P572" t="n">
        <v>0</v>
      </c>
      <c r="Q572" t="n">
        <v>0</v>
      </c>
      <c r="R572" s="2" t="inlineStr"/>
    </row>
    <row r="573" ht="15" customHeight="1">
      <c r="A573" t="inlineStr">
        <is>
          <t>A 63763-2023</t>
        </is>
      </c>
      <c r="B573" s="1" t="n">
        <v>45278.33944444444</v>
      </c>
      <c r="C573" s="1" t="n">
        <v>45890</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7635-2025</t>
        </is>
      </c>
      <c r="B574" s="1" t="n">
        <v>45705</v>
      </c>
      <c r="C574" s="1" t="n">
        <v>45890</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7636-2025</t>
        </is>
      </c>
      <c r="B575" s="1" t="n">
        <v>45705.7687962963</v>
      </c>
      <c r="C575" s="1" t="n">
        <v>45890</v>
      </c>
      <c r="D575" t="inlineStr">
        <is>
          <t>GOTLANDS LÄN</t>
        </is>
      </c>
      <c r="E575" t="inlineStr">
        <is>
          <t>GOTLAND</t>
        </is>
      </c>
      <c r="G575" t="n">
        <v>0.6</v>
      </c>
      <c r="H575" t="n">
        <v>0</v>
      </c>
      <c r="I575" t="n">
        <v>0</v>
      </c>
      <c r="J575" t="n">
        <v>0</v>
      </c>
      <c r="K575" t="n">
        <v>0</v>
      </c>
      <c r="L575" t="n">
        <v>0</v>
      </c>
      <c r="M575" t="n">
        <v>0</v>
      </c>
      <c r="N575" t="n">
        <v>0</v>
      </c>
      <c r="O575" t="n">
        <v>0</v>
      </c>
      <c r="P575" t="n">
        <v>0</v>
      </c>
      <c r="Q575" t="n">
        <v>0</v>
      </c>
      <c r="R575" s="2" t="inlineStr"/>
    </row>
    <row r="576" ht="15" customHeight="1">
      <c r="A576" t="inlineStr">
        <is>
          <t>A 7639-2025</t>
        </is>
      </c>
      <c r="B576" s="1" t="n">
        <v>45705.77465277778</v>
      </c>
      <c r="C576" s="1" t="n">
        <v>45890</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60908-2024</t>
        </is>
      </c>
      <c r="B577" s="1" t="n">
        <v>45645.31320601852</v>
      </c>
      <c r="C577" s="1" t="n">
        <v>45890</v>
      </c>
      <c r="D577" t="inlineStr">
        <is>
          <t>GOTLANDS LÄN</t>
        </is>
      </c>
      <c r="E577" t="inlineStr">
        <is>
          <t>GOTLAND</t>
        </is>
      </c>
      <c r="G577" t="n">
        <v>7.1</v>
      </c>
      <c r="H577" t="n">
        <v>0</v>
      </c>
      <c r="I577" t="n">
        <v>0</v>
      </c>
      <c r="J577" t="n">
        <v>0</v>
      </c>
      <c r="K577" t="n">
        <v>0</v>
      </c>
      <c r="L577" t="n">
        <v>0</v>
      </c>
      <c r="M577" t="n">
        <v>0</v>
      </c>
      <c r="N577" t="n">
        <v>0</v>
      </c>
      <c r="O577" t="n">
        <v>0</v>
      </c>
      <c r="P577" t="n">
        <v>0</v>
      </c>
      <c r="Q577" t="n">
        <v>0</v>
      </c>
      <c r="R577" s="2" t="inlineStr"/>
    </row>
    <row r="578" ht="15" customHeight="1">
      <c r="A578" t="inlineStr">
        <is>
          <t>A 61682-2024</t>
        </is>
      </c>
      <c r="B578" s="1" t="n">
        <v>45647.48824074074</v>
      </c>
      <c r="C578" s="1" t="n">
        <v>45890</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15434-2024</t>
        </is>
      </c>
      <c r="B579" s="1" t="n">
        <v>45401.38836805556</v>
      </c>
      <c r="C579" s="1" t="n">
        <v>45890</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9887-2025</t>
        </is>
      </c>
      <c r="B580" s="1" t="n">
        <v>45716</v>
      </c>
      <c r="C580" s="1" t="n">
        <v>45890</v>
      </c>
      <c r="D580" t="inlineStr">
        <is>
          <t>GOTLANDS LÄN</t>
        </is>
      </c>
      <c r="E580" t="inlineStr">
        <is>
          <t>GOTLAND</t>
        </is>
      </c>
      <c r="G580" t="n">
        <v>7.5</v>
      </c>
      <c r="H580" t="n">
        <v>0</v>
      </c>
      <c r="I580" t="n">
        <v>0</v>
      </c>
      <c r="J580" t="n">
        <v>0</v>
      </c>
      <c r="K580" t="n">
        <v>0</v>
      </c>
      <c r="L580" t="n">
        <v>0</v>
      </c>
      <c r="M580" t="n">
        <v>0</v>
      </c>
      <c r="N580" t="n">
        <v>0</v>
      </c>
      <c r="O580" t="n">
        <v>0</v>
      </c>
      <c r="P580" t="n">
        <v>0</v>
      </c>
      <c r="Q580" t="n">
        <v>0</v>
      </c>
      <c r="R580" s="2" t="inlineStr"/>
    </row>
    <row r="581" ht="15" customHeight="1">
      <c r="A581" t="inlineStr">
        <is>
          <t>A 12209-2024</t>
        </is>
      </c>
      <c r="B581" s="1" t="n">
        <v>45378</v>
      </c>
      <c r="C581" s="1" t="n">
        <v>45890</v>
      </c>
      <c r="D581" t="inlineStr">
        <is>
          <t>GOTLANDS LÄN</t>
        </is>
      </c>
      <c r="E581" t="inlineStr">
        <is>
          <t>GOTLAND</t>
        </is>
      </c>
      <c r="G581" t="n">
        <v>5.3</v>
      </c>
      <c r="H581" t="n">
        <v>0</v>
      </c>
      <c r="I581" t="n">
        <v>0</v>
      </c>
      <c r="J581" t="n">
        <v>0</v>
      </c>
      <c r="K581" t="n">
        <v>0</v>
      </c>
      <c r="L581" t="n">
        <v>0</v>
      </c>
      <c r="M581" t="n">
        <v>0</v>
      </c>
      <c r="N581" t="n">
        <v>0</v>
      </c>
      <c r="O581" t="n">
        <v>0</v>
      </c>
      <c r="P581" t="n">
        <v>0</v>
      </c>
      <c r="Q581" t="n">
        <v>0</v>
      </c>
      <c r="R581" s="2" t="inlineStr"/>
    </row>
    <row r="582" ht="15" customHeight="1">
      <c r="A582" t="inlineStr">
        <is>
          <t>A 12210-2024</t>
        </is>
      </c>
      <c r="B582" s="1" t="n">
        <v>45378</v>
      </c>
      <c r="C582" s="1" t="n">
        <v>45890</v>
      </c>
      <c r="D582" t="inlineStr">
        <is>
          <t>GOTLANDS LÄN</t>
        </is>
      </c>
      <c r="E582" t="inlineStr">
        <is>
          <t>GOTLAND</t>
        </is>
      </c>
      <c r="G582" t="n">
        <v>4.1</v>
      </c>
      <c r="H582" t="n">
        <v>0</v>
      </c>
      <c r="I582" t="n">
        <v>0</v>
      </c>
      <c r="J582" t="n">
        <v>0</v>
      </c>
      <c r="K582" t="n">
        <v>0</v>
      </c>
      <c r="L582" t="n">
        <v>0</v>
      </c>
      <c r="M582" t="n">
        <v>0</v>
      </c>
      <c r="N582" t="n">
        <v>0</v>
      </c>
      <c r="O582" t="n">
        <v>0</v>
      </c>
      <c r="P582" t="n">
        <v>0</v>
      </c>
      <c r="Q582" t="n">
        <v>0</v>
      </c>
      <c r="R582" s="2" t="inlineStr"/>
    </row>
    <row r="583" ht="15" customHeight="1">
      <c r="A583" t="inlineStr">
        <is>
          <t>A 59986-2022</t>
        </is>
      </c>
      <c r="B583" s="1" t="n">
        <v>44909</v>
      </c>
      <c r="C583" s="1" t="n">
        <v>45890</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7034-2023</t>
        </is>
      </c>
      <c r="B584" s="1" t="n">
        <v>44968.32108796296</v>
      </c>
      <c r="C584" s="1" t="n">
        <v>45890</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7042-2023</t>
        </is>
      </c>
      <c r="B585" s="1" t="n">
        <v>44968</v>
      </c>
      <c r="C585" s="1" t="n">
        <v>45890</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2180-2025</t>
        </is>
      </c>
      <c r="B586" s="1" t="n">
        <v>45673</v>
      </c>
      <c r="C586" s="1" t="n">
        <v>45890</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31802-2024</t>
        </is>
      </c>
      <c r="B587" s="1" t="n">
        <v>45509</v>
      </c>
      <c r="C587" s="1" t="n">
        <v>45890</v>
      </c>
      <c r="D587" t="inlineStr">
        <is>
          <t>GOTLANDS LÄN</t>
        </is>
      </c>
      <c r="E587" t="inlineStr">
        <is>
          <t>GOTLAND</t>
        </is>
      </c>
      <c r="G587" t="n">
        <v>2.8</v>
      </c>
      <c r="H587" t="n">
        <v>0</v>
      </c>
      <c r="I587" t="n">
        <v>0</v>
      </c>
      <c r="J587" t="n">
        <v>0</v>
      </c>
      <c r="K587" t="n">
        <v>0</v>
      </c>
      <c r="L587" t="n">
        <v>0</v>
      </c>
      <c r="M587" t="n">
        <v>0</v>
      </c>
      <c r="N587" t="n">
        <v>0</v>
      </c>
      <c r="O587" t="n">
        <v>0</v>
      </c>
      <c r="P587" t="n">
        <v>0</v>
      </c>
      <c r="Q587" t="n">
        <v>0</v>
      </c>
      <c r="R587" s="2" t="inlineStr"/>
    </row>
    <row r="588" ht="15" customHeight="1">
      <c r="A588" t="inlineStr">
        <is>
          <t>A 1728-2025</t>
        </is>
      </c>
      <c r="B588" s="1" t="n">
        <v>45671.3565162037</v>
      </c>
      <c r="C588" s="1" t="n">
        <v>45890</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45890</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54074-2022</t>
        </is>
      </c>
      <c r="B590" s="1" t="n">
        <v>44881</v>
      </c>
      <c r="C590" s="1" t="n">
        <v>45890</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15042-2025</t>
        </is>
      </c>
      <c r="B591" s="1" t="n">
        <v>45743</v>
      </c>
      <c r="C591" s="1" t="n">
        <v>45890</v>
      </c>
      <c r="D591" t="inlineStr">
        <is>
          <t>GOTLANDS LÄN</t>
        </is>
      </c>
      <c r="E591" t="inlineStr">
        <is>
          <t>GOTLAND</t>
        </is>
      </c>
      <c r="G591" t="n">
        <v>8.5</v>
      </c>
      <c r="H591" t="n">
        <v>0</v>
      </c>
      <c r="I591" t="n">
        <v>0</v>
      </c>
      <c r="J591" t="n">
        <v>0</v>
      </c>
      <c r="K591" t="n">
        <v>0</v>
      </c>
      <c r="L591" t="n">
        <v>0</v>
      </c>
      <c r="M591" t="n">
        <v>0</v>
      </c>
      <c r="N591" t="n">
        <v>0</v>
      </c>
      <c r="O591" t="n">
        <v>0</v>
      </c>
      <c r="P591" t="n">
        <v>0</v>
      </c>
      <c r="Q591" t="n">
        <v>0</v>
      </c>
      <c r="R591" s="2" t="inlineStr"/>
    </row>
    <row r="592" ht="15" customHeight="1">
      <c r="A592" t="inlineStr">
        <is>
          <t>A 61694-2023</t>
        </is>
      </c>
      <c r="B592" s="1" t="n">
        <v>45264</v>
      </c>
      <c r="C592" s="1" t="n">
        <v>45890</v>
      </c>
      <c r="D592" t="inlineStr">
        <is>
          <t>GOTLANDS LÄN</t>
        </is>
      </c>
      <c r="E592" t="inlineStr">
        <is>
          <t>GOTLAND</t>
        </is>
      </c>
      <c r="G592" t="n">
        <v>4.6</v>
      </c>
      <c r="H592" t="n">
        <v>0</v>
      </c>
      <c r="I592" t="n">
        <v>0</v>
      </c>
      <c r="J592" t="n">
        <v>0</v>
      </c>
      <c r="K592" t="n">
        <v>0</v>
      </c>
      <c r="L592" t="n">
        <v>0</v>
      </c>
      <c r="M592" t="n">
        <v>0</v>
      </c>
      <c r="N592" t="n">
        <v>0</v>
      </c>
      <c r="O592" t="n">
        <v>0</v>
      </c>
      <c r="P592" t="n">
        <v>0</v>
      </c>
      <c r="Q592" t="n">
        <v>0</v>
      </c>
      <c r="R592" s="2" t="inlineStr"/>
    </row>
    <row r="593" ht="15" customHeight="1">
      <c r="A593" t="inlineStr">
        <is>
          <t>A 64208-2021</t>
        </is>
      </c>
      <c r="B593" s="1" t="n">
        <v>44510</v>
      </c>
      <c r="C593" s="1" t="n">
        <v>45890</v>
      </c>
      <c r="D593" t="inlineStr">
        <is>
          <t>GOTLANDS LÄN</t>
        </is>
      </c>
      <c r="E593" t="inlineStr">
        <is>
          <t>GOTLAND</t>
        </is>
      </c>
      <c r="G593" t="n">
        <v>4.7</v>
      </c>
      <c r="H593" t="n">
        <v>0</v>
      </c>
      <c r="I593" t="n">
        <v>0</v>
      </c>
      <c r="J593" t="n">
        <v>0</v>
      </c>
      <c r="K593" t="n">
        <v>0</v>
      </c>
      <c r="L593" t="n">
        <v>0</v>
      </c>
      <c r="M593" t="n">
        <v>0</v>
      </c>
      <c r="N593" t="n">
        <v>0</v>
      </c>
      <c r="O593" t="n">
        <v>0</v>
      </c>
      <c r="P593" t="n">
        <v>0</v>
      </c>
      <c r="Q593" t="n">
        <v>0</v>
      </c>
      <c r="R593" s="2" t="inlineStr"/>
    </row>
    <row r="594" ht="15" customHeight="1">
      <c r="A594" t="inlineStr">
        <is>
          <t>A 12327-2025</t>
        </is>
      </c>
      <c r="B594" s="1" t="n">
        <v>45730</v>
      </c>
      <c r="C594" s="1" t="n">
        <v>45890</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54268-2022</t>
        </is>
      </c>
      <c r="B595" s="1" t="n">
        <v>44882</v>
      </c>
      <c r="C595" s="1" t="n">
        <v>45890</v>
      </c>
      <c r="D595" t="inlineStr">
        <is>
          <t>GOTLANDS LÄN</t>
        </is>
      </c>
      <c r="E595" t="inlineStr">
        <is>
          <t>GOTLAND</t>
        </is>
      </c>
      <c r="G595" t="n">
        <v>2.7</v>
      </c>
      <c r="H595" t="n">
        <v>0</v>
      </c>
      <c r="I595" t="n">
        <v>0</v>
      </c>
      <c r="J595" t="n">
        <v>0</v>
      </c>
      <c r="K595" t="n">
        <v>0</v>
      </c>
      <c r="L595" t="n">
        <v>0</v>
      </c>
      <c r="M595" t="n">
        <v>0</v>
      </c>
      <c r="N595" t="n">
        <v>0</v>
      </c>
      <c r="O595" t="n">
        <v>0</v>
      </c>
      <c r="P595" t="n">
        <v>0</v>
      </c>
      <c r="Q595" t="n">
        <v>0</v>
      </c>
      <c r="R595" s="2" t="inlineStr"/>
    </row>
    <row r="596" ht="15" customHeight="1">
      <c r="A596" t="inlineStr">
        <is>
          <t>A 4420-2025</t>
        </is>
      </c>
      <c r="B596" s="1" t="n">
        <v>45686.47157407407</v>
      </c>
      <c r="C596" s="1" t="n">
        <v>45890</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1446-2025</t>
        </is>
      </c>
      <c r="B597" s="1" t="n">
        <v>45669.86035879629</v>
      </c>
      <c r="C597" s="1" t="n">
        <v>45890</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1462-2025</t>
        </is>
      </c>
      <c r="B598" s="1" t="n">
        <v>45670.36319444444</v>
      </c>
      <c r="C598" s="1" t="n">
        <v>45890</v>
      </c>
      <c r="D598" t="inlineStr">
        <is>
          <t>GOTLANDS LÄN</t>
        </is>
      </c>
      <c r="E598" t="inlineStr">
        <is>
          <t>GOTLAND</t>
        </is>
      </c>
      <c r="G598" t="n">
        <v>2.8</v>
      </c>
      <c r="H598" t="n">
        <v>0</v>
      </c>
      <c r="I598" t="n">
        <v>0</v>
      </c>
      <c r="J598" t="n">
        <v>0</v>
      </c>
      <c r="K598" t="n">
        <v>0</v>
      </c>
      <c r="L598" t="n">
        <v>0</v>
      </c>
      <c r="M598" t="n">
        <v>0</v>
      </c>
      <c r="N598" t="n">
        <v>0</v>
      </c>
      <c r="O598" t="n">
        <v>0</v>
      </c>
      <c r="P598" t="n">
        <v>0</v>
      </c>
      <c r="Q598" t="n">
        <v>0</v>
      </c>
      <c r="R598" s="2" t="inlineStr"/>
    </row>
    <row r="599" ht="15" customHeight="1">
      <c r="A599" t="inlineStr">
        <is>
          <t>A 57685-2022</t>
        </is>
      </c>
      <c r="B599" s="1" t="n">
        <v>44897.4777662037</v>
      </c>
      <c r="C599" s="1" t="n">
        <v>45890</v>
      </c>
      <c r="D599" t="inlineStr">
        <is>
          <t>GOTLANDS LÄN</t>
        </is>
      </c>
      <c r="E599" t="inlineStr">
        <is>
          <t>GOTLAND</t>
        </is>
      </c>
      <c r="G599" t="n">
        <v>3.7</v>
      </c>
      <c r="H599" t="n">
        <v>0</v>
      </c>
      <c r="I599" t="n">
        <v>0</v>
      </c>
      <c r="J599" t="n">
        <v>0</v>
      </c>
      <c r="K599" t="n">
        <v>0</v>
      </c>
      <c r="L599" t="n">
        <v>0</v>
      </c>
      <c r="M599" t="n">
        <v>0</v>
      </c>
      <c r="N599" t="n">
        <v>0</v>
      </c>
      <c r="O599" t="n">
        <v>0</v>
      </c>
      <c r="P599" t="n">
        <v>0</v>
      </c>
      <c r="Q599" t="n">
        <v>0</v>
      </c>
      <c r="R599" s="2" t="inlineStr"/>
    </row>
    <row r="600" ht="15" customHeight="1">
      <c r="A600" t="inlineStr">
        <is>
          <t>A 811-2023</t>
        </is>
      </c>
      <c r="B600" s="1" t="n">
        <v>44931</v>
      </c>
      <c r="C600" s="1" t="n">
        <v>45890</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5905-2024</t>
        </is>
      </c>
      <c r="B601" s="1" t="n">
        <v>45335.88993055555</v>
      </c>
      <c r="C601" s="1" t="n">
        <v>45890</v>
      </c>
      <c r="D601" t="inlineStr">
        <is>
          <t>GOTLANDS LÄN</t>
        </is>
      </c>
      <c r="E601" t="inlineStr">
        <is>
          <t>GOTLAND</t>
        </is>
      </c>
      <c r="G601" t="n">
        <v>3</v>
      </c>
      <c r="H601" t="n">
        <v>0</v>
      </c>
      <c r="I601" t="n">
        <v>0</v>
      </c>
      <c r="J601" t="n">
        <v>0</v>
      </c>
      <c r="K601" t="n">
        <v>0</v>
      </c>
      <c r="L601" t="n">
        <v>0</v>
      </c>
      <c r="M601" t="n">
        <v>0</v>
      </c>
      <c r="N601" t="n">
        <v>0</v>
      </c>
      <c r="O601" t="n">
        <v>0</v>
      </c>
      <c r="P601" t="n">
        <v>0</v>
      </c>
      <c r="Q601" t="n">
        <v>0</v>
      </c>
      <c r="R601" s="2" t="inlineStr"/>
    </row>
    <row r="602" ht="15" customHeight="1">
      <c r="A602" t="inlineStr">
        <is>
          <t>A 3431-2025</t>
        </is>
      </c>
      <c r="B602" s="1" t="n">
        <v>45680.42935185185</v>
      </c>
      <c r="C602" s="1" t="n">
        <v>45890</v>
      </c>
      <c r="D602" t="inlineStr">
        <is>
          <t>GOTLANDS LÄN</t>
        </is>
      </c>
      <c r="E602" t="inlineStr">
        <is>
          <t>GOTLAND</t>
        </is>
      </c>
      <c r="G602" t="n">
        <v>4.8</v>
      </c>
      <c r="H602" t="n">
        <v>0</v>
      </c>
      <c r="I602" t="n">
        <v>0</v>
      </c>
      <c r="J602" t="n">
        <v>0</v>
      </c>
      <c r="K602" t="n">
        <v>0</v>
      </c>
      <c r="L602" t="n">
        <v>0</v>
      </c>
      <c r="M602" t="n">
        <v>0</v>
      </c>
      <c r="N602" t="n">
        <v>0</v>
      </c>
      <c r="O602" t="n">
        <v>0</v>
      </c>
      <c r="P602" t="n">
        <v>0</v>
      </c>
      <c r="Q602" t="n">
        <v>0</v>
      </c>
      <c r="R602" s="2" t="inlineStr"/>
    </row>
    <row r="603" ht="15" customHeight="1">
      <c r="A603" t="inlineStr">
        <is>
          <t>A 34407-2023</t>
        </is>
      </c>
      <c r="B603" s="1" t="n">
        <v>45132</v>
      </c>
      <c r="C603" s="1" t="n">
        <v>45890</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30892-2024</t>
        </is>
      </c>
      <c r="B604" s="1" t="n">
        <v>45491</v>
      </c>
      <c r="C604" s="1" t="n">
        <v>45890</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row r="605" ht="15" customHeight="1">
      <c r="A605" t="inlineStr">
        <is>
          <t>A 32958-2021</t>
        </is>
      </c>
      <c r="B605" s="1" t="n">
        <v>44376</v>
      </c>
      <c r="C605" s="1" t="n">
        <v>45890</v>
      </c>
      <c r="D605" t="inlineStr">
        <is>
          <t>GOTLANDS LÄN</t>
        </is>
      </c>
      <c r="E605" t="inlineStr">
        <is>
          <t>GOTLAND</t>
        </is>
      </c>
      <c r="G605" t="n">
        <v>2.2</v>
      </c>
      <c r="H605" t="n">
        <v>0</v>
      </c>
      <c r="I605" t="n">
        <v>0</v>
      </c>
      <c r="J605" t="n">
        <v>0</v>
      </c>
      <c r="K605" t="n">
        <v>0</v>
      </c>
      <c r="L605" t="n">
        <v>0</v>
      </c>
      <c r="M605" t="n">
        <v>0</v>
      </c>
      <c r="N605" t="n">
        <v>0</v>
      </c>
      <c r="O605" t="n">
        <v>0</v>
      </c>
      <c r="P605" t="n">
        <v>0</v>
      </c>
      <c r="Q605" t="n">
        <v>0</v>
      </c>
      <c r="R605" s="2" t="inlineStr"/>
    </row>
    <row r="606" ht="15" customHeight="1">
      <c r="A606" t="inlineStr">
        <is>
          <t>A 7858-2025</t>
        </is>
      </c>
      <c r="B606" s="1" t="n">
        <v>45706.68633101852</v>
      </c>
      <c r="C606" s="1" t="n">
        <v>45890</v>
      </c>
      <c r="D606" t="inlineStr">
        <is>
          <t>GOTLANDS LÄN</t>
        </is>
      </c>
      <c r="E606" t="inlineStr">
        <is>
          <t>GOTLAND</t>
        </is>
      </c>
      <c r="G606" t="n">
        <v>3</v>
      </c>
      <c r="H606" t="n">
        <v>0</v>
      </c>
      <c r="I606" t="n">
        <v>0</v>
      </c>
      <c r="J606" t="n">
        <v>0</v>
      </c>
      <c r="K606" t="n">
        <v>0</v>
      </c>
      <c r="L606" t="n">
        <v>0</v>
      </c>
      <c r="M606" t="n">
        <v>0</v>
      </c>
      <c r="N606" t="n">
        <v>0</v>
      </c>
      <c r="O606" t="n">
        <v>0</v>
      </c>
      <c r="P606" t="n">
        <v>0</v>
      </c>
      <c r="Q606" t="n">
        <v>0</v>
      </c>
      <c r="R606" s="2" t="inlineStr"/>
    </row>
    <row r="607">
      <c r="A607" t="inlineStr">
        <is>
          <t>A 46545-2024</t>
        </is>
      </c>
      <c r="B607" s="1" t="n">
        <v>45582.65831018519</v>
      </c>
      <c r="C607" s="1" t="n">
        <v>45890</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2025-08-21T08:27:47Z</dcterms:created>
  <dcterms:modified xmlns:dcterms="http://purl.org/dc/terms/" xmlns:xsi="http://www.w3.org/2001/XMLSchema-instance" xsi:type="dcterms:W3CDTF">2025-08-21T08:27:48Z</dcterms:modified>
</cp:coreProperties>
</file>