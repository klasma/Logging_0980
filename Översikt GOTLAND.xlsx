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46142</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46142</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46142</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46142</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46142</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46142</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46142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46142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46142</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46142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46142</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2222-2024</t>
        </is>
      </c>
      <c r="B29" s="1" t="n">
        <v>45309</v>
      </c>
      <c r="C29" s="1" t="n">
        <v>46142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46142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46142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46142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46142</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46142</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46142</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46142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46142</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52223-2025</t>
        </is>
      </c>
      <c r="B41" s="1" t="n">
        <v>45953.44509259259</v>
      </c>
      <c r="C41" s="1" t="n">
        <v>46142</v>
      </c>
      <c r="D41" t="inlineStr">
        <is>
          <t>GOTLANDS LÄN</t>
        </is>
      </c>
      <c r="E41" t="inlineStr">
        <is>
          <t>GOTLAND</t>
        </is>
      </c>
      <c r="F41" t="inlineStr">
        <is>
          <t>Övriga Aktiebolag</t>
        </is>
      </c>
      <c r="G41" t="n">
        <v>5.8</v>
      </c>
      <c r="H41" t="n">
        <v>5</v>
      </c>
      <c r="I41" t="n">
        <v>3</v>
      </c>
      <c r="J41" t="n">
        <v>5</v>
      </c>
      <c r="K41" t="n">
        <v>0</v>
      </c>
      <c r="L41" t="n">
        <v>0</v>
      </c>
      <c r="M41" t="n">
        <v>0</v>
      </c>
      <c r="N41" t="n">
        <v>0</v>
      </c>
      <c r="O41" t="n">
        <v>5</v>
      </c>
      <c r="P41" t="n">
        <v>0</v>
      </c>
      <c r="Q41" t="n">
        <v>11</v>
      </c>
      <c r="R41" s="2" t="inlineStr">
        <is>
          <t>Axveronika
Backtimjan
Solvända
Spillkråka
Ängsstarr
Anisspindling
Murgröna
Skogsknipprot
Brudsporre
Kärrknipprot
Ängsnycklar</t>
        </is>
      </c>
      <c r="S41">
        <f>HYPERLINK("https://klasma.github.io/Logging_0980/artfynd/A 52223-2025 artfynd.xlsx", "A 52223-2025")</f>
        <v/>
      </c>
      <c r="T41">
        <f>HYPERLINK("https://klasma.github.io/Logging_0980/kartor/A 52223-2025 karta.png", "A 52223-2025")</f>
        <v/>
      </c>
      <c r="V41">
        <f>HYPERLINK("https://klasma.github.io/Logging_0980/klagomål/A 52223-2025 FSC-klagomål.docx", "A 52223-2025")</f>
        <v/>
      </c>
      <c r="W41">
        <f>HYPERLINK("https://klasma.github.io/Logging_0980/klagomålsmail/A 52223-2025 FSC-klagomål mail.docx", "A 52223-2025")</f>
        <v/>
      </c>
      <c r="X41">
        <f>HYPERLINK("https://klasma.github.io/Logging_0980/tillsyn/A 52223-2025 tillsynsbegäran.docx", "A 52223-2025")</f>
        <v/>
      </c>
      <c r="Y41">
        <f>HYPERLINK("https://klasma.github.io/Logging_0980/tillsynsmail/A 52223-2025 tillsynsbegäran mail.docx", "A 52223-2025")</f>
        <v/>
      </c>
      <c r="Z41">
        <f>HYPERLINK("https://klasma.github.io/Logging_0980/fåglar/A 52223-2025 prioriterade fågelarter.docx", "A 52223-2025")</f>
        <v/>
      </c>
    </row>
    <row r="42" ht="15" customHeight="1">
      <c r="A42" t="inlineStr">
        <is>
          <t>A 6052-2024</t>
        </is>
      </c>
      <c r="B42" s="1" t="n">
        <v>45336</v>
      </c>
      <c r="C42" s="1" t="n">
        <v>46142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10274-2026</t>
        </is>
      </c>
      <c r="B43" s="1" t="n">
        <v>46076.58261574074</v>
      </c>
      <c r="C43" s="1" t="n">
        <v>46142</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11176-2024</t>
        </is>
      </c>
      <c r="B44" s="1" t="n">
        <v>45371</v>
      </c>
      <c r="C44" s="1" t="n">
        <v>46142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46142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45248-2024</t>
        </is>
      </c>
      <c r="B46" s="1" t="n">
        <v>45576</v>
      </c>
      <c r="C46" s="1" t="n">
        <v>46142</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14354-2024</t>
        </is>
      </c>
      <c r="B47" s="1" t="n">
        <v>45393</v>
      </c>
      <c r="C47" s="1" t="n">
        <v>46142</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46142</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27280-2023</t>
        </is>
      </c>
      <c r="B49" s="1" t="n">
        <v>45096</v>
      </c>
      <c r="C49" s="1" t="n">
        <v>46142</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17766-2024</t>
        </is>
      </c>
      <c r="B50" s="1" t="n">
        <v>45418</v>
      </c>
      <c r="C50" s="1" t="n">
        <v>46142</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46142</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46142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46142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46142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27168-2022</t>
        </is>
      </c>
      <c r="B60" s="1" t="n">
        <v>44741</v>
      </c>
      <c r="C60" s="1" t="n">
        <v>46142</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46142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46142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46142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10419-2025</t>
        </is>
      </c>
      <c r="B67" s="1" t="n">
        <v>45720</v>
      </c>
      <c r="C67" s="1" t="n">
        <v>46142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46142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46142</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46142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46142</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46142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46142</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7038-2023</t>
        </is>
      </c>
      <c r="B76" s="1" t="n">
        <v>44968</v>
      </c>
      <c r="C76" s="1" t="n">
        <v>46142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46142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46142</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6839-2026</t>
        </is>
      </c>
      <c r="B80" s="1" t="n">
        <v>46057.41193287037</v>
      </c>
      <c r="C80" s="1" t="n">
        <v>46142</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35293-2025</t>
        </is>
      </c>
      <c r="B81" s="1" t="n">
        <v>45854.39438657407</v>
      </c>
      <c r="C81" s="1" t="n">
        <v>46142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46142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46142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46142</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46142</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46142</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46142</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46142</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46142</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6836-2026</t>
        </is>
      </c>
      <c r="B92" s="1" t="n">
        <v>46057.40902777778</v>
      </c>
      <c r="C92" s="1" t="n">
        <v>46142</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40099-2025</t>
        </is>
      </c>
      <c r="B93" s="1" t="n">
        <v>45894.48462962963</v>
      </c>
      <c r="C93" s="1" t="n">
        <v>46142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46142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57463-2025</t>
        </is>
      </c>
      <c r="B95" s="1" t="n">
        <v>45980.54174768519</v>
      </c>
      <c r="C95" s="1" t="n">
        <v>46142</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13203-2026</t>
        </is>
      </c>
      <c r="B96" s="1" t="n">
        <v>46093</v>
      </c>
      <c r="C96" s="1" t="n">
        <v>46142</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44933-2022</t>
        </is>
      </c>
      <c r="B97" s="1" t="n">
        <v>44841</v>
      </c>
      <c r="C97" s="1" t="n">
        <v>46142</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2485-2025</t>
        </is>
      </c>
      <c r="B98" s="1" t="n">
        <v>45673</v>
      </c>
      <c r="C98" s="1" t="n">
        <v>46142</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54523-2023</t>
        </is>
      </c>
      <c r="B99" s="1" t="n">
        <v>45233</v>
      </c>
      <c r="C99" s="1" t="n">
        <v>46142</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46142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46142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46142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46142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46142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46142</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46142</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20831-2024</t>
        </is>
      </c>
      <c r="B109" s="1" t="n">
        <v>45439</v>
      </c>
      <c r="C109" s="1" t="n">
        <v>46142</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46142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46142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1520-2026</t>
        </is>
      </c>
      <c r="B112" s="1" t="n">
        <v>46034.35891203704</v>
      </c>
      <c r="C112" s="1" t="n">
        <v>46142</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53552-2021</t>
        </is>
      </c>
      <c r="B113" s="1" t="n">
        <v>44468</v>
      </c>
      <c r="C113" s="1" t="n">
        <v>46142</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55334-2024</t>
        </is>
      </c>
      <c r="B114" s="1" t="n">
        <v>45621</v>
      </c>
      <c r="C114" s="1" t="n">
        <v>46142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17982-2023</t>
        </is>
      </c>
      <c r="B115" s="1" t="n">
        <v>45040</v>
      </c>
      <c r="C115" s="1" t="n">
        <v>46142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49709-2025</t>
        </is>
      </c>
      <c r="B116" s="1" t="n">
        <v>45939.68228009259</v>
      </c>
      <c r="C116" s="1" t="n">
        <v>46142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46142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46142</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46142</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46142</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46142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46142</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46142</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46142</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46142</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16997-2026</t>
        </is>
      </c>
      <c r="B128" s="1" t="n">
        <v>46114.42539351852</v>
      </c>
      <c r="C128" s="1" t="n">
        <v>46142</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20838-2024</t>
        </is>
      </c>
      <c r="B129" s="1" t="n">
        <v>45439</v>
      </c>
      <c r="C129" s="1" t="n">
        <v>46142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46142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20429-2025</t>
        </is>
      </c>
      <c r="B131" s="1" t="n">
        <v>45775.47728009259</v>
      </c>
      <c r="C131" s="1" t="n">
        <v>46142</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7070-2022</t>
        </is>
      </c>
      <c r="B132" s="1" t="n">
        <v>44603</v>
      </c>
      <c r="C132" s="1" t="n">
        <v>46142</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46142</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46142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46142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46142</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46142</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46142</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46142</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46142</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46142</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46142</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46142</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65927-2021</t>
        </is>
      </c>
      <c r="B145" s="1" t="n">
        <v>44516</v>
      </c>
      <c r="C145" s="1" t="n">
        <v>46142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46142</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15637-2024</t>
        </is>
      </c>
      <c r="B147" s="1" t="n">
        <v>45403.6684837963</v>
      </c>
      <c r="C147" s="1" t="n">
        <v>46142</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39812-2025</t>
        </is>
      </c>
      <c r="B148" s="1" t="n">
        <v>45891</v>
      </c>
      <c r="C148" s="1" t="n">
        <v>46142</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34141-2024</t>
        </is>
      </c>
      <c r="B149" s="1" t="n">
        <v>45524.36229166666</v>
      </c>
      <c r="C149" s="1" t="n">
        <v>46142</v>
      </c>
      <c r="D149" t="inlineStr">
        <is>
          <t>GOTLANDS LÄN</t>
        </is>
      </c>
      <c r="E149" t="inlineStr">
        <is>
          <t>GOTLAND</t>
        </is>
      </c>
      <c r="G149" t="n">
        <v>0.9</v>
      </c>
      <c r="H149" t="n">
        <v>0</v>
      </c>
      <c r="I149" t="n">
        <v>1</v>
      </c>
      <c r="J149" t="n">
        <v>0</v>
      </c>
      <c r="K149" t="n">
        <v>0</v>
      </c>
      <c r="L149" t="n">
        <v>0</v>
      </c>
      <c r="M149" t="n">
        <v>0</v>
      </c>
      <c r="N149" t="n">
        <v>0</v>
      </c>
      <c r="O149" t="n">
        <v>0</v>
      </c>
      <c r="P149" t="n">
        <v>0</v>
      </c>
      <c r="Q149" t="n">
        <v>1</v>
      </c>
      <c r="R149" s="2" t="inlineStr">
        <is>
          <t>Strävlosta</t>
        </is>
      </c>
      <c r="S149">
        <f>HYPERLINK("https://klasma.github.io/Logging_0980/artfynd/A 34141-2024 artfynd.xlsx", "A 34141-2024")</f>
        <v/>
      </c>
      <c r="T149">
        <f>HYPERLINK("https://klasma.github.io/Logging_0980/kartor/A 34141-2024 karta.png", "A 34141-2024")</f>
        <v/>
      </c>
      <c r="V149">
        <f>HYPERLINK("https://klasma.github.io/Logging_0980/klagomål/A 34141-2024 FSC-klagomål.docx", "A 34141-2024")</f>
        <v/>
      </c>
      <c r="W149">
        <f>HYPERLINK("https://klasma.github.io/Logging_0980/klagomålsmail/A 34141-2024 FSC-klagomål mail.docx", "A 34141-2024")</f>
        <v/>
      </c>
      <c r="X149">
        <f>HYPERLINK("https://klasma.github.io/Logging_0980/tillsyn/A 34141-2024 tillsynsbegäran.docx", "A 34141-2024")</f>
        <v/>
      </c>
      <c r="Y149">
        <f>HYPERLINK("https://klasma.github.io/Logging_0980/tillsynsmail/A 34141-2024 tillsynsbegäran mail.docx", "A 34141-2024")</f>
        <v/>
      </c>
    </row>
    <row r="150" ht="15" customHeight="1">
      <c r="A150" t="inlineStr">
        <is>
          <t>A 9862-2024</t>
        </is>
      </c>
      <c r="B150" s="1" t="n">
        <v>45363</v>
      </c>
      <c r="C150" s="1" t="n">
        <v>46142</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2476-2025</t>
        </is>
      </c>
      <c r="B151" s="1" t="n">
        <v>45673</v>
      </c>
      <c r="C151" s="1" t="n">
        <v>46142</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63149-2025</t>
        </is>
      </c>
      <c r="B152" s="1" t="n">
        <v>46010</v>
      </c>
      <c r="C152" s="1" t="n">
        <v>46142</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Anisspindling</t>
        </is>
      </c>
      <c r="S152">
        <f>HYPERLINK("https://klasma.github.io/Logging_0980/artfynd/A 63149-2025 artfynd.xlsx", "A 63149-2025")</f>
        <v/>
      </c>
      <c r="T152">
        <f>HYPERLINK("https://klasma.github.io/Logging_0980/kartor/A 63149-2025 karta.png", "A 63149-2025")</f>
        <v/>
      </c>
      <c r="V152">
        <f>HYPERLINK("https://klasma.github.io/Logging_0980/klagomål/A 63149-2025 FSC-klagomål.docx", "A 63149-2025")</f>
        <v/>
      </c>
      <c r="W152">
        <f>HYPERLINK("https://klasma.github.io/Logging_0980/klagomålsmail/A 63149-2025 FSC-klagomål mail.docx", "A 63149-2025")</f>
        <v/>
      </c>
      <c r="X152">
        <f>HYPERLINK("https://klasma.github.io/Logging_0980/tillsyn/A 63149-2025 tillsynsbegäran.docx", "A 63149-2025")</f>
        <v/>
      </c>
      <c r="Y152">
        <f>HYPERLINK("https://klasma.github.io/Logging_0980/tillsynsmail/A 63149-2025 tillsynsbegäran mail.docx", "A 63149-2025")</f>
        <v/>
      </c>
    </row>
    <row r="153" ht="15" customHeight="1">
      <c r="A153" t="inlineStr">
        <is>
          <t>A 10013-2026</t>
        </is>
      </c>
      <c r="B153" s="1" t="n">
        <v>46073</v>
      </c>
      <c r="C153" s="1" t="n">
        <v>46142</v>
      </c>
      <c r="D153" t="inlineStr">
        <is>
          <t>GOTLANDS LÄN</t>
        </is>
      </c>
      <c r="E153" t="inlineStr">
        <is>
          <t>GOTLAND</t>
        </is>
      </c>
      <c r="G153" t="n">
        <v>10.5</v>
      </c>
      <c r="H153" t="n">
        <v>0</v>
      </c>
      <c r="I153" t="n">
        <v>0</v>
      </c>
      <c r="J153" t="n">
        <v>0</v>
      </c>
      <c r="K153" t="n">
        <v>1</v>
      </c>
      <c r="L153" t="n">
        <v>0</v>
      </c>
      <c r="M153" t="n">
        <v>0</v>
      </c>
      <c r="N153" t="n">
        <v>0</v>
      </c>
      <c r="O153" t="n">
        <v>1</v>
      </c>
      <c r="P153" t="n">
        <v>1</v>
      </c>
      <c r="Q153" t="n">
        <v>1</v>
      </c>
      <c r="R153" s="2" t="inlineStr">
        <is>
          <t>Skogskorn</t>
        </is>
      </c>
      <c r="S153">
        <f>HYPERLINK("https://klasma.github.io/Logging_0980/artfynd/A 10013-2026 artfynd.xlsx", "A 10013-2026")</f>
        <v/>
      </c>
      <c r="T153">
        <f>HYPERLINK("https://klasma.github.io/Logging_0980/kartor/A 10013-2026 karta.png", "A 10013-2026")</f>
        <v/>
      </c>
      <c r="V153">
        <f>HYPERLINK("https://klasma.github.io/Logging_0980/klagomål/A 10013-2026 FSC-klagomål.docx", "A 10013-2026")</f>
        <v/>
      </c>
      <c r="W153">
        <f>HYPERLINK("https://klasma.github.io/Logging_0980/klagomålsmail/A 10013-2026 FSC-klagomål mail.docx", "A 10013-2026")</f>
        <v/>
      </c>
      <c r="X153">
        <f>HYPERLINK("https://klasma.github.io/Logging_0980/tillsyn/A 10013-2026 tillsynsbegäran.docx", "A 10013-2026")</f>
        <v/>
      </c>
      <c r="Y153">
        <f>HYPERLINK("https://klasma.github.io/Logging_0980/tillsynsmail/A 10013-2026 tillsynsbegäran mail.docx", "A 10013-2026")</f>
        <v/>
      </c>
    </row>
    <row r="154" ht="15" customHeight="1">
      <c r="A154" t="inlineStr">
        <is>
          <t>A 10995-2023</t>
        </is>
      </c>
      <c r="B154" s="1" t="n">
        <v>44986</v>
      </c>
      <c r="C154" s="1" t="n">
        <v>46142</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17854-2026</t>
        </is>
      </c>
      <c r="B155" s="1" t="n">
        <v>46121</v>
      </c>
      <c r="C155" s="1" t="n">
        <v>46142</v>
      </c>
      <c r="D155" t="inlineStr">
        <is>
          <t>GOTLANDS LÄN</t>
        </is>
      </c>
      <c r="E155" t="inlineStr">
        <is>
          <t>GOTLAND</t>
        </is>
      </c>
      <c r="G155" t="n">
        <v>6.6</v>
      </c>
      <c r="H155" t="n">
        <v>0</v>
      </c>
      <c r="I155" t="n">
        <v>1</v>
      </c>
      <c r="J155" t="n">
        <v>0</v>
      </c>
      <c r="K155" t="n">
        <v>0</v>
      </c>
      <c r="L155" t="n">
        <v>0</v>
      </c>
      <c r="M155" t="n">
        <v>0</v>
      </c>
      <c r="N155" t="n">
        <v>0</v>
      </c>
      <c r="O155" t="n">
        <v>0</v>
      </c>
      <c r="P155" t="n">
        <v>0</v>
      </c>
      <c r="Q155" t="n">
        <v>1</v>
      </c>
      <c r="R155" s="2" t="inlineStr">
        <is>
          <t>Blå slemspindling</t>
        </is>
      </c>
      <c r="S155">
        <f>HYPERLINK("https://klasma.github.io/Logging_0980/artfynd/A 17854-2026 artfynd.xlsx", "A 17854-2026")</f>
        <v/>
      </c>
      <c r="T155">
        <f>HYPERLINK("https://klasma.github.io/Logging_0980/kartor/A 17854-2026 karta.png", "A 17854-2026")</f>
        <v/>
      </c>
      <c r="V155">
        <f>HYPERLINK("https://klasma.github.io/Logging_0980/klagomål/A 17854-2026 FSC-klagomål.docx", "A 17854-2026")</f>
        <v/>
      </c>
      <c r="W155">
        <f>HYPERLINK("https://klasma.github.io/Logging_0980/klagomålsmail/A 17854-2026 FSC-klagomål mail.docx", "A 17854-2026")</f>
        <v/>
      </c>
      <c r="X155">
        <f>HYPERLINK("https://klasma.github.io/Logging_0980/tillsyn/A 17854-2026 tillsynsbegäran.docx", "A 17854-2026")</f>
        <v/>
      </c>
      <c r="Y155">
        <f>HYPERLINK("https://klasma.github.io/Logging_0980/tillsynsmail/A 17854-2026 tillsynsbegäran mail.docx", "A 17854-2026")</f>
        <v/>
      </c>
    </row>
    <row r="156" ht="15" customHeight="1">
      <c r="A156" t="inlineStr">
        <is>
          <t>A 18036-2026</t>
        </is>
      </c>
      <c r="B156" s="1" t="n">
        <v>46125.39576388889</v>
      </c>
      <c r="C156" s="1" t="n">
        <v>46142</v>
      </c>
      <c r="D156" t="inlineStr">
        <is>
          <t>GOTLANDS LÄN</t>
        </is>
      </c>
      <c r="E156" t="inlineStr">
        <is>
          <t>GOTLAND</t>
        </is>
      </c>
      <c r="G156" t="n">
        <v>1.8</v>
      </c>
      <c r="H156" t="n">
        <v>0</v>
      </c>
      <c r="I156" t="n">
        <v>0</v>
      </c>
      <c r="J156" t="n">
        <v>1</v>
      </c>
      <c r="K156" t="n">
        <v>0</v>
      </c>
      <c r="L156" t="n">
        <v>0</v>
      </c>
      <c r="M156" t="n">
        <v>0</v>
      </c>
      <c r="N156" t="n">
        <v>0</v>
      </c>
      <c r="O156" t="n">
        <v>1</v>
      </c>
      <c r="P156" t="n">
        <v>0</v>
      </c>
      <c r="Q156" t="n">
        <v>1</v>
      </c>
      <c r="R156" s="2" t="inlineStr">
        <is>
          <t>Sommarfibbla</t>
        </is>
      </c>
      <c r="S156">
        <f>HYPERLINK("https://klasma.github.io/Logging_0980/artfynd/A 18036-2026 artfynd.xlsx", "A 18036-2026")</f>
        <v/>
      </c>
      <c r="T156">
        <f>HYPERLINK("https://klasma.github.io/Logging_0980/kartor/A 18036-2026 karta.png", "A 18036-2026")</f>
        <v/>
      </c>
      <c r="V156">
        <f>HYPERLINK("https://klasma.github.io/Logging_0980/klagomål/A 18036-2026 FSC-klagomål.docx", "A 18036-2026")</f>
        <v/>
      </c>
      <c r="W156">
        <f>HYPERLINK("https://klasma.github.io/Logging_0980/klagomålsmail/A 18036-2026 FSC-klagomål mail.docx", "A 18036-2026")</f>
        <v/>
      </c>
      <c r="X156">
        <f>HYPERLINK("https://klasma.github.io/Logging_0980/tillsyn/A 18036-2026 tillsynsbegäran.docx", "A 18036-2026")</f>
        <v/>
      </c>
      <c r="Y156">
        <f>HYPERLINK("https://klasma.github.io/Logging_0980/tillsynsmail/A 18036-2026 tillsynsbegäran mail.docx", "A 18036-2026")</f>
        <v/>
      </c>
    </row>
    <row r="157" ht="15" customHeight="1">
      <c r="A157" t="inlineStr">
        <is>
          <t>A 12924-2025</t>
        </is>
      </c>
      <c r="B157" s="1" t="n">
        <v>45734</v>
      </c>
      <c r="C157" s="1" t="n">
        <v>46142</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46142</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11708-2026</t>
        </is>
      </c>
      <c r="B159" s="1" t="n">
        <v>46084</v>
      </c>
      <c r="C159" s="1" t="n">
        <v>46142</v>
      </c>
      <c r="D159" t="inlineStr">
        <is>
          <t>GOTLANDS LÄN</t>
        </is>
      </c>
      <c r="E159" t="inlineStr">
        <is>
          <t>GOTLAND</t>
        </is>
      </c>
      <c r="G159" t="n">
        <v>8.4</v>
      </c>
      <c r="H159" t="n">
        <v>1</v>
      </c>
      <c r="I159" t="n">
        <v>0</v>
      </c>
      <c r="J159" t="n">
        <v>1</v>
      </c>
      <c r="K159" t="n">
        <v>0</v>
      </c>
      <c r="L159" t="n">
        <v>0</v>
      </c>
      <c r="M159" t="n">
        <v>0</v>
      </c>
      <c r="N159" t="n">
        <v>0</v>
      </c>
      <c r="O159" t="n">
        <v>1</v>
      </c>
      <c r="P159" t="n">
        <v>0</v>
      </c>
      <c r="Q159" t="n">
        <v>1</v>
      </c>
      <c r="R159" s="2" t="inlineStr">
        <is>
          <t>Bredarun</t>
        </is>
      </c>
      <c r="S159">
        <f>HYPERLINK("https://klasma.github.io/Logging_0980/artfynd/A 11708-2026 artfynd.xlsx", "A 11708-2026")</f>
        <v/>
      </c>
      <c r="T159">
        <f>HYPERLINK("https://klasma.github.io/Logging_0980/kartor/A 11708-2026 karta.png", "A 11708-2026")</f>
        <v/>
      </c>
      <c r="V159">
        <f>HYPERLINK("https://klasma.github.io/Logging_0980/klagomål/A 11708-2026 FSC-klagomål.docx", "A 11708-2026")</f>
        <v/>
      </c>
      <c r="W159">
        <f>HYPERLINK("https://klasma.github.io/Logging_0980/klagomålsmail/A 11708-2026 FSC-klagomål mail.docx", "A 11708-2026")</f>
        <v/>
      </c>
      <c r="X159">
        <f>HYPERLINK("https://klasma.github.io/Logging_0980/tillsyn/A 11708-2026 tillsynsbegäran.docx", "A 11708-2026")</f>
        <v/>
      </c>
      <c r="Y159">
        <f>HYPERLINK("https://klasma.github.io/Logging_0980/tillsynsmail/A 11708-2026 tillsynsbegäran mail.docx", "A 11708-2026")</f>
        <v/>
      </c>
    </row>
    <row r="160" ht="15" customHeight="1">
      <c r="A160" t="inlineStr">
        <is>
          <t>A 44088-2022</t>
        </is>
      </c>
      <c r="B160" s="1" t="n">
        <v>44839</v>
      </c>
      <c r="C160" s="1" t="n">
        <v>46142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44308-2021</t>
        </is>
      </c>
      <c r="B161" s="1" t="n">
        <v>44434</v>
      </c>
      <c r="C161" s="1" t="n">
        <v>46142</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13482-2026</t>
        </is>
      </c>
      <c r="B162" s="1" t="n">
        <v>46094</v>
      </c>
      <c r="C162" s="1" t="n">
        <v>46142</v>
      </c>
      <c r="D162" t="inlineStr">
        <is>
          <t>GOTLANDS LÄN</t>
        </is>
      </c>
      <c r="E162" t="inlineStr">
        <is>
          <t>GOTLAND</t>
        </is>
      </c>
      <c r="G162" t="n">
        <v>1.7</v>
      </c>
      <c r="H162" t="n">
        <v>1</v>
      </c>
      <c r="I162" t="n">
        <v>0</v>
      </c>
      <c r="J162" t="n">
        <v>1</v>
      </c>
      <c r="K162" t="n">
        <v>0</v>
      </c>
      <c r="L162" t="n">
        <v>0</v>
      </c>
      <c r="M162" t="n">
        <v>0</v>
      </c>
      <c r="N162" t="n">
        <v>0</v>
      </c>
      <c r="O162" t="n">
        <v>1</v>
      </c>
      <c r="P162" t="n">
        <v>0</v>
      </c>
      <c r="Q162" t="n">
        <v>1</v>
      </c>
      <c r="R162" s="2" t="inlineStr">
        <is>
          <t>Spillkråka</t>
        </is>
      </c>
      <c r="S162">
        <f>HYPERLINK("https://klasma.github.io/Logging_0980/artfynd/A 13482-2026 artfynd.xlsx", "A 13482-2026")</f>
        <v/>
      </c>
      <c r="T162">
        <f>HYPERLINK("https://klasma.github.io/Logging_0980/kartor/A 13482-2026 karta.png", "A 13482-2026")</f>
        <v/>
      </c>
      <c r="V162">
        <f>HYPERLINK("https://klasma.github.io/Logging_0980/klagomål/A 13482-2026 FSC-klagomål.docx", "A 13482-2026")</f>
        <v/>
      </c>
      <c r="W162">
        <f>HYPERLINK("https://klasma.github.io/Logging_0980/klagomålsmail/A 13482-2026 FSC-klagomål mail.docx", "A 13482-2026")</f>
        <v/>
      </c>
      <c r="X162">
        <f>HYPERLINK("https://klasma.github.io/Logging_0980/tillsyn/A 13482-2026 tillsynsbegäran.docx", "A 13482-2026")</f>
        <v/>
      </c>
      <c r="Y162">
        <f>HYPERLINK("https://klasma.github.io/Logging_0980/tillsynsmail/A 13482-2026 tillsynsbegäran mail.docx", "A 13482-2026")</f>
        <v/>
      </c>
      <c r="Z162">
        <f>HYPERLINK("https://klasma.github.io/Logging_0980/fåglar/A 13482-2026 prioriterade fågelarter.docx", "A 13482-2026")</f>
        <v/>
      </c>
    </row>
    <row r="163" ht="15" customHeight="1">
      <c r="A163" t="inlineStr">
        <is>
          <t>A 447-2023</t>
        </is>
      </c>
      <c r="B163" s="1" t="n">
        <v>44929</v>
      </c>
      <c r="C163" s="1" t="n">
        <v>46142</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35467-2021</t>
        </is>
      </c>
      <c r="B164" s="1" t="n">
        <v>44385</v>
      </c>
      <c r="C164" s="1" t="n">
        <v>46142</v>
      </c>
      <c r="D164" t="inlineStr">
        <is>
          <t>GOTLANDS LÄN</t>
        </is>
      </c>
      <c r="E164" t="inlineStr">
        <is>
          <t>GOTLAND</t>
        </is>
      </c>
      <c r="G164" t="n">
        <v>12.7</v>
      </c>
      <c r="H164" t="n">
        <v>0</v>
      </c>
      <c r="I164" t="n">
        <v>0</v>
      </c>
      <c r="J164" t="n">
        <v>1</v>
      </c>
      <c r="K164" t="n">
        <v>0</v>
      </c>
      <c r="L164" t="n">
        <v>0</v>
      </c>
      <c r="M164" t="n">
        <v>0</v>
      </c>
      <c r="N164" t="n">
        <v>0</v>
      </c>
      <c r="O164" t="n">
        <v>1</v>
      </c>
      <c r="P164" t="n">
        <v>0</v>
      </c>
      <c r="Q164" t="n">
        <v>1</v>
      </c>
      <c r="R164" s="2" t="inlineStr">
        <is>
          <t>Loppstarr</t>
        </is>
      </c>
      <c r="S164">
        <f>HYPERLINK("https://klasma.github.io/Logging_0980/artfynd/A 35467-2021 artfynd.xlsx", "A 35467-2021")</f>
        <v/>
      </c>
      <c r="T164">
        <f>HYPERLINK("https://klasma.github.io/Logging_0980/kartor/A 35467-2021 karta.png", "A 35467-2021")</f>
        <v/>
      </c>
      <c r="V164">
        <f>HYPERLINK("https://klasma.github.io/Logging_0980/klagomål/A 35467-2021 FSC-klagomål.docx", "A 35467-2021")</f>
        <v/>
      </c>
      <c r="W164">
        <f>HYPERLINK("https://klasma.github.io/Logging_0980/klagomålsmail/A 35467-2021 FSC-klagomål mail.docx", "A 35467-2021")</f>
        <v/>
      </c>
      <c r="X164">
        <f>HYPERLINK("https://klasma.github.io/Logging_0980/tillsyn/A 35467-2021 tillsynsbegäran.docx", "A 35467-2021")</f>
        <v/>
      </c>
      <c r="Y164">
        <f>HYPERLINK("https://klasma.github.io/Logging_0980/tillsynsmail/A 35467-2021 tillsynsbegäran mail.docx", "A 35467-2021")</f>
        <v/>
      </c>
    </row>
    <row r="165" ht="15" customHeight="1">
      <c r="A165" t="inlineStr">
        <is>
          <t>A 44619-2025</t>
        </is>
      </c>
      <c r="B165" s="1" t="n">
        <v>45917</v>
      </c>
      <c r="C165" s="1" t="n">
        <v>46142</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Ögonpyrola</t>
        </is>
      </c>
      <c r="S165">
        <f>HYPERLINK("https://klasma.github.io/Logging_0980/artfynd/A 44619-2025 artfynd.xlsx", "A 44619-2025")</f>
        <v/>
      </c>
      <c r="T165">
        <f>HYPERLINK("https://klasma.github.io/Logging_0980/kartor/A 44619-2025 karta.png", "A 44619-2025")</f>
        <v/>
      </c>
      <c r="V165">
        <f>HYPERLINK("https://klasma.github.io/Logging_0980/klagomål/A 44619-2025 FSC-klagomål.docx", "A 44619-2025")</f>
        <v/>
      </c>
      <c r="W165">
        <f>HYPERLINK("https://klasma.github.io/Logging_0980/klagomålsmail/A 44619-2025 FSC-klagomål mail.docx", "A 44619-2025")</f>
        <v/>
      </c>
      <c r="X165">
        <f>HYPERLINK("https://klasma.github.io/Logging_0980/tillsyn/A 44619-2025 tillsynsbegäran.docx", "A 44619-2025")</f>
        <v/>
      </c>
      <c r="Y165">
        <f>HYPERLINK("https://klasma.github.io/Logging_0980/tillsynsmail/A 44619-2025 tillsynsbegäran mail.docx", "A 44619-2025")</f>
        <v/>
      </c>
    </row>
    <row r="166" ht="15" customHeight="1">
      <c r="A166" t="inlineStr">
        <is>
          <t>A 947-2023</t>
        </is>
      </c>
      <c r="B166" s="1" t="n">
        <v>44934</v>
      </c>
      <c r="C166" s="1" t="n">
        <v>46142</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46142</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46142</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46142</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46142</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46142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46142</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46142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49726-2025</t>
        </is>
      </c>
      <c r="B174" s="1" t="n">
        <v>45939.84466435185</v>
      </c>
      <c r="C174" s="1" t="n">
        <v>46142</v>
      </c>
      <c r="D174" t="inlineStr">
        <is>
          <t>GOTLANDS LÄN</t>
        </is>
      </c>
      <c r="E174" t="inlineStr">
        <is>
          <t>GOTLAND</t>
        </is>
      </c>
      <c r="F174" t="inlineStr">
        <is>
          <t>Kyrkan</t>
        </is>
      </c>
      <c r="G174" t="n">
        <v>5.4</v>
      </c>
      <c r="H174" t="n">
        <v>0</v>
      </c>
      <c r="I174" t="n">
        <v>0</v>
      </c>
      <c r="J174" t="n">
        <v>1</v>
      </c>
      <c r="K174" t="n">
        <v>0</v>
      </c>
      <c r="L174" t="n">
        <v>0</v>
      </c>
      <c r="M174" t="n">
        <v>0</v>
      </c>
      <c r="N174" t="n">
        <v>0</v>
      </c>
      <c r="O174" t="n">
        <v>1</v>
      </c>
      <c r="P174" t="n">
        <v>0</v>
      </c>
      <c r="Q174" t="n">
        <v>1</v>
      </c>
      <c r="R174" s="2" t="inlineStr">
        <is>
          <t>Odörspindling</t>
        </is>
      </c>
      <c r="S174">
        <f>HYPERLINK("https://klasma.github.io/Logging_0980/artfynd/A 49726-2025 artfynd.xlsx", "A 49726-2025")</f>
        <v/>
      </c>
      <c r="T174">
        <f>HYPERLINK("https://klasma.github.io/Logging_0980/kartor/A 49726-2025 karta.png", "A 49726-2025")</f>
        <v/>
      </c>
      <c r="V174">
        <f>HYPERLINK("https://klasma.github.io/Logging_0980/klagomål/A 49726-2025 FSC-klagomål.docx", "A 49726-2025")</f>
        <v/>
      </c>
      <c r="W174">
        <f>HYPERLINK("https://klasma.github.io/Logging_0980/klagomålsmail/A 49726-2025 FSC-klagomål mail.docx", "A 49726-2025")</f>
        <v/>
      </c>
      <c r="X174">
        <f>HYPERLINK("https://klasma.github.io/Logging_0980/tillsyn/A 49726-2025 tillsynsbegäran.docx", "A 49726-2025")</f>
        <v/>
      </c>
      <c r="Y174">
        <f>HYPERLINK("https://klasma.github.io/Logging_0980/tillsynsmail/A 49726-2025 tillsynsbegäran mail.docx", "A 49726-2025")</f>
        <v/>
      </c>
    </row>
    <row r="175" ht="15" customHeight="1">
      <c r="A175" t="inlineStr">
        <is>
          <t>A 6303-2024</t>
        </is>
      </c>
      <c r="B175" s="1" t="n">
        <v>45338.35376157407</v>
      </c>
      <c r="C175" s="1" t="n">
        <v>46142</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46142</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46142</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46142</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46142</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46142</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46142</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46142</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46142</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46142</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46142</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46142</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36313-2021</t>
        </is>
      </c>
      <c r="B187" s="1" t="n">
        <v>44390</v>
      </c>
      <c r="C187" s="1" t="n">
        <v>46142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46142</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46142</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46142</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46142</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46142</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46142</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46142</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46142</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46142</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46142</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46142</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46142</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46142</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46142</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46142</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46142</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46142</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46142</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46142</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46142</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46142</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46142</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46142</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46142</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46142</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46142</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46142</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46142</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46142</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46142</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46142</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46142</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46142</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46142</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46142</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46142</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46142</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46142</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48503-2023</t>
        </is>
      </c>
      <c r="B234" s="1" t="n">
        <v>45207</v>
      </c>
      <c r="C234" s="1" t="n">
        <v>46142</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46142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17682-2024</t>
        </is>
      </c>
      <c r="B236" s="1" t="n">
        <v>45418.42966435185</v>
      </c>
      <c r="C236" s="1" t="n">
        <v>46142</v>
      </c>
      <c r="D236" t="inlineStr">
        <is>
          <t>GOTLANDS LÄN</t>
        </is>
      </c>
      <c r="E236" t="inlineStr">
        <is>
          <t>GOTLAND</t>
        </is>
      </c>
      <c r="G236" t="n">
        <v>2.9</v>
      </c>
      <c r="H236" t="n">
        <v>0</v>
      </c>
      <c r="I236" t="n">
        <v>0</v>
      </c>
      <c r="J236" t="n">
        <v>0</v>
      </c>
      <c r="K236" t="n">
        <v>0</v>
      </c>
      <c r="L236" t="n">
        <v>0</v>
      </c>
      <c r="M236" t="n">
        <v>0</v>
      </c>
      <c r="N236" t="n">
        <v>0</v>
      </c>
      <c r="O236" t="n">
        <v>0</v>
      </c>
      <c r="P236" t="n">
        <v>0</v>
      </c>
      <c r="Q236" t="n">
        <v>0</v>
      </c>
      <c r="R236" s="2" t="inlineStr"/>
    </row>
    <row r="237" ht="15" customHeight="1">
      <c r="A237" t="inlineStr">
        <is>
          <t>A 57522-2022</t>
        </is>
      </c>
      <c r="B237" s="1" t="n">
        <v>44896</v>
      </c>
      <c r="C237" s="1" t="n">
        <v>46142</v>
      </c>
      <c r="D237" t="inlineStr">
        <is>
          <t>GOTLANDS LÄN</t>
        </is>
      </c>
      <c r="E237" t="inlineStr">
        <is>
          <t>GOTLAND</t>
        </is>
      </c>
      <c r="G237" t="n">
        <v>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46142</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46142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46142</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46142</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46142</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46142</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44649-2021</t>
        </is>
      </c>
      <c r="B244" s="1" t="n">
        <v>44437</v>
      </c>
      <c r="C244" s="1" t="n">
        <v>46142</v>
      </c>
      <c r="D244" t="inlineStr">
        <is>
          <t>GOTLANDS LÄN</t>
        </is>
      </c>
      <c r="E244" t="inlineStr">
        <is>
          <t>GOTLAND</t>
        </is>
      </c>
      <c r="G244" t="n">
        <v>8.1</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46142</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46142</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45692-2023</t>
        </is>
      </c>
      <c r="B247" s="1" t="n">
        <v>45195</v>
      </c>
      <c r="C247" s="1" t="n">
        <v>46142</v>
      </c>
      <c r="D247" t="inlineStr">
        <is>
          <t>GOTLANDS LÄN</t>
        </is>
      </c>
      <c r="E247" t="inlineStr">
        <is>
          <t>GOTLAND</t>
        </is>
      </c>
      <c r="G247" t="n">
        <v>5.3</v>
      </c>
      <c r="H247" t="n">
        <v>0</v>
      </c>
      <c r="I247" t="n">
        <v>0</v>
      </c>
      <c r="J247" t="n">
        <v>0</v>
      </c>
      <c r="K247" t="n">
        <v>0</v>
      </c>
      <c r="L247" t="n">
        <v>0</v>
      </c>
      <c r="M247" t="n">
        <v>0</v>
      </c>
      <c r="N247" t="n">
        <v>0</v>
      </c>
      <c r="O247" t="n">
        <v>0</v>
      </c>
      <c r="P247" t="n">
        <v>0</v>
      </c>
      <c r="Q247" t="n">
        <v>0</v>
      </c>
      <c r="R247" s="2" t="inlineStr"/>
    </row>
    <row r="248" ht="15" customHeight="1">
      <c r="A248" t="inlineStr">
        <is>
          <t>A 28285-2024</t>
        </is>
      </c>
      <c r="B248" s="1" t="n">
        <v>45477</v>
      </c>
      <c r="C248" s="1" t="n">
        <v>46142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46142</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61100-2022</t>
        </is>
      </c>
      <c r="B250" s="1" t="n">
        <v>44915</v>
      </c>
      <c r="C250" s="1" t="n">
        <v>46142</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46142</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2415-2026</t>
        </is>
      </c>
      <c r="B252" s="1" t="n">
        <v>46036.76203703704</v>
      </c>
      <c r="C252" s="1" t="n">
        <v>46142</v>
      </c>
      <c r="D252" t="inlineStr">
        <is>
          <t>GOTLANDS LÄN</t>
        </is>
      </c>
      <c r="E252" t="inlineStr">
        <is>
          <t>GOTLAND</t>
        </is>
      </c>
      <c r="G252" t="n">
        <v>6.9</v>
      </c>
      <c r="H252" t="n">
        <v>0</v>
      </c>
      <c r="I252" t="n">
        <v>0</v>
      </c>
      <c r="J252" t="n">
        <v>0</v>
      </c>
      <c r="K252" t="n">
        <v>0</v>
      </c>
      <c r="L252" t="n">
        <v>0</v>
      </c>
      <c r="M252" t="n">
        <v>0</v>
      </c>
      <c r="N252" t="n">
        <v>0</v>
      </c>
      <c r="O252" t="n">
        <v>0</v>
      </c>
      <c r="P252" t="n">
        <v>0</v>
      </c>
      <c r="Q252" t="n">
        <v>0</v>
      </c>
      <c r="R252" s="2" t="inlineStr"/>
    </row>
    <row r="253" ht="15" customHeight="1">
      <c r="A253" t="inlineStr">
        <is>
          <t>A 26457-2025</t>
        </is>
      </c>
      <c r="B253" s="1" t="n">
        <v>45807.42773148148</v>
      </c>
      <c r="C253" s="1" t="n">
        <v>46142</v>
      </c>
      <c r="D253" t="inlineStr">
        <is>
          <t>GOTLANDS LÄN</t>
        </is>
      </c>
      <c r="E253" t="inlineStr">
        <is>
          <t>GOTLAND</t>
        </is>
      </c>
      <c r="G253" t="n">
        <v>5.7</v>
      </c>
      <c r="H253" t="n">
        <v>0</v>
      </c>
      <c r="I253" t="n">
        <v>0</v>
      </c>
      <c r="J253" t="n">
        <v>0</v>
      </c>
      <c r="K253" t="n">
        <v>0</v>
      </c>
      <c r="L253" t="n">
        <v>0</v>
      </c>
      <c r="M253" t="n">
        <v>0</v>
      </c>
      <c r="N253" t="n">
        <v>0</v>
      </c>
      <c r="O253" t="n">
        <v>0</v>
      </c>
      <c r="P253" t="n">
        <v>0</v>
      </c>
      <c r="Q253" t="n">
        <v>0</v>
      </c>
      <c r="R253" s="2" t="inlineStr"/>
    </row>
    <row r="254" ht="15" customHeight="1">
      <c r="A254" t="inlineStr">
        <is>
          <t>A 26467-2025</t>
        </is>
      </c>
      <c r="B254" s="1" t="n">
        <v>45807.44640046296</v>
      </c>
      <c r="C254" s="1" t="n">
        <v>46142</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26465-2025</t>
        </is>
      </c>
      <c r="B255" s="1" t="n">
        <v>45807.44377314814</v>
      </c>
      <c r="C255" s="1" t="n">
        <v>46142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26660-2025</t>
        </is>
      </c>
      <c r="B256" s="1" t="n">
        <v>45810.39737268518</v>
      </c>
      <c r="C256" s="1" t="n">
        <v>46142</v>
      </c>
      <c r="D256" t="inlineStr">
        <is>
          <t>GOTLANDS LÄN</t>
        </is>
      </c>
      <c r="E256" t="inlineStr">
        <is>
          <t>GOTLAND</t>
        </is>
      </c>
      <c r="G256" t="n">
        <v>1.8</v>
      </c>
      <c r="H256" t="n">
        <v>0</v>
      </c>
      <c r="I256" t="n">
        <v>0</v>
      </c>
      <c r="J256" t="n">
        <v>0</v>
      </c>
      <c r="K256" t="n">
        <v>0</v>
      </c>
      <c r="L256" t="n">
        <v>0</v>
      </c>
      <c r="M256" t="n">
        <v>0</v>
      </c>
      <c r="N256" t="n">
        <v>0</v>
      </c>
      <c r="O256" t="n">
        <v>0</v>
      </c>
      <c r="P256" t="n">
        <v>0</v>
      </c>
      <c r="Q256" t="n">
        <v>0</v>
      </c>
      <c r="R256" s="2" t="inlineStr"/>
    </row>
    <row r="257" ht="15" customHeight="1">
      <c r="A257" t="inlineStr">
        <is>
          <t>A 3253-2026</t>
        </is>
      </c>
      <c r="B257" s="1" t="n">
        <v>46041.58902777778</v>
      </c>
      <c r="C257" s="1" t="n">
        <v>46142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46142</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21792-2024</t>
        </is>
      </c>
      <c r="B259" s="1" t="n">
        <v>45442.64326388889</v>
      </c>
      <c r="C259" s="1" t="n">
        <v>46142</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27371-2025</t>
        </is>
      </c>
      <c r="B260" s="1" t="n">
        <v>45812</v>
      </c>
      <c r="C260" s="1" t="n">
        <v>46142</v>
      </c>
      <c r="D260" t="inlineStr">
        <is>
          <t>GOTLANDS LÄN</t>
        </is>
      </c>
      <c r="E260" t="inlineStr">
        <is>
          <t>GOTLAND</t>
        </is>
      </c>
      <c r="G260" t="n">
        <v>8</v>
      </c>
      <c r="H260" t="n">
        <v>0</v>
      </c>
      <c r="I260" t="n">
        <v>0</v>
      </c>
      <c r="J260" t="n">
        <v>0</v>
      </c>
      <c r="K260" t="n">
        <v>0</v>
      </c>
      <c r="L260" t="n">
        <v>0</v>
      </c>
      <c r="M260" t="n">
        <v>0</v>
      </c>
      <c r="N260" t="n">
        <v>0</v>
      </c>
      <c r="O260" t="n">
        <v>0</v>
      </c>
      <c r="P260" t="n">
        <v>0</v>
      </c>
      <c r="Q260" t="n">
        <v>0</v>
      </c>
      <c r="R260" s="2" t="inlineStr"/>
    </row>
    <row r="261" ht="15" customHeight="1">
      <c r="A261" t="inlineStr">
        <is>
          <t>A 27355-2025</t>
        </is>
      </c>
      <c r="B261" s="1" t="n">
        <v>45812</v>
      </c>
      <c r="C261" s="1" t="n">
        <v>46142</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4646-2026</t>
        </is>
      </c>
      <c r="B262" s="1" t="n">
        <v>46048.40357638889</v>
      </c>
      <c r="C262" s="1" t="n">
        <v>46142</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46142</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4662-2026</t>
        </is>
      </c>
      <c r="B264" s="1" t="n">
        <v>46048.40949074074</v>
      </c>
      <c r="C264" s="1" t="n">
        <v>46142</v>
      </c>
      <c r="D264" t="inlineStr">
        <is>
          <t>GOTLANDS LÄN</t>
        </is>
      </c>
      <c r="E264" t="inlineStr">
        <is>
          <t>GOTLAND</t>
        </is>
      </c>
      <c r="G264" t="n">
        <v>7.6</v>
      </c>
      <c r="H264" t="n">
        <v>0</v>
      </c>
      <c r="I264" t="n">
        <v>0</v>
      </c>
      <c r="J264" t="n">
        <v>0</v>
      </c>
      <c r="K264" t="n">
        <v>0</v>
      </c>
      <c r="L264" t="n">
        <v>0</v>
      </c>
      <c r="M264" t="n">
        <v>0</v>
      </c>
      <c r="N264" t="n">
        <v>0</v>
      </c>
      <c r="O264" t="n">
        <v>0</v>
      </c>
      <c r="P264" t="n">
        <v>0</v>
      </c>
      <c r="Q264" t="n">
        <v>0</v>
      </c>
      <c r="R264" s="2" t="inlineStr"/>
    </row>
    <row r="265" ht="15" customHeight="1">
      <c r="A265" t="inlineStr">
        <is>
          <t>A 6739-2025</t>
        </is>
      </c>
      <c r="B265" s="1" t="n">
        <v>45700</v>
      </c>
      <c r="C265" s="1" t="n">
        <v>46142</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7850-2025</t>
        </is>
      </c>
      <c r="B266" s="1" t="n">
        <v>45706</v>
      </c>
      <c r="C266" s="1" t="n">
        <v>46142</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4639-2026</t>
        </is>
      </c>
      <c r="B267" s="1" t="n">
        <v>46048.39880787037</v>
      </c>
      <c r="C267" s="1" t="n">
        <v>46142</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1839-2026</t>
        </is>
      </c>
      <c r="B268" s="1" t="n">
        <v>46035.3942824074</v>
      </c>
      <c r="C268" s="1" t="n">
        <v>46142</v>
      </c>
      <c r="D268" t="inlineStr">
        <is>
          <t>GOTLANDS LÄN</t>
        </is>
      </c>
      <c r="E268" t="inlineStr">
        <is>
          <t>GOTLAND</t>
        </is>
      </c>
      <c r="G268" t="n">
        <v>3.5</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46142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4634-2026</t>
        </is>
      </c>
      <c r="B270" s="1" t="n">
        <v>46048.39304398148</v>
      </c>
      <c r="C270" s="1" t="n">
        <v>46142</v>
      </c>
      <c r="D270" t="inlineStr">
        <is>
          <t>GOTLANDS LÄN</t>
        </is>
      </c>
      <c r="E270" t="inlineStr">
        <is>
          <t>GOTLAND</t>
        </is>
      </c>
      <c r="G270" t="n">
        <v>7.8</v>
      </c>
      <c r="H270" t="n">
        <v>0</v>
      </c>
      <c r="I270" t="n">
        <v>0</v>
      </c>
      <c r="J270" t="n">
        <v>0</v>
      </c>
      <c r="K270" t="n">
        <v>0</v>
      </c>
      <c r="L270" t="n">
        <v>0</v>
      </c>
      <c r="M270" t="n">
        <v>0</v>
      </c>
      <c r="N270" t="n">
        <v>0</v>
      </c>
      <c r="O270" t="n">
        <v>0</v>
      </c>
      <c r="P270" t="n">
        <v>0</v>
      </c>
      <c r="Q270" t="n">
        <v>0</v>
      </c>
      <c r="R270" s="2" t="inlineStr"/>
    </row>
    <row r="271" ht="15" customHeight="1">
      <c r="A271" t="inlineStr">
        <is>
          <t>A 7837-2024</t>
        </is>
      </c>
      <c r="B271" s="1" t="n">
        <v>45349.83787037037</v>
      </c>
      <c r="C271" s="1" t="n">
        <v>46142</v>
      </c>
      <c r="D271" t="inlineStr">
        <is>
          <t>GOTLANDS LÄN</t>
        </is>
      </c>
      <c r="E271" t="inlineStr">
        <is>
          <t>GOTLAND</t>
        </is>
      </c>
      <c r="G271" t="n">
        <v>5</v>
      </c>
      <c r="H271" t="n">
        <v>0</v>
      </c>
      <c r="I271" t="n">
        <v>0</v>
      </c>
      <c r="J271" t="n">
        <v>0</v>
      </c>
      <c r="K271" t="n">
        <v>0</v>
      </c>
      <c r="L271" t="n">
        <v>0</v>
      </c>
      <c r="M271" t="n">
        <v>0</v>
      </c>
      <c r="N271" t="n">
        <v>0</v>
      </c>
      <c r="O271" t="n">
        <v>0</v>
      </c>
      <c r="P271" t="n">
        <v>0</v>
      </c>
      <c r="Q271" t="n">
        <v>0</v>
      </c>
      <c r="R271" s="2" t="inlineStr"/>
    </row>
    <row r="272" ht="15" customHeight="1">
      <c r="A272" t="inlineStr">
        <is>
          <t>A 4670-2026</t>
        </is>
      </c>
      <c r="B272" s="1" t="n">
        <v>46048.41733796296</v>
      </c>
      <c r="C272" s="1" t="n">
        <v>46142</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8444-2025</t>
        </is>
      </c>
      <c r="B273" s="1" t="n">
        <v>45709</v>
      </c>
      <c r="C273" s="1" t="n">
        <v>46142</v>
      </c>
      <c r="D273" t="inlineStr">
        <is>
          <t>GOTLANDS LÄN</t>
        </is>
      </c>
      <c r="E273" t="inlineStr">
        <is>
          <t>GOTLAND</t>
        </is>
      </c>
      <c r="G273" t="n">
        <v>5.2</v>
      </c>
      <c r="H273" t="n">
        <v>0</v>
      </c>
      <c r="I273" t="n">
        <v>0</v>
      </c>
      <c r="J273" t="n">
        <v>0</v>
      </c>
      <c r="K273" t="n">
        <v>0</v>
      </c>
      <c r="L273" t="n">
        <v>0</v>
      </c>
      <c r="M273" t="n">
        <v>0</v>
      </c>
      <c r="N273" t="n">
        <v>0</v>
      </c>
      <c r="O273" t="n">
        <v>0</v>
      </c>
      <c r="P273" t="n">
        <v>0</v>
      </c>
      <c r="Q273" t="n">
        <v>0</v>
      </c>
      <c r="R273" s="2" t="inlineStr"/>
    </row>
    <row r="274" ht="15" customHeight="1">
      <c r="A274" t="inlineStr">
        <is>
          <t>A 30135-2025</t>
        </is>
      </c>
      <c r="B274" s="1" t="n">
        <v>45826</v>
      </c>
      <c r="C274" s="1" t="n">
        <v>46142</v>
      </c>
      <c r="D274" t="inlineStr">
        <is>
          <t>GOTLANDS LÄN</t>
        </is>
      </c>
      <c r="E274" t="inlineStr">
        <is>
          <t>GOTLAND</t>
        </is>
      </c>
      <c r="G274" t="n">
        <v>2.7</v>
      </c>
      <c r="H274" t="n">
        <v>0</v>
      </c>
      <c r="I274" t="n">
        <v>0</v>
      </c>
      <c r="J274" t="n">
        <v>0</v>
      </c>
      <c r="K274" t="n">
        <v>0</v>
      </c>
      <c r="L274" t="n">
        <v>0</v>
      </c>
      <c r="M274" t="n">
        <v>0</v>
      </c>
      <c r="N274" t="n">
        <v>0</v>
      </c>
      <c r="O274" t="n">
        <v>0</v>
      </c>
      <c r="P274" t="n">
        <v>0</v>
      </c>
      <c r="Q274" t="n">
        <v>0</v>
      </c>
      <c r="R274" s="2" t="inlineStr"/>
    </row>
    <row r="275" ht="15" customHeight="1">
      <c r="A275" t="inlineStr">
        <is>
          <t>A 4568-2025</t>
        </is>
      </c>
      <c r="B275" s="1" t="n">
        <v>45687</v>
      </c>
      <c r="C275" s="1" t="n">
        <v>46142</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46142</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46142</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46142</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19905-2025</t>
        </is>
      </c>
      <c r="B279" s="1" t="n">
        <v>45771</v>
      </c>
      <c r="C279" s="1" t="n">
        <v>46142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12599-2025</t>
        </is>
      </c>
      <c r="B280" s="1" t="n">
        <v>45733.29546296296</v>
      </c>
      <c r="C280" s="1" t="n">
        <v>46142</v>
      </c>
      <c r="D280" t="inlineStr">
        <is>
          <t>GOTLANDS LÄN</t>
        </is>
      </c>
      <c r="E280" t="inlineStr">
        <is>
          <t>GOTLAND</t>
        </is>
      </c>
      <c r="G280" t="n">
        <v>4.7</v>
      </c>
      <c r="H280" t="n">
        <v>0</v>
      </c>
      <c r="I280" t="n">
        <v>0</v>
      </c>
      <c r="J280" t="n">
        <v>0</v>
      </c>
      <c r="K280" t="n">
        <v>0</v>
      </c>
      <c r="L280" t="n">
        <v>0</v>
      </c>
      <c r="M280" t="n">
        <v>0</v>
      </c>
      <c r="N280" t="n">
        <v>0</v>
      </c>
      <c r="O280" t="n">
        <v>0</v>
      </c>
      <c r="P280" t="n">
        <v>0</v>
      </c>
      <c r="Q280" t="n">
        <v>0</v>
      </c>
      <c r="R280" s="2" t="inlineStr"/>
    </row>
    <row r="281" ht="15" customHeight="1">
      <c r="A281" t="inlineStr">
        <is>
          <t>A 29196-2025</t>
        </is>
      </c>
      <c r="B281" s="1" t="n">
        <v>45822</v>
      </c>
      <c r="C281" s="1" t="n">
        <v>46142</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35141-2025</t>
        </is>
      </c>
      <c r="B282" s="1" t="n">
        <v>45852.65206018519</v>
      </c>
      <c r="C282" s="1" t="n">
        <v>46142</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1291-2023</t>
        </is>
      </c>
      <c r="B283" s="1" t="n">
        <v>44936.47561342592</v>
      </c>
      <c r="C283" s="1" t="n">
        <v>46142</v>
      </c>
      <c r="D283" t="inlineStr">
        <is>
          <t>GOTLANDS LÄN</t>
        </is>
      </c>
      <c r="E283" t="inlineStr">
        <is>
          <t>GOTLAND</t>
        </is>
      </c>
      <c r="G283" t="n">
        <v>7.4</v>
      </c>
      <c r="H283" t="n">
        <v>0</v>
      </c>
      <c r="I283" t="n">
        <v>0</v>
      </c>
      <c r="J283" t="n">
        <v>0</v>
      </c>
      <c r="K283" t="n">
        <v>0</v>
      </c>
      <c r="L283" t="n">
        <v>0</v>
      </c>
      <c r="M283" t="n">
        <v>0</v>
      </c>
      <c r="N283" t="n">
        <v>0</v>
      </c>
      <c r="O283" t="n">
        <v>0</v>
      </c>
      <c r="P283" t="n">
        <v>0</v>
      </c>
      <c r="Q283" t="n">
        <v>0</v>
      </c>
      <c r="R283" s="2" t="inlineStr"/>
    </row>
    <row r="284" ht="15" customHeight="1">
      <c r="A284" t="inlineStr">
        <is>
          <t>A 35142-2025</t>
        </is>
      </c>
      <c r="B284" s="1" t="n">
        <v>45852.65532407408</v>
      </c>
      <c r="C284" s="1" t="n">
        <v>46142</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29207-2025</t>
        </is>
      </c>
      <c r="B285" s="1" t="n">
        <v>45823</v>
      </c>
      <c r="C285" s="1" t="n">
        <v>46142</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57652-2023</t>
        </is>
      </c>
      <c r="B286" s="1" t="n">
        <v>45246</v>
      </c>
      <c r="C286" s="1" t="n">
        <v>46142</v>
      </c>
      <c r="D286" t="inlineStr">
        <is>
          <t>GOTLANDS LÄN</t>
        </is>
      </c>
      <c r="E286" t="inlineStr">
        <is>
          <t>GOTLAND</t>
        </is>
      </c>
      <c r="G286" t="n">
        <v>7.2</v>
      </c>
      <c r="H286" t="n">
        <v>0</v>
      </c>
      <c r="I286" t="n">
        <v>0</v>
      </c>
      <c r="J286" t="n">
        <v>0</v>
      </c>
      <c r="K286" t="n">
        <v>0</v>
      </c>
      <c r="L286" t="n">
        <v>0</v>
      </c>
      <c r="M286" t="n">
        <v>0</v>
      </c>
      <c r="N286" t="n">
        <v>0</v>
      </c>
      <c r="O286" t="n">
        <v>0</v>
      </c>
      <c r="P286" t="n">
        <v>0</v>
      </c>
      <c r="Q286" t="n">
        <v>0</v>
      </c>
      <c r="R286" s="2" t="inlineStr"/>
    </row>
    <row r="287" ht="15" customHeight="1">
      <c r="A287" t="inlineStr">
        <is>
          <t>A 6218-2026</t>
        </is>
      </c>
      <c r="B287" s="1" t="n">
        <v>46055.42859953704</v>
      </c>
      <c r="C287" s="1" t="n">
        <v>46142</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49315-2024</t>
        </is>
      </c>
      <c r="B288" s="1" t="n">
        <v>45595</v>
      </c>
      <c r="C288" s="1" t="n">
        <v>46142</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6207-2026</t>
        </is>
      </c>
      <c r="B289" s="1" t="n">
        <v>46055.42083333333</v>
      </c>
      <c r="C289" s="1" t="n">
        <v>46142</v>
      </c>
      <c r="D289" t="inlineStr">
        <is>
          <t>GOTLANDS LÄN</t>
        </is>
      </c>
      <c r="E289" t="inlineStr">
        <is>
          <t>GOTLAND</t>
        </is>
      </c>
      <c r="G289" t="n">
        <v>7.6</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46142</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46142</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6959-2026</t>
        </is>
      </c>
      <c r="B292" s="1" t="n">
        <v>46057.580625</v>
      </c>
      <c r="C292" s="1" t="n">
        <v>46142</v>
      </c>
      <c r="D292" t="inlineStr">
        <is>
          <t>GOTLANDS LÄN</t>
        </is>
      </c>
      <c r="E292" t="inlineStr">
        <is>
          <t>GOTLAND</t>
        </is>
      </c>
      <c r="F292" t="inlineStr">
        <is>
          <t>Kyrkan</t>
        </is>
      </c>
      <c r="G292" t="n">
        <v>1.2</v>
      </c>
      <c r="H292" t="n">
        <v>0</v>
      </c>
      <c r="I292" t="n">
        <v>0</v>
      </c>
      <c r="J292" t="n">
        <v>0</v>
      </c>
      <c r="K292" t="n">
        <v>0</v>
      </c>
      <c r="L292" t="n">
        <v>0</v>
      </c>
      <c r="M292" t="n">
        <v>0</v>
      </c>
      <c r="N292" t="n">
        <v>0</v>
      </c>
      <c r="O292" t="n">
        <v>0</v>
      </c>
      <c r="P292" t="n">
        <v>0</v>
      </c>
      <c r="Q292" t="n">
        <v>0</v>
      </c>
      <c r="R292" s="2" t="inlineStr"/>
    </row>
    <row r="293" ht="15" customHeight="1">
      <c r="A293" t="inlineStr">
        <is>
          <t>A 30061-2025</t>
        </is>
      </c>
      <c r="B293" s="1" t="n">
        <v>45826.61488425926</v>
      </c>
      <c r="C293" s="1" t="n">
        <v>46142</v>
      </c>
      <c r="D293" t="inlineStr">
        <is>
          <t>GOTLANDS LÄN</t>
        </is>
      </c>
      <c r="E293" t="inlineStr">
        <is>
          <t>GOTLAND</t>
        </is>
      </c>
      <c r="G293" t="n">
        <v>4.1</v>
      </c>
      <c r="H293" t="n">
        <v>0</v>
      </c>
      <c r="I293" t="n">
        <v>0</v>
      </c>
      <c r="J293" t="n">
        <v>0</v>
      </c>
      <c r="K293" t="n">
        <v>0</v>
      </c>
      <c r="L293" t="n">
        <v>0</v>
      </c>
      <c r="M293" t="n">
        <v>0</v>
      </c>
      <c r="N293" t="n">
        <v>0</v>
      </c>
      <c r="O293" t="n">
        <v>0</v>
      </c>
      <c r="P293" t="n">
        <v>0</v>
      </c>
      <c r="Q293" t="n">
        <v>0</v>
      </c>
      <c r="R293" s="2" t="inlineStr"/>
    </row>
    <row r="294" ht="15" customHeight="1">
      <c r="A294" t="inlineStr">
        <is>
          <t>A 2676-2023</t>
        </is>
      </c>
      <c r="B294" s="1" t="n">
        <v>44944</v>
      </c>
      <c r="C294" s="1" t="n">
        <v>46142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58160-2024</t>
        </is>
      </c>
      <c r="B295" s="1" t="n">
        <v>45632.44927083333</v>
      </c>
      <c r="C295" s="1" t="n">
        <v>46142</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46142</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46142</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7635-2025</t>
        </is>
      </c>
      <c r="B298" s="1" t="n">
        <v>45705</v>
      </c>
      <c r="C298" s="1" t="n">
        <v>46142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7636-2025</t>
        </is>
      </c>
      <c r="B299" s="1" t="n">
        <v>45705.7687962963</v>
      </c>
      <c r="C299" s="1" t="n">
        <v>46142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7639-2025</t>
        </is>
      </c>
      <c r="B300" s="1" t="n">
        <v>45705.77465277778</v>
      </c>
      <c r="C300" s="1" t="n">
        <v>46142</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6960-2026</t>
        </is>
      </c>
      <c r="B301" s="1" t="n">
        <v>46057.58105324074</v>
      </c>
      <c r="C301" s="1" t="n">
        <v>46142</v>
      </c>
      <c r="D301" t="inlineStr">
        <is>
          <t>GOTLANDS LÄN</t>
        </is>
      </c>
      <c r="E301" t="inlineStr">
        <is>
          <t>GOTLAND</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20356-2022</t>
        </is>
      </c>
      <c r="B302" s="1" t="n">
        <v>44699</v>
      </c>
      <c r="C302" s="1" t="n">
        <v>46142</v>
      </c>
      <c r="D302" t="inlineStr">
        <is>
          <t>GOTLANDS LÄN</t>
        </is>
      </c>
      <c r="E302" t="inlineStr">
        <is>
          <t>GOTLAND</t>
        </is>
      </c>
      <c r="F302" t="inlineStr">
        <is>
          <t>Övriga Aktiebolag</t>
        </is>
      </c>
      <c r="G302" t="n">
        <v>4.4</v>
      </c>
      <c r="H302" t="n">
        <v>0</v>
      </c>
      <c r="I302" t="n">
        <v>0</v>
      </c>
      <c r="J302" t="n">
        <v>0</v>
      </c>
      <c r="K302" t="n">
        <v>0</v>
      </c>
      <c r="L302" t="n">
        <v>0</v>
      </c>
      <c r="M302" t="n">
        <v>0</v>
      </c>
      <c r="N302" t="n">
        <v>0</v>
      </c>
      <c r="O302" t="n">
        <v>0</v>
      </c>
      <c r="P302" t="n">
        <v>0</v>
      </c>
      <c r="Q302" t="n">
        <v>0</v>
      </c>
      <c r="R302" s="2" t="inlineStr"/>
    </row>
    <row r="303" ht="15" customHeight="1">
      <c r="A303" t="inlineStr">
        <is>
          <t>A 48734-2022</t>
        </is>
      </c>
      <c r="B303" s="1" t="n">
        <v>44855</v>
      </c>
      <c r="C303" s="1" t="n">
        <v>46142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14141-2024</t>
        </is>
      </c>
      <c r="B304" s="1" t="n">
        <v>45392.85193287037</v>
      </c>
      <c r="C304" s="1" t="n">
        <v>46142</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29809-2022</t>
        </is>
      </c>
      <c r="B305" s="1" t="n">
        <v>44755.8713425926</v>
      </c>
      <c r="C305" s="1" t="n">
        <v>46142</v>
      </c>
      <c r="D305" t="inlineStr">
        <is>
          <t>GOTLANDS LÄN</t>
        </is>
      </c>
      <c r="E305" t="inlineStr">
        <is>
          <t>GOTLAND</t>
        </is>
      </c>
      <c r="G305" t="n">
        <v>11.5</v>
      </c>
      <c r="H305" t="n">
        <v>0</v>
      </c>
      <c r="I305" t="n">
        <v>0</v>
      </c>
      <c r="J305" t="n">
        <v>0</v>
      </c>
      <c r="K305" t="n">
        <v>0</v>
      </c>
      <c r="L305" t="n">
        <v>0</v>
      </c>
      <c r="M305" t="n">
        <v>0</v>
      </c>
      <c r="N305" t="n">
        <v>0</v>
      </c>
      <c r="O305" t="n">
        <v>0</v>
      </c>
      <c r="P305" t="n">
        <v>0</v>
      </c>
      <c r="Q305" t="n">
        <v>0</v>
      </c>
      <c r="R305" s="2" t="inlineStr"/>
    </row>
    <row r="306" ht="15" customHeight="1">
      <c r="A306" t="inlineStr">
        <is>
          <t>A 14840-2026</t>
        </is>
      </c>
      <c r="B306" s="1" t="n">
        <v>46104.39498842593</v>
      </c>
      <c r="C306" s="1" t="n">
        <v>46142</v>
      </c>
      <c r="D306" t="inlineStr">
        <is>
          <t>GOTLANDS LÄN</t>
        </is>
      </c>
      <c r="E306" t="inlineStr">
        <is>
          <t>GOTLAND</t>
        </is>
      </c>
      <c r="G306" t="n">
        <v>2.5</v>
      </c>
      <c r="H306" t="n">
        <v>0</v>
      </c>
      <c r="I306" t="n">
        <v>0</v>
      </c>
      <c r="J306" t="n">
        <v>0</v>
      </c>
      <c r="K306" t="n">
        <v>0</v>
      </c>
      <c r="L306" t="n">
        <v>0</v>
      </c>
      <c r="M306" t="n">
        <v>0</v>
      </c>
      <c r="N306" t="n">
        <v>0</v>
      </c>
      <c r="O306" t="n">
        <v>0</v>
      </c>
      <c r="P306" t="n">
        <v>0</v>
      </c>
      <c r="Q306" t="n">
        <v>0</v>
      </c>
      <c r="R306" s="2" t="inlineStr"/>
    </row>
    <row r="307" ht="15" customHeight="1">
      <c r="A307" t="inlineStr">
        <is>
          <t>A 7625-2026</t>
        </is>
      </c>
      <c r="B307" s="1" t="n">
        <v>46062.35135416667</v>
      </c>
      <c r="C307" s="1" t="n">
        <v>46142</v>
      </c>
      <c r="D307" t="inlineStr">
        <is>
          <t>GOTLANDS LÄN</t>
        </is>
      </c>
      <c r="E307" t="inlineStr">
        <is>
          <t>GOTLAND</t>
        </is>
      </c>
      <c r="G307" t="n">
        <v>2.1</v>
      </c>
      <c r="H307" t="n">
        <v>0</v>
      </c>
      <c r="I307" t="n">
        <v>0</v>
      </c>
      <c r="J307" t="n">
        <v>0</v>
      </c>
      <c r="K307" t="n">
        <v>0</v>
      </c>
      <c r="L307" t="n">
        <v>0</v>
      </c>
      <c r="M307" t="n">
        <v>0</v>
      </c>
      <c r="N307" t="n">
        <v>0</v>
      </c>
      <c r="O307" t="n">
        <v>0</v>
      </c>
      <c r="P307" t="n">
        <v>0</v>
      </c>
      <c r="Q307" t="n">
        <v>0</v>
      </c>
      <c r="R307" s="2" t="inlineStr"/>
    </row>
    <row r="308" ht="15" customHeight="1">
      <c r="A308" t="inlineStr">
        <is>
          <t>A 7627-2026</t>
        </is>
      </c>
      <c r="B308" s="1" t="n">
        <v>46062.35465277778</v>
      </c>
      <c r="C308" s="1" t="n">
        <v>46142</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63105-2025</t>
        </is>
      </c>
      <c r="B309" s="1" t="n">
        <v>46009</v>
      </c>
      <c r="C309" s="1" t="n">
        <v>46142</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57685-2022</t>
        </is>
      </c>
      <c r="B310" s="1" t="n">
        <v>44897.4777662037</v>
      </c>
      <c r="C310" s="1" t="n">
        <v>46142</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32379-2025</t>
        </is>
      </c>
      <c r="B311" s="1" t="n">
        <v>45837</v>
      </c>
      <c r="C311" s="1" t="n">
        <v>46142</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30815-2023</t>
        </is>
      </c>
      <c r="B312" s="1" t="n">
        <v>45112</v>
      </c>
      <c r="C312" s="1" t="n">
        <v>46142</v>
      </c>
      <c r="D312" t="inlineStr">
        <is>
          <t>GOTLANDS LÄN</t>
        </is>
      </c>
      <c r="E312" t="inlineStr">
        <is>
          <t>GOTLAND</t>
        </is>
      </c>
      <c r="G312" t="n">
        <v>6</v>
      </c>
      <c r="H312" t="n">
        <v>0</v>
      </c>
      <c r="I312" t="n">
        <v>0</v>
      </c>
      <c r="J312" t="n">
        <v>0</v>
      </c>
      <c r="K312" t="n">
        <v>0</v>
      </c>
      <c r="L312" t="n">
        <v>0</v>
      </c>
      <c r="M312" t="n">
        <v>0</v>
      </c>
      <c r="N312" t="n">
        <v>0</v>
      </c>
      <c r="O312" t="n">
        <v>0</v>
      </c>
      <c r="P312" t="n">
        <v>0</v>
      </c>
      <c r="Q312" t="n">
        <v>0</v>
      </c>
      <c r="R312" s="2" t="inlineStr"/>
    </row>
    <row r="313" ht="15" customHeight="1">
      <c r="A313" t="inlineStr">
        <is>
          <t>A 2135-2026</t>
        </is>
      </c>
      <c r="B313" s="1" t="n">
        <v>46036</v>
      </c>
      <c r="C313" s="1" t="n">
        <v>46142</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32467-2025</t>
        </is>
      </c>
      <c r="B314" s="1" t="n">
        <v>45838.42111111111</v>
      </c>
      <c r="C314" s="1" t="n">
        <v>46142</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2134-2026</t>
        </is>
      </c>
      <c r="B315" s="1" t="n">
        <v>46036</v>
      </c>
      <c r="C315" s="1" t="n">
        <v>46142</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16109-2025</t>
        </is>
      </c>
      <c r="B316" s="1" t="n">
        <v>45750</v>
      </c>
      <c r="C316" s="1" t="n">
        <v>46142</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39819-2025</t>
        </is>
      </c>
      <c r="B317" s="1" t="n">
        <v>45891.53418981482</v>
      </c>
      <c r="C317" s="1" t="n">
        <v>46142</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7034-2023</t>
        </is>
      </c>
      <c r="B318" s="1" t="n">
        <v>44968.32108796296</v>
      </c>
      <c r="C318" s="1" t="n">
        <v>46142</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7042-2023</t>
        </is>
      </c>
      <c r="B319" s="1" t="n">
        <v>44968</v>
      </c>
      <c r="C319" s="1" t="n">
        <v>46142</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23516-2023</t>
        </is>
      </c>
      <c r="B320" s="1" t="n">
        <v>45076.93391203704</v>
      </c>
      <c r="C320" s="1" t="n">
        <v>46142</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64660-2023</t>
        </is>
      </c>
      <c r="B321" s="1" t="n">
        <v>45281.60122685185</v>
      </c>
      <c r="C321" s="1" t="n">
        <v>46142</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39814-2025</t>
        </is>
      </c>
      <c r="B322" s="1" t="n">
        <v>45891.52694444444</v>
      </c>
      <c r="C322" s="1" t="n">
        <v>46142</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63763-2023</t>
        </is>
      </c>
      <c r="B323" s="1" t="n">
        <v>45278.33944444444</v>
      </c>
      <c r="C323" s="1" t="n">
        <v>46142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33007-2025</t>
        </is>
      </c>
      <c r="B324" s="1" t="n">
        <v>45840</v>
      </c>
      <c r="C324" s="1" t="n">
        <v>46142</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39849-2025</t>
        </is>
      </c>
      <c r="B325" s="1" t="n">
        <v>45891.58502314815</v>
      </c>
      <c r="C325" s="1" t="n">
        <v>46142</v>
      </c>
      <c r="D325" t="inlineStr">
        <is>
          <t>GOTLANDS LÄN</t>
        </is>
      </c>
      <c r="E325" t="inlineStr">
        <is>
          <t>GOTLAND</t>
        </is>
      </c>
      <c r="G325" t="n">
        <v>6.1</v>
      </c>
      <c r="H325" t="n">
        <v>0</v>
      </c>
      <c r="I325" t="n">
        <v>0</v>
      </c>
      <c r="J325" t="n">
        <v>0</v>
      </c>
      <c r="K325" t="n">
        <v>0</v>
      </c>
      <c r="L325" t="n">
        <v>0</v>
      </c>
      <c r="M325" t="n">
        <v>0</v>
      </c>
      <c r="N325" t="n">
        <v>0</v>
      </c>
      <c r="O325" t="n">
        <v>0</v>
      </c>
      <c r="P325" t="n">
        <v>0</v>
      </c>
      <c r="Q325" t="n">
        <v>0</v>
      </c>
      <c r="R325" s="2" t="inlineStr"/>
    </row>
    <row r="326" ht="15" customHeight="1">
      <c r="A326" t="inlineStr">
        <is>
          <t>A 63229-2021</t>
        </is>
      </c>
      <c r="B326" s="1" t="n">
        <v>44508.34518518519</v>
      </c>
      <c r="C326" s="1" t="n">
        <v>46142</v>
      </c>
      <c r="D326" t="inlineStr">
        <is>
          <t>GOTLANDS LÄN</t>
        </is>
      </c>
      <c r="E326" t="inlineStr">
        <is>
          <t>GOTLAND</t>
        </is>
      </c>
      <c r="F326" t="inlineStr">
        <is>
          <t>Kyrkan</t>
        </is>
      </c>
      <c r="G326" t="n">
        <v>3.8</v>
      </c>
      <c r="H326" t="n">
        <v>0</v>
      </c>
      <c r="I326" t="n">
        <v>0</v>
      </c>
      <c r="J326" t="n">
        <v>0</v>
      </c>
      <c r="K326" t="n">
        <v>0</v>
      </c>
      <c r="L326" t="n">
        <v>0</v>
      </c>
      <c r="M326" t="n">
        <v>0</v>
      </c>
      <c r="N326" t="n">
        <v>0</v>
      </c>
      <c r="O326" t="n">
        <v>0</v>
      </c>
      <c r="P326" t="n">
        <v>0</v>
      </c>
      <c r="Q326" t="n">
        <v>0</v>
      </c>
      <c r="R326" s="2" t="inlineStr"/>
    </row>
    <row r="327" ht="15" customHeight="1">
      <c r="A327" t="inlineStr">
        <is>
          <t>A 46375-2024</t>
        </is>
      </c>
      <c r="B327" s="1" t="n">
        <v>45582</v>
      </c>
      <c r="C327" s="1" t="n">
        <v>46142</v>
      </c>
      <c r="D327" t="inlineStr">
        <is>
          <t>GOTLANDS LÄN</t>
        </is>
      </c>
      <c r="E327" t="inlineStr">
        <is>
          <t>GOTLAND</t>
        </is>
      </c>
      <c r="G327" t="n">
        <v>3</v>
      </c>
      <c r="H327" t="n">
        <v>0</v>
      </c>
      <c r="I327" t="n">
        <v>0</v>
      </c>
      <c r="J327" t="n">
        <v>0</v>
      </c>
      <c r="K327" t="n">
        <v>0</v>
      </c>
      <c r="L327" t="n">
        <v>0</v>
      </c>
      <c r="M327" t="n">
        <v>0</v>
      </c>
      <c r="N327" t="n">
        <v>0</v>
      </c>
      <c r="O327" t="n">
        <v>0</v>
      </c>
      <c r="P327" t="n">
        <v>0</v>
      </c>
      <c r="Q327" t="n">
        <v>0</v>
      </c>
      <c r="R327" s="2" t="inlineStr"/>
    </row>
    <row r="328" ht="15" customHeight="1">
      <c r="A328" t="inlineStr">
        <is>
          <t>A 39752-2025</t>
        </is>
      </c>
      <c r="B328" s="1" t="n">
        <v>45891</v>
      </c>
      <c r="C328" s="1" t="n">
        <v>46142</v>
      </c>
      <c r="D328" t="inlineStr">
        <is>
          <t>GOTLANDS LÄN</t>
        </is>
      </c>
      <c r="E328" t="inlineStr">
        <is>
          <t>GOTLAND</t>
        </is>
      </c>
      <c r="G328" t="n">
        <v>5.3</v>
      </c>
      <c r="H328" t="n">
        <v>0</v>
      </c>
      <c r="I328" t="n">
        <v>0</v>
      </c>
      <c r="J328" t="n">
        <v>0</v>
      </c>
      <c r="K328" t="n">
        <v>0</v>
      </c>
      <c r="L328" t="n">
        <v>0</v>
      </c>
      <c r="M328" t="n">
        <v>0</v>
      </c>
      <c r="N328" t="n">
        <v>0</v>
      </c>
      <c r="O328" t="n">
        <v>0</v>
      </c>
      <c r="P328" t="n">
        <v>0</v>
      </c>
      <c r="Q328" t="n">
        <v>0</v>
      </c>
      <c r="R328" s="2" t="inlineStr"/>
    </row>
    <row r="329" ht="15" customHeight="1">
      <c r="A329" t="inlineStr">
        <is>
          <t>A 39816-2025</t>
        </is>
      </c>
      <c r="B329" s="1" t="n">
        <v>45891</v>
      </c>
      <c r="C329" s="1" t="n">
        <v>46142</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40103-2025</t>
        </is>
      </c>
      <c r="B330" s="1" t="n">
        <v>45894.4880324074</v>
      </c>
      <c r="C330" s="1" t="n">
        <v>46142</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53561-2025</t>
        </is>
      </c>
      <c r="B331" s="1" t="n">
        <v>45960.4059375</v>
      </c>
      <c r="C331" s="1" t="n">
        <v>46142</v>
      </c>
      <c r="D331" t="inlineStr">
        <is>
          <t>GOTLANDS LÄN</t>
        </is>
      </c>
      <c r="E331" t="inlineStr">
        <is>
          <t>GOTLAND</t>
        </is>
      </c>
      <c r="F331" t="inlineStr">
        <is>
          <t>Övriga Aktiebolag</t>
        </is>
      </c>
      <c r="G331" t="n">
        <v>2.4</v>
      </c>
      <c r="H331" t="n">
        <v>0</v>
      </c>
      <c r="I331" t="n">
        <v>0</v>
      </c>
      <c r="J331" t="n">
        <v>0</v>
      </c>
      <c r="K331" t="n">
        <v>0</v>
      </c>
      <c r="L331" t="n">
        <v>0</v>
      </c>
      <c r="M331" t="n">
        <v>0</v>
      </c>
      <c r="N331" t="n">
        <v>0</v>
      </c>
      <c r="O331" t="n">
        <v>0</v>
      </c>
      <c r="P331" t="n">
        <v>0</v>
      </c>
      <c r="Q331" t="n">
        <v>0</v>
      </c>
      <c r="R331" s="2" t="inlineStr"/>
    </row>
    <row r="332" ht="15" customHeight="1">
      <c r="A332" t="inlineStr">
        <is>
          <t>A 40373-2025</t>
        </is>
      </c>
      <c r="B332" s="1" t="n">
        <v>45895.51821759259</v>
      </c>
      <c r="C332" s="1" t="n">
        <v>46142</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40499-2025</t>
        </is>
      </c>
      <c r="B333" s="1" t="n">
        <v>45896.32517361111</v>
      </c>
      <c r="C333" s="1" t="n">
        <v>46142</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40372-2025</t>
        </is>
      </c>
      <c r="B334" s="1" t="n">
        <v>45895.5162037037</v>
      </c>
      <c r="C334" s="1" t="n">
        <v>46142</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53587-2025</t>
        </is>
      </c>
      <c r="B335" s="1" t="n">
        <v>45960.43681712963</v>
      </c>
      <c r="C335" s="1" t="n">
        <v>46142</v>
      </c>
      <c r="D335" t="inlineStr">
        <is>
          <t>GOTLANDS LÄN</t>
        </is>
      </c>
      <c r="E335" t="inlineStr">
        <is>
          <t>GOTLAND</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15413-2025</t>
        </is>
      </c>
      <c r="B336" s="1" t="n">
        <v>45747.451875</v>
      </c>
      <c r="C336" s="1" t="n">
        <v>46142</v>
      </c>
      <c r="D336" t="inlineStr">
        <is>
          <t>GOTLANDS LÄN</t>
        </is>
      </c>
      <c r="E336" t="inlineStr">
        <is>
          <t>GOTLAND</t>
        </is>
      </c>
      <c r="G336" t="n">
        <v>0.6</v>
      </c>
      <c r="H336" t="n">
        <v>0</v>
      </c>
      <c r="I336" t="n">
        <v>0</v>
      </c>
      <c r="J336" t="n">
        <v>0</v>
      </c>
      <c r="K336" t="n">
        <v>0</v>
      </c>
      <c r="L336" t="n">
        <v>0</v>
      </c>
      <c r="M336" t="n">
        <v>0</v>
      </c>
      <c r="N336" t="n">
        <v>0</v>
      </c>
      <c r="O336" t="n">
        <v>0</v>
      </c>
      <c r="P336" t="n">
        <v>0</v>
      </c>
      <c r="Q336" t="n">
        <v>0</v>
      </c>
      <c r="R336" s="2" t="inlineStr"/>
    </row>
    <row r="337" ht="15" customHeight="1">
      <c r="A337" t="inlineStr">
        <is>
          <t>A 35123-2025</t>
        </is>
      </c>
      <c r="B337" s="1" t="n">
        <v>45852.614375</v>
      </c>
      <c r="C337" s="1" t="n">
        <v>46142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9504-2026</t>
        </is>
      </c>
      <c r="B338" s="1" t="n">
        <v>46071.57730324074</v>
      </c>
      <c r="C338" s="1" t="n">
        <v>46142</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9518-2026</t>
        </is>
      </c>
      <c r="B339" s="1" t="n">
        <v>46071.59653935185</v>
      </c>
      <c r="C339" s="1" t="n">
        <v>46142</v>
      </c>
      <c r="D339" t="inlineStr">
        <is>
          <t>GOTLANDS LÄN</t>
        </is>
      </c>
      <c r="E339" t="inlineStr">
        <is>
          <t>GOTLAND</t>
        </is>
      </c>
      <c r="G339" t="n">
        <v>6.2</v>
      </c>
      <c r="H339" t="n">
        <v>0</v>
      </c>
      <c r="I339" t="n">
        <v>0</v>
      </c>
      <c r="J339" t="n">
        <v>0</v>
      </c>
      <c r="K339" t="n">
        <v>0</v>
      </c>
      <c r="L339" t="n">
        <v>0</v>
      </c>
      <c r="M339" t="n">
        <v>0</v>
      </c>
      <c r="N339" t="n">
        <v>0</v>
      </c>
      <c r="O339" t="n">
        <v>0</v>
      </c>
      <c r="P339" t="n">
        <v>0</v>
      </c>
      <c r="Q339" t="n">
        <v>0</v>
      </c>
      <c r="R339" s="2" t="inlineStr"/>
    </row>
    <row r="340" ht="15" customHeight="1">
      <c r="A340" t="inlineStr">
        <is>
          <t>A 9519-2026</t>
        </is>
      </c>
      <c r="B340" s="1" t="n">
        <v>46071.59820601852</v>
      </c>
      <c r="C340" s="1" t="n">
        <v>46142</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46142</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1734-2025</t>
        </is>
      </c>
      <c r="B342" s="1" t="n">
        <v>45671.3840625</v>
      </c>
      <c r="C342" s="1" t="n">
        <v>46142</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9540-2026</t>
        </is>
      </c>
      <c r="B343" s="1" t="n">
        <v>46071.61961805556</v>
      </c>
      <c r="C343" s="1" t="n">
        <v>46142</v>
      </c>
      <c r="D343" t="inlineStr">
        <is>
          <t>GOTLANDS LÄN</t>
        </is>
      </c>
      <c r="E343" t="inlineStr">
        <is>
          <t>GOTLAND</t>
        </is>
      </c>
      <c r="G343" t="n">
        <v>2.8</v>
      </c>
      <c r="H343" t="n">
        <v>0</v>
      </c>
      <c r="I343" t="n">
        <v>0</v>
      </c>
      <c r="J343" t="n">
        <v>0</v>
      </c>
      <c r="K343" t="n">
        <v>0</v>
      </c>
      <c r="L343" t="n">
        <v>0</v>
      </c>
      <c r="M343" t="n">
        <v>0</v>
      </c>
      <c r="N343" t="n">
        <v>0</v>
      </c>
      <c r="O343" t="n">
        <v>0</v>
      </c>
      <c r="P343" t="n">
        <v>0</v>
      </c>
      <c r="Q343" t="n">
        <v>0</v>
      </c>
      <c r="R343" s="2" t="inlineStr"/>
    </row>
    <row r="344" ht="15" customHeight="1">
      <c r="A344" t="inlineStr">
        <is>
          <t>A 9521-2026</t>
        </is>
      </c>
      <c r="B344" s="1" t="n">
        <v>46071.59969907408</v>
      </c>
      <c r="C344" s="1" t="n">
        <v>46142</v>
      </c>
      <c r="D344" t="inlineStr">
        <is>
          <t>GOTLANDS LÄN</t>
        </is>
      </c>
      <c r="E344" t="inlineStr">
        <is>
          <t>GOTLAND</t>
        </is>
      </c>
      <c r="G344" t="n">
        <v>3.9</v>
      </c>
      <c r="H344" t="n">
        <v>0</v>
      </c>
      <c r="I344" t="n">
        <v>0</v>
      </c>
      <c r="J344" t="n">
        <v>0</v>
      </c>
      <c r="K344" t="n">
        <v>0</v>
      </c>
      <c r="L344" t="n">
        <v>0</v>
      </c>
      <c r="M344" t="n">
        <v>0</v>
      </c>
      <c r="N344" t="n">
        <v>0</v>
      </c>
      <c r="O344" t="n">
        <v>0</v>
      </c>
      <c r="P344" t="n">
        <v>0</v>
      </c>
      <c r="Q344" t="n">
        <v>0</v>
      </c>
      <c r="R344" s="2" t="inlineStr"/>
    </row>
    <row r="345" ht="15" customHeight="1">
      <c r="A345" t="inlineStr">
        <is>
          <t>A 9524-2026</t>
        </is>
      </c>
      <c r="B345" s="1" t="n">
        <v>46071.60108796296</v>
      </c>
      <c r="C345" s="1" t="n">
        <v>46142</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9543-2026</t>
        </is>
      </c>
      <c r="B346" s="1" t="n">
        <v>46071.62486111111</v>
      </c>
      <c r="C346" s="1" t="n">
        <v>46142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46142</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46142</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35290-2025</t>
        </is>
      </c>
      <c r="B349" s="1" t="n">
        <v>45854.38502314815</v>
      </c>
      <c r="C349" s="1" t="n">
        <v>46142</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32669-2024</t>
        </is>
      </c>
      <c r="B350" s="1" t="n">
        <v>45514</v>
      </c>
      <c r="C350" s="1" t="n">
        <v>46142</v>
      </c>
      <c r="D350" t="inlineStr">
        <is>
          <t>GOTLANDS LÄN</t>
        </is>
      </c>
      <c r="E350" t="inlineStr">
        <is>
          <t>GOTLAND</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16993-2026</t>
        </is>
      </c>
      <c r="B351" s="1" t="n">
        <v>46114.41918981481</v>
      </c>
      <c r="C351" s="1" t="n">
        <v>46142</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17000-2026</t>
        </is>
      </c>
      <c r="B352" s="1" t="n">
        <v>46114.42690972222</v>
      </c>
      <c r="C352" s="1" t="n">
        <v>46142</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39278-2025</t>
        </is>
      </c>
      <c r="B353" s="1" t="n">
        <v>45889</v>
      </c>
      <c r="C353" s="1" t="n">
        <v>46142</v>
      </c>
      <c r="D353" t="inlineStr">
        <is>
          <t>GOTLANDS LÄN</t>
        </is>
      </c>
      <c r="E353" t="inlineStr">
        <is>
          <t>GOTLAND</t>
        </is>
      </c>
      <c r="G353" t="n">
        <v>3.7</v>
      </c>
      <c r="H353" t="n">
        <v>0</v>
      </c>
      <c r="I353" t="n">
        <v>0</v>
      </c>
      <c r="J353" t="n">
        <v>0</v>
      </c>
      <c r="K353" t="n">
        <v>0</v>
      </c>
      <c r="L353" t="n">
        <v>0</v>
      </c>
      <c r="M353" t="n">
        <v>0</v>
      </c>
      <c r="N353" t="n">
        <v>0</v>
      </c>
      <c r="O353" t="n">
        <v>0</v>
      </c>
      <c r="P353" t="n">
        <v>0</v>
      </c>
      <c r="Q353" t="n">
        <v>0</v>
      </c>
      <c r="R353" s="2" t="inlineStr"/>
    </row>
    <row r="354" ht="15" customHeight="1">
      <c r="A354" t="inlineStr">
        <is>
          <t>A 35537-2025</t>
        </is>
      </c>
      <c r="B354" s="1" t="n">
        <v>45856</v>
      </c>
      <c r="C354" s="1" t="n">
        <v>46142</v>
      </c>
      <c r="D354" t="inlineStr">
        <is>
          <t>GOTLANDS LÄN</t>
        </is>
      </c>
      <c r="E354" t="inlineStr">
        <is>
          <t>GOTLAND</t>
        </is>
      </c>
      <c r="G354" t="n">
        <v>16.8</v>
      </c>
      <c r="H354" t="n">
        <v>0</v>
      </c>
      <c r="I354" t="n">
        <v>0</v>
      </c>
      <c r="J354" t="n">
        <v>0</v>
      </c>
      <c r="K354" t="n">
        <v>0</v>
      </c>
      <c r="L354" t="n">
        <v>0</v>
      </c>
      <c r="M354" t="n">
        <v>0</v>
      </c>
      <c r="N354" t="n">
        <v>0</v>
      </c>
      <c r="O354" t="n">
        <v>0</v>
      </c>
      <c r="P354" t="n">
        <v>0</v>
      </c>
      <c r="Q354" t="n">
        <v>0</v>
      </c>
      <c r="R354" s="2" t="inlineStr"/>
    </row>
    <row r="355" ht="15" customHeight="1">
      <c r="A355" t="inlineStr">
        <is>
          <t>A 12596-2023</t>
        </is>
      </c>
      <c r="B355" s="1" t="n">
        <v>45000.43310185185</v>
      </c>
      <c r="C355" s="1" t="n">
        <v>46142</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2125-2025</t>
        </is>
      </c>
      <c r="B356" s="1" t="n">
        <v>45672.64940972222</v>
      </c>
      <c r="C356" s="1" t="n">
        <v>46142</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63152-2025</t>
        </is>
      </c>
      <c r="B357" s="1" t="n">
        <v>46010</v>
      </c>
      <c r="C357" s="1" t="n">
        <v>46142</v>
      </c>
      <c r="D357" t="inlineStr">
        <is>
          <t>GOTLANDS LÄN</t>
        </is>
      </c>
      <c r="E357" t="inlineStr">
        <is>
          <t>GOTLAND</t>
        </is>
      </c>
      <c r="G357" t="n">
        <v>1.5</v>
      </c>
      <c r="H357" t="n">
        <v>0</v>
      </c>
      <c r="I357" t="n">
        <v>0</v>
      </c>
      <c r="J357" t="n">
        <v>0</v>
      </c>
      <c r="K357" t="n">
        <v>0</v>
      </c>
      <c r="L357" t="n">
        <v>0</v>
      </c>
      <c r="M357" t="n">
        <v>0</v>
      </c>
      <c r="N357" t="n">
        <v>0</v>
      </c>
      <c r="O357" t="n">
        <v>0</v>
      </c>
      <c r="P357" t="n">
        <v>0</v>
      </c>
      <c r="Q357" t="n">
        <v>0</v>
      </c>
      <c r="R357" s="2" t="inlineStr"/>
    </row>
    <row r="358" ht="15" customHeight="1">
      <c r="A358" t="inlineStr">
        <is>
          <t>A 12155-2023</t>
        </is>
      </c>
      <c r="B358" s="1" t="n">
        <v>44998.49106481481</v>
      </c>
      <c r="C358" s="1" t="n">
        <v>46142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457-2023</t>
        </is>
      </c>
      <c r="B359" s="1" t="n">
        <v>44929.87238425926</v>
      </c>
      <c r="C359" s="1" t="n">
        <v>46142</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459-2023</t>
        </is>
      </c>
      <c r="B360" s="1" t="n">
        <v>44929.87423611111</v>
      </c>
      <c r="C360" s="1" t="n">
        <v>46142</v>
      </c>
      <c r="D360" t="inlineStr">
        <is>
          <t>GOTLANDS LÄN</t>
        </is>
      </c>
      <c r="E360" t="inlineStr">
        <is>
          <t>GOTLAND</t>
        </is>
      </c>
      <c r="G360" t="n">
        <v>4.2</v>
      </c>
      <c r="H360" t="n">
        <v>0</v>
      </c>
      <c r="I360" t="n">
        <v>0</v>
      </c>
      <c r="J360" t="n">
        <v>0</v>
      </c>
      <c r="K360" t="n">
        <v>0</v>
      </c>
      <c r="L360" t="n">
        <v>0</v>
      </c>
      <c r="M360" t="n">
        <v>0</v>
      </c>
      <c r="N360" t="n">
        <v>0</v>
      </c>
      <c r="O360" t="n">
        <v>0</v>
      </c>
      <c r="P360" t="n">
        <v>0</v>
      </c>
      <c r="Q360" t="n">
        <v>0</v>
      </c>
      <c r="R360" s="2" t="inlineStr"/>
    </row>
    <row r="361" ht="15" customHeight="1">
      <c r="A361" t="inlineStr">
        <is>
          <t>A 38234-2023</t>
        </is>
      </c>
      <c r="B361" s="1" t="n">
        <v>45161.56663194444</v>
      </c>
      <c r="C361" s="1" t="n">
        <v>46142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10486-2026</t>
        </is>
      </c>
      <c r="B362" s="1" t="n">
        <v>46077.51425925926</v>
      </c>
      <c r="C362" s="1" t="n">
        <v>46142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9901-2026</t>
        </is>
      </c>
      <c r="B363" s="1" t="n">
        <v>46073.40391203704</v>
      </c>
      <c r="C363" s="1" t="n">
        <v>46142</v>
      </c>
      <c r="D363" t="inlineStr">
        <is>
          <t>GOTLANDS LÄN</t>
        </is>
      </c>
      <c r="E363" t="inlineStr">
        <is>
          <t>GOTLAND</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50744-2024</t>
        </is>
      </c>
      <c r="B364" s="1" t="n">
        <v>45602.4187037037</v>
      </c>
      <c r="C364" s="1" t="n">
        <v>46142</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17328-2026</t>
        </is>
      </c>
      <c r="B365" s="1" t="n">
        <v>46119.61216435185</v>
      </c>
      <c r="C365" s="1" t="n">
        <v>46142</v>
      </c>
      <c r="D365" t="inlineStr">
        <is>
          <t>GOTLANDS LÄN</t>
        </is>
      </c>
      <c r="E365" t="inlineStr">
        <is>
          <t>GOTLAND</t>
        </is>
      </c>
      <c r="F365" t="inlineStr">
        <is>
          <t>Kyrkan</t>
        </is>
      </c>
      <c r="G365" t="n">
        <v>4</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46142</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46142</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43790-2024</t>
        </is>
      </c>
      <c r="B368" s="1" t="n">
        <v>45571</v>
      </c>
      <c r="C368" s="1" t="n">
        <v>46142</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46142</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53934-2024</t>
        </is>
      </c>
      <c r="B370" s="1" t="n">
        <v>45615</v>
      </c>
      <c r="C370" s="1" t="n">
        <v>46142</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30488-2025</t>
        </is>
      </c>
      <c r="B371" s="1" t="n">
        <v>45830</v>
      </c>
      <c r="C371" s="1" t="n">
        <v>46142</v>
      </c>
      <c r="D371" t="inlineStr">
        <is>
          <t>GOTLANDS LÄN</t>
        </is>
      </c>
      <c r="E371" t="inlineStr">
        <is>
          <t>GOTLAND</t>
        </is>
      </c>
      <c r="F371" t="inlineStr">
        <is>
          <t>Kyrkan</t>
        </is>
      </c>
      <c r="G371" t="n">
        <v>3.9</v>
      </c>
      <c r="H371" t="n">
        <v>0</v>
      </c>
      <c r="I371" t="n">
        <v>0</v>
      </c>
      <c r="J371" t="n">
        <v>0</v>
      </c>
      <c r="K371" t="n">
        <v>0</v>
      </c>
      <c r="L371" t="n">
        <v>0</v>
      </c>
      <c r="M371" t="n">
        <v>0</v>
      </c>
      <c r="N371" t="n">
        <v>0</v>
      </c>
      <c r="O371" t="n">
        <v>0</v>
      </c>
      <c r="P371" t="n">
        <v>0</v>
      </c>
      <c r="Q371" t="n">
        <v>0</v>
      </c>
      <c r="R371" s="2" t="inlineStr"/>
    </row>
    <row r="372" ht="15" customHeight="1">
      <c r="A372" t="inlineStr">
        <is>
          <t>A 17847-2025</t>
        </is>
      </c>
      <c r="B372" s="1" t="n">
        <v>45758</v>
      </c>
      <c r="C372" s="1" t="n">
        <v>46142</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60384-2025</t>
        </is>
      </c>
      <c r="B373" s="1" t="n">
        <v>45995</v>
      </c>
      <c r="C373" s="1" t="n">
        <v>46142</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18742-2025</t>
        </is>
      </c>
      <c r="B374" s="1" t="n">
        <v>45763</v>
      </c>
      <c r="C374" s="1" t="n">
        <v>46142</v>
      </c>
      <c r="D374" t="inlineStr">
        <is>
          <t>GOTLANDS LÄN</t>
        </is>
      </c>
      <c r="E374" t="inlineStr">
        <is>
          <t>GOTLAND</t>
        </is>
      </c>
      <c r="G374" t="n">
        <v>3.4</v>
      </c>
      <c r="H374" t="n">
        <v>0</v>
      </c>
      <c r="I374" t="n">
        <v>0</v>
      </c>
      <c r="J374" t="n">
        <v>0</v>
      </c>
      <c r="K374" t="n">
        <v>0</v>
      </c>
      <c r="L374" t="n">
        <v>0</v>
      </c>
      <c r="M374" t="n">
        <v>0</v>
      </c>
      <c r="N374" t="n">
        <v>0</v>
      </c>
      <c r="O374" t="n">
        <v>0</v>
      </c>
      <c r="P374" t="n">
        <v>0</v>
      </c>
      <c r="Q374" t="n">
        <v>0</v>
      </c>
      <c r="R374" s="2" t="inlineStr"/>
    </row>
    <row r="375" ht="15" customHeight="1">
      <c r="A375" t="inlineStr">
        <is>
          <t>A 35129-2025</t>
        </is>
      </c>
      <c r="B375" s="1" t="n">
        <v>45852.63224537037</v>
      </c>
      <c r="C375" s="1" t="n">
        <v>46142</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41435-2025</t>
        </is>
      </c>
      <c r="B376" s="1" t="n">
        <v>45901.39974537037</v>
      </c>
      <c r="C376" s="1" t="n">
        <v>46142</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46142</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31264-2021</t>
        </is>
      </c>
      <c r="B378" s="1" t="n">
        <v>44368</v>
      </c>
      <c r="C378" s="1" t="n">
        <v>46142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17935-2026</t>
        </is>
      </c>
      <c r="B379" s="1" t="n">
        <v>46122</v>
      </c>
      <c r="C379" s="1" t="n">
        <v>46142</v>
      </c>
      <c r="D379" t="inlineStr">
        <is>
          <t>GOTLANDS LÄN</t>
        </is>
      </c>
      <c r="E379" t="inlineStr">
        <is>
          <t>GOTLAND</t>
        </is>
      </c>
      <c r="G379" t="n">
        <v>0.9</v>
      </c>
      <c r="H379" t="n">
        <v>0</v>
      </c>
      <c r="I379" t="n">
        <v>0</v>
      </c>
      <c r="J379" t="n">
        <v>0</v>
      </c>
      <c r="K379" t="n">
        <v>0</v>
      </c>
      <c r="L379" t="n">
        <v>0</v>
      </c>
      <c r="M379" t="n">
        <v>0</v>
      </c>
      <c r="N379" t="n">
        <v>0</v>
      </c>
      <c r="O379" t="n">
        <v>0</v>
      </c>
      <c r="P379" t="n">
        <v>0</v>
      </c>
      <c r="Q379" t="n">
        <v>0</v>
      </c>
      <c r="R379" s="2" t="inlineStr"/>
    </row>
    <row r="380" ht="15" customHeight="1">
      <c r="A380" t="inlineStr">
        <is>
          <t>A 43901-2023</t>
        </is>
      </c>
      <c r="B380" s="1" t="n">
        <v>45187</v>
      </c>
      <c r="C380" s="1" t="n">
        <v>46142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11424-2026</t>
        </is>
      </c>
      <c r="B381" s="1" t="n">
        <v>46083.48068287037</v>
      </c>
      <c r="C381" s="1" t="n">
        <v>46142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10746-2025</t>
        </is>
      </c>
      <c r="B382" s="1" t="n">
        <v>45722.42766203704</v>
      </c>
      <c r="C382" s="1" t="n">
        <v>46142</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16501-2023</t>
        </is>
      </c>
      <c r="B383" s="1" t="n">
        <v>45029</v>
      </c>
      <c r="C383" s="1" t="n">
        <v>46142</v>
      </c>
      <c r="D383" t="inlineStr">
        <is>
          <t>GOTLANDS LÄN</t>
        </is>
      </c>
      <c r="E383" t="inlineStr">
        <is>
          <t>GOTLAND</t>
        </is>
      </c>
      <c r="G383" t="n">
        <v>3.1</v>
      </c>
      <c r="H383" t="n">
        <v>0</v>
      </c>
      <c r="I383" t="n">
        <v>0</v>
      </c>
      <c r="J383" t="n">
        <v>0</v>
      </c>
      <c r="K383" t="n">
        <v>0</v>
      </c>
      <c r="L383" t="n">
        <v>0</v>
      </c>
      <c r="M383" t="n">
        <v>0</v>
      </c>
      <c r="N383" t="n">
        <v>0</v>
      </c>
      <c r="O383" t="n">
        <v>0</v>
      </c>
      <c r="P383" t="n">
        <v>0</v>
      </c>
      <c r="Q383" t="n">
        <v>0</v>
      </c>
      <c r="R383" s="2" t="inlineStr"/>
    </row>
    <row r="384" ht="15" customHeight="1">
      <c r="A384" t="inlineStr">
        <is>
          <t>A 41551-2025</t>
        </is>
      </c>
      <c r="B384" s="1" t="n">
        <v>45901.58854166666</v>
      </c>
      <c r="C384" s="1" t="n">
        <v>46142</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11414-2026</t>
        </is>
      </c>
      <c r="B385" s="1" t="n">
        <v>46083.46336805556</v>
      </c>
      <c r="C385" s="1" t="n">
        <v>46142</v>
      </c>
      <c r="D385" t="inlineStr">
        <is>
          <t>GOTLANDS LÄN</t>
        </is>
      </c>
      <c r="E385" t="inlineStr">
        <is>
          <t>GOTLAND</t>
        </is>
      </c>
      <c r="G385" t="n">
        <v>4.9</v>
      </c>
      <c r="H385" t="n">
        <v>0</v>
      </c>
      <c r="I385" t="n">
        <v>0</v>
      </c>
      <c r="J385" t="n">
        <v>0</v>
      </c>
      <c r="K385" t="n">
        <v>0</v>
      </c>
      <c r="L385" t="n">
        <v>0</v>
      </c>
      <c r="M385" t="n">
        <v>0</v>
      </c>
      <c r="N385" t="n">
        <v>0</v>
      </c>
      <c r="O385" t="n">
        <v>0</v>
      </c>
      <c r="P385" t="n">
        <v>0</v>
      </c>
      <c r="Q385" t="n">
        <v>0</v>
      </c>
      <c r="R385" s="2" t="inlineStr"/>
    </row>
    <row r="386" ht="15" customHeight="1">
      <c r="A386" t="inlineStr">
        <is>
          <t>A 17943-2026</t>
        </is>
      </c>
      <c r="B386" s="1" t="n">
        <v>46122</v>
      </c>
      <c r="C386" s="1" t="n">
        <v>46142</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54584-2025</t>
        </is>
      </c>
      <c r="B387" s="1" t="n">
        <v>45965.71788194445</v>
      </c>
      <c r="C387" s="1" t="n">
        <v>46142</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46142</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3067-2026</t>
        </is>
      </c>
      <c r="B389" s="1" t="n">
        <v>46040.59025462963</v>
      </c>
      <c r="C389" s="1" t="n">
        <v>46142</v>
      </c>
      <c r="D389" t="inlineStr">
        <is>
          <t>GOTLANDS LÄN</t>
        </is>
      </c>
      <c r="E389" t="inlineStr">
        <is>
          <t>GOTLAND</t>
        </is>
      </c>
      <c r="G389" t="n">
        <v>7.8</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46142</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46142</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61962-2024</t>
        </is>
      </c>
      <c r="B392" s="1" t="n">
        <v>45653.54340277778</v>
      </c>
      <c r="C392" s="1" t="n">
        <v>46142</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10492-2023</t>
        </is>
      </c>
      <c r="B393" s="1" t="n">
        <v>44987</v>
      </c>
      <c r="C393" s="1" t="n">
        <v>46142</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46142</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18938-2025</t>
        </is>
      </c>
      <c r="B395" s="1" t="n">
        <v>45764.49172453704</v>
      </c>
      <c r="C395" s="1" t="n">
        <v>46142</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46142</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46142</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46142</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20307-2025</t>
        </is>
      </c>
      <c r="B399" s="1" t="n">
        <v>45774.95546296296</v>
      </c>
      <c r="C399" s="1" t="n">
        <v>46142</v>
      </c>
      <c r="D399" t="inlineStr">
        <is>
          <t>GOTLANDS LÄN</t>
        </is>
      </c>
      <c r="E399" t="inlineStr">
        <is>
          <t>GOTLAND</t>
        </is>
      </c>
      <c r="G399" t="n">
        <v>6.8</v>
      </c>
      <c r="H399" t="n">
        <v>0</v>
      </c>
      <c r="I399" t="n">
        <v>0</v>
      </c>
      <c r="J399" t="n">
        <v>0</v>
      </c>
      <c r="K399" t="n">
        <v>0</v>
      </c>
      <c r="L399" t="n">
        <v>0</v>
      </c>
      <c r="M399" t="n">
        <v>0</v>
      </c>
      <c r="N399" t="n">
        <v>0</v>
      </c>
      <c r="O399" t="n">
        <v>0</v>
      </c>
      <c r="P399" t="n">
        <v>0</v>
      </c>
      <c r="Q399" t="n">
        <v>0</v>
      </c>
      <c r="R399" s="2" t="inlineStr"/>
    </row>
    <row r="400" ht="15" customHeight="1">
      <c r="A400" t="inlineStr">
        <is>
          <t>A 11982-2026</t>
        </is>
      </c>
      <c r="B400" s="1" t="n">
        <v>46085.6434375</v>
      </c>
      <c r="C400" s="1" t="n">
        <v>46142</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4990-2025</t>
        </is>
      </c>
      <c r="B401" s="1" t="n">
        <v>45691</v>
      </c>
      <c r="C401" s="1" t="n">
        <v>46142</v>
      </c>
      <c r="D401" t="inlineStr">
        <is>
          <t>GOTLANDS LÄN</t>
        </is>
      </c>
      <c r="E401" t="inlineStr">
        <is>
          <t>GOTLAND</t>
        </is>
      </c>
      <c r="G401" t="n">
        <v>7.7</v>
      </c>
      <c r="H401" t="n">
        <v>0</v>
      </c>
      <c r="I401" t="n">
        <v>0</v>
      </c>
      <c r="J401" t="n">
        <v>0</v>
      </c>
      <c r="K401" t="n">
        <v>0</v>
      </c>
      <c r="L401" t="n">
        <v>0</v>
      </c>
      <c r="M401" t="n">
        <v>0</v>
      </c>
      <c r="N401" t="n">
        <v>0</v>
      </c>
      <c r="O401" t="n">
        <v>0</v>
      </c>
      <c r="P401" t="n">
        <v>0</v>
      </c>
      <c r="Q401" t="n">
        <v>0</v>
      </c>
      <c r="R401" s="2" t="inlineStr"/>
    </row>
    <row r="402" ht="15" customHeight="1">
      <c r="A402" t="inlineStr">
        <is>
          <t>A 18804-2026</t>
        </is>
      </c>
      <c r="B402" s="1" t="n">
        <v>46128.62366898148</v>
      </c>
      <c r="C402" s="1" t="n">
        <v>46142</v>
      </c>
      <c r="D402" t="inlineStr">
        <is>
          <t>GOTLANDS LÄN</t>
        </is>
      </c>
      <c r="E402" t="inlineStr">
        <is>
          <t>GOTLAND</t>
        </is>
      </c>
      <c r="F402" t="inlineStr">
        <is>
          <t>Kyrkan</t>
        </is>
      </c>
      <c r="G402" t="n">
        <v>2.6</v>
      </c>
      <c r="H402" t="n">
        <v>0</v>
      </c>
      <c r="I402" t="n">
        <v>0</v>
      </c>
      <c r="J402" t="n">
        <v>0</v>
      </c>
      <c r="K402" t="n">
        <v>0</v>
      </c>
      <c r="L402" t="n">
        <v>0</v>
      </c>
      <c r="M402" t="n">
        <v>0</v>
      </c>
      <c r="N402" t="n">
        <v>0</v>
      </c>
      <c r="O402" t="n">
        <v>0</v>
      </c>
      <c r="P402" t="n">
        <v>0</v>
      </c>
      <c r="Q402" t="n">
        <v>0</v>
      </c>
      <c r="R402" s="2" t="inlineStr"/>
    </row>
    <row r="403" ht="15" customHeight="1">
      <c r="A403" t="inlineStr">
        <is>
          <t>A 12135-2026</t>
        </is>
      </c>
      <c r="B403" s="1" t="n">
        <v>46086</v>
      </c>
      <c r="C403" s="1" t="n">
        <v>46142</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43081-2022</t>
        </is>
      </c>
      <c r="B404" s="1" t="n">
        <v>44833</v>
      </c>
      <c r="C404" s="1" t="n">
        <v>46142</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32958-2021</t>
        </is>
      </c>
      <c r="B405" s="1" t="n">
        <v>44376</v>
      </c>
      <c r="C405" s="1" t="n">
        <v>46142</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5884-2025</t>
        </is>
      </c>
      <c r="B406" s="1" t="n">
        <v>45695.37482638889</v>
      </c>
      <c r="C406" s="1" t="n">
        <v>46142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5897-2025</t>
        </is>
      </c>
      <c r="B407" s="1" t="n">
        <v>45695.39273148148</v>
      </c>
      <c r="C407" s="1" t="n">
        <v>46142</v>
      </c>
      <c r="D407" t="inlineStr">
        <is>
          <t>GOTLANDS LÄN</t>
        </is>
      </c>
      <c r="E407" t="inlineStr">
        <is>
          <t>GOTLAND</t>
        </is>
      </c>
      <c r="G407" t="n">
        <v>3.7</v>
      </c>
      <c r="H407" t="n">
        <v>0</v>
      </c>
      <c r="I407" t="n">
        <v>0</v>
      </c>
      <c r="J407" t="n">
        <v>0</v>
      </c>
      <c r="K407" t="n">
        <v>0</v>
      </c>
      <c r="L407" t="n">
        <v>0</v>
      </c>
      <c r="M407" t="n">
        <v>0</v>
      </c>
      <c r="N407" t="n">
        <v>0</v>
      </c>
      <c r="O407" t="n">
        <v>0</v>
      </c>
      <c r="P407" t="n">
        <v>0</v>
      </c>
      <c r="Q407" t="n">
        <v>0</v>
      </c>
      <c r="R407" s="2" t="inlineStr"/>
    </row>
    <row r="408" ht="15" customHeight="1">
      <c r="A408" t="inlineStr">
        <is>
          <t>A 42201-2023</t>
        </is>
      </c>
      <c r="B408" s="1" t="n">
        <v>45179</v>
      </c>
      <c r="C408" s="1" t="n">
        <v>46142</v>
      </c>
      <c r="D408" t="inlineStr">
        <is>
          <t>GOTLANDS LÄN</t>
        </is>
      </c>
      <c r="E408" t="inlineStr">
        <is>
          <t>GOTLAND</t>
        </is>
      </c>
      <c r="G408" t="n">
        <v>11.9</v>
      </c>
      <c r="H408" t="n">
        <v>0</v>
      </c>
      <c r="I408" t="n">
        <v>0</v>
      </c>
      <c r="J408" t="n">
        <v>0</v>
      </c>
      <c r="K408" t="n">
        <v>0</v>
      </c>
      <c r="L408" t="n">
        <v>0</v>
      </c>
      <c r="M408" t="n">
        <v>0</v>
      </c>
      <c r="N408" t="n">
        <v>0</v>
      </c>
      <c r="O408" t="n">
        <v>0</v>
      </c>
      <c r="P408" t="n">
        <v>0</v>
      </c>
      <c r="Q408" t="n">
        <v>0</v>
      </c>
      <c r="R408" s="2" t="inlineStr"/>
    </row>
    <row r="409" ht="15" customHeight="1">
      <c r="A409" t="inlineStr">
        <is>
          <t>A 19322-2026</t>
        </is>
      </c>
      <c r="B409" s="1" t="n">
        <v>46129</v>
      </c>
      <c r="C409" s="1" t="n">
        <v>46142</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49693-2023</t>
        </is>
      </c>
      <c r="B410" s="1" t="n">
        <v>45212.38138888889</v>
      </c>
      <c r="C410" s="1" t="n">
        <v>46142</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49697-2023</t>
        </is>
      </c>
      <c r="B411" s="1" t="n">
        <v>45212.38909722222</v>
      </c>
      <c r="C411" s="1" t="n">
        <v>46142</v>
      </c>
      <c r="D411" t="inlineStr">
        <is>
          <t>GOTLANDS LÄN</t>
        </is>
      </c>
      <c r="E411" t="inlineStr">
        <is>
          <t>GOTLAND</t>
        </is>
      </c>
      <c r="G411" t="n">
        <v>4.4</v>
      </c>
      <c r="H411" t="n">
        <v>0</v>
      </c>
      <c r="I411" t="n">
        <v>0</v>
      </c>
      <c r="J411" t="n">
        <v>0</v>
      </c>
      <c r="K411" t="n">
        <v>0</v>
      </c>
      <c r="L411" t="n">
        <v>0</v>
      </c>
      <c r="M411" t="n">
        <v>0</v>
      </c>
      <c r="N411" t="n">
        <v>0</v>
      </c>
      <c r="O411" t="n">
        <v>0</v>
      </c>
      <c r="P411" t="n">
        <v>0</v>
      </c>
      <c r="Q411" t="n">
        <v>0</v>
      </c>
      <c r="R411" s="2" t="inlineStr"/>
    </row>
    <row r="412" ht="15" customHeight="1">
      <c r="A412" t="inlineStr">
        <is>
          <t>A 42608-2025</t>
        </is>
      </c>
      <c r="B412" s="1" t="n">
        <v>45905</v>
      </c>
      <c r="C412" s="1" t="n">
        <v>46142</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46142</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20356-2022</t>
        </is>
      </c>
      <c r="B414" s="1" t="n">
        <v>44699</v>
      </c>
      <c r="C414" s="1" t="n">
        <v>46142</v>
      </c>
      <c r="D414" t="inlineStr">
        <is>
          <t>GOTLANDS LÄN</t>
        </is>
      </c>
      <c r="E414" t="inlineStr">
        <is>
          <t>GOTLAND</t>
        </is>
      </c>
      <c r="F414" t="inlineStr">
        <is>
          <t>Övriga Aktiebolag</t>
        </is>
      </c>
      <c r="G414" t="n">
        <v>4.4</v>
      </c>
      <c r="H414" t="n">
        <v>0</v>
      </c>
      <c r="I414" t="n">
        <v>0</v>
      </c>
      <c r="J414" t="n">
        <v>0</v>
      </c>
      <c r="K414" t="n">
        <v>0</v>
      </c>
      <c r="L414" t="n">
        <v>0</v>
      </c>
      <c r="M414" t="n">
        <v>0</v>
      </c>
      <c r="N414" t="n">
        <v>0</v>
      </c>
      <c r="O414" t="n">
        <v>0</v>
      </c>
      <c r="P414" t="n">
        <v>0</v>
      </c>
      <c r="Q414" t="n">
        <v>0</v>
      </c>
      <c r="R414" s="2" t="inlineStr"/>
    </row>
    <row r="415" ht="15" customHeight="1">
      <c r="A415" t="inlineStr">
        <is>
          <t>A 52892-2021</t>
        </is>
      </c>
      <c r="B415" s="1" t="n">
        <v>44467.49048611111</v>
      </c>
      <c r="C415" s="1" t="n">
        <v>46142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46396-2023</t>
        </is>
      </c>
      <c r="B416" s="1" t="n">
        <v>45197</v>
      </c>
      <c r="C416" s="1" t="n">
        <v>46142</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16373-2025</t>
        </is>
      </c>
      <c r="B417" s="1" t="n">
        <v>45751</v>
      </c>
      <c r="C417" s="1" t="n">
        <v>46142</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5863-2026</t>
        </is>
      </c>
      <c r="B418" s="1" t="n">
        <v>46052</v>
      </c>
      <c r="C418" s="1" t="n">
        <v>46142</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17724-2024</t>
        </is>
      </c>
      <c r="B419" s="1" t="n">
        <v>45418.55096064815</v>
      </c>
      <c r="C419" s="1" t="n">
        <v>46142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34312-2024</t>
        </is>
      </c>
      <c r="B420" s="1" t="n">
        <v>45524.69703703704</v>
      </c>
      <c r="C420" s="1" t="n">
        <v>46142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62754-2025</t>
        </is>
      </c>
      <c r="B421" s="1" t="n">
        <v>46008</v>
      </c>
      <c r="C421" s="1" t="n">
        <v>46142</v>
      </c>
      <c r="D421" t="inlineStr">
        <is>
          <t>GOTLANDS LÄN</t>
        </is>
      </c>
      <c r="E421" t="inlineStr">
        <is>
          <t>GOTLAND</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46142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10158-2025</t>
        </is>
      </c>
      <c r="B423" s="1" t="n">
        <v>45719</v>
      </c>
      <c r="C423" s="1" t="n">
        <v>46142</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62836-2025</t>
        </is>
      </c>
      <c r="B424" s="1" t="n">
        <v>46008</v>
      </c>
      <c r="C424" s="1" t="n">
        <v>46142</v>
      </c>
      <c r="D424" t="inlineStr">
        <is>
          <t>GOTLANDS LÄN</t>
        </is>
      </c>
      <c r="E424" t="inlineStr">
        <is>
          <t>GOTLAND</t>
        </is>
      </c>
      <c r="G424" t="n">
        <v>6.5</v>
      </c>
      <c r="H424" t="n">
        <v>0</v>
      </c>
      <c r="I424" t="n">
        <v>0</v>
      </c>
      <c r="J424" t="n">
        <v>0</v>
      </c>
      <c r="K424" t="n">
        <v>0</v>
      </c>
      <c r="L424" t="n">
        <v>0</v>
      </c>
      <c r="M424" t="n">
        <v>0</v>
      </c>
      <c r="N424" t="n">
        <v>0</v>
      </c>
      <c r="O424" t="n">
        <v>0</v>
      </c>
      <c r="P424" t="n">
        <v>0</v>
      </c>
      <c r="Q424" t="n">
        <v>0</v>
      </c>
      <c r="R424" s="2" t="inlineStr"/>
    </row>
    <row r="425" ht="15" customHeight="1">
      <c r="A425" t="inlineStr">
        <is>
          <t>A 7638-2025</t>
        </is>
      </c>
      <c r="B425" s="1" t="n">
        <v>45705.77306712963</v>
      </c>
      <c r="C425" s="1" t="n">
        <v>46142</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50482-2024</t>
        </is>
      </c>
      <c r="B426" s="1" t="n">
        <v>45601.48114583334</v>
      </c>
      <c r="C426" s="1" t="n">
        <v>46142</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63000-2025</t>
        </is>
      </c>
      <c r="B427" s="1" t="n">
        <v>46009</v>
      </c>
      <c r="C427" s="1" t="n">
        <v>46142</v>
      </c>
      <c r="D427" t="inlineStr">
        <is>
          <t>GOTLANDS LÄN</t>
        </is>
      </c>
      <c r="E427" t="inlineStr">
        <is>
          <t>GOTLAND</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1394-2023</t>
        </is>
      </c>
      <c r="B428" s="1" t="n">
        <v>44936.72997685185</v>
      </c>
      <c r="C428" s="1" t="n">
        <v>46142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58230-2024</t>
        </is>
      </c>
      <c r="B429" s="1" t="n">
        <v>45632.51625</v>
      </c>
      <c r="C429" s="1" t="n">
        <v>46142</v>
      </c>
      <c r="D429" t="inlineStr">
        <is>
          <t>GOTLANDS LÄN</t>
        </is>
      </c>
      <c r="E429" t="inlineStr">
        <is>
          <t>GOTLAND</t>
        </is>
      </c>
      <c r="G429" t="n">
        <v>7.3</v>
      </c>
      <c r="H429" t="n">
        <v>0</v>
      </c>
      <c r="I429" t="n">
        <v>0</v>
      </c>
      <c r="J429" t="n">
        <v>0</v>
      </c>
      <c r="K429" t="n">
        <v>0</v>
      </c>
      <c r="L429" t="n">
        <v>0</v>
      </c>
      <c r="M429" t="n">
        <v>0</v>
      </c>
      <c r="N429" t="n">
        <v>0</v>
      </c>
      <c r="O429" t="n">
        <v>0</v>
      </c>
      <c r="P429" t="n">
        <v>0</v>
      </c>
      <c r="Q429" t="n">
        <v>0</v>
      </c>
      <c r="R429" s="2" t="inlineStr"/>
    </row>
    <row r="430" ht="15" customHeight="1">
      <c r="A430" t="inlineStr">
        <is>
          <t>A 1462-2025</t>
        </is>
      </c>
      <c r="B430" s="1" t="n">
        <v>45670.36319444444</v>
      </c>
      <c r="C430" s="1" t="n">
        <v>46142</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43911-2025</t>
        </is>
      </c>
      <c r="B431" s="1" t="n">
        <v>45914.3881712963</v>
      </c>
      <c r="C431" s="1" t="n">
        <v>46142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13486-2026</t>
        </is>
      </c>
      <c r="B432" s="1" t="n">
        <v>46094</v>
      </c>
      <c r="C432" s="1" t="n">
        <v>46142</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44410-2025</t>
        </is>
      </c>
      <c r="B433" s="1" t="n">
        <v>45916.53699074074</v>
      </c>
      <c r="C433" s="1" t="n">
        <v>46142</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62751-2025</t>
        </is>
      </c>
      <c r="B434" s="1" t="n">
        <v>46008</v>
      </c>
      <c r="C434" s="1" t="n">
        <v>46142</v>
      </c>
      <c r="D434" t="inlineStr">
        <is>
          <t>GOTLANDS LÄN</t>
        </is>
      </c>
      <c r="E434" t="inlineStr">
        <is>
          <t>GOTLAND</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43951-2025</t>
        </is>
      </c>
      <c r="B435" s="1" t="n">
        <v>45915.38119212963</v>
      </c>
      <c r="C435" s="1" t="n">
        <v>46142</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46142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46142</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44405-2025</t>
        </is>
      </c>
      <c r="B438" s="1" t="n">
        <v>45916.52405092592</v>
      </c>
      <c r="C438" s="1" t="n">
        <v>46142</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5386-2023</t>
        </is>
      </c>
      <c r="B439" s="1" t="n">
        <v>44959</v>
      </c>
      <c r="C439" s="1" t="n">
        <v>46142</v>
      </c>
      <c r="D439" t="inlineStr">
        <is>
          <t>GOTLANDS LÄN</t>
        </is>
      </c>
      <c r="E439" t="inlineStr">
        <is>
          <t>GOTLAND</t>
        </is>
      </c>
      <c r="G439" t="n">
        <v>5.4</v>
      </c>
      <c r="H439" t="n">
        <v>0</v>
      </c>
      <c r="I439" t="n">
        <v>0</v>
      </c>
      <c r="J439" t="n">
        <v>0</v>
      </c>
      <c r="K439" t="n">
        <v>0</v>
      </c>
      <c r="L439" t="n">
        <v>0</v>
      </c>
      <c r="M439" t="n">
        <v>0</v>
      </c>
      <c r="N439" t="n">
        <v>0</v>
      </c>
      <c r="O439" t="n">
        <v>0</v>
      </c>
      <c r="P439" t="n">
        <v>0</v>
      </c>
      <c r="Q439" t="n">
        <v>0</v>
      </c>
      <c r="R439" s="2" t="inlineStr"/>
    </row>
    <row r="440" ht="15" customHeight="1">
      <c r="A440" t="inlineStr">
        <is>
          <t>A 7026-2023</t>
        </is>
      </c>
      <c r="B440" s="1" t="n">
        <v>44968.30340277778</v>
      </c>
      <c r="C440" s="1" t="n">
        <v>46142</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20855-2023</t>
        </is>
      </c>
      <c r="B441" s="1" t="n">
        <v>45058.82172453704</v>
      </c>
      <c r="C441" s="1" t="n">
        <v>46142</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1000-2024</t>
        </is>
      </c>
      <c r="B442" s="1" t="n">
        <v>45301.63371527778</v>
      </c>
      <c r="C442" s="1" t="n">
        <v>46142</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1010-2024</t>
        </is>
      </c>
      <c r="B443" s="1" t="n">
        <v>45301</v>
      </c>
      <c r="C443" s="1" t="n">
        <v>46142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47762-2023</t>
        </is>
      </c>
      <c r="B444" s="1" t="n">
        <v>45203.86256944444</v>
      </c>
      <c r="C444" s="1" t="n">
        <v>46142</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46142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46142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46142</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46142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46142</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44949-2023</t>
        </is>
      </c>
      <c r="B450" s="1" t="n">
        <v>45190.69520833333</v>
      </c>
      <c r="C450" s="1" t="n">
        <v>46142</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26391-2025</t>
        </is>
      </c>
      <c r="B451" s="1" t="n">
        <v>45806</v>
      </c>
      <c r="C451" s="1" t="n">
        <v>46142</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46142</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3964-2024</t>
        </is>
      </c>
      <c r="B453" s="1" t="n">
        <v>45322</v>
      </c>
      <c r="C453" s="1" t="n">
        <v>46142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46836-2025</t>
        </is>
      </c>
      <c r="B454" s="1" t="n">
        <v>45928.31511574074</v>
      </c>
      <c r="C454" s="1" t="n">
        <v>46142</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45084-2024</t>
        </is>
      </c>
      <c r="B455" s="1" t="n">
        <v>45575</v>
      </c>
      <c r="C455" s="1" t="n">
        <v>46142</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47637-2025</t>
        </is>
      </c>
      <c r="B456" s="1" t="n">
        <v>45931.49753472222</v>
      </c>
      <c r="C456" s="1" t="n">
        <v>46142</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5217-2023</t>
        </is>
      </c>
      <c r="B457" s="1" t="n">
        <v>44959.39582175926</v>
      </c>
      <c r="C457" s="1" t="n">
        <v>46142</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1677-2023</t>
        </is>
      </c>
      <c r="B458" s="1" t="n">
        <v>44938</v>
      </c>
      <c r="C458" s="1" t="n">
        <v>46142</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32378-2025</t>
        </is>
      </c>
      <c r="B459" s="1" t="n">
        <v>45837</v>
      </c>
      <c r="C459" s="1" t="n">
        <v>46142</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46142</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35550-2025</t>
        </is>
      </c>
      <c r="B461" s="1" t="n">
        <v>45856.49324074074</v>
      </c>
      <c r="C461" s="1" t="n">
        <v>46142</v>
      </c>
      <c r="D461" t="inlineStr">
        <is>
          <t>GOTLANDS LÄN</t>
        </is>
      </c>
      <c r="E461" t="inlineStr">
        <is>
          <t>GOTLAND</t>
        </is>
      </c>
      <c r="G461" t="n">
        <v>3.2</v>
      </c>
      <c r="H461" t="n">
        <v>0</v>
      </c>
      <c r="I461" t="n">
        <v>0</v>
      </c>
      <c r="J461" t="n">
        <v>0</v>
      </c>
      <c r="K461" t="n">
        <v>0</v>
      </c>
      <c r="L461" t="n">
        <v>0</v>
      </c>
      <c r="M461" t="n">
        <v>0</v>
      </c>
      <c r="N461" t="n">
        <v>0</v>
      </c>
      <c r="O461" t="n">
        <v>0</v>
      </c>
      <c r="P461" t="n">
        <v>0</v>
      </c>
      <c r="Q461" t="n">
        <v>0</v>
      </c>
      <c r="R461" s="2" t="inlineStr"/>
    </row>
    <row r="462" ht="15" customHeight="1">
      <c r="A462" t="inlineStr">
        <is>
          <t>A 8260-2023</t>
        </is>
      </c>
      <c r="B462" s="1" t="n">
        <v>44974.61608796296</v>
      </c>
      <c r="C462" s="1" t="n">
        <v>46142</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46142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46142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46142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47578-2025</t>
        </is>
      </c>
      <c r="B466" s="1" t="n">
        <v>45931</v>
      </c>
      <c r="C466" s="1" t="n">
        <v>46142</v>
      </c>
      <c r="D466" t="inlineStr">
        <is>
          <t>GOTLANDS LÄN</t>
        </is>
      </c>
      <c r="E466" t="inlineStr">
        <is>
          <t>GOTLAND</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2241-2025</t>
        </is>
      </c>
      <c r="B467" s="1" t="n">
        <v>45673.48710648148</v>
      </c>
      <c r="C467" s="1" t="n">
        <v>46142</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49724-2025</t>
        </is>
      </c>
      <c r="B468" s="1" t="n">
        <v>45939.83730324074</v>
      </c>
      <c r="C468" s="1" t="n">
        <v>46142</v>
      </c>
      <c r="D468" t="inlineStr">
        <is>
          <t>GOTLANDS LÄN</t>
        </is>
      </c>
      <c r="E468" t="inlineStr">
        <is>
          <t>GOTLAND</t>
        </is>
      </c>
      <c r="F468" t="inlineStr">
        <is>
          <t>Kyrkan</t>
        </is>
      </c>
      <c r="G468" t="n">
        <v>3.1</v>
      </c>
      <c r="H468" t="n">
        <v>0</v>
      </c>
      <c r="I468" t="n">
        <v>0</v>
      </c>
      <c r="J468" t="n">
        <v>0</v>
      </c>
      <c r="K468" t="n">
        <v>0</v>
      </c>
      <c r="L468" t="n">
        <v>0</v>
      </c>
      <c r="M468" t="n">
        <v>0</v>
      </c>
      <c r="N468" t="n">
        <v>0</v>
      </c>
      <c r="O468" t="n">
        <v>0</v>
      </c>
      <c r="P468" t="n">
        <v>0</v>
      </c>
      <c r="Q468" t="n">
        <v>0</v>
      </c>
      <c r="R468" s="2" t="inlineStr"/>
    </row>
    <row r="469" ht="15" customHeight="1">
      <c r="A469" t="inlineStr">
        <is>
          <t>A 49730-2025</t>
        </is>
      </c>
      <c r="B469" s="1" t="n">
        <v>45939.87613425926</v>
      </c>
      <c r="C469" s="1" t="n">
        <v>46142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15434-2024</t>
        </is>
      </c>
      <c r="B470" s="1" t="n">
        <v>45401.38836805556</v>
      </c>
      <c r="C470" s="1" t="n">
        <v>46142</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49690-2025</t>
        </is>
      </c>
      <c r="B471" s="1" t="n">
        <v>45939.66730324074</v>
      </c>
      <c r="C471" s="1" t="n">
        <v>46142</v>
      </c>
      <c r="D471" t="inlineStr">
        <is>
          <t>GOTLANDS LÄN</t>
        </is>
      </c>
      <c r="E471" t="inlineStr">
        <is>
          <t>GOTLAND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33011-2025</t>
        </is>
      </c>
      <c r="B472" s="1" t="n">
        <v>45840</v>
      </c>
      <c r="C472" s="1" t="n">
        <v>46142</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50421-2025</t>
        </is>
      </c>
      <c r="B473" s="1" t="n">
        <v>45944.66049768519</v>
      </c>
      <c r="C473" s="1" t="n">
        <v>46142</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46142</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46142</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46142</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46142</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50431-2025</t>
        </is>
      </c>
      <c r="B478" s="1" t="n">
        <v>45944.68453703704</v>
      </c>
      <c r="C478" s="1" t="n">
        <v>46142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50928-2025</t>
        </is>
      </c>
      <c r="B479" s="1" t="n">
        <v>45946.67896990741</v>
      </c>
      <c r="C479" s="1" t="n">
        <v>46142</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14427-2024</t>
        </is>
      </c>
      <c r="B480" s="1" t="n">
        <v>45394</v>
      </c>
      <c r="C480" s="1" t="n">
        <v>46142</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31802-2024</t>
        </is>
      </c>
      <c r="B481" s="1" t="n">
        <v>45509</v>
      </c>
      <c r="C481" s="1" t="n">
        <v>46142</v>
      </c>
      <c r="D481" t="inlineStr">
        <is>
          <t>GOTLANDS LÄN</t>
        </is>
      </c>
      <c r="E481" t="inlineStr">
        <is>
          <t>GOTLAND</t>
        </is>
      </c>
      <c r="G481" t="n">
        <v>2.8</v>
      </c>
      <c r="H481" t="n">
        <v>0</v>
      </c>
      <c r="I481" t="n">
        <v>0</v>
      </c>
      <c r="J481" t="n">
        <v>0</v>
      </c>
      <c r="K481" t="n">
        <v>0</v>
      </c>
      <c r="L481" t="n">
        <v>0</v>
      </c>
      <c r="M481" t="n">
        <v>0</v>
      </c>
      <c r="N481" t="n">
        <v>0</v>
      </c>
      <c r="O481" t="n">
        <v>0</v>
      </c>
      <c r="P481" t="n">
        <v>0</v>
      </c>
      <c r="Q481" t="n">
        <v>0</v>
      </c>
      <c r="R481" s="2" t="inlineStr"/>
    </row>
    <row r="482" ht="15" customHeight="1">
      <c r="A482" t="inlineStr">
        <is>
          <t>A 51262-2025</t>
        </is>
      </c>
      <c r="B482" s="1" t="n">
        <v>45949.49872685185</v>
      </c>
      <c r="C482" s="1" t="n">
        <v>46142</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44609.44362268518</v>
      </c>
      <c r="C483" s="1" t="n">
        <v>46142</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12846-2025</t>
        </is>
      </c>
      <c r="B484" s="1" t="n">
        <v>45733.65049768519</v>
      </c>
      <c r="C484" s="1" t="n">
        <v>46142</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52249-2025</t>
        </is>
      </c>
      <c r="B485" s="1" t="n">
        <v>45953.48637731482</v>
      </c>
      <c r="C485" s="1" t="n">
        <v>46142</v>
      </c>
      <c r="D485" t="inlineStr">
        <is>
          <t>GOTLANDS LÄN</t>
        </is>
      </c>
      <c r="E485" t="inlineStr">
        <is>
          <t>GOTLAND</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46949-2024</t>
        </is>
      </c>
      <c r="B486" s="1" t="n">
        <v>45585</v>
      </c>
      <c r="C486" s="1" t="n">
        <v>46142</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44624.57945601852</v>
      </c>
      <c r="C487" s="1" t="n">
        <v>46142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52637-2025</t>
        </is>
      </c>
      <c r="B488" s="1" t="n">
        <v>45954.75099537037</v>
      </c>
      <c r="C488" s="1" t="n">
        <v>46142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11634-2024</t>
        </is>
      </c>
      <c r="B489" s="1" t="n">
        <v>45373</v>
      </c>
      <c r="C489" s="1" t="n">
        <v>46142</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53569-2025</t>
        </is>
      </c>
      <c r="B490" s="1" t="n">
        <v>45960.41155092593</v>
      </c>
      <c r="C490" s="1" t="n">
        <v>46142</v>
      </c>
      <c r="D490" t="inlineStr">
        <is>
          <t>GOTLANDS LÄN</t>
        </is>
      </c>
      <c r="E490" t="inlineStr">
        <is>
          <t>GOTLAND</t>
        </is>
      </c>
      <c r="F490" t="inlineStr">
        <is>
          <t>Övriga Aktiebolag</t>
        </is>
      </c>
      <c r="G490" t="n">
        <v>11.3</v>
      </c>
      <c r="H490" t="n">
        <v>0</v>
      </c>
      <c r="I490" t="n">
        <v>0</v>
      </c>
      <c r="J490" t="n">
        <v>0</v>
      </c>
      <c r="K490" t="n">
        <v>0</v>
      </c>
      <c r="L490" t="n">
        <v>0</v>
      </c>
      <c r="M490" t="n">
        <v>0</v>
      </c>
      <c r="N490" t="n">
        <v>0</v>
      </c>
      <c r="O490" t="n">
        <v>0</v>
      </c>
      <c r="P490" t="n">
        <v>0</v>
      </c>
      <c r="Q490" t="n">
        <v>0</v>
      </c>
      <c r="R490" s="2" t="inlineStr"/>
    </row>
    <row r="491" ht="15" customHeight="1">
      <c r="A491" t="inlineStr">
        <is>
          <t>A 1351-2025</t>
        </is>
      </c>
      <c r="B491" s="1" t="n">
        <v>45667.62246527777</v>
      </c>
      <c r="C491" s="1" t="n">
        <v>46142</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53577-2025</t>
        </is>
      </c>
      <c r="B492" s="1" t="n">
        <v>45960.42224537037</v>
      </c>
      <c r="C492" s="1" t="n">
        <v>46142</v>
      </c>
      <c r="D492" t="inlineStr">
        <is>
          <t>GOTLANDS LÄN</t>
        </is>
      </c>
      <c r="E492" t="inlineStr">
        <is>
          <t>GOTLAND</t>
        </is>
      </c>
      <c r="F492" t="inlineStr">
        <is>
          <t>Övriga Aktiebolag</t>
        </is>
      </c>
      <c r="G492" t="n">
        <v>3.3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46142</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46142</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46400-2023</t>
        </is>
      </c>
      <c r="B495" s="1" t="n">
        <v>45197.49290509259</v>
      </c>
      <c r="C495" s="1" t="n">
        <v>46142</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9875-2025</t>
        </is>
      </c>
      <c r="B496" s="1" t="n">
        <v>45716</v>
      </c>
      <c r="C496" s="1" t="n">
        <v>46142</v>
      </c>
      <c r="D496" t="inlineStr">
        <is>
          <t>GOTLANDS LÄN</t>
        </is>
      </c>
      <c r="E496" t="inlineStr">
        <is>
          <t>GOTLAND</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21164-2024</t>
        </is>
      </c>
      <c r="B497" s="1" t="n">
        <v>45440</v>
      </c>
      <c r="C497" s="1" t="n">
        <v>46142</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46142</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46142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61897-2024</t>
        </is>
      </c>
      <c r="B500" s="1" t="n">
        <v>45652.75685185185</v>
      </c>
      <c r="C500" s="1" t="n">
        <v>46142</v>
      </c>
      <c r="D500" t="inlineStr">
        <is>
          <t>GOTLANDS LÄN</t>
        </is>
      </c>
      <c r="E500" t="inlineStr">
        <is>
          <t>GOTLAND</t>
        </is>
      </c>
      <c r="G500" t="n">
        <v>6.4</v>
      </c>
      <c r="H500" t="n">
        <v>0</v>
      </c>
      <c r="I500" t="n">
        <v>0</v>
      </c>
      <c r="J500" t="n">
        <v>0</v>
      </c>
      <c r="K500" t="n">
        <v>0</v>
      </c>
      <c r="L500" t="n">
        <v>0</v>
      </c>
      <c r="M500" t="n">
        <v>0</v>
      </c>
      <c r="N500" t="n">
        <v>0</v>
      </c>
      <c r="O500" t="n">
        <v>0</v>
      </c>
      <c r="P500" t="n">
        <v>0</v>
      </c>
      <c r="Q500" t="n">
        <v>0</v>
      </c>
      <c r="R500" s="2" t="inlineStr"/>
    </row>
    <row r="501" ht="15" customHeight="1">
      <c r="A501" t="inlineStr">
        <is>
          <t>A 49962-2023</t>
        </is>
      </c>
      <c r="B501" s="1" t="n">
        <v>45215.38775462963</v>
      </c>
      <c r="C501" s="1" t="n">
        <v>46142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20165-2022</t>
        </is>
      </c>
      <c r="B502" s="1" t="n">
        <v>44698.49854166667</v>
      </c>
      <c r="C502" s="1" t="n">
        <v>46142</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40294-2022</t>
        </is>
      </c>
      <c r="B503" s="1" t="n">
        <v>44821</v>
      </c>
      <c r="C503" s="1" t="n">
        <v>46142</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12032-2025</t>
        </is>
      </c>
      <c r="B504" s="1" t="n">
        <v>45728.64472222222</v>
      </c>
      <c r="C504" s="1" t="n">
        <v>46142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38787-2023</t>
        </is>
      </c>
      <c r="B505" s="1" t="n">
        <v>45163</v>
      </c>
      <c r="C505" s="1" t="n">
        <v>46142</v>
      </c>
      <c r="D505" t="inlineStr">
        <is>
          <t>GOTLANDS LÄN</t>
        </is>
      </c>
      <c r="E505" t="inlineStr">
        <is>
          <t>GOTLAND</t>
        </is>
      </c>
      <c r="G505" t="n">
        <v>0.4</v>
      </c>
      <c r="H505" t="n">
        <v>0</v>
      </c>
      <c r="I505" t="n">
        <v>0</v>
      </c>
      <c r="J505" t="n">
        <v>0</v>
      </c>
      <c r="K505" t="n">
        <v>0</v>
      </c>
      <c r="L505" t="n">
        <v>0</v>
      </c>
      <c r="M505" t="n">
        <v>0</v>
      </c>
      <c r="N505" t="n">
        <v>0</v>
      </c>
      <c r="O505" t="n">
        <v>0</v>
      </c>
      <c r="P505" t="n">
        <v>0</v>
      </c>
      <c r="Q505" t="n">
        <v>0</v>
      </c>
      <c r="R505" s="2" t="inlineStr"/>
    </row>
    <row r="506" ht="15" customHeight="1">
      <c r="A506" t="inlineStr">
        <is>
          <t>A 56799-2025</t>
        </is>
      </c>
      <c r="B506" s="1" t="n">
        <v>45978.43392361111</v>
      </c>
      <c r="C506" s="1" t="n">
        <v>46142</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46142</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56688-2025</t>
        </is>
      </c>
      <c r="B508" s="1" t="n">
        <v>45975.84331018518</v>
      </c>
      <c r="C508" s="1" t="n">
        <v>46142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17532-2024</t>
        </is>
      </c>
      <c r="B509" s="1" t="n">
        <v>45415</v>
      </c>
      <c r="C509" s="1" t="n">
        <v>46142</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46142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46142</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883-2025</t>
        </is>
      </c>
      <c r="B512" s="1" t="n">
        <v>45665</v>
      </c>
      <c r="C512" s="1" t="n">
        <v>46142</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1066-2024</t>
        </is>
      </c>
      <c r="B513" s="1" t="n">
        <v>45302.285</v>
      </c>
      <c r="C513" s="1" t="n">
        <v>46142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17144-2025</t>
        </is>
      </c>
      <c r="B514" s="1" t="n">
        <v>45755.9499537037</v>
      </c>
      <c r="C514" s="1" t="n">
        <v>46142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59197-2025</t>
        </is>
      </c>
      <c r="B515" s="1" t="n">
        <v>45988.59846064815</v>
      </c>
      <c r="C515" s="1" t="n">
        <v>46142</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56009-2024</t>
        </is>
      </c>
      <c r="B516" s="1" t="n">
        <v>45623.80864583333</v>
      </c>
      <c r="C516" s="1" t="n">
        <v>46142</v>
      </c>
      <c r="D516" t="inlineStr">
        <is>
          <t>GOTLANDS LÄN</t>
        </is>
      </c>
      <c r="E516" t="inlineStr">
        <is>
          <t>GOTLAND</t>
        </is>
      </c>
      <c r="G516" t="n">
        <v>2.8</v>
      </c>
      <c r="H516" t="n">
        <v>0</v>
      </c>
      <c r="I516" t="n">
        <v>0</v>
      </c>
      <c r="J516" t="n">
        <v>0</v>
      </c>
      <c r="K516" t="n">
        <v>0</v>
      </c>
      <c r="L516" t="n">
        <v>0</v>
      </c>
      <c r="M516" t="n">
        <v>0</v>
      </c>
      <c r="N516" t="n">
        <v>0</v>
      </c>
      <c r="O516" t="n">
        <v>0</v>
      </c>
      <c r="P516" t="n">
        <v>0</v>
      </c>
      <c r="Q516" t="n">
        <v>0</v>
      </c>
      <c r="R516" s="2" t="inlineStr"/>
    </row>
    <row r="517" ht="15" customHeight="1">
      <c r="A517" t="inlineStr">
        <is>
          <t>A 42338-2023</t>
        </is>
      </c>
      <c r="B517" s="1" t="n">
        <v>45180</v>
      </c>
      <c r="C517" s="1" t="n">
        <v>46142</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v>
      </c>
      <c r="C518" s="1" t="n">
        <v>46142</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46142</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61386-2023</t>
        </is>
      </c>
      <c r="B520" s="1" t="n">
        <v>45264</v>
      </c>
      <c r="C520" s="1" t="n">
        <v>46142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873-2024</t>
        </is>
      </c>
      <c r="B521" s="1" t="n">
        <v>45301</v>
      </c>
      <c r="C521" s="1" t="n">
        <v>46142</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49411-2023</t>
        </is>
      </c>
      <c r="B522" s="1" t="n">
        <v>45205</v>
      </c>
      <c r="C522" s="1" t="n">
        <v>46142</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22275-2023</t>
        </is>
      </c>
      <c r="B523" s="1" t="n">
        <v>45070.39875</v>
      </c>
      <c r="C523" s="1" t="n">
        <v>46142</v>
      </c>
      <c r="D523" t="inlineStr">
        <is>
          <t>GOTLANDS LÄN</t>
        </is>
      </c>
      <c r="E523" t="inlineStr">
        <is>
          <t>GOTLAND</t>
        </is>
      </c>
      <c r="G523" t="n">
        <v>7.2</v>
      </c>
      <c r="H523" t="n">
        <v>0</v>
      </c>
      <c r="I523" t="n">
        <v>0</v>
      </c>
      <c r="J523" t="n">
        <v>0</v>
      </c>
      <c r="K523" t="n">
        <v>0</v>
      </c>
      <c r="L523" t="n">
        <v>0</v>
      </c>
      <c r="M523" t="n">
        <v>0</v>
      </c>
      <c r="N523" t="n">
        <v>0</v>
      </c>
      <c r="O523" t="n">
        <v>0</v>
      </c>
      <c r="P523" t="n">
        <v>0</v>
      </c>
      <c r="Q523" t="n">
        <v>0</v>
      </c>
      <c r="R523" s="2" t="inlineStr"/>
    </row>
    <row r="524" ht="15" customHeight="1">
      <c r="A524" t="inlineStr">
        <is>
          <t>A 12322-2025</t>
        </is>
      </c>
      <c r="B524" s="1" t="n">
        <v>45730</v>
      </c>
      <c r="C524" s="1" t="n">
        <v>46142</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14797-2024</t>
        </is>
      </c>
      <c r="B525" s="1" t="n">
        <v>45397.87030092593</v>
      </c>
      <c r="C525" s="1" t="n">
        <v>46142</v>
      </c>
      <c r="D525" t="inlineStr">
        <is>
          <t>GOTLANDS LÄN</t>
        </is>
      </c>
      <c r="E525" t="inlineStr">
        <is>
          <t>GOTLAND</t>
        </is>
      </c>
      <c r="G525" t="n">
        <v>8.1</v>
      </c>
      <c r="H525" t="n">
        <v>0</v>
      </c>
      <c r="I525" t="n">
        <v>0</v>
      </c>
      <c r="J525" t="n">
        <v>0</v>
      </c>
      <c r="K525" t="n">
        <v>0</v>
      </c>
      <c r="L525" t="n">
        <v>0</v>
      </c>
      <c r="M525" t="n">
        <v>0</v>
      </c>
      <c r="N525" t="n">
        <v>0</v>
      </c>
      <c r="O525" t="n">
        <v>0</v>
      </c>
      <c r="P525" t="n">
        <v>0</v>
      </c>
      <c r="Q525" t="n">
        <v>0</v>
      </c>
      <c r="R525" s="2" t="inlineStr"/>
    </row>
    <row r="526" ht="15" customHeight="1">
      <c r="A526" t="inlineStr">
        <is>
          <t>A 999-2024</t>
        </is>
      </c>
      <c r="B526" s="1" t="n">
        <v>45301</v>
      </c>
      <c r="C526" s="1" t="n">
        <v>46142</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61596-2023</t>
        </is>
      </c>
      <c r="B527" s="1" t="n">
        <v>45265</v>
      </c>
      <c r="C527" s="1" t="n">
        <v>46142</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14638-2025</t>
        </is>
      </c>
      <c r="B528" s="1" t="n">
        <v>45742</v>
      </c>
      <c r="C528" s="1" t="n">
        <v>46142</v>
      </c>
      <c r="D528" t="inlineStr">
        <is>
          <t>GOTLANDS LÄN</t>
        </is>
      </c>
      <c r="E528" t="inlineStr">
        <is>
          <t>GOTLAND</t>
        </is>
      </c>
      <c r="G528" t="n">
        <v>13.4</v>
      </c>
      <c r="H528" t="n">
        <v>0</v>
      </c>
      <c r="I528" t="n">
        <v>0</v>
      </c>
      <c r="J528" t="n">
        <v>0</v>
      </c>
      <c r="K528" t="n">
        <v>0</v>
      </c>
      <c r="L528" t="n">
        <v>0</v>
      </c>
      <c r="M528" t="n">
        <v>0</v>
      </c>
      <c r="N528" t="n">
        <v>0</v>
      </c>
      <c r="O528" t="n">
        <v>0</v>
      </c>
      <c r="P528" t="n">
        <v>0</v>
      </c>
      <c r="Q528" t="n">
        <v>0</v>
      </c>
      <c r="R528" s="2" t="inlineStr"/>
    </row>
    <row r="529" ht="15" customHeight="1">
      <c r="A529" t="inlineStr">
        <is>
          <t>A 60675-2021</t>
        </is>
      </c>
      <c r="B529" s="1" t="n">
        <v>44496.64855324074</v>
      </c>
      <c r="C529" s="1" t="n">
        <v>46142</v>
      </c>
      <c r="D529" t="inlineStr">
        <is>
          <t>GOTLANDS LÄN</t>
        </is>
      </c>
      <c r="E529" t="inlineStr">
        <is>
          <t>GOTLAND</t>
        </is>
      </c>
      <c r="G529" t="n">
        <v>4.6</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46142</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62066-2025</t>
        </is>
      </c>
      <c r="B531" s="1" t="n">
        <v>46006.34738425926</v>
      </c>
      <c r="C531" s="1" t="n">
        <v>46142</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46142</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62103-2025</t>
        </is>
      </c>
      <c r="B533" s="1" t="n">
        <v>46006</v>
      </c>
      <c r="C533" s="1" t="n">
        <v>46142</v>
      </c>
      <c r="D533" t="inlineStr">
        <is>
          <t>GOTLANDS LÄN</t>
        </is>
      </c>
      <c r="E533" t="inlineStr">
        <is>
          <t>GOTLAND</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46142</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46142</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63002-2025</t>
        </is>
      </c>
      <c r="B536" s="1" t="n">
        <v>46009.56564814815</v>
      </c>
      <c r="C536" s="1" t="n">
        <v>46142</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13910-2025</t>
        </is>
      </c>
      <c r="B537" s="1" t="n">
        <v>45737</v>
      </c>
      <c r="C537" s="1" t="n">
        <v>46142</v>
      </c>
      <c r="D537" t="inlineStr">
        <is>
          <t>GOTLANDS LÄN</t>
        </is>
      </c>
      <c r="E537" t="inlineStr">
        <is>
          <t>GOTLAND</t>
        </is>
      </c>
      <c r="F537" t="inlineStr">
        <is>
          <t>Kommuner</t>
        </is>
      </c>
      <c r="G537" t="n">
        <v>3.2</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46142</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38649-2025</t>
        </is>
      </c>
      <c r="B539" s="1" t="n">
        <v>45884</v>
      </c>
      <c r="C539" s="1" t="n">
        <v>46142</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46142</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61078-2025</t>
        </is>
      </c>
      <c r="B541" s="1" t="n">
        <v>46000</v>
      </c>
      <c r="C541" s="1" t="n">
        <v>46142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36-2026</t>
        </is>
      </c>
      <c r="B542" s="1" t="n">
        <v>46024.38886574074</v>
      </c>
      <c r="C542" s="1" t="n">
        <v>46142</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62674-2025</t>
        </is>
      </c>
      <c r="B543" s="1" t="n">
        <v>46008</v>
      </c>
      <c r="C543" s="1" t="n">
        <v>46142</v>
      </c>
      <c r="D543" t="inlineStr">
        <is>
          <t>GOTLANDS LÄN</t>
        </is>
      </c>
      <c r="E543" t="inlineStr">
        <is>
          <t>GOTLAND</t>
        </is>
      </c>
      <c r="G543" t="n">
        <v>5</v>
      </c>
      <c r="H543" t="n">
        <v>0</v>
      </c>
      <c r="I543" t="n">
        <v>0</v>
      </c>
      <c r="J543" t="n">
        <v>0</v>
      </c>
      <c r="K543" t="n">
        <v>0</v>
      </c>
      <c r="L543" t="n">
        <v>0</v>
      </c>
      <c r="M543" t="n">
        <v>0</v>
      </c>
      <c r="N543" t="n">
        <v>0</v>
      </c>
      <c r="O543" t="n">
        <v>0</v>
      </c>
      <c r="P543" t="n">
        <v>0</v>
      </c>
      <c r="Q543" t="n">
        <v>0</v>
      </c>
      <c r="R543" s="2" t="inlineStr"/>
    </row>
    <row r="544" ht="15" customHeight="1">
      <c r="A544" t="inlineStr">
        <is>
          <t>A 11874-2024</t>
        </is>
      </c>
      <c r="B544" s="1" t="n">
        <v>45376.46956018519</v>
      </c>
      <c r="C544" s="1" t="n">
        <v>46142</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42041-2024</t>
        </is>
      </c>
      <c r="B545" s="1" t="n">
        <v>45561</v>
      </c>
      <c r="C545" s="1" t="n">
        <v>46142</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61694-2023</t>
        </is>
      </c>
      <c r="B546" s="1" t="n">
        <v>45264</v>
      </c>
      <c r="C546" s="1" t="n">
        <v>46142</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64555-2023</t>
        </is>
      </c>
      <c r="B547" s="1" t="n">
        <v>45281</v>
      </c>
      <c r="C547" s="1" t="n">
        <v>46142</v>
      </c>
      <c r="D547" t="inlineStr">
        <is>
          <t>GOTLANDS LÄN</t>
        </is>
      </c>
      <c r="E547" t="inlineStr">
        <is>
          <t>GOTLAND</t>
        </is>
      </c>
      <c r="G547" t="n">
        <v>3.5</v>
      </c>
      <c r="H547" t="n">
        <v>0</v>
      </c>
      <c r="I547" t="n">
        <v>0</v>
      </c>
      <c r="J547" t="n">
        <v>0</v>
      </c>
      <c r="K547" t="n">
        <v>0</v>
      </c>
      <c r="L547" t="n">
        <v>0</v>
      </c>
      <c r="M547" t="n">
        <v>0</v>
      </c>
      <c r="N547" t="n">
        <v>0</v>
      </c>
      <c r="O547" t="n">
        <v>0</v>
      </c>
      <c r="P547" t="n">
        <v>0</v>
      </c>
      <c r="Q547" t="n">
        <v>0</v>
      </c>
      <c r="R547" s="2" t="inlineStr"/>
    </row>
    <row r="548" ht="15" customHeight="1">
      <c r="A548" t="inlineStr">
        <is>
          <t>A 64831-2023</t>
        </is>
      </c>
      <c r="B548" s="1" t="n">
        <v>45282.44924768519</v>
      </c>
      <c r="C548" s="1" t="n">
        <v>46142</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46142</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46142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1355-2026</t>
        </is>
      </c>
      <c r="B551" s="1" t="n">
        <v>46031.59909722222</v>
      </c>
      <c r="C551" s="1" t="n">
        <v>46142</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44955.5502662037</v>
      </c>
      <c r="C552" s="1" t="n">
        <v>46142</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44955.73359953704</v>
      </c>
      <c r="C553" s="1" t="n">
        <v>46142</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1898-2026</t>
        </is>
      </c>
      <c r="B554" s="1" t="n">
        <v>46035.52024305556</v>
      </c>
      <c r="C554" s="1" t="n">
        <v>46142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39479-2022</t>
        </is>
      </c>
      <c r="B555" s="1" t="n">
        <v>44818</v>
      </c>
      <c r="C555" s="1" t="n">
        <v>46142</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46142</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46142</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46389-2021</t>
        </is>
      </c>
      <c r="B558" s="1" t="n">
        <v>44443</v>
      </c>
      <c r="C558" s="1" t="n">
        <v>46142</v>
      </c>
      <c r="D558" t="inlineStr">
        <is>
          <t>GOTLANDS LÄN</t>
        </is>
      </c>
      <c r="E558" t="inlineStr">
        <is>
          <t>GOTLAND</t>
        </is>
      </c>
      <c r="F558" t="inlineStr">
        <is>
          <t>Kyrkan</t>
        </is>
      </c>
      <c r="G558" t="n">
        <v>2.1</v>
      </c>
      <c r="H558" t="n">
        <v>0</v>
      </c>
      <c r="I558" t="n">
        <v>0</v>
      </c>
      <c r="J558" t="n">
        <v>0</v>
      </c>
      <c r="K558" t="n">
        <v>0</v>
      </c>
      <c r="L558" t="n">
        <v>0</v>
      </c>
      <c r="M558" t="n">
        <v>0</v>
      </c>
      <c r="N558" t="n">
        <v>0</v>
      </c>
      <c r="O558" t="n">
        <v>0</v>
      </c>
      <c r="P558" t="n">
        <v>0</v>
      </c>
      <c r="Q558" t="n">
        <v>0</v>
      </c>
      <c r="R558" s="2" t="inlineStr"/>
    </row>
    <row r="559" ht="15" customHeight="1">
      <c r="A559" t="inlineStr">
        <is>
          <t>A 26810-2021</t>
        </is>
      </c>
      <c r="B559" s="1" t="n">
        <v>44349.55087962963</v>
      </c>
      <c r="C559" s="1" t="n">
        <v>46142</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46142</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33853-2024</t>
        </is>
      </c>
      <c r="B561" s="1" t="n">
        <v>45520.64298611111</v>
      </c>
      <c r="C561" s="1" t="n">
        <v>46142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46142</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46142</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10655-2023</t>
        </is>
      </c>
      <c r="B564" s="1" t="n">
        <v>44988.49543981482</v>
      </c>
      <c r="C564" s="1" t="n">
        <v>46142</v>
      </c>
      <c r="D564" t="inlineStr">
        <is>
          <t>GOTLANDS LÄN</t>
        </is>
      </c>
      <c r="E564" t="inlineStr">
        <is>
          <t>GOTLAND</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2719-2023</t>
        </is>
      </c>
      <c r="B565" s="1" t="n">
        <v>44944.55361111111</v>
      </c>
      <c r="C565" s="1" t="n">
        <v>46142</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26891-2024</t>
        </is>
      </c>
      <c r="B566" s="1" t="n">
        <v>45470.65540509259</v>
      </c>
      <c r="C566" s="1" t="n">
        <v>46142</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42007-2023</t>
        </is>
      </c>
      <c r="B567" s="1" t="n">
        <v>45177</v>
      </c>
      <c r="C567" s="1" t="n">
        <v>46142</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46142</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46142</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27596-2023</t>
        </is>
      </c>
      <c r="B570" s="1" t="n">
        <v>45097</v>
      </c>
      <c r="C570" s="1" t="n">
        <v>46142</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24825-2024</t>
        </is>
      </c>
      <c r="B571" s="1" t="n">
        <v>45461</v>
      </c>
      <c r="C571" s="1" t="n">
        <v>46142</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6696-2023</t>
        </is>
      </c>
      <c r="B572" s="1" t="n">
        <v>44966.66425925926</v>
      </c>
      <c r="C572" s="1" t="n">
        <v>46142</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21247-2022</t>
        </is>
      </c>
      <c r="B573" s="1" t="n">
        <v>44705.38832175926</v>
      </c>
      <c r="C573" s="1" t="n">
        <v>46142</v>
      </c>
      <c r="D573" t="inlineStr">
        <is>
          <t>GOTLANDS LÄN</t>
        </is>
      </c>
      <c r="E573" t="inlineStr">
        <is>
          <t>GOTLAND</t>
        </is>
      </c>
      <c r="G573" t="n">
        <v>16.2</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44929.87122685185</v>
      </c>
      <c r="C574" s="1" t="n">
        <v>46142</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46142</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4421-2024</t>
        </is>
      </c>
      <c r="B576" s="1" t="n">
        <v>45327.45173611111</v>
      </c>
      <c r="C576" s="1" t="n">
        <v>46142</v>
      </c>
      <c r="D576" t="inlineStr">
        <is>
          <t>GOTLANDS LÄN</t>
        </is>
      </c>
      <c r="E576" t="inlineStr">
        <is>
          <t>GOTLAND</t>
        </is>
      </c>
      <c r="G576" t="n">
        <v>5.1</v>
      </c>
      <c r="H576" t="n">
        <v>0</v>
      </c>
      <c r="I576" t="n">
        <v>0</v>
      </c>
      <c r="J576" t="n">
        <v>0</v>
      </c>
      <c r="K576" t="n">
        <v>0</v>
      </c>
      <c r="L576" t="n">
        <v>0</v>
      </c>
      <c r="M576" t="n">
        <v>0</v>
      </c>
      <c r="N576" t="n">
        <v>0</v>
      </c>
      <c r="O576" t="n">
        <v>0</v>
      </c>
      <c r="P576" t="n">
        <v>0</v>
      </c>
      <c r="Q576" t="n">
        <v>0</v>
      </c>
      <c r="R576" s="2" t="inlineStr"/>
    </row>
    <row r="577" ht="15" customHeight="1">
      <c r="A577" t="inlineStr">
        <is>
          <t>A 51782-2023</t>
        </is>
      </c>
      <c r="B577" s="1" t="n">
        <v>45222.80952546297</v>
      </c>
      <c r="C577" s="1" t="n">
        <v>46142</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54268-2022</t>
        </is>
      </c>
      <c r="B578" s="1" t="n">
        <v>44882</v>
      </c>
      <c r="C578" s="1" t="n">
        <v>46142</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57534-2022</t>
        </is>
      </c>
      <c r="B579" s="1" t="n">
        <v>44896</v>
      </c>
      <c r="C579" s="1" t="n">
        <v>46142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25866-2022</t>
        </is>
      </c>
      <c r="B580" s="1" t="n">
        <v>44733</v>
      </c>
      <c r="C580" s="1" t="n">
        <v>46142</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43229-2023</t>
        </is>
      </c>
      <c r="B581" s="1" t="n">
        <v>45183.46704861111</v>
      </c>
      <c r="C581" s="1" t="n">
        <v>46142</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1175-2025</t>
        </is>
      </c>
      <c r="B582" s="1" t="n">
        <v>45667.34449074074</v>
      </c>
      <c r="C582" s="1" t="n">
        <v>46142</v>
      </c>
      <c r="D582" t="inlineStr">
        <is>
          <t>GOTLANDS LÄN</t>
        </is>
      </c>
      <c r="E582" t="inlineStr">
        <is>
          <t>GOTLAND</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27095-2022</t>
        </is>
      </c>
      <c r="B583" s="1" t="n">
        <v>44741</v>
      </c>
      <c r="C583" s="1" t="n">
        <v>46142</v>
      </c>
      <c r="D583" t="inlineStr">
        <is>
          <t>GOTLANDS LÄN</t>
        </is>
      </c>
      <c r="E583" t="inlineStr">
        <is>
          <t>GOTLAND</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46142</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46142</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34407-2023</t>
        </is>
      </c>
      <c r="B586" s="1" t="n">
        <v>45132</v>
      </c>
      <c r="C586" s="1" t="n">
        <v>46142</v>
      </c>
      <c r="D586" t="inlineStr">
        <is>
          <t>GOTLANDS LÄN</t>
        </is>
      </c>
      <c r="E586" t="inlineStr">
        <is>
          <t>GOTLAND</t>
        </is>
      </c>
      <c r="G586" t="n">
        <v>4.4</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46142</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27694-2024</t>
        </is>
      </c>
      <c r="B588" s="1" t="n">
        <v>45475</v>
      </c>
      <c r="C588" s="1" t="n">
        <v>46142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15083-2025</t>
        </is>
      </c>
      <c r="B589" s="1" t="n">
        <v>45743</v>
      </c>
      <c r="C589" s="1" t="n">
        <v>46142</v>
      </c>
      <c r="D589" t="inlineStr">
        <is>
          <t>GOTLANDS LÄN</t>
        </is>
      </c>
      <c r="E589" t="inlineStr">
        <is>
          <t>GOTLAND</t>
        </is>
      </c>
      <c r="G589" t="n">
        <v>2.3</v>
      </c>
      <c r="H589" t="n">
        <v>0</v>
      </c>
      <c r="I589" t="n">
        <v>0</v>
      </c>
      <c r="J589" t="n">
        <v>0</v>
      </c>
      <c r="K589" t="n">
        <v>0</v>
      </c>
      <c r="L589" t="n">
        <v>0</v>
      </c>
      <c r="M589" t="n">
        <v>0</v>
      </c>
      <c r="N589" t="n">
        <v>0</v>
      </c>
      <c r="O589" t="n">
        <v>0</v>
      </c>
      <c r="P589" t="n">
        <v>0</v>
      </c>
      <c r="Q589" t="n">
        <v>0</v>
      </c>
      <c r="R589" s="2" t="inlineStr"/>
    </row>
    <row r="590" ht="15" customHeight="1">
      <c r="A590" t="inlineStr">
        <is>
          <t>A 13037-2025</t>
        </is>
      </c>
      <c r="B590" s="1" t="n">
        <v>45734</v>
      </c>
      <c r="C590" s="1" t="n">
        <v>46142</v>
      </c>
      <c r="D590" t="inlineStr">
        <is>
          <t>GOTLANDS LÄN</t>
        </is>
      </c>
      <c r="E590" t="inlineStr">
        <is>
          <t>GOTLAND</t>
        </is>
      </c>
      <c r="G590" t="n">
        <v>9.5</v>
      </c>
      <c r="H590" t="n">
        <v>0</v>
      </c>
      <c r="I590" t="n">
        <v>0</v>
      </c>
      <c r="J590" t="n">
        <v>0</v>
      </c>
      <c r="K590" t="n">
        <v>0</v>
      </c>
      <c r="L590" t="n">
        <v>0</v>
      </c>
      <c r="M590" t="n">
        <v>0</v>
      </c>
      <c r="N590" t="n">
        <v>0</v>
      </c>
      <c r="O590" t="n">
        <v>0</v>
      </c>
      <c r="P590" t="n">
        <v>0</v>
      </c>
      <c r="Q590" t="n">
        <v>0</v>
      </c>
      <c r="R590" s="2" t="inlineStr"/>
    </row>
    <row r="591" ht="15" customHeight="1">
      <c r="A591" t="inlineStr">
        <is>
          <t>A 458-2023</t>
        </is>
      </c>
      <c r="B591" s="1" t="n">
        <v>44929</v>
      </c>
      <c r="C591" s="1" t="n">
        <v>46142</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44228-2022</t>
        </is>
      </c>
      <c r="B592" s="1" t="n">
        <v>44839.51599537037</v>
      </c>
      <c r="C592" s="1" t="n">
        <v>46142</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58132-2023</t>
        </is>
      </c>
      <c r="B593" s="1" t="n">
        <v>45250</v>
      </c>
      <c r="C593" s="1" t="n">
        <v>46142</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49884-2023</t>
        </is>
      </c>
      <c r="B594" s="1" t="n">
        <v>45213</v>
      </c>
      <c r="C594" s="1" t="n">
        <v>46142</v>
      </c>
      <c r="D594" t="inlineStr">
        <is>
          <t>GOTLANDS LÄN</t>
        </is>
      </c>
      <c r="E594" t="inlineStr">
        <is>
          <t>GOTLAND</t>
        </is>
      </c>
      <c r="G594" t="n">
        <v>8.9</v>
      </c>
      <c r="H594" t="n">
        <v>0</v>
      </c>
      <c r="I594" t="n">
        <v>0</v>
      </c>
      <c r="J594" t="n">
        <v>0</v>
      </c>
      <c r="K594" t="n">
        <v>0</v>
      </c>
      <c r="L594" t="n">
        <v>0</v>
      </c>
      <c r="M594" t="n">
        <v>0</v>
      </c>
      <c r="N594" t="n">
        <v>0</v>
      </c>
      <c r="O594" t="n">
        <v>0</v>
      </c>
      <c r="P594" t="n">
        <v>0</v>
      </c>
      <c r="Q594" t="n">
        <v>0</v>
      </c>
      <c r="R594" s="2" t="inlineStr"/>
    </row>
    <row r="595" ht="15" customHeight="1">
      <c r="A595" t="inlineStr">
        <is>
          <t>A 876-2024</t>
        </is>
      </c>
      <c r="B595" s="1" t="n">
        <v>45301</v>
      </c>
      <c r="C595" s="1" t="n">
        <v>46142</v>
      </c>
      <c r="D595" t="inlineStr">
        <is>
          <t>GOTLANDS LÄN</t>
        </is>
      </c>
      <c r="E595" t="inlineStr">
        <is>
          <t>GOTLAND</t>
        </is>
      </c>
      <c r="G595" t="n">
        <v>5.3</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46142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28425-2023</t>
        </is>
      </c>
      <c r="B597" s="1" t="n">
        <v>45102</v>
      </c>
      <c r="C597" s="1" t="n">
        <v>46142</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58476-2022</t>
        </is>
      </c>
      <c r="B598" s="1" t="n">
        <v>44902</v>
      </c>
      <c r="C598" s="1" t="n">
        <v>46142</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43200-2023</t>
        </is>
      </c>
      <c r="B599" s="1" t="n">
        <v>45183</v>
      </c>
      <c r="C599" s="1" t="n">
        <v>46142</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43223-2023</t>
        </is>
      </c>
      <c r="B600" s="1" t="n">
        <v>45183.45642361111</v>
      </c>
      <c r="C600" s="1" t="n">
        <v>46142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12327-2025</t>
        </is>
      </c>
      <c r="B601" s="1" t="n">
        <v>45730</v>
      </c>
      <c r="C601" s="1" t="n">
        <v>46142</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46142</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12209-2024</t>
        </is>
      </c>
      <c r="B603" s="1" t="n">
        <v>45378</v>
      </c>
      <c r="C603" s="1" t="n">
        <v>46142</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12210-2024</t>
        </is>
      </c>
      <c r="B604" s="1" t="n">
        <v>45378</v>
      </c>
      <c r="C604" s="1" t="n">
        <v>46142</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1364-2025</t>
        </is>
      </c>
      <c r="B605" s="1" t="n">
        <v>45667.63929398148</v>
      </c>
      <c r="C605" s="1" t="n">
        <v>46142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15042-2025</t>
        </is>
      </c>
      <c r="B606" s="1" t="n">
        <v>45743</v>
      </c>
      <c r="C606" s="1" t="n">
        <v>46142</v>
      </c>
      <c r="D606" t="inlineStr">
        <is>
          <t>GOTLANDS LÄN</t>
        </is>
      </c>
      <c r="E606" t="inlineStr">
        <is>
          <t>GOTLAND</t>
        </is>
      </c>
      <c r="G606" t="n">
        <v>8.5</v>
      </c>
      <c r="H606" t="n">
        <v>0</v>
      </c>
      <c r="I606" t="n">
        <v>0</v>
      </c>
      <c r="J606" t="n">
        <v>0</v>
      </c>
      <c r="K606" t="n">
        <v>0</v>
      </c>
      <c r="L606" t="n">
        <v>0</v>
      </c>
      <c r="M606" t="n">
        <v>0</v>
      </c>
      <c r="N606" t="n">
        <v>0</v>
      </c>
      <c r="O606" t="n">
        <v>0</v>
      </c>
      <c r="P606" t="n">
        <v>0</v>
      </c>
      <c r="Q606" t="n">
        <v>0</v>
      </c>
      <c r="R606" s="2" t="inlineStr"/>
    </row>
    <row r="607" ht="15" customHeight="1">
      <c r="A607" t="inlineStr">
        <is>
          <t>A 2180-2025</t>
        </is>
      </c>
      <c r="B607" s="1" t="n">
        <v>45673</v>
      </c>
      <c r="C607" s="1" t="n">
        <v>46142</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15436-2025</t>
        </is>
      </c>
      <c r="B608" s="1" t="n">
        <v>45747.47462962963</v>
      </c>
      <c r="C608" s="1" t="n">
        <v>46142</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46142</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37202-2024</t>
        </is>
      </c>
      <c r="B610" s="1" t="n">
        <v>45539.67310185185</v>
      </c>
      <c r="C610" s="1" t="n">
        <v>46142</v>
      </c>
      <c r="D610" t="inlineStr">
        <is>
          <t>GOTLANDS LÄN</t>
        </is>
      </c>
      <c r="E610" t="inlineStr">
        <is>
          <t>GOTLAND</t>
        </is>
      </c>
      <c r="G610" t="n">
        <v>0.3</v>
      </c>
      <c r="H610" t="n">
        <v>0</v>
      </c>
      <c r="I610" t="n">
        <v>0</v>
      </c>
      <c r="J610" t="n">
        <v>0</v>
      </c>
      <c r="K610" t="n">
        <v>0</v>
      </c>
      <c r="L610" t="n">
        <v>0</v>
      </c>
      <c r="M610" t="n">
        <v>0</v>
      </c>
      <c r="N610" t="n">
        <v>0</v>
      </c>
      <c r="O610" t="n">
        <v>0</v>
      </c>
      <c r="P610" t="n">
        <v>0</v>
      </c>
      <c r="Q610" t="n">
        <v>0</v>
      </c>
      <c r="R610" s="2" t="inlineStr"/>
    </row>
    <row r="611" ht="15" customHeight="1">
      <c r="A611" t="inlineStr">
        <is>
          <t>A 56115-2023</t>
        </is>
      </c>
      <c r="B611" s="1" t="n">
        <v>45236</v>
      </c>
      <c r="C611" s="1" t="n">
        <v>46142</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2774-2024</t>
        </is>
      </c>
      <c r="B612" s="1" t="n">
        <v>45314.62375</v>
      </c>
      <c r="C612" s="1" t="n">
        <v>46142</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60709-2023</t>
        </is>
      </c>
      <c r="B613" s="1" t="n">
        <v>45260</v>
      </c>
      <c r="C613" s="1" t="n">
        <v>46142</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64208-2021</t>
        </is>
      </c>
      <c r="B614" s="1" t="n">
        <v>44510</v>
      </c>
      <c r="C614" s="1" t="n">
        <v>46142</v>
      </c>
      <c r="D614" t="inlineStr">
        <is>
          <t>GOTLANDS LÄN</t>
        </is>
      </c>
      <c r="E614" t="inlineStr">
        <is>
          <t>GOTLAND</t>
        </is>
      </c>
      <c r="G614" t="n">
        <v>4.7</v>
      </c>
      <c r="H614" t="n">
        <v>0</v>
      </c>
      <c r="I614" t="n">
        <v>0</v>
      </c>
      <c r="J614" t="n">
        <v>0</v>
      </c>
      <c r="K614" t="n">
        <v>0</v>
      </c>
      <c r="L614" t="n">
        <v>0</v>
      </c>
      <c r="M614" t="n">
        <v>0</v>
      </c>
      <c r="N614" t="n">
        <v>0</v>
      </c>
      <c r="O614" t="n">
        <v>0</v>
      </c>
      <c r="P614" t="n">
        <v>0</v>
      </c>
      <c r="Q614" t="n">
        <v>0</v>
      </c>
      <c r="R614" s="2" t="inlineStr"/>
    </row>
    <row r="615" ht="15" customHeight="1">
      <c r="A615" t="inlineStr">
        <is>
          <t>A 39764-2022</t>
        </is>
      </c>
      <c r="B615" s="1" t="n">
        <v>44819</v>
      </c>
      <c r="C615" s="1" t="n">
        <v>46142</v>
      </c>
      <c r="D615" t="inlineStr">
        <is>
          <t>GOTLANDS LÄN</t>
        </is>
      </c>
      <c r="E615" t="inlineStr">
        <is>
          <t>GOTLAND</t>
        </is>
      </c>
      <c r="F615" t="inlineStr">
        <is>
          <t>Kyrkan</t>
        </is>
      </c>
      <c r="G615" t="n">
        <v>3.7</v>
      </c>
      <c r="H615" t="n">
        <v>0</v>
      </c>
      <c r="I615" t="n">
        <v>0</v>
      </c>
      <c r="J615" t="n">
        <v>0</v>
      </c>
      <c r="K615" t="n">
        <v>0</v>
      </c>
      <c r="L615" t="n">
        <v>0</v>
      </c>
      <c r="M615" t="n">
        <v>0</v>
      </c>
      <c r="N615" t="n">
        <v>0</v>
      </c>
      <c r="O615" t="n">
        <v>0</v>
      </c>
      <c r="P615" t="n">
        <v>0</v>
      </c>
      <c r="Q615" t="n">
        <v>0</v>
      </c>
      <c r="R615" s="2" t="inlineStr"/>
    </row>
    <row r="616" ht="15" customHeight="1">
      <c r="A616" t="inlineStr">
        <is>
          <t>A 58211-2024</t>
        </is>
      </c>
      <c r="B616" s="1" t="n">
        <v>45632.49292824074</v>
      </c>
      <c r="C616" s="1" t="n">
        <v>46142</v>
      </c>
      <c r="D616" t="inlineStr">
        <is>
          <t>GOTLANDS LÄN</t>
        </is>
      </c>
      <c r="E616" t="inlineStr">
        <is>
          <t>GOTLAND</t>
        </is>
      </c>
      <c r="G616" t="n">
        <v>5.4</v>
      </c>
      <c r="H616" t="n">
        <v>0</v>
      </c>
      <c r="I616" t="n">
        <v>0</v>
      </c>
      <c r="J616" t="n">
        <v>0</v>
      </c>
      <c r="K616" t="n">
        <v>0</v>
      </c>
      <c r="L616" t="n">
        <v>0</v>
      </c>
      <c r="M616" t="n">
        <v>0</v>
      </c>
      <c r="N616" t="n">
        <v>0</v>
      </c>
      <c r="O616" t="n">
        <v>0</v>
      </c>
      <c r="P616" t="n">
        <v>0</v>
      </c>
      <c r="Q616" t="n">
        <v>0</v>
      </c>
      <c r="R616" s="2" t="inlineStr"/>
    </row>
    <row r="617" ht="15" customHeight="1">
      <c r="A617" t="inlineStr">
        <is>
          <t>A 30956-2024</t>
        </is>
      </c>
      <c r="B617" s="1" t="n">
        <v>45499.42527777778</v>
      </c>
      <c r="C617" s="1" t="n">
        <v>46142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30892-2024</t>
        </is>
      </c>
      <c r="B618" s="1" t="n">
        <v>45491</v>
      </c>
      <c r="C618" s="1" t="n">
        <v>46142</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45013.69365740741</v>
      </c>
      <c r="C619" s="1" t="n">
        <v>46142</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59469-2024</t>
        </is>
      </c>
      <c r="B620" s="1" t="n">
        <v>45638</v>
      </c>
      <c r="C620" s="1" t="n">
        <v>46142</v>
      </c>
      <c r="D620" t="inlineStr">
        <is>
          <t>GOTLANDS LÄN</t>
        </is>
      </c>
      <c r="E620" t="inlineStr">
        <is>
          <t>GOTLAND</t>
        </is>
      </c>
      <c r="G620" t="n">
        <v>0.4</v>
      </c>
      <c r="H620" t="n">
        <v>0</v>
      </c>
      <c r="I620" t="n">
        <v>0</v>
      </c>
      <c r="J620" t="n">
        <v>0</v>
      </c>
      <c r="K620" t="n">
        <v>0</v>
      </c>
      <c r="L620" t="n">
        <v>0</v>
      </c>
      <c r="M620" t="n">
        <v>0</v>
      </c>
      <c r="N620" t="n">
        <v>0</v>
      </c>
      <c r="O620" t="n">
        <v>0</v>
      </c>
      <c r="P620" t="n">
        <v>0</v>
      </c>
      <c r="Q620" t="n">
        <v>0</v>
      </c>
      <c r="R620" s="2" t="inlineStr"/>
    </row>
    <row r="621" ht="15" customHeight="1">
      <c r="A621" t="inlineStr">
        <is>
          <t>A 7858-2025</t>
        </is>
      </c>
      <c r="B621" s="1" t="n">
        <v>45706.68633101852</v>
      </c>
      <c r="C621" s="1" t="n">
        <v>46142</v>
      </c>
      <c r="D621" t="inlineStr">
        <is>
          <t>GOTLANDS LÄN</t>
        </is>
      </c>
      <c r="E621" t="inlineStr">
        <is>
          <t>GOTLAND</t>
        </is>
      </c>
      <c r="G621" t="n">
        <v>3</v>
      </c>
      <c r="H621" t="n">
        <v>0</v>
      </c>
      <c r="I621" t="n">
        <v>0</v>
      </c>
      <c r="J621" t="n">
        <v>0</v>
      </c>
      <c r="K621" t="n">
        <v>0</v>
      </c>
      <c r="L621" t="n">
        <v>0</v>
      </c>
      <c r="M621" t="n">
        <v>0</v>
      </c>
      <c r="N621" t="n">
        <v>0</v>
      </c>
      <c r="O621" t="n">
        <v>0</v>
      </c>
      <c r="P621" t="n">
        <v>0</v>
      </c>
      <c r="Q621" t="n">
        <v>0</v>
      </c>
      <c r="R621" s="2" t="inlineStr"/>
    </row>
    <row r="622" ht="15" customHeight="1">
      <c r="A622" t="inlineStr">
        <is>
          <t>A 53935-2024</t>
        </is>
      </c>
      <c r="B622" s="1" t="n">
        <v>45615</v>
      </c>
      <c r="C622" s="1" t="n">
        <v>46142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18223-2025</t>
        </is>
      </c>
      <c r="B623" s="1" t="n">
        <v>45761</v>
      </c>
      <c r="C623" s="1" t="n">
        <v>46142</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4420-2025</t>
        </is>
      </c>
      <c r="B624" s="1" t="n">
        <v>45686.47157407407</v>
      </c>
      <c r="C624" s="1" t="n">
        <v>46142</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5891-2025</t>
        </is>
      </c>
      <c r="B625" s="1" t="n">
        <v>45695.38327546296</v>
      </c>
      <c r="C625" s="1" t="n">
        <v>46142</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7835-2024</t>
        </is>
      </c>
      <c r="B626" s="1" t="n">
        <v>45349.83138888889</v>
      </c>
      <c r="C626" s="1" t="n">
        <v>46142</v>
      </c>
      <c r="D626" t="inlineStr">
        <is>
          <t>GOTLANDS LÄN</t>
        </is>
      </c>
      <c r="E626" t="inlineStr">
        <is>
          <t>GOTLAND</t>
        </is>
      </c>
      <c r="G626" t="n">
        <v>3.8</v>
      </c>
      <c r="H626" t="n">
        <v>0</v>
      </c>
      <c r="I626" t="n">
        <v>0</v>
      </c>
      <c r="J626" t="n">
        <v>0</v>
      </c>
      <c r="K626" t="n">
        <v>0</v>
      </c>
      <c r="L626" t="n">
        <v>0</v>
      </c>
      <c r="M626" t="n">
        <v>0</v>
      </c>
      <c r="N626" t="n">
        <v>0</v>
      </c>
      <c r="O626" t="n">
        <v>0</v>
      </c>
      <c r="P626" t="n">
        <v>0</v>
      </c>
      <c r="Q626" t="n">
        <v>0</v>
      </c>
      <c r="R626" s="2" t="inlineStr"/>
    </row>
    <row r="627" ht="15" customHeight="1">
      <c r="A627" t="inlineStr">
        <is>
          <t>A 20794-2025</t>
        </is>
      </c>
      <c r="B627" s="1" t="n">
        <v>45776</v>
      </c>
      <c r="C627" s="1" t="n">
        <v>46142</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20805-2025</t>
        </is>
      </c>
      <c r="B628" s="1" t="n">
        <v>45776</v>
      </c>
      <c r="C628" s="1" t="n">
        <v>46142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21389-2025</t>
        </is>
      </c>
      <c r="B629" s="1" t="n">
        <v>45782</v>
      </c>
      <c r="C629" s="1" t="n">
        <v>46142</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21651-2025</t>
        </is>
      </c>
      <c r="B630" s="1" t="n">
        <v>45783</v>
      </c>
      <c r="C630" s="1" t="n">
        <v>46142</v>
      </c>
      <c r="D630" t="inlineStr">
        <is>
          <t>GOTLANDS LÄN</t>
        </is>
      </c>
      <c r="E630" t="inlineStr">
        <is>
          <t>GOTLAND</t>
        </is>
      </c>
      <c r="G630" t="n">
        <v>4.2</v>
      </c>
      <c r="H630" t="n">
        <v>0</v>
      </c>
      <c r="I630" t="n">
        <v>0</v>
      </c>
      <c r="J630" t="n">
        <v>0</v>
      </c>
      <c r="K630" t="n">
        <v>0</v>
      </c>
      <c r="L630" t="n">
        <v>0</v>
      </c>
      <c r="M630" t="n">
        <v>0</v>
      </c>
      <c r="N630" t="n">
        <v>0</v>
      </c>
      <c r="O630" t="n">
        <v>0</v>
      </c>
      <c r="P630" t="n">
        <v>0</v>
      </c>
      <c r="Q630" t="n">
        <v>0</v>
      </c>
      <c r="R630" s="2" t="inlineStr"/>
    </row>
    <row r="631" ht="15" customHeight="1">
      <c r="A631" t="inlineStr">
        <is>
          <t>A 57356-2023</t>
        </is>
      </c>
      <c r="B631" s="1" t="n">
        <v>45240</v>
      </c>
      <c r="C631" s="1" t="n">
        <v>46142</v>
      </c>
      <c r="D631" t="inlineStr">
        <is>
          <t>GOTLANDS LÄN</t>
        </is>
      </c>
      <c r="E631" t="inlineStr">
        <is>
          <t>GOTLAND</t>
        </is>
      </c>
      <c r="G631" t="n">
        <v>6.4</v>
      </c>
      <c r="H631" t="n">
        <v>0</v>
      </c>
      <c r="I631" t="n">
        <v>0</v>
      </c>
      <c r="J631" t="n">
        <v>0</v>
      </c>
      <c r="K631" t="n">
        <v>0</v>
      </c>
      <c r="L631" t="n">
        <v>0</v>
      </c>
      <c r="M631" t="n">
        <v>0</v>
      </c>
      <c r="N631" t="n">
        <v>0</v>
      </c>
      <c r="O631" t="n">
        <v>0</v>
      </c>
      <c r="P631" t="n">
        <v>0</v>
      </c>
      <c r="Q631" t="n">
        <v>0</v>
      </c>
      <c r="R631" s="2" t="inlineStr"/>
    </row>
    <row r="632" ht="15" customHeight="1">
      <c r="A632" t="inlineStr">
        <is>
          <t>A 10656-2024</t>
        </is>
      </c>
      <c r="B632" s="1" t="n">
        <v>45368</v>
      </c>
      <c r="C632" s="1" t="n">
        <v>46142</v>
      </c>
      <c r="D632" t="inlineStr">
        <is>
          <t>GOTLANDS LÄN</t>
        </is>
      </c>
      <c r="E632" t="inlineStr">
        <is>
          <t>GOTLAND</t>
        </is>
      </c>
      <c r="G632" t="n">
        <v>1.5</v>
      </c>
      <c r="H632" t="n">
        <v>0</v>
      </c>
      <c r="I632" t="n">
        <v>0</v>
      </c>
      <c r="J632" t="n">
        <v>0</v>
      </c>
      <c r="K632" t="n">
        <v>0</v>
      </c>
      <c r="L632" t="n">
        <v>0</v>
      </c>
      <c r="M632" t="n">
        <v>0</v>
      </c>
      <c r="N632" t="n">
        <v>0</v>
      </c>
      <c r="O632" t="n">
        <v>0</v>
      </c>
      <c r="P632" t="n">
        <v>0</v>
      </c>
      <c r="Q632" t="n">
        <v>0</v>
      </c>
      <c r="R632" s="2" t="inlineStr"/>
    </row>
    <row r="633" ht="15" customHeight="1">
      <c r="A633" t="inlineStr">
        <is>
          <t>A 28506-2023</t>
        </is>
      </c>
      <c r="B633" s="1" t="n">
        <v>45103</v>
      </c>
      <c r="C633" s="1" t="n">
        <v>46142</v>
      </c>
      <c r="D633" t="inlineStr">
        <is>
          <t>GOTLANDS LÄN</t>
        </is>
      </c>
      <c r="E633" t="inlineStr">
        <is>
          <t>GOTLAND</t>
        </is>
      </c>
      <c r="G633" t="n">
        <v>3.2</v>
      </c>
      <c r="H633" t="n">
        <v>0</v>
      </c>
      <c r="I633" t="n">
        <v>0</v>
      </c>
      <c r="J633" t="n">
        <v>0</v>
      </c>
      <c r="K633" t="n">
        <v>0</v>
      </c>
      <c r="L633" t="n">
        <v>0</v>
      </c>
      <c r="M633" t="n">
        <v>0</v>
      </c>
      <c r="N633" t="n">
        <v>0</v>
      </c>
      <c r="O633" t="n">
        <v>0</v>
      </c>
      <c r="P633" t="n">
        <v>0</v>
      </c>
      <c r="Q633" t="n">
        <v>0</v>
      </c>
      <c r="R633" s="2" t="inlineStr"/>
    </row>
    <row r="634" ht="15" customHeight="1">
      <c r="A634" t="inlineStr">
        <is>
          <t>A 21420-2024</t>
        </is>
      </c>
      <c r="B634" s="1" t="n">
        <v>45441.38293981482</v>
      </c>
      <c r="C634" s="1" t="n">
        <v>46142</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23188-2025</t>
        </is>
      </c>
      <c r="B635" s="1" t="n">
        <v>45791</v>
      </c>
      <c r="C635" s="1" t="n">
        <v>46142</v>
      </c>
      <c r="D635" t="inlineStr">
        <is>
          <t>GOTLANDS LÄN</t>
        </is>
      </c>
      <c r="E635" t="inlineStr">
        <is>
          <t>GOTLAND</t>
        </is>
      </c>
      <c r="G635" t="n">
        <v>6.2</v>
      </c>
      <c r="H635" t="n">
        <v>0</v>
      </c>
      <c r="I635" t="n">
        <v>0</v>
      </c>
      <c r="J635" t="n">
        <v>0</v>
      </c>
      <c r="K635" t="n">
        <v>0</v>
      </c>
      <c r="L635" t="n">
        <v>0</v>
      </c>
      <c r="M635" t="n">
        <v>0</v>
      </c>
      <c r="N635" t="n">
        <v>0</v>
      </c>
      <c r="O635" t="n">
        <v>0</v>
      </c>
      <c r="P635" t="n">
        <v>0</v>
      </c>
      <c r="Q635" t="n">
        <v>0</v>
      </c>
      <c r="R635" s="2" t="inlineStr"/>
    </row>
    <row r="636" ht="15" customHeight="1">
      <c r="A636" t="inlineStr">
        <is>
          <t>A 23473-2025</t>
        </is>
      </c>
      <c r="B636" s="1" t="n">
        <v>45792</v>
      </c>
      <c r="C636" s="1" t="n">
        <v>46142</v>
      </c>
      <c r="D636" t="inlineStr">
        <is>
          <t>GOTLANDS LÄN</t>
        </is>
      </c>
      <c r="E636" t="inlineStr">
        <is>
          <t>GOTLAND</t>
        </is>
      </c>
      <c r="G636" t="n">
        <v>3.6</v>
      </c>
      <c r="H636" t="n">
        <v>0</v>
      </c>
      <c r="I636" t="n">
        <v>0</v>
      </c>
      <c r="J636" t="n">
        <v>0</v>
      </c>
      <c r="K636" t="n">
        <v>0</v>
      </c>
      <c r="L636" t="n">
        <v>0</v>
      </c>
      <c r="M636" t="n">
        <v>0</v>
      </c>
      <c r="N636" t="n">
        <v>0</v>
      </c>
      <c r="O636" t="n">
        <v>0</v>
      </c>
      <c r="P636" t="n">
        <v>0</v>
      </c>
      <c r="Q636" t="n">
        <v>0</v>
      </c>
      <c r="R636" s="2" t="inlineStr"/>
    </row>
    <row r="637" ht="15" customHeight="1">
      <c r="A637" t="inlineStr">
        <is>
          <t>A 23856-2025</t>
        </is>
      </c>
      <c r="B637" s="1" t="n">
        <v>45793</v>
      </c>
      <c r="C637" s="1" t="n">
        <v>46142</v>
      </c>
      <c r="D637" t="inlineStr">
        <is>
          <t>GOTLANDS LÄN</t>
        </is>
      </c>
      <c r="E637" t="inlineStr">
        <is>
          <t>GOTLAND</t>
        </is>
      </c>
      <c r="G637" t="n">
        <v>4.4</v>
      </c>
      <c r="H637" t="n">
        <v>0</v>
      </c>
      <c r="I637" t="n">
        <v>0</v>
      </c>
      <c r="J637" t="n">
        <v>0</v>
      </c>
      <c r="K637" t="n">
        <v>0</v>
      </c>
      <c r="L637" t="n">
        <v>0</v>
      </c>
      <c r="M637" t="n">
        <v>0</v>
      </c>
      <c r="N637" t="n">
        <v>0</v>
      </c>
      <c r="O637" t="n">
        <v>0</v>
      </c>
      <c r="P637" t="n">
        <v>0</v>
      </c>
      <c r="Q637" t="n">
        <v>0</v>
      </c>
      <c r="R637" s="2" t="inlineStr"/>
    </row>
    <row r="638" ht="15" customHeight="1">
      <c r="A638" t="inlineStr">
        <is>
          <t>A 15073-2025</t>
        </is>
      </c>
      <c r="B638" s="1" t="n">
        <v>45743</v>
      </c>
      <c r="C638" s="1" t="n">
        <v>46142</v>
      </c>
      <c r="D638" t="inlineStr">
        <is>
          <t>GOTLANDS LÄN</t>
        </is>
      </c>
      <c r="E638" t="inlineStr">
        <is>
          <t>GOTLAND</t>
        </is>
      </c>
      <c r="G638" t="n">
        <v>12.1</v>
      </c>
      <c r="H638" t="n">
        <v>0</v>
      </c>
      <c r="I638" t="n">
        <v>0</v>
      </c>
      <c r="J638" t="n">
        <v>0</v>
      </c>
      <c r="K638" t="n">
        <v>0</v>
      </c>
      <c r="L638" t="n">
        <v>0</v>
      </c>
      <c r="M638" t="n">
        <v>0</v>
      </c>
      <c r="N638" t="n">
        <v>0</v>
      </c>
      <c r="O638" t="n">
        <v>0</v>
      </c>
      <c r="P638" t="n">
        <v>0</v>
      </c>
      <c r="Q638" t="n">
        <v>0</v>
      </c>
      <c r="R638" s="2" t="inlineStr"/>
    </row>
    <row r="639" ht="15" customHeight="1">
      <c r="A639" t="inlineStr">
        <is>
          <t>A 6749-2025</t>
        </is>
      </c>
      <c r="B639" s="1" t="n">
        <v>45700</v>
      </c>
      <c r="C639" s="1" t="n">
        <v>46142</v>
      </c>
      <c r="D639" t="inlineStr">
        <is>
          <t>GOTLANDS LÄN</t>
        </is>
      </c>
      <c r="E639" t="inlineStr">
        <is>
          <t>GOTLAND</t>
        </is>
      </c>
      <c r="G639" t="n">
        <v>4.5</v>
      </c>
      <c r="H639" t="n">
        <v>0</v>
      </c>
      <c r="I639" t="n">
        <v>0</v>
      </c>
      <c r="J639" t="n">
        <v>0</v>
      </c>
      <c r="K639" t="n">
        <v>0</v>
      </c>
      <c r="L639" t="n">
        <v>0</v>
      </c>
      <c r="M639" t="n">
        <v>0</v>
      </c>
      <c r="N639" t="n">
        <v>0</v>
      </c>
      <c r="O639" t="n">
        <v>0</v>
      </c>
      <c r="P639" t="n">
        <v>0</v>
      </c>
      <c r="Q639" t="n">
        <v>0</v>
      </c>
      <c r="R639" s="2" t="inlineStr"/>
    </row>
    <row r="640" ht="15" customHeight="1">
      <c r="A640" t="inlineStr">
        <is>
          <t>A 23698-2025</t>
        </is>
      </c>
      <c r="B640" s="1" t="n">
        <v>45793</v>
      </c>
      <c r="C640" s="1" t="n">
        <v>46142</v>
      </c>
      <c r="D640" t="inlineStr">
        <is>
          <t>GOTLANDS LÄN</t>
        </is>
      </c>
      <c r="E640" t="inlineStr">
        <is>
          <t>GOTLAND</t>
        </is>
      </c>
      <c r="G640" t="n">
        <v>0.8</v>
      </c>
      <c r="H640" t="n">
        <v>0</v>
      </c>
      <c r="I640" t="n">
        <v>0</v>
      </c>
      <c r="J640" t="n">
        <v>0</v>
      </c>
      <c r="K640" t="n">
        <v>0</v>
      </c>
      <c r="L640" t="n">
        <v>0</v>
      </c>
      <c r="M640" t="n">
        <v>0</v>
      </c>
      <c r="N640" t="n">
        <v>0</v>
      </c>
      <c r="O640" t="n">
        <v>0</v>
      </c>
      <c r="P640" t="n">
        <v>0</v>
      </c>
      <c r="Q640" t="n">
        <v>0</v>
      </c>
      <c r="R640" s="2" t="inlineStr"/>
    </row>
    <row r="641" ht="15" customHeight="1">
      <c r="A641" t="inlineStr">
        <is>
          <t>A 5462-2025</t>
        </is>
      </c>
      <c r="B641" s="1" t="n">
        <v>45693.29331018519</v>
      </c>
      <c r="C641" s="1" t="n">
        <v>46142</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c r="A642" t="inlineStr">
        <is>
          <t>A 25796-2025</t>
        </is>
      </c>
      <c r="B642" s="1" t="n">
        <v>45804.39543981481</v>
      </c>
      <c r="C642" s="1" t="n">
        <v>46142</v>
      </c>
      <c r="D642" t="inlineStr">
        <is>
          <t>GOTLANDS LÄN</t>
        </is>
      </c>
      <c r="E642" t="inlineStr">
        <is>
          <t>GOTLAND</t>
        </is>
      </c>
      <c r="G642" t="n">
        <v>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2026-04-30T11:02:14Z</dcterms:created>
  <dcterms:modified xmlns:dcterms="http://purl.org/dc/terms/" xmlns:xsi="http://www.w3.org/2001/XMLSchema-instance" xsi:type="dcterms:W3CDTF">2026-04-30T11:02:15Z</dcterms:modified>
</cp:coreProperties>
</file>