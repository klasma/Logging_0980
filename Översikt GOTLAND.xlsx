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45905</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45905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45905</v>
      </c>
      <c r="D9" t="inlineStr">
        <is>
          <t>GOTLANDS LÄN</t>
        </is>
      </c>
      <c r="E9" t="inlineStr">
        <is>
          <t>GOTLAND</t>
        </is>
      </c>
      <c r="G9" t="n">
        <v>6.1</v>
      </c>
      <c r="H9" t="n">
        <v>11</v>
      </c>
      <c r="I9" t="n">
        <v>8</v>
      </c>
      <c r="J9" t="n">
        <v>5</v>
      </c>
      <c r="K9" t="n">
        <v>1</v>
      </c>
      <c r="L9" t="n">
        <v>1</v>
      </c>
      <c r="M9" t="n">
        <v>0</v>
      </c>
      <c r="N9" t="n">
        <v>0</v>
      </c>
      <c r="O9" t="n">
        <v>7</v>
      </c>
      <c r="P9" t="n">
        <v>2</v>
      </c>
      <c r="Q9" t="n">
        <v>20</v>
      </c>
      <c r="R9" s="2" t="inlineStr">
        <is>
          <t>Ask
Knärot
Dårgräsfjäril
Jordtistel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530-2024</t>
        </is>
      </c>
      <c r="B10" s="1" t="n">
        <v>45299</v>
      </c>
      <c r="C10" s="1" t="n">
        <v>45905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4572-2025</t>
        </is>
      </c>
      <c r="B11" s="1" t="n">
        <v>45687</v>
      </c>
      <c r="C11" s="1" t="n">
        <v>45905</v>
      </c>
      <c r="D11" t="inlineStr">
        <is>
          <t>GOTLANDS LÄN</t>
        </is>
      </c>
      <c r="E11" t="inlineStr">
        <is>
          <t>GOTLAND</t>
        </is>
      </c>
      <c r="G11" t="n">
        <v>6.2</v>
      </c>
      <c r="H11" t="n">
        <v>13</v>
      </c>
      <c r="I11" t="n">
        <v>2</v>
      </c>
      <c r="J11" t="n">
        <v>10</v>
      </c>
      <c r="K11" t="n">
        <v>0</v>
      </c>
      <c r="L11" t="n">
        <v>1</v>
      </c>
      <c r="M11" t="n">
        <v>0</v>
      </c>
      <c r="N11" t="n">
        <v>0</v>
      </c>
      <c r="O11" t="n">
        <v>11</v>
      </c>
      <c r="P11" t="n">
        <v>1</v>
      </c>
      <c r="Q11" t="n">
        <v>18</v>
      </c>
      <c r="R11" s="2" t="inlineStr">
        <is>
          <t>Brun glada
Apollofjäril
Axveronika
Backtimjan
Havsörn
Jordtistel
Mindre hackspett
Reliktbock
Solvända
Spillkråka
Svartfläckig blåvinge
Purpurknipprot
Skogsknipprot
Brudsporre
Grönvit nattviol
Nattviol
Sankt pers nycklar
Blåsippa</t>
        </is>
      </c>
      <c r="S11">
        <f>HYPERLINK("https://klasma.github.io/Logging_0980/artfynd/A 4572-2025 artfynd.xlsx", "A 4572-2025")</f>
        <v/>
      </c>
      <c r="T11">
        <f>HYPERLINK("https://klasma.github.io/Logging_0980/kartor/A 4572-2025 karta.png", "A 4572-2025")</f>
        <v/>
      </c>
      <c r="V11">
        <f>HYPERLINK("https://klasma.github.io/Logging_0980/klagomål/A 4572-2025 FSC-klagomål.docx", "A 4572-2025")</f>
        <v/>
      </c>
      <c r="W11">
        <f>HYPERLINK("https://klasma.github.io/Logging_0980/klagomålsmail/A 4572-2025 FSC-klagomål mail.docx", "A 4572-2025")</f>
        <v/>
      </c>
      <c r="X11">
        <f>HYPERLINK("https://klasma.github.io/Logging_0980/tillsyn/A 4572-2025 tillsynsbegäran.docx", "A 4572-2025")</f>
        <v/>
      </c>
      <c r="Y11">
        <f>HYPERLINK("https://klasma.github.io/Logging_0980/tillsynsmail/A 4572-2025 tillsynsbegäran mail.docx", "A 4572-2025")</f>
        <v/>
      </c>
      <c r="Z11">
        <f>HYPERLINK("https://klasma.github.io/Logging_0980/fåglar/A 4572-2025 prioriterade fågelarter.docx", "A 4572-2025")</f>
        <v/>
      </c>
    </row>
    <row r="12" ht="15" customHeight="1">
      <c r="A12" t="inlineStr">
        <is>
          <t>A 8645-2025</t>
        </is>
      </c>
      <c r="B12" s="1" t="n">
        <v>45712</v>
      </c>
      <c r="C12" s="1" t="n">
        <v>45905</v>
      </c>
      <c r="D12" t="inlineStr">
        <is>
          <t>GOTLANDS LÄN</t>
        </is>
      </c>
      <c r="E12" t="inlineStr">
        <is>
          <t>GOTLAND</t>
        </is>
      </c>
      <c r="G12" t="n">
        <v>21.9</v>
      </c>
      <c r="H12" t="n">
        <v>9</v>
      </c>
      <c r="I12" t="n">
        <v>7</v>
      </c>
      <c r="J12" t="n">
        <v>5</v>
      </c>
      <c r="K12" t="n">
        <v>0</v>
      </c>
      <c r="L12" t="n">
        <v>1</v>
      </c>
      <c r="M12" t="n">
        <v>0</v>
      </c>
      <c r="N12" t="n">
        <v>0</v>
      </c>
      <c r="O12" t="n">
        <v>6</v>
      </c>
      <c r="P12" t="n">
        <v>1</v>
      </c>
      <c r="Q12" t="n">
        <v>17</v>
      </c>
      <c r="R12" s="2" t="inlineStr">
        <is>
          <t>Ask
Dårgräsfjäril
Loppstarr
Solvända
Spillkråka
Svinrot
Blåmossa
Grönpyrola
Kalktallört
Nästrot
Skogsknipprot
Strävlosta
Tvåblad
Grönsiska
Fläcknycklar
Grönvit nattviol
Nattviol</t>
        </is>
      </c>
      <c r="S12">
        <f>HYPERLINK("https://klasma.github.io/Logging_0980/artfynd/A 8645-2025 artfynd.xlsx", "A 8645-2025")</f>
        <v/>
      </c>
      <c r="T12">
        <f>HYPERLINK("https://klasma.github.io/Logging_0980/kartor/A 8645-2025 karta.png", "A 8645-2025")</f>
        <v/>
      </c>
      <c r="V12">
        <f>HYPERLINK("https://klasma.github.io/Logging_0980/klagomål/A 8645-2025 FSC-klagomål.docx", "A 8645-2025")</f>
        <v/>
      </c>
      <c r="W12">
        <f>HYPERLINK("https://klasma.github.io/Logging_0980/klagomålsmail/A 8645-2025 FSC-klagomål mail.docx", "A 8645-2025")</f>
        <v/>
      </c>
      <c r="X12">
        <f>HYPERLINK("https://klasma.github.io/Logging_0980/tillsyn/A 8645-2025 tillsynsbegäran.docx", "A 8645-2025")</f>
        <v/>
      </c>
      <c r="Y12">
        <f>HYPERLINK("https://klasma.github.io/Logging_0980/tillsynsmail/A 8645-2025 tillsynsbegäran mail.docx", "A 8645-2025")</f>
        <v/>
      </c>
      <c r="Z12">
        <f>HYPERLINK("https://klasma.github.io/Logging_0980/fåglar/A 8645-2025 prioriterade fågelarter.docx", "A 8645-2025")</f>
        <v/>
      </c>
    </row>
    <row r="13" ht="15" customHeight="1">
      <c r="A13" t="inlineStr">
        <is>
          <t>A 62551-2022</t>
        </is>
      </c>
      <c r="B13" s="1" t="n">
        <v>44924</v>
      </c>
      <c r="C13" s="1" t="n">
        <v>45905</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34100-2024</t>
        </is>
      </c>
      <c r="B14" s="1" t="n">
        <v>45523</v>
      </c>
      <c r="C14" s="1" t="n">
        <v>45905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45905</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45905</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45905</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45905</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45905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45905</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45905</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45905</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45905</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45905</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45905</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45905</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45905</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45905</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45905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45905</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45905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45905</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45905</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45905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45905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45905</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45905</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45905</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45905</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45905</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45905</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45905</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45905</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45905</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45905</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45905</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45905</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45905</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45905</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45905</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45905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45905</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45905</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45905</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16353-2025</t>
        </is>
      </c>
      <c r="B55" s="1" t="n">
        <v>45751</v>
      </c>
      <c r="C55" s="1" t="n">
        <v>45905</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45905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45905</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45905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45905</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45905</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45905</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45905</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45905</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45905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45905</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45905</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45905</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45905</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16375-2025</t>
        </is>
      </c>
      <c r="B69" s="1" t="n">
        <v>45751.41064814815</v>
      </c>
      <c r="C69" s="1" t="n">
        <v>45905</v>
      </c>
      <c r="D69" t="inlineStr">
        <is>
          <t>GOTLANDS LÄN</t>
        </is>
      </c>
      <c r="E69" t="inlineStr">
        <is>
          <t>GOTLAND</t>
        </is>
      </c>
      <c r="G69" t="n">
        <v>1.9</v>
      </c>
      <c r="H69" t="n">
        <v>3</v>
      </c>
      <c r="I69" t="n">
        <v>3</v>
      </c>
      <c r="J69" t="n">
        <v>1</v>
      </c>
      <c r="K69" t="n">
        <v>0</v>
      </c>
      <c r="L69" t="n">
        <v>1</v>
      </c>
      <c r="M69" t="n">
        <v>0</v>
      </c>
      <c r="N69" t="n">
        <v>0</v>
      </c>
      <c r="O69" t="n">
        <v>2</v>
      </c>
      <c r="P69" t="n">
        <v>1</v>
      </c>
      <c r="Q69" t="n">
        <v>5</v>
      </c>
      <c r="R69" s="2" t="inlineStr">
        <is>
          <t>Ask
Spillkråka
Blåmossa
Nästrot
Tvåblad</t>
        </is>
      </c>
      <c r="S69">
        <f>HYPERLINK("https://klasma.github.io/Logging_0980/artfynd/A 16375-2025 artfynd.xlsx", "A 16375-2025")</f>
        <v/>
      </c>
      <c r="T69">
        <f>HYPERLINK("https://klasma.github.io/Logging_0980/kartor/A 16375-2025 karta.png", "A 16375-2025")</f>
        <v/>
      </c>
      <c r="V69">
        <f>HYPERLINK("https://klasma.github.io/Logging_0980/klagomål/A 16375-2025 FSC-klagomål.docx", "A 16375-2025")</f>
        <v/>
      </c>
      <c r="W69">
        <f>HYPERLINK("https://klasma.github.io/Logging_0980/klagomålsmail/A 16375-2025 FSC-klagomål mail.docx", "A 16375-2025")</f>
        <v/>
      </c>
      <c r="X69">
        <f>HYPERLINK("https://klasma.github.io/Logging_0980/tillsyn/A 16375-2025 tillsynsbegäran.docx", "A 16375-2025")</f>
        <v/>
      </c>
      <c r="Y69">
        <f>HYPERLINK("https://klasma.github.io/Logging_0980/tillsynsmail/A 16375-2025 tillsynsbegäran mail.docx", "A 16375-2025")</f>
        <v/>
      </c>
      <c r="Z69">
        <f>HYPERLINK("https://klasma.github.io/Logging_0980/fåglar/A 16375-2025 prioriterade fågelarter.docx", "A 16375-2025")</f>
        <v/>
      </c>
    </row>
    <row r="70" ht="15" customHeight="1">
      <c r="A70" t="inlineStr">
        <is>
          <t>A 44944-2022</t>
        </is>
      </c>
      <c r="B70" s="1" t="n">
        <v>44841</v>
      </c>
      <c r="C70" s="1" t="n">
        <v>45905</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35293-2025</t>
        </is>
      </c>
      <c r="B71" s="1" t="n">
        <v>45854.39438657407</v>
      </c>
      <c r="C71" s="1" t="n">
        <v>45905</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32326-2024</t>
        </is>
      </c>
      <c r="B72" s="1" t="n">
        <v>45512</v>
      </c>
      <c r="C72" s="1" t="n">
        <v>45905</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45905</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45905</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45905</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45905</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43197-2023</t>
        </is>
      </c>
      <c r="B77" s="1" t="n">
        <v>45183</v>
      </c>
      <c r="C77" s="1" t="n">
        <v>45905</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1971-2023</t>
        </is>
      </c>
      <c r="B78" s="1" t="n">
        <v>44939</v>
      </c>
      <c r="C78" s="1" t="n">
        <v>45905</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2485-2025</t>
        </is>
      </c>
      <c r="B79" s="1" t="n">
        <v>45673</v>
      </c>
      <c r="C79" s="1" t="n">
        <v>45905</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64378-2020</t>
        </is>
      </c>
      <c r="B80" s="1" t="n">
        <v>44168</v>
      </c>
      <c r="C80" s="1" t="n">
        <v>45905</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45905</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45905</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45905</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45905</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45905</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45905</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45905</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45905</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45905</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45905</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45905</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45905</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45905</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45905</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45905</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12315-2024</t>
        </is>
      </c>
      <c r="B96" s="1" t="n">
        <v>45378.6434837963</v>
      </c>
      <c r="C96" s="1" t="n">
        <v>45905</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30490-2025</t>
        </is>
      </c>
      <c r="B97" s="1" t="n">
        <v>45830</v>
      </c>
      <c r="C97" s="1" t="n">
        <v>45905</v>
      </c>
      <c r="D97" t="inlineStr">
        <is>
          <t>GOTLANDS LÄN</t>
        </is>
      </c>
      <c r="E97" t="inlineStr">
        <is>
          <t>GOTLAND</t>
        </is>
      </c>
      <c r="G97" t="n">
        <v>7.9</v>
      </c>
      <c r="H97" t="n">
        <v>1</v>
      </c>
      <c r="I97" t="n">
        <v>0</v>
      </c>
      <c r="J97" t="n">
        <v>2</v>
      </c>
      <c r="K97" t="n">
        <v>0</v>
      </c>
      <c r="L97" t="n">
        <v>0</v>
      </c>
      <c r="M97" t="n">
        <v>0</v>
      </c>
      <c r="N97" t="n">
        <v>0</v>
      </c>
      <c r="O97" t="n">
        <v>2</v>
      </c>
      <c r="P97" t="n">
        <v>0</v>
      </c>
      <c r="Q97" t="n">
        <v>3</v>
      </c>
      <c r="R97" s="2" t="inlineStr">
        <is>
          <t>Klasefibbla
Majviva
Nattviol</t>
        </is>
      </c>
      <c r="S97">
        <f>HYPERLINK("https://klasma.github.io/Logging_0980/artfynd/A 30490-2025 artfynd.xlsx", "A 30490-2025")</f>
        <v/>
      </c>
      <c r="T97">
        <f>HYPERLINK("https://klasma.github.io/Logging_0980/kartor/A 30490-2025 karta.png", "A 30490-2025")</f>
        <v/>
      </c>
      <c r="V97">
        <f>HYPERLINK("https://klasma.github.io/Logging_0980/klagomål/A 30490-2025 FSC-klagomål.docx", "A 30490-2025")</f>
        <v/>
      </c>
      <c r="W97">
        <f>HYPERLINK("https://klasma.github.io/Logging_0980/klagomålsmail/A 30490-2025 FSC-klagomål mail.docx", "A 30490-2025")</f>
        <v/>
      </c>
      <c r="X97">
        <f>HYPERLINK("https://klasma.github.io/Logging_0980/tillsyn/A 30490-2025 tillsynsbegäran.docx", "A 30490-2025")</f>
        <v/>
      </c>
      <c r="Y97">
        <f>HYPERLINK("https://klasma.github.io/Logging_0980/tillsynsmail/A 30490-2025 tillsynsbegäran mail.docx", "A 30490-2025")</f>
        <v/>
      </c>
    </row>
    <row r="98" ht="15" customHeight="1">
      <c r="A98" t="inlineStr">
        <is>
          <t>A 20831-2024</t>
        </is>
      </c>
      <c r="B98" s="1" t="n">
        <v>45439</v>
      </c>
      <c r="C98" s="1" t="n">
        <v>45905</v>
      </c>
      <c r="D98" t="inlineStr">
        <is>
          <t>GOTLANDS LÄN</t>
        </is>
      </c>
      <c r="E98" t="inlineStr">
        <is>
          <t>GOTLAND</t>
        </is>
      </c>
      <c r="G98" t="n">
        <v>2.9</v>
      </c>
      <c r="H98" t="n">
        <v>2</v>
      </c>
      <c r="I98" t="n">
        <v>1</v>
      </c>
      <c r="J98" t="n">
        <v>2</v>
      </c>
      <c r="K98" t="n">
        <v>0</v>
      </c>
      <c r="L98" t="n">
        <v>0</v>
      </c>
      <c r="M98" t="n">
        <v>0</v>
      </c>
      <c r="N98" t="n">
        <v>0</v>
      </c>
      <c r="O98" t="n">
        <v>2</v>
      </c>
      <c r="P98" t="n">
        <v>0</v>
      </c>
      <c r="Q98" t="n">
        <v>3</v>
      </c>
      <c r="R98" s="2" t="inlineStr">
        <is>
          <t>Dårgräsfjäril
Svinrot
Skogsknipprot</t>
        </is>
      </c>
      <c r="S98">
        <f>HYPERLINK("https://klasma.github.io/Logging_0980/artfynd/A 20831-2024 artfynd.xlsx", "A 20831-2024")</f>
        <v/>
      </c>
      <c r="T98">
        <f>HYPERLINK("https://klasma.github.io/Logging_0980/kartor/A 20831-2024 karta.png", "A 20831-2024")</f>
        <v/>
      </c>
      <c r="V98">
        <f>HYPERLINK("https://klasma.github.io/Logging_0980/klagomål/A 20831-2024 FSC-klagomål.docx", "A 20831-2024")</f>
        <v/>
      </c>
      <c r="W98">
        <f>HYPERLINK("https://klasma.github.io/Logging_0980/klagomålsmail/A 20831-2024 FSC-klagomål mail.docx", "A 20831-2024")</f>
        <v/>
      </c>
      <c r="X98">
        <f>HYPERLINK("https://klasma.github.io/Logging_0980/tillsyn/A 20831-2024 tillsynsbegäran.docx", "A 20831-2024")</f>
        <v/>
      </c>
      <c r="Y98">
        <f>HYPERLINK("https://klasma.github.io/Logging_0980/tillsynsmail/A 20831-2024 tillsynsbegäran mail.docx", "A 20831-2024")</f>
        <v/>
      </c>
    </row>
    <row r="99" ht="15" customHeight="1">
      <c r="A99" t="inlineStr">
        <is>
          <t>A 43013-2022</t>
        </is>
      </c>
      <c r="B99" s="1" t="n">
        <v>44833</v>
      </c>
      <c r="C99" s="1" t="n">
        <v>45905</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45905</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53552-2021</t>
        </is>
      </c>
      <c r="B101" s="1" t="n">
        <v>44468</v>
      </c>
      <c r="C101" s="1" t="n">
        <v>45905</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62326-2020</t>
        </is>
      </c>
      <c r="B102" s="1" t="n">
        <v>44160</v>
      </c>
      <c r="C102" s="1" t="n">
        <v>45905</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29870-2021</t>
        </is>
      </c>
      <c r="B103" s="1" t="n">
        <v>44362</v>
      </c>
      <c r="C103" s="1" t="n">
        <v>45905</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45905</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45905</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45905</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45905</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45905</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45905</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45905</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54357-2024</t>
        </is>
      </c>
      <c r="B111" s="1" t="n">
        <v>45617.40662037037</v>
      </c>
      <c r="C111" s="1" t="n">
        <v>45905</v>
      </c>
      <c r="D111" t="inlineStr">
        <is>
          <t>GOTLANDS LÄN</t>
        </is>
      </c>
      <c r="E111" t="inlineStr">
        <is>
          <t>GOTLAND</t>
        </is>
      </c>
      <c r="G111" t="n">
        <v>1.5</v>
      </c>
      <c r="H111" t="n">
        <v>1</v>
      </c>
      <c r="I111" t="n">
        <v>0</v>
      </c>
      <c r="J111" t="n">
        <v>1</v>
      </c>
      <c r="K111" t="n">
        <v>0</v>
      </c>
      <c r="L111" t="n">
        <v>0</v>
      </c>
      <c r="M111" t="n">
        <v>0</v>
      </c>
      <c r="N111" t="n">
        <v>0</v>
      </c>
      <c r="O111" t="n">
        <v>1</v>
      </c>
      <c r="P111" t="n">
        <v>0</v>
      </c>
      <c r="Q111" t="n">
        <v>2</v>
      </c>
      <c r="R111" s="2" t="inlineStr">
        <is>
          <t>Loppstarr
Fläcknycklar</t>
        </is>
      </c>
      <c r="S111">
        <f>HYPERLINK("https://klasma.github.io/Logging_0980/artfynd/A 54357-2024 artfynd.xlsx", "A 54357-2024")</f>
        <v/>
      </c>
      <c r="T111">
        <f>HYPERLINK("https://klasma.github.io/Logging_0980/kartor/A 54357-2024 karta.png", "A 54357-2024")</f>
        <v/>
      </c>
      <c r="V111">
        <f>HYPERLINK("https://klasma.github.io/Logging_0980/klagomål/A 54357-2024 FSC-klagomål.docx", "A 54357-2024")</f>
        <v/>
      </c>
      <c r="W111">
        <f>HYPERLINK("https://klasma.github.io/Logging_0980/klagomålsmail/A 54357-2024 FSC-klagomål mail.docx", "A 54357-2024")</f>
        <v/>
      </c>
      <c r="X111">
        <f>HYPERLINK("https://klasma.github.io/Logging_0980/tillsyn/A 54357-2024 tillsynsbegäran.docx", "A 54357-2024")</f>
        <v/>
      </c>
      <c r="Y111">
        <f>HYPERLINK("https://klasma.github.io/Logging_0980/tillsynsmail/A 54357-2024 tillsynsbegäran mail.docx", "A 54357-2024")</f>
        <v/>
      </c>
    </row>
    <row r="112" ht="15" customHeight="1">
      <c r="A112" t="inlineStr">
        <is>
          <t>A 26077-2024</t>
        </is>
      </c>
      <c r="B112" s="1" t="n">
        <v>45467</v>
      </c>
      <c r="C112" s="1" t="n">
        <v>45905</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45905</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45905</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7070-2022</t>
        </is>
      </c>
      <c r="B115" s="1" t="n">
        <v>44603</v>
      </c>
      <c r="C115" s="1" t="n">
        <v>45905</v>
      </c>
      <c r="D115" t="inlineStr">
        <is>
          <t>GOTLANDS LÄN</t>
        </is>
      </c>
      <c r="E115" t="inlineStr">
        <is>
          <t>GOTLAND</t>
        </is>
      </c>
      <c r="G115" t="n">
        <v>2.6</v>
      </c>
      <c r="H115" t="n">
        <v>0</v>
      </c>
      <c r="I115" t="n">
        <v>2</v>
      </c>
      <c r="J115" t="n">
        <v>0</v>
      </c>
      <c r="K115" t="n">
        <v>0</v>
      </c>
      <c r="L115" t="n">
        <v>0</v>
      </c>
      <c r="M115" t="n">
        <v>0</v>
      </c>
      <c r="N115" t="n">
        <v>0</v>
      </c>
      <c r="O115" t="n">
        <v>0</v>
      </c>
      <c r="P115" t="n">
        <v>0</v>
      </c>
      <c r="Q115" t="n">
        <v>2</v>
      </c>
      <c r="R115" s="2" t="inlineStr">
        <is>
          <t>Blåmossa
Kattfotslav</t>
        </is>
      </c>
      <c r="S115">
        <f>HYPERLINK("https://klasma.github.io/Logging_0980/artfynd/A 7070-2022 artfynd.xlsx", "A 7070-2022")</f>
        <v/>
      </c>
      <c r="T115">
        <f>HYPERLINK("https://klasma.github.io/Logging_0980/kartor/A 7070-2022 karta.png", "A 7070-2022")</f>
        <v/>
      </c>
      <c r="V115">
        <f>HYPERLINK("https://klasma.github.io/Logging_0980/klagomål/A 7070-2022 FSC-klagomål.docx", "A 7070-2022")</f>
        <v/>
      </c>
      <c r="W115">
        <f>HYPERLINK("https://klasma.github.io/Logging_0980/klagomålsmail/A 7070-2022 FSC-klagomål mail.docx", "A 7070-2022")</f>
        <v/>
      </c>
      <c r="X115">
        <f>HYPERLINK("https://klasma.github.io/Logging_0980/tillsyn/A 7070-2022 tillsynsbegäran.docx", "A 7070-2022")</f>
        <v/>
      </c>
      <c r="Y115">
        <f>HYPERLINK("https://klasma.github.io/Logging_0980/tillsynsmail/A 7070-2022 tillsynsbegäran mail.docx", "A 7070-2022")</f>
        <v/>
      </c>
    </row>
    <row r="116" ht="15" customHeight="1">
      <c r="A116" t="inlineStr">
        <is>
          <t>A 12914-2025</t>
        </is>
      </c>
      <c r="B116" s="1" t="n">
        <v>45733</v>
      </c>
      <c r="C116" s="1" t="n">
        <v>45905</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45905</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55649-2024</t>
        </is>
      </c>
      <c r="B118" s="1" t="n">
        <v>45622.63053240741</v>
      </c>
      <c r="C118" s="1" t="n">
        <v>45905</v>
      </c>
      <c r="D118" t="inlineStr">
        <is>
          <t>GOTLANDS LÄN</t>
        </is>
      </c>
      <c r="E118" t="inlineStr">
        <is>
          <t>GOTLAND</t>
        </is>
      </c>
      <c r="G118" t="n">
        <v>4.6</v>
      </c>
      <c r="H118" t="n">
        <v>2</v>
      </c>
      <c r="I118" t="n">
        <v>0</v>
      </c>
      <c r="J118" t="n">
        <v>0</v>
      </c>
      <c r="K118" t="n">
        <v>0</v>
      </c>
      <c r="L118" t="n">
        <v>0</v>
      </c>
      <c r="M118" t="n">
        <v>0</v>
      </c>
      <c r="N118" t="n">
        <v>0</v>
      </c>
      <c r="O118" t="n">
        <v>0</v>
      </c>
      <c r="P118" t="n">
        <v>0</v>
      </c>
      <c r="Q118" t="n">
        <v>2</v>
      </c>
      <c r="R118" s="2" t="inlineStr">
        <is>
          <t>Sankt pers nycklar
Blåsippa</t>
        </is>
      </c>
      <c r="S118">
        <f>HYPERLINK("https://klasma.github.io/Logging_0980/artfynd/A 55649-2024 artfynd.xlsx", "A 55649-2024")</f>
        <v/>
      </c>
      <c r="T118">
        <f>HYPERLINK("https://klasma.github.io/Logging_0980/kartor/A 55649-2024 karta.png", "A 55649-2024")</f>
        <v/>
      </c>
      <c r="V118">
        <f>HYPERLINK("https://klasma.github.io/Logging_0980/klagomål/A 55649-2024 FSC-klagomål.docx", "A 55649-2024")</f>
        <v/>
      </c>
      <c r="W118">
        <f>HYPERLINK("https://klasma.github.io/Logging_0980/klagomålsmail/A 55649-2024 FSC-klagomål mail.docx", "A 55649-2024")</f>
        <v/>
      </c>
      <c r="X118">
        <f>HYPERLINK("https://klasma.github.io/Logging_0980/tillsyn/A 55649-2024 tillsynsbegäran.docx", "A 55649-2024")</f>
        <v/>
      </c>
      <c r="Y118">
        <f>HYPERLINK("https://klasma.github.io/Logging_0980/tillsynsmail/A 55649-2024 tillsynsbegäran mail.docx", "A 55649-2024")</f>
        <v/>
      </c>
    </row>
    <row r="119" ht="15" customHeight="1">
      <c r="A119" t="inlineStr">
        <is>
          <t>A 41238-2025</t>
        </is>
      </c>
      <c r="B119" s="1" t="n">
        <v>45898</v>
      </c>
      <c r="C119" s="1" t="n">
        <v>45905</v>
      </c>
      <c r="D119" t="inlineStr">
        <is>
          <t>GOTLANDS LÄN</t>
        </is>
      </c>
      <c r="E119" t="inlineStr">
        <is>
          <t>GOTLAND</t>
        </is>
      </c>
      <c r="G119" t="n">
        <v>7.1</v>
      </c>
      <c r="H119" t="n">
        <v>1</v>
      </c>
      <c r="I119" t="n">
        <v>2</v>
      </c>
      <c r="J119" t="n">
        <v>0</v>
      </c>
      <c r="K119" t="n">
        <v>0</v>
      </c>
      <c r="L119" t="n">
        <v>0</v>
      </c>
      <c r="M119" t="n">
        <v>0</v>
      </c>
      <c r="N119" t="n">
        <v>0</v>
      </c>
      <c r="O119" t="n">
        <v>0</v>
      </c>
      <c r="P119" t="n">
        <v>0</v>
      </c>
      <c r="Q119" t="n">
        <v>2</v>
      </c>
      <c r="R119" s="2" t="inlineStr">
        <is>
          <t>Granbarkgnagare
Skogsknipprot</t>
        </is>
      </c>
      <c r="S119">
        <f>HYPERLINK("https://klasma.github.io/Logging_0980/artfynd/A 41238-2025 artfynd.xlsx", "A 41238-2025")</f>
        <v/>
      </c>
      <c r="T119">
        <f>HYPERLINK("https://klasma.github.io/Logging_0980/kartor/A 41238-2025 karta.png", "A 41238-2025")</f>
        <v/>
      </c>
      <c r="V119">
        <f>HYPERLINK("https://klasma.github.io/Logging_0980/klagomål/A 41238-2025 FSC-klagomål.docx", "A 41238-2025")</f>
        <v/>
      </c>
      <c r="W119">
        <f>HYPERLINK("https://klasma.github.io/Logging_0980/klagomålsmail/A 41238-2025 FSC-klagomål mail.docx", "A 41238-2025")</f>
        <v/>
      </c>
      <c r="X119">
        <f>HYPERLINK("https://klasma.github.io/Logging_0980/tillsyn/A 41238-2025 tillsynsbegäran.docx", "A 41238-2025")</f>
        <v/>
      </c>
      <c r="Y119">
        <f>HYPERLINK("https://klasma.github.io/Logging_0980/tillsynsmail/A 41238-2025 tillsynsbegäran mail.docx", "A 41238-2025")</f>
        <v/>
      </c>
    </row>
    <row r="120" ht="15" customHeight="1">
      <c r="A120" t="inlineStr">
        <is>
          <t>A 20838-2024</t>
        </is>
      </c>
      <c r="B120" s="1" t="n">
        <v>45439</v>
      </c>
      <c r="C120" s="1" t="n">
        <v>45905</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45905</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73144-2021</t>
        </is>
      </c>
      <c r="B122" s="1" t="n">
        <v>44550</v>
      </c>
      <c r="C122" s="1" t="n">
        <v>45905</v>
      </c>
      <c r="D122" t="inlineStr">
        <is>
          <t>GOTLANDS LÄN</t>
        </is>
      </c>
      <c r="E122" t="inlineStr">
        <is>
          <t>GOTLAND</t>
        </is>
      </c>
      <c r="G122" t="n">
        <v>1.9</v>
      </c>
      <c r="H122" t="n">
        <v>0</v>
      </c>
      <c r="I122" t="n">
        <v>1</v>
      </c>
      <c r="J122" t="n">
        <v>0</v>
      </c>
      <c r="K122" t="n">
        <v>1</v>
      </c>
      <c r="L122" t="n">
        <v>0</v>
      </c>
      <c r="M122" t="n">
        <v>0</v>
      </c>
      <c r="N122" t="n">
        <v>0</v>
      </c>
      <c r="O122" t="n">
        <v>1</v>
      </c>
      <c r="P122" t="n">
        <v>1</v>
      </c>
      <c r="Q122" t="n">
        <v>2</v>
      </c>
      <c r="R122" s="2" t="inlineStr">
        <is>
          <t>Skogskorn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28276-2024</t>
        </is>
      </c>
      <c r="B123" s="1" t="n">
        <v>45477</v>
      </c>
      <c r="C123" s="1" t="n">
        <v>45905</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24-2021</t>
        </is>
      </c>
      <c r="B124" s="1" t="n">
        <v>44197</v>
      </c>
      <c r="C124" s="1" t="n">
        <v>45905</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45905</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45905</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45905</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45905</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45905</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10218-2025</t>
        </is>
      </c>
      <c r="B130" s="1" t="n">
        <v>45720</v>
      </c>
      <c r="C130" s="1" t="n">
        <v>45905</v>
      </c>
      <c r="D130" t="inlineStr">
        <is>
          <t>GOTLANDS LÄN</t>
        </is>
      </c>
      <c r="E130" t="inlineStr">
        <is>
          <t>GOTLAND</t>
        </is>
      </c>
      <c r="G130" t="n">
        <v>8.1</v>
      </c>
      <c r="H130" t="n">
        <v>0</v>
      </c>
      <c r="I130" t="n">
        <v>1</v>
      </c>
      <c r="J130" t="n">
        <v>0</v>
      </c>
      <c r="K130" t="n">
        <v>0</v>
      </c>
      <c r="L130" t="n">
        <v>0</v>
      </c>
      <c r="M130" t="n">
        <v>0</v>
      </c>
      <c r="N130" t="n">
        <v>0</v>
      </c>
      <c r="O130" t="n">
        <v>0</v>
      </c>
      <c r="P130" t="n">
        <v>0</v>
      </c>
      <c r="Q130" t="n">
        <v>1</v>
      </c>
      <c r="R130" s="2" t="inlineStr">
        <is>
          <t>Kalktallört</t>
        </is>
      </c>
      <c r="S130">
        <f>HYPERLINK("https://klasma.github.io/Logging_0980/artfynd/A 10218-2025 artfynd.xlsx", "A 10218-2025")</f>
        <v/>
      </c>
      <c r="T130">
        <f>HYPERLINK("https://klasma.github.io/Logging_0980/kartor/A 10218-2025 karta.png", "A 10218-2025")</f>
        <v/>
      </c>
      <c r="V130">
        <f>HYPERLINK("https://klasma.github.io/Logging_0980/klagomål/A 10218-2025 FSC-klagomål.docx", "A 10218-2025")</f>
        <v/>
      </c>
      <c r="W130">
        <f>HYPERLINK("https://klasma.github.io/Logging_0980/klagomålsmail/A 10218-2025 FSC-klagomål mail.docx", "A 10218-2025")</f>
        <v/>
      </c>
      <c r="X130">
        <f>HYPERLINK("https://klasma.github.io/Logging_0980/tillsyn/A 10218-2025 tillsynsbegäran.docx", "A 10218-2025")</f>
        <v/>
      </c>
      <c r="Y130">
        <f>HYPERLINK("https://klasma.github.io/Logging_0980/tillsynsmail/A 10218-2025 tillsynsbegäran mail.docx", "A 10218-2025")</f>
        <v/>
      </c>
    </row>
    <row r="131" ht="15" customHeight="1">
      <c r="A131" t="inlineStr">
        <is>
          <t>A 12379-2024</t>
        </is>
      </c>
      <c r="B131" s="1" t="n">
        <v>45379.28155092592</v>
      </c>
      <c r="C131" s="1" t="n">
        <v>45905</v>
      </c>
      <c r="D131" t="inlineStr">
        <is>
          <t>GOTLANDS LÄN</t>
        </is>
      </c>
      <c r="E131" t="inlineStr">
        <is>
          <t>GOTLAND</t>
        </is>
      </c>
      <c r="G131" t="n">
        <v>4.4</v>
      </c>
      <c r="H131" t="n">
        <v>0</v>
      </c>
      <c r="I131" t="n">
        <v>0</v>
      </c>
      <c r="J131" t="n">
        <v>1</v>
      </c>
      <c r="K131" t="n">
        <v>0</v>
      </c>
      <c r="L131" t="n">
        <v>0</v>
      </c>
      <c r="M131" t="n">
        <v>0</v>
      </c>
      <c r="N131" t="n">
        <v>0</v>
      </c>
      <c r="O131" t="n">
        <v>1</v>
      </c>
      <c r="P131" t="n">
        <v>0</v>
      </c>
      <c r="Q131" t="n">
        <v>1</v>
      </c>
      <c r="R131" s="2" t="inlineStr">
        <is>
          <t>Svinrot</t>
        </is>
      </c>
      <c r="S131">
        <f>HYPERLINK("https://klasma.github.io/Logging_0980/artfynd/A 12379-2024 artfynd.xlsx", "A 12379-2024")</f>
        <v/>
      </c>
      <c r="T131">
        <f>HYPERLINK("https://klasma.github.io/Logging_0980/kartor/A 12379-2024 karta.png", "A 12379-2024")</f>
        <v/>
      </c>
      <c r="V131">
        <f>HYPERLINK("https://klasma.github.io/Logging_0980/klagomål/A 12379-2024 FSC-klagomål.docx", "A 12379-2024")</f>
        <v/>
      </c>
      <c r="W131">
        <f>HYPERLINK("https://klasma.github.io/Logging_0980/klagomålsmail/A 12379-2024 FSC-klagomål mail.docx", "A 12379-2024")</f>
        <v/>
      </c>
      <c r="X131">
        <f>HYPERLINK("https://klasma.github.io/Logging_0980/tillsyn/A 12379-2024 tillsynsbegäran.docx", "A 12379-2024")</f>
        <v/>
      </c>
      <c r="Y131">
        <f>HYPERLINK("https://klasma.github.io/Logging_0980/tillsynsmail/A 12379-2024 tillsynsbegäran mail.docx", "A 12379-2024")</f>
        <v/>
      </c>
    </row>
    <row r="132" ht="15" customHeight="1">
      <c r="A132" t="inlineStr">
        <is>
          <t>A 63576-2021</t>
        </is>
      </c>
      <c r="B132" s="1" t="n">
        <v>44508</v>
      </c>
      <c r="C132" s="1" t="n">
        <v>45905</v>
      </c>
      <c r="D132" t="inlineStr">
        <is>
          <t>GOTLANDS LÄN</t>
        </is>
      </c>
      <c r="E132" t="inlineStr">
        <is>
          <t>GOTLAND</t>
        </is>
      </c>
      <c r="F132" t="inlineStr">
        <is>
          <t>Kyrkan</t>
        </is>
      </c>
      <c r="G132" t="n">
        <v>4.1</v>
      </c>
      <c r="H132" t="n">
        <v>1</v>
      </c>
      <c r="I132" t="n">
        <v>0</v>
      </c>
      <c r="J132" t="n">
        <v>1</v>
      </c>
      <c r="K132" t="n">
        <v>0</v>
      </c>
      <c r="L132" t="n">
        <v>0</v>
      </c>
      <c r="M132" t="n">
        <v>0</v>
      </c>
      <c r="N132" t="n">
        <v>0</v>
      </c>
      <c r="O132" t="n">
        <v>1</v>
      </c>
      <c r="P132" t="n">
        <v>0</v>
      </c>
      <c r="Q132" t="n">
        <v>1</v>
      </c>
      <c r="R132" s="2" t="inlineStr">
        <is>
          <t>Dårgräsfjäril</t>
        </is>
      </c>
      <c r="S132">
        <f>HYPERLINK("https://klasma.github.io/Logging_0980/artfynd/A 63576-2021 artfynd.xlsx", "A 63576-2021")</f>
        <v/>
      </c>
      <c r="T132">
        <f>HYPERLINK("https://klasma.github.io/Logging_0980/kartor/A 63576-2021 karta.png", "A 63576-2021")</f>
        <v/>
      </c>
      <c r="V132">
        <f>HYPERLINK("https://klasma.github.io/Logging_0980/klagomål/A 63576-2021 FSC-klagomål.docx", "A 63576-2021")</f>
        <v/>
      </c>
      <c r="W132">
        <f>HYPERLINK("https://klasma.github.io/Logging_0980/klagomålsmail/A 63576-2021 FSC-klagomål mail.docx", "A 63576-2021")</f>
        <v/>
      </c>
      <c r="X132">
        <f>HYPERLINK("https://klasma.github.io/Logging_0980/tillsyn/A 63576-2021 tillsynsbegäran.docx", "A 63576-2021")</f>
        <v/>
      </c>
      <c r="Y132">
        <f>HYPERLINK("https://klasma.github.io/Logging_0980/tillsynsmail/A 63576-2021 tillsynsbegäran mail.docx", "A 63576-2021")</f>
        <v/>
      </c>
    </row>
    <row r="133" ht="15" customHeight="1">
      <c r="A133" t="inlineStr">
        <is>
          <t>A 20429-2025</t>
        </is>
      </c>
      <c r="B133" s="1" t="n">
        <v>45775.47728009259</v>
      </c>
      <c r="C133" s="1" t="n">
        <v>45905</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45905</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17723-2021</t>
        </is>
      </c>
      <c r="B135" s="1" t="n">
        <v>44300</v>
      </c>
      <c r="C135" s="1" t="n">
        <v>45905</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27589-2023</t>
        </is>
      </c>
      <c r="B136" s="1" t="n">
        <v>45097</v>
      </c>
      <c r="C136" s="1" t="n">
        <v>45905</v>
      </c>
      <c r="D136" t="inlineStr">
        <is>
          <t>GOTLANDS LÄN</t>
        </is>
      </c>
      <c r="E136" t="inlineStr">
        <is>
          <t>GOTLAND</t>
        </is>
      </c>
      <c r="G136" t="n">
        <v>5.4</v>
      </c>
      <c r="H136" t="n">
        <v>0</v>
      </c>
      <c r="I136" t="n">
        <v>0</v>
      </c>
      <c r="J136" t="n">
        <v>0</v>
      </c>
      <c r="K136" t="n">
        <v>0</v>
      </c>
      <c r="L136" t="n">
        <v>0</v>
      </c>
      <c r="M136" t="n">
        <v>1</v>
      </c>
      <c r="N136" t="n">
        <v>0</v>
      </c>
      <c r="O136" t="n">
        <v>1</v>
      </c>
      <c r="P136" t="n">
        <v>1</v>
      </c>
      <c r="Q136" t="n">
        <v>1</v>
      </c>
      <c r="R136" s="2" t="inlineStr">
        <is>
          <t>Skogsalm</t>
        </is>
      </c>
      <c r="S136">
        <f>HYPERLINK("https://klasma.github.io/Logging_0980/artfynd/A 27589-2023 artfynd.xlsx", "A 27589-2023")</f>
        <v/>
      </c>
      <c r="T136">
        <f>HYPERLINK("https://klasma.github.io/Logging_0980/kartor/A 27589-2023 karta.png", "A 27589-2023")</f>
        <v/>
      </c>
      <c r="V136">
        <f>HYPERLINK("https://klasma.github.io/Logging_0980/klagomål/A 27589-2023 FSC-klagomål.docx", "A 27589-2023")</f>
        <v/>
      </c>
      <c r="W136">
        <f>HYPERLINK("https://klasma.github.io/Logging_0980/klagomålsmail/A 27589-2023 FSC-klagomål mail.docx", "A 27589-2023")</f>
        <v/>
      </c>
      <c r="X136">
        <f>HYPERLINK("https://klasma.github.io/Logging_0980/tillsyn/A 27589-2023 tillsynsbegäran.docx", "A 27589-2023")</f>
        <v/>
      </c>
      <c r="Y136">
        <f>HYPERLINK("https://klasma.github.io/Logging_0980/tillsynsmail/A 27589-2023 tillsynsbegäran mail.docx", "A 27589-2023")</f>
        <v/>
      </c>
    </row>
    <row r="137" ht="15" customHeight="1">
      <c r="A137" t="inlineStr">
        <is>
          <t>A 35574-2024</t>
        </is>
      </c>
      <c r="B137" s="1" t="n">
        <v>45531</v>
      </c>
      <c r="C137" s="1" t="n">
        <v>45905</v>
      </c>
      <c r="D137" t="inlineStr">
        <is>
          <t>GOTLANDS LÄN</t>
        </is>
      </c>
      <c r="E137" t="inlineStr">
        <is>
          <t>GOTLAND</t>
        </is>
      </c>
      <c r="G137" t="n">
        <v>5.7</v>
      </c>
      <c r="H137" t="n">
        <v>0</v>
      </c>
      <c r="I137" t="n">
        <v>1</v>
      </c>
      <c r="J137" t="n">
        <v>0</v>
      </c>
      <c r="K137" t="n">
        <v>0</v>
      </c>
      <c r="L137" t="n">
        <v>0</v>
      </c>
      <c r="M137" t="n">
        <v>0</v>
      </c>
      <c r="N137" t="n">
        <v>0</v>
      </c>
      <c r="O137" t="n">
        <v>0</v>
      </c>
      <c r="P137" t="n">
        <v>0</v>
      </c>
      <c r="Q137" t="n">
        <v>1</v>
      </c>
      <c r="R137" s="2" t="inlineStr">
        <is>
          <t>Murgröna</t>
        </is>
      </c>
      <c r="S137">
        <f>HYPERLINK("https://klasma.github.io/Logging_0980/artfynd/A 35574-2024 artfynd.xlsx", "A 35574-2024")</f>
        <v/>
      </c>
      <c r="T137">
        <f>HYPERLINK("https://klasma.github.io/Logging_0980/kartor/A 35574-2024 karta.png", "A 35574-2024")</f>
        <v/>
      </c>
      <c r="V137">
        <f>HYPERLINK("https://klasma.github.io/Logging_0980/klagomål/A 35574-2024 FSC-klagomål.docx", "A 35574-2024")</f>
        <v/>
      </c>
      <c r="W137">
        <f>HYPERLINK("https://klasma.github.io/Logging_0980/klagomålsmail/A 35574-2024 FSC-klagomål mail.docx", "A 35574-2024")</f>
        <v/>
      </c>
      <c r="X137">
        <f>HYPERLINK("https://klasma.github.io/Logging_0980/tillsyn/A 35574-2024 tillsynsbegäran.docx", "A 35574-2024")</f>
        <v/>
      </c>
      <c r="Y137">
        <f>HYPERLINK("https://klasma.github.io/Logging_0980/tillsynsmail/A 35574-2024 tillsynsbegäran mail.docx", "A 35574-2024")</f>
        <v/>
      </c>
    </row>
    <row r="138" ht="15" customHeight="1">
      <c r="A138" t="inlineStr">
        <is>
          <t>A 21466-2025</t>
        </is>
      </c>
      <c r="B138" s="1" t="n">
        <v>45782</v>
      </c>
      <c r="C138" s="1" t="n">
        <v>45905</v>
      </c>
      <c r="D138" t="inlineStr">
        <is>
          <t>GOTLANDS LÄN</t>
        </is>
      </c>
      <c r="E138" t="inlineStr">
        <is>
          <t>GOTLAND</t>
        </is>
      </c>
      <c r="F138" t="inlineStr">
        <is>
          <t>Övriga statliga verk och myndigheter</t>
        </is>
      </c>
      <c r="G138" t="n">
        <v>1.7</v>
      </c>
      <c r="H138" t="n">
        <v>1</v>
      </c>
      <c r="I138" t="n">
        <v>0</v>
      </c>
      <c r="J138" t="n">
        <v>0</v>
      </c>
      <c r="K138" t="n">
        <v>0</v>
      </c>
      <c r="L138" t="n">
        <v>0</v>
      </c>
      <c r="M138" t="n">
        <v>0</v>
      </c>
      <c r="N138" t="n">
        <v>0</v>
      </c>
      <c r="O138" t="n">
        <v>0</v>
      </c>
      <c r="P138" t="n">
        <v>0</v>
      </c>
      <c r="Q138" t="n">
        <v>1</v>
      </c>
      <c r="R138" s="2" t="inlineStr">
        <is>
          <t>Blåsippa</t>
        </is>
      </c>
      <c r="S138">
        <f>HYPERLINK("https://klasma.github.io/Logging_0980/artfynd/A 21466-2025 artfynd.xlsx", "A 21466-2025")</f>
        <v/>
      </c>
      <c r="T138">
        <f>HYPERLINK("https://klasma.github.io/Logging_0980/kartor/A 21466-2025 karta.png", "A 21466-2025")</f>
        <v/>
      </c>
      <c r="V138">
        <f>HYPERLINK("https://klasma.github.io/Logging_0980/klagomål/A 21466-2025 FSC-klagomål.docx", "A 21466-2025")</f>
        <v/>
      </c>
      <c r="W138">
        <f>HYPERLINK("https://klasma.github.io/Logging_0980/klagomålsmail/A 21466-2025 FSC-klagomål mail.docx", "A 21466-2025")</f>
        <v/>
      </c>
      <c r="X138">
        <f>HYPERLINK("https://klasma.github.io/Logging_0980/tillsyn/A 21466-2025 tillsynsbegäran.docx", "A 21466-2025")</f>
        <v/>
      </c>
      <c r="Y138">
        <f>HYPERLINK("https://klasma.github.io/Logging_0980/tillsynsmail/A 21466-2025 tillsynsbegäran mail.docx", "A 21466-2025")</f>
        <v/>
      </c>
    </row>
    <row r="139" ht="15" customHeight="1">
      <c r="A139" t="inlineStr">
        <is>
          <t>A 7637-2025</t>
        </is>
      </c>
      <c r="B139" s="1" t="n">
        <v>45705.77181712963</v>
      </c>
      <c r="C139" s="1" t="n">
        <v>45905</v>
      </c>
      <c r="D139" t="inlineStr">
        <is>
          <t>GOTLANDS LÄN</t>
        </is>
      </c>
      <c r="E139" t="inlineStr">
        <is>
          <t>GOTLAND</t>
        </is>
      </c>
      <c r="G139" t="n">
        <v>3.7</v>
      </c>
      <c r="H139" t="n">
        <v>0</v>
      </c>
      <c r="I139" t="n">
        <v>0</v>
      </c>
      <c r="J139" t="n">
        <v>0</v>
      </c>
      <c r="K139" t="n">
        <v>0</v>
      </c>
      <c r="L139" t="n">
        <v>0</v>
      </c>
      <c r="M139" t="n">
        <v>1</v>
      </c>
      <c r="N139" t="n">
        <v>0</v>
      </c>
      <c r="O139" t="n">
        <v>1</v>
      </c>
      <c r="P139" t="n">
        <v>1</v>
      </c>
      <c r="Q139" t="n">
        <v>1</v>
      </c>
      <c r="R139" s="2" t="inlineStr">
        <is>
          <t>Skogsalm</t>
        </is>
      </c>
      <c r="S139">
        <f>HYPERLINK("https://klasma.github.io/Logging_0980/artfynd/A 7637-2025 artfynd.xlsx", "A 7637-2025")</f>
        <v/>
      </c>
      <c r="T139">
        <f>HYPERLINK("https://klasma.github.io/Logging_0980/kartor/A 7637-2025 karta.png", "A 7637-2025")</f>
        <v/>
      </c>
      <c r="V139">
        <f>HYPERLINK("https://klasma.github.io/Logging_0980/klagomål/A 7637-2025 FSC-klagomål.docx", "A 7637-2025")</f>
        <v/>
      </c>
      <c r="W139">
        <f>HYPERLINK("https://klasma.github.io/Logging_0980/klagomålsmail/A 7637-2025 FSC-klagomål mail.docx", "A 7637-2025")</f>
        <v/>
      </c>
      <c r="X139">
        <f>HYPERLINK("https://klasma.github.io/Logging_0980/tillsyn/A 7637-2025 tillsynsbegäran.docx", "A 7637-2025")</f>
        <v/>
      </c>
      <c r="Y139">
        <f>HYPERLINK("https://klasma.github.io/Logging_0980/tillsynsmail/A 7637-2025 tillsynsbegäran mail.docx", "A 7637-2025")</f>
        <v/>
      </c>
    </row>
    <row r="140" ht="15" customHeight="1">
      <c r="A140" t="inlineStr">
        <is>
          <t>A 10440-2024</t>
        </is>
      </c>
      <c r="B140" s="1" t="n">
        <v>45366.32818287037</v>
      </c>
      <c r="C140" s="1" t="n">
        <v>45905</v>
      </c>
      <c r="D140" t="inlineStr">
        <is>
          <t>GOTLANDS LÄN</t>
        </is>
      </c>
      <c r="E140" t="inlineStr">
        <is>
          <t>GOTLAND</t>
        </is>
      </c>
      <c r="G140" t="n">
        <v>2.5</v>
      </c>
      <c r="H140" t="n">
        <v>1</v>
      </c>
      <c r="I140" t="n">
        <v>0</v>
      </c>
      <c r="J140" t="n">
        <v>1</v>
      </c>
      <c r="K140" t="n">
        <v>0</v>
      </c>
      <c r="L140" t="n">
        <v>0</v>
      </c>
      <c r="M140" t="n">
        <v>0</v>
      </c>
      <c r="N140" t="n">
        <v>0</v>
      </c>
      <c r="O140" t="n">
        <v>1</v>
      </c>
      <c r="P140" t="n">
        <v>0</v>
      </c>
      <c r="Q140" t="n">
        <v>1</v>
      </c>
      <c r="R140" s="2" t="inlineStr">
        <is>
          <t>Mindre hackspett</t>
        </is>
      </c>
      <c r="S140">
        <f>HYPERLINK("https://klasma.github.io/Logging_0980/artfynd/A 10440-2024 artfynd.xlsx", "A 10440-2024")</f>
        <v/>
      </c>
      <c r="T140">
        <f>HYPERLINK("https://klasma.github.io/Logging_0980/kartor/A 10440-2024 karta.png", "A 10440-2024")</f>
        <v/>
      </c>
      <c r="V140">
        <f>HYPERLINK("https://klasma.github.io/Logging_0980/klagomål/A 10440-2024 FSC-klagomål.docx", "A 10440-2024")</f>
        <v/>
      </c>
      <c r="W140">
        <f>HYPERLINK("https://klasma.github.io/Logging_0980/klagomålsmail/A 10440-2024 FSC-klagomål mail.docx", "A 10440-2024")</f>
        <v/>
      </c>
      <c r="X140">
        <f>HYPERLINK("https://klasma.github.io/Logging_0980/tillsyn/A 10440-2024 tillsynsbegäran.docx", "A 10440-2024")</f>
        <v/>
      </c>
      <c r="Y140">
        <f>HYPERLINK("https://klasma.github.io/Logging_0980/tillsynsmail/A 10440-2024 tillsynsbegäran mail.docx", "A 10440-2024")</f>
        <v/>
      </c>
      <c r="Z140">
        <f>HYPERLINK("https://klasma.github.io/Logging_0980/fåglar/A 10440-2024 prioriterade fågelarter.docx", "A 10440-2024")</f>
        <v/>
      </c>
    </row>
    <row r="141" ht="15" customHeight="1">
      <c r="A141" t="inlineStr">
        <is>
          <t>A 44958-2020</t>
        </is>
      </c>
      <c r="B141" s="1" t="n">
        <v>44088</v>
      </c>
      <c r="C141" s="1" t="n">
        <v>45905</v>
      </c>
      <c r="D141" t="inlineStr">
        <is>
          <t>GOTLANDS LÄN</t>
        </is>
      </c>
      <c r="E141" t="inlineStr">
        <is>
          <t>GOTLAND</t>
        </is>
      </c>
      <c r="G141" t="n">
        <v>0.6</v>
      </c>
      <c r="H141" t="n">
        <v>1</v>
      </c>
      <c r="I141" t="n">
        <v>0</v>
      </c>
      <c r="J141" t="n">
        <v>1</v>
      </c>
      <c r="K141" t="n">
        <v>0</v>
      </c>
      <c r="L141" t="n">
        <v>0</v>
      </c>
      <c r="M141" t="n">
        <v>0</v>
      </c>
      <c r="N141" t="n">
        <v>0</v>
      </c>
      <c r="O141" t="n">
        <v>1</v>
      </c>
      <c r="P141" t="n">
        <v>0</v>
      </c>
      <c r="Q141" t="n">
        <v>1</v>
      </c>
      <c r="R141" s="2" t="inlineStr">
        <is>
          <t>Hornuggla</t>
        </is>
      </c>
      <c r="S141">
        <f>HYPERLINK("https://klasma.github.io/Logging_0980/artfynd/A 44958-2020 artfynd.xlsx", "A 44958-2020")</f>
        <v/>
      </c>
      <c r="T141">
        <f>HYPERLINK("https://klasma.github.io/Logging_0980/kartor/A 44958-2020 karta.png", "A 44958-2020")</f>
        <v/>
      </c>
      <c r="V141">
        <f>HYPERLINK("https://klasma.github.io/Logging_0980/klagomål/A 44958-2020 FSC-klagomål.docx", "A 44958-2020")</f>
        <v/>
      </c>
      <c r="W141">
        <f>HYPERLINK("https://klasma.github.io/Logging_0980/klagomålsmail/A 44958-2020 FSC-klagomål mail.docx", "A 44958-2020")</f>
        <v/>
      </c>
      <c r="X141">
        <f>HYPERLINK("https://klasma.github.io/Logging_0980/tillsyn/A 44958-2020 tillsynsbegäran.docx", "A 44958-2020")</f>
        <v/>
      </c>
      <c r="Y141">
        <f>HYPERLINK("https://klasma.github.io/Logging_0980/tillsynsmail/A 44958-2020 tillsynsbegäran mail.docx", "A 44958-2020")</f>
        <v/>
      </c>
      <c r="Z141">
        <f>HYPERLINK("https://klasma.github.io/Logging_0980/fåglar/A 44958-2020 prioriterade fågelarter.docx", "A 44958-2020")</f>
        <v/>
      </c>
    </row>
    <row r="142" ht="15" customHeight="1">
      <c r="A142" t="inlineStr">
        <is>
          <t>A 12924-2025</t>
        </is>
      </c>
      <c r="B142" s="1" t="n">
        <v>45734</v>
      </c>
      <c r="C142" s="1" t="n">
        <v>45905</v>
      </c>
      <c r="D142" t="inlineStr">
        <is>
          <t>GOTLANDS LÄN</t>
        </is>
      </c>
      <c r="E142" t="inlineStr">
        <is>
          <t>GOTLAND</t>
        </is>
      </c>
      <c r="G142" t="n">
        <v>11.7</v>
      </c>
      <c r="H142" t="n">
        <v>0</v>
      </c>
      <c r="I142" t="n">
        <v>0</v>
      </c>
      <c r="J142" t="n">
        <v>0</v>
      </c>
      <c r="K142" t="n">
        <v>1</v>
      </c>
      <c r="L142" t="n">
        <v>0</v>
      </c>
      <c r="M142" t="n">
        <v>0</v>
      </c>
      <c r="N142" t="n">
        <v>0</v>
      </c>
      <c r="O142" t="n">
        <v>1</v>
      </c>
      <c r="P142" t="n">
        <v>1</v>
      </c>
      <c r="Q142" t="n">
        <v>1</v>
      </c>
      <c r="R142" s="2" t="inlineStr">
        <is>
          <t>Gotlandsmåra</t>
        </is>
      </c>
      <c r="S142">
        <f>HYPERLINK("https://klasma.github.io/Logging_0980/artfynd/A 12924-2025 artfynd.xlsx", "A 12924-2025")</f>
        <v/>
      </c>
      <c r="T142">
        <f>HYPERLINK("https://klasma.github.io/Logging_0980/kartor/A 12924-2025 karta.png", "A 12924-2025")</f>
        <v/>
      </c>
      <c r="V142">
        <f>HYPERLINK("https://klasma.github.io/Logging_0980/klagomål/A 12924-2025 FSC-klagomål.docx", "A 12924-2025")</f>
        <v/>
      </c>
      <c r="W142">
        <f>HYPERLINK("https://klasma.github.io/Logging_0980/klagomålsmail/A 12924-2025 FSC-klagomål mail.docx", "A 12924-2025")</f>
        <v/>
      </c>
      <c r="X142">
        <f>HYPERLINK("https://klasma.github.io/Logging_0980/tillsyn/A 12924-2025 tillsynsbegäran.docx", "A 12924-2025")</f>
        <v/>
      </c>
      <c r="Y142">
        <f>HYPERLINK("https://klasma.github.io/Logging_0980/tillsynsmail/A 12924-2025 tillsynsbegäran mail.docx", "A 12924-2025")</f>
        <v/>
      </c>
    </row>
    <row r="143" ht="15" customHeight="1">
      <c r="A143" t="inlineStr">
        <is>
          <t>A 25977-2024</t>
        </is>
      </c>
      <c r="B143" s="1" t="n">
        <v>45467.69356481481</v>
      </c>
      <c r="C143" s="1" t="n">
        <v>45905</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6303-2024</t>
        </is>
      </c>
      <c r="B144" s="1" t="n">
        <v>45338.35376157407</v>
      </c>
      <c r="C144" s="1" t="n">
        <v>45905</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65927-2021</t>
        </is>
      </c>
      <c r="B145" s="1" t="n">
        <v>44516</v>
      </c>
      <c r="C145" s="1" t="n">
        <v>45905</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44468-2024</t>
        </is>
      </c>
      <c r="B146" s="1" t="n">
        <v>45574.36651620371</v>
      </c>
      <c r="C146" s="1" t="n">
        <v>45905</v>
      </c>
      <c r="D146" t="inlineStr">
        <is>
          <t>GOTLANDS LÄN</t>
        </is>
      </c>
      <c r="E146" t="inlineStr">
        <is>
          <t>GOTLAND</t>
        </is>
      </c>
      <c r="G146" t="n">
        <v>7</v>
      </c>
      <c r="H146" t="n">
        <v>0</v>
      </c>
      <c r="I146" t="n">
        <v>0</v>
      </c>
      <c r="J146" t="n">
        <v>0</v>
      </c>
      <c r="K146" t="n">
        <v>0</v>
      </c>
      <c r="L146" t="n">
        <v>0</v>
      </c>
      <c r="M146" t="n">
        <v>1</v>
      </c>
      <c r="N146" t="n">
        <v>0</v>
      </c>
      <c r="O146" t="n">
        <v>1</v>
      </c>
      <c r="P146" t="n">
        <v>1</v>
      </c>
      <c r="Q146" t="n">
        <v>1</v>
      </c>
      <c r="R146" s="2" t="inlineStr">
        <is>
          <t>Skogsalm</t>
        </is>
      </c>
      <c r="S146">
        <f>HYPERLINK("https://klasma.github.io/Logging_0980/artfynd/A 44468-2024 artfynd.xlsx", "A 44468-2024")</f>
        <v/>
      </c>
      <c r="T146">
        <f>HYPERLINK("https://klasma.github.io/Logging_0980/kartor/A 44468-2024 karta.png", "A 44468-2024")</f>
        <v/>
      </c>
      <c r="V146">
        <f>HYPERLINK("https://klasma.github.io/Logging_0980/klagomål/A 44468-2024 FSC-klagomål.docx", "A 44468-2024")</f>
        <v/>
      </c>
      <c r="W146">
        <f>HYPERLINK("https://klasma.github.io/Logging_0980/klagomålsmail/A 44468-2024 FSC-klagomål mail.docx", "A 44468-2024")</f>
        <v/>
      </c>
      <c r="X146">
        <f>HYPERLINK("https://klasma.github.io/Logging_0980/tillsyn/A 44468-2024 tillsynsbegäran.docx", "A 44468-2024")</f>
        <v/>
      </c>
      <c r="Y146">
        <f>HYPERLINK("https://klasma.github.io/Logging_0980/tillsynsmail/A 44468-2024 tillsynsbegäran mail.docx", "A 44468-2024")</f>
        <v/>
      </c>
    </row>
    <row r="147" ht="15" customHeight="1">
      <c r="A147" t="inlineStr">
        <is>
          <t>A 61796-2022</t>
        </is>
      </c>
      <c r="B147" s="1" t="n">
        <v>44917</v>
      </c>
      <c r="C147" s="1" t="n">
        <v>45905</v>
      </c>
      <c r="D147" t="inlineStr">
        <is>
          <t>GOTLANDS LÄN</t>
        </is>
      </c>
      <c r="E147" t="inlineStr">
        <is>
          <t>GOTLAND</t>
        </is>
      </c>
      <c r="G147" t="n">
        <v>1.5</v>
      </c>
      <c r="H147" t="n">
        <v>1</v>
      </c>
      <c r="I147" t="n">
        <v>0</v>
      </c>
      <c r="J147" t="n">
        <v>0</v>
      </c>
      <c r="K147" t="n">
        <v>0</v>
      </c>
      <c r="L147" t="n">
        <v>0</v>
      </c>
      <c r="M147" t="n">
        <v>0</v>
      </c>
      <c r="N147" t="n">
        <v>0</v>
      </c>
      <c r="O147" t="n">
        <v>0</v>
      </c>
      <c r="P147" t="n">
        <v>0</v>
      </c>
      <c r="Q147" t="n">
        <v>1</v>
      </c>
      <c r="R147" s="2" t="inlineStr">
        <is>
          <t>Skogsduva</t>
        </is>
      </c>
      <c r="S147">
        <f>HYPERLINK("https://klasma.github.io/Logging_0980/artfynd/A 61796-2022 artfynd.xlsx", "A 61796-2022")</f>
        <v/>
      </c>
      <c r="T147">
        <f>HYPERLINK("https://klasma.github.io/Logging_0980/kartor/A 61796-2022 karta.png", "A 61796-2022")</f>
        <v/>
      </c>
      <c r="V147">
        <f>HYPERLINK("https://klasma.github.io/Logging_0980/klagomål/A 61796-2022 FSC-klagomål.docx", "A 61796-2022")</f>
        <v/>
      </c>
      <c r="W147">
        <f>HYPERLINK("https://klasma.github.io/Logging_0980/klagomålsmail/A 61796-2022 FSC-klagomål mail.docx", "A 61796-2022")</f>
        <v/>
      </c>
      <c r="X147">
        <f>HYPERLINK("https://klasma.github.io/Logging_0980/tillsyn/A 61796-2022 tillsynsbegäran.docx", "A 61796-2022")</f>
        <v/>
      </c>
      <c r="Y147">
        <f>HYPERLINK("https://klasma.github.io/Logging_0980/tillsynsmail/A 61796-2022 tillsynsbegäran mail.docx", "A 61796-2022")</f>
        <v/>
      </c>
      <c r="Z147">
        <f>HYPERLINK("https://klasma.github.io/Logging_0980/fåglar/A 61796-2022 prioriterade fågelarter.docx", "A 61796-2022")</f>
        <v/>
      </c>
    </row>
    <row r="148" ht="15" customHeight="1">
      <c r="A148" t="inlineStr">
        <is>
          <t>A 26461-2025</t>
        </is>
      </c>
      <c r="B148" s="1" t="n">
        <v>45807.43337962963</v>
      </c>
      <c r="C148" s="1" t="n">
        <v>45905</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34809-2024</t>
        </is>
      </c>
      <c r="B149" s="1" t="n">
        <v>45526</v>
      </c>
      <c r="C149" s="1" t="n">
        <v>45905</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15637-2024</t>
        </is>
      </c>
      <c r="B150" s="1" t="n">
        <v>45403.6684837963</v>
      </c>
      <c r="C150" s="1" t="n">
        <v>45905</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43219-2023</t>
        </is>
      </c>
      <c r="B151" s="1" t="n">
        <v>45183</v>
      </c>
      <c r="C151" s="1" t="n">
        <v>45905</v>
      </c>
      <c r="D151" t="inlineStr">
        <is>
          <t>GOTLANDS LÄN</t>
        </is>
      </c>
      <c r="E151" t="inlineStr">
        <is>
          <t>GOTLAND</t>
        </is>
      </c>
      <c r="G151" t="n">
        <v>3.6</v>
      </c>
      <c r="H151" t="n">
        <v>1</v>
      </c>
      <c r="I151" t="n">
        <v>0</v>
      </c>
      <c r="J151" t="n">
        <v>0</v>
      </c>
      <c r="K151" t="n">
        <v>0</v>
      </c>
      <c r="L151" t="n">
        <v>0</v>
      </c>
      <c r="M151" t="n">
        <v>0</v>
      </c>
      <c r="N151" t="n">
        <v>0</v>
      </c>
      <c r="O151" t="n">
        <v>0</v>
      </c>
      <c r="P151" t="n">
        <v>0</v>
      </c>
      <c r="Q151" t="n">
        <v>1</v>
      </c>
      <c r="R151" s="2" t="inlineStr">
        <is>
          <t>Skogsduva</t>
        </is>
      </c>
      <c r="S151">
        <f>HYPERLINK("https://klasma.github.io/Logging_0980/artfynd/A 43219-2023 artfynd.xlsx", "A 43219-2023")</f>
        <v/>
      </c>
      <c r="T151">
        <f>HYPERLINK("https://klasma.github.io/Logging_0980/kartor/A 43219-2023 karta.png", "A 43219-2023")</f>
        <v/>
      </c>
      <c r="V151">
        <f>HYPERLINK("https://klasma.github.io/Logging_0980/klagomål/A 43219-2023 FSC-klagomål.docx", "A 43219-2023")</f>
        <v/>
      </c>
      <c r="W151">
        <f>HYPERLINK("https://klasma.github.io/Logging_0980/klagomålsmail/A 43219-2023 FSC-klagomål mail.docx", "A 43219-2023")</f>
        <v/>
      </c>
      <c r="X151">
        <f>HYPERLINK("https://klasma.github.io/Logging_0980/tillsyn/A 43219-2023 tillsynsbegäran.docx", "A 43219-2023")</f>
        <v/>
      </c>
      <c r="Y151">
        <f>HYPERLINK("https://klasma.github.io/Logging_0980/tillsynsmail/A 43219-2023 tillsynsbegäran mail.docx", "A 43219-2023")</f>
        <v/>
      </c>
      <c r="Z151">
        <f>HYPERLINK("https://klasma.github.io/Logging_0980/fåglar/A 43219-2023 prioriterade fågelarter.docx", "A 43219-2023")</f>
        <v/>
      </c>
    </row>
    <row r="152" ht="15" customHeight="1">
      <c r="A152" t="inlineStr">
        <is>
          <t>A 2476-2025</t>
        </is>
      </c>
      <c r="B152" s="1" t="n">
        <v>45673</v>
      </c>
      <c r="C152" s="1" t="n">
        <v>45905</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10995-2023</t>
        </is>
      </c>
      <c r="B153" s="1" t="n">
        <v>44986</v>
      </c>
      <c r="C153" s="1" t="n">
        <v>45905</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61561-2023</t>
        </is>
      </c>
      <c r="B154" s="1" t="n">
        <v>45265</v>
      </c>
      <c r="C154" s="1" t="n">
        <v>45905</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8725-2025</t>
        </is>
      </c>
      <c r="B155" s="1" t="n">
        <v>45712</v>
      </c>
      <c r="C155" s="1" t="n">
        <v>45905</v>
      </c>
      <c r="D155" t="inlineStr">
        <is>
          <t>GOTLANDS LÄN</t>
        </is>
      </c>
      <c r="E155" t="inlineStr">
        <is>
          <t>GOTLAND</t>
        </is>
      </c>
      <c r="G155" t="n">
        <v>4.4</v>
      </c>
      <c r="H155" t="n">
        <v>1</v>
      </c>
      <c r="I155" t="n">
        <v>0</v>
      </c>
      <c r="J155" t="n">
        <v>1</v>
      </c>
      <c r="K155" t="n">
        <v>0</v>
      </c>
      <c r="L155" t="n">
        <v>0</v>
      </c>
      <c r="M155" t="n">
        <v>0</v>
      </c>
      <c r="N155" t="n">
        <v>0</v>
      </c>
      <c r="O155" t="n">
        <v>1</v>
      </c>
      <c r="P155" t="n">
        <v>0</v>
      </c>
      <c r="Q155" t="n">
        <v>1</v>
      </c>
      <c r="R155" s="2" t="inlineStr">
        <is>
          <t>Spillkråka</t>
        </is>
      </c>
      <c r="S155">
        <f>HYPERLINK("https://klasma.github.io/Logging_0980/artfynd/A 8725-2025 artfynd.xlsx", "A 8725-2025")</f>
        <v/>
      </c>
      <c r="T155">
        <f>HYPERLINK("https://klasma.github.io/Logging_0980/kartor/A 8725-2025 karta.png", "A 8725-2025")</f>
        <v/>
      </c>
      <c r="V155">
        <f>HYPERLINK("https://klasma.github.io/Logging_0980/klagomål/A 8725-2025 FSC-klagomål.docx", "A 8725-2025")</f>
        <v/>
      </c>
      <c r="W155">
        <f>HYPERLINK("https://klasma.github.io/Logging_0980/klagomålsmail/A 8725-2025 FSC-klagomål mail.docx", "A 8725-2025")</f>
        <v/>
      </c>
      <c r="X155">
        <f>HYPERLINK("https://klasma.github.io/Logging_0980/tillsyn/A 8725-2025 tillsynsbegäran.docx", "A 8725-2025")</f>
        <v/>
      </c>
      <c r="Y155">
        <f>HYPERLINK("https://klasma.github.io/Logging_0980/tillsynsmail/A 8725-2025 tillsynsbegäran mail.docx", "A 8725-2025")</f>
        <v/>
      </c>
      <c r="Z155">
        <f>HYPERLINK("https://klasma.github.io/Logging_0980/fåglar/A 8725-2025 prioriterade fågelarter.docx", "A 8725-2025")</f>
        <v/>
      </c>
    </row>
    <row r="156" ht="15" customHeight="1">
      <c r="A156" t="inlineStr">
        <is>
          <t>A 34141-2024</t>
        </is>
      </c>
      <c r="B156" s="1" t="n">
        <v>45524.36229166666</v>
      </c>
      <c r="C156" s="1" t="n">
        <v>45905</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45905</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62552-2022</t>
        </is>
      </c>
      <c r="B158" s="1" t="n">
        <v>44924</v>
      </c>
      <c r="C158" s="1" t="n">
        <v>45905</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45905</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39812-2025</t>
        </is>
      </c>
      <c r="B160" s="1" t="n">
        <v>45891</v>
      </c>
      <c r="C160" s="1" t="n">
        <v>45905</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63299-2020</t>
        </is>
      </c>
      <c r="B161" s="1" t="n">
        <v>44165</v>
      </c>
      <c r="C161" s="1" t="n">
        <v>45905</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27168-2022</t>
        </is>
      </c>
      <c r="B162" s="1" t="n">
        <v>44741</v>
      </c>
      <c r="C162" s="1" t="n">
        <v>45905</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44308-2021</t>
        </is>
      </c>
      <c r="B163" s="1" t="n">
        <v>44434</v>
      </c>
      <c r="C163" s="1" t="n">
        <v>45905</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22782-2023</t>
        </is>
      </c>
      <c r="B164" s="1" t="n">
        <v>45072</v>
      </c>
      <c r="C164" s="1" t="n">
        <v>45905</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447-2023</t>
        </is>
      </c>
      <c r="B165" s="1" t="n">
        <v>44929</v>
      </c>
      <c r="C165" s="1" t="n">
        <v>45905</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45905</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45905</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24245-2022</t>
        </is>
      </c>
      <c r="B168" s="1" t="n">
        <v>44725</v>
      </c>
      <c r="C168" s="1" t="n">
        <v>45905</v>
      </c>
      <c r="D168" t="inlineStr">
        <is>
          <t>GOTLANDS LÄN</t>
        </is>
      </c>
      <c r="E168" t="inlineStr">
        <is>
          <t>GOTLAND</t>
        </is>
      </c>
      <c r="G168" t="n">
        <v>4.9</v>
      </c>
      <c r="H168" t="n">
        <v>0</v>
      </c>
      <c r="I168" t="n">
        <v>0</v>
      </c>
      <c r="J168" t="n">
        <v>0</v>
      </c>
      <c r="K168" t="n">
        <v>0</v>
      </c>
      <c r="L168" t="n">
        <v>1</v>
      </c>
      <c r="M168" t="n">
        <v>0</v>
      </c>
      <c r="N168" t="n">
        <v>0</v>
      </c>
      <c r="O168" t="n">
        <v>1</v>
      </c>
      <c r="P168" t="n">
        <v>1</v>
      </c>
      <c r="Q168" t="n">
        <v>1</v>
      </c>
      <c r="R168" s="2" t="inlineStr">
        <is>
          <t>Slät taggsvamp</t>
        </is>
      </c>
      <c r="S168">
        <f>HYPERLINK("https://klasma.github.io/Logging_0980/artfynd/A 24245-2022 artfynd.xlsx", "A 24245-2022")</f>
        <v/>
      </c>
      <c r="T168">
        <f>HYPERLINK("https://klasma.github.io/Logging_0980/kartor/A 24245-2022 karta.png", "A 24245-2022")</f>
        <v/>
      </c>
      <c r="V168">
        <f>HYPERLINK("https://klasma.github.io/Logging_0980/klagomål/A 24245-2022 FSC-klagomål.docx", "A 24245-2022")</f>
        <v/>
      </c>
      <c r="W168">
        <f>HYPERLINK("https://klasma.github.io/Logging_0980/klagomålsmail/A 24245-2022 FSC-klagomål mail.docx", "A 24245-2022")</f>
        <v/>
      </c>
      <c r="X168">
        <f>HYPERLINK("https://klasma.github.io/Logging_0980/tillsyn/A 24245-2022 tillsynsbegäran.docx", "A 24245-2022")</f>
        <v/>
      </c>
      <c r="Y168">
        <f>HYPERLINK("https://klasma.github.io/Logging_0980/tillsynsmail/A 24245-2022 tillsynsbegäran mail.docx", "A 24245-2022")</f>
        <v/>
      </c>
    </row>
    <row r="169" ht="15" customHeight="1">
      <c r="A169" t="inlineStr">
        <is>
          <t>A 2213-2023</t>
        </is>
      </c>
      <c r="B169" s="1" t="n">
        <v>44942</v>
      </c>
      <c r="C169" s="1" t="n">
        <v>45905</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49847-2023</t>
        </is>
      </c>
      <c r="B170" s="1" t="n">
        <v>45212</v>
      </c>
      <c r="C170" s="1" t="n">
        <v>45905</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46527-2023</t>
        </is>
      </c>
      <c r="B171" s="1" t="n">
        <v>45197</v>
      </c>
      <c r="C171" s="1" t="n">
        <v>45905</v>
      </c>
      <c r="D171" t="inlineStr">
        <is>
          <t>GOTLANDS LÄN</t>
        </is>
      </c>
      <c r="E171" t="inlineStr">
        <is>
          <t>GOTLAND</t>
        </is>
      </c>
      <c r="G171" t="n">
        <v>0.9</v>
      </c>
      <c r="H171" t="n">
        <v>0</v>
      </c>
      <c r="I171" t="n">
        <v>0</v>
      </c>
      <c r="J171" t="n">
        <v>1</v>
      </c>
      <c r="K171" t="n">
        <v>0</v>
      </c>
      <c r="L171" t="n">
        <v>0</v>
      </c>
      <c r="M171" t="n">
        <v>0</v>
      </c>
      <c r="N171" t="n">
        <v>0</v>
      </c>
      <c r="O171" t="n">
        <v>1</v>
      </c>
      <c r="P171" t="n">
        <v>0</v>
      </c>
      <c r="Q171" t="n">
        <v>1</v>
      </c>
      <c r="R171" s="2" t="inlineStr">
        <is>
          <t>Guldgräshoppa</t>
        </is>
      </c>
      <c r="S171">
        <f>HYPERLINK("https://klasma.github.io/Logging_0980/artfynd/A 46527-2023 artfynd.xlsx", "A 46527-2023")</f>
        <v/>
      </c>
      <c r="T171">
        <f>HYPERLINK("https://klasma.github.io/Logging_0980/kartor/A 46527-2023 karta.png", "A 46527-2023")</f>
        <v/>
      </c>
      <c r="V171">
        <f>HYPERLINK("https://klasma.github.io/Logging_0980/klagomål/A 46527-2023 FSC-klagomål.docx", "A 46527-2023")</f>
        <v/>
      </c>
      <c r="W171">
        <f>HYPERLINK("https://klasma.github.io/Logging_0980/klagomålsmail/A 46527-2023 FSC-klagomål mail.docx", "A 46527-2023")</f>
        <v/>
      </c>
      <c r="X171">
        <f>HYPERLINK("https://klasma.github.io/Logging_0980/tillsyn/A 46527-2023 tillsynsbegäran.docx", "A 46527-2023")</f>
        <v/>
      </c>
      <c r="Y171">
        <f>HYPERLINK("https://klasma.github.io/Logging_0980/tillsynsmail/A 46527-2023 tillsynsbegäran mail.docx", "A 46527-2023")</f>
        <v/>
      </c>
    </row>
    <row r="172" ht="15" customHeight="1">
      <c r="A172" t="inlineStr">
        <is>
          <t>A 12324-2025</t>
        </is>
      </c>
      <c r="B172" s="1" t="n">
        <v>45730</v>
      </c>
      <c r="C172" s="1" t="n">
        <v>45905</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19901-2021</t>
        </is>
      </c>
      <c r="B173" s="1" t="n">
        <v>44312</v>
      </c>
      <c r="C173" s="1" t="n">
        <v>45905</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45905</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45905</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45905</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45905</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45905</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65537-2020</t>
        </is>
      </c>
      <c r="B179" s="1" t="n">
        <v>44173</v>
      </c>
      <c r="C179" s="1" t="n">
        <v>45905</v>
      </c>
      <c r="D179" t="inlineStr">
        <is>
          <t>GOTLANDS LÄN</t>
        </is>
      </c>
      <c r="E179" t="inlineStr">
        <is>
          <t>GOTLAND</t>
        </is>
      </c>
      <c r="G179" t="n">
        <v>1.6</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45905</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45905</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45905</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45905</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45905</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45905</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45905</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45905</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45905</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45905</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45905</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45905</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45905</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45905</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45905</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45905</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45905</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45905</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45905</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45905</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45905</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45905</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45905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45905</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45905</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45905</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45905</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45905</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45905</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45905</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45905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45905</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45905</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45905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3271-2021</t>
        </is>
      </c>
      <c r="B220" s="1" t="n">
        <v>44217</v>
      </c>
      <c r="C220" s="1" t="n">
        <v>45905</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45905</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45905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45905</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45905</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45905</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64380-2020</t>
        </is>
      </c>
      <c r="B226" s="1" t="n">
        <v>44168.60128472222</v>
      </c>
      <c r="C226" s="1" t="n">
        <v>45905</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2608-2021</t>
        </is>
      </c>
      <c r="B227" s="1" t="n">
        <v>44214</v>
      </c>
      <c r="C227" s="1" t="n">
        <v>45905</v>
      </c>
      <c r="D227" t="inlineStr">
        <is>
          <t>GOTLANDS LÄN</t>
        </is>
      </c>
      <c r="E227" t="inlineStr">
        <is>
          <t>GOTLAND</t>
        </is>
      </c>
      <c r="G227" t="n">
        <v>3.9</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45905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45905</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45905</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45905</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45905</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45905</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46545-2024</t>
        </is>
      </c>
      <c r="B234" s="1" t="n">
        <v>45582.65831018519</v>
      </c>
      <c r="C234" s="1" t="n">
        <v>45905</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45905</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60086-2022</t>
        </is>
      </c>
      <c r="B236" s="1" t="n">
        <v>44909</v>
      </c>
      <c r="C236" s="1" t="n">
        <v>45905</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28480-2023</t>
        </is>
      </c>
      <c r="B237" s="1" t="n">
        <v>45103</v>
      </c>
      <c r="C237" s="1" t="n">
        <v>45905</v>
      </c>
      <c r="D237" t="inlineStr">
        <is>
          <t>GOTLANDS LÄN</t>
        </is>
      </c>
      <c r="E237" t="inlineStr">
        <is>
          <t>GOTLAND</t>
        </is>
      </c>
      <c r="G237" t="n">
        <v>5.7</v>
      </c>
      <c r="H237" t="n">
        <v>0</v>
      </c>
      <c r="I237" t="n">
        <v>0</v>
      </c>
      <c r="J237" t="n">
        <v>0</v>
      </c>
      <c r="K237" t="n">
        <v>0</v>
      </c>
      <c r="L237" t="n">
        <v>0</v>
      </c>
      <c r="M237" t="n">
        <v>0</v>
      </c>
      <c r="N237" t="n">
        <v>0</v>
      </c>
      <c r="O237" t="n">
        <v>0</v>
      </c>
      <c r="P237" t="n">
        <v>0</v>
      </c>
      <c r="Q237" t="n">
        <v>0</v>
      </c>
      <c r="R237" s="2" t="inlineStr"/>
    </row>
    <row r="238" ht="15" customHeight="1">
      <c r="A238" t="inlineStr">
        <is>
          <t>A 28485-2023</t>
        </is>
      </c>
      <c r="B238" s="1" t="n">
        <v>45103.43731481482</v>
      </c>
      <c r="C238" s="1" t="n">
        <v>45905</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4868-2024</t>
        </is>
      </c>
      <c r="B239" s="1" t="n">
        <v>45329</v>
      </c>
      <c r="C239" s="1" t="n">
        <v>45905</v>
      </c>
      <c r="D239" t="inlineStr">
        <is>
          <t>GOTLANDS LÄN</t>
        </is>
      </c>
      <c r="E239" t="inlineStr">
        <is>
          <t>GOTLAND</t>
        </is>
      </c>
      <c r="G239" t="n">
        <v>7.1</v>
      </c>
      <c r="H239" t="n">
        <v>0</v>
      </c>
      <c r="I239" t="n">
        <v>0</v>
      </c>
      <c r="J239" t="n">
        <v>0</v>
      </c>
      <c r="K239" t="n">
        <v>0</v>
      </c>
      <c r="L239" t="n">
        <v>0</v>
      </c>
      <c r="M239" t="n">
        <v>0</v>
      </c>
      <c r="N239" t="n">
        <v>0</v>
      </c>
      <c r="O239" t="n">
        <v>0</v>
      </c>
      <c r="P239" t="n">
        <v>0</v>
      </c>
      <c r="Q239" t="n">
        <v>0</v>
      </c>
      <c r="R239" s="2" t="inlineStr"/>
    </row>
    <row r="240" ht="15" customHeight="1">
      <c r="A240" t="inlineStr">
        <is>
          <t>A 6108-2025</t>
        </is>
      </c>
      <c r="B240" s="1" t="n">
        <v>45698.29880787037</v>
      </c>
      <c r="C240" s="1" t="n">
        <v>45905</v>
      </c>
      <c r="D240" t="inlineStr">
        <is>
          <t>GOTLANDS LÄN</t>
        </is>
      </c>
      <c r="E240" t="inlineStr">
        <is>
          <t>GOTLAND</t>
        </is>
      </c>
      <c r="G240" t="n">
        <v>2.8</v>
      </c>
      <c r="H240" t="n">
        <v>0</v>
      </c>
      <c r="I240" t="n">
        <v>0</v>
      </c>
      <c r="J240" t="n">
        <v>0</v>
      </c>
      <c r="K240" t="n">
        <v>0</v>
      </c>
      <c r="L240" t="n">
        <v>0</v>
      </c>
      <c r="M240" t="n">
        <v>0</v>
      </c>
      <c r="N240" t="n">
        <v>0</v>
      </c>
      <c r="O240" t="n">
        <v>0</v>
      </c>
      <c r="P240" t="n">
        <v>0</v>
      </c>
      <c r="Q240" t="n">
        <v>0</v>
      </c>
      <c r="R240" s="2" t="inlineStr"/>
    </row>
    <row r="241" ht="15" customHeight="1">
      <c r="A241" t="inlineStr">
        <is>
          <t>A 37037-2021</t>
        </is>
      </c>
      <c r="B241" s="1" t="n">
        <v>44393.84688657407</v>
      </c>
      <c r="C241" s="1" t="n">
        <v>45905</v>
      </c>
      <c r="D241" t="inlineStr">
        <is>
          <t>GOTLANDS LÄN</t>
        </is>
      </c>
      <c r="E241" t="inlineStr">
        <is>
          <t>GOTLAND</t>
        </is>
      </c>
      <c r="G241" t="n">
        <v>10.2</v>
      </c>
      <c r="H241" t="n">
        <v>0</v>
      </c>
      <c r="I241" t="n">
        <v>0</v>
      </c>
      <c r="J241" t="n">
        <v>0</v>
      </c>
      <c r="K241" t="n">
        <v>0</v>
      </c>
      <c r="L241" t="n">
        <v>0</v>
      </c>
      <c r="M241" t="n">
        <v>0</v>
      </c>
      <c r="N241" t="n">
        <v>0</v>
      </c>
      <c r="O241" t="n">
        <v>0</v>
      </c>
      <c r="P241" t="n">
        <v>0</v>
      </c>
      <c r="Q241" t="n">
        <v>0</v>
      </c>
      <c r="R241" s="2" t="inlineStr"/>
    </row>
    <row r="242" ht="15" customHeight="1">
      <c r="A242" t="inlineStr">
        <is>
          <t>A 62915-2021</t>
        </is>
      </c>
      <c r="B242" s="1" t="n">
        <v>44504</v>
      </c>
      <c r="C242" s="1" t="n">
        <v>45905</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44949-2023</t>
        </is>
      </c>
      <c r="B243" s="1" t="n">
        <v>45190.69520833333</v>
      </c>
      <c r="C243" s="1" t="n">
        <v>45905</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24966-2023</t>
        </is>
      </c>
      <c r="B244" s="1" t="n">
        <v>45085</v>
      </c>
      <c r="C244" s="1" t="n">
        <v>45905</v>
      </c>
      <c r="D244" t="inlineStr">
        <is>
          <t>GOTLANDS LÄN</t>
        </is>
      </c>
      <c r="E244" t="inlineStr">
        <is>
          <t>GOTLAND</t>
        </is>
      </c>
      <c r="G244" t="n">
        <v>7</v>
      </c>
      <c r="H244" t="n">
        <v>0</v>
      </c>
      <c r="I244" t="n">
        <v>0</v>
      </c>
      <c r="J244" t="n">
        <v>0</v>
      </c>
      <c r="K244" t="n">
        <v>0</v>
      </c>
      <c r="L244" t="n">
        <v>0</v>
      </c>
      <c r="M244" t="n">
        <v>0</v>
      </c>
      <c r="N244" t="n">
        <v>0</v>
      </c>
      <c r="O244" t="n">
        <v>0</v>
      </c>
      <c r="P244" t="n">
        <v>0</v>
      </c>
      <c r="Q244" t="n">
        <v>0</v>
      </c>
      <c r="R244" s="2" t="inlineStr"/>
    </row>
    <row r="245" ht="15" customHeight="1">
      <c r="A245" t="inlineStr">
        <is>
          <t>A 46189-2022</t>
        </is>
      </c>
      <c r="B245" s="1" t="n">
        <v>44847</v>
      </c>
      <c r="C245" s="1" t="n">
        <v>45905</v>
      </c>
      <c r="D245" t="inlineStr">
        <is>
          <t>GOTLANDS LÄN</t>
        </is>
      </c>
      <c r="E245" t="inlineStr">
        <is>
          <t>GOTLAND</t>
        </is>
      </c>
      <c r="G245" t="n">
        <v>0.4</v>
      </c>
      <c r="H245" t="n">
        <v>0</v>
      </c>
      <c r="I245" t="n">
        <v>0</v>
      </c>
      <c r="J245" t="n">
        <v>0</v>
      </c>
      <c r="K245" t="n">
        <v>0</v>
      </c>
      <c r="L245" t="n">
        <v>0</v>
      </c>
      <c r="M245" t="n">
        <v>0</v>
      </c>
      <c r="N245" t="n">
        <v>0</v>
      </c>
      <c r="O245" t="n">
        <v>0</v>
      </c>
      <c r="P245" t="n">
        <v>0</v>
      </c>
      <c r="Q245" t="n">
        <v>0</v>
      </c>
      <c r="R245" s="2" t="inlineStr"/>
    </row>
    <row r="246" ht="15" customHeight="1">
      <c r="A246" t="inlineStr">
        <is>
          <t>A 32330-2024</t>
        </is>
      </c>
      <c r="B246" s="1" t="n">
        <v>45512</v>
      </c>
      <c r="C246" s="1" t="n">
        <v>45905</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37222-2021</t>
        </is>
      </c>
      <c r="B247" s="1" t="n">
        <v>44396</v>
      </c>
      <c r="C247" s="1" t="n">
        <v>45905</v>
      </c>
      <c r="D247" t="inlineStr">
        <is>
          <t>GOTLANDS LÄN</t>
        </is>
      </c>
      <c r="E247" t="inlineStr">
        <is>
          <t>GOTLAND</t>
        </is>
      </c>
      <c r="G247" t="n">
        <v>3</v>
      </c>
      <c r="H247" t="n">
        <v>0</v>
      </c>
      <c r="I247" t="n">
        <v>0</v>
      </c>
      <c r="J247" t="n">
        <v>0</v>
      </c>
      <c r="K247" t="n">
        <v>0</v>
      </c>
      <c r="L247" t="n">
        <v>0</v>
      </c>
      <c r="M247" t="n">
        <v>0</v>
      </c>
      <c r="N247" t="n">
        <v>0</v>
      </c>
      <c r="O247" t="n">
        <v>0</v>
      </c>
      <c r="P247" t="n">
        <v>0</v>
      </c>
      <c r="Q247" t="n">
        <v>0</v>
      </c>
      <c r="R247" s="2" t="inlineStr"/>
    </row>
    <row r="248" ht="15" customHeight="1">
      <c r="A248" t="inlineStr">
        <is>
          <t>A 9613-2025</t>
        </is>
      </c>
      <c r="B248" s="1" t="n">
        <v>45715</v>
      </c>
      <c r="C248" s="1" t="n">
        <v>45905</v>
      </c>
      <c r="D248" t="inlineStr">
        <is>
          <t>GOTLANDS LÄN</t>
        </is>
      </c>
      <c r="E248" t="inlineStr">
        <is>
          <t>GOTLAND</t>
        </is>
      </c>
      <c r="G248" t="n">
        <v>3.5</v>
      </c>
      <c r="H248" t="n">
        <v>0</v>
      </c>
      <c r="I248" t="n">
        <v>0</v>
      </c>
      <c r="J248" t="n">
        <v>0</v>
      </c>
      <c r="K248" t="n">
        <v>0</v>
      </c>
      <c r="L248" t="n">
        <v>0</v>
      </c>
      <c r="M248" t="n">
        <v>0</v>
      </c>
      <c r="N248" t="n">
        <v>0</v>
      </c>
      <c r="O248" t="n">
        <v>0</v>
      </c>
      <c r="P248" t="n">
        <v>0</v>
      </c>
      <c r="Q248" t="n">
        <v>0</v>
      </c>
      <c r="R248" s="2" t="inlineStr"/>
    </row>
    <row r="249" ht="15" customHeight="1">
      <c r="A249" t="inlineStr">
        <is>
          <t>A 44942-2022</t>
        </is>
      </c>
      <c r="B249" s="1" t="n">
        <v>44841</v>
      </c>
      <c r="C249" s="1" t="n">
        <v>45905</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15595-2024</t>
        </is>
      </c>
      <c r="B250" s="1" t="n">
        <v>45401.81480324074</v>
      </c>
      <c r="C250" s="1" t="n">
        <v>45905</v>
      </c>
      <c r="D250" t="inlineStr">
        <is>
          <t>GOTLANDS LÄN</t>
        </is>
      </c>
      <c r="E250" t="inlineStr">
        <is>
          <t>GOTLAND</t>
        </is>
      </c>
      <c r="G250" t="n">
        <v>6.4</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45905</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53935-2024</t>
        </is>
      </c>
      <c r="B252" s="1" t="n">
        <v>45615</v>
      </c>
      <c r="C252" s="1" t="n">
        <v>45905</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37591-2023</t>
        </is>
      </c>
      <c r="B253" s="1" t="n">
        <v>45159</v>
      </c>
      <c r="C253" s="1" t="n">
        <v>45905</v>
      </c>
      <c r="D253" t="inlineStr">
        <is>
          <t>GOTLANDS LÄN</t>
        </is>
      </c>
      <c r="E253" t="inlineStr">
        <is>
          <t>GOTLAND</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18223-2025</t>
        </is>
      </c>
      <c r="B254" s="1" t="n">
        <v>45761</v>
      </c>
      <c r="C254" s="1" t="n">
        <v>45905</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4420-2025</t>
        </is>
      </c>
      <c r="B255" s="1" t="n">
        <v>45686.47157407407</v>
      </c>
      <c r="C255" s="1" t="n">
        <v>45905</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45905</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22031-2024</t>
        </is>
      </c>
      <c r="B257" s="1" t="n">
        <v>45443.60075231481</v>
      </c>
      <c r="C257" s="1" t="n">
        <v>45905</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45905</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53225-2022</t>
        </is>
      </c>
      <c r="B259" s="1" t="n">
        <v>44876</v>
      </c>
      <c r="C259" s="1" t="n">
        <v>45905</v>
      </c>
      <c r="D259" t="inlineStr">
        <is>
          <t>GOTLANDS LÄN</t>
        </is>
      </c>
      <c r="E259" t="inlineStr">
        <is>
          <t>GOTLAND</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49314-2024</t>
        </is>
      </c>
      <c r="B260" s="1" t="n">
        <v>45595.55893518519</v>
      </c>
      <c r="C260" s="1" t="n">
        <v>45905</v>
      </c>
      <c r="D260" t="inlineStr">
        <is>
          <t>GOTLANDS LÄN</t>
        </is>
      </c>
      <c r="E260" t="inlineStr">
        <is>
          <t>GOTLAND</t>
        </is>
      </c>
      <c r="G260" t="n">
        <v>1.1</v>
      </c>
      <c r="H260" t="n">
        <v>0</v>
      </c>
      <c r="I260" t="n">
        <v>0</v>
      </c>
      <c r="J260" t="n">
        <v>0</v>
      </c>
      <c r="K260" t="n">
        <v>0</v>
      </c>
      <c r="L260" t="n">
        <v>0</v>
      </c>
      <c r="M260" t="n">
        <v>0</v>
      </c>
      <c r="N260" t="n">
        <v>0</v>
      </c>
      <c r="O260" t="n">
        <v>0</v>
      </c>
      <c r="P260" t="n">
        <v>0</v>
      </c>
      <c r="Q260" t="n">
        <v>0</v>
      </c>
      <c r="R260" s="2" t="inlineStr"/>
    </row>
    <row r="261" ht="15" customHeight="1">
      <c r="A261" t="inlineStr">
        <is>
          <t>A 45084-2024</t>
        </is>
      </c>
      <c r="B261" s="1" t="n">
        <v>45575</v>
      </c>
      <c r="C261" s="1" t="n">
        <v>45905</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5891-2025</t>
        </is>
      </c>
      <c r="B262" s="1" t="n">
        <v>45695.38327546296</v>
      </c>
      <c r="C262" s="1" t="n">
        <v>45905</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45905</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13627-2023</t>
        </is>
      </c>
      <c r="B264" s="1" t="n">
        <v>45006</v>
      </c>
      <c r="C264" s="1" t="n">
        <v>45905</v>
      </c>
      <c r="D264" t="inlineStr">
        <is>
          <t>GOTLANDS LÄN</t>
        </is>
      </c>
      <c r="E264" t="inlineStr">
        <is>
          <t>GOTLAND</t>
        </is>
      </c>
      <c r="G264" t="n">
        <v>10.7</v>
      </c>
      <c r="H264" t="n">
        <v>0</v>
      </c>
      <c r="I264" t="n">
        <v>0</v>
      </c>
      <c r="J264" t="n">
        <v>0</v>
      </c>
      <c r="K264" t="n">
        <v>0</v>
      </c>
      <c r="L264" t="n">
        <v>0</v>
      </c>
      <c r="M264" t="n">
        <v>0</v>
      </c>
      <c r="N264" t="n">
        <v>0</v>
      </c>
      <c r="O264" t="n">
        <v>0</v>
      </c>
      <c r="P264" t="n">
        <v>0</v>
      </c>
      <c r="Q264" t="n">
        <v>0</v>
      </c>
      <c r="R264" s="2" t="inlineStr"/>
    </row>
    <row r="265" ht="15" customHeight="1">
      <c r="A265" t="inlineStr">
        <is>
          <t>A 7835-2024</t>
        </is>
      </c>
      <c r="B265" s="1" t="n">
        <v>45349.83138888889</v>
      </c>
      <c r="C265" s="1" t="n">
        <v>45905</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48503-2023</t>
        </is>
      </c>
      <c r="B266" s="1" t="n">
        <v>45207</v>
      </c>
      <c r="C266" s="1" t="n">
        <v>45905</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14915-2025</t>
        </is>
      </c>
      <c r="B267" s="1" t="n">
        <v>45743.53121527778</v>
      </c>
      <c r="C267" s="1" t="n">
        <v>45905</v>
      </c>
      <c r="D267" t="inlineStr">
        <is>
          <t>GOTLANDS LÄN</t>
        </is>
      </c>
      <c r="E267" t="inlineStr">
        <is>
          <t>GOTLAND</t>
        </is>
      </c>
      <c r="G267" t="n">
        <v>5.9</v>
      </c>
      <c r="H267" t="n">
        <v>0</v>
      </c>
      <c r="I267" t="n">
        <v>0</v>
      </c>
      <c r="J267" t="n">
        <v>0</v>
      </c>
      <c r="K267" t="n">
        <v>0</v>
      </c>
      <c r="L267" t="n">
        <v>0</v>
      </c>
      <c r="M267" t="n">
        <v>0</v>
      </c>
      <c r="N267" t="n">
        <v>0</v>
      </c>
      <c r="O267" t="n">
        <v>0</v>
      </c>
      <c r="P267" t="n">
        <v>0</v>
      </c>
      <c r="Q267" t="n">
        <v>0</v>
      </c>
      <c r="R267" s="2" t="inlineStr"/>
    </row>
    <row r="268" ht="15" customHeight="1">
      <c r="A268" t="inlineStr">
        <is>
          <t>A 20794-2025</t>
        </is>
      </c>
      <c r="B268" s="1" t="n">
        <v>45776</v>
      </c>
      <c r="C268" s="1" t="n">
        <v>45905</v>
      </c>
      <c r="D268" t="inlineStr">
        <is>
          <t>GOTLANDS LÄN</t>
        </is>
      </c>
      <c r="E268" t="inlineStr">
        <is>
          <t>GOTLAND</t>
        </is>
      </c>
      <c r="G268" t="n">
        <v>6</v>
      </c>
      <c r="H268" t="n">
        <v>0</v>
      </c>
      <c r="I268" t="n">
        <v>0</v>
      </c>
      <c r="J268" t="n">
        <v>0</v>
      </c>
      <c r="K268" t="n">
        <v>0</v>
      </c>
      <c r="L268" t="n">
        <v>0</v>
      </c>
      <c r="M268" t="n">
        <v>0</v>
      </c>
      <c r="N268" t="n">
        <v>0</v>
      </c>
      <c r="O268" t="n">
        <v>0</v>
      </c>
      <c r="P268" t="n">
        <v>0</v>
      </c>
      <c r="Q268" t="n">
        <v>0</v>
      </c>
      <c r="R268" s="2" t="inlineStr"/>
    </row>
    <row r="269" ht="15" customHeight="1">
      <c r="A269" t="inlineStr">
        <is>
          <t>A 20812-2025</t>
        </is>
      </c>
      <c r="B269" s="1" t="n">
        <v>45776</v>
      </c>
      <c r="C269" s="1" t="n">
        <v>45905</v>
      </c>
      <c r="D269" t="inlineStr">
        <is>
          <t>GOTLANDS LÄN</t>
        </is>
      </c>
      <c r="E269" t="inlineStr">
        <is>
          <t>GOTLAND</t>
        </is>
      </c>
      <c r="G269" t="n">
        <v>3</v>
      </c>
      <c r="H269" t="n">
        <v>0</v>
      </c>
      <c r="I269" t="n">
        <v>0</v>
      </c>
      <c r="J269" t="n">
        <v>0</v>
      </c>
      <c r="K269" t="n">
        <v>0</v>
      </c>
      <c r="L269" t="n">
        <v>0</v>
      </c>
      <c r="M269" t="n">
        <v>0</v>
      </c>
      <c r="N269" t="n">
        <v>0</v>
      </c>
      <c r="O269" t="n">
        <v>0</v>
      </c>
      <c r="P269" t="n">
        <v>0</v>
      </c>
      <c r="Q269" t="n">
        <v>0</v>
      </c>
      <c r="R269" s="2" t="inlineStr"/>
    </row>
    <row r="270" ht="15" customHeight="1">
      <c r="A270" t="inlineStr">
        <is>
          <t>A 65901-2021</t>
        </is>
      </c>
      <c r="B270" s="1" t="n">
        <v>44516</v>
      </c>
      <c r="C270" s="1" t="n">
        <v>45905</v>
      </c>
      <c r="D270" t="inlineStr">
        <is>
          <t>GOTLANDS LÄN</t>
        </is>
      </c>
      <c r="E270" t="inlineStr">
        <is>
          <t>GOTLAND</t>
        </is>
      </c>
      <c r="G270" t="n">
        <v>4.9</v>
      </c>
      <c r="H270" t="n">
        <v>0</v>
      </c>
      <c r="I270" t="n">
        <v>0</v>
      </c>
      <c r="J270" t="n">
        <v>0</v>
      </c>
      <c r="K270" t="n">
        <v>0</v>
      </c>
      <c r="L270" t="n">
        <v>0</v>
      </c>
      <c r="M270" t="n">
        <v>0</v>
      </c>
      <c r="N270" t="n">
        <v>0</v>
      </c>
      <c r="O270" t="n">
        <v>0</v>
      </c>
      <c r="P270" t="n">
        <v>0</v>
      </c>
      <c r="Q270" t="n">
        <v>0</v>
      </c>
      <c r="R270" s="2" t="inlineStr"/>
    </row>
    <row r="271" ht="15" customHeight="1">
      <c r="A271" t="inlineStr">
        <is>
          <t>A 5217-2023</t>
        </is>
      </c>
      <c r="B271" s="1" t="n">
        <v>44959.39582175926</v>
      </c>
      <c r="C271" s="1" t="n">
        <v>45905</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20805-2025</t>
        </is>
      </c>
      <c r="B272" s="1" t="n">
        <v>45776</v>
      </c>
      <c r="C272" s="1" t="n">
        <v>45905</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43790-2024</t>
        </is>
      </c>
      <c r="B273" s="1" t="n">
        <v>45571</v>
      </c>
      <c r="C273" s="1" t="n">
        <v>45905</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1477-2024</t>
        </is>
      </c>
      <c r="B274" s="1" t="n">
        <v>45305.37987268518</v>
      </c>
      <c r="C274" s="1" t="n">
        <v>45905</v>
      </c>
      <c r="D274" t="inlineStr">
        <is>
          <t>GOTLANDS LÄN</t>
        </is>
      </c>
      <c r="E274" t="inlineStr">
        <is>
          <t>GOTLAND</t>
        </is>
      </c>
      <c r="G274" t="n">
        <v>6.9</v>
      </c>
      <c r="H274" t="n">
        <v>0</v>
      </c>
      <c r="I274" t="n">
        <v>0</v>
      </c>
      <c r="J274" t="n">
        <v>0</v>
      </c>
      <c r="K274" t="n">
        <v>0</v>
      </c>
      <c r="L274" t="n">
        <v>0</v>
      </c>
      <c r="M274" t="n">
        <v>0</v>
      </c>
      <c r="N274" t="n">
        <v>0</v>
      </c>
      <c r="O274" t="n">
        <v>0</v>
      </c>
      <c r="P274" t="n">
        <v>0</v>
      </c>
      <c r="Q274" t="n">
        <v>0</v>
      </c>
      <c r="R274" s="2" t="inlineStr"/>
    </row>
    <row r="275" ht="15" customHeight="1">
      <c r="A275" t="inlineStr">
        <is>
          <t>A 1677-2023</t>
        </is>
      </c>
      <c r="B275" s="1" t="n">
        <v>44938</v>
      </c>
      <c r="C275" s="1" t="n">
        <v>45905</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44649-2021</t>
        </is>
      </c>
      <c r="B276" s="1" t="n">
        <v>44437</v>
      </c>
      <c r="C276" s="1" t="n">
        <v>45905</v>
      </c>
      <c r="D276" t="inlineStr">
        <is>
          <t>GOTLANDS LÄN</t>
        </is>
      </c>
      <c r="E276" t="inlineStr">
        <is>
          <t>GOTLAND</t>
        </is>
      </c>
      <c r="G276" t="n">
        <v>8.1</v>
      </c>
      <c r="H276" t="n">
        <v>0</v>
      </c>
      <c r="I276" t="n">
        <v>0</v>
      </c>
      <c r="J276" t="n">
        <v>0</v>
      </c>
      <c r="K276" t="n">
        <v>0</v>
      </c>
      <c r="L276" t="n">
        <v>0</v>
      </c>
      <c r="M276" t="n">
        <v>0</v>
      </c>
      <c r="N276" t="n">
        <v>0</v>
      </c>
      <c r="O276" t="n">
        <v>0</v>
      </c>
      <c r="P276" t="n">
        <v>0</v>
      </c>
      <c r="Q276" t="n">
        <v>0</v>
      </c>
      <c r="R276" s="2" t="inlineStr"/>
    </row>
    <row r="277" ht="15" customHeight="1">
      <c r="A277" t="inlineStr">
        <is>
          <t>A 21389-2025</t>
        </is>
      </c>
      <c r="B277" s="1" t="n">
        <v>45782</v>
      </c>
      <c r="C277" s="1" t="n">
        <v>45905</v>
      </c>
      <c r="D277" t="inlineStr">
        <is>
          <t>GOTLANDS LÄN</t>
        </is>
      </c>
      <c r="E277" t="inlineStr">
        <is>
          <t>GOTLAND</t>
        </is>
      </c>
      <c r="G277" t="n">
        <v>4.1</v>
      </c>
      <c r="H277" t="n">
        <v>0</v>
      </c>
      <c r="I277" t="n">
        <v>0</v>
      </c>
      <c r="J277" t="n">
        <v>0</v>
      </c>
      <c r="K277" t="n">
        <v>0</v>
      </c>
      <c r="L277" t="n">
        <v>0</v>
      </c>
      <c r="M277" t="n">
        <v>0</v>
      </c>
      <c r="N277" t="n">
        <v>0</v>
      </c>
      <c r="O277" t="n">
        <v>0</v>
      </c>
      <c r="P277" t="n">
        <v>0</v>
      </c>
      <c r="Q277" t="n">
        <v>0</v>
      </c>
      <c r="R277" s="2" t="inlineStr"/>
    </row>
    <row r="278" ht="15" customHeight="1">
      <c r="A278" t="inlineStr">
        <is>
          <t>A 45244-2024</t>
        </is>
      </c>
      <c r="B278" s="1" t="n">
        <v>45576</v>
      </c>
      <c r="C278" s="1" t="n">
        <v>45905</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45905</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44304-2021</t>
        </is>
      </c>
      <c r="B280" s="1" t="n">
        <v>44434</v>
      </c>
      <c r="C280" s="1" t="n">
        <v>45905</v>
      </c>
      <c r="D280" t="inlineStr">
        <is>
          <t>GOTLANDS LÄN</t>
        </is>
      </c>
      <c r="E280" t="inlineStr">
        <is>
          <t>GOTLAND</t>
        </is>
      </c>
      <c r="G280" t="n">
        <v>5.8</v>
      </c>
      <c r="H280" t="n">
        <v>0</v>
      </c>
      <c r="I280" t="n">
        <v>0</v>
      </c>
      <c r="J280" t="n">
        <v>0</v>
      </c>
      <c r="K280" t="n">
        <v>0</v>
      </c>
      <c r="L280" t="n">
        <v>0</v>
      </c>
      <c r="M280" t="n">
        <v>0</v>
      </c>
      <c r="N280" t="n">
        <v>0</v>
      </c>
      <c r="O280" t="n">
        <v>0</v>
      </c>
      <c r="P280" t="n">
        <v>0</v>
      </c>
      <c r="Q280" t="n">
        <v>0</v>
      </c>
      <c r="R280" s="2" t="inlineStr"/>
    </row>
    <row r="281" ht="15" customHeight="1">
      <c r="A281" t="inlineStr">
        <is>
          <t>A 21142-2025</t>
        </is>
      </c>
      <c r="B281" s="1" t="n">
        <v>45779</v>
      </c>
      <c r="C281" s="1" t="n">
        <v>45905</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21651-2025</t>
        </is>
      </c>
      <c r="B282" s="1" t="n">
        <v>45783</v>
      </c>
      <c r="C282" s="1" t="n">
        <v>45905</v>
      </c>
      <c r="D282" t="inlineStr">
        <is>
          <t>GOTLANDS LÄN</t>
        </is>
      </c>
      <c r="E282" t="inlineStr">
        <is>
          <t>GOTLAND</t>
        </is>
      </c>
      <c r="G282" t="n">
        <v>4.2</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45905</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45905</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8260-2023</t>
        </is>
      </c>
      <c r="B285" s="1" t="n">
        <v>44974.61608796296</v>
      </c>
      <c r="C285" s="1" t="n">
        <v>45905</v>
      </c>
      <c r="D285" t="inlineStr">
        <is>
          <t>GOTLANDS LÄN</t>
        </is>
      </c>
      <c r="E285" t="inlineStr">
        <is>
          <t>GOTLAND</t>
        </is>
      </c>
      <c r="G285" t="n">
        <v>2.9</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45905</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64969-2023</t>
        </is>
      </c>
      <c r="B287" s="1" t="n">
        <v>45284.54009259259</v>
      </c>
      <c r="C287" s="1" t="n">
        <v>45905</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48843-2024</t>
        </is>
      </c>
      <c r="B288" s="1" t="n">
        <v>45593</v>
      </c>
      <c r="C288" s="1" t="n">
        <v>45905</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17541-2024</t>
        </is>
      </c>
      <c r="B289" s="1" t="n">
        <v>45415</v>
      </c>
      <c r="C289" s="1" t="n">
        <v>45905</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2241-2025</t>
        </is>
      </c>
      <c r="B290" s="1" t="n">
        <v>45673.48710648148</v>
      </c>
      <c r="C290" s="1" t="n">
        <v>45905</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63516-2023</t>
        </is>
      </c>
      <c r="B291" s="1" t="n">
        <v>45274</v>
      </c>
      <c r="C291" s="1" t="n">
        <v>45905</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15434-2024</t>
        </is>
      </c>
      <c r="B292" s="1" t="n">
        <v>45401.38836805556</v>
      </c>
      <c r="C292" s="1" t="n">
        <v>45905</v>
      </c>
      <c r="D292" t="inlineStr">
        <is>
          <t>GOTLANDS LÄN</t>
        </is>
      </c>
      <c r="E292" t="inlineStr">
        <is>
          <t>GOTLAND</t>
        </is>
      </c>
      <c r="G292" t="n">
        <v>2.5</v>
      </c>
      <c r="H292" t="n">
        <v>0</v>
      </c>
      <c r="I292" t="n">
        <v>0</v>
      </c>
      <c r="J292" t="n">
        <v>0</v>
      </c>
      <c r="K292" t="n">
        <v>0</v>
      </c>
      <c r="L292" t="n">
        <v>0</v>
      </c>
      <c r="M292" t="n">
        <v>0</v>
      </c>
      <c r="N292" t="n">
        <v>0</v>
      </c>
      <c r="O292" t="n">
        <v>0</v>
      </c>
      <c r="P292" t="n">
        <v>0</v>
      </c>
      <c r="Q292" t="n">
        <v>0</v>
      </c>
      <c r="R292" s="2" t="inlineStr"/>
    </row>
    <row r="293" ht="15" customHeight="1">
      <c r="A293" t="inlineStr">
        <is>
          <t>A 5943-2024</t>
        </is>
      </c>
      <c r="B293" s="1" t="n">
        <v>45336</v>
      </c>
      <c r="C293" s="1" t="n">
        <v>45905</v>
      </c>
      <c r="D293" t="inlineStr">
        <is>
          <t>GOTLANDS LÄN</t>
        </is>
      </c>
      <c r="E293" t="inlineStr">
        <is>
          <t>GOTLAND</t>
        </is>
      </c>
      <c r="G293" t="n">
        <v>4.3</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45905</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45905</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24001-2021</t>
        </is>
      </c>
      <c r="B296" s="1" t="n">
        <v>44335</v>
      </c>
      <c r="C296" s="1" t="n">
        <v>45905</v>
      </c>
      <c r="D296" t="inlineStr">
        <is>
          <t>GOTLANDS LÄN</t>
        </is>
      </c>
      <c r="E296" t="inlineStr">
        <is>
          <t>GOTLAND</t>
        </is>
      </c>
      <c r="G296" t="n">
        <v>3.4</v>
      </c>
      <c r="H296" t="n">
        <v>0</v>
      </c>
      <c r="I296" t="n">
        <v>0</v>
      </c>
      <c r="J296" t="n">
        <v>0</v>
      </c>
      <c r="K296" t="n">
        <v>0</v>
      </c>
      <c r="L296" t="n">
        <v>0</v>
      </c>
      <c r="M296" t="n">
        <v>0</v>
      </c>
      <c r="N296" t="n">
        <v>0</v>
      </c>
      <c r="O296" t="n">
        <v>0</v>
      </c>
      <c r="P296" t="n">
        <v>0</v>
      </c>
      <c r="Q296" t="n">
        <v>0</v>
      </c>
      <c r="R296" s="2" t="inlineStr"/>
    </row>
    <row r="297" ht="15" customHeight="1">
      <c r="A297" t="inlineStr">
        <is>
          <t>A 41038-2023</t>
        </is>
      </c>
      <c r="B297" s="1" t="n">
        <v>45173.60959490741</v>
      </c>
      <c r="C297" s="1" t="n">
        <v>45905</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57356-2023</t>
        </is>
      </c>
      <c r="B298" s="1" t="n">
        <v>45240</v>
      </c>
      <c r="C298" s="1" t="n">
        <v>45905</v>
      </c>
      <c r="D298" t="inlineStr">
        <is>
          <t>GOTLANDS LÄN</t>
        </is>
      </c>
      <c r="E298" t="inlineStr">
        <is>
          <t>GOTLAND</t>
        </is>
      </c>
      <c r="G298" t="n">
        <v>6.4</v>
      </c>
      <c r="H298" t="n">
        <v>0</v>
      </c>
      <c r="I298" t="n">
        <v>0</v>
      </c>
      <c r="J298" t="n">
        <v>0</v>
      </c>
      <c r="K298" t="n">
        <v>0</v>
      </c>
      <c r="L298" t="n">
        <v>0</v>
      </c>
      <c r="M298" t="n">
        <v>0</v>
      </c>
      <c r="N298" t="n">
        <v>0</v>
      </c>
      <c r="O298" t="n">
        <v>0</v>
      </c>
      <c r="P298" t="n">
        <v>0</v>
      </c>
      <c r="Q298" t="n">
        <v>0</v>
      </c>
      <c r="R298" s="2" t="inlineStr"/>
    </row>
    <row r="299" ht="15" customHeight="1">
      <c r="A299" t="inlineStr">
        <is>
          <t>A 10656-2024</t>
        </is>
      </c>
      <c r="B299" s="1" t="n">
        <v>45368</v>
      </c>
      <c r="C299" s="1" t="n">
        <v>45905</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30365-2024</t>
        </is>
      </c>
      <c r="B300" s="1" t="n">
        <v>45491.3716087963</v>
      </c>
      <c r="C300" s="1" t="n">
        <v>45905</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34142-2024</t>
        </is>
      </c>
      <c r="B301" s="1" t="n">
        <v>45524.36521990741</v>
      </c>
      <c r="C301" s="1" t="n">
        <v>45905</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14427-2024</t>
        </is>
      </c>
      <c r="B302" s="1" t="n">
        <v>45394</v>
      </c>
      <c r="C302" s="1" t="n">
        <v>45905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1681-2023</t>
        </is>
      </c>
      <c r="B303" s="1" t="n">
        <v>44938.39715277778</v>
      </c>
      <c r="C303" s="1" t="n">
        <v>45905</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28506-2023</t>
        </is>
      </c>
      <c r="B304" s="1" t="n">
        <v>45103</v>
      </c>
      <c r="C304" s="1" t="n">
        <v>45905</v>
      </c>
      <c r="D304" t="inlineStr">
        <is>
          <t>GOTLANDS LÄN</t>
        </is>
      </c>
      <c r="E304" t="inlineStr">
        <is>
          <t>GOTLAND</t>
        </is>
      </c>
      <c r="G304" t="n">
        <v>3.2</v>
      </c>
      <c r="H304" t="n">
        <v>0</v>
      </c>
      <c r="I304" t="n">
        <v>0</v>
      </c>
      <c r="J304" t="n">
        <v>0</v>
      </c>
      <c r="K304" t="n">
        <v>0</v>
      </c>
      <c r="L304" t="n">
        <v>0</v>
      </c>
      <c r="M304" t="n">
        <v>0</v>
      </c>
      <c r="N304" t="n">
        <v>0</v>
      </c>
      <c r="O304" t="n">
        <v>0</v>
      </c>
      <c r="P304" t="n">
        <v>0</v>
      </c>
      <c r="Q304" t="n">
        <v>0</v>
      </c>
      <c r="R304" s="2" t="inlineStr"/>
    </row>
    <row r="305" ht="15" customHeight="1">
      <c r="A305" t="inlineStr">
        <is>
          <t>A 21420-2024</t>
        </is>
      </c>
      <c r="B305" s="1" t="n">
        <v>45441.38293981482</v>
      </c>
      <c r="C305" s="1" t="n">
        <v>45905</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31802-2024</t>
        </is>
      </c>
      <c r="B306" s="1" t="n">
        <v>45509</v>
      </c>
      <c r="C306" s="1" t="n">
        <v>45905</v>
      </c>
      <c r="D306" t="inlineStr">
        <is>
          <t>GOTLANDS LÄN</t>
        </is>
      </c>
      <c r="E306" t="inlineStr">
        <is>
          <t>GOTLAND</t>
        </is>
      </c>
      <c r="G306" t="n">
        <v>2.8</v>
      </c>
      <c r="H306" t="n">
        <v>0</v>
      </c>
      <c r="I306" t="n">
        <v>0</v>
      </c>
      <c r="J306" t="n">
        <v>0</v>
      </c>
      <c r="K306" t="n">
        <v>0</v>
      </c>
      <c r="L306" t="n">
        <v>0</v>
      </c>
      <c r="M306" t="n">
        <v>0</v>
      </c>
      <c r="N306" t="n">
        <v>0</v>
      </c>
      <c r="O306" t="n">
        <v>0</v>
      </c>
      <c r="P306" t="n">
        <v>0</v>
      </c>
      <c r="Q306" t="n">
        <v>0</v>
      </c>
      <c r="R306" s="2" t="inlineStr"/>
    </row>
    <row r="307" ht="15" customHeight="1">
      <c r="A307" t="inlineStr">
        <is>
          <t>A 6099-2024</t>
        </is>
      </c>
      <c r="B307" s="1" t="n">
        <v>45337</v>
      </c>
      <c r="C307" s="1" t="n">
        <v>45905</v>
      </c>
      <c r="D307" t="inlineStr">
        <is>
          <t>GOTLANDS LÄN</t>
        </is>
      </c>
      <c r="E307" t="inlineStr">
        <is>
          <t>GOTLAND</t>
        </is>
      </c>
      <c r="G307" t="n">
        <v>12.6</v>
      </c>
      <c r="H307" t="n">
        <v>0</v>
      </c>
      <c r="I307" t="n">
        <v>0</v>
      </c>
      <c r="J307" t="n">
        <v>0</v>
      </c>
      <c r="K307" t="n">
        <v>0</v>
      </c>
      <c r="L307" t="n">
        <v>0</v>
      </c>
      <c r="M307" t="n">
        <v>0</v>
      </c>
      <c r="N307" t="n">
        <v>0</v>
      </c>
      <c r="O307" t="n">
        <v>0</v>
      </c>
      <c r="P307" t="n">
        <v>0</v>
      </c>
      <c r="Q307" t="n">
        <v>0</v>
      </c>
      <c r="R307" s="2" t="inlineStr"/>
    </row>
    <row r="308" ht="15" customHeight="1">
      <c r="A308" t="inlineStr">
        <is>
          <t>A 23188-2025</t>
        </is>
      </c>
      <c r="B308" s="1" t="n">
        <v>45791</v>
      </c>
      <c r="C308" s="1" t="n">
        <v>45905</v>
      </c>
      <c r="D308" t="inlineStr">
        <is>
          <t>GOTLANDS LÄN</t>
        </is>
      </c>
      <c r="E308" t="inlineStr">
        <is>
          <t>GOTLAND</t>
        </is>
      </c>
      <c r="G308" t="n">
        <v>6.2</v>
      </c>
      <c r="H308" t="n">
        <v>0</v>
      </c>
      <c r="I308" t="n">
        <v>0</v>
      </c>
      <c r="J308" t="n">
        <v>0</v>
      </c>
      <c r="K308" t="n">
        <v>0</v>
      </c>
      <c r="L308" t="n">
        <v>0</v>
      </c>
      <c r="M308" t="n">
        <v>0</v>
      </c>
      <c r="N308" t="n">
        <v>0</v>
      </c>
      <c r="O308" t="n">
        <v>0</v>
      </c>
      <c r="P308" t="n">
        <v>0</v>
      </c>
      <c r="Q308" t="n">
        <v>0</v>
      </c>
      <c r="R308" s="2" t="inlineStr"/>
    </row>
    <row r="309" ht="15" customHeight="1">
      <c r="A309" t="inlineStr">
        <is>
          <t>A 8684-2025</t>
        </is>
      </c>
      <c r="B309" s="1" t="n">
        <v>45712.45605324074</v>
      </c>
      <c r="C309" s="1" t="n">
        <v>45905</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1273-2023</t>
        </is>
      </c>
      <c r="B310" s="1" t="n">
        <v>44936</v>
      </c>
      <c r="C310" s="1" t="n">
        <v>45905</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8036-2022</t>
        </is>
      </c>
      <c r="B311" s="1" t="n">
        <v>44609.44362268518</v>
      </c>
      <c r="C311" s="1" t="n">
        <v>45905</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12846-2025</t>
        </is>
      </c>
      <c r="B312" s="1" t="n">
        <v>45733.65049768519</v>
      </c>
      <c r="C312" s="1" t="n">
        <v>45905</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23473-2025</t>
        </is>
      </c>
      <c r="B313" s="1" t="n">
        <v>45792</v>
      </c>
      <c r="C313" s="1" t="n">
        <v>45905</v>
      </c>
      <c r="D313" t="inlineStr">
        <is>
          <t>GOTLANDS LÄN</t>
        </is>
      </c>
      <c r="E313" t="inlineStr">
        <is>
          <t>GOTLAND</t>
        </is>
      </c>
      <c r="G313" t="n">
        <v>3.6</v>
      </c>
      <c r="H313" t="n">
        <v>0</v>
      </c>
      <c r="I313" t="n">
        <v>0</v>
      </c>
      <c r="J313" t="n">
        <v>0</v>
      </c>
      <c r="K313" t="n">
        <v>0</v>
      </c>
      <c r="L313" t="n">
        <v>0</v>
      </c>
      <c r="M313" t="n">
        <v>0</v>
      </c>
      <c r="N313" t="n">
        <v>0</v>
      </c>
      <c r="O313" t="n">
        <v>0</v>
      </c>
      <c r="P313" t="n">
        <v>0</v>
      </c>
      <c r="Q313" t="n">
        <v>0</v>
      </c>
      <c r="R313" s="2" t="inlineStr"/>
    </row>
    <row r="314" ht="15" customHeight="1">
      <c r="A314" t="inlineStr">
        <is>
          <t>A 58780-2024</t>
        </is>
      </c>
      <c r="B314" s="1" t="n">
        <v>45635.84113425926</v>
      </c>
      <c r="C314" s="1" t="n">
        <v>45905</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45692-2023</t>
        </is>
      </c>
      <c r="B315" s="1" t="n">
        <v>45195</v>
      </c>
      <c r="C315" s="1" t="n">
        <v>45905</v>
      </c>
      <c r="D315" t="inlineStr">
        <is>
          <t>GOTLANDS LÄN</t>
        </is>
      </c>
      <c r="E315" t="inlineStr">
        <is>
          <t>GOTLAND</t>
        </is>
      </c>
      <c r="G315" t="n">
        <v>5.3</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45905</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23856-2025</t>
        </is>
      </c>
      <c r="B317" s="1" t="n">
        <v>45793</v>
      </c>
      <c r="C317" s="1" t="n">
        <v>45905</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46778-2020</t>
        </is>
      </c>
      <c r="B318" s="1" t="n">
        <v>44096</v>
      </c>
      <c r="C318" s="1" t="n">
        <v>45905</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23700-2025</t>
        </is>
      </c>
      <c r="B319" s="1" t="n">
        <v>45793</v>
      </c>
      <c r="C319" s="1" t="n">
        <v>45905</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46949-2024</t>
        </is>
      </c>
      <c r="B320" s="1" t="n">
        <v>45585</v>
      </c>
      <c r="C320" s="1" t="n">
        <v>45905</v>
      </c>
      <c r="D320" t="inlineStr">
        <is>
          <t>GOTLANDS LÄN</t>
        </is>
      </c>
      <c r="E320" t="inlineStr">
        <is>
          <t>GOTLAND</t>
        </is>
      </c>
      <c r="G320" t="n">
        <v>0.6</v>
      </c>
      <c r="H320" t="n">
        <v>0</v>
      </c>
      <c r="I320" t="n">
        <v>0</v>
      </c>
      <c r="J320" t="n">
        <v>0</v>
      </c>
      <c r="K320" t="n">
        <v>0</v>
      </c>
      <c r="L320" t="n">
        <v>0</v>
      </c>
      <c r="M320" t="n">
        <v>0</v>
      </c>
      <c r="N320" t="n">
        <v>0</v>
      </c>
      <c r="O320" t="n">
        <v>0</v>
      </c>
      <c r="P320" t="n">
        <v>0</v>
      </c>
      <c r="Q320" t="n">
        <v>0</v>
      </c>
      <c r="R320" s="2" t="inlineStr"/>
    </row>
    <row r="321" ht="15" customHeight="1">
      <c r="A321" t="inlineStr">
        <is>
          <t>A 15073-2025</t>
        </is>
      </c>
      <c r="B321" s="1" t="n">
        <v>45743</v>
      </c>
      <c r="C321" s="1" t="n">
        <v>45905</v>
      </c>
      <c r="D321" t="inlineStr">
        <is>
          <t>GOTLANDS LÄN</t>
        </is>
      </c>
      <c r="E321" t="inlineStr">
        <is>
          <t>GOTLAND</t>
        </is>
      </c>
      <c r="G321" t="n">
        <v>12.1</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45905</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61100-2022</t>
        </is>
      </c>
      <c r="B323" s="1" t="n">
        <v>44915</v>
      </c>
      <c r="C323" s="1" t="n">
        <v>45905</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6749-2025</t>
        </is>
      </c>
      <c r="B324" s="1" t="n">
        <v>45700</v>
      </c>
      <c r="C324" s="1" t="n">
        <v>45905</v>
      </c>
      <c r="D324" t="inlineStr">
        <is>
          <t>GOTLANDS LÄN</t>
        </is>
      </c>
      <c r="E324" t="inlineStr">
        <is>
          <t>GOTLAND</t>
        </is>
      </c>
      <c r="G324" t="n">
        <v>4.5</v>
      </c>
      <c r="H324" t="n">
        <v>0</v>
      </c>
      <c r="I324" t="n">
        <v>0</v>
      </c>
      <c r="J324" t="n">
        <v>0</v>
      </c>
      <c r="K324" t="n">
        <v>0</v>
      </c>
      <c r="L324" t="n">
        <v>0</v>
      </c>
      <c r="M324" t="n">
        <v>0</v>
      </c>
      <c r="N324" t="n">
        <v>0</v>
      </c>
      <c r="O324" t="n">
        <v>0</v>
      </c>
      <c r="P324" t="n">
        <v>0</v>
      </c>
      <c r="Q324" t="n">
        <v>0</v>
      </c>
      <c r="R324" s="2" t="inlineStr"/>
    </row>
    <row r="325" ht="15" customHeight="1">
      <c r="A325" t="inlineStr">
        <is>
          <t>A 61682-2024</t>
        </is>
      </c>
      <c r="B325" s="1" t="n">
        <v>45647.48824074074</v>
      </c>
      <c r="C325" s="1" t="n">
        <v>45905</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15075-2025</t>
        </is>
      </c>
      <c r="B326" s="1" t="n">
        <v>45743</v>
      </c>
      <c r="C326" s="1" t="n">
        <v>45905</v>
      </c>
      <c r="D326" t="inlineStr">
        <is>
          <t>GOTLANDS LÄN</t>
        </is>
      </c>
      <c r="E326" t="inlineStr">
        <is>
          <t>GOTLAND</t>
        </is>
      </c>
      <c r="G326" t="n">
        <v>20.9</v>
      </c>
      <c r="H326" t="n">
        <v>0</v>
      </c>
      <c r="I326" t="n">
        <v>0</v>
      </c>
      <c r="J326" t="n">
        <v>0</v>
      </c>
      <c r="K326" t="n">
        <v>0</v>
      </c>
      <c r="L326" t="n">
        <v>0</v>
      </c>
      <c r="M326" t="n">
        <v>0</v>
      </c>
      <c r="N326" t="n">
        <v>0</v>
      </c>
      <c r="O326" t="n">
        <v>0</v>
      </c>
      <c r="P326" t="n">
        <v>0</v>
      </c>
      <c r="Q326" t="n">
        <v>0</v>
      </c>
      <c r="R326" s="2" t="inlineStr"/>
    </row>
    <row r="327" ht="15" customHeight="1">
      <c r="A327" t="inlineStr">
        <is>
          <t>A 23698-2025</t>
        </is>
      </c>
      <c r="B327" s="1" t="n">
        <v>45793</v>
      </c>
      <c r="C327" s="1" t="n">
        <v>45905</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43785-2024</t>
        </is>
      </c>
      <c r="B328" s="1" t="n">
        <v>45570</v>
      </c>
      <c r="C328" s="1" t="n">
        <v>45905</v>
      </c>
      <c r="D328" t="inlineStr">
        <is>
          <t>GOTLANDS LÄN</t>
        </is>
      </c>
      <c r="E328" t="inlineStr">
        <is>
          <t>GOTLAND</t>
        </is>
      </c>
      <c r="G328" t="n">
        <v>12.6</v>
      </c>
      <c r="H328" t="n">
        <v>0</v>
      </c>
      <c r="I328" t="n">
        <v>0</v>
      </c>
      <c r="J328" t="n">
        <v>0</v>
      </c>
      <c r="K328" t="n">
        <v>0</v>
      </c>
      <c r="L328" t="n">
        <v>0</v>
      </c>
      <c r="M328" t="n">
        <v>0</v>
      </c>
      <c r="N328" t="n">
        <v>0</v>
      </c>
      <c r="O328" t="n">
        <v>0</v>
      </c>
      <c r="P328" t="n">
        <v>0</v>
      </c>
      <c r="Q328" t="n">
        <v>0</v>
      </c>
      <c r="R328" s="2" t="inlineStr"/>
    </row>
    <row r="329" ht="15" customHeight="1">
      <c r="A329" t="inlineStr">
        <is>
          <t>A 10650-2022</t>
        </is>
      </c>
      <c r="B329" s="1" t="n">
        <v>44624.57945601852</v>
      </c>
      <c r="C329" s="1" t="n">
        <v>45905</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58388-2022</t>
        </is>
      </c>
      <c r="B330" s="1" t="n">
        <v>44894</v>
      </c>
      <c r="C330" s="1" t="n">
        <v>45905</v>
      </c>
      <c r="D330" t="inlineStr">
        <is>
          <t>GOTLANDS LÄN</t>
        </is>
      </c>
      <c r="E330" t="inlineStr">
        <is>
          <t>GOTLAND</t>
        </is>
      </c>
      <c r="F330" t="inlineStr">
        <is>
          <t>Övriga statliga verk och myndigheter</t>
        </is>
      </c>
      <c r="G330" t="n">
        <v>3.1</v>
      </c>
      <c r="H330" t="n">
        <v>0</v>
      </c>
      <c r="I330" t="n">
        <v>0</v>
      </c>
      <c r="J330" t="n">
        <v>0</v>
      </c>
      <c r="K330" t="n">
        <v>0</v>
      </c>
      <c r="L330" t="n">
        <v>0</v>
      </c>
      <c r="M330" t="n">
        <v>0</v>
      </c>
      <c r="N330" t="n">
        <v>0</v>
      </c>
      <c r="O330" t="n">
        <v>0</v>
      </c>
      <c r="P330" t="n">
        <v>0</v>
      </c>
      <c r="Q330" t="n">
        <v>0</v>
      </c>
      <c r="R330" s="2" t="inlineStr"/>
    </row>
    <row r="331" ht="15" customHeight="1">
      <c r="A331" t="inlineStr">
        <is>
          <t>A 21792-2024</t>
        </is>
      </c>
      <c r="B331" s="1" t="n">
        <v>45442.64326388889</v>
      </c>
      <c r="C331" s="1" t="n">
        <v>45905</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5462-2025</t>
        </is>
      </c>
      <c r="B332" s="1" t="n">
        <v>45693.29331018519</v>
      </c>
      <c r="C332" s="1" t="n">
        <v>45905</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18993-2025</t>
        </is>
      </c>
      <c r="B333" s="1" t="n">
        <v>45764</v>
      </c>
      <c r="C333" s="1" t="n">
        <v>45905</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11634-2024</t>
        </is>
      </c>
      <c r="B334" s="1" t="n">
        <v>45373</v>
      </c>
      <c r="C334" s="1" t="n">
        <v>45905</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17688-2024</t>
        </is>
      </c>
      <c r="B335" s="1" t="n">
        <v>45418.43575231481</v>
      </c>
      <c r="C335" s="1" t="n">
        <v>45905</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1351-2025</t>
        </is>
      </c>
      <c r="B336" s="1" t="n">
        <v>45667.62246527777</v>
      </c>
      <c r="C336" s="1" t="n">
        <v>45905</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39496-2022</t>
        </is>
      </c>
      <c r="B337" s="1" t="n">
        <v>44818</v>
      </c>
      <c r="C337" s="1" t="n">
        <v>45905</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7837-2024</t>
        </is>
      </c>
      <c r="B338" s="1" t="n">
        <v>45349.83787037037</v>
      </c>
      <c r="C338" s="1" t="n">
        <v>45905</v>
      </c>
      <c r="D338" t="inlineStr">
        <is>
          <t>GOTLANDS LÄN</t>
        </is>
      </c>
      <c r="E338" t="inlineStr">
        <is>
          <t>GOTLAND</t>
        </is>
      </c>
      <c r="G338" t="n">
        <v>5</v>
      </c>
      <c r="H338" t="n">
        <v>0</v>
      </c>
      <c r="I338" t="n">
        <v>0</v>
      </c>
      <c r="J338" t="n">
        <v>0</v>
      </c>
      <c r="K338" t="n">
        <v>0</v>
      </c>
      <c r="L338" t="n">
        <v>0</v>
      </c>
      <c r="M338" t="n">
        <v>0</v>
      </c>
      <c r="N338" t="n">
        <v>0</v>
      </c>
      <c r="O338" t="n">
        <v>0</v>
      </c>
      <c r="P338" t="n">
        <v>0</v>
      </c>
      <c r="Q338" t="n">
        <v>0</v>
      </c>
      <c r="R338" s="2" t="inlineStr"/>
    </row>
    <row r="339" ht="15" customHeight="1">
      <c r="A339" t="inlineStr">
        <is>
          <t>A 25796-2025</t>
        </is>
      </c>
      <c r="B339" s="1" t="n">
        <v>45804.39543981481</v>
      </c>
      <c r="C339" s="1" t="n">
        <v>45905</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49874-2024</t>
        </is>
      </c>
      <c r="B340" s="1" t="n">
        <v>45597.49274305555</v>
      </c>
      <c r="C340" s="1" t="n">
        <v>45905</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3930-2025</t>
        </is>
      </c>
      <c r="B341" s="1" t="n">
        <v>45684.45427083333</v>
      </c>
      <c r="C341" s="1" t="n">
        <v>45905</v>
      </c>
      <c r="D341" t="inlineStr">
        <is>
          <t>GOTLANDS LÄN</t>
        </is>
      </c>
      <c r="E341" t="inlineStr">
        <is>
          <t>GOTLAND</t>
        </is>
      </c>
      <c r="G341" t="n">
        <v>5.2</v>
      </c>
      <c r="H341" t="n">
        <v>0</v>
      </c>
      <c r="I341" t="n">
        <v>0</v>
      </c>
      <c r="J341" t="n">
        <v>0</v>
      </c>
      <c r="K341" t="n">
        <v>0</v>
      </c>
      <c r="L341" t="n">
        <v>0</v>
      </c>
      <c r="M341" t="n">
        <v>0</v>
      </c>
      <c r="N341" t="n">
        <v>0</v>
      </c>
      <c r="O341" t="n">
        <v>0</v>
      </c>
      <c r="P341" t="n">
        <v>0</v>
      </c>
      <c r="Q341" t="n">
        <v>0</v>
      </c>
      <c r="R341" s="2" t="inlineStr"/>
    </row>
    <row r="342" ht="15" customHeight="1">
      <c r="A342" t="inlineStr">
        <is>
          <t>A 25678-2025</t>
        </is>
      </c>
      <c r="B342" s="1" t="n">
        <v>45803.64118055555</v>
      </c>
      <c r="C342" s="1" t="n">
        <v>45905</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42201-2023</t>
        </is>
      </c>
      <c r="B343" s="1" t="n">
        <v>45179</v>
      </c>
      <c r="C343" s="1" t="n">
        <v>45905</v>
      </c>
      <c r="D343" t="inlineStr">
        <is>
          <t>GOTLANDS LÄN</t>
        </is>
      </c>
      <c r="E343" t="inlineStr">
        <is>
          <t>GOTLAND</t>
        </is>
      </c>
      <c r="G343" t="n">
        <v>11.9</v>
      </c>
      <c r="H343" t="n">
        <v>0</v>
      </c>
      <c r="I343" t="n">
        <v>0</v>
      </c>
      <c r="J343" t="n">
        <v>0</v>
      </c>
      <c r="K343" t="n">
        <v>0</v>
      </c>
      <c r="L343" t="n">
        <v>0</v>
      </c>
      <c r="M343" t="n">
        <v>0</v>
      </c>
      <c r="N343" t="n">
        <v>0</v>
      </c>
      <c r="O343" t="n">
        <v>0</v>
      </c>
      <c r="P343" t="n">
        <v>0</v>
      </c>
      <c r="Q343" t="n">
        <v>0</v>
      </c>
      <c r="R343" s="2" t="inlineStr"/>
    </row>
    <row r="344" ht="15" customHeight="1">
      <c r="A344" t="inlineStr">
        <is>
          <t>A 4568-2025</t>
        </is>
      </c>
      <c r="B344" s="1" t="n">
        <v>45687</v>
      </c>
      <c r="C344" s="1" t="n">
        <v>45905</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46400-2023</t>
        </is>
      </c>
      <c r="B345" s="1" t="n">
        <v>45197.49290509259</v>
      </c>
      <c r="C345" s="1" t="n">
        <v>45905</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9875-2025</t>
        </is>
      </c>
      <c r="B346" s="1" t="n">
        <v>45716</v>
      </c>
      <c r="C346" s="1" t="n">
        <v>45905</v>
      </c>
      <c r="D346" t="inlineStr">
        <is>
          <t>GOTLANDS LÄN</t>
        </is>
      </c>
      <c r="E346" t="inlineStr">
        <is>
          <t>GOTLAND</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19002-2025</t>
        </is>
      </c>
      <c r="B347" s="1" t="n">
        <v>45764</v>
      </c>
      <c r="C347" s="1" t="n">
        <v>45905</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26391-2025</t>
        </is>
      </c>
      <c r="B348" s="1" t="n">
        <v>45806</v>
      </c>
      <c r="C348" s="1" t="n">
        <v>45905</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21164-2024</t>
        </is>
      </c>
      <c r="B349" s="1" t="n">
        <v>45440</v>
      </c>
      <c r="C349" s="1" t="n">
        <v>45905</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8045-2022</t>
        </is>
      </c>
      <c r="B350" s="1" t="n">
        <v>44609</v>
      </c>
      <c r="C350" s="1" t="n">
        <v>45905</v>
      </c>
      <c r="D350" t="inlineStr">
        <is>
          <t>GOTLANDS LÄN</t>
        </is>
      </c>
      <c r="E350" t="inlineStr">
        <is>
          <t>GOTLAND</t>
        </is>
      </c>
      <c r="G350" t="n">
        <v>7</v>
      </c>
      <c r="H350" t="n">
        <v>0</v>
      </c>
      <c r="I350" t="n">
        <v>0</v>
      </c>
      <c r="J350" t="n">
        <v>0</v>
      </c>
      <c r="K350" t="n">
        <v>0</v>
      </c>
      <c r="L350" t="n">
        <v>0</v>
      </c>
      <c r="M350" t="n">
        <v>0</v>
      </c>
      <c r="N350" t="n">
        <v>0</v>
      </c>
      <c r="O350" t="n">
        <v>0</v>
      </c>
      <c r="P350" t="n">
        <v>0</v>
      </c>
      <c r="Q350" t="n">
        <v>0</v>
      </c>
      <c r="R350" s="2" t="inlineStr"/>
    </row>
    <row r="351" ht="15" customHeight="1">
      <c r="A351" t="inlineStr">
        <is>
          <t>A 35512-2023</t>
        </is>
      </c>
      <c r="B351" s="1" t="n">
        <v>45147.25623842593</v>
      </c>
      <c r="C351" s="1" t="n">
        <v>45905</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5905-2024</t>
        </is>
      </c>
      <c r="B352" s="1" t="n">
        <v>45335.88993055555</v>
      </c>
      <c r="C352" s="1" t="n">
        <v>45905</v>
      </c>
      <c r="D352" t="inlineStr">
        <is>
          <t>GOTLANDS LÄN</t>
        </is>
      </c>
      <c r="E352" t="inlineStr">
        <is>
          <t>GOTLAND</t>
        </is>
      </c>
      <c r="G352" t="n">
        <v>3</v>
      </c>
      <c r="H352" t="n">
        <v>0</v>
      </c>
      <c r="I352" t="n">
        <v>0</v>
      </c>
      <c r="J352" t="n">
        <v>0</v>
      </c>
      <c r="K352" t="n">
        <v>0</v>
      </c>
      <c r="L352" t="n">
        <v>0</v>
      </c>
      <c r="M352" t="n">
        <v>0</v>
      </c>
      <c r="N352" t="n">
        <v>0</v>
      </c>
      <c r="O352" t="n">
        <v>0</v>
      </c>
      <c r="P352" t="n">
        <v>0</v>
      </c>
      <c r="Q352" t="n">
        <v>0</v>
      </c>
      <c r="R352" s="2" t="inlineStr"/>
    </row>
    <row r="353" ht="15" customHeight="1">
      <c r="A353" t="inlineStr">
        <is>
          <t>A 22897-2023</t>
        </is>
      </c>
      <c r="B353" s="1" t="n">
        <v>45072.55239583334</v>
      </c>
      <c r="C353" s="1" t="n">
        <v>45905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1291-2023</t>
        </is>
      </c>
      <c r="B354" s="1" t="n">
        <v>44936.47561342592</v>
      </c>
      <c r="C354" s="1" t="n">
        <v>45905</v>
      </c>
      <c r="D354" t="inlineStr">
        <is>
          <t>GOTLANDS LÄN</t>
        </is>
      </c>
      <c r="E354" t="inlineStr">
        <is>
          <t>GOTLAND</t>
        </is>
      </c>
      <c r="G354" t="n">
        <v>7.4</v>
      </c>
      <c r="H354" t="n">
        <v>0</v>
      </c>
      <c r="I354" t="n">
        <v>0</v>
      </c>
      <c r="J354" t="n">
        <v>0</v>
      </c>
      <c r="K354" t="n">
        <v>0</v>
      </c>
      <c r="L354" t="n">
        <v>0</v>
      </c>
      <c r="M354" t="n">
        <v>0</v>
      </c>
      <c r="N354" t="n">
        <v>0</v>
      </c>
      <c r="O354" t="n">
        <v>0</v>
      </c>
      <c r="P354" t="n">
        <v>0</v>
      </c>
      <c r="Q354" t="n">
        <v>0</v>
      </c>
      <c r="R354" s="2" t="inlineStr"/>
    </row>
    <row r="355" ht="15" customHeight="1">
      <c r="A355" t="inlineStr">
        <is>
          <t>A 26457-2025</t>
        </is>
      </c>
      <c r="B355" s="1" t="n">
        <v>45807.42773148148</v>
      </c>
      <c r="C355" s="1" t="n">
        <v>45905</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26467-2025</t>
        </is>
      </c>
      <c r="B356" s="1" t="n">
        <v>45807.44640046296</v>
      </c>
      <c r="C356" s="1" t="n">
        <v>45905</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61897-2024</t>
        </is>
      </c>
      <c r="B357" s="1" t="n">
        <v>45652.75685185185</v>
      </c>
      <c r="C357" s="1" t="n">
        <v>45905</v>
      </c>
      <c r="D357" t="inlineStr">
        <is>
          <t>GOTLANDS LÄN</t>
        </is>
      </c>
      <c r="E357" t="inlineStr">
        <is>
          <t>GOTLAND</t>
        </is>
      </c>
      <c r="G357" t="n">
        <v>6.4</v>
      </c>
      <c r="H357" t="n">
        <v>0</v>
      </c>
      <c r="I357" t="n">
        <v>0</v>
      </c>
      <c r="J357" t="n">
        <v>0</v>
      </c>
      <c r="K357" t="n">
        <v>0</v>
      </c>
      <c r="L357" t="n">
        <v>0</v>
      </c>
      <c r="M357" t="n">
        <v>0</v>
      </c>
      <c r="N357" t="n">
        <v>0</v>
      </c>
      <c r="O357" t="n">
        <v>0</v>
      </c>
      <c r="P357" t="n">
        <v>0</v>
      </c>
      <c r="Q357" t="n">
        <v>0</v>
      </c>
      <c r="R357" s="2" t="inlineStr"/>
    </row>
    <row r="358" ht="15" customHeight="1">
      <c r="A358" t="inlineStr">
        <is>
          <t>A 26465-2025</t>
        </is>
      </c>
      <c r="B358" s="1" t="n">
        <v>45807.44377314814</v>
      </c>
      <c r="C358" s="1" t="n">
        <v>45905</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57652-2023</t>
        </is>
      </c>
      <c r="B359" s="1" t="n">
        <v>45246</v>
      </c>
      <c r="C359" s="1" t="n">
        <v>45905</v>
      </c>
      <c r="D359" t="inlineStr">
        <is>
          <t>GOTLANDS LÄN</t>
        </is>
      </c>
      <c r="E359" t="inlineStr">
        <is>
          <t>GOTLAND</t>
        </is>
      </c>
      <c r="G359" t="n">
        <v>7.2</v>
      </c>
      <c r="H359" t="n">
        <v>0</v>
      </c>
      <c r="I359" t="n">
        <v>0</v>
      </c>
      <c r="J359" t="n">
        <v>0</v>
      </c>
      <c r="K359" t="n">
        <v>0</v>
      </c>
      <c r="L359" t="n">
        <v>0</v>
      </c>
      <c r="M359" t="n">
        <v>0</v>
      </c>
      <c r="N359" t="n">
        <v>0</v>
      </c>
      <c r="O359" t="n">
        <v>0</v>
      </c>
      <c r="P359" t="n">
        <v>0</v>
      </c>
      <c r="Q359" t="n">
        <v>0</v>
      </c>
      <c r="R359" s="2" t="inlineStr"/>
    </row>
    <row r="360" ht="15" customHeight="1">
      <c r="A360" t="inlineStr">
        <is>
          <t>A 49962-2023</t>
        </is>
      </c>
      <c r="B360" s="1" t="n">
        <v>45215.38775462963</v>
      </c>
      <c r="C360" s="1" t="n">
        <v>45905</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26660-2025</t>
        </is>
      </c>
      <c r="B361" s="1" t="n">
        <v>45810.39737268518</v>
      </c>
      <c r="C361" s="1" t="n">
        <v>45905</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49315-2024</t>
        </is>
      </c>
      <c r="B362" s="1" t="n">
        <v>45595</v>
      </c>
      <c r="C362" s="1" t="n">
        <v>45905</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45106-2024</t>
        </is>
      </c>
      <c r="B363" s="1" t="n">
        <v>45575</v>
      </c>
      <c r="C363" s="1" t="n">
        <v>45905</v>
      </c>
      <c r="D363" t="inlineStr">
        <is>
          <t>GOTLANDS LÄN</t>
        </is>
      </c>
      <c r="E363" t="inlineStr">
        <is>
          <t>GOTLAND</t>
        </is>
      </c>
      <c r="G363" t="n">
        <v>10</v>
      </c>
      <c r="H363" t="n">
        <v>0</v>
      </c>
      <c r="I363" t="n">
        <v>0</v>
      </c>
      <c r="J363" t="n">
        <v>0</v>
      </c>
      <c r="K363" t="n">
        <v>0</v>
      </c>
      <c r="L363" t="n">
        <v>0</v>
      </c>
      <c r="M363" t="n">
        <v>0</v>
      </c>
      <c r="N363" t="n">
        <v>0</v>
      </c>
      <c r="O363" t="n">
        <v>0</v>
      </c>
      <c r="P363" t="n">
        <v>0</v>
      </c>
      <c r="Q363" t="n">
        <v>0</v>
      </c>
      <c r="R363" s="2" t="inlineStr"/>
    </row>
    <row r="364" ht="15" customHeight="1">
      <c r="A364" t="inlineStr">
        <is>
          <t>A 45112-2024</t>
        </is>
      </c>
      <c r="B364" s="1" t="n">
        <v>45575</v>
      </c>
      <c r="C364" s="1" t="n">
        <v>45905</v>
      </c>
      <c r="D364" t="inlineStr">
        <is>
          <t>GOTLANDS LÄN</t>
        </is>
      </c>
      <c r="E364" t="inlineStr">
        <is>
          <t>GOTLAND</t>
        </is>
      </c>
      <c r="G364" t="n">
        <v>5.1</v>
      </c>
      <c r="H364" t="n">
        <v>0</v>
      </c>
      <c r="I364" t="n">
        <v>0</v>
      </c>
      <c r="J364" t="n">
        <v>0</v>
      </c>
      <c r="K364" t="n">
        <v>0</v>
      </c>
      <c r="L364" t="n">
        <v>0</v>
      </c>
      <c r="M364" t="n">
        <v>0</v>
      </c>
      <c r="N364" t="n">
        <v>0</v>
      </c>
      <c r="O364" t="n">
        <v>0</v>
      </c>
      <c r="P364" t="n">
        <v>0</v>
      </c>
      <c r="Q364" t="n">
        <v>0</v>
      </c>
      <c r="R364" s="2" t="inlineStr"/>
    </row>
    <row r="365" ht="15" customHeight="1">
      <c r="A365" t="inlineStr">
        <is>
          <t>A 27348-2025</t>
        </is>
      </c>
      <c r="B365" s="1" t="n">
        <v>45812.62451388889</v>
      </c>
      <c r="C365" s="1" t="n">
        <v>45905</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20165-2022</t>
        </is>
      </c>
      <c r="B366" s="1" t="n">
        <v>44698.49854166667</v>
      </c>
      <c r="C366" s="1" t="n">
        <v>45905</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2676-2023</t>
        </is>
      </c>
      <c r="B367" s="1" t="n">
        <v>44944</v>
      </c>
      <c r="C367" s="1" t="n">
        <v>45905</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40294-2022</t>
        </is>
      </c>
      <c r="B368" s="1" t="n">
        <v>44821</v>
      </c>
      <c r="C368" s="1" t="n">
        <v>45905</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27371-2025</t>
        </is>
      </c>
      <c r="B369" s="1" t="n">
        <v>45812</v>
      </c>
      <c r="C369" s="1" t="n">
        <v>45905</v>
      </c>
      <c r="D369" t="inlineStr">
        <is>
          <t>GOTLANDS LÄN</t>
        </is>
      </c>
      <c r="E369" t="inlineStr">
        <is>
          <t>GOTLAND</t>
        </is>
      </c>
      <c r="G369" t="n">
        <v>8</v>
      </c>
      <c r="H369" t="n">
        <v>0</v>
      </c>
      <c r="I369" t="n">
        <v>0</v>
      </c>
      <c r="J369" t="n">
        <v>0</v>
      </c>
      <c r="K369" t="n">
        <v>0</v>
      </c>
      <c r="L369" t="n">
        <v>0</v>
      </c>
      <c r="M369" t="n">
        <v>0</v>
      </c>
      <c r="N369" t="n">
        <v>0</v>
      </c>
      <c r="O369" t="n">
        <v>0</v>
      </c>
      <c r="P369" t="n">
        <v>0</v>
      </c>
      <c r="Q369" t="n">
        <v>0</v>
      </c>
      <c r="R369" s="2" t="inlineStr"/>
    </row>
    <row r="370" ht="15" customHeight="1">
      <c r="A370" t="inlineStr">
        <is>
          <t>A 27355-2025</t>
        </is>
      </c>
      <c r="B370" s="1" t="n">
        <v>45812</v>
      </c>
      <c r="C370" s="1" t="n">
        <v>45905</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12032-2025</t>
        </is>
      </c>
      <c r="B371" s="1" t="n">
        <v>45728.64472222222</v>
      </c>
      <c r="C371" s="1" t="n">
        <v>45905</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3150-2025</t>
        </is>
      </c>
      <c r="B372" s="1" t="n">
        <v>45679.28974537037</v>
      </c>
      <c r="C372" s="1" t="n">
        <v>45905</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38787-2023</t>
        </is>
      </c>
      <c r="B373" s="1" t="n">
        <v>45163</v>
      </c>
      <c r="C373" s="1" t="n">
        <v>45905</v>
      </c>
      <c r="D373" t="inlineStr">
        <is>
          <t>GOTLANDS LÄN</t>
        </is>
      </c>
      <c r="E373" t="inlineStr">
        <is>
          <t>GOTLAND</t>
        </is>
      </c>
      <c r="G373" t="n">
        <v>0.4</v>
      </c>
      <c r="H373" t="n">
        <v>0</v>
      </c>
      <c r="I373" t="n">
        <v>0</v>
      </c>
      <c r="J373" t="n">
        <v>0</v>
      </c>
      <c r="K373" t="n">
        <v>0</v>
      </c>
      <c r="L373" t="n">
        <v>0</v>
      </c>
      <c r="M373" t="n">
        <v>0</v>
      </c>
      <c r="N373" t="n">
        <v>0</v>
      </c>
      <c r="O373" t="n">
        <v>0</v>
      </c>
      <c r="P373" t="n">
        <v>0</v>
      </c>
      <c r="Q373" t="n">
        <v>0</v>
      </c>
      <c r="R373" s="2" t="inlineStr"/>
    </row>
    <row r="374" ht="15" customHeight="1">
      <c r="A374" t="inlineStr">
        <is>
          <t>A 8484-2025</t>
        </is>
      </c>
      <c r="B374" s="1" t="n">
        <v>45709</v>
      </c>
      <c r="C374" s="1" t="n">
        <v>45905</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7635-2025</t>
        </is>
      </c>
      <c r="B375" s="1" t="n">
        <v>45705</v>
      </c>
      <c r="C375" s="1" t="n">
        <v>45905</v>
      </c>
      <c r="D375" t="inlineStr">
        <is>
          <t>GOTLANDS LÄN</t>
        </is>
      </c>
      <c r="E375" t="inlineStr">
        <is>
          <t>GOTLAND</t>
        </is>
      </c>
      <c r="G375" t="n">
        <v>0.9</v>
      </c>
      <c r="H375" t="n">
        <v>0</v>
      </c>
      <c r="I375" t="n">
        <v>0</v>
      </c>
      <c r="J375" t="n">
        <v>0</v>
      </c>
      <c r="K375" t="n">
        <v>0</v>
      </c>
      <c r="L375" t="n">
        <v>0</v>
      </c>
      <c r="M375" t="n">
        <v>0</v>
      </c>
      <c r="N375" t="n">
        <v>0</v>
      </c>
      <c r="O375" t="n">
        <v>0</v>
      </c>
      <c r="P375" t="n">
        <v>0</v>
      </c>
      <c r="Q375" t="n">
        <v>0</v>
      </c>
      <c r="R375" s="2" t="inlineStr"/>
    </row>
    <row r="376" ht="15" customHeight="1">
      <c r="A376" t="inlineStr">
        <is>
          <t>A 7636-2025</t>
        </is>
      </c>
      <c r="B376" s="1" t="n">
        <v>45705.7687962963</v>
      </c>
      <c r="C376" s="1" t="n">
        <v>45905</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7639-2025</t>
        </is>
      </c>
      <c r="B377" s="1" t="n">
        <v>45705.77465277778</v>
      </c>
      <c r="C377" s="1" t="n">
        <v>45905</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6739-2025</t>
        </is>
      </c>
      <c r="B378" s="1" t="n">
        <v>45700</v>
      </c>
      <c r="C378" s="1" t="n">
        <v>45905</v>
      </c>
      <c r="D378" t="inlineStr">
        <is>
          <t>GOTLANDS LÄN</t>
        </is>
      </c>
      <c r="E378" t="inlineStr">
        <is>
          <t>GOTLAND</t>
        </is>
      </c>
      <c r="G378" t="n">
        <v>4.5</v>
      </c>
      <c r="H378" t="n">
        <v>0</v>
      </c>
      <c r="I378" t="n">
        <v>0</v>
      </c>
      <c r="J378" t="n">
        <v>0</v>
      </c>
      <c r="K378" t="n">
        <v>0</v>
      </c>
      <c r="L378" t="n">
        <v>0</v>
      </c>
      <c r="M378" t="n">
        <v>0</v>
      </c>
      <c r="N378" t="n">
        <v>0</v>
      </c>
      <c r="O378" t="n">
        <v>0</v>
      </c>
      <c r="P378" t="n">
        <v>0</v>
      </c>
      <c r="Q378" t="n">
        <v>0</v>
      </c>
      <c r="R378" s="2" t="inlineStr"/>
    </row>
    <row r="379" ht="15" customHeight="1">
      <c r="A379" t="inlineStr">
        <is>
          <t>A 7850-2025</t>
        </is>
      </c>
      <c r="B379" s="1" t="n">
        <v>45706</v>
      </c>
      <c r="C379" s="1" t="n">
        <v>45905</v>
      </c>
      <c r="D379" t="inlineStr">
        <is>
          <t>GOTLANDS LÄN</t>
        </is>
      </c>
      <c r="E379" t="inlineStr">
        <is>
          <t>GOTLAND</t>
        </is>
      </c>
      <c r="G379" t="n">
        <v>0.5</v>
      </c>
      <c r="H379" t="n">
        <v>0</v>
      </c>
      <c r="I379" t="n">
        <v>0</v>
      </c>
      <c r="J379" t="n">
        <v>0</v>
      </c>
      <c r="K379" t="n">
        <v>0</v>
      </c>
      <c r="L379" t="n">
        <v>0</v>
      </c>
      <c r="M379" t="n">
        <v>0</v>
      </c>
      <c r="N379" t="n">
        <v>0</v>
      </c>
      <c r="O379" t="n">
        <v>0</v>
      </c>
      <c r="P379" t="n">
        <v>0</v>
      </c>
      <c r="Q379" t="n">
        <v>0</v>
      </c>
      <c r="R379" s="2" t="inlineStr"/>
    </row>
    <row r="380" ht="15" customHeight="1">
      <c r="A380" t="inlineStr">
        <is>
          <t>A 20356-2022</t>
        </is>
      </c>
      <c r="B380" s="1" t="n">
        <v>44699</v>
      </c>
      <c r="C380" s="1" t="n">
        <v>45905</v>
      </c>
      <c r="D380" t="inlineStr">
        <is>
          <t>GOTLANDS LÄN</t>
        </is>
      </c>
      <c r="E380" t="inlineStr">
        <is>
          <t>GOTLAND</t>
        </is>
      </c>
      <c r="F380" t="inlineStr">
        <is>
          <t>Övriga Aktiebolag</t>
        </is>
      </c>
      <c r="G380" t="n">
        <v>4.4</v>
      </c>
      <c r="H380" t="n">
        <v>0</v>
      </c>
      <c r="I380" t="n">
        <v>0</v>
      </c>
      <c r="J380" t="n">
        <v>0</v>
      </c>
      <c r="K380" t="n">
        <v>0</v>
      </c>
      <c r="L380" t="n">
        <v>0</v>
      </c>
      <c r="M380" t="n">
        <v>0</v>
      </c>
      <c r="N380" t="n">
        <v>0</v>
      </c>
      <c r="O380" t="n">
        <v>0</v>
      </c>
      <c r="P380" t="n">
        <v>0</v>
      </c>
      <c r="Q380" t="n">
        <v>0</v>
      </c>
      <c r="R380" s="2" t="inlineStr"/>
    </row>
    <row r="381" ht="15" customHeight="1">
      <c r="A381" t="inlineStr">
        <is>
          <t>A 48734-2022</t>
        </is>
      </c>
      <c r="B381" s="1" t="n">
        <v>44855</v>
      </c>
      <c r="C381" s="1" t="n">
        <v>45905</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14141-2024</t>
        </is>
      </c>
      <c r="B382" s="1" t="n">
        <v>45392.85193287037</v>
      </c>
      <c r="C382" s="1" t="n">
        <v>45905</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29809-2022</t>
        </is>
      </c>
      <c r="B383" s="1" t="n">
        <v>44755.8713425926</v>
      </c>
      <c r="C383" s="1" t="n">
        <v>45905</v>
      </c>
      <c r="D383" t="inlineStr">
        <is>
          <t>GOTLANDS LÄN</t>
        </is>
      </c>
      <c r="E383" t="inlineStr">
        <is>
          <t>GOTLAND</t>
        </is>
      </c>
      <c r="G383" t="n">
        <v>11.5</v>
      </c>
      <c r="H383" t="n">
        <v>0</v>
      </c>
      <c r="I383" t="n">
        <v>0</v>
      </c>
      <c r="J383" t="n">
        <v>0</v>
      </c>
      <c r="K383" t="n">
        <v>0</v>
      </c>
      <c r="L383" t="n">
        <v>0</v>
      </c>
      <c r="M383" t="n">
        <v>0</v>
      </c>
      <c r="N383" t="n">
        <v>0</v>
      </c>
      <c r="O383" t="n">
        <v>0</v>
      </c>
      <c r="P383" t="n">
        <v>0</v>
      </c>
      <c r="Q383" t="n">
        <v>0</v>
      </c>
      <c r="R383" s="2" t="inlineStr"/>
    </row>
    <row r="384" ht="15" customHeight="1">
      <c r="A384" t="inlineStr">
        <is>
          <t>A 20307-2025</t>
        </is>
      </c>
      <c r="B384" s="1" t="n">
        <v>45774.95546296296</v>
      </c>
      <c r="C384" s="1" t="n">
        <v>45905</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43231-2023</t>
        </is>
      </c>
      <c r="B385" s="1" t="n">
        <v>45183.47025462963</v>
      </c>
      <c r="C385" s="1" t="n">
        <v>45905</v>
      </c>
      <c r="D385" t="inlineStr">
        <is>
          <t>GOTLANDS LÄN</t>
        </is>
      </c>
      <c r="E385" t="inlineStr">
        <is>
          <t>GOTLAND</t>
        </is>
      </c>
      <c r="G385" t="n">
        <v>3.6</v>
      </c>
      <c r="H385" t="n">
        <v>0</v>
      </c>
      <c r="I385" t="n">
        <v>0</v>
      </c>
      <c r="J385" t="n">
        <v>0</v>
      </c>
      <c r="K385" t="n">
        <v>0</v>
      </c>
      <c r="L385" t="n">
        <v>0</v>
      </c>
      <c r="M385" t="n">
        <v>0</v>
      </c>
      <c r="N385" t="n">
        <v>0</v>
      </c>
      <c r="O385" t="n">
        <v>0</v>
      </c>
      <c r="P385" t="n">
        <v>0</v>
      </c>
      <c r="Q385" t="n">
        <v>0</v>
      </c>
      <c r="R385" s="2" t="inlineStr"/>
    </row>
    <row r="386" ht="15" customHeight="1">
      <c r="A386" t="inlineStr">
        <is>
          <t>A 17532-2024</t>
        </is>
      </c>
      <c r="B386" s="1" t="n">
        <v>45415</v>
      </c>
      <c r="C386" s="1" t="n">
        <v>45905</v>
      </c>
      <c r="D386" t="inlineStr">
        <is>
          <t>GOTLANDS LÄN</t>
        </is>
      </c>
      <c r="E386" t="inlineStr">
        <is>
          <t>GOTLAND</t>
        </is>
      </c>
      <c r="G386" t="n">
        <v>4.3</v>
      </c>
      <c r="H386" t="n">
        <v>0</v>
      </c>
      <c r="I386" t="n">
        <v>0</v>
      </c>
      <c r="J386" t="n">
        <v>0</v>
      </c>
      <c r="K386" t="n">
        <v>0</v>
      </c>
      <c r="L386" t="n">
        <v>0</v>
      </c>
      <c r="M386" t="n">
        <v>0</v>
      </c>
      <c r="N386" t="n">
        <v>0</v>
      </c>
      <c r="O386" t="n">
        <v>0</v>
      </c>
      <c r="P386" t="n">
        <v>0</v>
      </c>
      <c r="Q386" t="n">
        <v>0</v>
      </c>
      <c r="R386" s="2" t="inlineStr"/>
    </row>
    <row r="387" ht="15" customHeight="1">
      <c r="A387" t="inlineStr">
        <is>
          <t>A 3935-2025</t>
        </is>
      </c>
      <c r="B387" s="1" t="n">
        <v>45684.46070601852</v>
      </c>
      <c r="C387" s="1" t="n">
        <v>45905</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8444-2025</t>
        </is>
      </c>
      <c r="B388" s="1" t="n">
        <v>45709</v>
      </c>
      <c r="C388" s="1" t="n">
        <v>45905</v>
      </c>
      <c r="D388" t="inlineStr">
        <is>
          <t>GOTLANDS LÄN</t>
        </is>
      </c>
      <c r="E388" t="inlineStr">
        <is>
          <t>GOTLAND</t>
        </is>
      </c>
      <c r="G388" t="n">
        <v>5.2</v>
      </c>
      <c r="H388" t="n">
        <v>0</v>
      </c>
      <c r="I388" t="n">
        <v>0</v>
      </c>
      <c r="J388" t="n">
        <v>0</v>
      </c>
      <c r="K388" t="n">
        <v>0</v>
      </c>
      <c r="L388" t="n">
        <v>0</v>
      </c>
      <c r="M388" t="n">
        <v>0</v>
      </c>
      <c r="N388" t="n">
        <v>0</v>
      </c>
      <c r="O388" t="n">
        <v>0</v>
      </c>
      <c r="P388" t="n">
        <v>0</v>
      </c>
      <c r="Q388" t="n">
        <v>0</v>
      </c>
      <c r="R388" s="2" t="inlineStr"/>
    </row>
    <row r="389" ht="15" customHeight="1">
      <c r="A389" t="inlineStr">
        <is>
          <t>A 57685-2022</t>
        </is>
      </c>
      <c r="B389" s="1" t="n">
        <v>44897.4777662037</v>
      </c>
      <c r="C389" s="1" t="n">
        <v>45905</v>
      </c>
      <c r="D389" t="inlineStr">
        <is>
          <t>GOTLANDS LÄN</t>
        </is>
      </c>
      <c r="E389" t="inlineStr">
        <is>
          <t>GOTLAND</t>
        </is>
      </c>
      <c r="G389" t="n">
        <v>3.7</v>
      </c>
      <c r="H389" t="n">
        <v>0</v>
      </c>
      <c r="I389" t="n">
        <v>0</v>
      </c>
      <c r="J389" t="n">
        <v>0</v>
      </c>
      <c r="K389" t="n">
        <v>0</v>
      </c>
      <c r="L389" t="n">
        <v>0</v>
      </c>
      <c r="M389" t="n">
        <v>0</v>
      </c>
      <c r="N389" t="n">
        <v>0</v>
      </c>
      <c r="O389" t="n">
        <v>0</v>
      </c>
      <c r="P389" t="n">
        <v>0</v>
      </c>
      <c r="Q389" t="n">
        <v>0</v>
      </c>
      <c r="R389" s="2" t="inlineStr"/>
    </row>
    <row r="390" ht="15" customHeight="1">
      <c r="A390" t="inlineStr">
        <is>
          <t>A 12599-2025</t>
        </is>
      </c>
      <c r="B390" s="1" t="n">
        <v>45733.29546296296</v>
      </c>
      <c r="C390" s="1" t="n">
        <v>45905</v>
      </c>
      <c r="D390" t="inlineStr">
        <is>
          <t>GOTLANDS LÄN</t>
        </is>
      </c>
      <c r="E390" t="inlineStr">
        <is>
          <t>GOTLAND</t>
        </is>
      </c>
      <c r="G390" t="n">
        <v>4.7</v>
      </c>
      <c r="H390" t="n">
        <v>0</v>
      </c>
      <c r="I390" t="n">
        <v>0</v>
      </c>
      <c r="J390" t="n">
        <v>0</v>
      </c>
      <c r="K390" t="n">
        <v>0</v>
      </c>
      <c r="L390" t="n">
        <v>0</v>
      </c>
      <c r="M390" t="n">
        <v>0</v>
      </c>
      <c r="N390" t="n">
        <v>0</v>
      </c>
      <c r="O390" t="n">
        <v>0</v>
      </c>
      <c r="P390" t="n">
        <v>0</v>
      </c>
      <c r="Q390" t="n">
        <v>0</v>
      </c>
      <c r="R390" s="2" t="inlineStr"/>
    </row>
    <row r="391" ht="15" customHeight="1">
      <c r="A391" t="inlineStr">
        <is>
          <t>A 30815-2023</t>
        </is>
      </c>
      <c r="B391" s="1" t="n">
        <v>45112</v>
      </c>
      <c r="C391" s="1" t="n">
        <v>45905</v>
      </c>
      <c r="D391" t="inlineStr">
        <is>
          <t>GOTLANDS LÄN</t>
        </is>
      </c>
      <c r="E391" t="inlineStr">
        <is>
          <t>GOTLAND</t>
        </is>
      </c>
      <c r="G391" t="n">
        <v>6</v>
      </c>
      <c r="H391" t="n">
        <v>0</v>
      </c>
      <c r="I391" t="n">
        <v>0</v>
      </c>
      <c r="J391" t="n">
        <v>0</v>
      </c>
      <c r="K391" t="n">
        <v>0</v>
      </c>
      <c r="L391" t="n">
        <v>0</v>
      </c>
      <c r="M391" t="n">
        <v>0</v>
      </c>
      <c r="N391" t="n">
        <v>0</v>
      </c>
      <c r="O391" t="n">
        <v>0</v>
      </c>
      <c r="P391" t="n">
        <v>0</v>
      </c>
      <c r="Q391" t="n">
        <v>0</v>
      </c>
      <c r="R391" s="2" t="inlineStr"/>
    </row>
    <row r="392" ht="15" customHeight="1">
      <c r="A392" t="inlineStr">
        <is>
          <t>A 20225-2025</t>
        </is>
      </c>
      <c r="B392" s="1" t="n">
        <v>45772.65802083333</v>
      </c>
      <c r="C392" s="1" t="n">
        <v>45905</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883-2025</t>
        </is>
      </c>
      <c r="B393" s="1" t="n">
        <v>45665</v>
      </c>
      <c r="C393" s="1" t="n">
        <v>45905</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45905</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7034-2023</t>
        </is>
      </c>
      <c r="B395" s="1" t="n">
        <v>44968.32108796296</v>
      </c>
      <c r="C395" s="1" t="n">
        <v>45905</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7042-2023</t>
        </is>
      </c>
      <c r="B396" s="1" t="n">
        <v>44968</v>
      </c>
      <c r="C396" s="1" t="n">
        <v>45905</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23516-2023</t>
        </is>
      </c>
      <c r="B397" s="1" t="n">
        <v>45076.93391203704</v>
      </c>
      <c r="C397" s="1" t="n">
        <v>45905</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19905-2025</t>
        </is>
      </c>
      <c r="B398" s="1" t="n">
        <v>45771</v>
      </c>
      <c r="C398" s="1" t="n">
        <v>45905</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64660-2023</t>
        </is>
      </c>
      <c r="B399" s="1" t="n">
        <v>45281.60122685185</v>
      </c>
      <c r="C399" s="1" t="n">
        <v>45905</v>
      </c>
      <c r="D399" t="inlineStr">
        <is>
          <t>GOTLANDS LÄN</t>
        </is>
      </c>
      <c r="E399" t="inlineStr">
        <is>
          <t>GOTLAND</t>
        </is>
      </c>
      <c r="G399" t="n">
        <v>6.3</v>
      </c>
      <c r="H399" t="n">
        <v>0</v>
      </c>
      <c r="I399" t="n">
        <v>0</v>
      </c>
      <c r="J399" t="n">
        <v>0</v>
      </c>
      <c r="K399" t="n">
        <v>0</v>
      </c>
      <c r="L399" t="n">
        <v>0</v>
      </c>
      <c r="M399" t="n">
        <v>0</v>
      </c>
      <c r="N399" t="n">
        <v>0</v>
      </c>
      <c r="O399" t="n">
        <v>0</v>
      </c>
      <c r="P399" t="n">
        <v>0</v>
      </c>
      <c r="Q399" t="n">
        <v>0</v>
      </c>
      <c r="R399" s="2" t="inlineStr"/>
    </row>
    <row r="400" ht="15" customHeight="1">
      <c r="A400" t="inlineStr">
        <is>
          <t>A 29196-2025</t>
        </is>
      </c>
      <c r="B400" s="1" t="n">
        <v>45822</v>
      </c>
      <c r="C400" s="1" t="n">
        <v>45905</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63763-2023</t>
        </is>
      </c>
      <c r="B401" s="1" t="n">
        <v>45278.33944444444</v>
      </c>
      <c r="C401" s="1" t="n">
        <v>45905</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10497-2025</t>
        </is>
      </c>
      <c r="B402" s="1" t="n">
        <v>45721</v>
      </c>
      <c r="C402" s="1" t="n">
        <v>45905</v>
      </c>
      <c r="D402" t="inlineStr">
        <is>
          <t>GOTLANDS LÄN</t>
        </is>
      </c>
      <c r="E402" t="inlineStr">
        <is>
          <t>GOTLAND</t>
        </is>
      </c>
      <c r="G402" t="n">
        <v>0.9</v>
      </c>
      <c r="H402" t="n">
        <v>0</v>
      </c>
      <c r="I402" t="n">
        <v>0</v>
      </c>
      <c r="J402" t="n">
        <v>0</v>
      </c>
      <c r="K402" t="n">
        <v>0</v>
      </c>
      <c r="L402" t="n">
        <v>0</v>
      </c>
      <c r="M402" t="n">
        <v>0</v>
      </c>
      <c r="N402" t="n">
        <v>0</v>
      </c>
      <c r="O402" t="n">
        <v>0</v>
      </c>
      <c r="P402" t="n">
        <v>0</v>
      </c>
      <c r="Q402" t="n">
        <v>0</v>
      </c>
      <c r="R402" s="2" t="inlineStr"/>
    </row>
    <row r="403" ht="15" customHeight="1">
      <c r="A403" t="inlineStr">
        <is>
          <t>A 29207-2025</t>
        </is>
      </c>
      <c r="B403" s="1" t="n">
        <v>45823</v>
      </c>
      <c r="C403" s="1" t="n">
        <v>45905</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1066-2024</t>
        </is>
      </c>
      <c r="B404" s="1" t="n">
        <v>45302.285</v>
      </c>
      <c r="C404" s="1" t="n">
        <v>45905</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17144-2025</t>
        </is>
      </c>
      <c r="B405" s="1" t="n">
        <v>45755.9499537037</v>
      </c>
      <c r="C405" s="1" t="n">
        <v>45905</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63229-2021</t>
        </is>
      </c>
      <c r="B406" s="1" t="n">
        <v>44508.34518518519</v>
      </c>
      <c r="C406" s="1" t="n">
        <v>45905</v>
      </c>
      <c r="D406" t="inlineStr">
        <is>
          <t>GOTLANDS LÄN</t>
        </is>
      </c>
      <c r="E406" t="inlineStr">
        <is>
          <t>GOTLAND</t>
        </is>
      </c>
      <c r="F406" t="inlineStr">
        <is>
          <t>Kyrkan</t>
        </is>
      </c>
      <c r="G406" t="n">
        <v>3.8</v>
      </c>
      <c r="H406" t="n">
        <v>0</v>
      </c>
      <c r="I406" t="n">
        <v>0</v>
      </c>
      <c r="J406" t="n">
        <v>0</v>
      </c>
      <c r="K406" t="n">
        <v>0</v>
      </c>
      <c r="L406" t="n">
        <v>0</v>
      </c>
      <c r="M406" t="n">
        <v>0</v>
      </c>
      <c r="N406" t="n">
        <v>0</v>
      </c>
      <c r="O406" t="n">
        <v>0</v>
      </c>
      <c r="P406" t="n">
        <v>0</v>
      </c>
      <c r="Q406" t="n">
        <v>0</v>
      </c>
      <c r="R406" s="2" t="inlineStr"/>
    </row>
    <row r="407" ht="15" customHeight="1">
      <c r="A407" t="inlineStr">
        <is>
          <t>A 46375-2024</t>
        </is>
      </c>
      <c r="B407" s="1" t="n">
        <v>45582</v>
      </c>
      <c r="C407" s="1" t="n">
        <v>45905</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10158-2025</t>
        </is>
      </c>
      <c r="B408" s="1" t="n">
        <v>45719</v>
      </c>
      <c r="C408" s="1" t="n">
        <v>45905</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30157-2025</t>
        </is>
      </c>
      <c r="B409" s="1" t="n">
        <v>45826</v>
      </c>
      <c r="C409" s="1" t="n">
        <v>45905</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30061-2025</t>
        </is>
      </c>
      <c r="B410" s="1" t="n">
        <v>45826.61488425926</v>
      </c>
      <c r="C410" s="1" t="n">
        <v>45905</v>
      </c>
      <c r="D410" t="inlineStr">
        <is>
          <t>GOTLANDS LÄN</t>
        </is>
      </c>
      <c r="E410" t="inlineStr">
        <is>
          <t>GOTLAND</t>
        </is>
      </c>
      <c r="G410" t="n">
        <v>4.1</v>
      </c>
      <c r="H410" t="n">
        <v>0</v>
      </c>
      <c r="I410" t="n">
        <v>0</v>
      </c>
      <c r="J410" t="n">
        <v>0</v>
      </c>
      <c r="K410" t="n">
        <v>0</v>
      </c>
      <c r="L410" t="n">
        <v>0</v>
      </c>
      <c r="M410" t="n">
        <v>0</v>
      </c>
      <c r="N410" t="n">
        <v>0</v>
      </c>
      <c r="O410" t="n">
        <v>0</v>
      </c>
      <c r="P410" t="n">
        <v>0</v>
      </c>
      <c r="Q410" t="n">
        <v>0</v>
      </c>
      <c r="R410" s="2" t="inlineStr"/>
    </row>
    <row r="411" ht="15" customHeight="1">
      <c r="A411" t="inlineStr">
        <is>
          <t>A 56009-2024</t>
        </is>
      </c>
      <c r="B411" s="1" t="n">
        <v>45623.80864583333</v>
      </c>
      <c r="C411" s="1" t="n">
        <v>45905</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58160-2024</t>
        </is>
      </c>
      <c r="B412" s="1" t="n">
        <v>45632.44927083333</v>
      </c>
      <c r="C412" s="1" t="n">
        <v>45905</v>
      </c>
      <c r="D412" t="inlineStr">
        <is>
          <t>GOTLANDS LÄN</t>
        </is>
      </c>
      <c r="E412" t="inlineStr">
        <is>
          <t>GOTLAND</t>
        </is>
      </c>
      <c r="G412" t="n">
        <v>5.6</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45905</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1734-2025</t>
        </is>
      </c>
      <c r="B414" s="1" t="n">
        <v>45671.3840625</v>
      </c>
      <c r="C414" s="1" t="n">
        <v>45905</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20993-2023</t>
        </is>
      </c>
      <c r="B415" s="1" t="n">
        <v>45056</v>
      </c>
      <c r="C415" s="1" t="n">
        <v>45905</v>
      </c>
      <c r="D415" t="inlineStr">
        <is>
          <t>GOTLANDS LÄN</t>
        </is>
      </c>
      <c r="E415" t="inlineStr">
        <is>
          <t>GOTLAND</t>
        </is>
      </c>
      <c r="G415" t="n">
        <v>7.1</v>
      </c>
      <c r="H415" t="n">
        <v>0</v>
      </c>
      <c r="I415" t="n">
        <v>0</v>
      </c>
      <c r="J415" t="n">
        <v>0</v>
      </c>
      <c r="K415" t="n">
        <v>0</v>
      </c>
      <c r="L415" t="n">
        <v>0</v>
      </c>
      <c r="M415" t="n">
        <v>0</v>
      </c>
      <c r="N415" t="n">
        <v>0</v>
      </c>
      <c r="O415" t="n">
        <v>0</v>
      </c>
      <c r="P415" t="n">
        <v>0</v>
      </c>
      <c r="Q415" t="n">
        <v>0</v>
      </c>
      <c r="R415" s="2" t="inlineStr"/>
    </row>
    <row r="416" ht="15" customHeight="1">
      <c r="A416" t="inlineStr">
        <is>
          <t>A 30488-2025</t>
        </is>
      </c>
      <c r="B416" s="1" t="n">
        <v>45830</v>
      </c>
      <c r="C416" s="1" t="n">
        <v>45905</v>
      </c>
      <c r="D416" t="inlineStr">
        <is>
          <t>GOTLANDS LÄN</t>
        </is>
      </c>
      <c r="E416" t="inlineStr">
        <is>
          <t>GOTLAND</t>
        </is>
      </c>
      <c r="F416" t="inlineStr">
        <is>
          <t>Kyrkan</t>
        </is>
      </c>
      <c r="G416" t="n">
        <v>3.9</v>
      </c>
      <c r="H416" t="n">
        <v>0</v>
      </c>
      <c r="I416" t="n">
        <v>0</v>
      </c>
      <c r="J416" t="n">
        <v>0</v>
      </c>
      <c r="K416" t="n">
        <v>0</v>
      </c>
      <c r="L416" t="n">
        <v>0</v>
      </c>
      <c r="M416" t="n">
        <v>0</v>
      </c>
      <c r="N416" t="n">
        <v>0</v>
      </c>
      <c r="O416" t="n">
        <v>0</v>
      </c>
      <c r="P416" t="n">
        <v>0</v>
      </c>
      <c r="Q416" t="n">
        <v>0</v>
      </c>
      <c r="R416" s="2" t="inlineStr"/>
    </row>
    <row r="417" ht="15" customHeight="1">
      <c r="A417" t="inlineStr">
        <is>
          <t>A 30489-2025</t>
        </is>
      </c>
      <c r="B417" s="1" t="n">
        <v>45830</v>
      </c>
      <c r="C417" s="1" t="n">
        <v>45905</v>
      </c>
      <c r="D417" t="inlineStr">
        <is>
          <t>GOTLANDS LÄN</t>
        </is>
      </c>
      <c r="E417" t="inlineStr">
        <is>
          <t>GOTLAND</t>
        </is>
      </c>
      <c r="G417" t="n">
        <v>4.6</v>
      </c>
      <c r="H417" t="n">
        <v>0</v>
      </c>
      <c r="I417" t="n">
        <v>0</v>
      </c>
      <c r="J417" t="n">
        <v>0</v>
      </c>
      <c r="K417" t="n">
        <v>0</v>
      </c>
      <c r="L417" t="n">
        <v>0</v>
      </c>
      <c r="M417" t="n">
        <v>0</v>
      </c>
      <c r="N417" t="n">
        <v>0</v>
      </c>
      <c r="O417" t="n">
        <v>0</v>
      </c>
      <c r="P417" t="n">
        <v>0</v>
      </c>
      <c r="Q417" t="n">
        <v>0</v>
      </c>
      <c r="R417" s="2" t="inlineStr"/>
    </row>
    <row r="418" ht="15" customHeight="1">
      <c r="A418" t="inlineStr">
        <is>
          <t>A 12596-2023</t>
        </is>
      </c>
      <c r="B418" s="1" t="n">
        <v>45000.43310185185</v>
      </c>
      <c r="C418" s="1" t="n">
        <v>45905</v>
      </c>
      <c r="D418" t="inlineStr">
        <is>
          <t>GOTLANDS LÄN</t>
        </is>
      </c>
      <c r="E418" t="inlineStr">
        <is>
          <t>GOTLAND</t>
        </is>
      </c>
      <c r="G418" t="n">
        <v>4.1</v>
      </c>
      <c r="H418" t="n">
        <v>0</v>
      </c>
      <c r="I418" t="n">
        <v>0</v>
      </c>
      <c r="J418" t="n">
        <v>0</v>
      </c>
      <c r="K418" t="n">
        <v>0</v>
      </c>
      <c r="L418" t="n">
        <v>0</v>
      </c>
      <c r="M418" t="n">
        <v>0</v>
      </c>
      <c r="N418" t="n">
        <v>0</v>
      </c>
      <c r="O418" t="n">
        <v>0</v>
      </c>
      <c r="P418" t="n">
        <v>0</v>
      </c>
      <c r="Q418" t="n">
        <v>0</v>
      </c>
      <c r="R418" s="2" t="inlineStr"/>
    </row>
    <row r="419" ht="15" customHeight="1">
      <c r="A419" t="inlineStr">
        <is>
          <t>A 2125-2025</t>
        </is>
      </c>
      <c r="B419" s="1" t="n">
        <v>45672.64940972222</v>
      </c>
      <c r="C419" s="1" t="n">
        <v>45905</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12155-2023</t>
        </is>
      </c>
      <c r="B420" s="1" t="n">
        <v>44998.49106481481</v>
      </c>
      <c r="C420" s="1" t="n">
        <v>45905</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457-2023</t>
        </is>
      </c>
      <c r="B421" s="1" t="n">
        <v>44929.87238425926</v>
      </c>
      <c r="C421" s="1" t="n">
        <v>45905</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459-2023</t>
        </is>
      </c>
      <c r="B422" s="1" t="n">
        <v>44929.87423611111</v>
      </c>
      <c r="C422" s="1" t="n">
        <v>45905</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38234-2023</t>
        </is>
      </c>
      <c r="B423" s="1" t="n">
        <v>45161.56663194444</v>
      </c>
      <c r="C423" s="1" t="n">
        <v>45905</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50744-2024</t>
        </is>
      </c>
      <c r="B424" s="1" t="n">
        <v>45602.4187037037</v>
      </c>
      <c r="C424" s="1" t="n">
        <v>45905</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581-2023</t>
        </is>
      </c>
      <c r="B425" s="1" t="n">
        <v>44930</v>
      </c>
      <c r="C425" s="1" t="n">
        <v>45905</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61386-2023</t>
        </is>
      </c>
      <c r="B426" s="1" t="n">
        <v>45264</v>
      </c>
      <c r="C426" s="1" t="n">
        <v>45905</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53934-2024</t>
        </is>
      </c>
      <c r="B427" s="1" t="n">
        <v>45615</v>
      </c>
      <c r="C427" s="1" t="n">
        <v>45905</v>
      </c>
      <c r="D427" t="inlineStr">
        <is>
          <t>GOTLANDS LÄN</t>
        </is>
      </c>
      <c r="E427" t="inlineStr">
        <is>
          <t>GOTLAND</t>
        </is>
      </c>
      <c r="G427" t="n">
        <v>5</v>
      </c>
      <c r="H427" t="n">
        <v>0</v>
      </c>
      <c r="I427" t="n">
        <v>0</v>
      </c>
      <c r="J427" t="n">
        <v>0</v>
      </c>
      <c r="K427" t="n">
        <v>0</v>
      </c>
      <c r="L427" t="n">
        <v>0</v>
      </c>
      <c r="M427" t="n">
        <v>0</v>
      </c>
      <c r="N427" t="n">
        <v>0</v>
      </c>
      <c r="O427" t="n">
        <v>0</v>
      </c>
      <c r="P427" t="n">
        <v>0</v>
      </c>
      <c r="Q427" t="n">
        <v>0</v>
      </c>
      <c r="R427" s="2" t="inlineStr"/>
    </row>
    <row r="428" ht="15" customHeight="1">
      <c r="A428" t="inlineStr">
        <is>
          <t>A 873-2024</t>
        </is>
      </c>
      <c r="B428" s="1" t="n">
        <v>45301</v>
      </c>
      <c r="C428" s="1" t="n">
        <v>45905</v>
      </c>
      <c r="D428" t="inlineStr">
        <is>
          <t>GOTLANDS LÄN</t>
        </is>
      </c>
      <c r="E428" t="inlineStr">
        <is>
          <t>GOTLAND</t>
        </is>
      </c>
      <c r="G428" t="n">
        <v>2.7</v>
      </c>
      <c r="H428" t="n">
        <v>0</v>
      </c>
      <c r="I428" t="n">
        <v>0</v>
      </c>
      <c r="J428" t="n">
        <v>0</v>
      </c>
      <c r="K428" t="n">
        <v>0</v>
      </c>
      <c r="L428" t="n">
        <v>0</v>
      </c>
      <c r="M428" t="n">
        <v>0</v>
      </c>
      <c r="N428" t="n">
        <v>0</v>
      </c>
      <c r="O428" t="n">
        <v>0</v>
      </c>
      <c r="P428" t="n">
        <v>0</v>
      </c>
      <c r="Q428" t="n">
        <v>0</v>
      </c>
      <c r="R428" s="2" t="inlineStr"/>
    </row>
    <row r="429" ht="15" customHeight="1">
      <c r="A429" t="inlineStr">
        <is>
          <t>A 30135-2025</t>
        </is>
      </c>
      <c r="B429" s="1" t="n">
        <v>45826</v>
      </c>
      <c r="C429" s="1" t="n">
        <v>45905</v>
      </c>
      <c r="D429" t="inlineStr">
        <is>
          <t>GOTLANDS LÄN</t>
        </is>
      </c>
      <c r="E429" t="inlineStr">
        <is>
          <t>GOTLAND</t>
        </is>
      </c>
      <c r="G429" t="n">
        <v>2.7</v>
      </c>
      <c r="H429" t="n">
        <v>0</v>
      </c>
      <c r="I429" t="n">
        <v>0</v>
      </c>
      <c r="J429" t="n">
        <v>0</v>
      </c>
      <c r="K429" t="n">
        <v>0</v>
      </c>
      <c r="L429" t="n">
        <v>0</v>
      </c>
      <c r="M429" t="n">
        <v>0</v>
      </c>
      <c r="N429" t="n">
        <v>0</v>
      </c>
      <c r="O429" t="n">
        <v>0</v>
      </c>
      <c r="P429" t="n">
        <v>0</v>
      </c>
      <c r="Q429" t="n">
        <v>0</v>
      </c>
      <c r="R429" s="2" t="inlineStr"/>
    </row>
    <row r="430" ht="15" customHeight="1">
      <c r="A430" t="inlineStr">
        <is>
          <t>A 49411-2023</t>
        </is>
      </c>
      <c r="B430" s="1" t="n">
        <v>45205</v>
      </c>
      <c r="C430" s="1" t="n">
        <v>45905</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32686-2025</t>
        </is>
      </c>
      <c r="B431" s="1" t="n">
        <v>45838</v>
      </c>
      <c r="C431" s="1" t="n">
        <v>45905</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22275-2023</t>
        </is>
      </c>
      <c r="B432" s="1" t="n">
        <v>45070.39875</v>
      </c>
      <c r="C432" s="1" t="n">
        <v>45905</v>
      </c>
      <c r="D432" t="inlineStr">
        <is>
          <t>GOTLANDS LÄN</t>
        </is>
      </c>
      <c r="E432" t="inlineStr">
        <is>
          <t>GOTLAND</t>
        </is>
      </c>
      <c r="G432" t="n">
        <v>7.2</v>
      </c>
      <c r="H432" t="n">
        <v>0</v>
      </c>
      <c r="I432" t="n">
        <v>0</v>
      </c>
      <c r="J432" t="n">
        <v>0</v>
      </c>
      <c r="K432" t="n">
        <v>0</v>
      </c>
      <c r="L432" t="n">
        <v>0</v>
      </c>
      <c r="M432" t="n">
        <v>0</v>
      </c>
      <c r="N432" t="n">
        <v>0</v>
      </c>
      <c r="O432" t="n">
        <v>0</v>
      </c>
      <c r="P432" t="n">
        <v>0</v>
      </c>
      <c r="Q432" t="n">
        <v>0</v>
      </c>
      <c r="R432" s="2" t="inlineStr"/>
    </row>
    <row r="433" ht="15" customHeight="1">
      <c r="A433" t="inlineStr">
        <is>
          <t>A 12322-2025</t>
        </is>
      </c>
      <c r="B433" s="1" t="n">
        <v>45730</v>
      </c>
      <c r="C433" s="1" t="n">
        <v>45905</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32379-2025</t>
        </is>
      </c>
      <c r="B434" s="1" t="n">
        <v>45837</v>
      </c>
      <c r="C434" s="1" t="n">
        <v>45905</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32467-2025</t>
        </is>
      </c>
      <c r="B435" s="1" t="n">
        <v>45838.42111111111</v>
      </c>
      <c r="C435" s="1" t="n">
        <v>45905</v>
      </c>
      <c r="D435" t="inlineStr">
        <is>
          <t>GOTLANDS LÄN</t>
        </is>
      </c>
      <c r="E435" t="inlineStr">
        <is>
          <t>GOTLAND</t>
        </is>
      </c>
      <c r="G435" t="n">
        <v>4.3</v>
      </c>
      <c r="H435" t="n">
        <v>0</v>
      </c>
      <c r="I435" t="n">
        <v>0</v>
      </c>
      <c r="J435" t="n">
        <v>0</v>
      </c>
      <c r="K435" t="n">
        <v>0</v>
      </c>
      <c r="L435" t="n">
        <v>0</v>
      </c>
      <c r="M435" t="n">
        <v>0</v>
      </c>
      <c r="N435" t="n">
        <v>0</v>
      </c>
      <c r="O435" t="n">
        <v>0</v>
      </c>
      <c r="P435" t="n">
        <v>0</v>
      </c>
      <c r="Q435" t="n">
        <v>0</v>
      </c>
      <c r="R435" s="2" t="inlineStr"/>
    </row>
    <row r="436" ht="15" customHeight="1">
      <c r="A436" t="inlineStr">
        <is>
          <t>A 32378-2025</t>
        </is>
      </c>
      <c r="B436" s="1" t="n">
        <v>45837</v>
      </c>
      <c r="C436" s="1" t="n">
        <v>45905</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16109-2025</t>
        </is>
      </c>
      <c r="B437" s="1" t="n">
        <v>45750</v>
      </c>
      <c r="C437" s="1" t="n">
        <v>45905</v>
      </c>
      <c r="D437" t="inlineStr">
        <is>
          <t>GOTLANDS LÄN</t>
        </is>
      </c>
      <c r="E437" t="inlineStr">
        <is>
          <t>GOTLAND</t>
        </is>
      </c>
      <c r="G437" t="n">
        <v>4.9</v>
      </c>
      <c r="H437" t="n">
        <v>0</v>
      </c>
      <c r="I437" t="n">
        <v>0</v>
      </c>
      <c r="J437" t="n">
        <v>0</v>
      </c>
      <c r="K437" t="n">
        <v>0</v>
      </c>
      <c r="L437" t="n">
        <v>0</v>
      </c>
      <c r="M437" t="n">
        <v>0</v>
      </c>
      <c r="N437" t="n">
        <v>0</v>
      </c>
      <c r="O437" t="n">
        <v>0</v>
      </c>
      <c r="P437" t="n">
        <v>0</v>
      </c>
      <c r="Q437" t="n">
        <v>0</v>
      </c>
      <c r="R437" s="2" t="inlineStr"/>
    </row>
    <row r="438" ht="15" customHeight="1">
      <c r="A438" t="inlineStr">
        <is>
          <t>A 1446-2025</t>
        </is>
      </c>
      <c r="B438" s="1" t="n">
        <v>45669.86035879629</v>
      </c>
      <c r="C438" s="1" t="n">
        <v>45905</v>
      </c>
      <c r="D438" t="inlineStr">
        <is>
          <t>GOTLANDS LÄN</t>
        </is>
      </c>
      <c r="E438" t="inlineStr">
        <is>
          <t>GOTLAND</t>
        </is>
      </c>
      <c r="G438" t="n">
        <v>3.1</v>
      </c>
      <c r="H438" t="n">
        <v>0</v>
      </c>
      <c r="I438" t="n">
        <v>0</v>
      </c>
      <c r="J438" t="n">
        <v>0</v>
      </c>
      <c r="K438" t="n">
        <v>0</v>
      </c>
      <c r="L438" t="n">
        <v>0</v>
      </c>
      <c r="M438" t="n">
        <v>0</v>
      </c>
      <c r="N438" t="n">
        <v>0</v>
      </c>
      <c r="O438" t="n">
        <v>0</v>
      </c>
      <c r="P438" t="n">
        <v>0</v>
      </c>
      <c r="Q438" t="n">
        <v>0</v>
      </c>
      <c r="R438" s="2" t="inlineStr"/>
    </row>
    <row r="439" ht="15" customHeight="1">
      <c r="A439" t="inlineStr">
        <is>
          <t>A 10813-2025</t>
        </is>
      </c>
      <c r="B439" s="1" t="n">
        <v>45722.54163194444</v>
      </c>
      <c r="C439" s="1" t="n">
        <v>45905</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33078-2025</t>
        </is>
      </c>
      <c r="B440" s="1" t="n">
        <v>45840</v>
      </c>
      <c r="C440" s="1" t="n">
        <v>45905</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31264-2021</t>
        </is>
      </c>
      <c r="B441" s="1" t="n">
        <v>44368</v>
      </c>
      <c r="C441" s="1" t="n">
        <v>45905</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14797-2024</t>
        </is>
      </c>
      <c r="B442" s="1" t="n">
        <v>45397.87030092593</v>
      </c>
      <c r="C442" s="1" t="n">
        <v>45905</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999-2024</t>
        </is>
      </c>
      <c r="B443" s="1" t="n">
        <v>45301</v>
      </c>
      <c r="C443" s="1" t="n">
        <v>45905</v>
      </c>
      <c r="D443" t="inlineStr">
        <is>
          <t>GOTLANDS LÄN</t>
        </is>
      </c>
      <c r="E443" t="inlineStr">
        <is>
          <t>GOTLAND</t>
        </is>
      </c>
      <c r="G443" t="n">
        <v>1</v>
      </c>
      <c r="H443" t="n">
        <v>0</v>
      </c>
      <c r="I443" t="n">
        <v>0</v>
      </c>
      <c r="J443" t="n">
        <v>0</v>
      </c>
      <c r="K443" t="n">
        <v>0</v>
      </c>
      <c r="L443" t="n">
        <v>0</v>
      </c>
      <c r="M443" t="n">
        <v>0</v>
      </c>
      <c r="N443" t="n">
        <v>0</v>
      </c>
      <c r="O443" t="n">
        <v>0</v>
      </c>
      <c r="P443" t="n">
        <v>0</v>
      </c>
      <c r="Q443" t="n">
        <v>0</v>
      </c>
      <c r="R443" s="2" t="inlineStr"/>
    </row>
    <row r="444" ht="15" customHeight="1">
      <c r="A444" t="inlineStr">
        <is>
          <t>A 61596-2023</t>
        </is>
      </c>
      <c r="B444" s="1" t="n">
        <v>45265</v>
      </c>
      <c r="C444" s="1" t="n">
        <v>45905</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20660-2025</t>
        </is>
      </c>
      <c r="B445" s="1" t="n">
        <v>45776</v>
      </c>
      <c r="C445" s="1" t="n">
        <v>45905</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43901-2023</t>
        </is>
      </c>
      <c r="B446" s="1" t="n">
        <v>45187</v>
      </c>
      <c r="C446" s="1" t="n">
        <v>45905</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33007-2025</t>
        </is>
      </c>
      <c r="B447" s="1" t="n">
        <v>45840</v>
      </c>
      <c r="C447" s="1" t="n">
        <v>45905</v>
      </c>
      <c r="D447" t="inlineStr">
        <is>
          <t>GOTLANDS LÄN</t>
        </is>
      </c>
      <c r="E447" t="inlineStr">
        <is>
          <t>GOTLAND</t>
        </is>
      </c>
      <c r="G447" t="n">
        <v>4.9</v>
      </c>
      <c r="H447" t="n">
        <v>0</v>
      </c>
      <c r="I447" t="n">
        <v>0</v>
      </c>
      <c r="J447" t="n">
        <v>0</v>
      </c>
      <c r="K447" t="n">
        <v>0</v>
      </c>
      <c r="L447" t="n">
        <v>0</v>
      </c>
      <c r="M447" t="n">
        <v>0</v>
      </c>
      <c r="N447" t="n">
        <v>0</v>
      </c>
      <c r="O447" t="n">
        <v>0</v>
      </c>
      <c r="P447" t="n">
        <v>0</v>
      </c>
      <c r="Q447" t="n">
        <v>0</v>
      </c>
      <c r="R447" s="2" t="inlineStr"/>
    </row>
    <row r="448" ht="15" customHeight="1">
      <c r="A448" t="inlineStr">
        <is>
          <t>A 33011-2025</t>
        </is>
      </c>
      <c r="B448" s="1" t="n">
        <v>45840</v>
      </c>
      <c r="C448" s="1" t="n">
        <v>45905</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14638-2025</t>
        </is>
      </c>
      <c r="B449" s="1" t="n">
        <v>45742</v>
      </c>
      <c r="C449" s="1" t="n">
        <v>45905</v>
      </c>
      <c r="D449" t="inlineStr">
        <is>
          <t>GOTLANDS LÄN</t>
        </is>
      </c>
      <c r="E449" t="inlineStr">
        <is>
          <t>GOTLAND</t>
        </is>
      </c>
      <c r="G449" t="n">
        <v>13.4</v>
      </c>
      <c r="H449" t="n">
        <v>0</v>
      </c>
      <c r="I449" t="n">
        <v>0</v>
      </c>
      <c r="J449" t="n">
        <v>0</v>
      </c>
      <c r="K449" t="n">
        <v>0</v>
      </c>
      <c r="L449" t="n">
        <v>0</v>
      </c>
      <c r="M449" t="n">
        <v>0</v>
      </c>
      <c r="N449" t="n">
        <v>0</v>
      </c>
      <c r="O449" t="n">
        <v>0</v>
      </c>
      <c r="P449" t="n">
        <v>0</v>
      </c>
      <c r="Q449" t="n">
        <v>0</v>
      </c>
      <c r="R449" s="2" t="inlineStr"/>
    </row>
    <row r="450" ht="15" customHeight="1">
      <c r="A450" t="inlineStr">
        <is>
          <t>A 10746-2025</t>
        </is>
      </c>
      <c r="B450" s="1" t="n">
        <v>45722.42766203704</v>
      </c>
      <c r="C450" s="1" t="n">
        <v>45905</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16501-2023</t>
        </is>
      </c>
      <c r="B451" s="1" t="n">
        <v>45029</v>
      </c>
      <c r="C451" s="1" t="n">
        <v>45905</v>
      </c>
      <c r="D451" t="inlineStr">
        <is>
          <t>GOTLANDS LÄN</t>
        </is>
      </c>
      <c r="E451" t="inlineStr">
        <is>
          <t>GOTLAND</t>
        </is>
      </c>
      <c r="G451" t="n">
        <v>3.1</v>
      </c>
      <c r="H451" t="n">
        <v>0</v>
      </c>
      <c r="I451" t="n">
        <v>0</v>
      </c>
      <c r="J451" t="n">
        <v>0</v>
      </c>
      <c r="K451" t="n">
        <v>0</v>
      </c>
      <c r="L451" t="n">
        <v>0</v>
      </c>
      <c r="M451" t="n">
        <v>0</v>
      </c>
      <c r="N451" t="n">
        <v>0</v>
      </c>
      <c r="O451" t="n">
        <v>0</v>
      </c>
      <c r="P451" t="n">
        <v>0</v>
      </c>
      <c r="Q451" t="n">
        <v>0</v>
      </c>
      <c r="R451" s="2" t="inlineStr"/>
    </row>
    <row r="452" ht="15" customHeight="1">
      <c r="A452" t="inlineStr">
        <is>
          <t>A 60675-2021</t>
        </is>
      </c>
      <c r="B452" s="1" t="n">
        <v>44496.64855324074</v>
      </c>
      <c r="C452" s="1" t="n">
        <v>45905</v>
      </c>
      <c r="D452" t="inlineStr">
        <is>
          <t>GOTLANDS LÄN</t>
        </is>
      </c>
      <c r="E452" t="inlineStr">
        <is>
          <t>GOTLAND</t>
        </is>
      </c>
      <c r="G452" t="n">
        <v>4.6</v>
      </c>
      <c r="H452" t="n">
        <v>0</v>
      </c>
      <c r="I452" t="n">
        <v>0</v>
      </c>
      <c r="J452" t="n">
        <v>0</v>
      </c>
      <c r="K452" t="n">
        <v>0</v>
      </c>
      <c r="L452" t="n">
        <v>0</v>
      </c>
      <c r="M452" t="n">
        <v>0</v>
      </c>
      <c r="N452" t="n">
        <v>0</v>
      </c>
      <c r="O452" t="n">
        <v>0</v>
      </c>
      <c r="P452" t="n">
        <v>0</v>
      </c>
      <c r="Q452" t="n">
        <v>0</v>
      </c>
      <c r="R452" s="2" t="inlineStr"/>
    </row>
    <row r="453" ht="15" customHeight="1">
      <c r="A453" t="inlineStr">
        <is>
          <t>A 37728-2024</t>
        </is>
      </c>
      <c r="B453" s="1" t="n">
        <v>45541</v>
      </c>
      <c r="C453" s="1" t="n">
        <v>45905</v>
      </c>
      <c r="D453" t="inlineStr">
        <is>
          <t>GOTLANDS LÄN</t>
        </is>
      </c>
      <c r="E453" t="inlineStr">
        <is>
          <t>GOTLAND</t>
        </is>
      </c>
      <c r="G453" t="n">
        <v>0.4</v>
      </c>
      <c r="H453" t="n">
        <v>0</v>
      </c>
      <c r="I453" t="n">
        <v>0</v>
      </c>
      <c r="J453" t="n">
        <v>0</v>
      </c>
      <c r="K453" t="n">
        <v>0</v>
      </c>
      <c r="L453" t="n">
        <v>0</v>
      </c>
      <c r="M453" t="n">
        <v>0</v>
      </c>
      <c r="N453" t="n">
        <v>0</v>
      </c>
      <c r="O453" t="n">
        <v>0</v>
      </c>
      <c r="P453" t="n">
        <v>0</v>
      </c>
      <c r="Q453" t="n">
        <v>0</v>
      </c>
      <c r="R453" s="2" t="inlineStr"/>
    </row>
    <row r="454" ht="15" customHeight="1">
      <c r="A454" t="inlineStr">
        <is>
          <t>A 38649-2025</t>
        </is>
      </c>
      <c r="B454" s="1" t="n">
        <v>45884</v>
      </c>
      <c r="C454" s="1" t="n">
        <v>45905</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22287-2022</t>
        </is>
      </c>
      <c r="B455" s="1" t="n">
        <v>44712</v>
      </c>
      <c r="C455" s="1" t="n">
        <v>45905</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45905</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54074-2022</t>
        </is>
      </c>
      <c r="B457" s="1" t="n">
        <v>44881</v>
      </c>
      <c r="C457" s="1" t="n">
        <v>45905</v>
      </c>
      <c r="D457" t="inlineStr">
        <is>
          <t>GOTLANDS LÄN</t>
        </is>
      </c>
      <c r="E457" t="inlineStr">
        <is>
          <t>GOTLAND</t>
        </is>
      </c>
      <c r="G457" t="n">
        <v>0.9</v>
      </c>
      <c r="H457" t="n">
        <v>0</v>
      </c>
      <c r="I457" t="n">
        <v>0</v>
      </c>
      <c r="J457" t="n">
        <v>0</v>
      </c>
      <c r="K457" t="n">
        <v>0</v>
      </c>
      <c r="L457" t="n">
        <v>0</v>
      </c>
      <c r="M457" t="n">
        <v>0</v>
      </c>
      <c r="N457" t="n">
        <v>0</v>
      </c>
      <c r="O457" t="n">
        <v>0</v>
      </c>
      <c r="P457" t="n">
        <v>0</v>
      </c>
      <c r="Q457" t="n">
        <v>0</v>
      </c>
      <c r="R457" s="2" t="inlineStr"/>
    </row>
    <row r="458" ht="15" customHeight="1">
      <c r="A458" t="inlineStr">
        <is>
          <t>A 61962-2024</t>
        </is>
      </c>
      <c r="B458" s="1" t="n">
        <v>45653.54340277778</v>
      </c>
      <c r="C458" s="1" t="n">
        <v>45905</v>
      </c>
      <c r="D458" t="inlineStr">
        <is>
          <t>GOTLANDS LÄN</t>
        </is>
      </c>
      <c r="E458" t="inlineStr">
        <is>
          <t>GOTLAND</t>
        </is>
      </c>
      <c r="G458" t="n">
        <v>0.7</v>
      </c>
      <c r="H458" t="n">
        <v>0</v>
      </c>
      <c r="I458" t="n">
        <v>0</v>
      </c>
      <c r="J458" t="n">
        <v>0</v>
      </c>
      <c r="K458" t="n">
        <v>0</v>
      </c>
      <c r="L458" t="n">
        <v>0</v>
      </c>
      <c r="M458" t="n">
        <v>0</v>
      </c>
      <c r="N458" t="n">
        <v>0</v>
      </c>
      <c r="O458" t="n">
        <v>0</v>
      </c>
      <c r="P458" t="n">
        <v>0</v>
      </c>
      <c r="Q458" t="n">
        <v>0</v>
      </c>
      <c r="R458" s="2" t="inlineStr"/>
    </row>
    <row r="459" ht="15" customHeight="1">
      <c r="A459" t="inlineStr">
        <is>
          <t>A 65249-2023</t>
        </is>
      </c>
      <c r="B459" s="1" t="n">
        <v>45290</v>
      </c>
      <c r="C459" s="1" t="n">
        <v>45905</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2035-2025</t>
        </is>
      </c>
      <c r="B460" s="1" t="n">
        <v>45672</v>
      </c>
      <c r="C460" s="1" t="n">
        <v>45905</v>
      </c>
      <c r="D460" t="inlineStr">
        <is>
          <t>GOTLANDS LÄN</t>
        </is>
      </c>
      <c r="E460" t="inlineStr">
        <is>
          <t>GOTLAND</t>
        </is>
      </c>
      <c r="G460" t="n">
        <v>7.5</v>
      </c>
      <c r="H460" t="n">
        <v>0</v>
      </c>
      <c r="I460" t="n">
        <v>0</v>
      </c>
      <c r="J460" t="n">
        <v>0</v>
      </c>
      <c r="K460" t="n">
        <v>0</v>
      </c>
      <c r="L460" t="n">
        <v>0</v>
      </c>
      <c r="M460" t="n">
        <v>0</v>
      </c>
      <c r="N460" t="n">
        <v>0</v>
      </c>
      <c r="O460" t="n">
        <v>0</v>
      </c>
      <c r="P460" t="n">
        <v>0</v>
      </c>
      <c r="Q460" t="n">
        <v>0</v>
      </c>
      <c r="R460" s="2" t="inlineStr"/>
    </row>
    <row r="461" ht="15" customHeight="1">
      <c r="A461" t="inlineStr">
        <is>
          <t>A 10492-2023</t>
        </is>
      </c>
      <c r="B461" s="1" t="n">
        <v>44987</v>
      </c>
      <c r="C461" s="1" t="n">
        <v>45905</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5909-2025</t>
        </is>
      </c>
      <c r="B462" s="1" t="n">
        <v>45695.40634259259</v>
      </c>
      <c r="C462" s="1" t="n">
        <v>45905</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10653-2023</t>
        </is>
      </c>
      <c r="B463" s="1" t="n">
        <v>44988.48859953704</v>
      </c>
      <c r="C463" s="1" t="n">
        <v>45905</v>
      </c>
      <c r="D463" t="inlineStr">
        <is>
          <t>GOTLANDS LÄN</t>
        </is>
      </c>
      <c r="E463" t="inlineStr">
        <is>
          <t>GOTLAND</t>
        </is>
      </c>
      <c r="F463" t="inlineStr">
        <is>
          <t>Kyrkan</t>
        </is>
      </c>
      <c r="G463" t="n">
        <v>3</v>
      </c>
      <c r="H463" t="n">
        <v>0</v>
      </c>
      <c r="I463" t="n">
        <v>0</v>
      </c>
      <c r="J463" t="n">
        <v>0</v>
      </c>
      <c r="K463" t="n">
        <v>0</v>
      </c>
      <c r="L463" t="n">
        <v>0</v>
      </c>
      <c r="M463" t="n">
        <v>0</v>
      </c>
      <c r="N463" t="n">
        <v>0</v>
      </c>
      <c r="O463" t="n">
        <v>0</v>
      </c>
      <c r="P463" t="n">
        <v>0</v>
      </c>
      <c r="Q463" t="n">
        <v>0</v>
      </c>
      <c r="R463" s="2" t="inlineStr"/>
    </row>
    <row r="464" ht="15" customHeight="1">
      <c r="A464" t="inlineStr">
        <is>
          <t>A 15001-2025</t>
        </is>
      </c>
      <c r="B464" s="1" t="n">
        <v>45743</v>
      </c>
      <c r="C464" s="1" t="n">
        <v>45905</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4990-2025</t>
        </is>
      </c>
      <c r="B465" s="1" t="n">
        <v>45691</v>
      </c>
      <c r="C465" s="1" t="n">
        <v>45905</v>
      </c>
      <c r="D465" t="inlineStr">
        <is>
          <t>GOTLANDS LÄN</t>
        </is>
      </c>
      <c r="E465" t="inlineStr">
        <is>
          <t>GOTLAND</t>
        </is>
      </c>
      <c r="G465" t="n">
        <v>7.7</v>
      </c>
      <c r="H465" t="n">
        <v>0</v>
      </c>
      <c r="I465" t="n">
        <v>0</v>
      </c>
      <c r="J465" t="n">
        <v>0</v>
      </c>
      <c r="K465" t="n">
        <v>0</v>
      </c>
      <c r="L465" t="n">
        <v>0</v>
      </c>
      <c r="M465" t="n">
        <v>0</v>
      </c>
      <c r="N465" t="n">
        <v>0</v>
      </c>
      <c r="O465" t="n">
        <v>0</v>
      </c>
      <c r="P465" t="n">
        <v>0</v>
      </c>
      <c r="Q465" t="n">
        <v>0</v>
      </c>
      <c r="R465" s="2" t="inlineStr"/>
    </row>
    <row r="466" ht="15" customHeight="1">
      <c r="A466" t="inlineStr">
        <is>
          <t>A 39278-2025</t>
        </is>
      </c>
      <c r="B466" s="1" t="n">
        <v>45889</v>
      </c>
      <c r="C466" s="1" t="n">
        <v>45905</v>
      </c>
      <c r="D466" t="inlineStr">
        <is>
          <t>GOTLANDS LÄN</t>
        </is>
      </c>
      <c r="E466" t="inlineStr">
        <is>
          <t>GOTLAND</t>
        </is>
      </c>
      <c r="G466" t="n">
        <v>3.7</v>
      </c>
      <c r="H466" t="n">
        <v>0</v>
      </c>
      <c r="I466" t="n">
        <v>0</v>
      </c>
      <c r="J466" t="n">
        <v>0</v>
      </c>
      <c r="K466" t="n">
        <v>0</v>
      </c>
      <c r="L466" t="n">
        <v>0</v>
      </c>
      <c r="M466" t="n">
        <v>0</v>
      </c>
      <c r="N466" t="n">
        <v>0</v>
      </c>
      <c r="O466" t="n">
        <v>0</v>
      </c>
      <c r="P466" t="n">
        <v>0</v>
      </c>
      <c r="Q466" t="n">
        <v>0</v>
      </c>
      <c r="R466" s="2" t="inlineStr"/>
    </row>
    <row r="467" ht="15" customHeight="1">
      <c r="A467" t="inlineStr">
        <is>
          <t>A 13910-2025</t>
        </is>
      </c>
      <c r="B467" s="1" t="n">
        <v>45737</v>
      </c>
      <c r="C467" s="1" t="n">
        <v>45905</v>
      </c>
      <c r="D467" t="inlineStr">
        <is>
          <t>GOTLANDS LÄN</t>
        </is>
      </c>
      <c r="E467" t="inlineStr">
        <is>
          <t>GOTLAND</t>
        </is>
      </c>
      <c r="F467" t="inlineStr">
        <is>
          <t>Kommuner</t>
        </is>
      </c>
      <c r="G467" t="n">
        <v>3.2</v>
      </c>
      <c r="H467" t="n">
        <v>0</v>
      </c>
      <c r="I467" t="n">
        <v>0</v>
      </c>
      <c r="J467" t="n">
        <v>0</v>
      </c>
      <c r="K467" t="n">
        <v>0</v>
      </c>
      <c r="L467" t="n">
        <v>0</v>
      </c>
      <c r="M467" t="n">
        <v>0</v>
      </c>
      <c r="N467" t="n">
        <v>0</v>
      </c>
      <c r="O467" t="n">
        <v>0</v>
      </c>
      <c r="P467" t="n">
        <v>0</v>
      </c>
      <c r="Q467" t="n">
        <v>0</v>
      </c>
      <c r="R467" s="2" t="inlineStr"/>
    </row>
    <row r="468" ht="15" customHeight="1">
      <c r="A468" t="inlineStr">
        <is>
          <t>A 15413-2025</t>
        </is>
      </c>
      <c r="B468" s="1" t="n">
        <v>45747.451875</v>
      </c>
      <c r="C468" s="1" t="n">
        <v>45905</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35123-2025</t>
        </is>
      </c>
      <c r="B469" s="1" t="n">
        <v>45852.614375</v>
      </c>
      <c r="C469" s="1" t="n">
        <v>45905</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1728-2025</t>
        </is>
      </c>
      <c r="B470" s="1" t="n">
        <v>45671.3565162037</v>
      </c>
      <c r="C470" s="1" t="n">
        <v>45905</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35133-2025</t>
        </is>
      </c>
      <c r="B471" s="1" t="n">
        <v>45852.6363425926</v>
      </c>
      <c r="C471" s="1" t="n">
        <v>45905</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39814-2025</t>
        </is>
      </c>
      <c r="B472" s="1" t="n">
        <v>45891.52694444444</v>
      </c>
      <c r="C472" s="1" t="n">
        <v>45905</v>
      </c>
      <c r="D472" t="inlineStr">
        <is>
          <t>GOTLANDS LÄN</t>
        </is>
      </c>
      <c r="E472" t="inlineStr">
        <is>
          <t>GOTLAND</t>
        </is>
      </c>
      <c r="G472" t="n">
        <v>4.5</v>
      </c>
      <c r="H472" t="n">
        <v>0</v>
      </c>
      <c r="I472" t="n">
        <v>0</v>
      </c>
      <c r="J472" t="n">
        <v>0</v>
      </c>
      <c r="K472" t="n">
        <v>0</v>
      </c>
      <c r="L472" t="n">
        <v>0</v>
      </c>
      <c r="M472" t="n">
        <v>0</v>
      </c>
      <c r="N472" t="n">
        <v>0</v>
      </c>
      <c r="O472" t="n">
        <v>0</v>
      </c>
      <c r="P472" t="n">
        <v>0</v>
      </c>
      <c r="Q472" t="n">
        <v>0</v>
      </c>
      <c r="R472" s="2" t="inlineStr"/>
    </row>
    <row r="473" ht="15" customHeight="1">
      <c r="A473" t="inlineStr">
        <is>
          <t>A 17780-2022</t>
        </is>
      </c>
      <c r="B473" s="1" t="n">
        <v>44682.82622685185</v>
      </c>
      <c r="C473" s="1" t="n">
        <v>45905</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35141-2025</t>
        </is>
      </c>
      <c r="B474" s="1" t="n">
        <v>45852.65206018519</v>
      </c>
      <c r="C474" s="1" t="n">
        <v>45905</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35096-2025</t>
        </is>
      </c>
      <c r="B475" s="1" t="n">
        <v>45852.54356481481</v>
      </c>
      <c r="C475" s="1" t="n">
        <v>45905</v>
      </c>
      <c r="D475" t="inlineStr">
        <is>
          <t>GOTLANDS LÄN</t>
        </is>
      </c>
      <c r="E475" t="inlineStr">
        <is>
          <t>GOTLAND</t>
        </is>
      </c>
      <c r="F475" t="inlineStr">
        <is>
          <t>Kyrkan</t>
        </is>
      </c>
      <c r="G475" t="n">
        <v>1</v>
      </c>
      <c r="H475" t="n">
        <v>0</v>
      </c>
      <c r="I475" t="n">
        <v>0</v>
      </c>
      <c r="J475" t="n">
        <v>0</v>
      </c>
      <c r="K475" t="n">
        <v>0</v>
      </c>
      <c r="L475" t="n">
        <v>0</v>
      </c>
      <c r="M475" t="n">
        <v>0</v>
      </c>
      <c r="N475" t="n">
        <v>0</v>
      </c>
      <c r="O475" t="n">
        <v>0</v>
      </c>
      <c r="P475" t="n">
        <v>0</v>
      </c>
      <c r="Q475" t="n">
        <v>0</v>
      </c>
      <c r="R475" s="2" t="inlineStr"/>
    </row>
    <row r="476" ht="15" customHeight="1">
      <c r="A476" t="inlineStr">
        <is>
          <t>A 35142-2025</t>
        </is>
      </c>
      <c r="B476" s="1" t="n">
        <v>45852.65532407408</v>
      </c>
      <c r="C476" s="1" t="n">
        <v>45905</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39849-2025</t>
        </is>
      </c>
      <c r="B477" s="1" t="n">
        <v>45891.58502314815</v>
      </c>
      <c r="C477" s="1" t="n">
        <v>45905</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40103-2025</t>
        </is>
      </c>
      <c r="B478" s="1" t="n">
        <v>45894.4880324074</v>
      </c>
      <c r="C478" s="1" t="n">
        <v>45905</v>
      </c>
      <c r="D478" t="inlineStr">
        <is>
          <t>GOTLANDS LÄN</t>
        </is>
      </c>
      <c r="E478" t="inlineStr">
        <is>
          <t>GOTLAND</t>
        </is>
      </c>
      <c r="G478" t="n">
        <v>0.9</v>
      </c>
      <c r="H478" t="n">
        <v>0</v>
      </c>
      <c r="I478" t="n">
        <v>0</v>
      </c>
      <c r="J478" t="n">
        <v>0</v>
      </c>
      <c r="K478" t="n">
        <v>0</v>
      </c>
      <c r="L478" t="n">
        <v>0</v>
      </c>
      <c r="M478" t="n">
        <v>0</v>
      </c>
      <c r="N478" t="n">
        <v>0</v>
      </c>
      <c r="O478" t="n">
        <v>0</v>
      </c>
      <c r="P478" t="n">
        <v>0</v>
      </c>
      <c r="Q478" t="n">
        <v>0</v>
      </c>
      <c r="R478" s="2" t="inlineStr"/>
    </row>
    <row r="479" ht="15" customHeight="1">
      <c r="A479" t="inlineStr">
        <is>
          <t>A 35129-2025</t>
        </is>
      </c>
      <c r="B479" s="1" t="n">
        <v>45852.63224537037</v>
      </c>
      <c r="C479" s="1" t="n">
        <v>45905</v>
      </c>
      <c r="D479" t="inlineStr">
        <is>
          <t>GOTLANDS LÄN</t>
        </is>
      </c>
      <c r="E479" t="inlineStr">
        <is>
          <t>GOTLAND</t>
        </is>
      </c>
      <c r="G479" t="n">
        <v>3.2</v>
      </c>
      <c r="H479" t="n">
        <v>0</v>
      </c>
      <c r="I479" t="n">
        <v>0</v>
      </c>
      <c r="J479" t="n">
        <v>0</v>
      </c>
      <c r="K479" t="n">
        <v>0</v>
      </c>
      <c r="L479" t="n">
        <v>0</v>
      </c>
      <c r="M479" t="n">
        <v>0</v>
      </c>
      <c r="N479" t="n">
        <v>0</v>
      </c>
      <c r="O479" t="n">
        <v>0</v>
      </c>
      <c r="P479" t="n">
        <v>0</v>
      </c>
      <c r="Q479" t="n">
        <v>0</v>
      </c>
      <c r="R479" s="2" t="inlineStr"/>
    </row>
    <row r="480" ht="15" customHeight="1">
      <c r="A480" t="inlineStr">
        <is>
          <t>A 43081-2022</t>
        </is>
      </c>
      <c r="B480" s="1" t="n">
        <v>44833</v>
      </c>
      <c r="C480" s="1" t="n">
        <v>45905</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39819-2025</t>
        </is>
      </c>
      <c r="B481" s="1" t="n">
        <v>45891.53418981482</v>
      </c>
      <c r="C481" s="1" t="n">
        <v>45905</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32958-2021</t>
        </is>
      </c>
      <c r="B482" s="1" t="n">
        <v>44376</v>
      </c>
      <c r="C482" s="1" t="n">
        <v>45905</v>
      </c>
      <c r="D482" t="inlineStr">
        <is>
          <t>GOTLANDS LÄN</t>
        </is>
      </c>
      <c r="E482" t="inlineStr">
        <is>
          <t>GOTLAND</t>
        </is>
      </c>
      <c r="G482" t="n">
        <v>2.2</v>
      </c>
      <c r="H482" t="n">
        <v>0</v>
      </c>
      <c r="I482" t="n">
        <v>0</v>
      </c>
      <c r="J482" t="n">
        <v>0</v>
      </c>
      <c r="K482" t="n">
        <v>0</v>
      </c>
      <c r="L482" t="n">
        <v>0</v>
      </c>
      <c r="M482" t="n">
        <v>0</v>
      </c>
      <c r="N482" t="n">
        <v>0</v>
      </c>
      <c r="O482" t="n">
        <v>0</v>
      </c>
      <c r="P482" t="n">
        <v>0</v>
      </c>
      <c r="Q482" t="n">
        <v>0</v>
      </c>
      <c r="R482" s="2" t="inlineStr"/>
    </row>
    <row r="483" ht="15" customHeight="1">
      <c r="A483" t="inlineStr">
        <is>
          <t>A 59986-2022</t>
        </is>
      </c>
      <c r="B483" s="1" t="n">
        <v>44909</v>
      </c>
      <c r="C483" s="1" t="n">
        <v>45905</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14536-2021</t>
        </is>
      </c>
      <c r="B484" s="1" t="n">
        <v>44279.66168981481</v>
      </c>
      <c r="C484" s="1" t="n">
        <v>45905</v>
      </c>
      <c r="D484" t="inlineStr">
        <is>
          <t>GOTLANDS LÄN</t>
        </is>
      </c>
      <c r="E484" t="inlineStr">
        <is>
          <t>GOTLAND</t>
        </is>
      </c>
      <c r="G484" t="n">
        <v>8.5</v>
      </c>
      <c r="H484" t="n">
        <v>0</v>
      </c>
      <c r="I484" t="n">
        <v>0</v>
      </c>
      <c r="J484" t="n">
        <v>0</v>
      </c>
      <c r="K484" t="n">
        <v>0</v>
      </c>
      <c r="L484" t="n">
        <v>0</v>
      </c>
      <c r="M484" t="n">
        <v>0</v>
      </c>
      <c r="N484" t="n">
        <v>0</v>
      </c>
      <c r="O484" t="n">
        <v>0</v>
      </c>
      <c r="P484" t="n">
        <v>0</v>
      </c>
      <c r="Q484" t="n">
        <v>0</v>
      </c>
      <c r="R484" s="2" t="inlineStr"/>
    </row>
    <row r="485" ht="15" customHeight="1">
      <c r="A485" t="inlineStr">
        <is>
          <t>A 40372-2025</t>
        </is>
      </c>
      <c r="B485" s="1" t="n">
        <v>45895.5162037037</v>
      </c>
      <c r="C485" s="1" t="n">
        <v>45905</v>
      </c>
      <c r="D485" t="inlineStr">
        <is>
          <t>GOTLANDS LÄN</t>
        </is>
      </c>
      <c r="E485" t="inlineStr">
        <is>
          <t>GOTLAND</t>
        </is>
      </c>
      <c r="G485" t="n">
        <v>3.3</v>
      </c>
      <c r="H485" t="n">
        <v>0</v>
      </c>
      <c r="I485" t="n">
        <v>0</v>
      </c>
      <c r="J485" t="n">
        <v>0</v>
      </c>
      <c r="K485" t="n">
        <v>0</v>
      </c>
      <c r="L485" t="n">
        <v>0</v>
      </c>
      <c r="M485" t="n">
        <v>0</v>
      </c>
      <c r="N485" t="n">
        <v>0</v>
      </c>
      <c r="O485" t="n">
        <v>0</v>
      </c>
      <c r="P485" t="n">
        <v>0</v>
      </c>
      <c r="Q485" t="n">
        <v>0</v>
      </c>
      <c r="R485" s="2" t="inlineStr"/>
    </row>
    <row r="486" ht="15" customHeight="1">
      <c r="A486" t="inlineStr">
        <is>
          <t>A 5884-2025</t>
        </is>
      </c>
      <c r="B486" s="1" t="n">
        <v>45695.37482638889</v>
      </c>
      <c r="C486" s="1" t="n">
        <v>45905</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40373-2025</t>
        </is>
      </c>
      <c r="B487" s="1" t="n">
        <v>45895.51821759259</v>
      </c>
      <c r="C487" s="1" t="n">
        <v>45905</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5897-2025</t>
        </is>
      </c>
      <c r="B488" s="1" t="n">
        <v>45695.39273148148</v>
      </c>
      <c r="C488" s="1" t="n">
        <v>45905</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30104-2025</t>
        </is>
      </c>
      <c r="B489" s="1" t="n">
        <v>45826.68806712963</v>
      </c>
      <c r="C489" s="1" t="n">
        <v>45905</v>
      </c>
      <c r="D489" t="inlineStr">
        <is>
          <t>GOTLANDS LÄN</t>
        </is>
      </c>
      <c r="E489" t="inlineStr">
        <is>
          <t>GOTLAND</t>
        </is>
      </c>
      <c r="G489" t="n">
        <v>15.4</v>
      </c>
      <c r="H489" t="n">
        <v>0</v>
      </c>
      <c r="I489" t="n">
        <v>0</v>
      </c>
      <c r="J489" t="n">
        <v>0</v>
      </c>
      <c r="K489" t="n">
        <v>0</v>
      </c>
      <c r="L489" t="n">
        <v>0</v>
      </c>
      <c r="M489" t="n">
        <v>0</v>
      </c>
      <c r="N489" t="n">
        <v>0</v>
      </c>
      <c r="O489" t="n">
        <v>0</v>
      </c>
      <c r="P489" t="n">
        <v>0</v>
      </c>
      <c r="Q489" t="n">
        <v>0</v>
      </c>
      <c r="R489" s="2" t="inlineStr"/>
    </row>
    <row r="490" ht="15" customHeight="1">
      <c r="A490" t="inlineStr">
        <is>
          <t>A 40499-2025</t>
        </is>
      </c>
      <c r="B490" s="1" t="n">
        <v>45896.32517361111</v>
      </c>
      <c r="C490" s="1" t="n">
        <v>45905</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35290-2025</t>
        </is>
      </c>
      <c r="B491" s="1" t="n">
        <v>45854.38502314815</v>
      </c>
      <c r="C491" s="1" t="n">
        <v>45905</v>
      </c>
      <c r="D491" t="inlineStr">
        <is>
          <t>GOTLANDS LÄN</t>
        </is>
      </c>
      <c r="E491" t="inlineStr">
        <is>
          <t>GOTLAND</t>
        </is>
      </c>
      <c r="G491" t="n">
        <v>5.4</v>
      </c>
      <c r="H491" t="n">
        <v>0</v>
      </c>
      <c r="I491" t="n">
        <v>0</v>
      </c>
      <c r="J491" t="n">
        <v>0</v>
      </c>
      <c r="K491" t="n">
        <v>0</v>
      </c>
      <c r="L491" t="n">
        <v>0</v>
      </c>
      <c r="M491" t="n">
        <v>0</v>
      </c>
      <c r="N491" t="n">
        <v>0</v>
      </c>
      <c r="O491" t="n">
        <v>0</v>
      </c>
      <c r="P491" t="n">
        <v>0</v>
      </c>
      <c r="Q491" t="n">
        <v>0</v>
      </c>
      <c r="R491" s="2" t="inlineStr"/>
    </row>
    <row r="492" ht="15" customHeight="1">
      <c r="A492" t="inlineStr">
        <is>
          <t>A 39752-2025</t>
        </is>
      </c>
      <c r="B492" s="1" t="n">
        <v>45891</v>
      </c>
      <c r="C492" s="1" t="n">
        <v>45905</v>
      </c>
      <c r="D492" t="inlineStr">
        <is>
          <t>GOTLANDS LÄN</t>
        </is>
      </c>
      <c r="E492" t="inlineStr">
        <is>
          <t>GOTLAND</t>
        </is>
      </c>
      <c r="G492" t="n">
        <v>5.3</v>
      </c>
      <c r="H492" t="n">
        <v>0</v>
      </c>
      <c r="I492" t="n">
        <v>0</v>
      </c>
      <c r="J492" t="n">
        <v>0</v>
      </c>
      <c r="K492" t="n">
        <v>0</v>
      </c>
      <c r="L492" t="n">
        <v>0</v>
      </c>
      <c r="M492" t="n">
        <v>0</v>
      </c>
      <c r="N492" t="n">
        <v>0</v>
      </c>
      <c r="O492" t="n">
        <v>0</v>
      </c>
      <c r="P492" t="n">
        <v>0</v>
      </c>
      <c r="Q492" t="n">
        <v>0</v>
      </c>
      <c r="R492" s="2" t="inlineStr"/>
    </row>
    <row r="493" ht="15" customHeight="1">
      <c r="A493" t="inlineStr">
        <is>
          <t>A 39816-2025</t>
        </is>
      </c>
      <c r="B493" s="1" t="n">
        <v>45891</v>
      </c>
      <c r="C493" s="1" t="n">
        <v>45905</v>
      </c>
      <c r="D493" t="inlineStr">
        <is>
          <t>GOTLANDS LÄN</t>
        </is>
      </c>
      <c r="E493" t="inlineStr">
        <is>
          <t>GOTLAND</t>
        </is>
      </c>
      <c r="G493" t="n">
        <v>0.9</v>
      </c>
      <c r="H493" t="n">
        <v>0</v>
      </c>
      <c r="I493" t="n">
        <v>0</v>
      </c>
      <c r="J493" t="n">
        <v>0</v>
      </c>
      <c r="K493" t="n">
        <v>0</v>
      </c>
      <c r="L493" t="n">
        <v>0</v>
      </c>
      <c r="M493" t="n">
        <v>0</v>
      </c>
      <c r="N493" t="n">
        <v>0</v>
      </c>
      <c r="O493" t="n">
        <v>0</v>
      </c>
      <c r="P493" t="n">
        <v>0</v>
      </c>
      <c r="Q493" t="n">
        <v>0</v>
      </c>
      <c r="R493" s="2" t="inlineStr"/>
    </row>
    <row r="494" ht="15" customHeight="1">
      <c r="A494" t="inlineStr">
        <is>
          <t>A 32669-2024</t>
        </is>
      </c>
      <c r="B494" s="1" t="n">
        <v>45514</v>
      </c>
      <c r="C494" s="1" t="n">
        <v>45905</v>
      </c>
      <c r="D494" t="inlineStr">
        <is>
          <t>GOTLANDS LÄN</t>
        </is>
      </c>
      <c r="E494" t="inlineStr">
        <is>
          <t>GOTLAND</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49693-2023</t>
        </is>
      </c>
      <c r="B495" s="1" t="n">
        <v>45212.38138888889</v>
      </c>
      <c r="C495" s="1" t="n">
        <v>45905</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49697-2023</t>
        </is>
      </c>
      <c r="B496" s="1" t="n">
        <v>45212.38909722222</v>
      </c>
      <c r="C496" s="1" t="n">
        <v>45905</v>
      </c>
      <c r="D496" t="inlineStr">
        <is>
          <t>GOTLANDS LÄN</t>
        </is>
      </c>
      <c r="E496" t="inlineStr">
        <is>
          <t>GOTLAND</t>
        </is>
      </c>
      <c r="G496" t="n">
        <v>4.4</v>
      </c>
      <c r="H496" t="n">
        <v>0</v>
      </c>
      <c r="I496" t="n">
        <v>0</v>
      </c>
      <c r="J496" t="n">
        <v>0</v>
      </c>
      <c r="K496" t="n">
        <v>0</v>
      </c>
      <c r="L496" t="n">
        <v>0</v>
      </c>
      <c r="M496" t="n">
        <v>0</v>
      </c>
      <c r="N496" t="n">
        <v>0</v>
      </c>
      <c r="O496" t="n">
        <v>0</v>
      </c>
      <c r="P496" t="n">
        <v>0</v>
      </c>
      <c r="Q496" t="n">
        <v>0</v>
      </c>
      <c r="R496" s="2" t="inlineStr"/>
    </row>
    <row r="497" ht="15" customHeight="1">
      <c r="A497" t="inlineStr">
        <is>
          <t>A 35537-2025</t>
        </is>
      </c>
      <c r="B497" s="1" t="n">
        <v>45856</v>
      </c>
      <c r="C497" s="1" t="n">
        <v>45905</v>
      </c>
      <c r="D497" t="inlineStr">
        <is>
          <t>GOTLANDS LÄN</t>
        </is>
      </c>
      <c r="E497" t="inlineStr">
        <is>
          <t>GOTLAND</t>
        </is>
      </c>
      <c r="G497" t="n">
        <v>16.8</v>
      </c>
      <c r="H497" t="n">
        <v>0</v>
      </c>
      <c r="I497" t="n">
        <v>0</v>
      </c>
      <c r="J497" t="n">
        <v>0</v>
      </c>
      <c r="K497" t="n">
        <v>0</v>
      </c>
      <c r="L497" t="n">
        <v>0</v>
      </c>
      <c r="M497" t="n">
        <v>0</v>
      </c>
      <c r="N497" t="n">
        <v>0</v>
      </c>
      <c r="O497" t="n">
        <v>0</v>
      </c>
      <c r="P497" t="n">
        <v>0</v>
      </c>
      <c r="Q497" t="n">
        <v>0</v>
      </c>
      <c r="R497" s="2" t="inlineStr"/>
    </row>
    <row r="498" ht="15" customHeight="1">
      <c r="A498" t="inlineStr">
        <is>
          <t>A 17901-2023</t>
        </is>
      </c>
      <c r="B498" s="1" t="n">
        <v>45039</v>
      </c>
      <c r="C498" s="1" t="n">
        <v>45905</v>
      </c>
      <c r="D498" t="inlineStr">
        <is>
          <t>GOTLANDS LÄN</t>
        </is>
      </c>
      <c r="E498" t="inlineStr">
        <is>
          <t>GOTLAND</t>
        </is>
      </c>
      <c r="F498" t="inlineStr">
        <is>
          <t>Kyrkan</t>
        </is>
      </c>
      <c r="G498" t="n">
        <v>0.6</v>
      </c>
      <c r="H498" t="n">
        <v>0</v>
      </c>
      <c r="I498" t="n">
        <v>0</v>
      </c>
      <c r="J498" t="n">
        <v>0</v>
      </c>
      <c r="K498" t="n">
        <v>0</v>
      </c>
      <c r="L498" t="n">
        <v>0</v>
      </c>
      <c r="M498" t="n">
        <v>0</v>
      </c>
      <c r="N498" t="n">
        <v>0</v>
      </c>
      <c r="O498" t="n">
        <v>0</v>
      </c>
      <c r="P498" t="n">
        <v>0</v>
      </c>
      <c r="Q498" t="n">
        <v>0</v>
      </c>
      <c r="R498" s="2" t="inlineStr"/>
    </row>
    <row r="499" ht="15" customHeight="1">
      <c r="A499" t="inlineStr">
        <is>
          <t>A 35550-2025</t>
        </is>
      </c>
      <c r="B499" s="1" t="n">
        <v>45856.49324074074</v>
      </c>
      <c r="C499" s="1" t="n">
        <v>45905</v>
      </c>
      <c r="D499" t="inlineStr">
        <is>
          <t>GOTLANDS LÄN</t>
        </is>
      </c>
      <c r="E499" t="inlineStr">
        <is>
          <t>GOTLAND</t>
        </is>
      </c>
      <c r="G499" t="n">
        <v>3.2</v>
      </c>
      <c r="H499" t="n">
        <v>0</v>
      </c>
      <c r="I499" t="n">
        <v>0</v>
      </c>
      <c r="J499" t="n">
        <v>0</v>
      </c>
      <c r="K499" t="n">
        <v>0</v>
      </c>
      <c r="L499" t="n">
        <v>0</v>
      </c>
      <c r="M499" t="n">
        <v>0</v>
      </c>
      <c r="N499" t="n">
        <v>0</v>
      </c>
      <c r="O499" t="n">
        <v>0</v>
      </c>
      <c r="P499" t="n">
        <v>0</v>
      </c>
      <c r="Q499" t="n">
        <v>0</v>
      </c>
      <c r="R499" s="2" t="inlineStr"/>
    </row>
    <row r="500" ht="15" customHeight="1">
      <c r="A500" t="inlineStr">
        <is>
          <t>A 55334-2024</t>
        </is>
      </c>
      <c r="B500" s="1" t="n">
        <v>45621</v>
      </c>
      <c r="C500" s="1" t="n">
        <v>45905</v>
      </c>
      <c r="D500" t="inlineStr">
        <is>
          <t>GOTLANDS LÄN</t>
        </is>
      </c>
      <c r="E500" t="inlineStr">
        <is>
          <t>GOTLAND</t>
        </is>
      </c>
      <c r="G500" t="n">
        <v>21.7</v>
      </c>
      <c r="H500" t="n">
        <v>0</v>
      </c>
      <c r="I500" t="n">
        <v>0</v>
      </c>
      <c r="J500" t="n">
        <v>0</v>
      </c>
      <c r="K500" t="n">
        <v>0</v>
      </c>
      <c r="L500" t="n">
        <v>0</v>
      </c>
      <c r="M500" t="n">
        <v>0</v>
      </c>
      <c r="N500" t="n">
        <v>0</v>
      </c>
      <c r="O500" t="n">
        <v>0</v>
      </c>
      <c r="P500" t="n">
        <v>0</v>
      </c>
      <c r="Q500" t="n">
        <v>0</v>
      </c>
      <c r="R500" s="2" t="inlineStr"/>
    </row>
    <row r="501" ht="15" customHeight="1">
      <c r="A501" t="inlineStr">
        <is>
          <t>A 52892-2021</t>
        </is>
      </c>
      <c r="B501" s="1" t="n">
        <v>44467.49048611111</v>
      </c>
      <c r="C501" s="1" t="n">
        <v>45905</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36319-2025</t>
        </is>
      </c>
      <c r="B502" s="1" t="n">
        <v>45868.38543981482</v>
      </c>
      <c r="C502" s="1" t="n">
        <v>45905</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41551-2025</t>
        </is>
      </c>
      <c r="B503" s="1" t="n">
        <v>45901.58854166666</v>
      </c>
      <c r="C503" s="1" t="n">
        <v>45905</v>
      </c>
      <c r="D503" t="inlineStr">
        <is>
          <t>GOTLANDS LÄN</t>
        </is>
      </c>
      <c r="E503" t="inlineStr">
        <is>
          <t>GOTLAND</t>
        </is>
      </c>
      <c r="G503" t="n">
        <v>5.6</v>
      </c>
      <c r="H503" t="n">
        <v>0</v>
      </c>
      <c r="I503" t="n">
        <v>0</v>
      </c>
      <c r="J503" t="n">
        <v>0</v>
      </c>
      <c r="K503" t="n">
        <v>0</v>
      </c>
      <c r="L503" t="n">
        <v>0</v>
      </c>
      <c r="M503" t="n">
        <v>0</v>
      </c>
      <c r="N503" t="n">
        <v>0</v>
      </c>
      <c r="O503" t="n">
        <v>0</v>
      </c>
      <c r="P503" t="n">
        <v>0</v>
      </c>
      <c r="Q503" t="n">
        <v>0</v>
      </c>
      <c r="R503" s="2" t="inlineStr"/>
    </row>
    <row r="504" ht="15" customHeight="1">
      <c r="A504" t="inlineStr">
        <is>
          <t>A 1713-2025</t>
        </is>
      </c>
      <c r="B504" s="1" t="n">
        <v>45671.32342592593</v>
      </c>
      <c r="C504" s="1" t="n">
        <v>45905</v>
      </c>
      <c r="D504" t="inlineStr">
        <is>
          <t>GOTLANDS LÄN</t>
        </is>
      </c>
      <c r="E504" t="inlineStr">
        <is>
          <t>GOTLAND</t>
        </is>
      </c>
      <c r="G504" t="n">
        <v>10.1</v>
      </c>
      <c r="H504" t="n">
        <v>0</v>
      </c>
      <c r="I504" t="n">
        <v>0</v>
      </c>
      <c r="J504" t="n">
        <v>0</v>
      </c>
      <c r="K504" t="n">
        <v>0</v>
      </c>
      <c r="L504" t="n">
        <v>0</v>
      </c>
      <c r="M504" t="n">
        <v>0</v>
      </c>
      <c r="N504" t="n">
        <v>0</v>
      </c>
      <c r="O504" t="n">
        <v>0</v>
      </c>
      <c r="P504" t="n">
        <v>0</v>
      </c>
      <c r="Q504" t="n">
        <v>0</v>
      </c>
      <c r="R504" s="2" t="inlineStr"/>
    </row>
    <row r="505" ht="15" customHeight="1">
      <c r="A505" t="inlineStr">
        <is>
          <t>A 41435-2025</t>
        </is>
      </c>
      <c r="B505" s="1" t="n">
        <v>45901.39974537037</v>
      </c>
      <c r="C505" s="1" t="n">
        <v>45905</v>
      </c>
      <c r="D505" t="inlineStr">
        <is>
          <t>GOTLANDS LÄN</t>
        </is>
      </c>
      <c r="E505" t="inlineStr">
        <is>
          <t>GOTLAND</t>
        </is>
      </c>
      <c r="G505" t="n">
        <v>4.9</v>
      </c>
      <c r="H505" t="n">
        <v>0</v>
      </c>
      <c r="I505" t="n">
        <v>0</v>
      </c>
      <c r="J505" t="n">
        <v>0</v>
      </c>
      <c r="K505" t="n">
        <v>0</v>
      </c>
      <c r="L505" t="n">
        <v>0</v>
      </c>
      <c r="M505" t="n">
        <v>0</v>
      </c>
      <c r="N505" t="n">
        <v>0</v>
      </c>
      <c r="O505" t="n">
        <v>0</v>
      </c>
      <c r="P505" t="n">
        <v>0</v>
      </c>
      <c r="Q505" t="n">
        <v>0</v>
      </c>
      <c r="R505" s="2" t="inlineStr"/>
    </row>
    <row r="506" ht="15" customHeight="1">
      <c r="A506" t="inlineStr">
        <is>
          <t>A 46396-2023</t>
        </is>
      </c>
      <c r="B506" s="1" t="n">
        <v>45197</v>
      </c>
      <c r="C506" s="1" t="n">
        <v>45905</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40235-2025</t>
        </is>
      </c>
      <c r="B507" s="1" t="n">
        <v>45894.74005787037</v>
      </c>
      <c r="C507" s="1" t="n">
        <v>45905</v>
      </c>
      <c r="D507" t="inlineStr">
        <is>
          <t>GOTLANDS LÄN</t>
        </is>
      </c>
      <c r="E507" t="inlineStr">
        <is>
          <t>GOTLAND</t>
        </is>
      </c>
      <c r="G507" t="n">
        <v>10.6</v>
      </c>
      <c r="H507" t="n">
        <v>0</v>
      </c>
      <c r="I507" t="n">
        <v>0</v>
      </c>
      <c r="J507" t="n">
        <v>0</v>
      </c>
      <c r="K507" t="n">
        <v>0</v>
      </c>
      <c r="L507" t="n">
        <v>0</v>
      </c>
      <c r="M507" t="n">
        <v>0</v>
      </c>
      <c r="N507" t="n">
        <v>0</v>
      </c>
      <c r="O507" t="n">
        <v>0</v>
      </c>
      <c r="P507" t="n">
        <v>0</v>
      </c>
      <c r="Q507" t="n">
        <v>0</v>
      </c>
      <c r="R507" s="2" t="inlineStr"/>
    </row>
    <row r="508" ht="15" customHeight="1">
      <c r="A508" t="inlineStr">
        <is>
          <t>A 11874-2024</t>
        </is>
      </c>
      <c r="B508" s="1" t="n">
        <v>45376.46956018519</v>
      </c>
      <c r="C508" s="1" t="n">
        <v>45905</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2292-2021</t>
        </is>
      </c>
      <c r="B509" s="1" t="n">
        <v>44212</v>
      </c>
      <c r="C509" s="1" t="n">
        <v>45905</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45905</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61694-2023</t>
        </is>
      </c>
      <c r="B511" s="1" t="n">
        <v>45264</v>
      </c>
      <c r="C511" s="1" t="n">
        <v>45905</v>
      </c>
      <c r="D511" t="inlineStr">
        <is>
          <t>GOTLANDS LÄN</t>
        </is>
      </c>
      <c r="E511" t="inlineStr">
        <is>
          <t>GOTLAND</t>
        </is>
      </c>
      <c r="G511" t="n">
        <v>4.6</v>
      </c>
      <c r="H511" t="n">
        <v>0</v>
      </c>
      <c r="I511" t="n">
        <v>0</v>
      </c>
      <c r="J511" t="n">
        <v>0</v>
      </c>
      <c r="K511" t="n">
        <v>0</v>
      </c>
      <c r="L511" t="n">
        <v>0</v>
      </c>
      <c r="M511" t="n">
        <v>0</v>
      </c>
      <c r="N511" t="n">
        <v>0</v>
      </c>
      <c r="O511" t="n">
        <v>0</v>
      </c>
      <c r="P511" t="n">
        <v>0</v>
      </c>
      <c r="Q511" t="n">
        <v>0</v>
      </c>
      <c r="R511" s="2" t="inlineStr"/>
    </row>
    <row r="512" ht="15" customHeight="1">
      <c r="A512" t="inlineStr">
        <is>
          <t>A 17724-2024</t>
        </is>
      </c>
      <c r="B512" s="1" t="n">
        <v>45418.55096064815</v>
      </c>
      <c r="C512" s="1" t="n">
        <v>45905</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34312-2024</t>
        </is>
      </c>
      <c r="B513" s="1" t="n">
        <v>45524.69703703704</v>
      </c>
      <c r="C513" s="1" t="n">
        <v>45905</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64555-2023</t>
        </is>
      </c>
      <c r="B514" s="1" t="n">
        <v>45281</v>
      </c>
      <c r="C514" s="1" t="n">
        <v>45905</v>
      </c>
      <c r="D514" t="inlineStr">
        <is>
          <t>GOTLANDS LÄN</t>
        </is>
      </c>
      <c r="E514" t="inlineStr">
        <is>
          <t>GOTLAND</t>
        </is>
      </c>
      <c r="G514" t="n">
        <v>3.5</v>
      </c>
      <c r="H514" t="n">
        <v>0</v>
      </c>
      <c r="I514" t="n">
        <v>0</v>
      </c>
      <c r="J514" t="n">
        <v>0</v>
      </c>
      <c r="K514" t="n">
        <v>0</v>
      </c>
      <c r="L514" t="n">
        <v>0</v>
      </c>
      <c r="M514" t="n">
        <v>0</v>
      </c>
      <c r="N514" t="n">
        <v>0</v>
      </c>
      <c r="O514" t="n">
        <v>0</v>
      </c>
      <c r="P514" t="n">
        <v>0</v>
      </c>
      <c r="Q514" t="n">
        <v>0</v>
      </c>
      <c r="R514" s="2" t="inlineStr"/>
    </row>
    <row r="515" ht="15" customHeight="1">
      <c r="A515" t="inlineStr">
        <is>
          <t>A 64831-2023</t>
        </is>
      </c>
      <c r="B515" s="1" t="n">
        <v>45282.44924768519</v>
      </c>
      <c r="C515" s="1" t="n">
        <v>45905</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14804-2021</t>
        </is>
      </c>
      <c r="B516" s="1" t="n">
        <v>44280</v>
      </c>
      <c r="C516" s="1" t="n">
        <v>45905</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999-2023</t>
        </is>
      </c>
      <c r="B517" s="1" t="n">
        <v>44935</v>
      </c>
      <c r="C517" s="1" t="n">
        <v>45905</v>
      </c>
      <c r="D517" t="inlineStr">
        <is>
          <t>GOTLANDS LÄN</t>
        </is>
      </c>
      <c r="E517" t="inlineStr">
        <is>
          <t>GOTLAND</t>
        </is>
      </c>
      <c r="G517" t="n">
        <v>4.7</v>
      </c>
      <c r="H517" t="n">
        <v>0</v>
      </c>
      <c r="I517" t="n">
        <v>0</v>
      </c>
      <c r="J517" t="n">
        <v>0</v>
      </c>
      <c r="K517" t="n">
        <v>0</v>
      </c>
      <c r="L517" t="n">
        <v>0</v>
      </c>
      <c r="M517" t="n">
        <v>0</v>
      </c>
      <c r="N517" t="n">
        <v>0</v>
      </c>
      <c r="O517" t="n">
        <v>0</v>
      </c>
      <c r="P517" t="n">
        <v>0</v>
      </c>
      <c r="Q517" t="n">
        <v>0</v>
      </c>
      <c r="R517" s="2" t="inlineStr"/>
    </row>
    <row r="518" ht="15" customHeight="1">
      <c r="A518" t="inlineStr">
        <is>
          <t>A 15216-2025</t>
        </is>
      </c>
      <c r="B518" s="1" t="n">
        <v>45744</v>
      </c>
      <c r="C518" s="1" t="n">
        <v>45905</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6153-2024</t>
        </is>
      </c>
      <c r="B519" s="1" t="n">
        <v>45337</v>
      </c>
      <c r="C519" s="1" t="n">
        <v>45905</v>
      </c>
      <c r="D519" t="inlineStr">
        <is>
          <t>GOTLANDS LÄN</t>
        </is>
      </c>
      <c r="E519" t="inlineStr">
        <is>
          <t>GOTLAND</t>
        </is>
      </c>
      <c r="G519" t="n">
        <v>14.2</v>
      </c>
      <c r="H519" t="n">
        <v>0</v>
      </c>
      <c r="I519" t="n">
        <v>0</v>
      </c>
      <c r="J519" t="n">
        <v>0</v>
      </c>
      <c r="K519" t="n">
        <v>0</v>
      </c>
      <c r="L519" t="n">
        <v>0</v>
      </c>
      <c r="M519" t="n">
        <v>0</v>
      </c>
      <c r="N519" t="n">
        <v>0</v>
      </c>
      <c r="O519" t="n">
        <v>0</v>
      </c>
      <c r="P519" t="n">
        <v>0</v>
      </c>
      <c r="Q519" t="n">
        <v>0</v>
      </c>
      <c r="R519" s="2" t="inlineStr"/>
    </row>
    <row r="520" ht="15" customHeight="1">
      <c r="A520" t="inlineStr">
        <is>
          <t>A 27602-2023</t>
        </is>
      </c>
      <c r="B520" s="1" t="n">
        <v>45097</v>
      </c>
      <c r="C520" s="1" t="n">
        <v>45905</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69112-2021</t>
        </is>
      </c>
      <c r="B521" s="1" t="n">
        <v>44530</v>
      </c>
      <c r="C521" s="1" t="n">
        <v>45905</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45905</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50482-2024</t>
        </is>
      </c>
      <c r="B523" s="1" t="n">
        <v>45601.48114583334</v>
      </c>
      <c r="C523" s="1" t="n">
        <v>45905</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44936.72997685185</v>
      </c>
      <c r="C524" s="1" t="n">
        <v>45905</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4377-2023</t>
        </is>
      </c>
      <c r="B525" s="1" t="n">
        <v>44955.5502662037</v>
      </c>
      <c r="C525" s="1" t="n">
        <v>45905</v>
      </c>
      <c r="D525" t="inlineStr">
        <is>
          <t>GOTLANDS LÄN</t>
        </is>
      </c>
      <c r="E525" t="inlineStr">
        <is>
          <t>GOTLAND</t>
        </is>
      </c>
      <c r="F525" t="inlineStr">
        <is>
          <t>Kyrkan</t>
        </is>
      </c>
      <c r="G525" t="n">
        <v>0.6</v>
      </c>
      <c r="H525" t="n">
        <v>0</v>
      </c>
      <c r="I525" t="n">
        <v>0</v>
      </c>
      <c r="J525" t="n">
        <v>0</v>
      </c>
      <c r="K525" t="n">
        <v>0</v>
      </c>
      <c r="L525" t="n">
        <v>0</v>
      </c>
      <c r="M525" t="n">
        <v>0</v>
      </c>
      <c r="N525" t="n">
        <v>0</v>
      </c>
      <c r="O525" t="n">
        <v>0</v>
      </c>
      <c r="P525" t="n">
        <v>0</v>
      </c>
      <c r="Q525" t="n">
        <v>0</v>
      </c>
      <c r="R525" s="2" t="inlineStr"/>
    </row>
    <row r="526" ht="15" customHeight="1">
      <c r="A526" t="inlineStr">
        <is>
          <t>A 4387-2023</t>
        </is>
      </c>
      <c r="B526" s="1" t="n">
        <v>44955.73359953704</v>
      </c>
      <c r="C526" s="1" t="n">
        <v>45905</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39479-2022</t>
        </is>
      </c>
      <c r="B527" s="1" t="n">
        <v>44818</v>
      </c>
      <c r="C527" s="1" t="n">
        <v>45905</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58230-2024</t>
        </is>
      </c>
      <c r="B528" s="1" t="n">
        <v>45632.51625</v>
      </c>
      <c r="C528" s="1" t="n">
        <v>45905</v>
      </c>
      <c r="D528" t="inlineStr">
        <is>
          <t>GOTLANDS LÄN</t>
        </is>
      </c>
      <c r="E528" t="inlineStr">
        <is>
          <t>GOTLAND</t>
        </is>
      </c>
      <c r="G528" t="n">
        <v>7.3</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45905</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51963-2024</t>
        </is>
      </c>
      <c r="B530" s="1" t="n">
        <v>45607.64833333333</v>
      </c>
      <c r="C530" s="1" t="n">
        <v>45905</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22883-2024</t>
        </is>
      </c>
      <c r="B531" s="1" t="n">
        <v>45448.66368055555</v>
      </c>
      <c r="C531" s="1" t="n">
        <v>45905</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811-2023</t>
        </is>
      </c>
      <c r="B532" s="1" t="n">
        <v>44931</v>
      </c>
      <c r="C532" s="1" t="n">
        <v>45905</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46389-2021</t>
        </is>
      </c>
      <c r="B533" s="1" t="n">
        <v>44443</v>
      </c>
      <c r="C533" s="1" t="n">
        <v>45905</v>
      </c>
      <c r="D533" t="inlineStr">
        <is>
          <t>GOTLANDS LÄN</t>
        </is>
      </c>
      <c r="E533" t="inlineStr">
        <is>
          <t>GOTLAND</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25129-2023</t>
        </is>
      </c>
      <c r="B534" s="1" t="n">
        <v>45086.44261574074</v>
      </c>
      <c r="C534" s="1" t="n">
        <v>45905</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17343-2025</t>
        </is>
      </c>
      <c r="B535" s="1" t="n">
        <v>45756.6687037037</v>
      </c>
      <c r="C535" s="1" t="n">
        <v>45905</v>
      </c>
      <c r="D535" t="inlineStr">
        <is>
          <t>GOTLANDS LÄN</t>
        </is>
      </c>
      <c r="E535" t="inlineStr">
        <is>
          <t>GOTLAND</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24192-2023</t>
        </is>
      </c>
      <c r="B536" s="1" t="n">
        <v>45079</v>
      </c>
      <c r="C536" s="1" t="n">
        <v>45905</v>
      </c>
      <c r="D536" t="inlineStr">
        <is>
          <t>GOTLANDS LÄN</t>
        </is>
      </c>
      <c r="E536" t="inlineStr">
        <is>
          <t>GOTLAND</t>
        </is>
      </c>
      <c r="G536" t="n">
        <v>2.1</v>
      </c>
      <c r="H536" t="n">
        <v>0</v>
      </c>
      <c r="I536" t="n">
        <v>0</v>
      </c>
      <c r="J536" t="n">
        <v>0</v>
      </c>
      <c r="K536" t="n">
        <v>0</v>
      </c>
      <c r="L536" t="n">
        <v>0</v>
      </c>
      <c r="M536" t="n">
        <v>0</v>
      </c>
      <c r="N536" t="n">
        <v>0</v>
      </c>
      <c r="O536" t="n">
        <v>0</v>
      </c>
      <c r="P536" t="n">
        <v>0</v>
      </c>
      <c r="Q536" t="n">
        <v>0</v>
      </c>
      <c r="R536" s="2" t="inlineStr"/>
    </row>
    <row r="537" ht="15" customHeight="1">
      <c r="A537" t="inlineStr">
        <is>
          <t>A 18914-2025</t>
        </is>
      </c>
      <c r="B537" s="1" t="n">
        <v>45764.46783564815</v>
      </c>
      <c r="C537" s="1" t="n">
        <v>45905</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26810-2021</t>
        </is>
      </c>
      <c r="B538" s="1" t="n">
        <v>44349.55087962963</v>
      </c>
      <c r="C538" s="1" t="n">
        <v>45905</v>
      </c>
      <c r="D538" t="inlineStr">
        <is>
          <t>GOTLANDS LÄN</t>
        </is>
      </c>
      <c r="E538" t="inlineStr">
        <is>
          <t>GOTLAND</t>
        </is>
      </c>
      <c r="G538" t="n">
        <v>3.5</v>
      </c>
      <c r="H538" t="n">
        <v>0</v>
      </c>
      <c r="I538" t="n">
        <v>0</v>
      </c>
      <c r="J538" t="n">
        <v>0</v>
      </c>
      <c r="K538" t="n">
        <v>0</v>
      </c>
      <c r="L538" t="n">
        <v>0</v>
      </c>
      <c r="M538" t="n">
        <v>0</v>
      </c>
      <c r="N538" t="n">
        <v>0</v>
      </c>
      <c r="O538" t="n">
        <v>0</v>
      </c>
      <c r="P538" t="n">
        <v>0</v>
      </c>
      <c r="Q538" t="n">
        <v>0</v>
      </c>
      <c r="R538" s="2" t="inlineStr"/>
    </row>
    <row r="539" ht="15" customHeight="1">
      <c r="A539" t="inlineStr">
        <is>
          <t>A 18742-2025</t>
        </is>
      </c>
      <c r="B539" s="1" t="n">
        <v>45763</v>
      </c>
      <c r="C539" s="1" t="n">
        <v>45905</v>
      </c>
      <c r="D539" t="inlineStr">
        <is>
          <t>GOTLANDS LÄN</t>
        </is>
      </c>
      <c r="E539" t="inlineStr">
        <is>
          <t>GOTLAND</t>
        </is>
      </c>
      <c r="G539" t="n">
        <v>3.4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45905</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7026-2023</t>
        </is>
      </c>
      <c r="B541" s="1" t="n">
        <v>44968.30340277778</v>
      </c>
      <c r="C541" s="1" t="n">
        <v>45905</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20855-2023</t>
        </is>
      </c>
      <c r="B542" s="1" t="n">
        <v>45058.82172453704</v>
      </c>
      <c r="C542" s="1" t="n">
        <v>45905</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44963.69503472222</v>
      </c>
      <c r="C543" s="1" t="n">
        <v>45905</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33853-2024</t>
        </is>
      </c>
      <c r="B544" s="1" t="n">
        <v>45520.64298611111</v>
      </c>
      <c r="C544" s="1" t="n">
        <v>45905</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18918-2025</t>
        </is>
      </c>
      <c r="B545" s="1" t="n">
        <v>45764</v>
      </c>
      <c r="C545" s="1" t="n">
        <v>45905</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45905</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45905</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1000-2024</t>
        </is>
      </c>
      <c r="B548" s="1" t="n">
        <v>45301.63371527778</v>
      </c>
      <c r="C548" s="1" t="n">
        <v>45905</v>
      </c>
      <c r="D548" t="inlineStr">
        <is>
          <t>GOTLANDS LÄN</t>
        </is>
      </c>
      <c r="E548" t="inlineStr">
        <is>
          <t>GOTLAND</t>
        </is>
      </c>
      <c r="G548" t="n">
        <v>1</v>
      </c>
      <c r="H548" t="n">
        <v>0</v>
      </c>
      <c r="I548" t="n">
        <v>0</v>
      </c>
      <c r="J548" t="n">
        <v>0</v>
      </c>
      <c r="K548" t="n">
        <v>0</v>
      </c>
      <c r="L548" t="n">
        <v>0</v>
      </c>
      <c r="M548" t="n">
        <v>0</v>
      </c>
      <c r="N548" t="n">
        <v>0</v>
      </c>
      <c r="O548" t="n">
        <v>0</v>
      </c>
      <c r="P548" t="n">
        <v>0</v>
      </c>
      <c r="Q548" t="n">
        <v>0</v>
      </c>
      <c r="R548" s="2" t="inlineStr"/>
    </row>
    <row r="549" ht="15" customHeight="1">
      <c r="A549" t="inlineStr">
        <is>
          <t>A 1010-2024</t>
        </is>
      </c>
      <c r="B549" s="1" t="n">
        <v>45301</v>
      </c>
      <c r="C549" s="1" t="n">
        <v>45905</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10655-2023</t>
        </is>
      </c>
      <c r="B550" s="1" t="n">
        <v>44988.49543981482</v>
      </c>
      <c r="C550" s="1" t="n">
        <v>45905</v>
      </c>
      <c r="D550" t="inlineStr">
        <is>
          <t>GOTLANDS LÄN</t>
        </is>
      </c>
      <c r="E550" t="inlineStr">
        <is>
          <t>GOTLAND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2719-2023</t>
        </is>
      </c>
      <c r="B551" s="1" t="n">
        <v>44944.55361111111</v>
      </c>
      <c r="C551" s="1" t="n">
        <v>45905</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26891-2024</t>
        </is>
      </c>
      <c r="B552" s="1" t="n">
        <v>45470.65540509259</v>
      </c>
      <c r="C552" s="1" t="n">
        <v>45905</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45905</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9887-2025</t>
        </is>
      </c>
      <c r="B554" s="1" t="n">
        <v>45716</v>
      </c>
      <c r="C554" s="1" t="n">
        <v>45905</v>
      </c>
      <c r="D554" t="inlineStr">
        <is>
          <t>GOTLANDS LÄN</t>
        </is>
      </c>
      <c r="E554" t="inlineStr">
        <is>
          <t>GOTLAND</t>
        </is>
      </c>
      <c r="G554" t="n">
        <v>7.5</v>
      </c>
      <c r="H554" t="n">
        <v>0</v>
      </c>
      <c r="I554" t="n">
        <v>0</v>
      </c>
      <c r="J554" t="n">
        <v>0</v>
      </c>
      <c r="K554" t="n">
        <v>0</v>
      </c>
      <c r="L554" t="n">
        <v>0</v>
      </c>
      <c r="M554" t="n">
        <v>0</v>
      </c>
      <c r="N554" t="n">
        <v>0</v>
      </c>
      <c r="O554" t="n">
        <v>0</v>
      </c>
      <c r="P554" t="n">
        <v>0</v>
      </c>
      <c r="Q554" t="n">
        <v>0</v>
      </c>
      <c r="R554" s="2" t="inlineStr"/>
    </row>
    <row r="555" ht="15" customHeight="1">
      <c r="A555" t="inlineStr">
        <is>
          <t>A 47762-2023</t>
        </is>
      </c>
      <c r="B555" s="1" t="n">
        <v>45203.86256944444</v>
      </c>
      <c r="C555" s="1" t="n">
        <v>45905</v>
      </c>
      <c r="D555" t="inlineStr">
        <is>
          <t>GOTLANDS LÄN</t>
        </is>
      </c>
      <c r="E555" t="inlineStr">
        <is>
          <t>GOTLAND</t>
        </is>
      </c>
      <c r="G555" t="n">
        <v>1.3</v>
      </c>
      <c r="H555" t="n">
        <v>0</v>
      </c>
      <c r="I555" t="n">
        <v>0</v>
      </c>
      <c r="J555" t="n">
        <v>0</v>
      </c>
      <c r="K555" t="n">
        <v>0</v>
      </c>
      <c r="L555" t="n">
        <v>0</v>
      </c>
      <c r="M555" t="n">
        <v>0</v>
      </c>
      <c r="N555" t="n">
        <v>0</v>
      </c>
      <c r="O555" t="n">
        <v>0</v>
      </c>
      <c r="P555" t="n">
        <v>0</v>
      </c>
      <c r="Q555" t="n">
        <v>0</v>
      </c>
      <c r="R555" s="2" t="inlineStr"/>
    </row>
    <row r="556" ht="15" customHeight="1">
      <c r="A556" t="inlineStr">
        <is>
          <t>A 38165-2023</t>
        </is>
      </c>
      <c r="B556" s="1" t="n">
        <v>45161</v>
      </c>
      <c r="C556" s="1" t="n">
        <v>45905</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27596-2023</t>
        </is>
      </c>
      <c r="B557" s="1" t="n">
        <v>45097</v>
      </c>
      <c r="C557" s="1" t="n">
        <v>45905</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24825-2024</t>
        </is>
      </c>
      <c r="B558" s="1" t="n">
        <v>45461</v>
      </c>
      <c r="C558" s="1" t="n">
        <v>45905</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6696-2023</t>
        </is>
      </c>
      <c r="B559" s="1" t="n">
        <v>44966.66425925926</v>
      </c>
      <c r="C559" s="1" t="n">
        <v>45905</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21247-2022</t>
        </is>
      </c>
      <c r="B560" s="1" t="n">
        <v>44705.38832175926</v>
      </c>
      <c r="C560" s="1" t="n">
        <v>45905</v>
      </c>
      <c r="D560" t="inlineStr">
        <is>
          <t>GOTLANDS LÄN</t>
        </is>
      </c>
      <c r="E560" t="inlineStr">
        <is>
          <t>GOTLAND</t>
        </is>
      </c>
      <c r="G560" t="n">
        <v>16.2</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44929.87122685185</v>
      </c>
      <c r="C561" s="1" t="n">
        <v>45905</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44944.54896990741</v>
      </c>
      <c r="C562" s="1" t="n">
        <v>45905</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4421-2024</t>
        </is>
      </c>
      <c r="B563" s="1" t="n">
        <v>45327.45173611111</v>
      </c>
      <c r="C563" s="1" t="n">
        <v>45905</v>
      </c>
      <c r="D563" t="inlineStr">
        <is>
          <t>GOTLANDS LÄN</t>
        </is>
      </c>
      <c r="E563" t="inlineStr">
        <is>
          <t>GOTLAND</t>
        </is>
      </c>
      <c r="G563" t="n">
        <v>5.1</v>
      </c>
      <c r="H563" t="n">
        <v>0</v>
      </c>
      <c r="I563" t="n">
        <v>0</v>
      </c>
      <c r="J563" t="n">
        <v>0</v>
      </c>
      <c r="K563" t="n">
        <v>0</v>
      </c>
      <c r="L563" t="n">
        <v>0</v>
      </c>
      <c r="M563" t="n">
        <v>0</v>
      </c>
      <c r="N563" t="n">
        <v>0</v>
      </c>
      <c r="O563" t="n">
        <v>0</v>
      </c>
      <c r="P563" t="n">
        <v>0</v>
      </c>
      <c r="Q563" t="n">
        <v>0</v>
      </c>
      <c r="R563" s="2" t="inlineStr"/>
    </row>
    <row r="564" ht="15" customHeight="1">
      <c r="A564" t="inlineStr">
        <is>
          <t>A 51782-2023</t>
        </is>
      </c>
      <c r="B564" s="1" t="n">
        <v>45222.80952546297</v>
      </c>
      <c r="C564" s="1" t="n">
        <v>45905</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54268-2022</t>
        </is>
      </c>
      <c r="B565" s="1" t="n">
        <v>44882</v>
      </c>
      <c r="C565" s="1" t="n">
        <v>45905</v>
      </c>
      <c r="D565" t="inlineStr">
        <is>
          <t>GOTLANDS LÄN</t>
        </is>
      </c>
      <c r="E565" t="inlineStr">
        <is>
          <t>GOTLAND</t>
        </is>
      </c>
      <c r="G565" t="n">
        <v>2.7</v>
      </c>
      <c r="H565" t="n">
        <v>0</v>
      </c>
      <c r="I565" t="n">
        <v>0</v>
      </c>
      <c r="J565" t="n">
        <v>0</v>
      </c>
      <c r="K565" t="n">
        <v>0</v>
      </c>
      <c r="L565" t="n">
        <v>0</v>
      </c>
      <c r="M565" t="n">
        <v>0</v>
      </c>
      <c r="N565" t="n">
        <v>0</v>
      </c>
      <c r="O565" t="n">
        <v>0</v>
      </c>
      <c r="P565" t="n">
        <v>0</v>
      </c>
      <c r="Q565" t="n">
        <v>0</v>
      </c>
      <c r="R565" s="2" t="inlineStr"/>
    </row>
    <row r="566" ht="15" customHeight="1">
      <c r="A566" t="inlineStr">
        <is>
          <t>A 57534-2022</t>
        </is>
      </c>
      <c r="B566" s="1" t="n">
        <v>44896</v>
      </c>
      <c r="C566" s="1" t="n">
        <v>45905</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25866-2022</t>
        </is>
      </c>
      <c r="B567" s="1" t="n">
        <v>44733</v>
      </c>
      <c r="C567" s="1" t="n">
        <v>45905</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43229-2023</t>
        </is>
      </c>
      <c r="B568" s="1" t="n">
        <v>45183.46704861111</v>
      </c>
      <c r="C568" s="1" t="n">
        <v>45905</v>
      </c>
      <c r="D568" t="inlineStr">
        <is>
          <t>GOTLANDS LÄN</t>
        </is>
      </c>
      <c r="E568" t="inlineStr">
        <is>
          <t>GOTLAND</t>
        </is>
      </c>
      <c r="G568" t="n">
        <v>7.1</v>
      </c>
      <c r="H568" t="n">
        <v>0</v>
      </c>
      <c r="I568" t="n">
        <v>0</v>
      </c>
      <c r="J568" t="n">
        <v>0</v>
      </c>
      <c r="K568" t="n">
        <v>0</v>
      </c>
      <c r="L568" t="n">
        <v>0</v>
      </c>
      <c r="M568" t="n">
        <v>0</v>
      </c>
      <c r="N568" t="n">
        <v>0</v>
      </c>
      <c r="O568" t="n">
        <v>0</v>
      </c>
      <c r="P568" t="n">
        <v>0</v>
      </c>
      <c r="Q568" t="n">
        <v>0</v>
      </c>
      <c r="R568" s="2" t="inlineStr"/>
    </row>
    <row r="569" ht="15" customHeight="1">
      <c r="A569" t="inlineStr">
        <is>
          <t>A 1175-2025</t>
        </is>
      </c>
      <c r="B569" s="1" t="n">
        <v>45667.34449074074</v>
      </c>
      <c r="C569" s="1" t="n">
        <v>45905</v>
      </c>
      <c r="D569" t="inlineStr">
        <is>
          <t>GOTLANDS LÄN</t>
        </is>
      </c>
      <c r="E569" t="inlineStr">
        <is>
          <t>GOTLAND</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27095-2022</t>
        </is>
      </c>
      <c r="B570" s="1" t="n">
        <v>44741</v>
      </c>
      <c r="C570" s="1" t="n">
        <v>45905</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45905</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23978-2023</t>
        </is>
      </c>
      <c r="B572" s="1" t="n">
        <v>45078</v>
      </c>
      <c r="C572" s="1" t="n">
        <v>45905</v>
      </c>
      <c r="D572" t="inlineStr">
        <is>
          <t>GOTLANDS LÄN</t>
        </is>
      </c>
      <c r="E572" t="inlineStr">
        <is>
          <t>GOTLAND</t>
        </is>
      </c>
      <c r="F572" t="inlineStr">
        <is>
          <t>Naturvårdsverket</t>
        </is>
      </c>
      <c r="G572" t="n">
        <v>1.7</v>
      </c>
      <c r="H572" t="n">
        <v>0</v>
      </c>
      <c r="I572" t="n">
        <v>0</v>
      </c>
      <c r="J572" t="n">
        <v>0</v>
      </c>
      <c r="K572" t="n">
        <v>0</v>
      </c>
      <c r="L572" t="n">
        <v>0</v>
      </c>
      <c r="M572" t="n">
        <v>0</v>
      </c>
      <c r="N572" t="n">
        <v>0</v>
      </c>
      <c r="O572" t="n">
        <v>0</v>
      </c>
      <c r="P572" t="n">
        <v>0</v>
      </c>
      <c r="Q572" t="n">
        <v>0</v>
      </c>
      <c r="R572" s="2" t="inlineStr"/>
    </row>
    <row r="573" ht="15" customHeight="1">
      <c r="A573" t="inlineStr">
        <is>
          <t>A 34407-2023</t>
        </is>
      </c>
      <c r="B573" s="1" t="n">
        <v>45132</v>
      </c>
      <c r="C573" s="1" t="n">
        <v>45905</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45905</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27694-2024</t>
        </is>
      </c>
      <c r="B575" s="1" t="n">
        <v>45475</v>
      </c>
      <c r="C575" s="1" t="n">
        <v>45905</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15083-2025</t>
        </is>
      </c>
      <c r="B576" s="1" t="n">
        <v>45743</v>
      </c>
      <c r="C576" s="1" t="n">
        <v>45905</v>
      </c>
      <c r="D576" t="inlineStr">
        <is>
          <t>GOTLANDS LÄN</t>
        </is>
      </c>
      <c r="E576" t="inlineStr">
        <is>
          <t>GOTLAND</t>
        </is>
      </c>
      <c r="G576" t="n">
        <v>2.3</v>
      </c>
      <c r="H576" t="n">
        <v>0</v>
      </c>
      <c r="I576" t="n">
        <v>0</v>
      </c>
      <c r="J576" t="n">
        <v>0</v>
      </c>
      <c r="K576" t="n">
        <v>0</v>
      </c>
      <c r="L576" t="n">
        <v>0</v>
      </c>
      <c r="M576" t="n">
        <v>0</v>
      </c>
      <c r="N576" t="n">
        <v>0</v>
      </c>
      <c r="O576" t="n">
        <v>0</v>
      </c>
      <c r="P576" t="n">
        <v>0</v>
      </c>
      <c r="Q576" t="n">
        <v>0</v>
      </c>
      <c r="R576" s="2" t="inlineStr"/>
    </row>
    <row r="577" ht="15" customHeight="1">
      <c r="A577" t="inlineStr">
        <is>
          <t>A 13037-2025</t>
        </is>
      </c>
      <c r="B577" s="1" t="n">
        <v>45734</v>
      </c>
      <c r="C577" s="1" t="n">
        <v>45905</v>
      </c>
      <c r="D577" t="inlineStr">
        <is>
          <t>GOTLANDS LÄN</t>
        </is>
      </c>
      <c r="E577" t="inlineStr">
        <is>
          <t>GOTLAND</t>
        </is>
      </c>
      <c r="G577" t="n">
        <v>9.5</v>
      </c>
      <c r="H577" t="n">
        <v>0</v>
      </c>
      <c r="I577" t="n">
        <v>0</v>
      </c>
      <c r="J577" t="n">
        <v>0</v>
      </c>
      <c r="K577" t="n">
        <v>0</v>
      </c>
      <c r="L577" t="n">
        <v>0</v>
      </c>
      <c r="M577" t="n">
        <v>0</v>
      </c>
      <c r="N577" t="n">
        <v>0</v>
      </c>
      <c r="O577" t="n">
        <v>0</v>
      </c>
      <c r="P577" t="n">
        <v>0</v>
      </c>
      <c r="Q577" t="n">
        <v>0</v>
      </c>
      <c r="R577" s="2" t="inlineStr"/>
    </row>
    <row r="578" ht="15" customHeight="1">
      <c r="A578" t="inlineStr">
        <is>
          <t>A 458-2023</t>
        </is>
      </c>
      <c r="B578" s="1" t="n">
        <v>44929</v>
      </c>
      <c r="C578" s="1" t="n">
        <v>45905</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44228-2022</t>
        </is>
      </c>
      <c r="B579" s="1" t="n">
        <v>44839.51599537037</v>
      </c>
      <c r="C579" s="1" t="n">
        <v>45905</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58132-2023</t>
        </is>
      </c>
      <c r="B580" s="1" t="n">
        <v>45250</v>
      </c>
      <c r="C580" s="1" t="n">
        <v>45905</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49884-2023</t>
        </is>
      </c>
      <c r="B581" s="1" t="n">
        <v>45213</v>
      </c>
      <c r="C581" s="1" t="n">
        <v>45905</v>
      </c>
      <c r="D581" t="inlineStr">
        <is>
          <t>GOTLANDS LÄN</t>
        </is>
      </c>
      <c r="E581" t="inlineStr">
        <is>
          <t>GOTLAND</t>
        </is>
      </c>
      <c r="G581" t="n">
        <v>8.9</v>
      </c>
      <c r="H581" t="n">
        <v>0</v>
      </c>
      <c r="I581" t="n">
        <v>0</v>
      </c>
      <c r="J581" t="n">
        <v>0</v>
      </c>
      <c r="K581" t="n">
        <v>0</v>
      </c>
      <c r="L581" t="n">
        <v>0</v>
      </c>
      <c r="M581" t="n">
        <v>0</v>
      </c>
      <c r="N581" t="n">
        <v>0</v>
      </c>
      <c r="O581" t="n">
        <v>0</v>
      </c>
      <c r="P581" t="n">
        <v>0</v>
      </c>
      <c r="Q581" t="n">
        <v>0</v>
      </c>
      <c r="R581" s="2" t="inlineStr"/>
    </row>
    <row r="582" ht="15" customHeight="1">
      <c r="A582" t="inlineStr">
        <is>
          <t>A 17847-2025</t>
        </is>
      </c>
      <c r="B582" s="1" t="n">
        <v>45758</v>
      </c>
      <c r="C582" s="1" t="n">
        <v>45905</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876-2024</t>
        </is>
      </c>
      <c r="B583" s="1" t="n">
        <v>45301</v>
      </c>
      <c r="C583" s="1" t="n">
        <v>45905</v>
      </c>
      <c r="D583" t="inlineStr">
        <is>
          <t>GOTLANDS LÄN</t>
        </is>
      </c>
      <c r="E583" t="inlineStr">
        <is>
          <t>GOTLAND</t>
        </is>
      </c>
      <c r="G583" t="n">
        <v>5.3</v>
      </c>
      <c r="H583" t="n">
        <v>0</v>
      </c>
      <c r="I583" t="n">
        <v>0</v>
      </c>
      <c r="J583" t="n">
        <v>0</v>
      </c>
      <c r="K583" t="n">
        <v>0</v>
      </c>
      <c r="L583" t="n">
        <v>0</v>
      </c>
      <c r="M583" t="n">
        <v>0</v>
      </c>
      <c r="N583" t="n">
        <v>0</v>
      </c>
      <c r="O583" t="n">
        <v>0</v>
      </c>
      <c r="P583" t="n">
        <v>0</v>
      </c>
      <c r="Q583" t="n">
        <v>0</v>
      </c>
      <c r="R583" s="2" t="inlineStr"/>
    </row>
    <row r="584" ht="15" customHeight="1">
      <c r="A584" t="inlineStr">
        <is>
          <t>A 6796-2025</t>
        </is>
      </c>
      <c r="B584" s="1" t="n">
        <v>45700.66559027778</v>
      </c>
      <c r="C584" s="1" t="n">
        <v>45905</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22704-2023</t>
        </is>
      </c>
      <c r="B585" s="1" t="n">
        <v>45071</v>
      </c>
      <c r="C585" s="1" t="n">
        <v>45905</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28425-2023</t>
        </is>
      </c>
      <c r="B586" s="1" t="n">
        <v>45102</v>
      </c>
      <c r="C586" s="1" t="n">
        <v>45905</v>
      </c>
      <c r="D586" t="inlineStr">
        <is>
          <t>GOTLANDS LÄN</t>
        </is>
      </c>
      <c r="E586" t="inlineStr">
        <is>
          <t>GOTLAND</t>
        </is>
      </c>
      <c r="G586" t="n">
        <v>0.5</v>
      </c>
      <c r="H586" t="n">
        <v>0</v>
      </c>
      <c r="I586" t="n">
        <v>0</v>
      </c>
      <c r="J586" t="n">
        <v>0</v>
      </c>
      <c r="K586" t="n">
        <v>0</v>
      </c>
      <c r="L586" t="n">
        <v>0</v>
      </c>
      <c r="M586" t="n">
        <v>0</v>
      </c>
      <c r="N586" t="n">
        <v>0</v>
      </c>
      <c r="O586" t="n">
        <v>0</v>
      </c>
      <c r="P586" t="n">
        <v>0</v>
      </c>
      <c r="Q586" t="n">
        <v>0</v>
      </c>
      <c r="R586" s="2" t="inlineStr"/>
    </row>
    <row r="587" ht="15" customHeight="1">
      <c r="A587" t="inlineStr">
        <is>
          <t>A 58476-2022</t>
        </is>
      </c>
      <c r="B587" s="1" t="n">
        <v>44902</v>
      </c>
      <c r="C587" s="1" t="n">
        <v>45905</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43200-2023</t>
        </is>
      </c>
      <c r="B588" s="1" t="n">
        <v>45183</v>
      </c>
      <c r="C588" s="1" t="n">
        <v>45905</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43223-2023</t>
        </is>
      </c>
      <c r="B589" s="1" t="n">
        <v>45183.45642361111</v>
      </c>
      <c r="C589" s="1" t="n">
        <v>45905</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12327-2025</t>
        </is>
      </c>
      <c r="B590" s="1" t="n">
        <v>45730</v>
      </c>
      <c r="C590" s="1" t="n">
        <v>45905</v>
      </c>
      <c r="D590" t="inlineStr">
        <is>
          <t>GOTLANDS LÄN</t>
        </is>
      </c>
      <c r="E590" t="inlineStr">
        <is>
          <t>GOTLAND</t>
        </is>
      </c>
      <c r="G590" t="n">
        <v>1.8</v>
      </c>
      <c r="H590" t="n">
        <v>0</v>
      </c>
      <c r="I590" t="n">
        <v>0</v>
      </c>
      <c r="J590" t="n">
        <v>0</v>
      </c>
      <c r="K590" t="n">
        <v>0</v>
      </c>
      <c r="L590" t="n">
        <v>0</v>
      </c>
      <c r="M590" t="n">
        <v>0</v>
      </c>
      <c r="N590" t="n">
        <v>0</v>
      </c>
      <c r="O590" t="n">
        <v>0</v>
      </c>
      <c r="P590" t="n">
        <v>0</v>
      </c>
      <c r="Q590" t="n">
        <v>0</v>
      </c>
      <c r="R590" s="2" t="inlineStr"/>
    </row>
    <row r="591" ht="15" customHeight="1">
      <c r="A591" t="inlineStr">
        <is>
          <t>A 3431-2025</t>
        </is>
      </c>
      <c r="B591" s="1" t="n">
        <v>45680.42935185185</v>
      </c>
      <c r="C591" s="1" t="n">
        <v>45905</v>
      </c>
      <c r="D591" t="inlineStr">
        <is>
          <t>GOTLANDS LÄN</t>
        </is>
      </c>
      <c r="E591" t="inlineStr">
        <is>
          <t>GOTLAND</t>
        </is>
      </c>
      <c r="G591" t="n">
        <v>4.8</v>
      </c>
      <c r="H591" t="n">
        <v>0</v>
      </c>
      <c r="I591" t="n">
        <v>0</v>
      </c>
      <c r="J591" t="n">
        <v>0</v>
      </c>
      <c r="K591" t="n">
        <v>0</v>
      </c>
      <c r="L591" t="n">
        <v>0</v>
      </c>
      <c r="M591" t="n">
        <v>0</v>
      </c>
      <c r="N591" t="n">
        <v>0</v>
      </c>
      <c r="O591" t="n">
        <v>0</v>
      </c>
      <c r="P591" t="n">
        <v>0</v>
      </c>
      <c r="Q591" t="n">
        <v>0</v>
      </c>
      <c r="R591" s="2" t="inlineStr"/>
    </row>
    <row r="592" ht="15" customHeight="1">
      <c r="A592" t="inlineStr">
        <is>
          <t>A 12209-2024</t>
        </is>
      </c>
      <c r="B592" s="1" t="n">
        <v>45378</v>
      </c>
      <c r="C592" s="1" t="n">
        <v>45905</v>
      </c>
      <c r="D592" t="inlineStr">
        <is>
          <t>GOTLANDS LÄN</t>
        </is>
      </c>
      <c r="E592" t="inlineStr">
        <is>
          <t>GOTLAND</t>
        </is>
      </c>
      <c r="G592" t="n">
        <v>5.3</v>
      </c>
      <c r="H592" t="n">
        <v>0</v>
      </c>
      <c r="I592" t="n">
        <v>0</v>
      </c>
      <c r="J592" t="n">
        <v>0</v>
      </c>
      <c r="K592" t="n">
        <v>0</v>
      </c>
      <c r="L592" t="n">
        <v>0</v>
      </c>
      <c r="M592" t="n">
        <v>0</v>
      </c>
      <c r="N592" t="n">
        <v>0</v>
      </c>
      <c r="O592" t="n">
        <v>0</v>
      </c>
      <c r="P592" t="n">
        <v>0</v>
      </c>
      <c r="Q592" t="n">
        <v>0</v>
      </c>
      <c r="R592" s="2" t="inlineStr"/>
    </row>
    <row r="593" ht="15" customHeight="1">
      <c r="A593" t="inlineStr">
        <is>
          <t>A 12210-2024</t>
        </is>
      </c>
      <c r="B593" s="1" t="n">
        <v>45378</v>
      </c>
      <c r="C593" s="1" t="n">
        <v>45905</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1364-2025</t>
        </is>
      </c>
      <c r="B594" s="1" t="n">
        <v>45667.63929398148</v>
      </c>
      <c r="C594" s="1" t="n">
        <v>45905</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15042-2025</t>
        </is>
      </c>
      <c r="B595" s="1" t="n">
        <v>45743</v>
      </c>
      <c r="C595" s="1" t="n">
        <v>45905</v>
      </c>
      <c r="D595" t="inlineStr">
        <is>
          <t>GOTLANDS LÄN</t>
        </is>
      </c>
      <c r="E595" t="inlineStr">
        <is>
          <t>GOTLAND</t>
        </is>
      </c>
      <c r="G595" t="n">
        <v>8.5</v>
      </c>
      <c r="H595" t="n">
        <v>0</v>
      </c>
      <c r="I595" t="n">
        <v>0</v>
      </c>
      <c r="J595" t="n">
        <v>0</v>
      </c>
      <c r="K595" t="n">
        <v>0</v>
      </c>
      <c r="L595" t="n">
        <v>0</v>
      </c>
      <c r="M595" t="n">
        <v>0</v>
      </c>
      <c r="N595" t="n">
        <v>0</v>
      </c>
      <c r="O595" t="n">
        <v>0</v>
      </c>
      <c r="P595" t="n">
        <v>0</v>
      </c>
      <c r="Q595" t="n">
        <v>0</v>
      </c>
      <c r="R595" s="2" t="inlineStr"/>
    </row>
    <row r="596" ht="15" customHeight="1">
      <c r="A596" t="inlineStr">
        <is>
          <t>A 2180-2025</t>
        </is>
      </c>
      <c r="B596" s="1" t="n">
        <v>45673</v>
      </c>
      <c r="C596" s="1" t="n">
        <v>45905</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15436-2025</t>
        </is>
      </c>
      <c r="B597" s="1" t="n">
        <v>45747.47462962963</v>
      </c>
      <c r="C597" s="1" t="n">
        <v>45905</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10652-2025</t>
        </is>
      </c>
      <c r="B598" s="1" t="n">
        <v>45721.68640046296</v>
      </c>
      <c r="C598" s="1" t="n">
        <v>45905</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49257-2024</t>
        </is>
      </c>
      <c r="B599" s="1" t="n">
        <v>45595.47627314815</v>
      </c>
      <c r="C599" s="1" t="n">
        <v>45905</v>
      </c>
      <c r="D599" t="inlineStr">
        <is>
          <t>GOTLANDS LÄN</t>
        </is>
      </c>
      <c r="E599" t="inlineStr">
        <is>
          <t>GOTLAND</t>
        </is>
      </c>
      <c r="G599" t="n">
        <v>6.3</v>
      </c>
      <c r="H599" t="n">
        <v>0</v>
      </c>
      <c r="I599" t="n">
        <v>0</v>
      </c>
      <c r="J599" t="n">
        <v>0</v>
      </c>
      <c r="K599" t="n">
        <v>0</v>
      </c>
      <c r="L599" t="n">
        <v>0</v>
      </c>
      <c r="M599" t="n">
        <v>0</v>
      </c>
      <c r="N599" t="n">
        <v>0</v>
      </c>
      <c r="O599" t="n">
        <v>0</v>
      </c>
      <c r="P599" t="n">
        <v>0</v>
      </c>
      <c r="Q599" t="n">
        <v>0</v>
      </c>
      <c r="R599" s="2" t="inlineStr"/>
    </row>
    <row r="600" ht="15" customHeight="1">
      <c r="A600" t="inlineStr">
        <is>
          <t>A 37202-2024</t>
        </is>
      </c>
      <c r="B600" s="1" t="n">
        <v>45539.67310185185</v>
      </c>
      <c r="C600" s="1" t="n">
        <v>45905</v>
      </c>
      <c r="D600" t="inlineStr">
        <is>
          <t>GOTLANDS LÄN</t>
        </is>
      </c>
      <c r="E600" t="inlineStr">
        <is>
          <t>GOTLAND</t>
        </is>
      </c>
      <c r="G600" t="n">
        <v>0.3</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45905</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2774-2024</t>
        </is>
      </c>
      <c r="B602" s="1" t="n">
        <v>45314.62375</v>
      </c>
      <c r="C602" s="1" t="n">
        <v>45905</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60709-2023</t>
        </is>
      </c>
      <c r="B603" s="1" t="n">
        <v>45260</v>
      </c>
      <c r="C603" s="1" t="n">
        <v>45905</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64208-2021</t>
        </is>
      </c>
      <c r="B604" s="1" t="n">
        <v>44510</v>
      </c>
      <c r="C604" s="1" t="n">
        <v>45905</v>
      </c>
      <c r="D604" t="inlineStr">
        <is>
          <t>GOTLANDS LÄN</t>
        </is>
      </c>
      <c r="E604" t="inlineStr">
        <is>
          <t>GOTLAND</t>
        </is>
      </c>
      <c r="G604" t="n">
        <v>4.7</v>
      </c>
      <c r="H604" t="n">
        <v>0</v>
      </c>
      <c r="I604" t="n">
        <v>0</v>
      </c>
      <c r="J604" t="n">
        <v>0</v>
      </c>
      <c r="K604" t="n">
        <v>0</v>
      </c>
      <c r="L604" t="n">
        <v>0</v>
      </c>
      <c r="M604" t="n">
        <v>0</v>
      </c>
      <c r="N604" t="n">
        <v>0</v>
      </c>
      <c r="O604" t="n">
        <v>0</v>
      </c>
      <c r="P604" t="n">
        <v>0</v>
      </c>
      <c r="Q604" t="n">
        <v>0</v>
      </c>
      <c r="R604" s="2" t="inlineStr"/>
    </row>
    <row r="605" ht="15" customHeight="1">
      <c r="A605" t="inlineStr">
        <is>
          <t>A 39764-2022</t>
        </is>
      </c>
      <c r="B605" s="1" t="n">
        <v>44819</v>
      </c>
      <c r="C605" s="1" t="n">
        <v>45905</v>
      </c>
      <c r="D605" t="inlineStr">
        <is>
          <t>GOTLANDS LÄN</t>
        </is>
      </c>
      <c r="E605" t="inlineStr">
        <is>
          <t>GOTLAND</t>
        </is>
      </c>
      <c r="F605" t="inlineStr">
        <is>
          <t>Kyrkan</t>
        </is>
      </c>
      <c r="G605" t="n">
        <v>3.7</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45905</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30956-2024</t>
        </is>
      </c>
      <c r="B607" s="1" t="n">
        <v>45499.42527777778</v>
      </c>
      <c r="C607" s="1" t="n">
        <v>45905</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30892-2024</t>
        </is>
      </c>
      <c r="B608" s="1" t="n">
        <v>45491</v>
      </c>
      <c r="C608" s="1" t="n">
        <v>45905</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14635-2023</t>
        </is>
      </c>
      <c r="B609" s="1" t="n">
        <v>45013.69365740741</v>
      </c>
      <c r="C609" s="1" t="n">
        <v>45905</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59469-2024</t>
        </is>
      </c>
      <c r="B610" s="1" t="n">
        <v>45638</v>
      </c>
      <c r="C610" s="1" t="n">
        <v>45905</v>
      </c>
      <c r="D610" t="inlineStr">
        <is>
          <t>GOTLANDS LÄN</t>
        </is>
      </c>
      <c r="E610" t="inlineStr">
        <is>
          <t>GOTLAND</t>
        </is>
      </c>
      <c r="G610" t="n">
        <v>0.4</v>
      </c>
      <c r="H610" t="n">
        <v>0</v>
      </c>
      <c r="I610" t="n">
        <v>0</v>
      </c>
      <c r="J610" t="n">
        <v>0</v>
      </c>
      <c r="K610" t="n">
        <v>0</v>
      </c>
      <c r="L610" t="n">
        <v>0</v>
      </c>
      <c r="M610" t="n">
        <v>0</v>
      </c>
      <c r="N610" t="n">
        <v>0</v>
      </c>
      <c r="O610" t="n">
        <v>0</v>
      </c>
      <c r="P610" t="n">
        <v>0</v>
      </c>
      <c r="Q610" t="n">
        <v>0</v>
      </c>
      <c r="R610" s="2" t="inlineStr"/>
    </row>
    <row r="611">
      <c r="A611" t="inlineStr">
        <is>
          <t>A 7858-2025</t>
        </is>
      </c>
      <c r="B611" s="1" t="n">
        <v>45706.68633101852</v>
      </c>
      <c r="C611" s="1" t="n">
        <v>45905</v>
      </c>
      <c r="D611" t="inlineStr">
        <is>
          <t>GOTLANDS LÄN</t>
        </is>
      </c>
      <c r="E611" t="inlineStr">
        <is>
          <t>GOTLAND</t>
        </is>
      </c>
      <c r="G611" t="n">
        <v>3</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2025-09-05T08:49:14Z</dcterms:created>
  <dcterms:modified xmlns:dcterms="http://purl.org/dc/terms/" xmlns:xsi="http://www.w3.org/2001/XMLSchema-instance" xsi:type="dcterms:W3CDTF">2025-09-05T08:49:15Z</dcterms:modified>
</cp:coreProperties>
</file>