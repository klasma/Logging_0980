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46083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46083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46083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46083</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46083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46083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46083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46083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46083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46083</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46083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46083</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46083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61697-2023</t>
        </is>
      </c>
      <c r="B32" s="1" t="n">
        <v>45265</v>
      </c>
      <c r="C32" s="1" t="n">
        <v>46083</v>
      </c>
      <c r="D32" t="inlineStr">
        <is>
          <t>GOTLANDS LÄN</t>
        </is>
      </c>
      <c r="E32" t="inlineStr">
        <is>
          <t>GOTLAND</t>
        </is>
      </c>
      <c r="G32" t="n">
        <v>8.699999999999999</v>
      </c>
      <c r="H32" t="n">
        <v>2</v>
      </c>
      <c r="I32" t="n">
        <v>3</v>
      </c>
      <c r="J32" t="n">
        <v>4</v>
      </c>
      <c r="K32" t="n">
        <v>7</v>
      </c>
      <c r="L32" t="n">
        <v>1</v>
      </c>
      <c r="M32" t="n">
        <v>0</v>
      </c>
      <c r="N32" t="n">
        <v>0</v>
      </c>
      <c r="O32" t="n">
        <v>12</v>
      </c>
      <c r="P32" t="n">
        <v>8</v>
      </c>
      <c r="Q32" t="n">
        <v>15</v>
      </c>
      <c r="R32" s="2" t="inlineStr">
        <is>
          <t>Ryl
Duvspindling
Granrotsspindling
Gulsträngad fagerspindling
Läderdoftande fingersvamp
Svartgrön spindling
Tallkejsarspindling
Violettrandad spindling
Denisespindling
Odörspindling
Röd skogslilja
Säfferot
Anisspindling
Murgröna
Nästrot</t>
        </is>
      </c>
      <c r="S32">
        <f>HYPERLINK("https://klasma.github.io/Logging_0980/artfynd/A 61697-2023 artfynd.xlsx", "A 61697-2023")</f>
        <v/>
      </c>
      <c r="T32">
        <f>HYPERLINK("https://klasma.github.io/Logging_0980/kartor/A 61697-2023 karta.png", "A 61697-2023")</f>
        <v/>
      </c>
      <c r="V32">
        <f>HYPERLINK("https://klasma.github.io/Logging_0980/klagomål/A 61697-2023 FSC-klagomål.docx", "A 61697-2023")</f>
        <v/>
      </c>
      <c r="W32">
        <f>HYPERLINK("https://klasma.github.io/Logging_0980/klagomålsmail/A 61697-2023 FSC-klagomål mail.docx", "A 61697-2023")</f>
        <v/>
      </c>
      <c r="X32">
        <f>HYPERLINK("https://klasma.github.io/Logging_0980/tillsyn/A 61697-2023 tillsynsbegäran.docx", "A 61697-2023")</f>
        <v/>
      </c>
      <c r="Y32">
        <f>HYPERLINK("https://klasma.github.io/Logging_0980/tillsynsmail/A 61697-2023 tillsynsbegäran mail.docx", "A 61697-2023")</f>
        <v/>
      </c>
    </row>
    <row r="33" ht="15" customHeight="1">
      <c r="A33" t="inlineStr">
        <is>
          <t>A 2222-2024</t>
        </is>
      </c>
      <c r="B33" s="1" t="n">
        <v>45309</v>
      </c>
      <c r="C33" s="1" t="n">
        <v>46083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46083</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46083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46083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46083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46083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46083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46083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46083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46083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46083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46083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46083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46083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46083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46083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46083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46083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46083</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46083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46083</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46083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46083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46083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46083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46083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46083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46083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46083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46083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46083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46083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46083</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7038-2023</t>
        </is>
      </c>
      <c r="B77" s="1" t="n">
        <v>44968</v>
      </c>
      <c r="C77" s="1" t="n">
        <v>46083</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57773-2025</t>
        </is>
      </c>
      <c r="B78" s="1" t="n">
        <v>45981.56349537037</v>
      </c>
      <c r="C78" s="1" t="n">
        <v>46083</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46083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46083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46083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46083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46083</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46083</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46083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46083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46083</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46083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46083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46083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46083</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46083</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46083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46083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46083</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54523-2023</t>
        </is>
      </c>
      <c r="B98" s="1" t="n">
        <v>45233</v>
      </c>
      <c r="C98" s="1" t="n">
        <v>46083</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6836-2026</t>
        </is>
      </c>
      <c r="B99" s="1" t="n">
        <v>46057.40902777778</v>
      </c>
      <c r="C99" s="1" t="n">
        <v>46083</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57463-2025</t>
        </is>
      </c>
      <c r="B100" s="1" t="n">
        <v>45980.54174768519</v>
      </c>
      <c r="C100" s="1" t="n">
        <v>46083</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52250-2025</t>
        </is>
      </c>
      <c r="B101" s="1" t="n">
        <v>45953.48998842593</v>
      </c>
      <c r="C101" s="1" t="n">
        <v>46083</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8265-2023</t>
        </is>
      </c>
      <c r="B102" s="1" t="n">
        <v>44974</v>
      </c>
      <c r="C102" s="1" t="n">
        <v>46083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46083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46083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46083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46083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46083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46083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55334-2024</t>
        </is>
      </c>
      <c r="B112" s="1" t="n">
        <v>45621</v>
      </c>
      <c r="C112" s="1" t="n">
        <v>46083</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43013-2022</t>
        </is>
      </c>
      <c r="B113" s="1" t="n">
        <v>44833</v>
      </c>
      <c r="C113" s="1" t="n">
        <v>46083</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46083</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53552-2021</t>
        </is>
      </c>
      <c r="B115" s="1" t="n">
        <v>44468</v>
      </c>
      <c r="C115" s="1" t="n">
        <v>46083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46083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46083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46083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46083</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46083</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1520-2026</t>
        </is>
      </c>
      <c r="B121" s="1" t="n">
        <v>46034.35891203704</v>
      </c>
      <c r="C121" s="1" t="n">
        <v>46083</v>
      </c>
      <c r="D121" t="inlineStr">
        <is>
          <t>GOTLANDS LÄN</t>
        </is>
      </c>
      <c r="E121" t="inlineStr">
        <is>
          <t>GOTLAND</t>
        </is>
      </c>
      <c r="G121" t="n">
        <v>7.4</v>
      </c>
      <c r="H121" t="n">
        <v>0</v>
      </c>
      <c r="I121" t="n">
        <v>1</v>
      </c>
      <c r="J121" t="n">
        <v>0</v>
      </c>
      <c r="K121" t="n">
        <v>2</v>
      </c>
      <c r="L121" t="n">
        <v>0</v>
      </c>
      <c r="M121" t="n">
        <v>0</v>
      </c>
      <c r="N121" t="n">
        <v>0</v>
      </c>
      <c r="O121" t="n">
        <v>2</v>
      </c>
      <c r="P121" t="n">
        <v>2</v>
      </c>
      <c r="Q121" t="n">
        <v>3</v>
      </c>
      <c r="R121" s="2" t="inlineStr">
        <is>
          <t>Granrotsspindling
Gulsträngad fagerspindling
Brandmusseron</t>
        </is>
      </c>
      <c r="S121">
        <f>HYPERLINK("https://klasma.github.io/Logging_0980/artfynd/A 1520-2026 artfynd.xlsx", "A 1520-2026")</f>
        <v/>
      </c>
      <c r="T121">
        <f>HYPERLINK("https://klasma.github.io/Logging_0980/kartor/A 1520-2026 karta.png", "A 1520-2026")</f>
        <v/>
      </c>
      <c r="V121">
        <f>HYPERLINK("https://klasma.github.io/Logging_0980/klagomål/A 1520-2026 FSC-klagomål.docx", "A 1520-2026")</f>
        <v/>
      </c>
      <c r="W121">
        <f>HYPERLINK("https://klasma.github.io/Logging_0980/klagomålsmail/A 1520-2026 FSC-klagomål mail.docx", "A 1520-2026")</f>
        <v/>
      </c>
      <c r="X121">
        <f>HYPERLINK("https://klasma.github.io/Logging_0980/tillsyn/A 1520-2026 tillsynsbegäran.docx", "A 1520-2026")</f>
        <v/>
      </c>
      <c r="Y121">
        <f>HYPERLINK("https://klasma.github.io/Logging_0980/tillsynsmail/A 1520-2026 tillsynsbegäran mail.docx", "A 1520-2026")</f>
        <v/>
      </c>
    </row>
    <row r="122" ht="15" customHeight="1">
      <c r="A122" t="inlineStr">
        <is>
          <t>A 73144-2021</t>
        </is>
      </c>
      <c r="B122" s="1" t="n">
        <v>44550</v>
      </c>
      <c r="C122" s="1" t="n">
        <v>46083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46083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46083</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46083</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46083</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7070-2022</t>
        </is>
      </c>
      <c r="B131" s="1" t="n">
        <v>44603</v>
      </c>
      <c r="C131" s="1" t="n">
        <v>46083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43219-2023</t>
        </is>
      </c>
      <c r="B132" s="1" t="n">
        <v>45183</v>
      </c>
      <c r="C132" s="1" t="n">
        <v>46083</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63162-2025</t>
        </is>
      </c>
      <c r="B133" s="1" t="n">
        <v>46010.37629629629</v>
      </c>
      <c r="C133" s="1" t="n">
        <v>46083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12914-2025</t>
        </is>
      </c>
      <c r="B134" s="1" t="n">
        <v>45733</v>
      </c>
      <c r="C134" s="1" t="n">
        <v>46083</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46083</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10274-2026</t>
        </is>
      </c>
      <c r="B136" s="1" t="n">
        <v>46076.58261574074</v>
      </c>
      <c r="C136" s="1" t="n">
        <v>46083</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55649-2024</t>
        </is>
      </c>
      <c r="B137" s="1" t="n">
        <v>45622.63053240741</v>
      </c>
      <c r="C137" s="1" t="n">
        <v>46083</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62760-2025</t>
        </is>
      </c>
      <c r="B138" s="1" t="n">
        <v>46008</v>
      </c>
      <c r="C138" s="1" t="n">
        <v>46083</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46083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46083</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46083</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46083</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46083</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46083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65927-2021</t>
        </is>
      </c>
      <c r="B148" s="1" t="n">
        <v>44516</v>
      </c>
      <c r="C148" s="1" t="n">
        <v>46083</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26461-2025</t>
        </is>
      </c>
      <c r="B149" s="1" t="n">
        <v>45807.43337962963</v>
      </c>
      <c r="C149" s="1" t="n">
        <v>46083</v>
      </c>
      <c r="D149" t="inlineStr">
        <is>
          <t>GOTLANDS LÄN</t>
        </is>
      </c>
      <c r="E149" t="inlineStr">
        <is>
          <t>GOTLAND</t>
        </is>
      </c>
      <c r="G149" t="n">
        <v>4.1</v>
      </c>
      <c r="H149" t="n">
        <v>0</v>
      </c>
      <c r="I149" t="n">
        <v>0</v>
      </c>
      <c r="J149" t="n">
        <v>0</v>
      </c>
      <c r="K149" t="n">
        <v>1</v>
      </c>
      <c r="L149" t="n">
        <v>0</v>
      </c>
      <c r="M149" t="n">
        <v>0</v>
      </c>
      <c r="N149" t="n">
        <v>0</v>
      </c>
      <c r="O149" t="n">
        <v>1</v>
      </c>
      <c r="P149" t="n">
        <v>1</v>
      </c>
      <c r="Q149" t="n">
        <v>1</v>
      </c>
      <c r="R149" s="2" t="inlineStr">
        <is>
          <t>Gotlandsmåra</t>
        </is>
      </c>
      <c r="S149">
        <f>HYPERLINK("https://klasma.github.io/Logging_0980/artfynd/A 26461-2025 artfynd.xlsx", "A 26461-2025")</f>
        <v/>
      </c>
      <c r="T149">
        <f>HYPERLINK("https://klasma.github.io/Logging_0980/kartor/A 26461-2025 karta.png", "A 26461-2025")</f>
        <v/>
      </c>
      <c r="V149">
        <f>HYPERLINK("https://klasma.github.io/Logging_0980/klagomål/A 26461-2025 FSC-klagomål.docx", "A 26461-2025")</f>
        <v/>
      </c>
      <c r="W149">
        <f>HYPERLINK("https://klasma.github.io/Logging_0980/klagomålsmail/A 26461-2025 FSC-klagomål mail.docx", "A 26461-2025")</f>
        <v/>
      </c>
      <c r="X149">
        <f>HYPERLINK("https://klasma.github.io/Logging_0980/tillsyn/A 26461-2025 tillsynsbegäran.docx", "A 26461-2025")</f>
        <v/>
      </c>
      <c r="Y149">
        <f>HYPERLINK("https://klasma.github.io/Logging_0980/tillsynsmail/A 26461-2025 tillsynsbegäran mail.docx", "A 26461-2025")</f>
        <v/>
      </c>
    </row>
    <row r="150" ht="15" customHeight="1">
      <c r="A150" t="inlineStr">
        <is>
          <t>A 61796-2022</t>
        </is>
      </c>
      <c r="B150" s="1" t="n">
        <v>44917</v>
      </c>
      <c r="C150" s="1" t="n">
        <v>46083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39812-2025</t>
        </is>
      </c>
      <c r="B151" s="1" t="n">
        <v>45891</v>
      </c>
      <c r="C151" s="1" t="n">
        <v>46083</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15637-2024</t>
        </is>
      </c>
      <c r="B152" s="1" t="n">
        <v>45403.6684837963</v>
      </c>
      <c r="C152" s="1" t="n">
        <v>46083</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46083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46083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35467-2021</t>
        </is>
      </c>
      <c r="B155" s="1" t="n">
        <v>44385</v>
      </c>
      <c r="C155" s="1" t="n">
        <v>46083</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2476-2025</t>
        </is>
      </c>
      <c r="B156" s="1" t="n">
        <v>45673</v>
      </c>
      <c r="C156" s="1" t="n">
        <v>46083</v>
      </c>
      <c r="D156" t="inlineStr">
        <is>
          <t>GOTLANDS LÄN</t>
        </is>
      </c>
      <c r="E156" t="inlineStr">
        <is>
          <t>GOTLAND</t>
        </is>
      </c>
      <c r="G156" t="n">
        <v>3.1</v>
      </c>
      <c r="H156" t="n">
        <v>0</v>
      </c>
      <c r="I156" t="n">
        <v>1</v>
      </c>
      <c r="J156" t="n">
        <v>0</v>
      </c>
      <c r="K156" t="n">
        <v>0</v>
      </c>
      <c r="L156" t="n">
        <v>0</v>
      </c>
      <c r="M156" t="n">
        <v>0</v>
      </c>
      <c r="N156" t="n">
        <v>0</v>
      </c>
      <c r="O156" t="n">
        <v>0</v>
      </c>
      <c r="P156" t="n">
        <v>0</v>
      </c>
      <c r="Q156" t="n">
        <v>1</v>
      </c>
      <c r="R156" s="2" t="inlineStr">
        <is>
          <t>Kryddspindling</t>
        </is>
      </c>
      <c r="S156">
        <f>HYPERLINK("https://klasma.github.io/Logging_0980/artfynd/A 2476-2025 artfynd.xlsx", "A 2476-2025")</f>
        <v/>
      </c>
      <c r="T156">
        <f>HYPERLINK("https://klasma.github.io/Logging_0980/kartor/A 2476-2025 karta.png", "A 2476-2025")</f>
        <v/>
      </c>
      <c r="V156">
        <f>HYPERLINK("https://klasma.github.io/Logging_0980/klagomål/A 2476-2025 FSC-klagomål.docx", "A 2476-2025")</f>
        <v/>
      </c>
      <c r="W156">
        <f>HYPERLINK("https://klasma.github.io/Logging_0980/klagomålsmail/A 2476-2025 FSC-klagomål mail.docx", "A 2476-2025")</f>
        <v/>
      </c>
      <c r="X156">
        <f>HYPERLINK("https://klasma.github.io/Logging_0980/tillsyn/A 2476-2025 tillsynsbegäran.docx", "A 2476-2025")</f>
        <v/>
      </c>
      <c r="Y156">
        <f>HYPERLINK("https://klasma.github.io/Logging_0980/tillsynsmail/A 2476-2025 tillsynsbegäran mail.docx", "A 2476-2025")</f>
        <v/>
      </c>
    </row>
    <row r="157" ht="15" customHeight="1">
      <c r="A157" t="inlineStr">
        <is>
          <t>A 44619-2025</t>
        </is>
      </c>
      <c r="B157" s="1" t="n">
        <v>45917</v>
      </c>
      <c r="C157" s="1" t="n">
        <v>46083</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10995-2023</t>
        </is>
      </c>
      <c r="B158" s="1" t="n">
        <v>44986</v>
      </c>
      <c r="C158" s="1" t="n">
        <v>46083</v>
      </c>
      <c r="D158" t="inlineStr">
        <is>
          <t>GOTLANDS LÄN</t>
        </is>
      </c>
      <c r="E158" t="inlineStr">
        <is>
          <t>GOTLAND</t>
        </is>
      </c>
      <c r="G158" t="n">
        <v>2.8</v>
      </c>
      <c r="H158" t="n">
        <v>0</v>
      </c>
      <c r="I158" t="n">
        <v>0</v>
      </c>
      <c r="J158" t="n">
        <v>0</v>
      </c>
      <c r="K158" t="n">
        <v>1</v>
      </c>
      <c r="L158" t="n">
        <v>0</v>
      </c>
      <c r="M158" t="n">
        <v>0</v>
      </c>
      <c r="N158" t="n">
        <v>0</v>
      </c>
      <c r="O158" t="n">
        <v>1</v>
      </c>
      <c r="P158" t="n">
        <v>1</v>
      </c>
      <c r="Q158" t="n">
        <v>1</v>
      </c>
      <c r="R158" s="2" t="inlineStr">
        <is>
          <t>Violettfläckig spindling</t>
        </is>
      </c>
      <c r="S158">
        <f>HYPERLINK("https://klasma.github.io/Logging_0980/artfynd/A 10995-2023 artfynd.xlsx", "A 10995-2023")</f>
        <v/>
      </c>
      <c r="T158">
        <f>HYPERLINK("https://klasma.github.io/Logging_0980/kartor/A 10995-2023 karta.png", "A 10995-2023")</f>
        <v/>
      </c>
      <c r="V158">
        <f>HYPERLINK("https://klasma.github.io/Logging_0980/klagomål/A 10995-2023 FSC-klagomål.docx", "A 10995-2023")</f>
        <v/>
      </c>
      <c r="W158">
        <f>HYPERLINK("https://klasma.github.io/Logging_0980/klagomålsmail/A 10995-2023 FSC-klagomål mail.docx", "A 10995-2023")</f>
        <v/>
      </c>
      <c r="X158">
        <f>HYPERLINK("https://klasma.github.io/Logging_0980/tillsyn/A 10995-2023 tillsynsbegäran.docx", "A 10995-2023")</f>
        <v/>
      </c>
      <c r="Y158">
        <f>HYPERLINK("https://klasma.github.io/Logging_0980/tillsynsmail/A 10995-2023 tillsynsbegäran mail.docx", "A 10995-2023")</f>
        <v/>
      </c>
    </row>
    <row r="159" ht="15" customHeight="1">
      <c r="A159" t="inlineStr">
        <is>
          <t>A 62552-2022</t>
        </is>
      </c>
      <c r="B159" s="1" t="n">
        <v>44924</v>
      </c>
      <c r="C159" s="1" t="n">
        <v>46083</v>
      </c>
      <c r="D159" t="inlineStr">
        <is>
          <t>GOTLANDS LÄN</t>
        </is>
      </c>
      <c r="E159" t="inlineStr">
        <is>
          <t>GOTLAND</t>
        </is>
      </c>
      <c r="G159" t="n">
        <v>1.6</v>
      </c>
      <c r="H159" t="n">
        <v>0</v>
      </c>
      <c r="I159" t="n">
        <v>0</v>
      </c>
      <c r="J159" t="n">
        <v>1</v>
      </c>
      <c r="K159" t="n">
        <v>0</v>
      </c>
      <c r="L159" t="n">
        <v>0</v>
      </c>
      <c r="M159" t="n">
        <v>0</v>
      </c>
      <c r="N159" t="n">
        <v>0</v>
      </c>
      <c r="O159" t="n">
        <v>1</v>
      </c>
      <c r="P159" t="n">
        <v>0</v>
      </c>
      <c r="Q159" t="n">
        <v>1</v>
      </c>
      <c r="R159" s="2" t="inlineStr">
        <is>
          <t>Äggspindling</t>
        </is>
      </c>
      <c r="S159">
        <f>HYPERLINK("https://klasma.github.io/Logging_0980/artfynd/A 62552-2022 artfynd.xlsx", "A 62552-2022")</f>
        <v/>
      </c>
      <c r="T159">
        <f>HYPERLINK("https://klasma.github.io/Logging_0980/kartor/A 62552-2022 karta.png", "A 62552-2022")</f>
        <v/>
      </c>
      <c r="V159">
        <f>HYPERLINK("https://klasma.github.io/Logging_0980/klagomål/A 62552-2022 FSC-klagomål.docx", "A 62552-2022")</f>
        <v/>
      </c>
      <c r="W159">
        <f>HYPERLINK("https://klasma.github.io/Logging_0980/klagomålsmail/A 62552-2022 FSC-klagomål mail.docx", "A 62552-2022")</f>
        <v/>
      </c>
      <c r="X159">
        <f>HYPERLINK("https://klasma.github.io/Logging_0980/tillsyn/A 62552-2022 tillsynsbegäran.docx", "A 62552-2022")</f>
        <v/>
      </c>
      <c r="Y159">
        <f>HYPERLINK("https://klasma.github.io/Logging_0980/tillsynsmail/A 62552-2022 tillsynsbegäran mail.docx", "A 62552-2022")</f>
        <v/>
      </c>
    </row>
    <row r="160" ht="15" customHeight="1">
      <c r="A160" t="inlineStr">
        <is>
          <t>A 12924-2025</t>
        </is>
      </c>
      <c r="B160" s="1" t="n">
        <v>45734</v>
      </c>
      <c r="C160" s="1" t="n">
        <v>46083</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44088-2022</t>
        </is>
      </c>
      <c r="B161" s="1" t="n">
        <v>44839</v>
      </c>
      <c r="C161" s="1" t="n">
        <v>46083</v>
      </c>
      <c r="D161" t="inlineStr">
        <is>
          <t>GOTLANDS LÄN</t>
        </is>
      </c>
      <c r="E161" t="inlineStr">
        <is>
          <t>GOTLAND</t>
        </is>
      </c>
      <c r="G161" t="n">
        <v>1.5</v>
      </c>
      <c r="H161" t="n">
        <v>0</v>
      </c>
      <c r="I161" t="n">
        <v>1</v>
      </c>
      <c r="J161" t="n">
        <v>0</v>
      </c>
      <c r="K161" t="n">
        <v>0</v>
      </c>
      <c r="L161" t="n">
        <v>0</v>
      </c>
      <c r="M161" t="n">
        <v>0</v>
      </c>
      <c r="N161" t="n">
        <v>0</v>
      </c>
      <c r="O161" t="n">
        <v>0</v>
      </c>
      <c r="P161" t="n">
        <v>0</v>
      </c>
      <c r="Q161" t="n">
        <v>1</v>
      </c>
      <c r="R161" s="2" t="inlineStr">
        <is>
          <t>Strävlosta</t>
        </is>
      </c>
      <c r="S161">
        <f>HYPERLINK("https://klasma.github.io/Logging_0980/artfynd/A 44088-2022 artfynd.xlsx", "A 44088-2022")</f>
        <v/>
      </c>
      <c r="T161">
        <f>HYPERLINK("https://klasma.github.io/Logging_0980/kartor/A 44088-2022 karta.png", "A 44088-2022")</f>
        <v/>
      </c>
      <c r="V161">
        <f>HYPERLINK("https://klasma.github.io/Logging_0980/klagomål/A 44088-2022 FSC-klagomål.docx", "A 44088-2022")</f>
        <v/>
      </c>
      <c r="W161">
        <f>HYPERLINK("https://klasma.github.io/Logging_0980/klagomålsmail/A 44088-2022 FSC-klagomål mail.docx", "A 44088-2022")</f>
        <v/>
      </c>
      <c r="X161">
        <f>HYPERLINK("https://klasma.github.io/Logging_0980/tillsyn/A 44088-2022 tillsynsbegäran.docx", "A 44088-2022")</f>
        <v/>
      </c>
      <c r="Y161">
        <f>HYPERLINK("https://klasma.github.io/Logging_0980/tillsynsmail/A 44088-2022 tillsynsbegäran mail.docx", "A 44088-2022")</f>
        <v/>
      </c>
    </row>
    <row r="162" ht="15" customHeight="1">
      <c r="A162" t="inlineStr">
        <is>
          <t>A 13939-2021</t>
        </is>
      </c>
      <c r="B162" s="1" t="n">
        <v>44277</v>
      </c>
      <c r="C162" s="1" t="n">
        <v>46083</v>
      </c>
      <c r="D162" t="inlineStr">
        <is>
          <t>GOTLANDS LÄN</t>
        </is>
      </c>
      <c r="E162" t="inlineStr">
        <is>
          <t>GOTLAND</t>
        </is>
      </c>
      <c r="G162" t="n">
        <v>1</v>
      </c>
      <c r="H162" t="n">
        <v>0</v>
      </c>
      <c r="I162" t="n">
        <v>0</v>
      </c>
      <c r="J162" t="n">
        <v>1</v>
      </c>
      <c r="K162" t="n">
        <v>0</v>
      </c>
      <c r="L162" t="n">
        <v>0</v>
      </c>
      <c r="M162" t="n">
        <v>0</v>
      </c>
      <c r="N162" t="n">
        <v>0</v>
      </c>
      <c r="O162" t="n">
        <v>1</v>
      </c>
      <c r="P162" t="n">
        <v>0</v>
      </c>
      <c r="Q162" t="n">
        <v>1</v>
      </c>
      <c r="R162" s="2" t="inlineStr">
        <is>
          <t>Axveronika</t>
        </is>
      </c>
      <c r="S162">
        <f>HYPERLINK("https://klasma.github.io/Logging_0980/artfynd/A 13939-2021 artfynd.xlsx", "A 13939-2021")</f>
        <v/>
      </c>
      <c r="T162">
        <f>HYPERLINK("https://klasma.github.io/Logging_0980/kartor/A 13939-2021 karta.png", "A 13939-2021")</f>
        <v/>
      </c>
      <c r="V162">
        <f>HYPERLINK("https://klasma.github.io/Logging_0980/klagomål/A 13939-2021 FSC-klagomål.docx", "A 13939-2021")</f>
        <v/>
      </c>
      <c r="W162">
        <f>HYPERLINK("https://klasma.github.io/Logging_0980/klagomålsmail/A 13939-2021 FSC-klagomål mail.docx", "A 13939-2021")</f>
        <v/>
      </c>
      <c r="X162">
        <f>HYPERLINK("https://klasma.github.io/Logging_0980/tillsyn/A 13939-2021 tillsynsbegäran.docx", "A 13939-2021")</f>
        <v/>
      </c>
      <c r="Y162">
        <f>HYPERLINK("https://klasma.github.io/Logging_0980/tillsynsmail/A 13939-2021 tillsynsbegäran mail.docx", "A 13939-2021")</f>
        <v/>
      </c>
    </row>
    <row r="163" ht="15" customHeight="1">
      <c r="A163" t="inlineStr">
        <is>
          <t>A 49726-2025</t>
        </is>
      </c>
      <c r="B163" s="1" t="n">
        <v>45939.84466435185</v>
      </c>
      <c r="C163" s="1" t="n">
        <v>46083</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20429-2025</t>
        </is>
      </c>
      <c r="B164" s="1" t="n">
        <v>45775.47728009259</v>
      </c>
      <c r="C164" s="1" t="n">
        <v>46083</v>
      </c>
      <c r="D164" t="inlineStr">
        <is>
          <t>GOTLANDS LÄN</t>
        </is>
      </c>
      <c r="E164" t="inlineStr">
        <is>
          <t>GOTLAND</t>
        </is>
      </c>
      <c r="G164" t="n">
        <v>1.4</v>
      </c>
      <c r="H164" t="n">
        <v>1</v>
      </c>
      <c r="I164" t="n">
        <v>0</v>
      </c>
      <c r="J164" t="n">
        <v>0</v>
      </c>
      <c r="K164" t="n">
        <v>0</v>
      </c>
      <c r="L164" t="n">
        <v>0</v>
      </c>
      <c r="M164" t="n">
        <v>0</v>
      </c>
      <c r="N164" t="n">
        <v>0</v>
      </c>
      <c r="O164" t="n">
        <v>0</v>
      </c>
      <c r="P164" t="n">
        <v>0</v>
      </c>
      <c r="Q164" t="n">
        <v>1</v>
      </c>
      <c r="R164" s="2" t="inlineStr">
        <is>
          <t>Äkta lopplummer</t>
        </is>
      </c>
      <c r="S164">
        <f>HYPERLINK("https://klasma.github.io/Logging_0980/artfynd/A 20429-2025 artfynd.xlsx", "A 20429-2025")</f>
        <v/>
      </c>
      <c r="T164">
        <f>HYPERLINK("https://klasma.github.io/Logging_0980/kartor/A 20429-2025 karta.png", "A 20429-2025")</f>
        <v/>
      </c>
      <c r="V164">
        <f>HYPERLINK("https://klasma.github.io/Logging_0980/klagomål/A 20429-2025 FSC-klagomål.docx", "A 20429-2025")</f>
        <v/>
      </c>
      <c r="W164">
        <f>HYPERLINK("https://klasma.github.io/Logging_0980/klagomålsmail/A 20429-2025 FSC-klagomål mail.docx", "A 20429-2025")</f>
        <v/>
      </c>
      <c r="X164">
        <f>HYPERLINK("https://klasma.github.io/Logging_0980/tillsyn/A 20429-2025 tillsynsbegäran.docx", "A 20429-2025")</f>
        <v/>
      </c>
      <c r="Y164">
        <f>HYPERLINK("https://klasma.github.io/Logging_0980/tillsynsmail/A 20429-2025 tillsynsbegäran mail.docx", "A 20429-2025")</f>
        <v/>
      </c>
    </row>
    <row r="165" ht="15" customHeight="1">
      <c r="A165" t="inlineStr">
        <is>
          <t>A 44308-2021</t>
        </is>
      </c>
      <c r="B165" s="1" t="n">
        <v>44434</v>
      </c>
      <c r="C165" s="1" t="n">
        <v>46083</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46083</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46083</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46083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46083</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46083</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46083</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46083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46083</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46083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46083</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46083</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46083</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46083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46083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46083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46083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46083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46083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46083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46083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46083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46083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46083</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46083</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46083</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46083</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46083</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46083</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46083</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46083</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46083</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46083</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12318-2021</t>
        </is>
      </c>
      <c r="B206" s="1" t="n">
        <v>44266</v>
      </c>
      <c r="C206" s="1" t="n">
        <v>46083</v>
      </c>
      <c r="D206" t="inlineStr">
        <is>
          <t>GOTLANDS LÄN</t>
        </is>
      </c>
      <c r="E206" t="inlineStr">
        <is>
          <t>GOTLAND</t>
        </is>
      </c>
      <c r="G206" t="n">
        <v>1</v>
      </c>
      <c r="H206" t="n">
        <v>0</v>
      </c>
      <c r="I206" t="n">
        <v>0</v>
      </c>
      <c r="J206" t="n">
        <v>0</v>
      </c>
      <c r="K206" t="n">
        <v>0</v>
      </c>
      <c r="L206" t="n">
        <v>0</v>
      </c>
      <c r="M206" t="n">
        <v>0</v>
      </c>
      <c r="N206" t="n">
        <v>0</v>
      </c>
      <c r="O206" t="n">
        <v>0</v>
      </c>
      <c r="P206" t="n">
        <v>0</v>
      </c>
      <c r="Q206" t="n">
        <v>0</v>
      </c>
      <c r="R206" s="2" t="inlineStr"/>
    </row>
    <row r="207" ht="15" customHeight="1">
      <c r="A207" t="inlineStr">
        <is>
          <t>A 15127-2021</t>
        </is>
      </c>
      <c r="B207" s="1" t="n">
        <v>44283</v>
      </c>
      <c r="C207" s="1" t="n">
        <v>46083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46083</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46083</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46083</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46083</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46083</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11029-2022</t>
        </is>
      </c>
      <c r="B214" s="1" t="n">
        <v>44628</v>
      </c>
      <c r="C214" s="1" t="n">
        <v>46083</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46083</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46083</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46083</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46083</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46083</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46083</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46083</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46083</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46083</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46083</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46083</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46083</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46083</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46083</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46083</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46083</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46083</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46083</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30282-2022</t>
        </is>
      </c>
      <c r="B234" s="1" t="n">
        <v>44760</v>
      </c>
      <c r="C234" s="1" t="n">
        <v>46083</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4868-2024</t>
        </is>
      </c>
      <c r="B235" s="1" t="n">
        <v>45329</v>
      </c>
      <c r="C235" s="1" t="n">
        <v>46083</v>
      </c>
      <c r="D235" t="inlineStr">
        <is>
          <t>GOTLANDS LÄN</t>
        </is>
      </c>
      <c r="E235" t="inlineStr">
        <is>
          <t>GOTLAND</t>
        </is>
      </c>
      <c r="G235" t="n">
        <v>7.1</v>
      </c>
      <c r="H235" t="n">
        <v>0</v>
      </c>
      <c r="I235" t="n">
        <v>0</v>
      </c>
      <c r="J235" t="n">
        <v>0</v>
      </c>
      <c r="K235" t="n">
        <v>0</v>
      </c>
      <c r="L235" t="n">
        <v>0</v>
      </c>
      <c r="M235" t="n">
        <v>0</v>
      </c>
      <c r="N235" t="n">
        <v>0</v>
      </c>
      <c r="O235" t="n">
        <v>0</v>
      </c>
      <c r="P235" t="n">
        <v>0</v>
      </c>
      <c r="Q235" t="n">
        <v>0</v>
      </c>
      <c r="R235" s="2" t="inlineStr"/>
    </row>
    <row r="236" ht="15" customHeight="1">
      <c r="A236" t="inlineStr">
        <is>
          <t>A 9613-2025</t>
        </is>
      </c>
      <c r="B236" s="1" t="n">
        <v>45715</v>
      </c>
      <c r="C236" s="1" t="n">
        <v>46083</v>
      </c>
      <c r="D236" t="inlineStr">
        <is>
          <t>GOTLANDS LÄN</t>
        </is>
      </c>
      <c r="E236" t="inlineStr">
        <is>
          <t>GOTLAND</t>
        </is>
      </c>
      <c r="G236" t="n">
        <v>3.5</v>
      </c>
      <c r="H236" t="n">
        <v>0</v>
      </c>
      <c r="I236" t="n">
        <v>0</v>
      </c>
      <c r="J236" t="n">
        <v>0</v>
      </c>
      <c r="K236" t="n">
        <v>0</v>
      </c>
      <c r="L236" t="n">
        <v>0</v>
      </c>
      <c r="M236" t="n">
        <v>0</v>
      </c>
      <c r="N236" t="n">
        <v>0</v>
      </c>
      <c r="O236" t="n">
        <v>0</v>
      </c>
      <c r="P236" t="n">
        <v>0</v>
      </c>
      <c r="Q236" t="n">
        <v>0</v>
      </c>
      <c r="R236" s="2" t="inlineStr"/>
    </row>
    <row r="237" ht="15" customHeight="1">
      <c r="A237" t="inlineStr">
        <is>
          <t>A 5751-2024</t>
        </is>
      </c>
      <c r="B237" s="1" t="n">
        <v>45335.32702546296</v>
      </c>
      <c r="C237" s="1" t="n">
        <v>46083</v>
      </c>
      <c r="D237" t="inlineStr">
        <is>
          <t>GOTLANDS LÄN</t>
        </is>
      </c>
      <c r="E237" t="inlineStr">
        <is>
          <t>GOTLAND</t>
        </is>
      </c>
      <c r="G237" t="n">
        <v>4.2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46083</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45401.81480324074</v>
      </c>
      <c r="C239" s="1" t="n">
        <v>46083</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24966-2023</t>
        </is>
      </c>
      <c r="B240" s="1" t="n">
        <v>45085</v>
      </c>
      <c r="C240" s="1" t="n">
        <v>46083</v>
      </c>
      <c r="D240" t="inlineStr">
        <is>
          <t>GOTLANDS LÄN</t>
        </is>
      </c>
      <c r="E240" t="inlineStr">
        <is>
          <t>GOTLAND</t>
        </is>
      </c>
      <c r="G240" t="n">
        <v>7</v>
      </c>
      <c r="H240" t="n">
        <v>0</v>
      </c>
      <c r="I240" t="n">
        <v>0</v>
      </c>
      <c r="J240" t="n">
        <v>0</v>
      </c>
      <c r="K240" t="n">
        <v>0</v>
      </c>
      <c r="L240" t="n">
        <v>0</v>
      </c>
      <c r="M240" t="n">
        <v>0</v>
      </c>
      <c r="N240" t="n">
        <v>0</v>
      </c>
      <c r="O240" t="n">
        <v>0</v>
      </c>
      <c r="P240" t="n">
        <v>0</v>
      </c>
      <c r="Q240" t="n">
        <v>0</v>
      </c>
      <c r="R240" s="2" t="inlineStr"/>
    </row>
    <row r="241" ht="15" customHeight="1">
      <c r="A241" t="inlineStr">
        <is>
          <t>A 46189-2022</t>
        </is>
      </c>
      <c r="B241" s="1" t="n">
        <v>44847</v>
      </c>
      <c r="C241" s="1" t="n">
        <v>46083</v>
      </c>
      <c r="D241" t="inlineStr">
        <is>
          <t>GOTLANDS LÄN</t>
        </is>
      </c>
      <c r="E241" t="inlineStr">
        <is>
          <t>GOTLAND</t>
        </is>
      </c>
      <c r="G241" t="n">
        <v>0.4</v>
      </c>
      <c r="H241" t="n">
        <v>0</v>
      </c>
      <c r="I241" t="n">
        <v>0</v>
      </c>
      <c r="J241" t="n">
        <v>0</v>
      </c>
      <c r="K241" t="n">
        <v>0</v>
      </c>
      <c r="L241" t="n">
        <v>0</v>
      </c>
      <c r="M241" t="n">
        <v>0</v>
      </c>
      <c r="N241" t="n">
        <v>0</v>
      </c>
      <c r="O241" t="n">
        <v>0</v>
      </c>
      <c r="P241" t="n">
        <v>0</v>
      </c>
      <c r="Q241" t="n">
        <v>0</v>
      </c>
      <c r="R241" s="2" t="inlineStr"/>
    </row>
    <row r="242" ht="15" customHeight="1">
      <c r="A242" t="inlineStr">
        <is>
          <t>A 22031-2024</t>
        </is>
      </c>
      <c r="B242" s="1" t="n">
        <v>45443.60075231481</v>
      </c>
      <c r="C242" s="1" t="n">
        <v>46083</v>
      </c>
      <c r="D242" t="inlineStr">
        <is>
          <t>GOTLANDS LÄN</t>
        </is>
      </c>
      <c r="E242" t="inlineStr">
        <is>
          <t>GOTLAND</t>
        </is>
      </c>
      <c r="G242" t="n">
        <v>2.3</v>
      </c>
      <c r="H242" t="n">
        <v>0</v>
      </c>
      <c r="I242" t="n">
        <v>0</v>
      </c>
      <c r="J242" t="n">
        <v>0</v>
      </c>
      <c r="K242" t="n">
        <v>0</v>
      </c>
      <c r="L242" t="n">
        <v>0</v>
      </c>
      <c r="M242" t="n">
        <v>0</v>
      </c>
      <c r="N242" t="n">
        <v>0</v>
      </c>
      <c r="O242" t="n">
        <v>0</v>
      </c>
      <c r="P242" t="n">
        <v>0</v>
      </c>
      <c r="Q242" t="n">
        <v>0</v>
      </c>
      <c r="R242" s="2" t="inlineStr"/>
    </row>
    <row r="243" ht="15" customHeight="1">
      <c r="A243" t="inlineStr">
        <is>
          <t>A 49314-2024</t>
        </is>
      </c>
      <c r="B243" s="1" t="n">
        <v>45595.55893518519</v>
      </c>
      <c r="C243" s="1" t="n">
        <v>46083</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44919-2022</t>
        </is>
      </c>
      <c r="B244" s="1" t="n">
        <v>44841</v>
      </c>
      <c r="C244" s="1" t="n">
        <v>46083</v>
      </c>
      <c r="D244" t="inlineStr">
        <is>
          <t>GOTLANDS LÄN</t>
        </is>
      </c>
      <c r="E244" t="inlineStr">
        <is>
          <t>GOTLAND</t>
        </is>
      </c>
      <c r="G244" t="n">
        <v>2.2</v>
      </c>
      <c r="H244" t="n">
        <v>0</v>
      </c>
      <c r="I244" t="n">
        <v>0</v>
      </c>
      <c r="J244" t="n">
        <v>0</v>
      </c>
      <c r="K244" t="n">
        <v>0</v>
      </c>
      <c r="L244" t="n">
        <v>0</v>
      </c>
      <c r="M244" t="n">
        <v>0</v>
      </c>
      <c r="N244" t="n">
        <v>0</v>
      </c>
      <c r="O244" t="n">
        <v>0</v>
      </c>
      <c r="P244" t="n">
        <v>0</v>
      </c>
      <c r="Q244" t="n">
        <v>0</v>
      </c>
      <c r="R244" s="2" t="inlineStr"/>
    </row>
    <row r="245" ht="15" customHeight="1">
      <c r="A245" t="inlineStr">
        <is>
          <t>A 65901-2021</t>
        </is>
      </c>
      <c r="B245" s="1" t="n">
        <v>44516</v>
      </c>
      <c r="C245" s="1" t="n">
        <v>46083</v>
      </c>
      <c r="D245" t="inlineStr">
        <is>
          <t>GOTLANDS LÄN</t>
        </is>
      </c>
      <c r="E245" t="inlineStr">
        <is>
          <t>GOTLAND</t>
        </is>
      </c>
      <c r="G245" t="n">
        <v>4.9</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46083</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44649-2021</t>
        </is>
      </c>
      <c r="B247" s="1" t="n">
        <v>44437</v>
      </c>
      <c r="C247" s="1" t="n">
        <v>46083</v>
      </c>
      <c r="D247" t="inlineStr">
        <is>
          <t>GOTLANDS LÄN</t>
        </is>
      </c>
      <c r="E247" t="inlineStr">
        <is>
          <t>GOTLAND</t>
        </is>
      </c>
      <c r="G247" t="n">
        <v>8.1</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46083</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27593-2023</t>
        </is>
      </c>
      <c r="B249" s="1" t="n">
        <v>45097</v>
      </c>
      <c r="C249" s="1" t="n">
        <v>46083</v>
      </c>
      <c r="D249" t="inlineStr">
        <is>
          <t>GOTLANDS LÄN</t>
        </is>
      </c>
      <c r="E249" t="inlineStr">
        <is>
          <t>GOTLAND</t>
        </is>
      </c>
      <c r="G249" t="n">
        <v>3.1</v>
      </c>
      <c r="H249" t="n">
        <v>0</v>
      </c>
      <c r="I249" t="n">
        <v>0</v>
      </c>
      <c r="J249" t="n">
        <v>0</v>
      </c>
      <c r="K249" t="n">
        <v>0</v>
      </c>
      <c r="L249" t="n">
        <v>0</v>
      </c>
      <c r="M249" t="n">
        <v>0</v>
      </c>
      <c r="N249" t="n">
        <v>0</v>
      </c>
      <c r="O249" t="n">
        <v>0</v>
      </c>
      <c r="P249" t="n">
        <v>0</v>
      </c>
      <c r="Q249" t="n">
        <v>0</v>
      </c>
      <c r="R249" s="2" t="inlineStr"/>
    </row>
    <row r="250" ht="15" customHeight="1">
      <c r="A250" t="inlineStr">
        <is>
          <t>A 63516-2023</t>
        </is>
      </c>
      <c r="B250" s="1" t="n">
        <v>45274</v>
      </c>
      <c r="C250" s="1" t="n">
        <v>46083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24001-2021</t>
        </is>
      </c>
      <c r="B251" s="1" t="n">
        <v>44335</v>
      </c>
      <c r="C251" s="1" t="n">
        <v>46083</v>
      </c>
      <c r="D251" t="inlineStr">
        <is>
          <t>GOTLANDS LÄN</t>
        </is>
      </c>
      <c r="E251" t="inlineStr">
        <is>
          <t>GOTLAND</t>
        </is>
      </c>
      <c r="G251" t="n">
        <v>3.4</v>
      </c>
      <c r="H251" t="n">
        <v>0</v>
      </c>
      <c r="I251" t="n">
        <v>0</v>
      </c>
      <c r="J251" t="n">
        <v>0</v>
      </c>
      <c r="K251" t="n">
        <v>0</v>
      </c>
      <c r="L251" t="n">
        <v>0</v>
      </c>
      <c r="M251" t="n">
        <v>0</v>
      </c>
      <c r="N251" t="n">
        <v>0</v>
      </c>
      <c r="O251" t="n">
        <v>0</v>
      </c>
      <c r="P251" t="n">
        <v>0</v>
      </c>
      <c r="Q251" t="n">
        <v>0</v>
      </c>
      <c r="R251" s="2" t="inlineStr"/>
    </row>
    <row r="252" ht="15" customHeight="1">
      <c r="A252" t="inlineStr">
        <is>
          <t>A 1681-2023</t>
        </is>
      </c>
      <c r="B252" s="1" t="n">
        <v>44938.39715277778</v>
      </c>
      <c r="C252" s="1" t="n">
        <v>46083</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30365-2024</t>
        </is>
      </c>
      <c r="B253" s="1" t="n">
        <v>45491.3716087963</v>
      </c>
      <c r="C253" s="1" t="n">
        <v>46083</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6099-2024</t>
        </is>
      </c>
      <c r="B254" s="1" t="n">
        <v>45337</v>
      </c>
      <c r="C254" s="1" t="n">
        <v>46083</v>
      </c>
      <c r="D254" t="inlineStr">
        <is>
          <t>GOTLANDS LÄN</t>
        </is>
      </c>
      <c r="E254" t="inlineStr">
        <is>
          <t>GOTLAND</t>
        </is>
      </c>
      <c r="G254" t="n">
        <v>12.6</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46083</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17682-2024</t>
        </is>
      </c>
      <c r="B256" s="1" t="n">
        <v>45418.42966435185</v>
      </c>
      <c r="C256" s="1" t="n">
        <v>46083</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46083</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57522-2022</t>
        </is>
      </c>
      <c r="B258" s="1" t="n">
        <v>44896</v>
      </c>
      <c r="C258" s="1" t="n">
        <v>46083</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46083</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46083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46083</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46083</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33876-2024</t>
        </is>
      </c>
      <c r="B263" s="1" t="n">
        <v>45521.87988425926</v>
      </c>
      <c r="C263" s="1" t="n">
        <v>46083</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46083</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21792-2024</t>
        </is>
      </c>
      <c r="B265" s="1" t="n">
        <v>45442.64326388889</v>
      </c>
      <c r="C265" s="1" t="n">
        <v>46083</v>
      </c>
      <c r="D265" t="inlineStr">
        <is>
          <t>GOTLANDS LÄN</t>
        </is>
      </c>
      <c r="E265" t="inlineStr">
        <is>
          <t>GOTLAND</t>
        </is>
      </c>
      <c r="G265" t="n">
        <v>1</v>
      </c>
      <c r="H265" t="n">
        <v>0</v>
      </c>
      <c r="I265" t="n">
        <v>0</v>
      </c>
      <c r="J265" t="n">
        <v>0</v>
      </c>
      <c r="K265" t="n">
        <v>0</v>
      </c>
      <c r="L265" t="n">
        <v>0</v>
      </c>
      <c r="M265" t="n">
        <v>0</v>
      </c>
      <c r="N265" t="n">
        <v>0</v>
      </c>
      <c r="O265" t="n">
        <v>0</v>
      </c>
      <c r="P265" t="n">
        <v>0</v>
      </c>
      <c r="Q265" t="n">
        <v>0</v>
      </c>
      <c r="R265" s="2" t="inlineStr"/>
    </row>
    <row r="266" ht="15" customHeight="1">
      <c r="A266" t="inlineStr">
        <is>
          <t>A 18993-2025</t>
        </is>
      </c>
      <c r="B266" s="1" t="n">
        <v>45764</v>
      </c>
      <c r="C266" s="1" t="n">
        <v>46083</v>
      </c>
      <c r="D266" t="inlineStr">
        <is>
          <t>GOTLANDS LÄN</t>
        </is>
      </c>
      <c r="E266" t="inlineStr">
        <is>
          <t>GOTLAND</t>
        </is>
      </c>
      <c r="G266" t="n">
        <v>3</v>
      </c>
      <c r="H266" t="n">
        <v>0</v>
      </c>
      <c r="I266" t="n">
        <v>0</v>
      </c>
      <c r="J266" t="n">
        <v>0</v>
      </c>
      <c r="K266" t="n">
        <v>0</v>
      </c>
      <c r="L266" t="n">
        <v>0</v>
      </c>
      <c r="M266" t="n">
        <v>0</v>
      </c>
      <c r="N266" t="n">
        <v>0</v>
      </c>
      <c r="O266" t="n">
        <v>0</v>
      </c>
      <c r="P266" t="n">
        <v>0</v>
      </c>
      <c r="Q266" t="n">
        <v>0</v>
      </c>
      <c r="R266" s="2" t="inlineStr"/>
    </row>
    <row r="267" ht="15" customHeight="1">
      <c r="A267" t="inlineStr">
        <is>
          <t>A 26457-2025</t>
        </is>
      </c>
      <c r="B267" s="1" t="n">
        <v>45807.42773148148</v>
      </c>
      <c r="C267" s="1" t="n">
        <v>46083</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26467-2025</t>
        </is>
      </c>
      <c r="B268" s="1" t="n">
        <v>45807.44640046296</v>
      </c>
      <c r="C268" s="1" t="n">
        <v>46083</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26465-2025</t>
        </is>
      </c>
      <c r="B269" s="1" t="n">
        <v>45807.44377314814</v>
      </c>
      <c r="C269" s="1" t="n">
        <v>46083</v>
      </c>
      <c r="D269" t="inlineStr">
        <is>
          <t>GOTLANDS LÄN</t>
        </is>
      </c>
      <c r="E269" t="inlineStr">
        <is>
          <t>GOTLAND</t>
        </is>
      </c>
      <c r="G269" t="n">
        <v>4.5</v>
      </c>
      <c r="H269" t="n">
        <v>0</v>
      </c>
      <c r="I269" t="n">
        <v>0</v>
      </c>
      <c r="J269" t="n">
        <v>0</v>
      </c>
      <c r="K269" t="n">
        <v>0</v>
      </c>
      <c r="L269" t="n">
        <v>0</v>
      </c>
      <c r="M269" t="n">
        <v>0</v>
      </c>
      <c r="N269" t="n">
        <v>0</v>
      </c>
      <c r="O269" t="n">
        <v>0</v>
      </c>
      <c r="P269" t="n">
        <v>0</v>
      </c>
      <c r="Q269" t="n">
        <v>0</v>
      </c>
      <c r="R269" s="2" t="inlineStr"/>
    </row>
    <row r="270" ht="15" customHeight="1">
      <c r="A270" t="inlineStr">
        <is>
          <t>A 26660-2025</t>
        </is>
      </c>
      <c r="B270" s="1" t="n">
        <v>45810.39737268518</v>
      </c>
      <c r="C270" s="1" t="n">
        <v>46083</v>
      </c>
      <c r="D270" t="inlineStr">
        <is>
          <t>GOTLANDS LÄN</t>
        </is>
      </c>
      <c r="E270" t="inlineStr">
        <is>
          <t>GOTLAND</t>
        </is>
      </c>
      <c r="G270" t="n">
        <v>1.8</v>
      </c>
      <c r="H270" t="n">
        <v>0</v>
      </c>
      <c r="I270" t="n">
        <v>0</v>
      </c>
      <c r="J270" t="n">
        <v>0</v>
      </c>
      <c r="K270" t="n">
        <v>0</v>
      </c>
      <c r="L270" t="n">
        <v>0</v>
      </c>
      <c r="M270" t="n">
        <v>0</v>
      </c>
      <c r="N270" t="n">
        <v>0</v>
      </c>
      <c r="O270" t="n">
        <v>0</v>
      </c>
      <c r="P270" t="n">
        <v>0</v>
      </c>
      <c r="Q270" t="n">
        <v>0</v>
      </c>
      <c r="R270" s="2" t="inlineStr"/>
    </row>
    <row r="271" ht="15" customHeight="1">
      <c r="A271" t="inlineStr">
        <is>
          <t>A 17688-2024</t>
        </is>
      </c>
      <c r="B271" s="1" t="n">
        <v>45418.43575231481</v>
      </c>
      <c r="C271" s="1" t="n">
        <v>46083</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30135-2025</t>
        </is>
      </c>
      <c r="B272" s="1" t="n">
        <v>45826</v>
      </c>
      <c r="C272" s="1" t="n">
        <v>46083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7837-2024</t>
        </is>
      </c>
      <c r="B273" s="1" t="n">
        <v>45349.83787037037</v>
      </c>
      <c r="C273" s="1" t="n">
        <v>46083</v>
      </c>
      <c r="D273" t="inlineStr">
        <is>
          <t>GOTLANDS LÄN</t>
        </is>
      </c>
      <c r="E273" t="inlineStr">
        <is>
          <t>GOTLAND</t>
        </is>
      </c>
      <c r="G273" t="n">
        <v>5</v>
      </c>
      <c r="H273" t="n">
        <v>0</v>
      </c>
      <c r="I273" t="n">
        <v>0</v>
      </c>
      <c r="J273" t="n">
        <v>0</v>
      </c>
      <c r="K273" t="n">
        <v>0</v>
      </c>
      <c r="L273" t="n">
        <v>0</v>
      </c>
      <c r="M273" t="n">
        <v>0</v>
      </c>
      <c r="N273" t="n">
        <v>0</v>
      </c>
      <c r="O273" t="n">
        <v>0</v>
      </c>
      <c r="P273" t="n">
        <v>0</v>
      </c>
      <c r="Q273" t="n">
        <v>0</v>
      </c>
      <c r="R273" s="2" t="inlineStr"/>
    </row>
    <row r="274" ht="15" customHeight="1">
      <c r="A274" t="inlineStr">
        <is>
          <t>A 12599-2025</t>
        </is>
      </c>
      <c r="B274" s="1" t="n">
        <v>45733.29546296296</v>
      </c>
      <c r="C274" s="1" t="n">
        <v>46083</v>
      </c>
      <c r="D274" t="inlineStr">
        <is>
          <t>GOTLANDS LÄN</t>
        </is>
      </c>
      <c r="E274" t="inlineStr">
        <is>
          <t>GOTLAND</t>
        </is>
      </c>
      <c r="G274" t="n">
        <v>4.7</v>
      </c>
      <c r="H274" t="n">
        <v>0</v>
      </c>
      <c r="I274" t="n">
        <v>0</v>
      </c>
      <c r="J274" t="n">
        <v>0</v>
      </c>
      <c r="K274" t="n">
        <v>0</v>
      </c>
      <c r="L274" t="n">
        <v>0</v>
      </c>
      <c r="M274" t="n">
        <v>0</v>
      </c>
      <c r="N274" t="n">
        <v>0</v>
      </c>
      <c r="O274" t="n">
        <v>0</v>
      </c>
      <c r="P274" t="n">
        <v>0</v>
      </c>
      <c r="Q274" t="n">
        <v>0</v>
      </c>
      <c r="R274" s="2" t="inlineStr"/>
    </row>
    <row r="275" ht="15" customHeight="1">
      <c r="A275" t="inlineStr">
        <is>
          <t>A 35141-2025</t>
        </is>
      </c>
      <c r="B275" s="1" t="n">
        <v>45852.65206018519</v>
      </c>
      <c r="C275" s="1" t="n">
        <v>46083</v>
      </c>
      <c r="D275" t="inlineStr">
        <is>
          <t>GOTLANDS LÄN</t>
        </is>
      </c>
      <c r="E275" t="inlineStr">
        <is>
          <t>GOTLAND</t>
        </is>
      </c>
      <c r="G275" t="n">
        <v>1</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46083</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27371-2025</t>
        </is>
      </c>
      <c r="B277" s="1" t="n">
        <v>45812</v>
      </c>
      <c r="C277" s="1" t="n">
        <v>46083</v>
      </c>
      <c r="D277" t="inlineStr">
        <is>
          <t>GOTLANDS LÄN</t>
        </is>
      </c>
      <c r="E277" t="inlineStr">
        <is>
          <t>GOTLAND</t>
        </is>
      </c>
      <c r="G277" t="n">
        <v>8</v>
      </c>
      <c r="H277" t="n">
        <v>0</v>
      </c>
      <c r="I277" t="n">
        <v>0</v>
      </c>
      <c r="J277" t="n">
        <v>0</v>
      </c>
      <c r="K277" t="n">
        <v>0</v>
      </c>
      <c r="L277" t="n">
        <v>0</v>
      </c>
      <c r="M277" t="n">
        <v>0</v>
      </c>
      <c r="N277" t="n">
        <v>0</v>
      </c>
      <c r="O277" t="n">
        <v>0</v>
      </c>
      <c r="P277" t="n">
        <v>0</v>
      </c>
      <c r="Q277" t="n">
        <v>0</v>
      </c>
      <c r="R277" s="2" t="inlineStr"/>
    </row>
    <row r="278" ht="15" customHeight="1">
      <c r="A278" t="inlineStr">
        <is>
          <t>A 27355-2025</t>
        </is>
      </c>
      <c r="B278" s="1" t="n">
        <v>45812</v>
      </c>
      <c r="C278" s="1" t="n">
        <v>46083</v>
      </c>
      <c r="D278" t="inlineStr">
        <is>
          <t>GOTLANDS LÄN</t>
        </is>
      </c>
      <c r="E278" t="inlineStr">
        <is>
          <t>GOTLAND</t>
        </is>
      </c>
      <c r="G278" t="n">
        <v>1.1</v>
      </c>
      <c r="H278" t="n">
        <v>0</v>
      </c>
      <c r="I278" t="n">
        <v>0</v>
      </c>
      <c r="J278" t="n">
        <v>0</v>
      </c>
      <c r="K278" t="n">
        <v>0</v>
      </c>
      <c r="L278" t="n">
        <v>0</v>
      </c>
      <c r="M278" t="n">
        <v>0</v>
      </c>
      <c r="N278" t="n">
        <v>0</v>
      </c>
      <c r="O278" t="n">
        <v>0</v>
      </c>
      <c r="P278" t="n">
        <v>0</v>
      </c>
      <c r="Q278" t="n">
        <v>0</v>
      </c>
      <c r="R278" s="2" t="inlineStr"/>
    </row>
    <row r="279" ht="15" customHeight="1">
      <c r="A279" t="inlineStr">
        <is>
          <t>A 4568-2025</t>
        </is>
      </c>
      <c r="B279" s="1" t="n">
        <v>45687</v>
      </c>
      <c r="C279" s="1" t="n">
        <v>46083</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6739-2025</t>
        </is>
      </c>
      <c r="B280" s="1" t="n">
        <v>45700</v>
      </c>
      <c r="C280" s="1" t="n">
        <v>46083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7850-2025</t>
        </is>
      </c>
      <c r="B281" s="1" t="n">
        <v>45706</v>
      </c>
      <c r="C281" s="1" t="n">
        <v>46083</v>
      </c>
      <c r="D281" t="inlineStr">
        <is>
          <t>GOTLANDS LÄN</t>
        </is>
      </c>
      <c r="E281" t="inlineStr">
        <is>
          <t>GOTLAND</t>
        </is>
      </c>
      <c r="G281" t="n">
        <v>0.5</v>
      </c>
      <c r="H281" t="n">
        <v>0</v>
      </c>
      <c r="I281" t="n">
        <v>0</v>
      </c>
      <c r="J281" t="n">
        <v>0</v>
      </c>
      <c r="K281" t="n">
        <v>0</v>
      </c>
      <c r="L281" t="n">
        <v>0</v>
      </c>
      <c r="M281" t="n">
        <v>0</v>
      </c>
      <c r="N281" t="n">
        <v>0</v>
      </c>
      <c r="O281" t="n">
        <v>0</v>
      </c>
      <c r="P281" t="n">
        <v>0</v>
      </c>
      <c r="Q281" t="n">
        <v>0</v>
      </c>
      <c r="R281" s="2" t="inlineStr"/>
    </row>
    <row r="282" ht="15" customHeight="1">
      <c r="A282" t="inlineStr">
        <is>
          <t>A 8444-2025</t>
        </is>
      </c>
      <c r="B282" s="1" t="n">
        <v>45709</v>
      </c>
      <c r="C282" s="1" t="n">
        <v>46083</v>
      </c>
      <c r="D282" t="inlineStr">
        <is>
          <t>GOTLANDS LÄN</t>
        </is>
      </c>
      <c r="E282" t="inlineStr">
        <is>
          <t>GOTLAND</t>
        </is>
      </c>
      <c r="G282" t="n">
        <v>5.2</v>
      </c>
      <c r="H282" t="n">
        <v>0</v>
      </c>
      <c r="I282" t="n">
        <v>0</v>
      </c>
      <c r="J282" t="n">
        <v>0</v>
      </c>
      <c r="K282" t="n">
        <v>0</v>
      </c>
      <c r="L282" t="n">
        <v>0</v>
      </c>
      <c r="M282" t="n">
        <v>0</v>
      </c>
      <c r="N282" t="n">
        <v>0</v>
      </c>
      <c r="O282" t="n">
        <v>0</v>
      </c>
      <c r="P282" t="n">
        <v>0</v>
      </c>
      <c r="Q282" t="n">
        <v>0</v>
      </c>
      <c r="R282" s="2" t="inlineStr"/>
    </row>
    <row r="283" ht="15" customHeight="1">
      <c r="A283" t="inlineStr">
        <is>
          <t>A 35512-2023</t>
        </is>
      </c>
      <c r="B283" s="1" t="n">
        <v>45147.25623842593</v>
      </c>
      <c r="C283" s="1" t="n">
        <v>46083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5905-2024</t>
        </is>
      </c>
      <c r="B284" s="1" t="n">
        <v>45335.88993055555</v>
      </c>
      <c r="C284" s="1" t="n">
        <v>46083</v>
      </c>
      <c r="D284" t="inlineStr">
        <is>
          <t>GOTLANDS LÄN</t>
        </is>
      </c>
      <c r="E284" t="inlineStr">
        <is>
          <t>GOTLAND</t>
        </is>
      </c>
      <c r="G284" t="n">
        <v>3</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46083</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39814-2025</t>
        </is>
      </c>
      <c r="B286" s="1" t="n">
        <v>45891.52694444444</v>
      </c>
      <c r="C286" s="1" t="n">
        <v>46083</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1291-2023</t>
        </is>
      </c>
      <c r="B287" s="1" t="n">
        <v>44936.47561342592</v>
      </c>
      <c r="C287" s="1" t="n">
        <v>46083</v>
      </c>
      <c r="D287" t="inlineStr">
        <is>
          <t>GOTLANDS LÄN</t>
        </is>
      </c>
      <c r="E287" t="inlineStr">
        <is>
          <t>GOTLAND</t>
        </is>
      </c>
      <c r="G287" t="n">
        <v>7.4</v>
      </c>
      <c r="H287" t="n">
        <v>0</v>
      </c>
      <c r="I287" t="n">
        <v>0</v>
      </c>
      <c r="J287" t="n">
        <v>0</v>
      </c>
      <c r="K287" t="n">
        <v>0</v>
      </c>
      <c r="L287" t="n">
        <v>0</v>
      </c>
      <c r="M287" t="n">
        <v>0</v>
      </c>
      <c r="N287" t="n">
        <v>0</v>
      </c>
      <c r="O287" t="n">
        <v>0</v>
      </c>
      <c r="P287" t="n">
        <v>0</v>
      </c>
      <c r="Q287" t="n">
        <v>0</v>
      </c>
      <c r="R287" s="2" t="inlineStr"/>
    </row>
    <row r="288" ht="15" customHeight="1">
      <c r="A288" t="inlineStr">
        <is>
          <t>A 39849-2025</t>
        </is>
      </c>
      <c r="B288" s="1" t="n">
        <v>45891.58502314815</v>
      </c>
      <c r="C288" s="1" t="n">
        <v>46083</v>
      </c>
      <c r="D288" t="inlineStr">
        <is>
          <t>GOTLANDS LÄN</t>
        </is>
      </c>
      <c r="E288" t="inlineStr">
        <is>
          <t>GOTLAND</t>
        </is>
      </c>
      <c r="G288" t="n">
        <v>6.1</v>
      </c>
      <c r="H288" t="n">
        <v>0</v>
      </c>
      <c r="I288" t="n">
        <v>0</v>
      </c>
      <c r="J288" t="n">
        <v>0</v>
      </c>
      <c r="K288" t="n">
        <v>0</v>
      </c>
      <c r="L288" t="n">
        <v>0</v>
      </c>
      <c r="M288" t="n">
        <v>0</v>
      </c>
      <c r="N288" t="n">
        <v>0</v>
      </c>
      <c r="O288" t="n">
        <v>0</v>
      </c>
      <c r="P288" t="n">
        <v>0</v>
      </c>
      <c r="Q288" t="n">
        <v>0</v>
      </c>
      <c r="R288" s="2" t="inlineStr"/>
    </row>
    <row r="289" ht="15" customHeight="1">
      <c r="A289" t="inlineStr">
        <is>
          <t>A 57652-2023</t>
        </is>
      </c>
      <c r="B289" s="1" t="n">
        <v>45246</v>
      </c>
      <c r="C289" s="1" t="n">
        <v>46083</v>
      </c>
      <c r="D289" t="inlineStr">
        <is>
          <t>GOTLANDS LÄN</t>
        </is>
      </c>
      <c r="E289" t="inlineStr">
        <is>
          <t>GOTLAND</t>
        </is>
      </c>
      <c r="G289" t="n">
        <v>7.2</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46083</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39752-2025</t>
        </is>
      </c>
      <c r="B291" s="1" t="n">
        <v>45891</v>
      </c>
      <c r="C291" s="1" t="n">
        <v>46083</v>
      </c>
      <c r="D291" t="inlineStr">
        <is>
          <t>GOTLANDS LÄN</t>
        </is>
      </c>
      <c r="E291" t="inlineStr">
        <is>
          <t>GOTLAND</t>
        </is>
      </c>
      <c r="G291" t="n">
        <v>5.3</v>
      </c>
      <c r="H291" t="n">
        <v>0</v>
      </c>
      <c r="I291" t="n">
        <v>0</v>
      </c>
      <c r="J291" t="n">
        <v>0</v>
      </c>
      <c r="K291" t="n">
        <v>0</v>
      </c>
      <c r="L291" t="n">
        <v>0</v>
      </c>
      <c r="M291" t="n">
        <v>0</v>
      </c>
      <c r="N291" t="n">
        <v>0</v>
      </c>
      <c r="O291" t="n">
        <v>0</v>
      </c>
      <c r="P291" t="n">
        <v>0</v>
      </c>
      <c r="Q291" t="n">
        <v>0</v>
      </c>
      <c r="R291" s="2" t="inlineStr"/>
    </row>
    <row r="292" ht="15" customHeight="1">
      <c r="A292" t="inlineStr">
        <is>
          <t>A 29196-2025</t>
        </is>
      </c>
      <c r="B292" s="1" t="n">
        <v>45822</v>
      </c>
      <c r="C292" s="1" t="n">
        <v>46083</v>
      </c>
      <c r="D292" t="inlineStr">
        <is>
          <t>GOTLANDS LÄN</t>
        </is>
      </c>
      <c r="E292" t="inlineStr">
        <is>
          <t>GOTLAND</t>
        </is>
      </c>
      <c r="G292" t="n">
        <v>0.5</v>
      </c>
      <c r="H292" t="n">
        <v>0</v>
      </c>
      <c r="I292" t="n">
        <v>0</v>
      </c>
      <c r="J292" t="n">
        <v>0</v>
      </c>
      <c r="K292" t="n">
        <v>0</v>
      </c>
      <c r="L292" t="n">
        <v>0</v>
      </c>
      <c r="M292" t="n">
        <v>0</v>
      </c>
      <c r="N292" t="n">
        <v>0</v>
      </c>
      <c r="O292" t="n">
        <v>0</v>
      </c>
      <c r="P292" t="n">
        <v>0</v>
      </c>
      <c r="Q292" t="n">
        <v>0</v>
      </c>
      <c r="R292" s="2" t="inlineStr"/>
    </row>
    <row r="293" ht="15" customHeight="1">
      <c r="A293" t="inlineStr">
        <is>
          <t>A 49315-2024</t>
        </is>
      </c>
      <c r="B293" s="1" t="n">
        <v>45595</v>
      </c>
      <c r="C293" s="1" t="n">
        <v>46083</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46083</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39816-2025</t>
        </is>
      </c>
      <c r="B295" s="1" t="n">
        <v>45891</v>
      </c>
      <c r="C295" s="1" t="n">
        <v>46083</v>
      </c>
      <c r="D295" t="inlineStr">
        <is>
          <t>GOTLANDS LÄN</t>
        </is>
      </c>
      <c r="E295" t="inlineStr">
        <is>
          <t>GOTLAND</t>
        </is>
      </c>
      <c r="G295" t="n">
        <v>0.9</v>
      </c>
      <c r="H295" t="n">
        <v>0</v>
      </c>
      <c r="I295" t="n">
        <v>0</v>
      </c>
      <c r="J295" t="n">
        <v>0</v>
      </c>
      <c r="K295" t="n">
        <v>0</v>
      </c>
      <c r="L295" t="n">
        <v>0</v>
      </c>
      <c r="M295" t="n">
        <v>0</v>
      </c>
      <c r="N295" t="n">
        <v>0</v>
      </c>
      <c r="O295" t="n">
        <v>0</v>
      </c>
      <c r="P295" t="n">
        <v>0</v>
      </c>
      <c r="Q295" t="n">
        <v>0</v>
      </c>
      <c r="R295" s="2" t="inlineStr"/>
    </row>
    <row r="296" ht="15" customHeight="1">
      <c r="A296" t="inlineStr">
        <is>
          <t>A 40103-2025</t>
        </is>
      </c>
      <c r="B296" s="1" t="n">
        <v>45894.4880324074</v>
      </c>
      <c r="C296" s="1" t="n">
        <v>46083</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45106-2024</t>
        </is>
      </c>
      <c r="B297" s="1" t="n">
        <v>45575</v>
      </c>
      <c r="C297" s="1" t="n">
        <v>46083</v>
      </c>
      <c r="D297" t="inlineStr">
        <is>
          <t>GOTLANDS LÄN</t>
        </is>
      </c>
      <c r="E297" t="inlineStr">
        <is>
          <t>GOTLAND</t>
        </is>
      </c>
      <c r="G297" t="n">
        <v>10</v>
      </c>
      <c r="H297" t="n">
        <v>0</v>
      </c>
      <c r="I297" t="n">
        <v>0</v>
      </c>
      <c r="J297" t="n">
        <v>0</v>
      </c>
      <c r="K297" t="n">
        <v>0</v>
      </c>
      <c r="L297" t="n">
        <v>0</v>
      </c>
      <c r="M297" t="n">
        <v>0</v>
      </c>
      <c r="N297" t="n">
        <v>0</v>
      </c>
      <c r="O297" t="n">
        <v>0</v>
      </c>
      <c r="P297" t="n">
        <v>0</v>
      </c>
      <c r="Q297" t="n">
        <v>0</v>
      </c>
      <c r="R297" s="2" t="inlineStr"/>
    </row>
    <row r="298" ht="15" customHeight="1">
      <c r="A298" t="inlineStr">
        <is>
          <t>A 45112-2024</t>
        </is>
      </c>
      <c r="B298" s="1" t="n">
        <v>45575</v>
      </c>
      <c r="C298" s="1" t="n">
        <v>46083</v>
      </c>
      <c r="D298" t="inlineStr">
        <is>
          <t>GOTLANDS LÄN</t>
        </is>
      </c>
      <c r="E298" t="inlineStr">
        <is>
          <t>GOTLAND</t>
        </is>
      </c>
      <c r="G298" t="n">
        <v>5.1</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46083</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40499-2025</t>
        </is>
      </c>
      <c r="B300" s="1" t="n">
        <v>45896.32517361111</v>
      </c>
      <c r="C300" s="1" t="n">
        <v>46083</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40372-2025</t>
        </is>
      </c>
      <c r="B301" s="1" t="n">
        <v>45895.5162037037</v>
      </c>
      <c r="C301" s="1" t="n">
        <v>46083</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46083</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39278-2025</t>
        </is>
      </c>
      <c r="B303" s="1" t="n">
        <v>45889</v>
      </c>
      <c r="C303" s="1" t="n">
        <v>46083</v>
      </c>
      <c r="D303" t="inlineStr">
        <is>
          <t>GOTLANDS LÄN</t>
        </is>
      </c>
      <c r="E303" t="inlineStr">
        <is>
          <t>GOTLAND</t>
        </is>
      </c>
      <c r="G303" t="n">
        <v>3.7</v>
      </c>
      <c r="H303" t="n">
        <v>0</v>
      </c>
      <c r="I303" t="n">
        <v>0</v>
      </c>
      <c r="J303" t="n">
        <v>0</v>
      </c>
      <c r="K303" t="n">
        <v>0</v>
      </c>
      <c r="L303" t="n">
        <v>0</v>
      </c>
      <c r="M303" t="n">
        <v>0</v>
      </c>
      <c r="N303" t="n">
        <v>0</v>
      </c>
      <c r="O303" t="n">
        <v>0</v>
      </c>
      <c r="P303" t="n">
        <v>0</v>
      </c>
      <c r="Q303" t="n">
        <v>0</v>
      </c>
      <c r="R303" s="2" t="inlineStr"/>
    </row>
    <row r="304" ht="15" customHeight="1">
      <c r="A304" t="inlineStr">
        <is>
          <t>A 30061-2025</t>
        </is>
      </c>
      <c r="B304" s="1" t="n">
        <v>45826.61488425926</v>
      </c>
      <c r="C304" s="1" t="n">
        <v>46083</v>
      </c>
      <c r="D304" t="inlineStr">
        <is>
          <t>GOTLANDS LÄN</t>
        </is>
      </c>
      <c r="E304" t="inlineStr">
        <is>
          <t>GOTLAND</t>
        </is>
      </c>
      <c r="G304" t="n">
        <v>4.1</v>
      </c>
      <c r="H304" t="n">
        <v>0</v>
      </c>
      <c r="I304" t="n">
        <v>0</v>
      </c>
      <c r="J304" t="n">
        <v>0</v>
      </c>
      <c r="K304" t="n">
        <v>0</v>
      </c>
      <c r="L304" t="n">
        <v>0</v>
      </c>
      <c r="M304" t="n">
        <v>0</v>
      </c>
      <c r="N304" t="n">
        <v>0</v>
      </c>
      <c r="O304" t="n">
        <v>0</v>
      </c>
      <c r="P304" t="n">
        <v>0</v>
      </c>
      <c r="Q304" t="n">
        <v>0</v>
      </c>
      <c r="R304" s="2" t="inlineStr"/>
    </row>
    <row r="305" ht="15" customHeight="1">
      <c r="A305" t="inlineStr">
        <is>
          <t>A 3150-2025</t>
        </is>
      </c>
      <c r="B305" s="1" t="n">
        <v>45679.28974537037</v>
      </c>
      <c r="C305" s="1" t="n">
        <v>46083</v>
      </c>
      <c r="D305" t="inlineStr">
        <is>
          <t>GOTLANDS LÄN</t>
        </is>
      </c>
      <c r="E305" t="inlineStr">
        <is>
          <t>GOTLAND</t>
        </is>
      </c>
      <c r="G305" t="n">
        <v>2.5</v>
      </c>
      <c r="H305" t="n">
        <v>0</v>
      </c>
      <c r="I305" t="n">
        <v>0</v>
      </c>
      <c r="J305" t="n">
        <v>0</v>
      </c>
      <c r="K305" t="n">
        <v>0</v>
      </c>
      <c r="L305" t="n">
        <v>0</v>
      </c>
      <c r="M305" t="n">
        <v>0</v>
      </c>
      <c r="N305" t="n">
        <v>0</v>
      </c>
      <c r="O305" t="n">
        <v>0</v>
      </c>
      <c r="P305" t="n">
        <v>0</v>
      </c>
      <c r="Q305" t="n">
        <v>0</v>
      </c>
      <c r="R305" s="2" t="inlineStr"/>
    </row>
    <row r="306" ht="15" customHeight="1">
      <c r="A306" t="inlineStr">
        <is>
          <t>A 8484-2025</t>
        </is>
      </c>
      <c r="B306" s="1" t="n">
        <v>45709</v>
      </c>
      <c r="C306" s="1" t="n">
        <v>46083</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7635-2025</t>
        </is>
      </c>
      <c r="B307" s="1" t="n">
        <v>45705</v>
      </c>
      <c r="C307" s="1" t="n">
        <v>46083</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7636-2025</t>
        </is>
      </c>
      <c r="B308" s="1" t="n">
        <v>45705.7687962963</v>
      </c>
      <c r="C308" s="1" t="n">
        <v>46083</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7639-2025</t>
        </is>
      </c>
      <c r="B309" s="1" t="n">
        <v>45705.77465277778</v>
      </c>
      <c r="C309" s="1" t="n">
        <v>46083</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46083</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41435-2025</t>
        </is>
      </c>
      <c r="B311" s="1" t="n">
        <v>45901.39974537037</v>
      </c>
      <c r="C311" s="1" t="n">
        <v>46083</v>
      </c>
      <c r="D311" t="inlineStr">
        <is>
          <t>GOTLANDS LÄN</t>
        </is>
      </c>
      <c r="E311" t="inlineStr">
        <is>
          <t>GOTLAND</t>
        </is>
      </c>
      <c r="G311" t="n">
        <v>4.9</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46083</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48734-2022</t>
        </is>
      </c>
      <c r="B313" s="1" t="n">
        <v>44855</v>
      </c>
      <c r="C313" s="1" t="n">
        <v>46083</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14141-2024</t>
        </is>
      </c>
      <c r="B314" s="1" t="n">
        <v>45392.85193287037</v>
      </c>
      <c r="C314" s="1" t="n">
        <v>46083</v>
      </c>
      <c r="D314" t="inlineStr">
        <is>
          <t>GOTLANDS LÄN</t>
        </is>
      </c>
      <c r="E314" t="inlineStr">
        <is>
          <t>GOTLAND</t>
        </is>
      </c>
      <c r="G314" t="n">
        <v>5.3</v>
      </c>
      <c r="H314" t="n">
        <v>0</v>
      </c>
      <c r="I314" t="n">
        <v>0</v>
      </c>
      <c r="J314" t="n">
        <v>0</v>
      </c>
      <c r="K314" t="n">
        <v>0</v>
      </c>
      <c r="L314" t="n">
        <v>0</v>
      </c>
      <c r="M314" t="n">
        <v>0</v>
      </c>
      <c r="N314" t="n">
        <v>0</v>
      </c>
      <c r="O314" t="n">
        <v>0</v>
      </c>
      <c r="P314" t="n">
        <v>0</v>
      </c>
      <c r="Q314" t="n">
        <v>0</v>
      </c>
      <c r="R314" s="2" t="inlineStr"/>
    </row>
    <row r="315" ht="15" customHeight="1">
      <c r="A315" t="inlineStr">
        <is>
          <t>A 41551-2025</t>
        </is>
      </c>
      <c r="B315" s="1" t="n">
        <v>45901.58854166666</v>
      </c>
      <c r="C315" s="1" t="n">
        <v>46083</v>
      </c>
      <c r="D315" t="inlineStr">
        <is>
          <t>GOTLANDS LÄN</t>
        </is>
      </c>
      <c r="E315" t="inlineStr">
        <is>
          <t>GOTLAND</t>
        </is>
      </c>
      <c r="G315" t="n">
        <v>5.6</v>
      </c>
      <c r="H315" t="n">
        <v>0</v>
      </c>
      <c r="I315" t="n">
        <v>0</v>
      </c>
      <c r="J315" t="n">
        <v>0</v>
      </c>
      <c r="K315" t="n">
        <v>0</v>
      </c>
      <c r="L315" t="n">
        <v>0</v>
      </c>
      <c r="M315" t="n">
        <v>0</v>
      </c>
      <c r="N315" t="n">
        <v>0</v>
      </c>
      <c r="O315" t="n">
        <v>0</v>
      </c>
      <c r="P315" t="n">
        <v>0</v>
      </c>
      <c r="Q315" t="n">
        <v>0</v>
      </c>
      <c r="R315" s="2" t="inlineStr"/>
    </row>
    <row r="316" ht="15" customHeight="1">
      <c r="A316" t="inlineStr">
        <is>
          <t>A 29809-2022</t>
        </is>
      </c>
      <c r="B316" s="1" t="n">
        <v>44755.8713425926</v>
      </c>
      <c r="C316" s="1" t="n">
        <v>46083</v>
      </c>
      <c r="D316" t="inlineStr">
        <is>
          <t>GOTLANDS LÄN</t>
        </is>
      </c>
      <c r="E316" t="inlineStr">
        <is>
          <t>GOTLAND</t>
        </is>
      </c>
      <c r="G316" t="n">
        <v>11.5</v>
      </c>
      <c r="H316" t="n">
        <v>0</v>
      </c>
      <c r="I316" t="n">
        <v>0</v>
      </c>
      <c r="J316" t="n">
        <v>0</v>
      </c>
      <c r="K316" t="n">
        <v>0</v>
      </c>
      <c r="L316" t="n">
        <v>0</v>
      </c>
      <c r="M316" t="n">
        <v>0</v>
      </c>
      <c r="N316" t="n">
        <v>0</v>
      </c>
      <c r="O316" t="n">
        <v>0</v>
      </c>
      <c r="P316" t="n">
        <v>0</v>
      </c>
      <c r="Q316" t="n">
        <v>0</v>
      </c>
      <c r="R316" s="2" t="inlineStr"/>
    </row>
    <row r="317" ht="15" customHeight="1">
      <c r="A317" t="inlineStr">
        <is>
          <t>A 57685-2022</t>
        </is>
      </c>
      <c r="B317" s="1" t="n">
        <v>44897.4777662037</v>
      </c>
      <c r="C317" s="1" t="n">
        <v>46083</v>
      </c>
      <c r="D317" t="inlineStr">
        <is>
          <t>GOTLANDS LÄN</t>
        </is>
      </c>
      <c r="E317" t="inlineStr">
        <is>
          <t>GOTLAND</t>
        </is>
      </c>
      <c r="G317" t="n">
        <v>3.7</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46083</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46083</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32379-2025</t>
        </is>
      </c>
      <c r="B320" s="1" t="n">
        <v>45837</v>
      </c>
      <c r="C320" s="1" t="n">
        <v>46083</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7034-2023</t>
        </is>
      </c>
      <c r="B321" s="1" t="n">
        <v>44968.32108796296</v>
      </c>
      <c r="C321" s="1" t="n">
        <v>46083</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7042-2023</t>
        </is>
      </c>
      <c r="B322" s="1" t="n">
        <v>44968</v>
      </c>
      <c r="C322" s="1" t="n">
        <v>46083</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32467-2025</t>
        </is>
      </c>
      <c r="B323" s="1" t="n">
        <v>45838.42111111111</v>
      </c>
      <c r="C323" s="1" t="n">
        <v>46083</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23516-2023</t>
        </is>
      </c>
      <c r="B324" s="1" t="n">
        <v>45076.93391203704</v>
      </c>
      <c r="C324" s="1" t="n">
        <v>46083</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46083</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46083</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63763-2023</t>
        </is>
      </c>
      <c r="B327" s="1" t="n">
        <v>45278.33944444444</v>
      </c>
      <c r="C327" s="1" t="n">
        <v>46083</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33007-2025</t>
        </is>
      </c>
      <c r="B328" s="1" t="n">
        <v>45840</v>
      </c>
      <c r="C328" s="1" t="n">
        <v>46083</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63229-2021</t>
        </is>
      </c>
      <c r="B329" s="1" t="n">
        <v>44508.34518518519</v>
      </c>
      <c r="C329" s="1" t="n">
        <v>46083</v>
      </c>
      <c r="D329" t="inlineStr">
        <is>
          <t>GOTLANDS LÄN</t>
        </is>
      </c>
      <c r="E329" t="inlineStr">
        <is>
          <t>GOTLAND</t>
        </is>
      </c>
      <c r="F329" t="inlineStr">
        <is>
          <t>Kyrkan</t>
        </is>
      </c>
      <c r="G329" t="n">
        <v>3.8</v>
      </c>
      <c r="H329" t="n">
        <v>0</v>
      </c>
      <c r="I329" t="n">
        <v>0</v>
      </c>
      <c r="J329" t="n">
        <v>0</v>
      </c>
      <c r="K329" t="n">
        <v>0</v>
      </c>
      <c r="L329" t="n">
        <v>0</v>
      </c>
      <c r="M329" t="n">
        <v>0</v>
      </c>
      <c r="N329" t="n">
        <v>0</v>
      </c>
      <c r="O329" t="n">
        <v>0</v>
      </c>
      <c r="P329" t="n">
        <v>0</v>
      </c>
      <c r="Q329" t="n">
        <v>0</v>
      </c>
      <c r="R329" s="2" t="inlineStr"/>
    </row>
    <row r="330" ht="15" customHeight="1">
      <c r="A330" t="inlineStr">
        <is>
          <t>A 46375-2024</t>
        </is>
      </c>
      <c r="B330" s="1" t="n">
        <v>45582</v>
      </c>
      <c r="C330" s="1" t="n">
        <v>46083</v>
      </c>
      <c r="D330" t="inlineStr">
        <is>
          <t>GOTLANDS LÄN</t>
        </is>
      </c>
      <c r="E330" t="inlineStr">
        <is>
          <t>GOTLAND</t>
        </is>
      </c>
      <c r="G330" t="n">
        <v>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46083</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1734-2025</t>
        </is>
      </c>
      <c r="B332" s="1" t="n">
        <v>45671.3840625</v>
      </c>
      <c r="C332" s="1" t="n">
        <v>46083</v>
      </c>
      <c r="D332" t="inlineStr">
        <is>
          <t>GOTLANDS LÄN</t>
        </is>
      </c>
      <c r="E332" t="inlineStr">
        <is>
          <t>GOTLAND</t>
        </is>
      </c>
      <c r="G332" t="n">
        <v>1.9</v>
      </c>
      <c r="H332" t="n">
        <v>0</v>
      </c>
      <c r="I332" t="n">
        <v>0</v>
      </c>
      <c r="J332" t="n">
        <v>0</v>
      </c>
      <c r="K332" t="n">
        <v>0</v>
      </c>
      <c r="L332" t="n">
        <v>0</v>
      </c>
      <c r="M332" t="n">
        <v>0</v>
      </c>
      <c r="N332" t="n">
        <v>0</v>
      </c>
      <c r="O332" t="n">
        <v>0</v>
      </c>
      <c r="P332" t="n">
        <v>0</v>
      </c>
      <c r="Q332" t="n">
        <v>0</v>
      </c>
      <c r="R332" s="2" t="inlineStr"/>
    </row>
    <row r="333" ht="15" customHeight="1">
      <c r="A333" t="inlineStr">
        <is>
          <t>A 20993-2023</t>
        </is>
      </c>
      <c r="B333" s="1" t="n">
        <v>45056</v>
      </c>
      <c r="C333" s="1" t="n">
        <v>46083</v>
      </c>
      <c r="D333" t="inlineStr">
        <is>
          <t>GOTLANDS LÄN</t>
        </is>
      </c>
      <c r="E333" t="inlineStr">
        <is>
          <t>GOTLAND</t>
        </is>
      </c>
      <c r="G333" t="n">
        <v>7.1</v>
      </c>
      <c r="H333" t="n">
        <v>0</v>
      </c>
      <c r="I333" t="n">
        <v>0</v>
      </c>
      <c r="J333" t="n">
        <v>0</v>
      </c>
      <c r="K333" t="n">
        <v>0</v>
      </c>
      <c r="L333" t="n">
        <v>0</v>
      </c>
      <c r="M333" t="n">
        <v>0</v>
      </c>
      <c r="N333" t="n">
        <v>0</v>
      </c>
      <c r="O333" t="n">
        <v>0</v>
      </c>
      <c r="P333" t="n">
        <v>0</v>
      </c>
      <c r="Q333" t="n">
        <v>0</v>
      </c>
      <c r="R333" s="2" t="inlineStr"/>
    </row>
    <row r="334" ht="15" customHeight="1">
      <c r="A334" t="inlineStr">
        <is>
          <t>A 10158-2025</t>
        </is>
      </c>
      <c r="B334" s="1" t="n">
        <v>45719</v>
      </c>
      <c r="C334" s="1" t="n">
        <v>46083</v>
      </c>
      <c r="D334" t="inlineStr">
        <is>
          <t>GOTLANDS LÄN</t>
        </is>
      </c>
      <c r="E334" t="inlineStr">
        <is>
          <t>GOTLAND</t>
        </is>
      </c>
      <c r="G334" t="n">
        <v>3.5</v>
      </c>
      <c r="H334" t="n">
        <v>0</v>
      </c>
      <c r="I334" t="n">
        <v>0</v>
      </c>
      <c r="J334" t="n">
        <v>0</v>
      </c>
      <c r="K334" t="n">
        <v>0</v>
      </c>
      <c r="L334" t="n">
        <v>0</v>
      </c>
      <c r="M334" t="n">
        <v>0</v>
      </c>
      <c r="N334" t="n">
        <v>0</v>
      </c>
      <c r="O334" t="n">
        <v>0</v>
      </c>
      <c r="P334" t="n">
        <v>0</v>
      </c>
      <c r="Q334" t="n">
        <v>0</v>
      </c>
      <c r="R334" s="2" t="inlineStr"/>
    </row>
    <row r="335" ht="15" customHeight="1">
      <c r="A335" t="inlineStr">
        <is>
          <t>A 15413-2025</t>
        </is>
      </c>
      <c r="B335" s="1" t="n">
        <v>45747.451875</v>
      </c>
      <c r="C335" s="1" t="n">
        <v>46083</v>
      </c>
      <c r="D335" t="inlineStr">
        <is>
          <t>GOTLANDS LÄN</t>
        </is>
      </c>
      <c r="E335" t="inlineStr">
        <is>
          <t>GOTLAND</t>
        </is>
      </c>
      <c r="G335" t="n">
        <v>0.6</v>
      </c>
      <c r="H335" t="n">
        <v>0</v>
      </c>
      <c r="I335" t="n">
        <v>0</v>
      </c>
      <c r="J335" t="n">
        <v>0</v>
      </c>
      <c r="K335" t="n">
        <v>0</v>
      </c>
      <c r="L335" t="n">
        <v>0</v>
      </c>
      <c r="M335" t="n">
        <v>0</v>
      </c>
      <c r="N335" t="n">
        <v>0</v>
      </c>
      <c r="O335" t="n">
        <v>0</v>
      </c>
      <c r="P335" t="n">
        <v>0</v>
      </c>
      <c r="Q335" t="n">
        <v>0</v>
      </c>
      <c r="R335" s="2" t="inlineStr"/>
    </row>
    <row r="336" ht="15" customHeight="1">
      <c r="A336" t="inlineStr">
        <is>
          <t>A 35123-2025</t>
        </is>
      </c>
      <c r="B336" s="1" t="n">
        <v>45852.614375</v>
      </c>
      <c r="C336" s="1" t="n">
        <v>46083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46083</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46083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35096-2025</t>
        </is>
      </c>
      <c r="B339" s="1" t="n">
        <v>45852.54356481481</v>
      </c>
      <c r="C339" s="1" t="n">
        <v>46083</v>
      </c>
      <c r="D339" t="inlineStr">
        <is>
          <t>GOTLANDS LÄN</t>
        </is>
      </c>
      <c r="E339" t="inlineStr">
        <is>
          <t>GOTLAND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12155-2023</t>
        </is>
      </c>
      <c r="B340" s="1" t="n">
        <v>44998.49106481481</v>
      </c>
      <c r="C340" s="1" t="n">
        <v>46083</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457-2023</t>
        </is>
      </c>
      <c r="B341" s="1" t="n">
        <v>44929.87238425926</v>
      </c>
      <c r="C341" s="1" t="n">
        <v>46083</v>
      </c>
      <c r="D341" t="inlineStr">
        <is>
          <t>GOTLANDS LÄN</t>
        </is>
      </c>
      <c r="E341" t="inlineStr">
        <is>
          <t>GOTLAND</t>
        </is>
      </c>
      <c r="G341" t="n">
        <v>2.4</v>
      </c>
      <c r="H341" t="n">
        <v>0</v>
      </c>
      <c r="I341" t="n">
        <v>0</v>
      </c>
      <c r="J341" t="n">
        <v>0</v>
      </c>
      <c r="K341" t="n">
        <v>0</v>
      </c>
      <c r="L341" t="n">
        <v>0</v>
      </c>
      <c r="M341" t="n">
        <v>0</v>
      </c>
      <c r="N341" t="n">
        <v>0</v>
      </c>
      <c r="O341" t="n">
        <v>0</v>
      </c>
      <c r="P341" t="n">
        <v>0</v>
      </c>
      <c r="Q341" t="n">
        <v>0</v>
      </c>
      <c r="R341" s="2" t="inlineStr"/>
    </row>
    <row r="342" ht="15" customHeight="1">
      <c r="A342" t="inlineStr">
        <is>
          <t>A 459-2023</t>
        </is>
      </c>
      <c r="B342" s="1" t="n">
        <v>44929.87423611111</v>
      </c>
      <c r="C342" s="1" t="n">
        <v>46083</v>
      </c>
      <c r="D342" t="inlineStr">
        <is>
          <t>GOTLANDS LÄN</t>
        </is>
      </c>
      <c r="E342" t="inlineStr">
        <is>
          <t>GOTLAND</t>
        </is>
      </c>
      <c r="G342" t="n">
        <v>4.2</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46083</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46083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43911-2025</t>
        </is>
      </c>
      <c r="B345" s="1" t="n">
        <v>45914.3881712963</v>
      </c>
      <c r="C345" s="1" t="n">
        <v>46083</v>
      </c>
      <c r="D345" t="inlineStr">
        <is>
          <t>GOTLANDS LÄN</t>
        </is>
      </c>
      <c r="E345" t="inlineStr">
        <is>
          <t>GOTLAND</t>
        </is>
      </c>
      <c r="G345" t="n">
        <v>1.9</v>
      </c>
      <c r="H345" t="n">
        <v>0</v>
      </c>
      <c r="I345" t="n">
        <v>0</v>
      </c>
      <c r="J345" t="n">
        <v>0</v>
      </c>
      <c r="K345" t="n">
        <v>0</v>
      </c>
      <c r="L345" t="n">
        <v>0</v>
      </c>
      <c r="M345" t="n">
        <v>0</v>
      </c>
      <c r="N345" t="n">
        <v>0</v>
      </c>
      <c r="O345" t="n">
        <v>0</v>
      </c>
      <c r="P345" t="n">
        <v>0</v>
      </c>
      <c r="Q345" t="n">
        <v>0</v>
      </c>
      <c r="R345" s="2" t="inlineStr"/>
    </row>
    <row r="346" ht="15" customHeight="1">
      <c r="A346" t="inlineStr">
        <is>
          <t>A 44410-2025</t>
        </is>
      </c>
      <c r="B346" s="1" t="n">
        <v>45916.53699074074</v>
      </c>
      <c r="C346" s="1" t="n">
        <v>46083</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35290-2025</t>
        </is>
      </c>
      <c r="B347" s="1" t="n">
        <v>45854.38502314815</v>
      </c>
      <c r="C347" s="1" t="n">
        <v>46083</v>
      </c>
      <c r="D347" t="inlineStr">
        <is>
          <t>GOTLANDS LÄN</t>
        </is>
      </c>
      <c r="E347" t="inlineStr">
        <is>
          <t>GOTLAND</t>
        </is>
      </c>
      <c r="G347" t="n">
        <v>5.4</v>
      </c>
      <c r="H347" t="n">
        <v>0</v>
      </c>
      <c r="I347" t="n">
        <v>0</v>
      </c>
      <c r="J347" t="n">
        <v>0</v>
      </c>
      <c r="K347" t="n">
        <v>0</v>
      </c>
      <c r="L347" t="n">
        <v>0</v>
      </c>
      <c r="M347" t="n">
        <v>0</v>
      </c>
      <c r="N347" t="n">
        <v>0</v>
      </c>
      <c r="O347" t="n">
        <v>0</v>
      </c>
      <c r="P347" t="n">
        <v>0</v>
      </c>
      <c r="Q347" t="n">
        <v>0</v>
      </c>
      <c r="R347" s="2" t="inlineStr"/>
    </row>
    <row r="348" ht="15" customHeight="1">
      <c r="A348" t="inlineStr">
        <is>
          <t>A 32669-2024</t>
        </is>
      </c>
      <c r="B348" s="1" t="n">
        <v>45514</v>
      </c>
      <c r="C348" s="1" t="n">
        <v>46083</v>
      </c>
      <c r="D348" t="inlineStr">
        <is>
          <t>GOTLANDS LÄN</t>
        </is>
      </c>
      <c r="E348" t="inlineStr">
        <is>
          <t>GOTLAND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46083</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35537-2025</t>
        </is>
      </c>
      <c r="B350" s="1" t="n">
        <v>45856</v>
      </c>
      <c r="C350" s="1" t="n">
        <v>46083</v>
      </c>
      <c r="D350" t="inlineStr">
        <is>
          <t>GOTLANDS LÄN</t>
        </is>
      </c>
      <c r="E350" t="inlineStr">
        <is>
          <t>GOTLAND</t>
        </is>
      </c>
      <c r="G350" t="n">
        <v>16.8</v>
      </c>
      <c r="H350" t="n">
        <v>0</v>
      </c>
      <c r="I350" t="n">
        <v>0</v>
      </c>
      <c r="J350" t="n">
        <v>0</v>
      </c>
      <c r="K350" t="n">
        <v>0</v>
      </c>
      <c r="L350" t="n">
        <v>0</v>
      </c>
      <c r="M350" t="n">
        <v>0</v>
      </c>
      <c r="N350" t="n">
        <v>0</v>
      </c>
      <c r="O350" t="n">
        <v>0</v>
      </c>
      <c r="P350" t="n">
        <v>0</v>
      </c>
      <c r="Q350" t="n">
        <v>0</v>
      </c>
      <c r="R350" s="2" t="inlineStr"/>
    </row>
    <row r="351" ht="15" customHeight="1">
      <c r="A351" t="inlineStr">
        <is>
          <t>A 50744-2024</t>
        </is>
      </c>
      <c r="B351" s="1" t="n">
        <v>45602.4187037037</v>
      </c>
      <c r="C351" s="1" t="n">
        <v>46083</v>
      </c>
      <c r="D351" t="inlineStr">
        <is>
          <t>GOTLANDS LÄN</t>
        </is>
      </c>
      <c r="E351" t="inlineStr">
        <is>
          <t>GOTLAND</t>
        </is>
      </c>
      <c r="G351" t="n">
        <v>3.2</v>
      </c>
      <c r="H351" t="n">
        <v>0</v>
      </c>
      <c r="I351" t="n">
        <v>0</v>
      </c>
      <c r="J351" t="n">
        <v>0</v>
      </c>
      <c r="K351" t="n">
        <v>0</v>
      </c>
      <c r="L351" t="n">
        <v>0</v>
      </c>
      <c r="M351" t="n">
        <v>0</v>
      </c>
      <c r="N351" t="n">
        <v>0</v>
      </c>
      <c r="O351" t="n">
        <v>0</v>
      </c>
      <c r="P351" t="n">
        <v>0</v>
      </c>
      <c r="Q351" t="n">
        <v>0</v>
      </c>
      <c r="R351" s="2" t="inlineStr"/>
    </row>
    <row r="352" ht="15" customHeight="1">
      <c r="A352" t="inlineStr">
        <is>
          <t>A 44405-2025</t>
        </is>
      </c>
      <c r="B352" s="1" t="n">
        <v>45916.52405092592</v>
      </c>
      <c r="C352" s="1" t="n">
        <v>46083</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53934-2024</t>
        </is>
      </c>
      <c r="B353" s="1" t="n">
        <v>45615</v>
      </c>
      <c r="C353" s="1" t="n">
        <v>46083</v>
      </c>
      <c r="D353" t="inlineStr">
        <is>
          <t>GOTLANDS LÄN</t>
        </is>
      </c>
      <c r="E353" t="inlineStr">
        <is>
          <t>GOTLAND</t>
        </is>
      </c>
      <c r="G353" t="n">
        <v>5</v>
      </c>
      <c r="H353" t="n">
        <v>0</v>
      </c>
      <c r="I353" t="n">
        <v>0</v>
      </c>
      <c r="J353" t="n">
        <v>0</v>
      </c>
      <c r="K353" t="n">
        <v>0</v>
      </c>
      <c r="L353" t="n">
        <v>0</v>
      </c>
      <c r="M353" t="n">
        <v>0</v>
      </c>
      <c r="N353" t="n">
        <v>0</v>
      </c>
      <c r="O353" t="n">
        <v>0</v>
      </c>
      <c r="P353" t="n">
        <v>0</v>
      </c>
      <c r="Q353" t="n">
        <v>0</v>
      </c>
      <c r="R353" s="2" t="inlineStr"/>
    </row>
    <row r="354" ht="15" customHeight="1">
      <c r="A354" t="inlineStr">
        <is>
          <t>A 15216-2025</t>
        </is>
      </c>
      <c r="B354" s="1" t="n">
        <v>45744</v>
      </c>
      <c r="C354" s="1" t="n">
        <v>46083</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43790-2024</t>
        </is>
      </c>
      <c r="B355" s="1" t="n">
        <v>45571</v>
      </c>
      <c r="C355" s="1" t="n">
        <v>46083</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15001-2025</t>
        </is>
      </c>
      <c r="B356" s="1" t="n">
        <v>45743</v>
      </c>
      <c r="C356" s="1" t="n">
        <v>46083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46083</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17847-2025</t>
        </is>
      </c>
      <c r="B358" s="1" t="n">
        <v>45758</v>
      </c>
      <c r="C358" s="1" t="n">
        <v>46083</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18742-2025</t>
        </is>
      </c>
      <c r="B359" s="1" t="n">
        <v>45763</v>
      </c>
      <c r="C359" s="1" t="n">
        <v>46083</v>
      </c>
      <c r="D359" t="inlineStr">
        <is>
          <t>GOTLANDS LÄN</t>
        </is>
      </c>
      <c r="E359" t="inlineStr">
        <is>
          <t>GOTLAND</t>
        </is>
      </c>
      <c r="G359" t="n">
        <v>3.4</v>
      </c>
      <c r="H359" t="n">
        <v>0</v>
      </c>
      <c r="I359" t="n">
        <v>0</v>
      </c>
      <c r="J359" t="n">
        <v>0</v>
      </c>
      <c r="K359" t="n">
        <v>0</v>
      </c>
      <c r="L359" t="n">
        <v>0</v>
      </c>
      <c r="M359" t="n">
        <v>0</v>
      </c>
      <c r="N359" t="n">
        <v>0</v>
      </c>
      <c r="O359" t="n">
        <v>0</v>
      </c>
      <c r="P359" t="n">
        <v>0</v>
      </c>
      <c r="Q359" t="n">
        <v>0</v>
      </c>
      <c r="R359" s="2" t="inlineStr"/>
    </row>
    <row r="360" ht="15" customHeight="1">
      <c r="A360" t="inlineStr">
        <is>
          <t>A 35129-2025</t>
        </is>
      </c>
      <c r="B360" s="1" t="n">
        <v>45852.63224537037</v>
      </c>
      <c r="C360" s="1" t="n">
        <v>46083</v>
      </c>
      <c r="D360" t="inlineStr">
        <is>
          <t>GOTLANDS LÄN</t>
        </is>
      </c>
      <c r="E360" t="inlineStr">
        <is>
          <t>GOTLAND</t>
        </is>
      </c>
      <c r="G360" t="n">
        <v>3.2</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46083</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26391-2025</t>
        </is>
      </c>
      <c r="B362" s="1" t="n">
        <v>45806</v>
      </c>
      <c r="C362" s="1" t="n">
        <v>46083</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31264-2021</t>
        </is>
      </c>
      <c r="B363" s="1" t="n">
        <v>44368</v>
      </c>
      <c r="C363" s="1" t="n">
        <v>46083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46836-2025</t>
        </is>
      </c>
      <c r="B364" s="1" t="n">
        <v>45928.31511574074</v>
      </c>
      <c r="C364" s="1" t="n">
        <v>46083</v>
      </c>
      <c r="D364" t="inlineStr">
        <is>
          <t>GOTLANDS LÄN</t>
        </is>
      </c>
      <c r="E364" t="inlineStr">
        <is>
          <t>GOTLAND</t>
        </is>
      </c>
      <c r="G364" t="n">
        <v>2.8</v>
      </c>
      <c r="H364" t="n">
        <v>0</v>
      </c>
      <c r="I364" t="n">
        <v>0</v>
      </c>
      <c r="J364" t="n">
        <v>0</v>
      </c>
      <c r="K364" t="n">
        <v>0</v>
      </c>
      <c r="L364" t="n">
        <v>0</v>
      </c>
      <c r="M364" t="n">
        <v>0</v>
      </c>
      <c r="N364" t="n">
        <v>0</v>
      </c>
      <c r="O364" t="n">
        <v>0</v>
      </c>
      <c r="P364" t="n">
        <v>0</v>
      </c>
      <c r="Q364" t="n">
        <v>0</v>
      </c>
      <c r="R364" s="2" t="inlineStr"/>
    </row>
    <row r="365" ht="15" customHeight="1">
      <c r="A365" t="inlineStr">
        <is>
          <t>A 43901-2023</t>
        </is>
      </c>
      <c r="B365" s="1" t="n">
        <v>45187</v>
      </c>
      <c r="C365" s="1" t="n">
        <v>46083</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10746-2025</t>
        </is>
      </c>
      <c r="B366" s="1" t="n">
        <v>45722.42766203704</v>
      </c>
      <c r="C366" s="1" t="n">
        <v>46083</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16501-2023</t>
        </is>
      </c>
      <c r="B367" s="1" t="n">
        <v>45029</v>
      </c>
      <c r="C367" s="1" t="n">
        <v>46083</v>
      </c>
      <c r="D367" t="inlineStr">
        <is>
          <t>GOTLANDS LÄN</t>
        </is>
      </c>
      <c r="E367" t="inlineStr">
        <is>
          <t>GOTLAND</t>
        </is>
      </c>
      <c r="G367" t="n">
        <v>3.1</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46083</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61962-2024</t>
        </is>
      </c>
      <c r="B369" s="1" t="n">
        <v>45653.54340277778</v>
      </c>
      <c r="C369" s="1" t="n">
        <v>46083</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10492-2023</t>
        </is>
      </c>
      <c r="B370" s="1" t="n">
        <v>44987</v>
      </c>
      <c r="C370" s="1" t="n">
        <v>46083</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6108-2025</t>
        </is>
      </c>
      <c r="B371" s="1" t="n">
        <v>45698.29880787037</v>
      </c>
      <c r="C371" s="1" t="n">
        <v>46083</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21142-2025</t>
        </is>
      </c>
      <c r="B372" s="1" t="n">
        <v>45779</v>
      </c>
      <c r="C372" s="1" t="n">
        <v>46083</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5909-2025</t>
        </is>
      </c>
      <c r="B373" s="1" t="n">
        <v>45695.40634259259</v>
      </c>
      <c r="C373" s="1" t="n">
        <v>46083</v>
      </c>
      <c r="D373" t="inlineStr">
        <is>
          <t>GOTLANDS LÄN</t>
        </is>
      </c>
      <c r="E373" t="inlineStr">
        <is>
          <t>GOTLAND</t>
        </is>
      </c>
      <c r="G373" t="n">
        <v>2.9</v>
      </c>
      <c r="H373" t="n">
        <v>0</v>
      </c>
      <c r="I373" t="n">
        <v>0</v>
      </c>
      <c r="J373" t="n">
        <v>0</v>
      </c>
      <c r="K373" t="n">
        <v>0</v>
      </c>
      <c r="L373" t="n">
        <v>0</v>
      </c>
      <c r="M373" t="n">
        <v>0</v>
      </c>
      <c r="N373" t="n">
        <v>0</v>
      </c>
      <c r="O373" t="n">
        <v>0</v>
      </c>
      <c r="P373" t="n">
        <v>0</v>
      </c>
      <c r="Q373" t="n">
        <v>0</v>
      </c>
      <c r="R373" s="2" t="inlineStr"/>
    </row>
    <row r="374" ht="15" customHeight="1">
      <c r="A374" t="inlineStr">
        <is>
          <t>A 10653-2023</t>
        </is>
      </c>
      <c r="B374" s="1" t="n">
        <v>44988.48859953704</v>
      </c>
      <c r="C374" s="1" t="n">
        <v>46083</v>
      </c>
      <c r="D374" t="inlineStr">
        <is>
          <t>GOTLANDS LÄN</t>
        </is>
      </c>
      <c r="E374" t="inlineStr">
        <is>
          <t>GOTLAND</t>
        </is>
      </c>
      <c r="F374" t="inlineStr">
        <is>
          <t>Kyrkan</t>
        </is>
      </c>
      <c r="G374" t="n">
        <v>3</v>
      </c>
      <c r="H374" t="n">
        <v>0</v>
      </c>
      <c r="I374" t="n">
        <v>0</v>
      </c>
      <c r="J374" t="n">
        <v>0</v>
      </c>
      <c r="K374" t="n">
        <v>0</v>
      </c>
      <c r="L374" t="n">
        <v>0</v>
      </c>
      <c r="M374" t="n">
        <v>0</v>
      </c>
      <c r="N374" t="n">
        <v>0</v>
      </c>
      <c r="O374" t="n">
        <v>0</v>
      </c>
      <c r="P374" t="n">
        <v>0</v>
      </c>
      <c r="Q374" t="n">
        <v>0</v>
      </c>
      <c r="R374" s="2" t="inlineStr"/>
    </row>
    <row r="375" ht="15" customHeight="1">
      <c r="A375" t="inlineStr">
        <is>
          <t>A 17343-2025</t>
        </is>
      </c>
      <c r="B375" s="1" t="n">
        <v>45756.6687037037</v>
      </c>
      <c r="C375" s="1" t="n">
        <v>46083</v>
      </c>
      <c r="D375" t="inlineStr">
        <is>
          <t>GOTLANDS LÄN</t>
        </is>
      </c>
      <c r="E375" t="inlineStr">
        <is>
          <t>GOTLAND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18938-2025</t>
        </is>
      </c>
      <c r="B376" s="1" t="n">
        <v>45764.49172453704</v>
      </c>
      <c r="C376" s="1" t="n">
        <v>46083</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4990-2025</t>
        </is>
      </c>
      <c r="B377" s="1" t="n">
        <v>45691</v>
      </c>
      <c r="C377" s="1" t="n">
        <v>46083</v>
      </c>
      <c r="D377" t="inlineStr">
        <is>
          <t>GOTLANDS LÄN</t>
        </is>
      </c>
      <c r="E377" t="inlineStr">
        <is>
          <t>GOTLAND</t>
        </is>
      </c>
      <c r="G377" t="n">
        <v>7.7</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46083</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30489-2025</t>
        </is>
      </c>
      <c r="B379" s="1" t="n">
        <v>45830</v>
      </c>
      <c r="C379" s="1" t="n">
        <v>46083</v>
      </c>
      <c r="D379" t="inlineStr">
        <is>
          <t>GOTLANDS LÄN</t>
        </is>
      </c>
      <c r="E379" t="inlineStr">
        <is>
          <t>GOTLAND</t>
        </is>
      </c>
      <c r="G379" t="n">
        <v>4.6</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46083</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43081-2022</t>
        </is>
      </c>
      <c r="B381" s="1" t="n">
        <v>44833</v>
      </c>
      <c r="C381" s="1" t="n">
        <v>46083</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32958-2021</t>
        </is>
      </c>
      <c r="B382" s="1" t="n">
        <v>44376</v>
      </c>
      <c r="C382" s="1" t="n">
        <v>46083</v>
      </c>
      <c r="D382" t="inlineStr">
        <is>
          <t>GOTLANDS LÄN</t>
        </is>
      </c>
      <c r="E382" t="inlineStr">
        <is>
          <t>GOTLAND</t>
        </is>
      </c>
      <c r="G382" t="n">
        <v>2.2</v>
      </c>
      <c r="H382" t="n">
        <v>0</v>
      </c>
      <c r="I382" t="n">
        <v>0</v>
      </c>
      <c r="J382" t="n">
        <v>0</v>
      </c>
      <c r="K382" t="n">
        <v>0</v>
      </c>
      <c r="L382" t="n">
        <v>0</v>
      </c>
      <c r="M382" t="n">
        <v>0</v>
      </c>
      <c r="N382" t="n">
        <v>0</v>
      </c>
      <c r="O382" t="n">
        <v>0</v>
      </c>
      <c r="P382" t="n">
        <v>0</v>
      </c>
      <c r="Q382" t="n">
        <v>0</v>
      </c>
      <c r="R382" s="2" t="inlineStr"/>
    </row>
    <row r="383" ht="15" customHeight="1">
      <c r="A383" t="inlineStr">
        <is>
          <t>A 32378-2025</t>
        </is>
      </c>
      <c r="B383" s="1" t="n">
        <v>45837</v>
      </c>
      <c r="C383" s="1" t="n">
        <v>46083</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5884-2025</t>
        </is>
      </c>
      <c r="B384" s="1" t="n">
        <v>45695.37482638889</v>
      </c>
      <c r="C384" s="1" t="n">
        <v>46083</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5897-2025</t>
        </is>
      </c>
      <c r="B385" s="1" t="n">
        <v>45695.39273148148</v>
      </c>
      <c r="C385" s="1" t="n">
        <v>46083</v>
      </c>
      <c r="D385" t="inlineStr">
        <is>
          <t>GOTLANDS LÄN</t>
        </is>
      </c>
      <c r="E385" t="inlineStr">
        <is>
          <t>GOTLAND</t>
        </is>
      </c>
      <c r="G385" t="n">
        <v>3.7</v>
      </c>
      <c r="H385" t="n">
        <v>0</v>
      </c>
      <c r="I385" t="n">
        <v>0</v>
      </c>
      <c r="J385" t="n">
        <v>0</v>
      </c>
      <c r="K385" t="n">
        <v>0</v>
      </c>
      <c r="L385" t="n">
        <v>0</v>
      </c>
      <c r="M385" t="n">
        <v>0</v>
      </c>
      <c r="N385" t="n">
        <v>0</v>
      </c>
      <c r="O385" t="n">
        <v>0</v>
      </c>
      <c r="P385" t="n">
        <v>0</v>
      </c>
      <c r="Q385" t="n">
        <v>0</v>
      </c>
      <c r="R385" s="2" t="inlineStr"/>
    </row>
    <row r="386" ht="15" customHeight="1">
      <c r="A386" t="inlineStr">
        <is>
          <t>A 49693-2023</t>
        </is>
      </c>
      <c r="B386" s="1" t="n">
        <v>45212.38138888889</v>
      </c>
      <c r="C386" s="1" t="n">
        <v>46083</v>
      </c>
      <c r="D386" t="inlineStr">
        <is>
          <t>GOTLANDS LÄN</t>
        </is>
      </c>
      <c r="E386" t="inlineStr">
        <is>
          <t>GOTLAND</t>
        </is>
      </c>
      <c r="G386" t="n">
        <v>2.4</v>
      </c>
      <c r="H386" t="n">
        <v>0</v>
      </c>
      <c r="I386" t="n">
        <v>0</v>
      </c>
      <c r="J386" t="n">
        <v>0</v>
      </c>
      <c r="K386" t="n">
        <v>0</v>
      </c>
      <c r="L386" t="n">
        <v>0</v>
      </c>
      <c r="M386" t="n">
        <v>0</v>
      </c>
      <c r="N386" t="n">
        <v>0</v>
      </c>
      <c r="O386" t="n">
        <v>0</v>
      </c>
      <c r="P386" t="n">
        <v>0</v>
      </c>
      <c r="Q386" t="n">
        <v>0</v>
      </c>
      <c r="R386" s="2" t="inlineStr"/>
    </row>
    <row r="387" ht="15" customHeight="1">
      <c r="A387" t="inlineStr">
        <is>
          <t>A 49697-2023</t>
        </is>
      </c>
      <c r="B387" s="1" t="n">
        <v>45212.38909722222</v>
      </c>
      <c r="C387" s="1" t="n">
        <v>46083</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35550-2025</t>
        </is>
      </c>
      <c r="B388" s="1" t="n">
        <v>45856.49324074074</v>
      </c>
      <c r="C388" s="1" t="n">
        <v>46083</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17901-2023</t>
        </is>
      </c>
      <c r="B389" s="1" t="n">
        <v>45039</v>
      </c>
      <c r="C389" s="1" t="n">
        <v>46083</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47578-2025</t>
        </is>
      </c>
      <c r="B390" s="1" t="n">
        <v>45931</v>
      </c>
      <c r="C390" s="1" t="n">
        <v>46083</v>
      </c>
      <c r="D390" t="inlineStr">
        <is>
          <t>GOTLANDS LÄN</t>
        </is>
      </c>
      <c r="E390" t="inlineStr">
        <is>
          <t>GOTLAND</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46083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49724-2025</t>
        </is>
      </c>
      <c r="B392" s="1" t="n">
        <v>45939.83730324074</v>
      </c>
      <c r="C392" s="1" t="n">
        <v>46083</v>
      </c>
      <c r="D392" t="inlineStr">
        <is>
          <t>GOTLANDS LÄN</t>
        </is>
      </c>
      <c r="E392" t="inlineStr">
        <is>
          <t>GOTLAND</t>
        </is>
      </c>
      <c r="F392" t="inlineStr">
        <is>
          <t>Kyrkan</t>
        </is>
      </c>
      <c r="G392" t="n">
        <v>3.1</v>
      </c>
      <c r="H392" t="n">
        <v>0</v>
      </c>
      <c r="I392" t="n">
        <v>0</v>
      </c>
      <c r="J392" t="n">
        <v>0</v>
      </c>
      <c r="K392" t="n">
        <v>0</v>
      </c>
      <c r="L392" t="n">
        <v>0</v>
      </c>
      <c r="M392" t="n">
        <v>0</v>
      </c>
      <c r="N392" t="n">
        <v>0</v>
      </c>
      <c r="O392" t="n">
        <v>0</v>
      </c>
      <c r="P392" t="n">
        <v>0</v>
      </c>
      <c r="Q392" t="n">
        <v>0</v>
      </c>
      <c r="R392" s="2" t="inlineStr"/>
    </row>
    <row r="393" ht="15" customHeight="1">
      <c r="A393" t="inlineStr">
        <is>
          <t>A 49730-2025</t>
        </is>
      </c>
      <c r="B393" s="1" t="n">
        <v>45939.87613425926</v>
      </c>
      <c r="C393" s="1" t="n">
        <v>46083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46396-2023</t>
        </is>
      </c>
      <c r="B394" s="1" t="n">
        <v>45197</v>
      </c>
      <c r="C394" s="1" t="n">
        <v>46083</v>
      </c>
      <c r="D394" t="inlineStr">
        <is>
          <t>GOTLANDS LÄN</t>
        </is>
      </c>
      <c r="E394" t="inlineStr">
        <is>
          <t>GOTLAND</t>
        </is>
      </c>
      <c r="G394" t="n">
        <v>1.4</v>
      </c>
      <c r="H394" t="n">
        <v>0</v>
      </c>
      <c r="I394" t="n">
        <v>0</v>
      </c>
      <c r="J394" t="n">
        <v>0</v>
      </c>
      <c r="K394" t="n">
        <v>0</v>
      </c>
      <c r="L394" t="n">
        <v>0</v>
      </c>
      <c r="M394" t="n">
        <v>0</v>
      </c>
      <c r="N394" t="n">
        <v>0</v>
      </c>
      <c r="O394" t="n">
        <v>0</v>
      </c>
      <c r="P394" t="n">
        <v>0</v>
      </c>
      <c r="Q394" t="n">
        <v>0</v>
      </c>
      <c r="R394" s="2" t="inlineStr"/>
    </row>
    <row r="395" ht="15" customHeight="1">
      <c r="A395" t="inlineStr">
        <is>
          <t>A 49690-2025</t>
        </is>
      </c>
      <c r="B395" s="1" t="n">
        <v>45939.66730324074</v>
      </c>
      <c r="C395" s="1" t="n">
        <v>46083</v>
      </c>
      <c r="D395" t="inlineStr">
        <is>
          <t>GOTLANDS LÄN</t>
        </is>
      </c>
      <c r="E395" t="inlineStr">
        <is>
          <t>GOTLAND</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33011-2025</t>
        </is>
      </c>
      <c r="B396" s="1" t="n">
        <v>45840</v>
      </c>
      <c r="C396" s="1" t="n">
        <v>46083</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17724-2024</t>
        </is>
      </c>
      <c r="B397" s="1" t="n">
        <v>45418.55096064815</v>
      </c>
      <c r="C397" s="1" t="n">
        <v>46083</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34312-2024</t>
        </is>
      </c>
      <c r="B398" s="1" t="n">
        <v>45524.69703703704</v>
      </c>
      <c r="C398" s="1" t="n">
        <v>46083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50421-2025</t>
        </is>
      </c>
      <c r="B399" s="1" t="n">
        <v>45944.66049768519</v>
      </c>
      <c r="C399" s="1" t="n">
        <v>46083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20356-2022</t>
        </is>
      </c>
      <c r="B400" s="1" t="n">
        <v>44699</v>
      </c>
      <c r="C400" s="1" t="n">
        <v>46083</v>
      </c>
      <c r="D400" t="inlineStr">
        <is>
          <t>GOTLANDS LÄN</t>
        </is>
      </c>
      <c r="E400" t="inlineStr">
        <is>
          <t>GOTLAND</t>
        </is>
      </c>
      <c r="F400" t="inlineStr">
        <is>
          <t>Övriga Aktiebolag</t>
        </is>
      </c>
      <c r="G400" t="n">
        <v>4.4</v>
      </c>
      <c r="H400" t="n">
        <v>0</v>
      </c>
      <c r="I400" t="n">
        <v>0</v>
      </c>
      <c r="J400" t="n">
        <v>0</v>
      </c>
      <c r="K400" t="n">
        <v>0</v>
      </c>
      <c r="L400" t="n">
        <v>0</v>
      </c>
      <c r="M400" t="n">
        <v>0</v>
      </c>
      <c r="N400" t="n">
        <v>0</v>
      </c>
      <c r="O400" t="n">
        <v>0</v>
      </c>
      <c r="P400" t="n">
        <v>0</v>
      </c>
      <c r="Q400" t="n">
        <v>0</v>
      </c>
      <c r="R400" s="2" t="inlineStr"/>
    </row>
    <row r="401" ht="15" customHeight="1">
      <c r="A401" t="inlineStr">
        <is>
          <t>A 50431-2025</t>
        </is>
      </c>
      <c r="B401" s="1" t="n">
        <v>45944.68453703704</v>
      </c>
      <c r="C401" s="1" t="n">
        <v>46083</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69112-2021</t>
        </is>
      </c>
      <c r="B402" s="1" t="n">
        <v>44530</v>
      </c>
      <c r="C402" s="1" t="n">
        <v>46083</v>
      </c>
      <c r="D402" t="inlineStr">
        <is>
          <t>GOTLANDS LÄN</t>
        </is>
      </c>
      <c r="E402" t="inlineStr">
        <is>
          <t>GOTLAND</t>
        </is>
      </c>
      <c r="G402" t="n">
        <v>4.2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46083</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7638-2025</t>
        </is>
      </c>
      <c r="B404" s="1" t="n">
        <v>45705.77306712963</v>
      </c>
      <c r="C404" s="1" t="n">
        <v>46083</v>
      </c>
      <c r="D404" t="inlineStr">
        <is>
          <t>GOTLANDS LÄN</t>
        </is>
      </c>
      <c r="E404" t="inlineStr">
        <is>
          <t>GOTLAND</t>
        </is>
      </c>
      <c r="G404" t="n">
        <v>2.2</v>
      </c>
      <c r="H404" t="n">
        <v>0</v>
      </c>
      <c r="I404" t="n">
        <v>0</v>
      </c>
      <c r="J404" t="n">
        <v>0</v>
      </c>
      <c r="K404" t="n">
        <v>0</v>
      </c>
      <c r="L404" t="n">
        <v>0</v>
      </c>
      <c r="M404" t="n">
        <v>0</v>
      </c>
      <c r="N404" t="n">
        <v>0</v>
      </c>
      <c r="O404" t="n">
        <v>0</v>
      </c>
      <c r="P404" t="n">
        <v>0</v>
      </c>
      <c r="Q404" t="n">
        <v>0</v>
      </c>
      <c r="R404" s="2" t="inlineStr"/>
    </row>
    <row r="405" ht="15" customHeight="1">
      <c r="A405" t="inlineStr">
        <is>
          <t>A 50482-2024</t>
        </is>
      </c>
      <c r="B405" s="1" t="n">
        <v>45601.48114583334</v>
      </c>
      <c r="C405" s="1" t="n">
        <v>46083</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46083</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58230-2024</t>
        </is>
      </c>
      <c r="B407" s="1" t="n">
        <v>45632.51625</v>
      </c>
      <c r="C407" s="1" t="n">
        <v>46083</v>
      </c>
      <c r="D407" t="inlineStr">
        <is>
          <t>GOTLANDS LÄN</t>
        </is>
      </c>
      <c r="E407" t="inlineStr">
        <is>
          <t>GOTLAND</t>
        </is>
      </c>
      <c r="G407" t="n">
        <v>7.3</v>
      </c>
      <c r="H407" t="n">
        <v>0</v>
      </c>
      <c r="I407" t="n">
        <v>0</v>
      </c>
      <c r="J407" t="n">
        <v>0</v>
      </c>
      <c r="K407" t="n">
        <v>0</v>
      </c>
      <c r="L407" t="n">
        <v>0</v>
      </c>
      <c r="M407" t="n">
        <v>0</v>
      </c>
      <c r="N407" t="n">
        <v>0</v>
      </c>
      <c r="O407" t="n">
        <v>0</v>
      </c>
      <c r="P407" t="n">
        <v>0</v>
      </c>
      <c r="Q407" t="n">
        <v>0</v>
      </c>
      <c r="R407" s="2" t="inlineStr"/>
    </row>
    <row r="408" ht="15" customHeight="1">
      <c r="A408" t="inlineStr">
        <is>
          <t>A 1462-2025</t>
        </is>
      </c>
      <c r="B408" s="1" t="n">
        <v>45670.36319444444</v>
      </c>
      <c r="C408" s="1" t="n">
        <v>46083</v>
      </c>
      <c r="D408" t="inlineStr">
        <is>
          <t>GOTLANDS LÄN</t>
        </is>
      </c>
      <c r="E408" t="inlineStr">
        <is>
          <t>GOTLAND</t>
        </is>
      </c>
      <c r="G408" t="n">
        <v>2.8</v>
      </c>
      <c r="H408" t="n">
        <v>0</v>
      </c>
      <c r="I408" t="n">
        <v>0</v>
      </c>
      <c r="J408" t="n">
        <v>0</v>
      </c>
      <c r="K408" t="n">
        <v>0</v>
      </c>
      <c r="L408" t="n">
        <v>0</v>
      </c>
      <c r="M408" t="n">
        <v>0</v>
      </c>
      <c r="N408" t="n">
        <v>0</v>
      </c>
      <c r="O408" t="n">
        <v>0</v>
      </c>
      <c r="P408" t="n">
        <v>0</v>
      </c>
      <c r="Q408" t="n">
        <v>0</v>
      </c>
      <c r="R408" s="2" t="inlineStr"/>
    </row>
    <row r="409" ht="15" customHeight="1">
      <c r="A409" t="inlineStr">
        <is>
          <t>A 51262-2025</t>
        </is>
      </c>
      <c r="B409" s="1" t="n">
        <v>45949.49872685185</v>
      </c>
      <c r="C409" s="1" t="n">
        <v>46083</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25129-2023</t>
        </is>
      </c>
      <c r="B410" s="1" t="n">
        <v>45086.44261574074</v>
      </c>
      <c r="C410" s="1" t="n">
        <v>46083</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24192-2023</t>
        </is>
      </c>
      <c r="B411" s="1" t="n">
        <v>45079</v>
      </c>
      <c r="C411" s="1" t="n">
        <v>46083</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5386-2023</t>
        </is>
      </c>
      <c r="B412" s="1" t="n">
        <v>44959</v>
      </c>
      <c r="C412" s="1" t="n">
        <v>46083</v>
      </c>
      <c r="D412" t="inlineStr">
        <is>
          <t>GOTLANDS LÄN</t>
        </is>
      </c>
      <c r="E412" t="inlineStr">
        <is>
          <t>GOTLAND</t>
        </is>
      </c>
      <c r="G412" t="n">
        <v>5.4</v>
      </c>
      <c r="H412" t="n">
        <v>0</v>
      </c>
      <c r="I412" t="n">
        <v>0</v>
      </c>
      <c r="J412" t="n">
        <v>0</v>
      </c>
      <c r="K412" t="n">
        <v>0</v>
      </c>
      <c r="L412" t="n">
        <v>0</v>
      </c>
      <c r="M412" t="n">
        <v>0</v>
      </c>
      <c r="N412" t="n">
        <v>0</v>
      </c>
      <c r="O412" t="n">
        <v>0</v>
      </c>
      <c r="P412" t="n">
        <v>0</v>
      </c>
      <c r="Q412" t="n">
        <v>0</v>
      </c>
      <c r="R412" s="2" t="inlineStr"/>
    </row>
    <row r="413" ht="15" customHeight="1">
      <c r="A413" t="inlineStr">
        <is>
          <t>A 7026-2023</t>
        </is>
      </c>
      <c r="B413" s="1" t="n">
        <v>44968.30340277778</v>
      </c>
      <c r="C413" s="1" t="n">
        <v>46083</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20855-2023</t>
        </is>
      </c>
      <c r="B414" s="1" t="n">
        <v>45058.82172453704</v>
      </c>
      <c r="C414" s="1" t="n">
        <v>46083</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52249-2025</t>
        </is>
      </c>
      <c r="B415" s="1" t="n">
        <v>45953.48637731482</v>
      </c>
      <c r="C415" s="1" t="n">
        <v>46083</v>
      </c>
      <c r="D415" t="inlineStr">
        <is>
          <t>GOTLANDS LÄN</t>
        </is>
      </c>
      <c r="E415" t="inlineStr">
        <is>
          <t>GOTLAND</t>
        </is>
      </c>
      <c r="F415" t="inlineStr">
        <is>
          <t>Övriga Aktiebolag</t>
        </is>
      </c>
      <c r="G415" t="n">
        <v>1</v>
      </c>
      <c r="H415" t="n">
        <v>0</v>
      </c>
      <c r="I415" t="n">
        <v>0</v>
      </c>
      <c r="J415" t="n">
        <v>0</v>
      </c>
      <c r="K415" t="n">
        <v>0</v>
      </c>
      <c r="L415" t="n">
        <v>0</v>
      </c>
      <c r="M415" t="n">
        <v>0</v>
      </c>
      <c r="N415" t="n">
        <v>0</v>
      </c>
      <c r="O415" t="n">
        <v>0</v>
      </c>
      <c r="P415" t="n">
        <v>0</v>
      </c>
      <c r="Q415" t="n">
        <v>0</v>
      </c>
      <c r="R415" s="2" t="inlineStr"/>
    </row>
    <row r="416" ht="15" customHeight="1">
      <c r="A416" t="inlineStr">
        <is>
          <t>A 1000-2024</t>
        </is>
      </c>
      <c r="B416" s="1" t="n">
        <v>45301.63371527778</v>
      </c>
      <c r="C416" s="1" t="n">
        <v>46083</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1010-2024</t>
        </is>
      </c>
      <c r="B417" s="1" t="n">
        <v>45301</v>
      </c>
      <c r="C417" s="1" t="n">
        <v>46083</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52637-2025</t>
        </is>
      </c>
      <c r="B418" s="1" t="n">
        <v>45954.75099537037</v>
      </c>
      <c r="C418" s="1" t="n">
        <v>46083</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47762-2023</t>
        </is>
      </c>
      <c r="B419" s="1" t="n">
        <v>45203.86256944444</v>
      </c>
      <c r="C419" s="1" t="n">
        <v>46083</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46545-2024</t>
        </is>
      </c>
      <c r="B420" s="1" t="n">
        <v>45582.65831018519</v>
      </c>
      <c r="C420" s="1" t="n">
        <v>46083</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60086-2022</t>
        </is>
      </c>
      <c r="B421" s="1" t="n">
        <v>44909</v>
      </c>
      <c r="C421" s="1" t="n">
        <v>46083</v>
      </c>
      <c r="D421" t="inlineStr">
        <is>
          <t>GOTLANDS LÄN</t>
        </is>
      </c>
      <c r="E421" t="inlineStr">
        <is>
          <t>GOTLAND</t>
        </is>
      </c>
      <c r="G421" t="n">
        <v>2.1</v>
      </c>
      <c r="H421" t="n">
        <v>0</v>
      </c>
      <c r="I421" t="n">
        <v>0</v>
      </c>
      <c r="J421" t="n">
        <v>0</v>
      </c>
      <c r="K421" t="n">
        <v>0</v>
      </c>
      <c r="L421" t="n">
        <v>0</v>
      </c>
      <c r="M421" t="n">
        <v>0</v>
      </c>
      <c r="N421" t="n">
        <v>0</v>
      </c>
      <c r="O421" t="n">
        <v>0</v>
      </c>
      <c r="P421" t="n">
        <v>0</v>
      </c>
      <c r="Q421" t="n">
        <v>0</v>
      </c>
      <c r="R421" s="2" t="inlineStr"/>
    </row>
    <row r="422" ht="15" customHeight="1">
      <c r="A422" t="inlineStr">
        <is>
          <t>A 28480-2023</t>
        </is>
      </c>
      <c r="B422" s="1" t="n">
        <v>45103</v>
      </c>
      <c r="C422" s="1" t="n">
        <v>46083</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28485-2023</t>
        </is>
      </c>
      <c r="B423" s="1" t="n">
        <v>45103.43731481482</v>
      </c>
      <c r="C423" s="1" t="n">
        <v>46083</v>
      </c>
      <c r="D423" t="inlineStr">
        <is>
          <t>GOTLANDS LÄN</t>
        </is>
      </c>
      <c r="E423" t="inlineStr">
        <is>
          <t>GOTLAND</t>
        </is>
      </c>
      <c r="G423" t="n">
        <v>2.3</v>
      </c>
      <c r="H423" t="n">
        <v>0</v>
      </c>
      <c r="I423" t="n">
        <v>0</v>
      </c>
      <c r="J423" t="n">
        <v>0</v>
      </c>
      <c r="K423" t="n">
        <v>0</v>
      </c>
      <c r="L423" t="n">
        <v>0</v>
      </c>
      <c r="M423" t="n">
        <v>0</v>
      </c>
      <c r="N423" t="n">
        <v>0</v>
      </c>
      <c r="O423" t="n">
        <v>0</v>
      </c>
      <c r="P423" t="n">
        <v>0</v>
      </c>
      <c r="Q423" t="n">
        <v>0</v>
      </c>
      <c r="R423" s="2" t="inlineStr"/>
    </row>
    <row r="424" ht="15" customHeight="1">
      <c r="A424" t="inlineStr">
        <is>
          <t>A 53569-2025</t>
        </is>
      </c>
      <c r="B424" s="1" t="n">
        <v>45960.41155092593</v>
      </c>
      <c r="C424" s="1" t="n">
        <v>46083</v>
      </c>
      <c r="D424" t="inlineStr">
        <is>
          <t>GOTLANDS LÄN</t>
        </is>
      </c>
      <c r="E424" t="inlineStr">
        <is>
          <t>GOTLAND</t>
        </is>
      </c>
      <c r="F424" t="inlineStr">
        <is>
          <t>Övriga Aktiebolag</t>
        </is>
      </c>
      <c r="G424" t="n">
        <v>11.3</v>
      </c>
      <c r="H424" t="n">
        <v>0</v>
      </c>
      <c r="I424" t="n">
        <v>0</v>
      </c>
      <c r="J424" t="n">
        <v>0</v>
      </c>
      <c r="K424" t="n">
        <v>0</v>
      </c>
      <c r="L424" t="n">
        <v>0</v>
      </c>
      <c r="M424" t="n">
        <v>0</v>
      </c>
      <c r="N424" t="n">
        <v>0</v>
      </c>
      <c r="O424" t="n">
        <v>0</v>
      </c>
      <c r="P424" t="n">
        <v>0</v>
      </c>
      <c r="Q424" t="n">
        <v>0</v>
      </c>
      <c r="R424" s="2" t="inlineStr"/>
    </row>
    <row r="425" ht="15" customHeight="1">
      <c r="A425" t="inlineStr">
        <is>
          <t>A 62915-2021</t>
        </is>
      </c>
      <c r="B425" s="1" t="n">
        <v>44504</v>
      </c>
      <c r="C425" s="1" t="n">
        <v>46083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53577-2025</t>
        </is>
      </c>
      <c r="B426" s="1" t="n">
        <v>45960.42224537037</v>
      </c>
      <c r="C426" s="1" t="n">
        <v>46083</v>
      </c>
      <c r="D426" t="inlineStr">
        <is>
          <t>GOTLANDS LÄN</t>
        </is>
      </c>
      <c r="E426" t="inlineStr">
        <is>
          <t>GOTLAND</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44949-2023</t>
        </is>
      </c>
      <c r="B427" s="1" t="n">
        <v>45190.69520833333</v>
      </c>
      <c r="C427" s="1" t="n">
        <v>46083</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37222-2021</t>
        </is>
      </c>
      <c r="B428" s="1" t="n">
        <v>44396</v>
      </c>
      <c r="C428" s="1" t="n">
        <v>46083</v>
      </c>
      <c r="D428" t="inlineStr">
        <is>
          <t>GOTLANDS LÄN</t>
        </is>
      </c>
      <c r="E428" t="inlineStr">
        <is>
          <t>GOTLAND</t>
        </is>
      </c>
      <c r="G428" t="n">
        <v>3</v>
      </c>
      <c r="H428" t="n">
        <v>0</v>
      </c>
      <c r="I428" t="n">
        <v>0</v>
      </c>
      <c r="J428" t="n">
        <v>0</v>
      </c>
      <c r="K428" t="n">
        <v>0</v>
      </c>
      <c r="L428" t="n">
        <v>0</v>
      </c>
      <c r="M428" t="n">
        <v>0</v>
      </c>
      <c r="N428" t="n">
        <v>0</v>
      </c>
      <c r="O428" t="n">
        <v>0</v>
      </c>
      <c r="P428" t="n">
        <v>0</v>
      </c>
      <c r="Q428" t="n">
        <v>0</v>
      </c>
      <c r="R428" s="2" t="inlineStr"/>
    </row>
    <row r="429" ht="15" customHeight="1">
      <c r="A429" t="inlineStr">
        <is>
          <t>A 3964-2024</t>
        </is>
      </c>
      <c r="B429" s="1" t="n">
        <v>45322</v>
      </c>
      <c r="C429" s="1" t="n">
        <v>46083</v>
      </c>
      <c r="D429" t="inlineStr">
        <is>
          <t>GOTLANDS LÄN</t>
        </is>
      </c>
      <c r="E429" t="inlineStr">
        <is>
          <t>GOTLAND</t>
        </is>
      </c>
      <c r="G429" t="n">
        <v>1.4</v>
      </c>
      <c r="H429" t="n">
        <v>0</v>
      </c>
      <c r="I429" t="n">
        <v>0</v>
      </c>
      <c r="J429" t="n">
        <v>0</v>
      </c>
      <c r="K429" t="n">
        <v>0</v>
      </c>
      <c r="L429" t="n">
        <v>0</v>
      </c>
      <c r="M429" t="n">
        <v>0</v>
      </c>
      <c r="N429" t="n">
        <v>0</v>
      </c>
      <c r="O429" t="n">
        <v>0</v>
      </c>
      <c r="P429" t="n">
        <v>0</v>
      </c>
      <c r="Q429" t="n">
        <v>0</v>
      </c>
      <c r="R429" s="2" t="inlineStr"/>
    </row>
    <row r="430" ht="15" customHeight="1">
      <c r="A430" t="inlineStr">
        <is>
          <t>A 45084-2024</t>
        </is>
      </c>
      <c r="B430" s="1" t="n">
        <v>45575</v>
      </c>
      <c r="C430" s="1" t="n">
        <v>46083</v>
      </c>
      <c r="D430" t="inlineStr">
        <is>
          <t>GOTLANDS LÄN</t>
        </is>
      </c>
      <c r="E430" t="inlineStr">
        <is>
          <t>GOTLAND</t>
        </is>
      </c>
      <c r="G430" t="n">
        <v>6.8</v>
      </c>
      <c r="H430" t="n">
        <v>0</v>
      </c>
      <c r="I430" t="n">
        <v>0</v>
      </c>
      <c r="J430" t="n">
        <v>0</v>
      </c>
      <c r="K430" t="n">
        <v>0</v>
      </c>
      <c r="L430" t="n">
        <v>0</v>
      </c>
      <c r="M430" t="n">
        <v>0</v>
      </c>
      <c r="N430" t="n">
        <v>0</v>
      </c>
      <c r="O430" t="n">
        <v>0</v>
      </c>
      <c r="P430" t="n">
        <v>0</v>
      </c>
      <c r="Q430" t="n">
        <v>0</v>
      </c>
      <c r="R430" s="2" t="inlineStr"/>
    </row>
    <row r="431" ht="15" customHeight="1">
      <c r="A431" t="inlineStr">
        <is>
          <t>A 5217-2023</t>
        </is>
      </c>
      <c r="B431" s="1" t="n">
        <v>44959.39582175926</v>
      </c>
      <c r="C431" s="1" t="n">
        <v>46083</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1677-2023</t>
        </is>
      </c>
      <c r="B432" s="1" t="n">
        <v>44938</v>
      </c>
      <c r="C432" s="1" t="n">
        <v>46083</v>
      </c>
      <c r="D432" t="inlineStr">
        <is>
          <t>GOTLANDS LÄN</t>
        </is>
      </c>
      <c r="E432" t="inlineStr">
        <is>
          <t>GOTLAND</t>
        </is>
      </c>
      <c r="G432" t="n">
        <v>1.6</v>
      </c>
      <c r="H432" t="n">
        <v>0</v>
      </c>
      <c r="I432" t="n">
        <v>0</v>
      </c>
      <c r="J432" t="n">
        <v>0</v>
      </c>
      <c r="K432" t="n">
        <v>0</v>
      </c>
      <c r="L432" t="n">
        <v>0</v>
      </c>
      <c r="M432" t="n">
        <v>0</v>
      </c>
      <c r="N432" t="n">
        <v>0</v>
      </c>
      <c r="O432" t="n">
        <v>0</v>
      </c>
      <c r="P432" t="n">
        <v>0</v>
      </c>
      <c r="Q432" t="n">
        <v>0</v>
      </c>
      <c r="R432" s="2" t="inlineStr"/>
    </row>
    <row r="433" ht="15" customHeight="1">
      <c r="A433" t="inlineStr">
        <is>
          <t>A 45244-2024</t>
        </is>
      </c>
      <c r="B433" s="1" t="n">
        <v>45576</v>
      </c>
      <c r="C433" s="1" t="n">
        <v>46083</v>
      </c>
      <c r="D433" t="inlineStr">
        <is>
          <t>GOTLANDS LÄN</t>
        </is>
      </c>
      <c r="E433" t="inlineStr">
        <is>
          <t>GOTLAND</t>
        </is>
      </c>
      <c r="G433" t="n">
        <v>2.4</v>
      </c>
      <c r="H433" t="n">
        <v>0</v>
      </c>
      <c r="I433" t="n">
        <v>0</v>
      </c>
      <c r="J433" t="n">
        <v>0</v>
      </c>
      <c r="K433" t="n">
        <v>0</v>
      </c>
      <c r="L433" t="n">
        <v>0</v>
      </c>
      <c r="M433" t="n">
        <v>0</v>
      </c>
      <c r="N433" t="n">
        <v>0</v>
      </c>
      <c r="O433" t="n">
        <v>0</v>
      </c>
      <c r="P433" t="n">
        <v>0</v>
      </c>
      <c r="Q433" t="n">
        <v>0</v>
      </c>
      <c r="R433" s="2" t="inlineStr"/>
    </row>
    <row r="434" ht="15" customHeight="1">
      <c r="A434" t="inlineStr">
        <is>
          <t>A 8260-2023</t>
        </is>
      </c>
      <c r="B434" s="1" t="n">
        <v>44974.61608796296</v>
      </c>
      <c r="C434" s="1" t="n">
        <v>46083</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64969-2023</t>
        </is>
      </c>
      <c r="B435" s="1" t="n">
        <v>45284.54009259259</v>
      </c>
      <c r="C435" s="1" t="n">
        <v>46083</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56799-2025</t>
        </is>
      </c>
      <c r="B436" s="1" t="n">
        <v>45978.43392361111</v>
      </c>
      <c r="C436" s="1" t="n">
        <v>46083</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48843-2024</t>
        </is>
      </c>
      <c r="B437" s="1" t="n">
        <v>45593</v>
      </c>
      <c r="C437" s="1" t="n">
        <v>46083</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17541-2024</t>
        </is>
      </c>
      <c r="B438" s="1" t="n">
        <v>45415</v>
      </c>
      <c r="C438" s="1" t="n">
        <v>46083</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56688-2025</t>
        </is>
      </c>
      <c r="B439" s="1" t="n">
        <v>45975.84331018518</v>
      </c>
      <c r="C439" s="1" t="n">
        <v>46083</v>
      </c>
      <c r="D439" t="inlineStr">
        <is>
          <t>GOTLANDS LÄN</t>
        </is>
      </c>
      <c r="E439" t="inlineStr">
        <is>
          <t>GOTLAND</t>
        </is>
      </c>
      <c r="G439" t="n">
        <v>1.3</v>
      </c>
      <c r="H439" t="n">
        <v>0</v>
      </c>
      <c r="I439" t="n">
        <v>0</v>
      </c>
      <c r="J439" t="n">
        <v>0</v>
      </c>
      <c r="K439" t="n">
        <v>0</v>
      </c>
      <c r="L439" t="n">
        <v>0</v>
      </c>
      <c r="M439" t="n">
        <v>0</v>
      </c>
      <c r="N439" t="n">
        <v>0</v>
      </c>
      <c r="O439" t="n">
        <v>0</v>
      </c>
      <c r="P439" t="n">
        <v>0</v>
      </c>
      <c r="Q439" t="n">
        <v>0</v>
      </c>
      <c r="R439" s="2" t="inlineStr"/>
    </row>
    <row r="440" ht="15" customHeight="1">
      <c r="A440" t="inlineStr">
        <is>
          <t>A 2241-2025</t>
        </is>
      </c>
      <c r="B440" s="1" t="n">
        <v>45673.48710648148</v>
      </c>
      <c r="C440" s="1" t="n">
        <v>46083</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46083</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46083</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54073-2022</t>
        </is>
      </c>
      <c r="B443" s="1" t="n">
        <v>44881.50380787037</v>
      </c>
      <c r="C443" s="1" t="n">
        <v>46083</v>
      </c>
      <c r="D443" t="inlineStr">
        <is>
          <t>GOTLANDS LÄN</t>
        </is>
      </c>
      <c r="E443" t="inlineStr">
        <is>
          <t>GOTLAND</t>
        </is>
      </c>
      <c r="G443" t="n">
        <v>3.8</v>
      </c>
      <c r="H443" t="n">
        <v>0</v>
      </c>
      <c r="I443" t="n">
        <v>0</v>
      </c>
      <c r="J443" t="n">
        <v>0</v>
      </c>
      <c r="K443" t="n">
        <v>0</v>
      </c>
      <c r="L443" t="n">
        <v>0</v>
      </c>
      <c r="M443" t="n">
        <v>0</v>
      </c>
      <c r="N443" t="n">
        <v>0</v>
      </c>
      <c r="O443" t="n">
        <v>0</v>
      </c>
      <c r="P443" t="n">
        <v>0</v>
      </c>
      <c r="Q443" t="n">
        <v>0</v>
      </c>
      <c r="R443" s="2" t="inlineStr"/>
    </row>
    <row r="444" ht="15" customHeight="1">
      <c r="A444" t="inlineStr">
        <is>
          <t>A 16361-2024</t>
        </is>
      </c>
      <c r="B444" s="1" t="n">
        <v>45407</v>
      </c>
      <c r="C444" s="1" t="n">
        <v>46083</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41038-2023</t>
        </is>
      </c>
      <c r="B445" s="1" t="n">
        <v>45173.60959490741</v>
      </c>
      <c r="C445" s="1" t="n">
        <v>46083</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14427-2024</t>
        </is>
      </c>
      <c r="B446" s="1" t="n">
        <v>45394</v>
      </c>
      <c r="C446" s="1" t="n">
        <v>46083</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31802-2024</t>
        </is>
      </c>
      <c r="B447" s="1" t="n">
        <v>45509</v>
      </c>
      <c r="C447" s="1" t="n">
        <v>46083</v>
      </c>
      <c r="D447" t="inlineStr">
        <is>
          <t>GOTLANDS LÄN</t>
        </is>
      </c>
      <c r="E447" t="inlineStr">
        <is>
          <t>GOTLAND</t>
        </is>
      </c>
      <c r="G447" t="n">
        <v>2.8</v>
      </c>
      <c r="H447" t="n">
        <v>0</v>
      </c>
      <c r="I447" t="n">
        <v>0</v>
      </c>
      <c r="J447" t="n">
        <v>0</v>
      </c>
      <c r="K447" t="n">
        <v>0</v>
      </c>
      <c r="L447" t="n">
        <v>0</v>
      </c>
      <c r="M447" t="n">
        <v>0</v>
      </c>
      <c r="N447" t="n">
        <v>0</v>
      </c>
      <c r="O447" t="n">
        <v>0</v>
      </c>
      <c r="P447" t="n">
        <v>0</v>
      </c>
      <c r="Q447" t="n">
        <v>0</v>
      </c>
      <c r="R447" s="2" t="inlineStr"/>
    </row>
    <row r="448" ht="15" customHeight="1">
      <c r="A448" t="inlineStr">
        <is>
          <t>A 8036-2022</t>
        </is>
      </c>
      <c r="B448" s="1" t="n">
        <v>44609.44362268518</v>
      </c>
      <c r="C448" s="1" t="n">
        <v>46083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12846-2025</t>
        </is>
      </c>
      <c r="B449" s="1" t="n">
        <v>45733.65049768519</v>
      </c>
      <c r="C449" s="1" t="n">
        <v>46083</v>
      </c>
      <c r="D449" t="inlineStr">
        <is>
          <t>GOTLANDS LÄN</t>
        </is>
      </c>
      <c r="E449" t="inlineStr">
        <is>
          <t>GOTLAND</t>
        </is>
      </c>
      <c r="G449" t="n">
        <v>1.7</v>
      </c>
      <c r="H449" t="n">
        <v>0</v>
      </c>
      <c r="I449" t="n">
        <v>0</v>
      </c>
      <c r="J449" t="n">
        <v>0</v>
      </c>
      <c r="K449" t="n">
        <v>0</v>
      </c>
      <c r="L449" t="n">
        <v>0</v>
      </c>
      <c r="M449" t="n">
        <v>0</v>
      </c>
      <c r="N449" t="n">
        <v>0</v>
      </c>
      <c r="O449" t="n">
        <v>0</v>
      </c>
      <c r="P449" t="n">
        <v>0</v>
      </c>
      <c r="Q449" t="n">
        <v>0</v>
      </c>
      <c r="R449" s="2" t="inlineStr"/>
    </row>
    <row r="450" ht="15" customHeight="1">
      <c r="A450" t="inlineStr">
        <is>
          <t>A 59197-2025</t>
        </is>
      </c>
      <c r="B450" s="1" t="n">
        <v>45988.59846064815</v>
      </c>
      <c r="C450" s="1" t="n">
        <v>46083</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46949-2024</t>
        </is>
      </c>
      <c r="B451" s="1" t="n">
        <v>45585</v>
      </c>
      <c r="C451" s="1" t="n">
        <v>46083</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44624.57945601852</v>
      </c>
      <c r="C452" s="1" t="n">
        <v>46083</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46083</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46083</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46083</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39496-2022</t>
        </is>
      </c>
      <c r="B456" s="1" t="n">
        <v>44818</v>
      </c>
      <c r="C456" s="1" t="n">
        <v>46083</v>
      </c>
      <c r="D456" t="inlineStr">
        <is>
          <t>GOTLANDS LÄN</t>
        </is>
      </c>
      <c r="E456" t="inlineStr">
        <is>
          <t>GOTLAND</t>
        </is>
      </c>
      <c r="G456" t="n">
        <v>2.4</v>
      </c>
      <c r="H456" t="n">
        <v>0</v>
      </c>
      <c r="I456" t="n">
        <v>0</v>
      </c>
      <c r="J456" t="n">
        <v>0</v>
      </c>
      <c r="K456" t="n">
        <v>0</v>
      </c>
      <c r="L456" t="n">
        <v>0</v>
      </c>
      <c r="M456" t="n">
        <v>0</v>
      </c>
      <c r="N456" t="n">
        <v>0</v>
      </c>
      <c r="O456" t="n">
        <v>0</v>
      </c>
      <c r="P456" t="n">
        <v>0</v>
      </c>
      <c r="Q456" t="n">
        <v>0</v>
      </c>
      <c r="R456" s="2" t="inlineStr"/>
    </row>
    <row r="457" ht="15" customHeight="1">
      <c r="A457" t="inlineStr">
        <is>
          <t>A 49874-2024</t>
        </is>
      </c>
      <c r="B457" s="1" t="n">
        <v>45597.49274305555</v>
      </c>
      <c r="C457" s="1" t="n">
        <v>46083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42201-2023</t>
        </is>
      </c>
      <c r="B458" s="1" t="n">
        <v>45179</v>
      </c>
      <c r="C458" s="1" t="n">
        <v>46083</v>
      </c>
      <c r="D458" t="inlineStr">
        <is>
          <t>GOTLANDS LÄN</t>
        </is>
      </c>
      <c r="E458" t="inlineStr">
        <is>
          <t>GOTLAND</t>
        </is>
      </c>
      <c r="G458" t="n">
        <v>11.9</v>
      </c>
      <c r="H458" t="n">
        <v>0</v>
      </c>
      <c r="I458" t="n">
        <v>0</v>
      </c>
      <c r="J458" t="n">
        <v>0</v>
      </c>
      <c r="K458" t="n">
        <v>0</v>
      </c>
      <c r="L458" t="n">
        <v>0</v>
      </c>
      <c r="M458" t="n">
        <v>0</v>
      </c>
      <c r="N458" t="n">
        <v>0</v>
      </c>
      <c r="O458" t="n">
        <v>0</v>
      </c>
      <c r="P458" t="n">
        <v>0</v>
      </c>
      <c r="Q458" t="n">
        <v>0</v>
      </c>
      <c r="R458" s="2" t="inlineStr"/>
    </row>
    <row r="459" ht="15" customHeight="1">
      <c r="A459" t="inlineStr">
        <is>
          <t>A 3067-2026</t>
        </is>
      </c>
      <c r="B459" s="1" t="n">
        <v>46040.59025462963</v>
      </c>
      <c r="C459" s="1" t="n">
        <v>46083</v>
      </c>
      <c r="D459" t="inlineStr">
        <is>
          <t>GOTLANDS LÄN</t>
        </is>
      </c>
      <c r="E459" t="inlineStr">
        <is>
          <t>GOTLAND</t>
        </is>
      </c>
      <c r="G459" t="n">
        <v>7.8</v>
      </c>
      <c r="H459" t="n">
        <v>0</v>
      </c>
      <c r="I459" t="n">
        <v>0</v>
      </c>
      <c r="J459" t="n">
        <v>0</v>
      </c>
      <c r="K459" t="n">
        <v>0</v>
      </c>
      <c r="L459" t="n">
        <v>0</v>
      </c>
      <c r="M459" t="n">
        <v>0</v>
      </c>
      <c r="N459" t="n">
        <v>0</v>
      </c>
      <c r="O459" t="n">
        <v>0</v>
      </c>
      <c r="P459" t="n">
        <v>0</v>
      </c>
      <c r="Q459" t="n">
        <v>0</v>
      </c>
      <c r="R459" s="2" t="inlineStr"/>
    </row>
    <row r="460" ht="15" customHeight="1">
      <c r="A460" t="inlineStr">
        <is>
          <t>A 3253-2026</t>
        </is>
      </c>
      <c r="B460" s="1" t="n">
        <v>46041.58902777778</v>
      </c>
      <c r="C460" s="1" t="n">
        <v>46083</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46083</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46083</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46083</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46083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46083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4662-2026</t>
        </is>
      </c>
      <c r="B466" s="1" t="n">
        <v>46048.40949074074</v>
      </c>
      <c r="C466" s="1" t="n">
        <v>46083</v>
      </c>
      <c r="D466" t="inlineStr">
        <is>
          <t>GOTLANDS LÄN</t>
        </is>
      </c>
      <c r="E466" t="inlineStr">
        <is>
          <t>GOTLAND</t>
        </is>
      </c>
      <c r="G466" t="n">
        <v>7.6</v>
      </c>
      <c r="H466" t="n">
        <v>0</v>
      </c>
      <c r="I466" t="n">
        <v>0</v>
      </c>
      <c r="J466" t="n">
        <v>0</v>
      </c>
      <c r="K466" t="n">
        <v>0</v>
      </c>
      <c r="L466" t="n">
        <v>0</v>
      </c>
      <c r="M466" t="n">
        <v>0</v>
      </c>
      <c r="N466" t="n">
        <v>0</v>
      </c>
      <c r="O466" t="n">
        <v>0</v>
      </c>
      <c r="P466" t="n">
        <v>0</v>
      </c>
      <c r="Q466" t="n">
        <v>0</v>
      </c>
      <c r="R466" s="2" t="inlineStr"/>
    </row>
    <row r="467" ht="15" customHeight="1">
      <c r="A467" t="inlineStr">
        <is>
          <t>A 61897-2024</t>
        </is>
      </c>
      <c r="B467" s="1" t="n">
        <v>45652.75685185185</v>
      </c>
      <c r="C467" s="1" t="n">
        <v>46083</v>
      </c>
      <c r="D467" t="inlineStr">
        <is>
          <t>GOTLANDS LÄN</t>
        </is>
      </c>
      <c r="E467" t="inlineStr">
        <is>
          <t>GOTLAND</t>
        </is>
      </c>
      <c r="G467" t="n">
        <v>6.4</v>
      </c>
      <c r="H467" t="n">
        <v>0</v>
      </c>
      <c r="I467" t="n">
        <v>0</v>
      </c>
      <c r="J467" t="n">
        <v>0</v>
      </c>
      <c r="K467" t="n">
        <v>0</v>
      </c>
      <c r="L467" t="n">
        <v>0</v>
      </c>
      <c r="M467" t="n">
        <v>0</v>
      </c>
      <c r="N467" t="n">
        <v>0</v>
      </c>
      <c r="O467" t="n">
        <v>0</v>
      </c>
      <c r="P467" t="n">
        <v>0</v>
      </c>
      <c r="Q467" t="n">
        <v>0</v>
      </c>
      <c r="R467" s="2" t="inlineStr"/>
    </row>
    <row r="468" ht="15" customHeight="1">
      <c r="A468" t="inlineStr">
        <is>
          <t>A 4634-2026</t>
        </is>
      </c>
      <c r="B468" s="1" t="n">
        <v>46048.39304398148</v>
      </c>
      <c r="C468" s="1" t="n">
        <v>46083</v>
      </c>
      <c r="D468" t="inlineStr">
        <is>
          <t>GOTLANDS LÄN</t>
        </is>
      </c>
      <c r="E468" t="inlineStr">
        <is>
          <t>GOTLAND</t>
        </is>
      </c>
      <c r="G468" t="n">
        <v>7.8</v>
      </c>
      <c r="H468" t="n">
        <v>0</v>
      </c>
      <c r="I468" t="n">
        <v>0</v>
      </c>
      <c r="J468" t="n">
        <v>0</v>
      </c>
      <c r="K468" t="n">
        <v>0</v>
      </c>
      <c r="L468" t="n">
        <v>0</v>
      </c>
      <c r="M468" t="n">
        <v>0</v>
      </c>
      <c r="N468" t="n">
        <v>0</v>
      </c>
      <c r="O468" t="n">
        <v>0</v>
      </c>
      <c r="P468" t="n">
        <v>0</v>
      </c>
      <c r="Q468" t="n">
        <v>0</v>
      </c>
      <c r="R468" s="2" t="inlineStr"/>
    </row>
    <row r="469" ht="15" customHeight="1">
      <c r="A469" t="inlineStr">
        <is>
          <t>A 4646-2026</t>
        </is>
      </c>
      <c r="B469" s="1" t="n">
        <v>46048.40357638889</v>
      </c>
      <c r="C469" s="1" t="n">
        <v>46083</v>
      </c>
      <c r="D469" t="inlineStr">
        <is>
          <t>GOTLANDS LÄN</t>
        </is>
      </c>
      <c r="E469" t="inlineStr">
        <is>
          <t>GOTLAND</t>
        </is>
      </c>
      <c r="G469" t="n">
        <v>2.7</v>
      </c>
      <c r="H469" t="n">
        <v>0</v>
      </c>
      <c r="I469" t="n">
        <v>0</v>
      </c>
      <c r="J469" t="n">
        <v>0</v>
      </c>
      <c r="K469" t="n">
        <v>0</v>
      </c>
      <c r="L469" t="n">
        <v>0</v>
      </c>
      <c r="M469" t="n">
        <v>0</v>
      </c>
      <c r="N469" t="n">
        <v>0</v>
      </c>
      <c r="O469" t="n">
        <v>0</v>
      </c>
      <c r="P469" t="n">
        <v>0</v>
      </c>
      <c r="Q469" t="n">
        <v>0</v>
      </c>
      <c r="R469" s="2" t="inlineStr"/>
    </row>
    <row r="470" ht="15" customHeight="1">
      <c r="A470" t="inlineStr">
        <is>
          <t>A 49962-2023</t>
        </is>
      </c>
      <c r="B470" s="1" t="n">
        <v>45215.38775462963</v>
      </c>
      <c r="C470" s="1" t="n">
        <v>46083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4670-2026</t>
        </is>
      </c>
      <c r="B471" s="1" t="n">
        <v>46048.41733796296</v>
      </c>
      <c r="C471" s="1" t="n">
        <v>46083</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62066-2025</t>
        </is>
      </c>
      <c r="B472" s="1" t="n">
        <v>46006.34738425926</v>
      </c>
      <c r="C472" s="1" t="n">
        <v>46083</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4639-2026</t>
        </is>
      </c>
      <c r="B473" s="1" t="n">
        <v>46048.39880787037</v>
      </c>
      <c r="C473" s="1" t="n">
        <v>46083</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20165-2022</t>
        </is>
      </c>
      <c r="B474" s="1" t="n">
        <v>44698.49854166667</v>
      </c>
      <c r="C474" s="1" t="n">
        <v>46083</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40294-2022</t>
        </is>
      </c>
      <c r="B475" s="1" t="n">
        <v>44821</v>
      </c>
      <c r="C475" s="1" t="n">
        <v>46083</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62103-2025</t>
        </is>
      </c>
      <c r="B476" s="1" t="n">
        <v>46006</v>
      </c>
      <c r="C476" s="1" t="n">
        <v>46083</v>
      </c>
      <c r="D476" t="inlineStr">
        <is>
          <t>GOTLANDS LÄN</t>
        </is>
      </c>
      <c r="E476" t="inlineStr">
        <is>
          <t>GOTLAND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12032-2025</t>
        </is>
      </c>
      <c r="B477" s="1" t="n">
        <v>45728.64472222222</v>
      </c>
      <c r="C477" s="1" t="n">
        <v>46083</v>
      </c>
      <c r="D477" t="inlineStr">
        <is>
          <t>GOTLANDS LÄN</t>
        </is>
      </c>
      <c r="E477" t="inlineStr">
        <is>
          <t>GOTLAND</t>
        </is>
      </c>
      <c r="G477" t="n">
        <v>1.4</v>
      </c>
      <c r="H477" t="n">
        <v>0</v>
      </c>
      <c r="I477" t="n">
        <v>0</v>
      </c>
      <c r="J477" t="n">
        <v>0</v>
      </c>
      <c r="K477" t="n">
        <v>0</v>
      </c>
      <c r="L477" t="n">
        <v>0</v>
      </c>
      <c r="M477" t="n">
        <v>0</v>
      </c>
      <c r="N477" t="n">
        <v>0</v>
      </c>
      <c r="O477" t="n">
        <v>0</v>
      </c>
      <c r="P477" t="n">
        <v>0</v>
      </c>
      <c r="Q477" t="n">
        <v>0</v>
      </c>
      <c r="R477" s="2" t="inlineStr"/>
    </row>
    <row r="478" ht="15" customHeight="1">
      <c r="A478" t="inlineStr">
        <is>
          <t>A 38787-2023</t>
        </is>
      </c>
      <c r="B478" s="1" t="n">
        <v>45163</v>
      </c>
      <c r="C478" s="1" t="n">
        <v>46083</v>
      </c>
      <c r="D478" t="inlineStr">
        <is>
          <t>GOTLANDS LÄN</t>
        </is>
      </c>
      <c r="E478" t="inlineStr">
        <is>
          <t>GOTLAND</t>
        </is>
      </c>
      <c r="G478" t="n">
        <v>0.4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46083</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46083</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3935-2025</t>
        </is>
      </c>
      <c r="B481" s="1" t="n">
        <v>45684.46070601852</v>
      </c>
      <c r="C481" s="1" t="n">
        <v>46083</v>
      </c>
      <c r="D481" t="inlineStr">
        <is>
          <t>GOTLANDS LÄN</t>
        </is>
      </c>
      <c r="E481" t="inlineStr">
        <is>
          <t>GOTLAND</t>
        </is>
      </c>
      <c r="G481" t="n">
        <v>2.6</v>
      </c>
      <c r="H481" t="n">
        <v>0</v>
      </c>
      <c r="I481" t="n">
        <v>0</v>
      </c>
      <c r="J481" t="n">
        <v>0</v>
      </c>
      <c r="K481" t="n">
        <v>0</v>
      </c>
      <c r="L481" t="n">
        <v>0</v>
      </c>
      <c r="M481" t="n">
        <v>0</v>
      </c>
      <c r="N481" t="n">
        <v>0</v>
      </c>
      <c r="O481" t="n">
        <v>0</v>
      </c>
      <c r="P481" t="n">
        <v>0</v>
      </c>
      <c r="Q481" t="n">
        <v>0</v>
      </c>
      <c r="R481" s="2" t="inlineStr"/>
    </row>
    <row r="482" ht="15" customHeight="1">
      <c r="A482" t="inlineStr">
        <is>
          <t>A 47147-2025</t>
        </is>
      </c>
      <c r="B482" s="1" t="n">
        <v>45929</v>
      </c>
      <c r="C482" s="1" t="n">
        <v>46083</v>
      </c>
      <c r="D482" t="inlineStr">
        <is>
          <t>GOTLANDS LÄN</t>
        </is>
      </c>
      <c r="E482" t="inlineStr">
        <is>
          <t>GOTLAND</t>
        </is>
      </c>
      <c r="G482" t="n">
        <v>2.3</v>
      </c>
      <c r="H482" t="n">
        <v>0</v>
      </c>
      <c r="I482" t="n">
        <v>0</v>
      </c>
      <c r="J482" t="n">
        <v>0</v>
      </c>
      <c r="K482" t="n">
        <v>0</v>
      </c>
      <c r="L482" t="n">
        <v>0</v>
      </c>
      <c r="M482" t="n">
        <v>0</v>
      </c>
      <c r="N482" t="n">
        <v>0</v>
      </c>
      <c r="O482" t="n">
        <v>0</v>
      </c>
      <c r="P482" t="n">
        <v>0</v>
      </c>
      <c r="Q482" t="n">
        <v>0</v>
      </c>
      <c r="R482" s="2" t="inlineStr"/>
    </row>
    <row r="483" ht="15" customHeight="1">
      <c r="A483" t="inlineStr">
        <is>
          <t>A 20225-2025</t>
        </is>
      </c>
      <c r="B483" s="1" t="n">
        <v>45772.65802083333</v>
      </c>
      <c r="C483" s="1" t="n">
        <v>46083</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5863-2026</t>
        </is>
      </c>
      <c r="B484" s="1" t="n">
        <v>46052.36697916667</v>
      </c>
      <c r="C484" s="1" t="n">
        <v>46083</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63002-2025</t>
        </is>
      </c>
      <c r="B485" s="1" t="n">
        <v>46009.56564814815</v>
      </c>
      <c r="C485" s="1" t="n">
        <v>46083</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46083</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883-2025</t>
        </is>
      </c>
      <c r="B487" s="1" t="n">
        <v>45665</v>
      </c>
      <c r="C487" s="1" t="n">
        <v>46083</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46083</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6207-2026</t>
        </is>
      </c>
      <c r="B489" s="1" t="n">
        <v>46055.42083333333</v>
      </c>
      <c r="C489" s="1" t="n">
        <v>46083</v>
      </c>
      <c r="D489" t="inlineStr">
        <is>
          <t>GOTLANDS LÄN</t>
        </is>
      </c>
      <c r="E489" t="inlineStr">
        <is>
          <t>GOTLAND</t>
        </is>
      </c>
      <c r="G489" t="n">
        <v>7.6</v>
      </c>
      <c r="H489" t="n">
        <v>0</v>
      </c>
      <c r="I489" t="n">
        <v>0</v>
      </c>
      <c r="J489" t="n">
        <v>0</v>
      </c>
      <c r="K489" t="n">
        <v>0</v>
      </c>
      <c r="L489" t="n">
        <v>0</v>
      </c>
      <c r="M489" t="n">
        <v>0</v>
      </c>
      <c r="N489" t="n">
        <v>0</v>
      </c>
      <c r="O489" t="n">
        <v>0</v>
      </c>
      <c r="P489" t="n">
        <v>0</v>
      </c>
      <c r="Q489" t="n">
        <v>0</v>
      </c>
      <c r="R489" s="2" t="inlineStr"/>
    </row>
    <row r="490" ht="15" customHeight="1">
      <c r="A490" t="inlineStr">
        <is>
          <t>A 6960-2026</t>
        </is>
      </c>
      <c r="B490" s="1" t="n">
        <v>46057.58105324074</v>
      </c>
      <c r="C490" s="1" t="n">
        <v>46083</v>
      </c>
      <c r="D490" t="inlineStr">
        <is>
          <t>GOTLANDS LÄN</t>
        </is>
      </c>
      <c r="E490" t="inlineStr">
        <is>
          <t>GOTLAND</t>
        </is>
      </c>
      <c r="F490" t="inlineStr">
        <is>
          <t>Kyrkan</t>
        </is>
      </c>
      <c r="G490" t="n">
        <v>2.4</v>
      </c>
      <c r="H490" t="n">
        <v>0</v>
      </c>
      <c r="I490" t="n">
        <v>0</v>
      </c>
      <c r="J490" t="n">
        <v>0</v>
      </c>
      <c r="K490" t="n">
        <v>0</v>
      </c>
      <c r="L490" t="n">
        <v>0</v>
      </c>
      <c r="M490" t="n">
        <v>0</v>
      </c>
      <c r="N490" t="n">
        <v>0</v>
      </c>
      <c r="O490" t="n">
        <v>0</v>
      </c>
      <c r="P490" t="n">
        <v>0</v>
      </c>
      <c r="Q490" t="n">
        <v>0</v>
      </c>
      <c r="R490" s="2" t="inlineStr"/>
    </row>
    <row r="491" ht="15" customHeight="1">
      <c r="A491" t="inlineStr">
        <is>
          <t>A 6959-2026</t>
        </is>
      </c>
      <c r="B491" s="1" t="n">
        <v>46057.580625</v>
      </c>
      <c r="C491" s="1" t="n">
        <v>46083</v>
      </c>
      <c r="D491" t="inlineStr">
        <is>
          <t>GOTLANDS LÄN</t>
        </is>
      </c>
      <c r="E491" t="inlineStr">
        <is>
          <t>GOTLAND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1066-2024</t>
        </is>
      </c>
      <c r="B492" s="1" t="n">
        <v>45302.285</v>
      </c>
      <c r="C492" s="1" t="n">
        <v>46083</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17144-2025</t>
        </is>
      </c>
      <c r="B493" s="1" t="n">
        <v>45755.9499537037</v>
      </c>
      <c r="C493" s="1" t="n">
        <v>46083</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38649-2025</t>
        </is>
      </c>
      <c r="B494" s="1" t="n">
        <v>45884</v>
      </c>
      <c r="C494" s="1" t="n">
        <v>46083</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56009-2024</t>
        </is>
      </c>
      <c r="B495" s="1" t="n">
        <v>45623.80864583333</v>
      </c>
      <c r="C495" s="1" t="n">
        <v>46083</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42338-2023</t>
        </is>
      </c>
      <c r="B496" s="1" t="n">
        <v>45180</v>
      </c>
      <c r="C496" s="1" t="n">
        <v>46083</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46083</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7625-2026</t>
        </is>
      </c>
      <c r="B498" s="1" t="n">
        <v>46062.35135416667</v>
      </c>
      <c r="C498" s="1" t="n">
        <v>46083</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7627-2026</t>
        </is>
      </c>
      <c r="B499" s="1" t="n">
        <v>46062.35465277778</v>
      </c>
      <c r="C499" s="1" t="n">
        <v>46083</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581-2023</t>
        </is>
      </c>
      <c r="B500" s="1" t="n">
        <v>44930</v>
      </c>
      <c r="C500" s="1" t="n">
        <v>46083</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61386-2023</t>
        </is>
      </c>
      <c r="B501" s="1" t="n">
        <v>45264</v>
      </c>
      <c r="C501" s="1" t="n">
        <v>46083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873-2024</t>
        </is>
      </c>
      <c r="B502" s="1" t="n">
        <v>45301</v>
      </c>
      <c r="C502" s="1" t="n">
        <v>46083</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49411-2023</t>
        </is>
      </c>
      <c r="B503" s="1" t="n">
        <v>45205</v>
      </c>
      <c r="C503" s="1" t="n">
        <v>46083</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36-2026</t>
        </is>
      </c>
      <c r="B504" s="1" t="n">
        <v>46024.38886574074</v>
      </c>
      <c r="C504" s="1" t="n">
        <v>46083</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22275-2023</t>
        </is>
      </c>
      <c r="B505" s="1" t="n">
        <v>45070.39875</v>
      </c>
      <c r="C505" s="1" t="n">
        <v>46083</v>
      </c>
      <c r="D505" t="inlineStr">
        <is>
          <t>GOTLANDS LÄN</t>
        </is>
      </c>
      <c r="E505" t="inlineStr">
        <is>
          <t>GOTLAND</t>
        </is>
      </c>
      <c r="G505" t="n">
        <v>7.2</v>
      </c>
      <c r="H505" t="n">
        <v>0</v>
      </c>
      <c r="I505" t="n">
        <v>0</v>
      </c>
      <c r="J505" t="n">
        <v>0</v>
      </c>
      <c r="K505" t="n">
        <v>0</v>
      </c>
      <c r="L505" t="n">
        <v>0</v>
      </c>
      <c r="M505" t="n">
        <v>0</v>
      </c>
      <c r="N505" t="n">
        <v>0</v>
      </c>
      <c r="O505" t="n">
        <v>0</v>
      </c>
      <c r="P505" t="n">
        <v>0</v>
      </c>
      <c r="Q505" t="n">
        <v>0</v>
      </c>
      <c r="R505" s="2" t="inlineStr"/>
    </row>
    <row r="506" ht="15" customHeight="1">
      <c r="A506" t="inlineStr">
        <is>
          <t>A 12322-2025</t>
        </is>
      </c>
      <c r="B506" s="1" t="n">
        <v>45730</v>
      </c>
      <c r="C506" s="1" t="n">
        <v>46083</v>
      </c>
      <c r="D506" t="inlineStr">
        <is>
          <t>GOTLANDS LÄN</t>
        </is>
      </c>
      <c r="E506" t="inlineStr">
        <is>
          <t>GOTLAND</t>
        </is>
      </c>
      <c r="G506" t="n">
        <v>1.4</v>
      </c>
      <c r="H506" t="n">
        <v>0</v>
      </c>
      <c r="I506" t="n">
        <v>0</v>
      </c>
      <c r="J506" t="n">
        <v>0</v>
      </c>
      <c r="K506" t="n">
        <v>0</v>
      </c>
      <c r="L506" t="n">
        <v>0</v>
      </c>
      <c r="M506" t="n">
        <v>0</v>
      </c>
      <c r="N506" t="n">
        <v>0</v>
      </c>
      <c r="O506" t="n">
        <v>0</v>
      </c>
      <c r="P506" t="n">
        <v>0</v>
      </c>
      <c r="Q506" t="n">
        <v>0</v>
      </c>
      <c r="R506" s="2" t="inlineStr"/>
    </row>
    <row r="507" ht="15" customHeight="1">
      <c r="A507" t="inlineStr">
        <is>
          <t>A 14797-2024</t>
        </is>
      </c>
      <c r="B507" s="1" t="n">
        <v>45397.87030092593</v>
      </c>
      <c r="C507" s="1" t="n">
        <v>46083</v>
      </c>
      <c r="D507" t="inlineStr">
        <is>
          <t>GOTLANDS LÄN</t>
        </is>
      </c>
      <c r="E507" t="inlineStr">
        <is>
          <t>GOTLAND</t>
        </is>
      </c>
      <c r="G507" t="n">
        <v>8.1</v>
      </c>
      <c r="H507" t="n">
        <v>0</v>
      </c>
      <c r="I507" t="n">
        <v>0</v>
      </c>
      <c r="J507" t="n">
        <v>0</v>
      </c>
      <c r="K507" t="n">
        <v>0</v>
      </c>
      <c r="L507" t="n">
        <v>0</v>
      </c>
      <c r="M507" t="n">
        <v>0</v>
      </c>
      <c r="N507" t="n">
        <v>0</v>
      </c>
      <c r="O507" t="n">
        <v>0</v>
      </c>
      <c r="P507" t="n">
        <v>0</v>
      </c>
      <c r="Q507" t="n">
        <v>0</v>
      </c>
      <c r="R507" s="2" t="inlineStr"/>
    </row>
    <row r="508" ht="15" customHeight="1">
      <c r="A508" t="inlineStr">
        <is>
          <t>A 999-2024</t>
        </is>
      </c>
      <c r="B508" s="1" t="n">
        <v>45301</v>
      </c>
      <c r="C508" s="1" t="n">
        <v>46083</v>
      </c>
      <c r="D508" t="inlineStr">
        <is>
          <t>GOTLANDS LÄN</t>
        </is>
      </c>
      <c r="E508" t="inlineStr">
        <is>
          <t>GOTLAND</t>
        </is>
      </c>
      <c r="G508" t="n">
        <v>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46083</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61596-2023</t>
        </is>
      </c>
      <c r="B510" s="1" t="n">
        <v>45265</v>
      </c>
      <c r="C510" s="1" t="n">
        <v>46083</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53561-2025</t>
        </is>
      </c>
      <c r="B511" s="1" t="n">
        <v>45960.4059375</v>
      </c>
      <c r="C511" s="1" t="n">
        <v>46083</v>
      </c>
      <c r="D511" t="inlineStr">
        <is>
          <t>GOTLANDS LÄN</t>
        </is>
      </c>
      <c r="E511" t="inlineStr">
        <is>
          <t>GOTLAND</t>
        </is>
      </c>
      <c r="F511" t="inlineStr">
        <is>
          <t>Övriga Aktiebolag</t>
        </is>
      </c>
      <c r="G511" t="n">
        <v>2.4</v>
      </c>
      <c r="H511" t="n">
        <v>0</v>
      </c>
      <c r="I511" t="n">
        <v>0</v>
      </c>
      <c r="J511" t="n">
        <v>0</v>
      </c>
      <c r="K511" t="n">
        <v>0</v>
      </c>
      <c r="L511" t="n">
        <v>0</v>
      </c>
      <c r="M511" t="n">
        <v>0</v>
      </c>
      <c r="N511" t="n">
        <v>0</v>
      </c>
      <c r="O511" t="n">
        <v>0</v>
      </c>
      <c r="P511" t="n">
        <v>0</v>
      </c>
      <c r="Q511" t="n">
        <v>0</v>
      </c>
      <c r="R511" s="2" t="inlineStr"/>
    </row>
    <row r="512" ht="15" customHeight="1">
      <c r="A512" t="inlineStr">
        <is>
          <t>A 14638-2025</t>
        </is>
      </c>
      <c r="B512" s="1" t="n">
        <v>45742</v>
      </c>
      <c r="C512" s="1" t="n">
        <v>46083</v>
      </c>
      <c r="D512" t="inlineStr">
        <is>
          <t>GOTLANDS LÄN</t>
        </is>
      </c>
      <c r="E512" t="inlineStr">
        <is>
          <t>GOTLAND</t>
        </is>
      </c>
      <c r="G512" t="n">
        <v>13.4</v>
      </c>
      <c r="H512" t="n">
        <v>0</v>
      </c>
      <c r="I512" t="n">
        <v>0</v>
      </c>
      <c r="J512" t="n">
        <v>0</v>
      </c>
      <c r="K512" t="n">
        <v>0</v>
      </c>
      <c r="L512" t="n">
        <v>0</v>
      </c>
      <c r="M512" t="n">
        <v>0</v>
      </c>
      <c r="N512" t="n">
        <v>0</v>
      </c>
      <c r="O512" t="n">
        <v>0</v>
      </c>
      <c r="P512" t="n">
        <v>0</v>
      </c>
      <c r="Q512" t="n">
        <v>0</v>
      </c>
      <c r="R512" s="2" t="inlineStr"/>
    </row>
    <row r="513" ht="15" customHeight="1">
      <c r="A513" t="inlineStr">
        <is>
          <t>A 60384-2025</t>
        </is>
      </c>
      <c r="B513" s="1" t="n">
        <v>45995</v>
      </c>
      <c r="C513" s="1" t="n">
        <v>46083</v>
      </c>
      <c r="D513" t="inlineStr">
        <is>
          <t>GOTLANDS LÄN</t>
        </is>
      </c>
      <c r="E513" t="inlineStr">
        <is>
          <t>GOTLAND</t>
        </is>
      </c>
      <c r="G513" t="n">
        <v>2.5</v>
      </c>
      <c r="H513" t="n">
        <v>0</v>
      </c>
      <c r="I513" t="n">
        <v>0</v>
      </c>
      <c r="J513" t="n">
        <v>0</v>
      </c>
      <c r="K513" t="n">
        <v>0</v>
      </c>
      <c r="L513" t="n">
        <v>0</v>
      </c>
      <c r="M513" t="n">
        <v>0</v>
      </c>
      <c r="N513" t="n">
        <v>0</v>
      </c>
      <c r="O513" t="n">
        <v>0</v>
      </c>
      <c r="P513" t="n">
        <v>0</v>
      </c>
      <c r="Q513" t="n">
        <v>0</v>
      </c>
      <c r="R513" s="2" t="inlineStr"/>
    </row>
    <row r="514" ht="15" customHeight="1">
      <c r="A514" t="inlineStr">
        <is>
          <t>A 53587-2025</t>
        </is>
      </c>
      <c r="B514" s="1" t="n">
        <v>45960.43681712963</v>
      </c>
      <c r="C514" s="1" t="n">
        <v>46083</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9543-2026</t>
        </is>
      </c>
      <c r="B515" s="1" t="n">
        <v>46071.62486111111</v>
      </c>
      <c r="C515" s="1" t="n">
        <v>46083</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9521-2026</t>
        </is>
      </c>
      <c r="B516" s="1" t="n">
        <v>46071.59969907408</v>
      </c>
      <c r="C516" s="1" t="n">
        <v>46083</v>
      </c>
      <c r="D516" t="inlineStr">
        <is>
          <t>GOTLANDS LÄN</t>
        </is>
      </c>
      <c r="E516" t="inlineStr">
        <is>
          <t>GOTLAND</t>
        </is>
      </c>
      <c r="G516" t="n">
        <v>3.9</v>
      </c>
      <c r="H516" t="n">
        <v>0</v>
      </c>
      <c r="I516" t="n">
        <v>0</v>
      </c>
      <c r="J516" t="n">
        <v>0</v>
      </c>
      <c r="K516" t="n">
        <v>0</v>
      </c>
      <c r="L516" t="n">
        <v>0</v>
      </c>
      <c r="M516" t="n">
        <v>0</v>
      </c>
      <c r="N516" t="n">
        <v>0</v>
      </c>
      <c r="O516" t="n">
        <v>0</v>
      </c>
      <c r="P516" t="n">
        <v>0</v>
      </c>
      <c r="Q516" t="n">
        <v>0</v>
      </c>
      <c r="R516" s="2" t="inlineStr"/>
    </row>
    <row r="517" ht="15" customHeight="1">
      <c r="A517" t="inlineStr">
        <is>
          <t>A 9524-2026</t>
        </is>
      </c>
      <c r="B517" s="1" t="n">
        <v>46071.60108796296</v>
      </c>
      <c r="C517" s="1" t="n">
        <v>46083</v>
      </c>
      <c r="D517" t="inlineStr">
        <is>
          <t>GOTLANDS LÄN</t>
        </is>
      </c>
      <c r="E517" t="inlineStr">
        <is>
          <t>GOTLAND</t>
        </is>
      </c>
      <c r="G517" t="n">
        <v>2.5</v>
      </c>
      <c r="H517" t="n">
        <v>0</v>
      </c>
      <c r="I517" t="n">
        <v>0</v>
      </c>
      <c r="J517" t="n">
        <v>0</v>
      </c>
      <c r="K517" t="n">
        <v>0</v>
      </c>
      <c r="L517" t="n">
        <v>0</v>
      </c>
      <c r="M517" t="n">
        <v>0</v>
      </c>
      <c r="N517" t="n">
        <v>0</v>
      </c>
      <c r="O517" t="n">
        <v>0</v>
      </c>
      <c r="P517" t="n">
        <v>0</v>
      </c>
      <c r="Q517" t="n">
        <v>0</v>
      </c>
      <c r="R517" s="2" t="inlineStr"/>
    </row>
    <row r="518" ht="15" customHeight="1">
      <c r="A518" t="inlineStr">
        <is>
          <t>A 9518-2026</t>
        </is>
      </c>
      <c r="B518" s="1" t="n">
        <v>46071.59653935185</v>
      </c>
      <c r="C518" s="1" t="n">
        <v>46083</v>
      </c>
      <c r="D518" t="inlineStr">
        <is>
          <t>GOTLANDS LÄN</t>
        </is>
      </c>
      <c r="E518" t="inlineStr">
        <is>
          <t>GOTLAND</t>
        </is>
      </c>
      <c r="G518" t="n">
        <v>6.2</v>
      </c>
      <c r="H518" t="n">
        <v>0</v>
      </c>
      <c r="I518" t="n">
        <v>0</v>
      </c>
      <c r="J518" t="n">
        <v>0</v>
      </c>
      <c r="K518" t="n">
        <v>0</v>
      </c>
      <c r="L518" t="n">
        <v>0</v>
      </c>
      <c r="M518" t="n">
        <v>0</v>
      </c>
      <c r="N518" t="n">
        <v>0</v>
      </c>
      <c r="O518" t="n">
        <v>0</v>
      </c>
      <c r="P518" t="n">
        <v>0</v>
      </c>
      <c r="Q518" t="n">
        <v>0</v>
      </c>
      <c r="R518" s="2" t="inlineStr"/>
    </row>
    <row r="519" ht="15" customHeight="1">
      <c r="A519" t="inlineStr">
        <is>
          <t>A 60675-2021</t>
        </is>
      </c>
      <c r="B519" s="1" t="n">
        <v>44496.64855324074</v>
      </c>
      <c r="C519" s="1" t="n">
        <v>46083</v>
      </c>
      <c r="D519" t="inlineStr">
        <is>
          <t>GOTLANDS LÄN</t>
        </is>
      </c>
      <c r="E519" t="inlineStr">
        <is>
          <t>GOTLAND</t>
        </is>
      </c>
      <c r="G519" t="n">
        <v>4.6</v>
      </c>
      <c r="H519" t="n">
        <v>0</v>
      </c>
      <c r="I519" t="n">
        <v>0</v>
      </c>
      <c r="J519" t="n">
        <v>0</v>
      </c>
      <c r="K519" t="n">
        <v>0</v>
      </c>
      <c r="L519" t="n">
        <v>0</v>
      </c>
      <c r="M519" t="n">
        <v>0</v>
      </c>
      <c r="N519" t="n">
        <v>0</v>
      </c>
      <c r="O519" t="n">
        <v>0</v>
      </c>
      <c r="P519" t="n">
        <v>0</v>
      </c>
      <c r="Q519" t="n">
        <v>0</v>
      </c>
      <c r="R519" s="2" t="inlineStr"/>
    </row>
    <row r="520" ht="15" customHeight="1">
      <c r="A520" t="inlineStr">
        <is>
          <t>A 37728-2024</t>
        </is>
      </c>
      <c r="B520" s="1" t="n">
        <v>45541</v>
      </c>
      <c r="C520" s="1" t="n">
        <v>46083</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46083</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46083</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9504-2026</t>
        </is>
      </c>
      <c r="B523" s="1" t="n">
        <v>46071.57730324074</v>
      </c>
      <c r="C523" s="1" t="n">
        <v>46083</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63105-2025</t>
        </is>
      </c>
      <c r="B524" s="1" t="n">
        <v>46009</v>
      </c>
      <c r="C524" s="1" t="n">
        <v>46083</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46083</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46083</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46083</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46083</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65249-2023</t>
        </is>
      </c>
      <c r="B529" s="1" t="n">
        <v>45290</v>
      </c>
      <c r="C529" s="1" t="n">
        <v>46083</v>
      </c>
      <c r="D529" t="inlineStr">
        <is>
          <t>GOTLANDS LÄN</t>
        </is>
      </c>
      <c r="E529" t="inlineStr">
        <is>
          <t>GOTLAND</t>
        </is>
      </c>
      <c r="G529" t="n">
        <v>2.4</v>
      </c>
      <c r="H529" t="n">
        <v>0</v>
      </c>
      <c r="I529" t="n">
        <v>0</v>
      </c>
      <c r="J529" t="n">
        <v>0</v>
      </c>
      <c r="K529" t="n">
        <v>0</v>
      </c>
      <c r="L529" t="n">
        <v>0</v>
      </c>
      <c r="M529" t="n">
        <v>0</v>
      </c>
      <c r="N529" t="n">
        <v>0</v>
      </c>
      <c r="O529" t="n">
        <v>0</v>
      </c>
      <c r="P529" t="n">
        <v>0</v>
      </c>
      <c r="Q529" t="n">
        <v>0</v>
      </c>
      <c r="R529" s="2" t="inlineStr"/>
    </row>
    <row r="530" ht="15" customHeight="1">
      <c r="A530" t="inlineStr">
        <is>
          <t>A 1355-2026</t>
        </is>
      </c>
      <c r="B530" s="1" t="n">
        <v>46031.59909722222</v>
      </c>
      <c r="C530" s="1" t="n">
        <v>46083</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13910-2025</t>
        </is>
      </c>
      <c r="B531" s="1" t="n">
        <v>45737</v>
      </c>
      <c r="C531" s="1" t="n">
        <v>46083</v>
      </c>
      <c r="D531" t="inlineStr">
        <is>
          <t>GOTLANDS LÄN</t>
        </is>
      </c>
      <c r="E531" t="inlineStr">
        <is>
          <t>GOTLAND</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46083</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17780-2022</t>
        </is>
      </c>
      <c r="B533" s="1" t="n">
        <v>44682.82622685185</v>
      </c>
      <c r="C533" s="1" t="n">
        <v>46083</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62836-2025</t>
        </is>
      </c>
      <c r="B534" s="1" t="n">
        <v>46008</v>
      </c>
      <c r="C534" s="1" t="n">
        <v>46083</v>
      </c>
      <c r="D534" t="inlineStr">
        <is>
          <t>GOTLANDS LÄN</t>
        </is>
      </c>
      <c r="E534" t="inlineStr">
        <is>
          <t>GOTLAND</t>
        </is>
      </c>
      <c r="G534" t="n">
        <v>6.5</v>
      </c>
      <c r="H534" t="n">
        <v>0</v>
      </c>
      <c r="I534" t="n">
        <v>0</v>
      </c>
      <c r="J534" t="n">
        <v>0</v>
      </c>
      <c r="K534" t="n">
        <v>0</v>
      </c>
      <c r="L534" t="n">
        <v>0</v>
      </c>
      <c r="M534" t="n">
        <v>0</v>
      </c>
      <c r="N534" t="n">
        <v>0</v>
      </c>
      <c r="O534" t="n">
        <v>0</v>
      </c>
      <c r="P534" t="n">
        <v>0</v>
      </c>
      <c r="Q534" t="n">
        <v>0</v>
      </c>
      <c r="R534" s="2" t="inlineStr"/>
    </row>
    <row r="535" ht="15" customHeight="1">
      <c r="A535" t="inlineStr">
        <is>
          <t>A 59986-2022</t>
        </is>
      </c>
      <c r="B535" s="1" t="n">
        <v>44909</v>
      </c>
      <c r="C535" s="1" t="n">
        <v>46083</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14536-2021</t>
        </is>
      </c>
      <c r="B536" s="1" t="n">
        <v>44279.66168981481</v>
      </c>
      <c r="C536" s="1" t="n">
        <v>46083</v>
      </c>
      <c r="D536" t="inlineStr">
        <is>
          <t>GOTLANDS LÄN</t>
        </is>
      </c>
      <c r="E536" t="inlineStr">
        <is>
          <t>GOTLAND</t>
        </is>
      </c>
      <c r="G536" t="n">
        <v>8.5</v>
      </c>
      <c r="H536" t="n">
        <v>0</v>
      </c>
      <c r="I536" t="n">
        <v>0</v>
      </c>
      <c r="J536" t="n">
        <v>0</v>
      </c>
      <c r="K536" t="n">
        <v>0</v>
      </c>
      <c r="L536" t="n">
        <v>0</v>
      </c>
      <c r="M536" t="n">
        <v>0</v>
      </c>
      <c r="N536" t="n">
        <v>0</v>
      </c>
      <c r="O536" t="n">
        <v>0</v>
      </c>
      <c r="P536" t="n">
        <v>0</v>
      </c>
      <c r="Q536" t="n">
        <v>0</v>
      </c>
      <c r="R536" s="2" t="inlineStr"/>
    </row>
    <row r="537" ht="15" customHeight="1">
      <c r="A537" t="inlineStr">
        <is>
          <t>A 2135-2026</t>
        </is>
      </c>
      <c r="B537" s="1" t="n">
        <v>46036</v>
      </c>
      <c r="C537" s="1" t="n">
        <v>46083</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10284-2026</t>
        </is>
      </c>
      <c r="B538" s="1" t="n">
        <v>46076</v>
      </c>
      <c r="C538" s="1" t="n">
        <v>46083</v>
      </c>
      <c r="D538" t="inlineStr">
        <is>
          <t>GOTLANDS LÄN</t>
        </is>
      </c>
      <c r="E538" t="inlineStr">
        <is>
          <t>GOTLAND</t>
        </is>
      </c>
      <c r="G538" t="n">
        <v>5.2</v>
      </c>
      <c r="H538" t="n">
        <v>0</v>
      </c>
      <c r="I538" t="n">
        <v>0</v>
      </c>
      <c r="J538" t="n">
        <v>0</v>
      </c>
      <c r="K538" t="n">
        <v>0</v>
      </c>
      <c r="L538" t="n">
        <v>0</v>
      </c>
      <c r="M538" t="n">
        <v>0</v>
      </c>
      <c r="N538" t="n">
        <v>0</v>
      </c>
      <c r="O538" t="n">
        <v>0</v>
      </c>
      <c r="P538" t="n">
        <v>0</v>
      </c>
      <c r="Q538" t="n">
        <v>0</v>
      </c>
      <c r="R538" s="2" t="inlineStr"/>
    </row>
    <row r="539" ht="15" customHeight="1">
      <c r="A539" t="inlineStr">
        <is>
          <t>A 1898-2026</t>
        </is>
      </c>
      <c r="B539" s="1" t="n">
        <v>46035.52024305556</v>
      </c>
      <c r="C539" s="1" t="n">
        <v>46083</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46083</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2134-2026</t>
        </is>
      </c>
      <c r="B541" s="1" t="n">
        <v>46036</v>
      </c>
      <c r="C541" s="1" t="n">
        <v>46083</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42041-2024</t>
        </is>
      </c>
      <c r="B542" s="1" t="n">
        <v>45561</v>
      </c>
      <c r="C542" s="1" t="n">
        <v>46083</v>
      </c>
      <c r="D542" t="inlineStr">
        <is>
          <t>GOTLANDS LÄN</t>
        </is>
      </c>
      <c r="E542" t="inlineStr">
        <is>
          <t>GOTLAND</t>
        </is>
      </c>
      <c r="G542" t="n">
        <v>3.2</v>
      </c>
      <c r="H542" t="n">
        <v>0</v>
      </c>
      <c r="I542" t="n">
        <v>0</v>
      </c>
      <c r="J542" t="n">
        <v>0</v>
      </c>
      <c r="K542" t="n">
        <v>0</v>
      </c>
      <c r="L542" t="n">
        <v>0</v>
      </c>
      <c r="M542" t="n">
        <v>0</v>
      </c>
      <c r="N542" t="n">
        <v>0</v>
      </c>
      <c r="O542" t="n">
        <v>0</v>
      </c>
      <c r="P542" t="n">
        <v>0</v>
      </c>
      <c r="Q542" t="n">
        <v>0</v>
      </c>
      <c r="R542" s="2" t="inlineStr"/>
    </row>
    <row r="543" ht="15" customHeight="1">
      <c r="A543" t="inlineStr">
        <is>
          <t>A 61694-2023</t>
        </is>
      </c>
      <c r="B543" s="1" t="n">
        <v>45264</v>
      </c>
      <c r="C543" s="1" t="n">
        <v>46083</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1839-2026</t>
        </is>
      </c>
      <c r="B544" s="1" t="n">
        <v>46035.3942824074</v>
      </c>
      <c r="C544" s="1" t="n">
        <v>46083</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64555-2023</t>
        </is>
      </c>
      <c r="B545" s="1" t="n">
        <v>45281</v>
      </c>
      <c r="C545" s="1" t="n">
        <v>46083</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64831-2023</t>
        </is>
      </c>
      <c r="B546" s="1" t="n">
        <v>45282.44924768519</v>
      </c>
      <c r="C546" s="1" t="n">
        <v>46083</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14804-2021</t>
        </is>
      </c>
      <c r="B547" s="1" t="n">
        <v>44280</v>
      </c>
      <c r="C547" s="1" t="n">
        <v>46083</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999-2023</t>
        </is>
      </c>
      <c r="B548" s="1" t="n">
        <v>44935</v>
      </c>
      <c r="C548" s="1" t="n">
        <v>46083</v>
      </c>
      <c r="D548" t="inlineStr">
        <is>
          <t>GOTLANDS LÄN</t>
        </is>
      </c>
      <c r="E548" t="inlineStr">
        <is>
          <t>GOTLAND</t>
        </is>
      </c>
      <c r="G548" t="n">
        <v>4.7</v>
      </c>
      <c r="H548" t="n">
        <v>0</v>
      </c>
      <c r="I548" t="n">
        <v>0</v>
      </c>
      <c r="J548" t="n">
        <v>0</v>
      </c>
      <c r="K548" t="n">
        <v>0</v>
      </c>
      <c r="L548" t="n">
        <v>0</v>
      </c>
      <c r="M548" t="n">
        <v>0</v>
      </c>
      <c r="N548" t="n">
        <v>0</v>
      </c>
      <c r="O548" t="n">
        <v>0</v>
      </c>
      <c r="P548" t="n">
        <v>0</v>
      </c>
      <c r="Q548" t="n">
        <v>0</v>
      </c>
      <c r="R548" s="2" t="inlineStr"/>
    </row>
    <row r="549" ht="15" customHeight="1">
      <c r="A549" t="inlineStr">
        <is>
          <t>A 2415-2026</t>
        </is>
      </c>
      <c r="B549" s="1" t="n">
        <v>46036.76203703704</v>
      </c>
      <c r="C549" s="1" t="n">
        <v>46083</v>
      </c>
      <c r="D549" t="inlineStr">
        <is>
          <t>GOTLANDS LÄN</t>
        </is>
      </c>
      <c r="E549" t="inlineStr">
        <is>
          <t>GOTLAND</t>
        </is>
      </c>
      <c r="G549" t="n">
        <v>6.9</v>
      </c>
      <c r="H549" t="n">
        <v>0</v>
      </c>
      <c r="I549" t="n">
        <v>0</v>
      </c>
      <c r="J549" t="n">
        <v>0</v>
      </c>
      <c r="K549" t="n">
        <v>0</v>
      </c>
      <c r="L549" t="n">
        <v>0</v>
      </c>
      <c r="M549" t="n">
        <v>0</v>
      </c>
      <c r="N549" t="n">
        <v>0</v>
      </c>
      <c r="O549" t="n">
        <v>0</v>
      </c>
      <c r="P549" t="n">
        <v>0</v>
      </c>
      <c r="Q549" t="n">
        <v>0</v>
      </c>
      <c r="R549" s="2" t="inlineStr"/>
    </row>
    <row r="550" ht="15" customHeight="1">
      <c r="A550" t="inlineStr">
        <is>
          <t>A 27602-2023</t>
        </is>
      </c>
      <c r="B550" s="1" t="n">
        <v>45097</v>
      </c>
      <c r="C550" s="1" t="n">
        <v>46083</v>
      </c>
      <c r="D550" t="inlineStr">
        <is>
          <t>GOTLANDS LÄN</t>
        </is>
      </c>
      <c r="E550" t="inlineStr">
        <is>
          <t>GOTLAND</t>
        </is>
      </c>
      <c r="G550" t="n">
        <v>2.7</v>
      </c>
      <c r="H550" t="n">
        <v>0</v>
      </c>
      <c r="I550" t="n">
        <v>0</v>
      </c>
      <c r="J550" t="n">
        <v>0</v>
      </c>
      <c r="K550" t="n">
        <v>0</v>
      </c>
      <c r="L550" t="n">
        <v>0</v>
      </c>
      <c r="M550" t="n">
        <v>0</v>
      </c>
      <c r="N550" t="n">
        <v>0</v>
      </c>
      <c r="O550" t="n">
        <v>0</v>
      </c>
      <c r="P550" t="n">
        <v>0</v>
      </c>
      <c r="Q550" t="n">
        <v>0</v>
      </c>
      <c r="R550" s="2" t="inlineStr"/>
    </row>
    <row r="551" ht="15" customHeight="1">
      <c r="A551" t="inlineStr">
        <is>
          <t>A 62754-2025</t>
        </is>
      </c>
      <c r="B551" s="1" t="n">
        <v>46008</v>
      </c>
      <c r="C551" s="1" t="n">
        <v>46083</v>
      </c>
      <c r="D551" t="inlineStr">
        <is>
          <t>GOTLANDS LÄN</t>
        </is>
      </c>
      <c r="E551" t="inlineStr">
        <is>
          <t>GOTLAND</t>
        </is>
      </c>
      <c r="F551" t="inlineStr">
        <is>
          <t>Övriga Aktiebolag</t>
        </is>
      </c>
      <c r="G551" t="n">
        <v>2.9</v>
      </c>
      <c r="H551" t="n">
        <v>0</v>
      </c>
      <c r="I551" t="n">
        <v>0</v>
      </c>
      <c r="J551" t="n">
        <v>0</v>
      </c>
      <c r="K551" t="n">
        <v>0</v>
      </c>
      <c r="L551" t="n">
        <v>0</v>
      </c>
      <c r="M551" t="n">
        <v>0</v>
      </c>
      <c r="N551" t="n">
        <v>0</v>
      </c>
      <c r="O551" t="n">
        <v>0</v>
      </c>
      <c r="P551" t="n">
        <v>0</v>
      </c>
      <c r="Q551" t="n">
        <v>0</v>
      </c>
      <c r="R551" s="2" t="inlineStr"/>
    </row>
    <row r="552" ht="15" customHeight="1">
      <c r="A552" t="inlineStr">
        <is>
          <t>A 1854-2026</t>
        </is>
      </c>
      <c r="B552" s="1" t="n">
        <v>46035.4171875</v>
      </c>
      <c r="C552" s="1" t="n">
        <v>46083</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63000-2025</t>
        </is>
      </c>
      <c r="B553" s="1" t="n">
        <v>46009</v>
      </c>
      <c r="C553" s="1" t="n">
        <v>46083</v>
      </c>
      <c r="D553" t="inlineStr">
        <is>
          <t>GOTLANDS LÄN</t>
        </is>
      </c>
      <c r="E553" t="inlineStr">
        <is>
          <t>GOTLAND</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62751-2025</t>
        </is>
      </c>
      <c r="B554" s="1" t="n">
        <v>46008</v>
      </c>
      <c r="C554" s="1" t="n">
        <v>46083</v>
      </c>
      <c r="D554" t="inlineStr">
        <is>
          <t>GOTLANDS LÄN</t>
        </is>
      </c>
      <c r="E554" t="inlineStr">
        <is>
          <t>GOTLAND</t>
        </is>
      </c>
      <c r="F554" t="inlineStr">
        <is>
          <t>Övriga Aktiebolag</t>
        </is>
      </c>
      <c r="G554" t="n">
        <v>7.8</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46083</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44955.73359953704</v>
      </c>
      <c r="C556" s="1" t="n">
        <v>46083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39479-2022</t>
        </is>
      </c>
      <c r="B557" s="1" t="n">
        <v>44818</v>
      </c>
      <c r="C557" s="1" t="n">
        <v>46083</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51963-2024</t>
        </is>
      </c>
      <c r="B558" s="1" t="n">
        <v>45607.64833333333</v>
      </c>
      <c r="C558" s="1" t="n">
        <v>46083</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46083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46389-2021</t>
        </is>
      </c>
      <c r="B560" s="1" t="n">
        <v>44443</v>
      </c>
      <c r="C560" s="1" t="n">
        <v>46083</v>
      </c>
      <c r="D560" t="inlineStr">
        <is>
          <t>GOTLANDS LÄN</t>
        </is>
      </c>
      <c r="E560" t="inlineStr">
        <is>
          <t>GOTLAND</t>
        </is>
      </c>
      <c r="F560" t="inlineStr">
        <is>
          <t>Kyrkan</t>
        </is>
      </c>
      <c r="G560" t="n">
        <v>2.1</v>
      </c>
      <c r="H560" t="n">
        <v>0</v>
      </c>
      <c r="I560" t="n">
        <v>0</v>
      </c>
      <c r="J560" t="n">
        <v>0</v>
      </c>
      <c r="K560" t="n">
        <v>0</v>
      </c>
      <c r="L560" t="n">
        <v>0</v>
      </c>
      <c r="M560" t="n">
        <v>0</v>
      </c>
      <c r="N560" t="n">
        <v>0</v>
      </c>
      <c r="O560" t="n">
        <v>0</v>
      </c>
      <c r="P560" t="n">
        <v>0</v>
      </c>
      <c r="Q560" t="n">
        <v>0</v>
      </c>
      <c r="R560" s="2" t="inlineStr"/>
    </row>
    <row r="561" ht="15" customHeight="1">
      <c r="A561" t="inlineStr">
        <is>
          <t>A 26810-2021</t>
        </is>
      </c>
      <c r="B561" s="1" t="n">
        <v>44349.55087962963</v>
      </c>
      <c r="C561" s="1" t="n">
        <v>46083</v>
      </c>
      <c r="D561" t="inlineStr">
        <is>
          <t>GOTLANDS LÄN</t>
        </is>
      </c>
      <c r="E561" t="inlineStr">
        <is>
          <t>GOTLAND</t>
        </is>
      </c>
      <c r="G561" t="n">
        <v>3.5</v>
      </c>
      <c r="H561" t="n">
        <v>0</v>
      </c>
      <c r="I561" t="n">
        <v>0</v>
      </c>
      <c r="J561" t="n">
        <v>0</v>
      </c>
      <c r="K561" t="n">
        <v>0</v>
      </c>
      <c r="L561" t="n">
        <v>0</v>
      </c>
      <c r="M561" t="n">
        <v>0</v>
      </c>
      <c r="N561" t="n">
        <v>0</v>
      </c>
      <c r="O561" t="n">
        <v>0</v>
      </c>
      <c r="P561" t="n">
        <v>0</v>
      </c>
      <c r="Q561" t="n">
        <v>0</v>
      </c>
      <c r="R561" s="2" t="inlineStr"/>
    </row>
    <row r="562" ht="15" customHeight="1">
      <c r="A562" t="inlineStr">
        <is>
          <t>A 5923-2023</t>
        </is>
      </c>
      <c r="B562" s="1" t="n">
        <v>44963.69503472222</v>
      </c>
      <c r="C562" s="1" t="n">
        <v>46083</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46083</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18918-2025</t>
        </is>
      </c>
      <c r="B564" s="1" t="n">
        <v>45764</v>
      </c>
      <c r="C564" s="1" t="n">
        <v>46083</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46083</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10655-2023</t>
        </is>
      </c>
      <c r="B566" s="1" t="n">
        <v>44988.49543981482</v>
      </c>
      <c r="C566" s="1" t="n">
        <v>46083</v>
      </c>
      <c r="D566" t="inlineStr">
        <is>
          <t>GOTLANDS LÄN</t>
        </is>
      </c>
      <c r="E566" t="inlineStr">
        <is>
          <t>GOTLAND</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2719-2023</t>
        </is>
      </c>
      <c r="B567" s="1" t="n">
        <v>44944.55361111111</v>
      </c>
      <c r="C567" s="1" t="n">
        <v>46083</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26891-2024</t>
        </is>
      </c>
      <c r="B568" s="1" t="n">
        <v>45470.65540509259</v>
      </c>
      <c r="C568" s="1" t="n">
        <v>46083</v>
      </c>
      <c r="D568" t="inlineStr">
        <is>
          <t>GOTLANDS LÄN</t>
        </is>
      </c>
      <c r="E568" t="inlineStr">
        <is>
          <t>GOTLAND</t>
        </is>
      </c>
      <c r="G568" t="n">
        <v>0.8</v>
      </c>
      <c r="H568" t="n">
        <v>0</v>
      </c>
      <c r="I568" t="n">
        <v>0</v>
      </c>
      <c r="J568" t="n">
        <v>0</v>
      </c>
      <c r="K568" t="n">
        <v>0</v>
      </c>
      <c r="L568" t="n">
        <v>0</v>
      </c>
      <c r="M568" t="n">
        <v>0</v>
      </c>
      <c r="N568" t="n">
        <v>0</v>
      </c>
      <c r="O568" t="n">
        <v>0</v>
      </c>
      <c r="P568" t="n">
        <v>0</v>
      </c>
      <c r="Q568" t="n">
        <v>0</v>
      </c>
      <c r="R568" s="2" t="inlineStr"/>
    </row>
    <row r="569" ht="15" customHeight="1">
      <c r="A569" t="inlineStr">
        <is>
          <t>A 42007-2023</t>
        </is>
      </c>
      <c r="B569" s="1" t="n">
        <v>45177</v>
      </c>
      <c r="C569" s="1" t="n">
        <v>46083</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9887-2025</t>
        </is>
      </c>
      <c r="B570" s="1" t="n">
        <v>45716</v>
      </c>
      <c r="C570" s="1" t="n">
        <v>46083</v>
      </c>
      <c r="D570" t="inlineStr">
        <is>
          <t>GOTLANDS LÄN</t>
        </is>
      </c>
      <c r="E570" t="inlineStr">
        <is>
          <t>GOTLAND</t>
        </is>
      </c>
      <c r="G570" t="n">
        <v>7.5</v>
      </c>
      <c r="H570" t="n">
        <v>0</v>
      </c>
      <c r="I570" t="n">
        <v>0</v>
      </c>
      <c r="J570" t="n">
        <v>0</v>
      </c>
      <c r="K570" t="n">
        <v>0</v>
      </c>
      <c r="L570" t="n">
        <v>0</v>
      </c>
      <c r="M570" t="n">
        <v>0</v>
      </c>
      <c r="N570" t="n">
        <v>0</v>
      </c>
      <c r="O570" t="n">
        <v>0</v>
      </c>
      <c r="P570" t="n">
        <v>0</v>
      </c>
      <c r="Q570" t="n">
        <v>0</v>
      </c>
      <c r="R570" s="2" t="inlineStr"/>
    </row>
    <row r="571" ht="15" customHeight="1">
      <c r="A571" t="inlineStr">
        <is>
          <t>A 38165-2023</t>
        </is>
      </c>
      <c r="B571" s="1" t="n">
        <v>45161</v>
      </c>
      <c r="C571" s="1" t="n">
        <v>46083</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27596-2023</t>
        </is>
      </c>
      <c r="B572" s="1" t="n">
        <v>45097</v>
      </c>
      <c r="C572" s="1" t="n">
        <v>46083</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24825-2024</t>
        </is>
      </c>
      <c r="B573" s="1" t="n">
        <v>45461</v>
      </c>
      <c r="C573" s="1" t="n">
        <v>46083</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6696-2023</t>
        </is>
      </c>
      <c r="B574" s="1" t="n">
        <v>44966.66425925926</v>
      </c>
      <c r="C574" s="1" t="n">
        <v>46083</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21247-2022</t>
        </is>
      </c>
      <c r="B575" s="1" t="n">
        <v>44705.38832175926</v>
      </c>
      <c r="C575" s="1" t="n">
        <v>46083</v>
      </c>
      <c r="D575" t="inlineStr">
        <is>
          <t>GOTLANDS LÄN</t>
        </is>
      </c>
      <c r="E575" t="inlineStr">
        <is>
          <t>GOTLAND</t>
        </is>
      </c>
      <c r="G575" t="n">
        <v>16.2</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44929.87122685185</v>
      </c>
      <c r="C576" s="1" t="n">
        <v>46083</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44944.54896990741</v>
      </c>
      <c r="C577" s="1" t="n">
        <v>46083</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4421-2024</t>
        </is>
      </c>
      <c r="B578" s="1" t="n">
        <v>45327.45173611111</v>
      </c>
      <c r="C578" s="1" t="n">
        <v>46083</v>
      </c>
      <c r="D578" t="inlineStr">
        <is>
          <t>GOTLANDS LÄN</t>
        </is>
      </c>
      <c r="E578" t="inlineStr">
        <is>
          <t>GOTLAND</t>
        </is>
      </c>
      <c r="G578" t="n">
        <v>5.1</v>
      </c>
      <c r="H578" t="n">
        <v>0</v>
      </c>
      <c r="I578" t="n">
        <v>0</v>
      </c>
      <c r="J578" t="n">
        <v>0</v>
      </c>
      <c r="K578" t="n">
        <v>0</v>
      </c>
      <c r="L578" t="n">
        <v>0</v>
      </c>
      <c r="M578" t="n">
        <v>0</v>
      </c>
      <c r="N578" t="n">
        <v>0</v>
      </c>
      <c r="O578" t="n">
        <v>0</v>
      </c>
      <c r="P578" t="n">
        <v>0</v>
      </c>
      <c r="Q578" t="n">
        <v>0</v>
      </c>
      <c r="R578" s="2" t="inlineStr"/>
    </row>
    <row r="579" ht="15" customHeight="1">
      <c r="A579" t="inlineStr">
        <is>
          <t>A 51782-2023</t>
        </is>
      </c>
      <c r="B579" s="1" t="n">
        <v>45222.80952546297</v>
      </c>
      <c r="C579" s="1" t="n">
        <v>46083</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54268-2022</t>
        </is>
      </c>
      <c r="B580" s="1" t="n">
        <v>44882</v>
      </c>
      <c r="C580" s="1" t="n">
        <v>46083</v>
      </c>
      <c r="D580" t="inlineStr">
        <is>
          <t>GOTLANDS LÄN</t>
        </is>
      </c>
      <c r="E580" t="inlineStr">
        <is>
          <t>GOTLAND</t>
        </is>
      </c>
      <c r="G580" t="n">
        <v>2.7</v>
      </c>
      <c r="H580" t="n">
        <v>0</v>
      </c>
      <c r="I580" t="n">
        <v>0</v>
      </c>
      <c r="J580" t="n">
        <v>0</v>
      </c>
      <c r="K580" t="n">
        <v>0</v>
      </c>
      <c r="L580" t="n">
        <v>0</v>
      </c>
      <c r="M580" t="n">
        <v>0</v>
      </c>
      <c r="N580" t="n">
        <v>0</v>
      </c>
      <c r="O580" t="n">
        <v>0</v>
      </c>
      <c r="P580" t="n">
        <v>0</v>
      </c>
      <c r="Q580" t="n">
        <v>0</v>
      </c>
      <c r="R580" s="2" t="inlineStr"/>
    </row>
    <row r="581" ht="15" customHeight="1">
      <c r="A581" t="inlineStr">
        <is>
          <t>A 57534-2022</t>
        </is>
      </c>
      <c r="B581" s="1" t="n">
        <v>44896</v>
      </c>
      <c r="C581" s="1" t="n">
        <v>46083</v>
      </c>
      <c r="D581" t="inlineStr">
        <is>
          <t>GOTLANDS LÄN</t>
        </is>
      </c>
      <c r="E581" t="inlineStr">
        <is>
          <t>GOTLAND</t>
        </is>
      </c>
      <c r="G581" t="n">
        <v>0.6</v>
      </c>
      <c r="H581" t="n">
        <v>0</v>
      </c>
      <c r="I581" t="n">
        <v>0</v>
      </c>
      <c r="J581" t="n">
        <v>0</v>
      </c>
      <c r="K581" t="n">
        <v>0</v>
      </c>
      <c r="L581" t="n">
        <v>0</v>
      </c>
      <c r="M581" t="n">
        <v>0</v>
      </c>
      <c r="N581" t="n">
        <v>0</v>
      </c>
      <c r="O581" t="n">
        <v>0</v>
      </c>
      <c r="P581" t="n">
        <v>0</v>
      </c>
      <c r="Q581" t="n">
        <v>0</v>
      </c>
      <c r="R581" s="2" t="inlineStr"/>
    </row>
    <row r="582" ht="15" customHeight="1">
      <c r="A582" t="inlineStr">
        <is>
          <t>A 25866-2022</t>
        </is>
      </c>
      <c r="B582" s="1" t="n">
        <v>44733</v>
      </c>
      <c r="C582" s="1" t="n">
        <v>46083</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43229-2023</t>
        </is>
      </c>
      <c r="B583" s="1" t="n">
        <v>45183.46704861111</v>
      </c>
      <c r="C583" s="1" t="n">
        <v>46083</v>
      </c>
      <c r="D583" t="inlineStr">
        <is>
          <t>GOTLANDS LÄN</t>
        </is>
      </c>
      <c r="E583" t="inlineStr">
        <is>
          <t>GOTLAND</t>
        </is>
      </c>
      <c r="G583" t="n">
        <v>7.1</v>
      </c>
      <c r="H583" t="n">
        <v>0</v>
      </c>
      <c r="I583" t="n">
        <v>0</v>
      </c>
      <c r="J583" t="n">
        <v>0</v>
      </c>
      <c r="K583" t="n">
        <v>0</v>
      </c>
      <c r="L583" t="n">
        <v>0</v>
      </c>
      <c r="M583" t="n">
        <v>0</v>
      </c>
      <c r="N583" t="n">
        <v>0</v>
      </c>
      <c r="O583" t="n">
        <v>0</v>
      </c>
      <c r="P583" t="n">
        <v>0</v>
      </c>
      <c r="Q583" t="n">
        <v>0</v>
      </c>
      <c r="R583" s="2" t="inlineStr"/>
    </row>
    <row r="584" ht="15" customHeight="1">
      <c r="A584" t="inlineStr">
        <is>
          <t>A 1175-2025</t>
        </is>
      </c>
      <c r="B584" s="1" t="n">
        <v>45667.34449074074</v>
      </c>
      <c r="C584" s="1" t="n">
        <v>46083</v>
      </c>
      <c r="D584" t="inlineStr">
        <is>
          <t>GOTLANDS LÄN</t>
        </is>
      </c>
      <c r="E584" t="inlineStr">
        <is>
          <t>GOTLAND</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27095-2022</t>
        </is>
      </c>
      <c r="B585" s="1" t="n">
        <v>44741</v>
      </c>
      <c r="C585" s="1" t="n">
        <v>46083</v>
      </c>
      <c r="D585" t="inlineStr">
        <is>
          <t>GOTLANDS LÄN</t>
        </is>
      </c>
      <c r="E585" t="inlineStr">
        <is>
          <t>GOTLAND</t>
        </is>
      </c>
      <c r="F585" t="inlineStr">
        <is>
          <t>Övriga Aktiebolag</t>
        </is>
      </c>
      <c r="G585" t="n">
        <v>2.9</v>
      </c>
      <c r="H585" t="n">
        <v>0</v>
      </c>
      <c r="I585" t="n">
        <v>0</v>
      </c>
      <c r="J585" t="n">
        <v>0</v>
      </c>
      <c r="K585" t="n">
        <v>0</v>
      </c>
      <c r="L585" t="n">
        <v>0</v>
      </c>
      <c r="M585" t="n">
        <v>0</v>
      </c>
      <c r="N585" t="n">
        <v>0</v>
      </c>
      <c r="O585" t="n">
        <v>0</v>
      </c>
      <c r="P585" t="n">
        <v>0</v>
      </c>
      <c r="Q585" t="n">
        <v>0</v>
      </c>
      <c r="R585" s="2" t="inlineStr"/>
    </row>
    <row r="586" ht="15" customHeight="1">
      <c r="A586" t="inlineStr">
        <is>
          <t>A 22899-2023</t>
        </is>
      </c>
      <c r="B586" s="1" t="n">
        <v>45072</v>
      </c>
      <c r="C586" s="1" t="n">
        <v>46083</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23978-2023</t>
        </is>
      </c>
      <c r="B587" s="1" t="n">
        <v>45078</v>
      </c>
      <c r="C587" s="1" t="n">
        <v>46083</v>
      </c>
      <c r="D587" t="inlineStr">
        <is>
          <t>GOTLANDS LÄN</t>
        </is>
      </c>
      <c r="E587" t="inlineStr">
        <is>
          <t>GOTLAND</t>
        </is>
      </c>
      <c r="F587" t="inlineStr">
        <is>
          <t>Naturvårdsverket</t>
        </is>
      </c>
      <c r="G587" t="n">
        <v>1.7</v>
      </c>
      <c r="H587" t="n">
        <v>0</v>
      </c>
      <c r="I587" t="n">
        <v>0</v>
      </c>
      <c r="J587" t="n">
        <v>0</v>
      </c>
      <c r="K587" t="n">
        <v>0</v>
      </c>
      <c r="L587" t="n">
        <v>0</v>
      </c>
      <c r="M587" t="n">
        <v>0</v>
      </c>
      <c r="N587" t="n">
        <v>0</v>
      </c>
      <c r="O587" t="n">
        <v>0</v>
      </c>
      <c r="P587" t="n">
        <v>0</v>
      </c>
      <c r="Q587" t="n">
        <v>0</v>
      </c>
      <c r="R587" s="2" t="inlineStr"/>
    </row>
    <row r="588" ht="15" customHeight="1">
      <c r="A588" t="inlineStr">
        <is>
          <t>A 34407-2023</t>
        </is>
      </c>
      <c r="B588" s="1" t="n">
        <v>45132</v>
      </c>
      <c r="C588" s="1" t="n">
        <v>46083</v>
      </c>
      <c r="D588" t="inlineStr">
        <is>
          <t>GOTLANDS LÄN</t>
        </is>
      </c>
      <c r="E588" t="inlineStr">
        <is>
          <t>GOTLAND</t>
        </is>
      </c>
      <c r="G588" t="n">
        <v>4.4</v>
      </c>
      <c r="H588" t="n">
        <v>0</v>
      </c>
      <c r="I588" t="n">
        <v>0</v>
      </c>
      <c r="J588" t="n">
        <v>0</v>
      </c>
      <c r="K588" t="n">
        <v>0</v>
      </c>
      <c r="L588" t="n">
        <v>0</v>
      </c>
      <c r="M588" t="n">
        <v>0</v>
      </c>
      <c r="N588" t="n">
        <v>0</v>
      </c>
      <c r="O588" t="n">
        <v>0</v>
      </c>
      <c r="P588" t="n">
        <v>0</v>
      </c>
      <c r="Q588" t="n">
        <v>0</v>
      </c>
      <c r="R588" s="2" t="inlineStr"/>
    </row>
    <row r="589" ht="15" customHeight="1">
      <c r="A589" t="inlineStr">
        <is>
          <t>A 11013-2024</t>
        </is>
      </c>
      <c r="B589" s="1" t="n">
        <v>45370</v>
      </c>
      <c r="C589" s="1" t="n">
        <v>46083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27694-2024</t>
        </is>
      </c>
      <c r="B590" s="1" t="n">
        <v>45475</v>
      </c>
      <c r="C590" s="1" t="n">
        <v>46083</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15083-2025</t>
        </is>
      </c>
      <c r="B591" s="1" t="n">
        <v>45743</v>
      </c>
      <c r="C591" s="1" t="n">
        <v>46083</v>
      </c>
      <c r="D591" t="inlineStr">
        <is>
          <t>GOTLANDS LÄN</t>
        </is>
      </c>
      <c r="E591" t="inlineStr">
        <is>
          <t>GOTLAND</t>
        </is>
      </c>
      <c r="G591" t="n">
        <v>2.3</v>
      </c>
      <c r="H591" t="n">
        <v>0</v>
      </c>
      <c r="I591" t="n">
        <v>0</v>
      </c>
      <c r="J591" t="n">
        <v>0</v>
      </c>
      <c r="K591" t="n">
        <v>0</v>
      </c>
      <c r="L591" t="n">
        <v>0</v>
      </c>
      <c r="M591" t="n">
        <v>0</v>
      </c>
      <c r="N591" t="n">
        <v>0</v>
      </c>
      <c r="O591" t="n">
        <v>0</v>
      </c>
      <c r="P591" t="n">
        <v>0</v>
      </c>
      <c r="Q591" t="n">
        <v>0</v>
      </c>
      <c r="R591" s="2" t="inlineStr"/>
    </row>
    <row r="592" ht="15" customHeight="1">
      <c r="A592" t="inlineStr">
        <is>
          <t>A 13037-2025</t>
        </is>
      </c>
      <c r="B592" s="1" t="n">
        <v>45734</v>
      </c>
      <c r="C592" s="1" t="n">
        <v>46083</v>
      </c>
      <c r="D592" t="inlineStr">
        <is>
          <t>GOTLANDS LÄN</t>
        </is>
      </c>
      <c r="E592" t="inlineStr">
        <is>
          <t>GOTLAND</t>
        </is>
      </c>
      <c r="G592" t="n">
        <v>9.5</v>
      </c>
      <c r="H592" t="n">
        <v>0</v>
      </c>
      <c r="I592" t="n">
        <v>0</v>
      </c>
      <c r="J592" t="n">
        <v>0</v>
      </c>
      <c r="K592" t="n">
        <v>0</v>
      </c>
      <c r="L592" t="n">
        <v>0</v>
      </c>
      <c r="M592" t="n">
        <v>0</v>
      </c>
      <c r="N592" t="n">
        <v>0</v>
      </c>
      <c r="O592" t="n">
        <v>0</v>
      </c>
      <c r="P592" t="n">
        <v>0</v>
      </c>
      <c r="Q592" t="n">
        <v>0</v>
      </c>
      <c r="R592" s="2" t="inlineStr"/>
    </row>
    <row r="593" ht="15" customHeight="1">
      <c r="A593" t="inlineStr">
        <is>
          <t>A 458-2023</t>
        </is>
      </c>
      <c r="B593" s="1" t="n">
        <v>44929</v>
      </c>
      <c r="C593" s="1" t="n">
        <v>46083</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44228-2022</t>
        </is>
      </c>
      <c r="B594" s="1" t="n">
        <v>44839.51599537037</v>
      </c>
      <c r="C594" s="1" t="n">
        <v>46083</v>
      </c>
      <c r="D594" t="inlineStr">
        <is>
          <t>GOTLANDS LÄN</t>
        </is>
      </c>
      <c r="E594" t="inlineStr">
        <is>
          <t>GOTLAND</t>
        </is>
      </c>
      <c r="G594" t="n">
        <v>2.1</v>
      </c>
      <c r="H594" t="n">
        <v>0</v>
      </c>
      <c r="I594" t="n">
        <v>0</v>
      </c>
      <c r="J594" t="n">
        <v>0</v>
      </c>
      <c r="K594" t="n">
        <v>0</v>
      </c>
      <c r="L594" t="n">
        <v>0</v>
      </c>
      <c r="M594" t="n">
        <v>0</v>
      </c>
      <c r="N594" t="n">
        <v>0</v>
      </c>
      <c r="O594" t="n">
        <v>0</v>
      </c>
      <c r="P594" t="n">
        <v>0</v>
      </c>
      <c r="Q594" t="n">
        <v>0</v>
      </c>
      <c r="R594" s="2" t="inlineStr"/>
    </row>
    <row r="595" ht="15" customHeight="1">
      <c r="A595" t="inlineStr">
        <is>
          <t>A 58132-2023</t>
        </is>
      </c>
      <c r="B595" s="1" t="n">
        <v>45250</v>
      </c>
      <c r="C595" s="1" t="n">
        <v>46083</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49884-2023</t>
        </is>
      </c>
      <c r="B596" s="1" t="n">
        <v>45213</v>
      </c>
      <c r="C596" s="1" t="n">
        <v>46083</v>
      </c>
      <c r="D596" t="inlineStr">
        <is>
          <t>GOTLANDS LÄN</t>
        </is>
      </c>
      <c r="E596" t="inlineStr">
        <is>
          <t>GOTLAND</t>
        </is>
      </c>
      <c r="G596" t="n">
        <v>8.9</v>
      </c>
      <c r="H596" t="n">
        <v>0</v>
      </c>
      <c r="I596" t="n">
        <v>0</v>
      </c>
      <c r="J596" t="n">
        <v>0</v>
      </c>
      <c r="K596" t="n">
        <v>0</v>
      </c>
      <c r="L596" t="n">
        <v>0</v>
      </c>
      <c r="M596" t="n">
        <v>0</v>
      </c>
      <c r="N596" t="n">
        <v>0</v>
      </c>
      <c r="O596" t="n">
        <v>0</v>
      </c>
      <c r="P596" t="n">
        <v>0</v>
      </c>
      <c r="Q596" t="n">
        <v>0</v>
      </c>
      <c r="R596" s="2" t="inlineStr"/>
    </row>
    <row r="597" ht="15" customHeight="1">
      <c r="A597" t="inlineStr">
        <is>
          <t>A 876-2024</t>
        </is>
      </c>
      <c r="B597" s="1" t="n">
        <v>45301</v>
      </c>
      <c r="C597" s="1" t="n">
        <v>46083</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46083</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28425-2023</t>
        </is>
      </c>
      <c r="B599" s="1" t="n">
        <v>45102</v>
      </c>
      <c r="C599" s="1" t="n">
        <v>46083</v>
      </c>
      <c r="D599" t="inlineStr">
        <is>
          <t>GOTLANDS LÄN</t>
        </is>
      </c>
      <c r="E599" t="inlineStr">
        <is>
          <t>GOTLAND</t>
        </is>
      </c>
      <c r="G599" t="n">
        <v>0.5</v>
      </c>
      <c r="H599" t="n">
        <v>0</v>
      </c>
      <c r="I599" t="n">
        <v>0</v>
      </c>
      <c r="J599" t="n">
        <v>0</v>
      </c>
      <c r="K599" t="n">
        <v>0</v>
      </c>
      <c r="L599" t="n">
        <v>0</v>
      </c>
      <c r="M599" t="n">
        <v>0</v>
      </c>
      <c r="N599" t="n">
        <v>0</v>
      </c>
      <c r="O599" t="n">
        <v>0</v>
      </c>
      <c r="P599" t="n">
        <v>0</v>
      </c>
      <c r="Q599" t="n">
        <v>0</v>
      </c>
      <c r="R599" s="2" t="inlineStr"/>
    </row>
    <row r="600" ht="15" customHeight="1">
      <c r="A600" t="inlineStr">
        <is>
          <t>A 58476-2022</t>
        </is>
      </c>
      <c r="B600" s="1" t="n">
        <v>44902</v>
      </c>
      <c r="C600" s="1" t="n">
        <v>46083</v>
      </c>
      <c r="D600" t="inlineStr">
        <is>
          <t>GOTLANDS LÄN</t>
        </is>
      </c>
      <c r="E600" t="inlineStr">
        <is>
          <t>GOTLAND</t>
        </is>
      </c>
      <c r="G600" t="n">
        <v>0.9</v>
      </c>
      <c r="H600" t="n">
        <v>0</v>
      </c>
      <c r="I600" t="n">
        <v>0</v>
      </c>
      <c r="J600" t="n">
        <v>0</v>
      </c>
      <c r="K600" t="n">
        <v>0</v>
      </c>
      <c r="L600" t="n">
        <v>0</v>
      </c>
      <c r="M600" t="n">
        <v>0</v>
      </c>
      <c r="N600" t="n">
        <v>0</v>
      </c>
      <c r="O600" t="n">
        <v>0</v>
      </c>
      <c r="P600" t="n">
        <v>0</v>
      </c>
      <c r="Q600" t="n">
        <v>0</v>
      </c>
      <c r="R600" s="2" t="inlineStr"/>
    </row>
    <row r="601" ht="15" customHeight="1">
      <c r="A601" t="inlineStr">
        <is>
          <t>A 43200-2023</t>
        </is>
      </c>
      <c r="B601" s="1" t="n">
        <v>45183</v>
      </c>
      <c r="C601" s="1" t="n">
        <v>46083</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43223-2023</t>
        </is>
      </c>
      <c r="B602" s="1" t="n">
        <v>45183.45642361111</v>
      </c>
      <c r="C602" s="1" t="n">
        <v>46083</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46083</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3431-2025</t>
        </is>
      </c>
      <c r="B604" s="1" t="n">
        <v>45680.42935185185</v>
      </c>
      <c r="C604" s="1" t="n">
        <v>46083</v>
      </c>
      <c r="D604" t="inlineStr">
        <is>
          <t>GOTLANDS LÄN</t>
        </is>
      </c>
      <c r="E604" t="inlineStr">
        <is>
          <t>GOTLAND</t>
        </is>
      </c>
      <c r="G604" t="n">
        <v>4.8</v>
      </c>
      <c r="H604" t="n">
        <v>0</v>
      </c>
      <c r="I604" t="n">
        <v>0</v>
      </c>
      <c r="J604" t="n">
        <v>0</v>
      </c>
      <c r="K604" t="n">
        <v>0</v>
      </c>
      <c r="L604" t="n">
        <v>0</v>
      </c>
      <c r="M604" t="n">
        <v>0</v>
      </c>
      <c r="N604" t="n">
        <v>0</v>
      </c>
      <c r="O604" t="n">
        <v>0</v>
      </c>
      <c r="P604" t="n">
        <v>0</v>
      </c>
      <c r="Q604" t="n">
        <v>0</v>
      </c>
      <c r="R604" s="2" t="inlineStr"/>
    </row>
    <row r="605" ht="15" customHeight="1">
      <c r="A605" t="inlineStr">
        <is>
          <t>A 12209-2024</t>
        </is>
      </c>
      <c r="B605" s="1" t="n">
        <v>45378</v>
      </c>
      <c r="C605" s="1" t="n">
        <v>46083</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12210-2024</t>
        </is>
      </c>
      <c r="B606" s="1" t="n">
        <v>45378</v>
      </c>
      <c r="C606" s="1" t="n">
        <v>46083</v>
      </c>
      <c r="D606" t="inlineStr">
        <is>
          <t>GOTLANDS LÄN</t>
        </is>
      </c>
      <c r="E606" t="inlineStr">
        <is>
          <t>GOTLAND</t>
        </is>
      </c>
      <c r="G606" t="n">
        <v>4.1</v>
      </c>
      <c r="H606" t="n">
        <v>0</v>
      </c>
      <c r="I606" t="n">
        <v>0</v>
      </c>
      <c r="J606" t="n">
        <v>0</v>
      </c>
      <c r="K606" t="n">
        <v>0</v>
      </c>
      <c r="L606" t="n">
        <v>0</v>
      </c>
      <c r="M606" t="n">
        <v>0</v>
      </c>
      <c r="N606" t="n">
        <v>0</v>
      </c>
      <c r="O606" t="n">
        <v>0</v>
      </c>
      <c r="P606" t="n">
        <v>0</v>
      </c>
      <c r="Q606" t="n">
        <v>0</v>
      </c>
      <c r="R606" s="2" t="inlineStr"/>
    </row>
    <row r="607" ht="15" customHeight="1">
      <c r="A607" t="inlineStr">
        <is>
          <t>A 1364-2025</t>
        </is>
      </c>
      <c r="B607" s="1" t="n">
        <v>45667.63929398148</v>
      </c>
      <c r="C607" s="1" t="n">
        <v>46083</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15042-2025</t>
        </is>
      </c>
      <c r="B608" s="1" t="n">
        <v>45743</v>
      </c>
      <c r="C608" s="1" t="n">
        <v>46083</v>
      </c>
      <c r="D608" t="inlineStr">
        <is>
          <t>GOTLANDS LÄN</t>
        </is>
      </c>
      <c r="E608" t="inlineStr">
        <is>
          <t>GOTLAND</t>
        </is>
      </c>
      <c r="G608" t="n">
        <v>8.5</v>
      </c>
      <c r="H608" t="n">
        <v>0</v>
      </c>
      <c r="I608" t="n">
        <v>0</v>
      </c>
      <c r="J608" t="n">
        <v>0</v>
      </c>
      <c r="K608" t="n">
        <v>0</v>
      </c>
      <c r="L608" t="n">
        <v>0</v>
      </c>
      <c r="M608" t="n">
        <v>0</v>
      </c>
      <c r="N608" t="n">
        <v>0</v>
      </c>
      <c r="O608" t="n">
        <v>0</v>
      </c>
      <c r="P608" t="n">
        <v>0</v>
      </c>
      <c r="Q608" t="n">
        <v>0</v>
      </c>
      <c r="R608" s="2" t="inlineStr"/>
    </row>
    <row r="609" ht="15" customHeight="1">
      <c r="A609" t="inlineStr">
        <is>
          <t>A 2180-2025</t>
        </is>
      </c>
      <c r="B609" s="1" t="n">
        <v>45673</v>
      </c>
      <c r="C609" s="1" t="n">
        <v>46083</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15436-2025</t>
        </is>
      </c>
      <c r="B610" s="1" t="n">
        <v>45747.47462962963</v>
      </c>
      <c r="C610" s="1" t="n">
        <v>46083</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49257-2024</t>
        </is>
      </c>
      <c r="B611" s="1" t="n">
        <v>45595.47627314815</v>
      </c>
      <c r="C611" s="1" t="n">
        <v>46083</v>
      </c>
      <c r="D611" t="inlineStr">
        <is>
          <t>GOTLANDS LÄN</t>
        </is>
      </c>
      <c r="E611" t="inlineStr">
        <is>
          <t>GOTLAND</t>
        </is>
      </c>
      <c r="G611" t="n">
        <v>6.3</v>
      </c>
      <c r="H611" t="n">
        <v>0</v>
      </c>
      <c r="I611" t="n">
        <v>0</v>
      </c>
      <c r="J611" t="n">
        <v>0</v>
      </c>
      <c r="K611" t="n">
        <v>0</v>
      </c>
      <c r="L611" t="n">
        <v>0</v>
      </c>
      <c r="M611" t="n">
        <v>0</v>
      </c>
      <c r="N611" t="n">
        <v>0</v>
      </c>
      <c r="O611" t="n">
        <v>0</v>
      </c>
      <c r="P611" t="n">
        <v>0</v>
      </c>
      <c r="Q611" t="n">
        <v>0</v>
      </c>
      <c r="R611" s="2" t="inlineStr"/>
    </row>
    <row r="612" ht="15" customHeight="1">
      <c r="A612" t="inlineStr">
        <is>
          <t>A 37202-2024</t>
        </is>
      </c>
      <c r="B612" s="1" t="n">
        <v>45539.67310185185</v>
      </c>
      <c r="C612" s="1" t="n">
        <v>46083</v>
      </c>
      <c r="D612" t="inlineStr">
        <is>
          <t>GOTLANDS LÄN</t>
        </is>
      </c>
      <c r="E612" t="inlineStr">
        <is>
          <t>GOTLAND</t>
        </is>
      </c>
      <c r="G612" t="n">
        <v>0.3</v>
      </c>
      <c r="H612" t="n">
        <v>0</v>
      </c>
      <c r="I612" t="n">
        <v>0</v>
      </c>
      <c r="J612" t="n">
        <v>0</v>
      </c>
      <c r="K612" t="n">
        <v>0</v>
      </c>
      <c r="L612" t="n">
        <v>0</v>
      </c>
      <c r="M612" t="n">
        <v>0</v>
      </c>
      <c r="N612" t="n">
        <v>0</v>
      </c>
      <c r="O612" t="n">
        <v>0</v>
      </c>
      <c r="P612" t="n">
        <v>0</v>
      </c>
      <c r="Q612" t="n">
        <v>0</v>
      </c>
      <c r="R612" s="2" t="inlineStr"/>
    </row>
    <row r="613" ht="15" customHeight="1">
      <c r="A613" t="inlineStr">
        <is>
          <t>A 56115-2023</t>
        </is>
      </c>
      <c r="B613" s="1" t="n">
        <v>45236</v>
      </c>
      <c r="C613" s="1" t="n">
        <v>46083</v>
      </c>
      <c r="D613" t="inlineStr">
        <is>
          <t>GOTLANDS LÄN</t>
        </is>
      </c>
      <c r="E613" t="inlineStr">
        <is>
          <t>GOTLAND</t>
        </is>
      </c>
      <c r="G613" t="n">
        <v>2</v>
      </c>
      <c r="H613" t="n">
        <v>0</v>
      </c>
      <c r="I613" t="n">
        <v>0</v>
      </c>
      <c r="J613" t="n">
        <v>0</v>
      </c>
      <c r="K613" t="n">
        <v>0</v>
      </c>
      <c r="L613" t="n">
        <v>0</v>
      </c>
      <c r="M613" t="n">
        <v>0</v>
      </c>
      <c r="N613" t="n">
        <v>0</v>
      </c>
      <c r="O613" t="n">
        <v>0</v>
      </c>
      <c r="P613" t="n">
        <v>0</v>
      </c>
      <c r="Q613" t="n">
        <v>0</v>
      </c>
      <c r="R613" s="2" t="inlineStr"/>
    </row>
    <row r="614" ht="15" customHeight="1">
      <c r="A614" t="inlineStr">
        <is>
          <t>A 2774-2024</t>
        </is>
      </c>
      <c r="B614" s="1" t="n">
        <v>45314.62375</v>
      </c>
      <c r="C614" s="1" t="n">
        <v>46083</v>
      </c>
      <c r="D614" t="inlineStr">
        <is>
          <t>GOTLANDS LÄN</t>
        </is>
      </c>
      <c r="E614" t="inlineStr">
        <is>
          <t>GOTLAND</t>
        </is>
      </c>
      <c r="G614" t="n">
        <v>1</v>
      </c>
      <c r="H614" t="n">
        <v>0</v>
      </c>
      <c r="I614" t="n">
        <v>0</v>
      </c>
      <c r="J614" t="n">
        <v>0</v>
      </c>
      <c r="K614" t="n">
        <v>0</v>
      </c>
      <c r="L614" t="n">
        <v>0</v>
      </c>
      <c r="M614" t="n">
        <v>0</v>
      </c>
      <c r="N614" t="n">
        <v>0</v>
      </c>
      <c r="O614" t="n">
        <v>0</v>
      </c>
      <c r="P614" t="n">
        <v>0</v>
      </c>
      <c r="Q614" t="n">
        <v>0</v>
      </c>
      <c r="R614" s="2" t="inlineStr"/>
    </row>
    <row r="615" ht="15" customHeight="1">
      <c r="A615" t="inlineStr">
        <is>
          <t>A 60709-2023</t>
        </is>
      </c>
      <c r="B615" s="1" t="n">
        <v>45260</v>
      </c>
      <c r="C615" s="1" t="n">
        <v>46083</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64208-2021</t>
        </is>
      </c>
      <c r="B616" s="1" t="n">
        <v>44510</v>
      </c>
      <c r="C616" s="1" t="n">
        <v>46083</v>
      </c>
      <c r="D616" t="inlineStr">
        <is>
          <t>GOTLANDS LÄN</t>
        </is>
      </c>
      <c r="E616" t="inlineStr">
        <is>
          <t>GOTLAND</t>
        </is>
      </c>
      <c r="G616" t="n">
        <v>4.7</v>
      </c>
      <c r="H616" t="n">
        <v>0</v>
      </c>
      <c r="I616" t="n">
        <v>0</v>
      </c>
      <c r="J616" t="n">
        <v>0</v>
      </c>
      <c r="K616" t="n">
        <v>0</v>
      </c>
      <c r="L616" t="n">
        <v>0</v>
      </c>
      <c r="M616" t="n">
        <v>0</v>
      </c>
      <c r="N616" t="n">
        <v>0</v>
      </c>
      <c r="O616" t="n">
        <v>0</v>
      </c>
      <c r="P616" t="n">
        <v>0</v>
      </c>
      <c r="Q616" t="n">
        <v>0</v>
      </c>
      <c r="R616" s="2" t="inlineStr"/>
    </row>
    <row r="617" ht="15" customHeight="1">
      <c r="A617" t="inlineStr">
        <is>
          <t>A 39764-2022</t>
        </is>
      </c>
      <c r="B617" s="1" t="n">
        <v>44819</v>
      </c>
      <c r="C617" s="1" t="n">
        <v>46083</v>
      </c>
      <c r="D617" t="inlineStr">
        <is>
          <t>GOTLANDS LÄN</t>
        </is>
      </c>
      <c r="E617" t="inlineStr">
        <is>
          <t>GOTLAND</t>
        </is>
      </c>
      <c r="F617" t="inlineStr">
        <is>
          <t>Kyrkan</t>
        </is>
      </c>
      <c r="G617" t="n">
        <v>3.7</v>
      </c>
      <c r="H617" t="n">
        <v>0</v>
      </c>
      <c r="I617" t="n">
        <v>0</v>
      </c>
      <c r="J617" t="n">
        <v>0</v>
      </c>
      <c r="K617" t="n">
        <v>0</v>
      </c>
      <c r="L617" t="n">
        <v>0</v>
      </c>
      <c r="M617" t="n">
        <v>0</v>
      </c>
      <c r="N617" t="n">
        <v>0</v>
      </c>
      <c r="O617" t="n">
        <v>0</v>
      </c>
      <c r="P617" t="n">
        <v>0</v>
      </c>
      <c r="Q617" t="n">
        <v>0</v>
      </c>
      <c r="R617" s="2" t="inlineStr"/>
    </row>
    <row r="618" ht="15" customHeight="1">
      <c r="A618" t="inlineStr">
        <is>
          <t>A 58211-2024</t>
        </is>
      </c>
      <c r="B618" s="1" t="n">
        <v>45632.49292824074</v>
      </c>
      <c r="C618" s="1" t="n">
        <v>46083</v>
      </c>
      <c r="D618" t="inlineStr">
        <is>
          <t>GOTLANDS LÄN</t>
        </is>
      </c>
      <c r="E618" t="inlineStr">
        <is>
          <t>GOTLAND</t>
        </is>
      </c>
      <c r="G618" t="n">
        <v>5.4</v>
      </c>
      <c r="H618" t="n">
        <v>0</v>
      </c>
      <c r="I618" t="n">
        <v>0</v>
      </c>
      <c r="J618" t="n">
        <v>0</v>
      </c>
      <c r="K618" t="n">
        <v>0</v>
      </c>
      <c r="L618" t="n">
        <v>0</v>
      </c>
      <c r="M618" t="n">
        <v>0</v>
      </c>
      <c r="N618" t="n">
        <v>0</v>
      </c>
      <c r="O618" t="n">
        <v>0</v>
      </c>
      <c r="P618" t="n">
        <v>0</v>
      </c>
      <c r="Q618" t="n">
        <v>0</v>
      </c>
      <c r="R618" s="2" t="inlineStr"/>
    </row>
    <row r="619" ht="15" customHeight="1">
      <c r="A619" t="inlineStr">
        <is>
          <t>A 30956-2024</t>
        </is>
      </c>
      <c r="B619" s="1" t="n">
        <v>45499.42527777778</v>
      </c>
      <c r="C619" s="1" t="n">
        <v>46083</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30892-2024</t>
        </is>
      </c>
      <c r="B620" s="1" t="n">
        <v>45491</v>
      </c>
      <c r="C620" s="1" t="n">
        <v>46083</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45013.69365740741</v>
      </c>
      <c r="C621" s="1" t="n">
        <v>46083</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59469-2024</t>
        </is>
      </c>
      <c r="B622" s="1" t="n">
        <v>45638</v>
      </c>
      <c r="C622" s="1" t="n">
        <v>46083</v>
      </c>
      <c r="D622" t="inlineStr">
        <is>
          <t>GOTLANDS LÄN</t>
        </is>
      </c>
      <c r="E622" t="inlineStr">
        <is>
          <t>GOTLAND</t>
        </is>
      </c>
      <c r="G622" t="n">
        <v>0.4</v>
      </c>
      <c r="H622" t="n">
        <v>0</v>
      </c>
      <c r="I622" t="n">
        <v>0</v>
      </c>
      <c r="J622" t="n">
        <v>0</v>
      </c>
      <c r="K622" t="n">
        <v>0</v>
      </c>
      <c r="L622" t="n">
        <v>0</v>
      </c>
      <c r="M622" t="n">
        <v>0</v>
      </c>
      <c r="N622" t="n">
        <v>0</v>
      </c>
      <c r="O622" t="n">
        <v>0</v>
      </c>
      <c r="P622" t="n">
        <v>0</v>
      </c>
      <c r="Q622" t="n">
        <v>0</v>
      </c>
      <c r="R622" s="2" t="inlineStr"/>
    </row>
    <row r="623" ht="15" customHeight="1">
      <c r="A623" t="inlineStr">
        <is>
          <t>A 7858-2025</t>
        </is>
      </c>
      <c r="B623" s="1" t="n">
        <v>45706.68633101852</v>
      </c>
      <c r="C623" s="1" t="n">
        <v>46083</v>
      </c>
      <c r="D623" t="inlineStr">
        <is>
          <t>GOTLANDS LÄN</t>
        </is>
      </c>
      <c r="E623" t="inlineStr">
        <is>
          <t>GOTLAND</t>
        </is>
      </c>
      <c r="G623" t="n">
        <v>3</v>
      </c>
      <c r="H623" t="n">
        <v>0</v>
      </c>
      <c r="I623" t="n">
        <v>0</v>
      </c>
      <c r="J623" t="n">
        <v>0</v>
      </c>
      <c r="K623" t="n">
        <v>0</v>
      </c>
      <c r="L623" t="n">
        <v>0</v>
      </c>
      <c r="M623" t="n">
        <v>0</v>
      </c>
      <c r="N623" t="n">
        <v>0</v>
      </c>
      <c r="O623" t="n">
        <v>0</v>
      </c>
      <c r="P623" t="n">
        <v>0</v>
      </c>
      <c r="Q623" t="n">
        <v>0</v>
      </c>
      <c r="R623" s="2" t="inlineStr"/>
    </row>
    <row r="624" ht="15" customHeight="1">
      <c r="A624" t="inlineStr">
        <is>
          <t>A 53935-2024</t>
        </is>
      </c>
      <c r="B624" s="1" t="n">
        <v>45615</v>
      </c>
      <c r="C624" s="1" t="n">
        <v>46083</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46083</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4420-2025</t>
        </is>
      </c>
      <c r="B626" s="1" t="n">
        <v>45686.47157407407</v>
      </c>
      <c r="C626" s="1" t="n">
        <v>46083</v>
      </c>
      <c r="D626" t="inlineStr">
        <is>
          <t>GOTLANDS LÄN</t>
        </is>
      </c>
      <c r="E626" t="inlineStr">
        <is>
          <t>GOTLAND</t>
        </is>
      </c>
      <c r="G626" t="n">
        <v>1.6</v>
      </c>
      <c r="H626" t="n">
        <v>0</v>
      </c>
      <c r="I626" t="n">
        <v>0</v>
      </c>
      <c r="J626" t="n">
        <v>0</v>
      </c>
      <c r="K626" t="n">
        <v>0</v>
      </c>
      <c r="L626" t="n">
        <v>0</v>
      </c>
      <c r="M626" t="n">
        <v>0</v>
      </c>
      <c r="N626" t="n">
        <v>0</v>
      </c>
      <c r="O626" t="n">
        <v>0</v>
      </c>
      <c r="P626" t="n">
        <v>0</v>
      </c>
      <c r="Q626" t="n">
        <v>0</v>
      </c>
      <c r="R626" s="2" t="inlineStr"/>
    </row>
    <row r="627" ht="15" customHeight="1">
      <c r="A627" t="inlineStr">
        <is>
          <t>A 5891-2025</t>
        </is>
      </c>
      <c r="B627" s="1" t="n">
        <v>45695.38327546296</v>
      </c>
      <c r="C627" s="1" t="n">
        <v>46083</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7835-2024</t>
        </is>
      </c>
      <c r="B628" s="1" t="n">
        <v>45349.83138888889</v>
      </c>
      <c r="C628" s="1" t="n">
        <v>46083</v>
      </c>
      <c r="D628" t="inlineStr">
        <is>
          <t>GOTLANDS LÄN</t>
        </is>
      </c>
      <c r="E628" t="inlineStr">
        <is>
          <t>GOTLAND</t>
        </is>
      </c>
      <c r="G628" t="n">
        <v>3.8</v>
      </c>
      <c r="H628" t="n">
        <v>0</v>
      </c>
      <c r="I628" t="n">
        <v>0</v>
      </c>
      <c r="J628" t="n">
        <v>0</v>
      </c>
      <c r="K628" t="n">
        <v>0</v>
      </c>
      <c r="L628" t="n">
        <v>0</v>
      </c>
      <c r="M628" t="n">
        <v>0</v>
      </c>
      <c r="N628" t="n">
        <v>0</v>
      </c>
      <c r="O628" t="n">
        <v>0</v>
      </c>
      <c r="P628" t="n">
        <v>0</v>
      </c>
      <c r="Q628" t="n">
        <v>0</v>
      </c>
      <c r="R628" s="2" t="inlineStr"/>
    </row>
    <row r="629" ht="15" customHeight="1">
      <c r="A629" t="inlineStr">
        <is>
          <t>A 20794-2025</t>
        </is>
      </c>
      <c r="B629" s="1" t="n">
        <v>45776</v>
      </c>
      <c r="C629" s="1" t="n">
        <v>46083</v>
      </c>
      <c r="D629" t="inlineStr">
        <is>
          <t>GOTLANDS LÄN</t>
        </is>
      </c>
      <c r="E629" t="inlineStr">
        <is>
          <t>GOTLAND</t>
        </is>
      </c>
      <c r="G629" t="n">
        <v>6</v>
      </c>
      <c r="H629" t="n">
        <v>0</v>
      </c>
      <c r="I629" t="n">
        <v>0</v>
      </c>
      <c r="J629" t="n">
        <v>0</v>
      </c>
      <c r="K629" t="n">
        <v>0</v>
      </c>
      <c r="L629" t="n">
        <v>0</v>
      </c>
      <c r="M629" t="n">
        <v>0</v>
      </c>
      <c r="N629" t="n">
        <v>0</v>
      </c>
      <c r="O629" t="n">
        <v>0</v>
      </c>
      <c r="P629" t="n">
        <v>0</v>
      </c>
      <c r="Q629" t="n">
        <v>0</v>
      </c>
      <c r="R629" s="2" t="inlineStr"/>
    </row>
    <row r="630" ht="15" customHeight="1">
      <c r="A630" t="inlineStr">
        <is>
          <t>A 20805-2025</t>
        </is>
      </c>
      <c r="B630" s="1" t="n">
        <v>45776</v>
      </c>
      <c r="C630" s="1" t="n">
        <v>46083</v>
      </c>
      <c r="D630" t="inlineStr">
        <is>
          <t>GOTLANDS LÄN</t>
        </is>
      </c>
      <c r="E630" t="inlineStr">
        <is>
          <t>GOTLAND</t>
        </is>
      </c>
      <c r="G630" t="n">
        <v>3.1</v>
      </c>
      <c r="H630" t="n">
        <v>0</v>
      </c>
      <c r="I630" t="n">
        <v>0</v>
      </c>
      <c r="J630" t="n">
        <v>0</v>
      </c>
      <c r="K630" t="n">
        <v>0</v>
      </c>
      <c r="L630" t="n">
        <v>0</v>
      </c>
      <c r="M630" t="n">
        <v>0</v>
      </c>
      <c r="N630" t="n">
        <v>0</v>
      </c>
      <c r="O630" t="n">
        <v>0</v>
      </c>
      <c r="P630" t="n">
        <v>0</v>
      </c>
      <c r="Q630" t="n">
        <v>0</v>
      </c>
      <c r="R630" s="2" t="inlineStr"/>
    </row>
    <row r="631" ht="15" customHeight="1">
      <c r="A631" t="inlineStr">
        <is>
          <t>A 21389-2025</t>
        </is>
      </c>
      <c r="B631" s="1" t="n">
        <v>45782</v>
      </c>
      <c r="C631" s="1" t="n">
        <v>46083</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21651-2025</t>
        </is>
      </c>
      <c r="B632" s="1" t="n">
        <v>45783</v>
      </c>
      <c r="C632" s="1" t="n">
        <v>46083</v>
      </c>
      <c r="D632" t="inlineStr">
        <is>
          <t>GOTLANDS LÄN</t>
        </is>
      </c>
      <c r="E632" t="inlineStr">
        <is>
          <t>GOTLAND</t>
        </is>
      </c>
      <c r="G632" t="n">
        <v>4.2</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46083</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10656-2024</t>
        </is>
      </c>
      <c r="B634" s="1" t="n">
        <v>45368</v>
      </c>
      <c r="C634" s="1" t="n">
        <v>46083</v>
      </c>
      <c r="D634" t="inlineStr">
        <is>
          <t>GOTLANDS LÄN</t>
        </is>
      </c>
      <c r="E634" t="inlineStr">
        <is>
          <t>GOTLAND</t>
        </is>
      </c>
      <c r="G634" t="n">
        <v>1.5</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46083</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21420-2024</t>
        </is>
      </c>
      <c r="B636" s="1" t="n">
        <v>45441.38293981482</v>
      </c>
      <c r="C636" s="1" t="n">
        <v>46083</v>
      </c>
      <c r="D636" t="inlineStr">
        <is>
          <t>GOTLANDS LÄN</t>
        </is>
      </c>
      <c r="E636" t="inlineStr">
        <is>
          <t>GOTLAND</t>
        </is>
      </c>
      <c r="G636" t="n">
        <v>4.1</v>
      </c>
      <c r="H636" t="n">
        <v>0</v>
      </c>
      <c r="I636" t="n">
        <v>0</v>
      </c>
      <c r="J636" t="n">
        <v>0</v>
      </c>
      <c r="K636" t="n">
        <v>0</v>
      </c>
      <c r="L636" t="n">
        <v>0</v>
      </c>
      <c r="M636" t="n">
        <v>0</v>
      </c>
      <c r="N636" t="n">
        <v>0</v>
      </c>
      <c r="O636" t="n">
        <v>0</v>
      </c>
      <c r="P636" t="n">
        <v>0</v>
      </c>
      <c r="Q636" t="n">
        <v>0</v>
      </c>
      <c r="R636" s="2" t="inlineStr"/>
    </row>
    <row r="637" ht="15" customHeight="1">
      <c r="A637" t="inlineStr">
        <is>
          <t>A 23188-2025</t>
        </is>
      </c>
      <c r="B637" s="1" t="n">
        <v>45791</v>
      </c>
      <c r="C637" s="1" t="n">
        <v>46083</v>
      </c>
      <c r="D637" t="inlineStr">
        <is>
          <t>GOTLANDS LÄN</t>
        </is>
      </c>
      <c r="E637" t="inlineStr">
        <is>
          <t>GOTLAND</t>
        </is>
      </c>
      <c r="G637" t="n">
        <v>6.2</v>
      </c>
      <c r="H637" t="n">
        <v>0</v>
      </c>
      <c r="I637" t="n">
        <v>0</v>
      </c>
      <c r="J637" t="n">
        <v>0</v>
      </c>
      <c r="K637" t="n">
        <v>0</v>
      </c>
      <c r="L637" t="n">
        <v>0</v>
      </c>
      <c r="M637" t="n">
        <v>0</v>
      </c>
      <c r="N637" t="n">
        <v>0</v>
      </c>
      <c r="O637" t="n">
        <v>0</v>
      </c>
      <c r="P637" t="n">
        <v>0</v>
      </c>
      <c r="Q637" t="n">
        <v>0</v>
      </c>
      <c r="R637" s="2" t="inlineStr"/>
    </row>
    <row r="638" ht="15" customHeight="1">
      <c r="A638" t="inlineStr">
        <is>
          <t>A 23473-2025</t>
        </is>
      </c>
      <c r="B638" s="1" t="n">
        <v>45792</v>
      </c>
      <c r="C638" s="1" t="n">
        <v>46083</v>
      </c>
      <c r="D638" t="inlineStr">
        <is>
          <t>GOTLANDS LÄN</t>
        </is>
      </c>
      <c r="E638" t="inlineStr">
        <is>
          <t>GOTLAND</t>
        </is>
      </c>
      <c r="G638" t="n">
        <v>3.6</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46083</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15073-2025</t>
        </is>
      </c>
      <c r="B640" s="1" t="n">
        <v>45743</v>
      </c>
      <c r="C640" s="1" t="n">
        <v>46083</v>
      </c>
      <c r="D640" t="inlineStr">
        <is>
          <t>GOTLANDS LÄN</t>
        </is>
      </c>
      <c r="E640" t="inlineStr">
        <is>
          <t>GOTLAND</t>
        </is>
      </c>
      <c r="G640" t="n">
        <v>12.1</v>
      </c>
      <c r="H640" t="n">
        <v>0</v>
      </c>
      <c r="I640" t="n">
        <v>0</v>
      </c>
      <c r="J640" t="n">
        <v>0</v>
      </c>
      <c r="K640" t="n">
        <v>0</v>
      </c>
      <c r="L640" t="n">
        <v>0</v>
      </c>
      <c r="M640" t="n">
        <v>0</v>
      </c>
      <c r="N640" t="n">
        <v>0</v>
      </c>
      <c r="O640" t="n">
        <v>0</v>
      </c>
      <c r="P640" t="n">
        <v>0</v>
      </c>
      <c r="Q640" t="n">
        <v>0</v>
      </c>
      <c r="R640" s="2" t="inlineStr"/>
    </row>
    <row r="641" ht="15" customHeight="1">
      <c r="A641" t="inlineStr">
        <is>
          <t>A 6749-2025</t>
        </is>
      </c>
      <c r="B641" s="1" t="n">
        <v>45700</v>
      </c>
      <c r="C641" s="1" t="n">
        <v>46083</v>
      </c>
      <c r="D641" t="inlineStr">
        <is>
          <t>GOTLANDS LÄN</t>
        </is>
      </c>
      <c r="E641" t="inlineStr">
        <is>
          <t>GOTLAND</t>
        </is>
      </c>
      <c r="G641" t="n">
        <v>4.5</v>
      </c>
      <c r="H641" t="n">
        <v>0</v>
      </c>
      <c r="I641" t="n">
        <v>0</v>
      </c>
      <c r="J641" t="n">
        <v>0</v>
      </c>
      <c r="K641" t="n">
        <v>0</v>
      </c>
      <c r="L641" t="n">
        <v>0</v>
      </c>
      <c r="M641" t="n">
        <v>0</v>
      </c>
      <c r="N641" t="n">
        <v>0</v>
      </c>
      <c r="O641" t="n">
        <v>0</v>
      </c>
      <c r="P641" t="n">
        <v>0</v>
      </c>
      <c r="Q641" t="n">
        <v>0</v>
      </c>
      <c r="R641" s="2" t="inlineStr"/>
    </row>
    <row r="642" ht="15" customHeight="1">
      <c r="A642" t="inlineStr">
        <is>
          <t>A 23698-2025</t>
        </is>
      </c>
      <c r="B642" s="1" t="n">
        <v>45793</v>
      </c>
      <c r="C642" s="1" t="n">
        <v>46083</v>
      </c>
      <c r="D642" t="inlineStr">
        <is>
          <t>GOTLANDS LÄN</t>
        </is>
      </c>
      <c r="E642" t="inlineStr">
        <is>
          <t>GOTLAND</t>
        </is>
      </c>
      <c r="G642" t="n">
        <v>0.8</v>
      </c>
      <c r="H642" t="n">
        <v>0</v>
      </c>
      <c r="I642" t="n">
        <v>0</v>
      </c>
      <c r="J642" t="n">
        <v>0</v>
      </c>
      <c r="K642" t="n">
        <v>0</v>
      </c>
      <c r="L642" t="n">
        <v>0</v>
      </c>
      <c r="M642" t="n">
        <v>0</v>
      </c>
      <c r="N642" t="n">
        <v>0</v>
      </c>
      <c r="O642" t="n">
        <v>0</v>
      </c>
      <c r="P642" t="n">
        <v>0</v>
      </c>
      <c r="Q642" t="n">
        <v>0</v>
      </c>
      <c r="R642" s="2" t="inlineStr"/>
    </row>
    <row r="643" ht="15" customHeight="1">
      <c r="A643" t="inlineStr">
        <is>
          <t>A 5462-2025</t>
        </is>
      </c>
      <c r="B643" s="1" t="n">
        <v>45693.29331018519</v>
      </c>
      <c r="C643" s="1" t="n">
        <v>46083</v>
      </c>
      <c r="D643" t="inlineStr">
        <is>
          <t>GOTLANDS LÄN</t>
        </is>
      </c>
      <c r="E643" t="inlineStr">
        <is>
          <t>GOTLAND</t>
        </is>
      </c>
      <c r="G643" t="n">
        <v>2.6</v>
      </c>
      <c r="H643" t="n">
        <v>0</v>
      </c>
      <c r="I643" t="n">
        <v>0</v>
      </c>
      <c r="J643" t="n">
        <v>0</v>
      </c>
      <c r="K643" t="n">
        <v>0</v>
      </c>
      <c r="L643" t="n">
        <v>0</v>
      </c>
      <c r="M643" t="n">
        <v>0</v>
      </c>
      <c r="N643" t="n">
        <v>0</v>
      </c>
      <c r="O643" t="n">
        <v>0</v>
      </c>
      <c r="P643" t="n">
        <v>0</v>
      </c>
      <c r="Q643" t="n">
        <v>0</v>
      </c>
      <c r="R643" s="2" t="inlineStr"/>
    </row>
    <row r="644">
      <c r="A644" t="inlineStr">
        <is>
          <t>A 25796-2025</t>
        </is>
      </c>
      <c r="B644" s="1" t="n">
        <v>45804.39543981481</v>
      </c>
      <c r="C644" s="1" t="n">
        <v>46083</v>
      </c>
      <c r="D644" t="inlineStr">
        <is>
          <t>GOTLANDS LÄN</t>
        </is>
      </c>
      <c r="E644" t="inlineStr">
        <is>
          <t>GOTLAND</t>
        </is>
      </c>
      <c r="G644" t="n">
        <v>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2026-03-02T11:10:14Z</dcterms:created>
  <dcterms:modified xmlns:dcterms="http://purl.org/dc/terms/" xmlns:xsi="http://www.w3.org/2001/XMLSchema-instance" xsi:type="dcterms:W3CDTF">2026-03-02T11:10:14Z</dcterms:modified>
</cp:coreProperties>
</file>