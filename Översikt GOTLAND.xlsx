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45828</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45828</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45828</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45828</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45828</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45828</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45828</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45828</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45828</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45828</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45828</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45828</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45828</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45828</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45828</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45828</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45828</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455-2020</t>
        </is>
      </c>
      <c r="B23" s="1" t="n">
        <v>43837</v>
      </c>
      <c r="C23" s="1" t="n">
        <v>45828</v>
      </c>
      <c r="D23" t="inlineStr">
        <is>
          <t>GOTLANDS LÄN</t>
        </is>
      </c>
      <c r="E23" t="inlineStr">
        <is>
          <t>GOTLAND</t>
        </is>
      </c>
      <c r="G23" t="n">
        <v>7.9</v>
      </c>
      <c r="H23" t="n">
        <v>2</v>
      </c>
      <c r="I23" t="n">
        <v>6</v>
      </c>
      <c r="J23" t="n">
        <v>3</v>
      </c>
      <c r="K23" t="n">
        <v>4</v>
      </c>
      <c r="L23" t="n">
        <v>0</v>
      </c>
      <c r="M23" t="n">
        <v>0</v>
      </c>
      <c r="N23" t="n">
        <v>0</v>
      </c>
      <c r="O23" t="n">
        <v>7</v>
      </c>
      <c r="P23" t="n">
        <v>4</v>
      </c>
      <c r="Q23" t="n">
        <v>14</v>
      </c>
      <c r="R23" s="2" t="inlineStr">
        <is>
          <t>Duvspindling
Gulsträngad fagerspindling
Svartgrön spindling
Violettfläckig spindling
Odörspindling
Spillkråka
Äggspindling
Anisspindling
Blå slemspindling
Diskvaxskivling
Fjällig taggsvamp s.str.
Olivspindling
Svavelriska
Brudsporre</t>
        </is>
      </c>
      <c r="S23">
        <f>HYPERLINK("https://klasma.github.io/Logging_0980/artfynd/A 455-2020 artfynd.xlsx", "A 455-2020")</f>
        <v/>
      </c>
      <c r="T23">
        <f>HYPERLINK("https://klasma.github.io/Logging_0980/kartor/A 455-2020 karta.png", "A 455-2020")</f>
        <v/>
      </c>
      <c r="V23">
        <f>HYPERLINK("https://klasma.github.io/Logging_0980/klagomål/A 455-2020 FSC-klagomål.docx", "A 455-2020")</f>
        <v/>
      </c>
      <c r="W23">
        <f>HYPERLINK("https://klasma.github.io/Logging_0980/klagomålsmail/A 455-2020 FSC-klagomål mail.docx", "A 455-2020")</f>
        <v/>
      </c>
      <c r="X23">
        <f>HYPERLINK("https://klasma.github.io/Logging_0980/tillsyn/A 455-2020 tillsynsbegäran.docx", "A 455-2020")</f>
        <v/>
      </c>
      <c r="Y23">
        <f>HYPERLINK("https://klasma.github.io/Logging_0980/tillsynsmail/A 455-2020 tillsynsbegäran mail.docx", "A 455-2020")</f>
        <v/>
      </c>
      <c r="Z23">
        <f>HYPERLINK("https://klasma.github.io/Logging_0980/fåglar/A 455-2020 prioriterade fågelarter.docx", "A 455-2020")</f>
        <v/>
      </c>
    </row>
    <row r="24" ht="15" customHeight="1">
      <c r="A24" t="inlineStr">
        <is>
          <t>A 25779-2022</t>
        </is>
      </c>
      <c r="B24" s="1" t="n">
        <v>44733</v>
      </c>
      <c r="C24" s="1" t="n">
        <v>45828</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569-2023</t>
        </is>
      </c>
      <c r="B25" s="1" t="n">
        <v>44930</v>
      </c>
      <c r="C25" s="1" t="n">
        <v>45828</v>
      </c>
      <c r="D25" t="inlineStr">
        <is>
          <t>GOTLANDS LÄN</t>
        </is>
      </c>
      <c r="E25" t="inlineStr">
        <is>
          <t>GOTLAND</t>
        </is>
      </c>
      <c r="G25" t="n">
        <v>12.8</v>
      </c>
      <c r="H25" t="n">
        <v>1</v>
      </c>
      <c r="I25" t="n">
        <v>5</v>
      </c>
      <c r="J25" t="n">
        <v>4</v>
      </c>
      <c r="K25" t="n">
        <v>5</v>
      </c>
      <c r="L25" t="n">
        <v>0</v>
      </c>
      <c r="M25" t="n">
        <v>0</v>
      </c>
      <c r="N25" t="n">
        <v>0</v>
      </c>
      <c r="O25" t="n">
        <v>9</v>
      </c>
      <c r="P25" t="n">
        <v>5</v>
      </c>
      <c r="Q25" t="n">
        <v>14</v>
      </c>
      <c r="R25"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5">
        <f>HYPERLINK("https://klasma.github.io/Logging_0980/artfynd/A 569-2023 artfynd.xlsx", "A 569-2023")</f>
        <v/>
      </c>
      <c r="T25">
        <f>HYPERLINK("https://klasma.github.io/Logging_0980/kartor/A 569-2023 karta.png", "A 569-2023")</f>
        <v/>
      </c>
      <c r="V25">
        <f>HYPERLINK("https://klasma.github.io/Logging_0980/klagomål/A 569-2023 FSC-klagomål.docx", "A 569-2023")</f>
        <v/>
      </c>
      <c r="W25">
        <f>HYPERLINK("https://klasma.github.io/Logging_0980/klagomålsmail/A 569-2023 FSC-klagomål mail.docx", "A 569-2023")</f>
        <v/>
      </c>
      <c r="X25">
        <f>HYPERLINK("https://klasma.github.io/Logging_0980/tillsyn/A 569-2023 tillsynsbegäran.docx", "A 569-2023")</f>
        <v/>
      </c>
      <c r="Y25">
        <f>HYPERLINK("https://klasma.github.io/Logging_0980/tillsynsmail/A 569-2023 tillsynsbegäran mail.docx", "A 569-2023")</f>
        <v/>
      </c>
    </row>
    <row r="26" ht="15" customHeight="1">
      <c r="A26" t="inlineStr">
        <is>
          <t>A 12841-2020</t>
        </is>
      </c>
      <c r="B26" s="1" t="n">
        <v>43899</v>
      </c>
      <c r="C26" s="1" t="n">
        <v>45828</v>
      </c>
      <c r="D26" t="inlineStr">
        <is>
          <t>GOTLANDS LÄN</t>
        </is>
      </c>
      <c r="E26" t="inlineStr">
        <is>
          <t>GOTLAND</t>
        </is>
      </c>
      <c r="G26" t="n">
        <v>6.4</v>
      </c>
      <c r="H26" t="n">
        <v>1</v>
      </c>
      <c r="I26" t="n">
        <v>4</v>
      </c>
      <c r="J26" t="n">
        <v>3</v>
      </c>
      <c r="K26" t="n">
        <v>6</v>
      </c>
      <c r="L26" t="n">
        <v>0</v>
      </c>
      <c r="M26" t="n">
        <v>0</v>
      </c>
      <c r="N26" t="n">
        <v>0</v>
      </c>
      <c r="O26" t="n">
        <v>9</v>
      </c>
      <c r="P26" t="n">
        <v>6</v>
      </c>
      <c r="Q26" t="n">
        <v>13</v>
      </c>
      <c r="R26" s="2" t="inlineStr">
        <is>
          <t>Bullspindling
Duvspindling
Granrotsspindling
Kopparspindling
Svartgrön spindling
Vit taggsvamp
Odörspindling
Orange taggsvamp
Röd skogslilja
Dropptaggsvamp
Rödbrun jordstjärna
Skarp dropptaggsvamp
Zontaggsvamp</t>
        </is>
      </c>
      <c r="S26">
        <f>HYPERLINK("https://klasma.github.io/Logging_0980/artfynd/A 12841-2020 artfynd.xlsx", "A 12841-2020")</f>
        <v/>
      </c>
      <c r="T26">
        <f>HYPERLINK("https://klasma.github.io/Logging_0980/kartor/A 12841-2020 karta.png", "A 12841-2020")</f>
        <v/>
      </c>
      <c r="V26">
        <f>HYPERLINK("https://klasma.github.io/Logging_0980/klagomål/A 12841-2020 FSC-klagomål.docx", "A 12841-2020")</f>
        <v/>
      </c>
      <c r="W26">
        <f>HYPERLINK("https://klasma.github.io/Logging_0980/klagomålsmail/A 12841-2020 FSC-klagomål mail.docx", "A 12841-2020")</f>
        <v/>
      </c>
      <c r="X26">
        <f>HYPERLINK("https://klasma.github.io/Logging_0980/tillsyn/A 12841-2020 tillsynsbegäran.docx", "A 12841-2020")</f>
        <v/>
      </c>
      <c r="Y26">
        <f>HYPERLINK("https://klasma.github.io/Logging_0980/tillsynsmail/A 12841-2020 tillsynsbegäran mail.docx", "A 12841-2020")</f>
        <v/>
      </c>
    </row>
    <row r="27" ht="15" customHeight="1">
      <c r="A27" t="inlineStr">
        <is>
          <t>A 35141-2022</t>
        </is>
      </c>
      <c r="B27" s="1" t="n">
        <v>44797</v>
      </c>
      <c r="C27" s="1" t="n">
        <v>45828</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45828</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45828</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45828</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2222-2024</t>
        </is>
      </c>
      <c r="B31" s="1" t="n">
        <v>45309</v>
      </c>
      <c r="C31" s="1" t="n">
        <v>45828</v>
      </c>
      <c r="D31" t="inlineStr">
        <is>
          <t>GOTLANDS LÄN</t>
        </is>
      </c>
      <c r="E31" t="inlineStr">
        <is>
          <t>GOTLAND</t>
        </is>
      </c>
      <c r="F31" t="inlineStr">
        <is>
          <t>Kyrkan</t>
        </is>
      </c>
      <c r="G31" t="n">
        <v>10.6</v>
      </c>
      <c r="H31" t="n">
        <v>0</v>
      </c>
      <c r="I31" t="n">
        <v>6</v>
      </c>
      <c r="J31" t="n">
        <v>2</v>
      </c>
      <c r="K31" t="n">
        <v>5</v>
      </c>
      <c r="L31" t="n">
        <v>0</v>
      </c>
      <c r="M31" t="n">
        <v>0</v>
      </c>
      <c r="N31" t="n">
        <v>0</v>
      </c>
      <c r="O31" t="n">
        <v>7</v>
      </c>
      <c r="P31" t="n">
        <v>5</v>
      </c>
      <c r="Q31" t="n">
        <v>13</v>
      </c>
      <c r="R31" s="2" t="inlineStr">
        <is>
          <t>Granrotsspindling
Gulsträngad fagerspindling
Svartgrön spindling
Tvillingspindling
Vit taggsvamp
Denisespindling
Odörspindling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53103-2021</t>
        </is>
      </c>
      <c r="B32" s="1" t="n">
        <v>44467</v>
      </c>
      <c r="C32" s="1" t="n">
        <v>45828</v>
      </c>
      <c r="D32" t="inlineStr">
        <is>
          <t>GOTLANDS LÄN</t>
        </is>
      </c>
      <c r="E32" t="inlineStr">
        <is>
          <t>GOTLAND</t>
        </is>
      </c>
      <c r="G32" t="n">
        <v>5.3</v>
      </c>
      <c r="H32" t="n">
        <v>6</v>
      </c>
      <c r="I32" t="n">
        <v>6</v>
      </c>
      <c r="J32" t="n">
        <v>4</v>
      </c>
      <c r="K32" t="n">
        <v>0</v>
      </c>
      <c r="L32" t="n">
        <v>0</v>
      </c>
      <c r="M32" t="n">
        <v>0</v>
      </c>
      <c r="N32" t="n">
        <v>0</v>
      </c>
      <c r="O32" t="n">
        <v>4</v>
      </c>
      <c r="P32" t="n">
        <v>0</v>
      </c>
      <c r="Q32" t="n">
        <v>12</v>
      </c>
      <c r="R32" s="2" t="inlineStr">
        <is>
          <t>Backtimjan
Grönsångare
Sandviol
Svartfläckig blåvinge
Björksplintborre
Blåmossa
Granbarkgnagare
Kattfotslav
Purpurknipprot
Skogsknipprot
Sankt pers nycklar
Blåsippa</t>
        </is>
      </c>
      <c r="S32">
        <f>HYPERLINK("https://klasma.github.io/Logging_0980/artfynd/A 53103-2021 artfynd.xlsx", "A 53103-2021")</f>
        <v/>
      </c>
      <c r="T32">
        <f>HYPERLINK("https://klasma.github.io/Logging_0980/kartor/A 53103-2021 karta.png", "A 53103-2021")</f>
        <v/>
      </c>
      <c r="V32">
        <f>HYPERLINK("https://klasma.github.io/Logging_0980/klagomål/A 53103-2021 FSC-klagomål.docx", "A 53103-2021")</f>
        <v/>
      </c>
      <c r="W32">
        <f>HYPERLINK("https://klasma.github.io/Logging_0980/klagomålsmail/A 53103-2021 FSC-klagomål mail.docx", "A 53103-2021")</f>
        <v/>
      </c>
      <c r="X32">
        <f>HYPERLINK("https://klasma.github.io/Logging_0980/tillsyn/A 53103-2021 tillsynsbegäran.docx", "A 53103-2021")</f>
        <v/>
      </c>
      <c r="Y32">
        <f>HYPERLINK("https://klasma.github.io/Logging_0980/tillsynsmail/A 53103-2021 tillsynsbegäran mail.docx", "A 53103-2021")</f>
        <v/>
      </c>
      <c r="Z32">
        <f>HYPERLINK("https://klasma.github.io/Logging_0980/fåglar/A 53103-2021 prioriterade fågelarter.docx", "A 53103-2021")</f>
        <v/>
      </c>
    </row>
    <row r="33" ht="15" customHeight="1">
      <c r="A33" t="inlineStr">
        <is>
          <t>A 63872-2021</t>
        </is>
      </c>
      <c r="B33" s="1" t="n">
        <v>44509</v>
      </c>
      <c r="C33" s="1" t="n">
        <v>45828</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44916-2022</t>
        </is>
      </c>
      <c r="B34" s="1" t="n">
        <v>44841</v>
      </c>
      <c r="C34" s="1" t="n">
        <v>45828</v>
      </c>
      <c r="D34" t="inlineStr">
        <is>
          <t>GOTLANDS LÄN</t>
        </is>
      </c>
      <c r="E34" t="inlineStr">
        <is>
          <t>GOTLAND</t>
        </is>
      </c>
      <c r="G34" t="n">
        <v>13.7</v>
      </c>
      <c r="H34" t="n">
        <v>4</v>
      </c>
      <c r="I34" t="n">
        <v>6</v>
      </c>
      <c r="J34" t="n">
        <v>2</v>
      </c>
      <c r="K34" t="n">
        <v>1</v>
      </c>
      <c r="L34" t="n">
        <v>0</v>
      </c>
      <c r="M34" t="n">
        <v>0</v>
      </c>
      <c r="N34" t="n">
        <v>0</v>
      </c>
      <c r="O34" t="n">
        <v>3</v>
      </c>
      <c r="P34" t="n">
        <v>1</v>
      </c>
      <c r="Q34" t="n">
        <v>12</v>
      </c>
      <c r="R34" s="2" t="inlineStr">
        <is>
          <t>Granrotsspindling
Majviva
Odörspindling
Anisspindling
Axag
Blå slemspindling
Flugblomster
Kattfotslav
Olivspindling
Dubbelnycklar
Kärrknipprot
Ängsnycklar</t>
        </is>
      </c>
      <c r="S34">
        <f>HYPERLINK("https://klasma.github.io/Logging_0980/artfynd/A 44916-2022 artfynd.xlsx", "A 44916-2022")</f>
        <v/>
      </c>
      <c r="T34">
        <f>HYPERLINK("https://klasma.github.io/Logging_0980/kartor/A 44916-2022 karta.png", "A 44916-2022")</f>
        <v/>
      </c>
      <c r="V34">
        <f>HYPERLINK("https://klasma.github.io/Logging_0980/klagomål/A 44916-2022 FSC-klagomål.docx", "A 44916-2022")</f>
        <v/>
      </c>
      <c r="W34">
        <f>HYPERLINK("https://klasma.github.io/Logging_0980/klagomålsmail/A 44916-2022 FSC-klagomål mail.docx", "A 44916-2022")</f>
        <v/>
      </c>
      <c r="X34">
        <f>HYPERLINK("https://klasma.github.io/Logging_0980/tillsyn/A 44916-2022 tillsynsbegäran.docx", "A 44916-2022")</f>
        <v/>
      </c>
      <c r="Y34">
        <f>HYPERLINK("https://klasma.github.io/Logging_0980/tillsynsmail/A 44916-2022 tillsynsbegäran mail.docx", "A 44916-2022")</f>
        <v/>
      </c>
    </row>
    <row r="35" ht="15" customHeight="1">
      <c r="A35" t="inlineStr">
        <is>
          <t>A 3324-2023</t>
        </is>
      </c>
      <c r="B35" s="1" t="n">
        <v>44949</v>
      </c>
      <c r="C35" s="1" t="n">
        <v>45828</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4669-2024</t>
        </is>
      </c>
      <c r="B36" s="1" t="n">
        <v>45328</v>
      </c>
      <c r="C36" s="1" t="n">
        <v>45828</v>
      </c>
      <c r="D36" t="inlineStr">
        <is>
          <t>GOTLANDS LÄN</t>
        </is>
      </c>
      <c r="E36" t="inlineStr">
        <is>
          <t>GOTLAND</t>
        </is>
      </c>
      <c r="G36" t="n">
        <v>3.2</v>
      </c>
      <c r="H36" t="n">
        <v>1</v>
      </c>
      <c r="I36" t="n">
        <v>8</v>
      </c>
      <c r="J36" t="n">
        <v>3</v>
      </c>
      <c r="K36" t="n">
        <v>1</v>
      </c>
      <c r="L36" t="n">
        <v>0</v>
      </c>
      <c r="M36" t="n">
        <v>0</v>
      </c>
      <c r="N36" t="n">
        <v>0</v>
      </c>
      <c r="O36" t="n">
        <v>4</v>
      </c>
      <c r="P36" t="n">
        <v>1</v>
      </c>
      <c r="Q36" t="n">
        <v>12</v>
      </c>
      <c r="R36" s="2" t="inlineStr">
        <is>
          <t>Tvillingspindling
Barrviolspindling
Odörspindling
Spillkråka
Anisspindling
Blå slemspindling
Fjällig taggsvamp s.str.
Kryddspindling
Olivspindling
Skarp dropptaggsvamp
Svavelriska
Trådticka</t>
        </is>
      </c>
      <c r="S36">
        <f>HYPERLINK("https://klasma.github.io/Logging_0980/artfynd/A 4669-2024 artfynd.xlsx", "A 4669-2024")</f>
        <v/>
      </c>
      <c r="T36">
        <f>HYPERLINK("https://klasma.github.io/Logging_0980/kartor/A 4669-2024 karta.png", "A 4669-2024")</f>
        <v/>
      </c>
      <c r="V36">
        <f>HYPERLINK("https://klasma.github.io/Logging_0980/klagomål/A 4669-2024 FSC-klagomål.docx", "A 4669-2024")</f>
        <v/>
      </c>
      <c r="W36">
        <f>HYPERLINK("https://klasma.github.io/Logging_0980/klagomålsmail/A 4669-2024 FSC-klagomål mail.docx", "A 4669-2024")</f>
        <v/>
      </c>
      <c r="X36">
        <f>HYPERLINK("https://klasma.github.io/Logging_0980/tillsyn/A 4669-2024 tillsynsbegäran.docx", "A 4669-2024")</f>
        <v/>
      </c>
      <c r="Y36">
        <f>HYPERLINK("https://klasma.github.io/Logging_0980/tillsynsmail/A 4669-2024 tillsynsbegäran mail.docx", "A 4669-2024")</f>
        <v/>
      </c>
      <c r="Z36">
        <f>HYPERLINK("https://klasma.github.io/Logging_0980/fåglar/A 4669-2024 prioriterade fågelarter.docx", "A 4669-2024")</f>
        <v/>
      </c>
    </row>
    <row r="37" ht="15" customHeight="1">
      <c r="A37" t="inlineStr">
        <is>
          <t>A 28287-2024</t>
        </is>
      </c>
      <c r="B37" s="1" t="n">
        <v>45477</v>
      </c>
      <c r="C37" s="1" t="n">
        <v>45828</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6913-2025</t>
        </is>
      </c>
      <c r="B38" s="1" t="n">
        <v>45701</v>
      </c>
      <c r="C38" s="1" t="n">
        <v>45828</v>
      </c>
      <c r="D38" t="inlineStr">
        <is>
          <t>GOTLANDS LÄN</t>
        </is>
      </c>
      <c r="E38" t="inlineStr">
        <is>
          <t>GOTLAND</t>
        </is>
      </c>
      <c r="G38" t="n">
        <v>7.2</v>
      </c>
      <c r="H38" t="n">
        <v>7</v>
      </c>
      <c r="I38" t="n">
        <v>5</v>
      </c>
      <c r="J38" t="n">
        <v>5</v>
      </c>
      <c r="K38" t="n">
        <v>0</v>
      </c>
      <c r="L38" t="n">
        <v>0</v>
      </c>
      <c r="M38" t="n">
        <v>0</v>
      </c>
      <c r="N38" t="n">
        <v>0</v>
      </c>
      <c r="O38" t="n">
        <v>5</v>
      </c>
      <c r="P38" t="n">
        <v>0</v>
      </c>
      <c r="Q38" t="n">
        <v>12</v>
      </c>
      <c r="R38" s="2" t="inlineStr">
        <is>
          <t>Grönsångare
Jordtistel
Loppstarr
Spillkråka
Svinrot
Grönpyrola
Nästrot
Skogsknipprot
Sårläka
Tvåblad
Dactylorhiza incarnata subsp. incarnata
Fläcknycklar</t>
        </is>
      </c>
      <c r="S38">
        <f>HYPERLINK("https://klasma.github.io/Logging_0980/artfynd/A 6913-2025 artfynd.xlsx", "A 6913-2025")</f>
        <v/>
      </c>
      <c r="T38">
        <f>HYPERLINK("https://klasma.github.io/Logging_0980/kartor/A 6913-2025 karta.png", "A 6913-2025")</f>
        <v/>
      </c>
      <c r="V38">
        <f>HYPERLINK("https://klasma.github.io/Logging_0980/klagomål/A 6913-2025 FSC-klagomål.docx", "A 6913-2025")</f>
        <v/>
      </c>
      <c r="W38">
        <f>HYPERLINK("https://klasma.github.io/Logging_0980/klagomålsmail/A 6913-2025 FSC-klagomål mail.docx", "A 6913-2025")</f>
        <v/>
      </c>
      <c r="X38">
        <f>HYPERLINK("https://klasma.github.io/Logging_0980/tillsyn/A 6913-2025 tillsynsbegäran.docx", "A 6913-2025")</f>
        <v/>
      </c>
      <c r="Y38">
        <f>HYPERLINK("https://klasma.github.io/Logging_0980/tillsynsmail/A 6913-2025 tillsynsbegäran mail.docx", "A 6913-2025")</f>
        <v/>
      </c>
      <c r="Z38">
        <f>HYPERLINK("https://klasma.github.io/Logging_0980/fåglar/A 6913-2025 prioriterade fågelarter.docx", "A 6913-2025")</f>
        <v/>
      </c>
    </row>
    <row r="39" ht="15" customHeight="1">
      <c r="A39" t="inlineStr">
        <is>
          <t>A 25252-2021</t>
        </is>
      </c>
      <c r="B39" s="1" t="n">
        <v>44342</v>
      </c>
      <c r="C39" s="1" t="n">
        <v>45828</v>
      </c>
      <c r="D39" t="inlineStr">
        <is>
          <t>GOTLANDS LÄN</t>
        </is>
      </c>
      <c r="E39" t="inlineStr">
        <is>
          <t>GOTLAND</t>
        </is>
      </c>
      <c r="G39" t="n">
        <v>4.3</v>
      </c>
      <c r="H39" t="n">
        <v>0</v>
      </c>
      <c r="I39" t="n">
        <v>2</v>
      </c>
      <c r="J39" t="n">
        <v>3</v>
      </c>
      <c r="K39" t="n">
        <v>5</v>
      </c>
      <c r="L39" t="n">
        <v>0</v>
      </c>
      <c r="M39" t="n">
        <v>0</v>
      </c>
      <c r="N39" t="n">
        <v>0</v>
      </c>
      <c r="O39" t="n">
        <v>9</v>
      </c>
      <c r="P39" t="n">
        <v>5</v>
      </c>
      <c r="Q39" t="n">
        <v>11</v>
      </c>
      <c r="R39" s="2" t="inlineStr">
        <is>
          <t>Granrotsspindling
Gulsträngad fagerspindling
Narrspindling
Svartgrön spindling
Vit taggsvamp
Flattoppad klubbsvamp
Odörspindling
Orange taggsvamp
Trollspindling
Blå slemspindling
Fransig jordstjärna</t>
        </is>
      </c>
      <c r="S39">
        <f>HYPERLINK("https://klasma.github.io/Logging_0980/artfynd/A 25252-2021 artfynd.xlsx", "A 25252-2021")</f>
        <v/>
      </c>
      <c r="T39">
        <f>HYPERLINK("https://klasma.github.io/Logging_0980/kartor/A 25252-2021 karta.png", "A 25252-2021")</f>
        <v/>
      </c>
      <c r="V39">
        <f>HYPERLINK("https://klasma.github.io/Logging_0980/klagomål/A 25252-2021 FSC-klagomål.docx", "A 25252-2021")</f>
        <v/>
      </c>
      <c r="W39">
        <f>HYPERLINK("https://klasma.github.io/Logging_0980/klagomålsmail/A 25252-2021 FSC-klagomål mail.docx", "A 25252-2021")</f>
        <v/>
      </c>
      <c r="X39">
        <f>HYPERLINK("https://klasma.github.io/Logging_0980/tillsyn/A 25252-2021 tillsynsbegäran.docx", "A 25252-2021")</f>
        <v/>
      </c>
      <c r="Y39">
        <f>HYPERLINK("https://klasma.github.io/Logging_0980/tillsynsmail/A 25252-2021 tillsynsbegäran mail.docx", "A 25252-2021")</f>
        <v/>
      </c>
    </row>
    <row r="40" ht="15" customHeight="1">
      <c r="A40" t="inlineStr">
        <is>
          <t>A 43201-2023</t>
        </is>
      </c>
      <c r="B40" s="1" t="n">
        <v>45183</v>
      </c>
      <c r="C40" s="1" t="n">
        <v>45828</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54797-2023</t>
        </is>
      </c>
      <c r="B41" s="1" t="n">
        <v>45236</v>
      </c>
      <c r="C41" s="1" t="n">
        <v>45828</v>
      </c>
      <c r="D41" t="inlineStr">
        <is>
          <t>GOTLANDS LÄN</t>
        </is>
      </c>
      <c r="E41" t="inlineStr">
        <is>
          <t>GOTLAND</t>
        </is>
      </c>
      <c r="G41" t="n">
        <v>4.2</v>
      </c>
      <c r="H41" t="n">
        <v>1</v>
      </c>
      <c r="I41" t="n">
        <v>5</v>
      </c>
      <c r="J41" t="n">
        <v>3</v>
      </c>
      <c r="K41" t="n">
        <v>2</v>
      </c>
      <c r="L41" t="n">
        <v>0</v>
      </c>
      <c r="M41" t="n">
        <v>0</v>
      </c>
      <c r="N41" t="n">
        <v>0</v>
      </c>
      <c r="O41" t="n">
        <v>5</v>
      </c>
      <c r="P41" t="n">
        <v>2</v>
      </c>
      <c r="Q41" t="n">
        <v>11</v>
      </c>
      <c r="R41" s="2" t="inlineStr">
        <is>
          <t>Gulsträngad fagerspindling
Svartgrön spindling
Denisespindling
Odörspindling
Svinrot
Anisspindling
Blåmossa
Kattfotslav
Rödgul trumpetsvamp
Svavelriska
Sankt pers nycklar</t>
        </is>
      </c>
      <c r="S41">
        <f>HYPERLINK("https://klasma.github.io/Logging_0980/artfynd/A 54797-2023 artfynd.xlsx", "A 54797-2023")</f>
        <v/>
      </c>
      <c r="T41">
        <f>HYPERLINK("https://klasma.github.io/Logging_0980/kartor/A 54797-2023 karta.png", "A 54797-2023")</f>
        <v/>
      </c>
      <c r="V41">
        <f>HYPERLINK("https://klasma.github.io/Logging_0980/klagomål/A 54797-2023 FSC-klagomål.docx", "A 54797-2023")</f>
        <v/>
      </c>
      <c r="W41">
        <f>HYPERLINK("https://klasma.github.io/Logging_0980/klagomålsmail/A 54797-2023 FSC-klagomål mail.docx", "A 54797-2023")</f>
        <v/>
      </c>
      <c r="X41">
        <f>HYPERLINK("https://klasma.github.io/Logging_0980/tillsyn/A 54797-2023 tillsynsbegäran.docx", "A 54797-2023")</f>
        <v/>
      </c>
      <c r="Y41">
        <f>HYPERLINK("https://klasma.github.io/Logging_0980/tillsynsmail/A 54797-2023 tillsynsbegäran mail.docx", "A 54797-2023")</f>
        <v/>
      </c>
    </row>
    <row r="42" ht="15" customHeight="1">
      <c r="A42" t="inlineStr">
        <is>
          <t>A 3372-2024</t>
        </is>
      </c>
      <c r="B42" s="1" t="n">
        <v>45317</v>
      </c>
      <c r="C42" s="1" t="n">
        <v>45828</v>
      </c>
      <c r="D42" t="inlineStr">
        <is>
          <t>GOTLANDS LÄN</t>
        </is>
      </c>
      <c r="E42" t="inlineStr">
        <is>
          <t>GOTLAND</t>
        </is>
      </c>
      <c r="G42" t="n">
        <v>6</v>
      </c>
      <c r="H42" t="n">
        <v>1</v>
      </c>
      <c r="I42" t="n">
        <v>5</v>
      </c>
      <c r="J42" t="n">
        <v>2</v>
      </c>
      <c r="K42" t="n">
        <v>2</v>
      </c>
      <c r="L42" t="n">
        <v>1</v>
      </c>
      <c r="M42" t="n">
        <v>1</v>
      </c>
      <c r="N42" t="n">
        <v>0</v>
      </c>
      <c r="O42" t="n">
        <v>6</v>
      </c>
      <c r="P42" t="n">
        <v>4</v>
      </c>
      <c r="Q42" t="n">
        <v>11</v>
      </c>
      <c r="R42" s="2" t="inlineStr">
        <is>
          <t>Lundalm
Ädellav
Gul lammticka
Vit taggsvamp
Barrviolspindling
Odörspindling
Anisspindling
Brandticka
Fjällig taggsvamp s.str.
Nästrot
Svavelriska</t>
        </is>
      </c>
      <c r="S42">
        <f>HYPERLINK("https://klasma.github.io/Logging_0980/artfynd/A 3372-2024 artfynd.xlsx", "A 3372-2024")</f>
        <v/>
      </c>
      <c r="T42">
        <f>HYPERLINK("https://klasma.github.io/Logging_0980/kartor/A 3372-2024 karta.png", "A 3372-2024")</f>
        <v/>
      </c>
      <c r="V42">
        <f>HYPERLINK("https://klasma.github.io/Logging_0980/klagomål/A 3372-2024 FSC-klagomål.docx", "A 3372-2024")</f>
        <v/>
      </c>
      <c r="W42">
        <f>HYPERLINK("https://klasma.github.io/Logging_0980/klagomålsmail/A 3372-2024 FSC-klagomål mail.docx", "A 3372-2024")</f>
        <v/>
      </c>
      <c r="X42">
        <f>HYPERLINK("https://klasma.github.io/Logging_0980/tillsyn/A 3372-2024 tillsynsbegäran.docx", "A 3372-2024")</f>
        <v/>
      </c>
      <c r="Y42">
        <f>HYPERLINK("https://klasma.github.io/Logging_0980/tillsynsmail/A 3372-2024 tillsynsbegäran mail.docx", "A 3372-2024")</f>
        <v/>
      </c>
    </row>
    <row r="43" ht="15" customHeight="1">
      <c r="A43" t="inlineStr">
        <is>
          <t>A 5686-2024</t>
        </is>
      </c>
      <c r="B43" s="1" t="n">
        <v>45334</v>
      </c>
      <c r="C43" s="1" t="n">
        <v>45828</v>
      </c>
      <c r="D43" t="inlineStr">
        <is>
          <t>GOTLANDS LÄN</t>
        </is>
      </c>
      <c r="E43" t="inlineStr">
        <is>
          <t>GOTLAND</t>
        </is>
      </c>
      <c r="G43" t="n">
        <v>6</v>
      </c>
      <c r="H43" t="n">
        <v>9</v>
      </c>
      <c r="I43" t="n">
        <v>1</v>
      </c>
      <c r="J43" t="n">
        <v>3</v>
      </c>
      <c r="K43" t="n">
        <v>0</v>
      </c>
      <c r="L43" t="n">
        <v>0</v>
      </c>
      <c r="M43" t="n">
        <v>0</v>
      </c>
      <c r="N43" t="n">
        <v>0</v>
      </c>
      <c r="O43" t="n">
        <v>3</v>
      </c>
      <c r="P43" t="n">
        <v>0</v>
      </c>
      <c r="Q43" t="n">
        <v>11</v>
      </c>
      <c r="R43" s="2" t="inlineStr">
        <is>
          <t>Grönsångare
Majviva
Ängsstarr
Purpurknipprot
Halsbandsflugsnappare
Skogsduva
Brudsporre
Dactylorhiza incarnata subsp. incarnata
Fläcknycklar
Grönvit nattviol
Kärrknipprot</t>
        </is>
      </c>
      <c r="S43">
        <f>HYPERLINK("https://klasma.github.io/Logging_0980/artfynd/A 5686-2024 artfynd.xlsx", "A 5686-2024")</f>
        <v/>
      </c>
      <c r="T43">
        <f>HYPERLINK("https://klasma.github.io/Logging_0980/kartor/A 5686-2024 karta.png", "A 5686-2024")</f>
        <v/>
      </c>
      <c r="V43">
        <f>HYPERLINK("https://klasma.github.io/Logging_0980/klagomål/A 5686-2024 FSC-klagomål.docx", "A 5686-2024")</f>
        <v/>
      </c>
      <c r="W43">
        <f>HYPERLINK("https://klasma.github.io/Logging_0980/klagomålsmail/A 5686-2024 FSC-klagomål mail.docx", "A 5686-2024")</f>
        <v/>
      </c>
      <c r="X43">
        <f>HYPERLINK("https://klasma.github.io/Logging_0980/tillsyn/A 5686-2024 tillsynsbegäran.docx", "A 5686-2024")</f>
        <v/>
      </c>
      <c r="Y43">
        <f>HYPERLINK("https://klasma.github.io/Logging_0980/tillsynsmail/A 5686-2024 tillsynsbegäran mail.docx", "A 5686-2024")</f>
        <v/>
      </c>
      <c r="Z43">
        <f>HYPERLINK("https://klasma.github.io/Logging_0980/fåglar/A 5686-2024 prioriterade fågelarter.docx", "A 5686-2024")</f>
        <v/>
      </c>
    </row>
    <row r="44" ht="15" customHeight="1">
      <c r="A44" t="inlineStr">
        <is>
          <t>A 6052-2024</t>
        </is>
      </c>
      <c r="B44" s="1" t="n">
        <v>45336</v>
      </c>
      <c r="C44" s="1" t="n">
        <v>45828</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45828</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18957-2024</t>
        </is>
      </c>
      <c r="B46" s="1" t="n">
        <v>45427</v>
      </c>
      <c r="C46" s="1" t="n">
        <v>45828</v>
      </c>
      <c r="D46" t="inlineStr">
        <is>
          <t>GOTLANDS LÄN</t>
        </is>
      </c>
      <c r="E46" t="inlineStr">
        <is>
          <t>GOTLAND</t>
        </is>
      </c>
      <c r="G46" t="n">
        <v>7</v>
      </c>
      <c r="H46" t="n">
        <v>7</v>
      </c>
      <c r="I46" t="n">
        <v>2</v>
      </c>
      <c r="J46" t="n">
        <v>6</v>
      </c>
      <c r="K46" t="n">
        <v>0</v>
      </c>
      <c r="L46" t="n">
        <v>0</v>
      </c>
      <c r="M46" t="n">
        <v>0</v>
      </c>
      <c r="N46" t="n">
        <v>0</v>
      </c>
      <c r="O46" t="n">
        <v>6</v>
      </c>
      <c r="P46" t="n">
        <v>0</v>
      </c>
      <c r="Q46" t="n">
        <v>11</v>
      </c>
      <c r="R46" s="2" t="inlineStr">
        <is>
          <t>Dårgräsfjäril
Jordtistel
Sexfläckig bastardsvärmare
Solvända
Svartfläckig blåvinge
Svinrot
Skogsknipprot
Tvåblad
Nattviol
Blåsippa
Revlummer</t>
        </is>
      </c>
      <c r="S46">
        <f>HYPERLINK("https://klasma.github.io/Logging_0980/artfynd/A 18957-2024 artfynd.xlsx", "A 18957-2024")</f>
        <v/>
      </c>
      <c r="T46">
        <f>HYPERLINK("https://klasma.github.io/Logging_0980/kartor/A 18957-2024 karta.png", "A 18957-2024")</f>
        <v/>
      </c>
      <c r="V46">
        <f>HYPERLINK("https://klasma.github.io/Logging_0980/klagomål/A 18957-2024 FSC-klagomål.docx", "A 18957-2024")</f>
        <v/>
      </c>
      <c r="W46">
        <f>HYPERLINK("https://klasma.github.io/Logging_0980/klagomålsmail/A 18957-2024 FSC-klagomål mail.docx", "A 18957-2024")</f>
        <v/>
      </c>
      <c r="X46">
        <f>HYPERLINK("https://klasma.github.io/Logging_0980/tillsyn/A 18957-2024 tillsynsbegäran.docx", "A 18957-2024")</f>
        <v/>
      </c>
      <c r="Y46">
        <f>HYPERLINK("https://klasma.github.io/Logging_0980/tillsynsmail/A 18957-2024 tillsynsbegäran mail.docx", "A 18957-2024")</f>
        <v/>
      </c>
    </row>
    <row r="47" ht="15" customHeight="1">
      <c r="A47" t="inlineStr">
        <is>
          <t>A 15068-2025</t>
        </is>
      </c>
      <c r="B47" s="1" t="n">
        <v>45743</v>
      </c>
      <c r="C47" s="1" t="n">
        <v>45828</v>
      </c>
      <c r="D47" t="inlineStr">
        <is>
          <t>GOTLANDS LÄN</t>
        </is>
      </c>
      <c r="E47" t="inlineStr">
        <is>
          <t>GOTLAND</t>
        </is>
      </c>
      <c r="G47" t="n">
        <v>37.3</v>
      </c>
      <c r="H47" t="n">
        <v>5</v>
      </c>
      <c r="I47" t="n">
        <v>1</v>
      </c>
      <c r="J47" t="n">
        <v>3</v>
      </c>
      <c r="K47" t="n">
        <v>1</v>
      </c>
      <c r="L47" t="n">
        <v>0</v>
      </c>
      <c r="M47" t="n">
        <v>0</v>
      </c>
      <c r="N47" t="n">
        <v>0</v>
      </c>
      <c r="O47" t="n">
        <v>5</v>
      </c>
      <c r="P47" t="n">
        <v>1</v>
      </c>
      <c r="Q47" t="n">
        <v>11</v>
      </c>
      <c r="R47" s="2" t="inlineStr">
        <is>
          <t>Källnate
Majviva
Silversmygare
Ängsstarr
Blodkula
Axag
Brudsporre
Dactylorhiza incarnata subsp. incarnata
Dubbelnycklar
Kärrknipprot
Ängsnycklar</t>
        </is>
      </c>
      <c r="S47">
        <f>HYPERLINK("https://klasma.github.io/Logging_090980/artfynd/A 15068-2025 artfynd.xlsx", "A 15068-2025")</f>
        <v/>
      </c>
      <c r="T47">
        <f>HYPERLINK("https://klasma.github.io/Logging_090980/kartor/A 15068-2025 karta.png", "A 15068-2025")</f>
        <v/>
      </c>
      <c r="V47">
        <f>HYPERLINK("https://klasma.github.io/Logging_090980/klagomål/A 15068-2025 FSC-klagomål.docx", "A 15068-2025")</f>
        <v/>
      </c>
      <c r="W47">
        <f>HYPERLINK("https://klasma.github.io/Logging_090980/klagomålsmail/A 15068-2025 FSC-klagomål mail.docx", "A 15068-2025")</f>
        <v/>
      </c>
      <c r="X47">
        <f>HYPERLINK("https://klasma.github.io/Logging_090980/tillsyn/A 15068-2025 tillsynsbegäran.docx", "A 15068-2025")</f>
        <v/>
      </c>
      <c r="Y47">
        <f>HYPERLINK("https://klasma.github.io/Logging_090980/tillsynsmail/A 15068-2025 tillsynsbegäran mail.docx", "A 15068-2025")</f>
        <v/>
      </c>
    </row>
    <row r="48" ht="15" customHeight="1">
      <c r="A48" t="inlineStr">
        <is>
          <t>A 15850-2025</t>
        </is>
      </c>
      <c r="B48" s="1" t="n">
        <v>45749</v>
      </c>
      <c r="C48" s="1" t="n">
        <v>45828</v>
      </c>
      <c r="D48" t="inlineStr">
        <is>
          <t>GOTLANDS LÄN</t>
        </is>
      </c>
      <c r="E48" t="inlineStr">
        <is>
          <t>GOTLAND</t>
        </is>
      </c>
      <c r="G48" t="n">
        <v>5.1</v>
      </c>
      <c r="H48" t="n">
        <v>4</v>
      </c>
      <c r="I48" t="n">
        <v>3</v>
      </c>
      <c r="J48" t="n">
        <v>4</v>
      </c>
      <c r="K48" t="n">
        <v>2</v>
      </c>
      <c r="L48" t="n">
        <v>0</v>
      </c>
      <c r="M48" t="n">
        <v>0</v>
      </c>
      <c r="N48" t="n">
        <v>0</v>
      </c>
      <c r="O48" t="n">
        <v>7</v>
      </c>
      <c r="P48" t="n">
        <v>2</v>
      </c>
      <c r="Q48" t="n">
        <v>11</v>
      </c>
      <c r="R48" s="2" t="inlineStr">
        <is>
          <t>Gulsträngad fagerspindling
Tvillingspindling
Gulsparv
Odörspindling
Spillkråka
Svinrot
Trollspindling
Anisspindling
Mindre märgborre
Skogsknipprot
Sankt pers nycklar</t>
        </is>
      </c>
      <c r="S48">
        <f>HYPERLINK("https://klasma.github.io/Logging_090980/artfynd/A 15850-2025 artfynd.xlsx", "A 15850-2025")</f>
        <v/>
      </c>
      <c r="T48">
        <f>HYPERLINK("https://klasma.github.io/Logging_090980/kartor/A 15850-2025 karta.png", "A 15850-2025")</f>
        <v/>
      </c>
      <c r="V48">
        <f>HYPERLINK("https://klasma.github.io/Logging_090980/klagomål/A 15850-2025 FSC-klagomål.docx", "A 15850-2025")</f>
        <v/>
      </c>
      <c r="W48">
        <f>HYPERLINK("https://klasma.github.io/Logging_090980/klagomålsmail/A 15850-2025 FSC-klagomål mail.docx", "A 15850-2025")</f>
        <v/>
      </c>
      <c r="X48">
        <f>HYPERLINK("https://klasma.github.io/Logging_090980/tillsyn/A 15850-2025 tillsynsbegäran.docx", "A 15850-2025")</f>
        <v/>
      </c>
      <c r="Y48">
        <f>HYPERLINK("https://klasma.github.io/Logging_090980/tillsynsmail/A 15850-2025 tillsynsbegäran mail.docx", "A 15850-2025")</f>
        <v/>
      </c>
      <c r="Z48">
        <f>HYPERLINK("https://klasma.github.io/Logging_090980/fåglar/A 15850-2025 prioriterade fågelarter.docx", "A 15850-2025")</f>
        <v/>
      </c>
    </row>
    <row r="49" ht="15" customHeight="1">
      <c r="A49" t="inlineStr">
        <is>
          <t>A 64683-2023</t>
        </is>
      </c>
      <c r="B49" s="1" t="n">
        <v>45281</v>
      </c>
      <c r="C49" s="1" t="n">
        <v>45828</v>
      </c>
      <c r="D49" t="inlineStr">
        <is>
          <t>GOTLANDS LÄN</t>
        </is>
      </c>
      <c r="E49" t="inlineStr">
        <is>
          <t>GOTLAND</t>
        </is>
      </c>
      <c r="G49" t="n">
        <v>6.3</v>
      </c>
      <c r="H49" t="n">
        <v>0</v>
      </c>
      <c r="I49" t="n">
        <v>7</v>
      </c>
      <c r="J49" t="n">
        <v>1</v>
      </c>
      <c r="K49" t="n">
        <v>2</v>
      </c>
      <c r="L49" t="n">
        <v>0</v>
      </c>
      <c r="M49" t="n">
        <v>0</v>
      </c>
      <c r="N49" t="n">
        <v>0</v>
      </c>
      <c r="O49" t="n">
        <v>3</v>
      </c>
      <c r="P49" t="n">
        <v>2</v>
      </c>
      <c r="Q49" t="n">
        <v>10</v>
      </c>
      <c r="R49" s="2" t="inlineStr">
        <is>
          <t>Gulsträngad fagerspindling
Violettfläckig spindling
Odörspindling
Anisspindling
Blomkålssvamp
Blå slemspindling
Grönpyrola
Olivspindling
Rödgul trumpetsvamp
Rökmusseron</t>
        </is>
      </c>
      <c r="S49">
        <f>HYPERLINK("https://klasma.github.io/Logging_0980/artfynd/A 64683-2023 artfynd.xlsx", "A 64683-2023")</f>
        <v/>
      </c>
      <c r="T49">
        <f>HYPERLINK("https://klasma.github.io/Logging_0980/kartor/A 64683-2023 karta.png", "A 64683-2023")</f>
        <v/>
      </c>
      <c r="V49">
        <f>HYPERLINK("https://klasma.github.io/Logging_0980/klagomål/A 64683-2023 FSC-klagomål.docx", "A 64683-2023")</f>
        <v/>
      </c>
      <c r="W49">
        <f>HYPERLINK("https://klasma.github.io/Logging_0980/klagomålsmail/A 64683-2023 FSC-klagomål mail.docx", "A 64683-2023")</f>
        <v/>
      </c>
      <c r="X49">
        <f>HYPERLINK("https://klasma.github.io/Logging_0980/tillsyn/A 64683-2023 tillsynsbegäran.docx", "A 64683-2023")</f>
        <v/>
      </c>
      <c r="Y49">
        <f>HYPERLINK("https://klasma.github.io/Logging_0980/tillsynsmail/A 64683-2023 tillsynsbegäran mail.docx", "A 64683-2023")</f>
        <v/>
      </c>
    </row>
    <row r="50" ht="15" customHeight="1">
      <c r="A50" t="inlineStr">
        <is>
          <t>A 17739-2024</t>
        </is>
      </c>
      <c r="B50" s="1" t="n">
        <v>45418</v>
      </c>
      <c r="C50" s="1" t="n">
        <v>45828</v>
      </c>
      <c r="D50" t="inlineStr">
        <is>
          <t>GOTLANDS LÄN</t>
        </is>
      </c>
      <c r="E50" t="inlineStr">
        <is>
          <t>GOTLAND</t>
        </is>
      </c>
      <c r="G50" t="n">
        <v>14.3</v>
      </c>
      <c r="H50" t="n">
        <v>3</v>
      </c>
      <c r="I50" t="n">
        <v>2</v>
      </c>
      <c r="J50" t="n">
        <v>6</v>
      </c>
      <c r="K50" t="n">
        <v>1</v>
      </c>
      <c r="L50" t="n">
        <v>0</v>
      </c>
      <c r="M50" t="n">
        <v>0</v>
      </c>
      <c r="N50" t="n">
        <v>0</v>
      </c>
      <c r="O50" t="n">
        <v>7</v>
      </c>
      <c r="P50" t="n">
        <v>1</v>
      </c>
      <c r="Q50" t="n">
        <v>10</v>
      </c>
      <c r="R50" s="2" t="inlineStr">
        <is>
          <t>Ljungsnärja
Axveronika
Backtimjan
Flentimotej
Havsörn
Jordtistel
Solvända
Blåmossa
Tvåblad
Blåsippa</t>
        </is>
      </c>
      <c r="S50">
        <f>HYPERLINK("https://klasma.github.io/Logging_0980/artfynd/A 17739-2024 artfynd.xlsx", "A 17739-2024")</f>
        <v/>
      </c>
      <c r="T50">
        <f>HYPERLINK("https://klasma.github.io/Logging_0980/kartor/A 17739-2024 karta.png", "A 17739-2024")</f>
        <v/>
      </c>
      <c r="V50">
        <f>HYPERLINK("https://klasma.github.io/Logging_0980/klagomål/A 17739-2024 FSC-klagomål.docx", "A 17739-2024")</f>
        <v/>
      </c>
      <c r="W50">
        <f>HYPERLINK("https://klasma.github.io/Logging_0980/klagomålsmail/A 17739-2024 FSC-klagomål mail.docx", "A 17739-2024")</f>
        <v/>
      </c>
      <c r="X50">
        <f>HYPERLINK("https://klasma.github.io/Logging_0980/tillsyn/A 17739-2024 tillsynsbegäran.docx", "A 17739-2024")</f>
        <v/>
      </c>
      <c r="Y50">
        <f>HYPERLINK("https://klasma.github.io/Logging_0980/tillsynsmail/A 17739-2024 tillsynsbegäran mail.docx", "A 17739-2024")</f>
        <v/>
      </c>
      <c r="Z50">
        <f>HYPERLINK("https://klasma.github.io/Logging_0980/fåglar/A 17739-2024 prioriterade fågelarter.docx", "A 17739-2024")</f>
        <v/>
      </c>
    </row>
    <row r="51" ht="15" customHeight="1">
      <c r="A51" t="inlineStr">
        <is>
          <t>A 17766-2024</t>
        </is>
      </c>
      <c r="B51" s="1" t="n">
        <v>45418</v>
      </c>
      <c r="C51" s="1" t="n">
        <v>45828</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45828</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33153-2024</t>
        </is>
      </c>
      <c r="B53" s="1" t="n">
        <v>45518</v>
      </c>
      <c r="C53" s="1" t="n">
        <v>45828</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49418-2024</t>
        </is>
      </c>
      <c r="B54" s="1" t="n">
        <v>45595</v>
      </c>
      <c r="C54" s="1" t="n">
        <v>45828</v>
      </c>
      <c r="D54" t="inlineStr">
        <is>
          <t>GOTLANDS LÄN</t>
        </is>
      </c>
      <c r="E54" t="inlineStr">
        <is>
          <t>GOTLAND</t>
        </is>
      </c>
      <c r="G54" t="n">
        <v>39.8</v>
      </c>
      <c r="H54" t="n">
        <v>6</v>
      </c>
      <c r="I54" t="n">
        <v>2</v>
      </c>
      <c r="J54" t="n">
        <v>3</v>
      </c>
      <c r="K54" t="n">
        <v>0</v>
      </c>
      <c r="L54" t="n">
        <v>1</v>
      </c>
      <c r="M54" t="n">
        <v>0</v>
      </c>
      <c r="N54" t="n">
        <v>0</v>
      </c>
      <c r="O54" t="n">
        <v>4</v>
      </c>
      <c r="P54" t="n">
        <v>1</v>
      </c>
      <c r="Q54" t="n">
        <v>10</v>
      </c>
      <c r="R54" s="2" t="inlineStr">
        <is>
          <t>Ängshök
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1719-2025</t>
        </is>
      </c>
      <c r="B55" s="1" t="n">
        <v>45671</v>
      </c>
      <c r="C55" s="1" t="n">
        <v>45828</v>
      </c>
      <c r="D55" t="inlineStr">
        <is>
          <t>GOTLANDS LÄN</t>
        </is>
      </c>
      <c r="E55" t="inlineStr">
        <is>
          <t>GOTLAND</t>
        </is>
      </c>
      <c r="G55" t="n">
        <v>6</v>
      </c>
      <c r="H55" t="n">
        <v>3</v>
      </c>
      <c r="I55" t="n">
        <v>2</v>
      </c>
      <c r="J55" t="n">
        <v>3</v>
      </c>
      <c r="K55" t="n">
        <v>3</v>
      </c>
      <c r="L55" t="n">
        <v>1</v>
      </c>
      <c r="M55" t="n">
        <v>0</v>
      </c>
      <c r="N55" t="n">
        <v>0</v>
      </c>
      <c r="O55" t="n">
        <v>7</v>
      </c>
      <c r="P55" t="n">
        <v>4</v>
      </c>
      <c r="Q55" t="n">
        <v>10</v>
      </c>
      <c r="R55" s="2" t="inlineStr">
        <is>
          <t>Ask
Gulsträngad fagerspindling
Skogskorn
Vit taggsvamp
Backtimjan
Doftskinn
Spillkråka
Besk kastanjemusseron
Skogsknipprot
Blåsippa</t>
        </is>
      </c>
      <c r="S55">
        <f>HYPERLINK("https://klasma.github.io/Logging_0980/artfynd/A 1719-2025 artfynd.xlsx", "A 1719-2025")</f>
        <v/>
      </c>
      <c r="T55">
        <f>HYPERLINK("https://klasma.github.io/Logging_0980/kartor/A 1719-2025 karta.png", "A 1719-2025")</f>
        <v/>
      </c>
      <c r="V55">
        <f>HYPERLINK("https://klasma.github.io/Logging_0980/klagomål/A 1719-2025 FSC-klagomål.docx", "A 1719-2025")</f>
        <v/>
      </c>
      <c r="W55">
        <f>HYPERLINK("https://klasma.github.io/Logging_0980/klagomålsmail/A 1719-2025 FSC-klagomål mail.docx", "A 1719-2025")</f>
        <v/>
      </c>
      <c r="X55">
        <f>HYPERLINK("https://klasma.github.io/Logging_0980/tillsyn/A 1719-2025 tillsynsbegäran.docx", "A 1719-2025")</f>
        <v/>
      </c>
      <c r="Y55">
        <f>HYPERLINK("https://klasma.github.io/Logging_0980/tillsynsmail/A 1719-2025 tillsynsbegäran mail.docx", "A 1719-2025")</f>
        <v/>
      </c>
      <c r="Z55">
        <f>HYPERLINK("https://klasma.github.io/Logging_0980/fåglar/A 1719-2025 prioriterade fågelarter.docx", "A 1719-2025")</f>
        <v/>
      </c>
    </row>
    <row r="56" ht="15" customHeight="1">
      <c r="A56" t="inlineStr">
        <is>
          <t>A 3475-2025</t>
        </is>
      </c>
      <c r="B56" s="1" t="n">
        <v>45680</v>
      </c>
      <c r="C56" s="1" t="n">
        <v>45828</v>
      </c>
      <c r="D56" t="inlineStr">
        <is>
          <t>GOTLANDS LÄN</t>
        </is>
      </c>
      <c r="E56" t="inlineStr">
        <is>
          <t>GOTLAND</t>
        </is>
      </c>
      <c r="G56" t="n">
        <v>4.6</v>
      </c>
      <c r="H56" t="n">
        <v>3</v>
      </c>
      <c r="I56" t="n">
        <v>3</v>
      </c>
      <c r="J56" t="n">
        <v>3</v>
      </c>
      <c r="K56" t="n">
        <v>2</v>
      </c>
      <c r="L56" t="n">
        <v>0</v>
      </c>
      <c r="M56" t="n">
        <v>0</v>
      </c>
      <c r="N56" t="n">
        <v>0</v>
      </c>
      <c r="O56" t="n">
        <v>6</v>
      </c>
      <c r="P56" t="n">
        <v>2</v>
      </c>
      <c r="Q56" t="n">
        <v>10</v>
      </c>
      <c r="R56" s="2" t="inlineStr">
        <is>
          <t>Gulsträngad fagerspindling
Tvillingspindling
Gulsparv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c r="Z56">
        <f>HYPERLINK("https://klasma.github.io/Logging_0980/fåglar/A 3475-2025 prioriterade fågelarter.docx", "A 3475-2025")</f>
        <v/>
      </c>
    </row>
    <row r="57" ht="15" customHeight="1">
      <c r="A57" t="inlineStr">
        <is>
          <t>A 8915-2023</t>
        </is>
      </c>
      <c r="B57" s="1" t="n">
        <v>44973</v>
      </c>
      <c r="C57" s="1" t="n">
        <v>45828</v>
      </c>
      <c r="D57" t="inlineStr">
        <is>
          <t>GOTLANDS LÄN</t>
        </is>
      </c>
      <c r="E57" t="inlineStr">
        <is>
          <t>GOTLAND</t>
        </is>
      </c>
      <c r="G57" t="n">
        <v>3.3</v>
      </c>
      <c r="H57" t="n">
        <v>0</v>
      </c>
      <c r="I57" t="n">
        <v>3</v>
      </c>
      <c r="J57" t="n">
        <v>3</v>
      </c>
      <c r="K57" t="n">
        <v>3</v>
      </c>
      <c r="L57" t="n">
        <v>0</v>
      </c>
      <c r="M57" t="n">
        <v>0</v>
      </c>
      <c r="N57" t="n">
        <v>0</v>
      </c>
      <c r="O57" t="n">
        <v>6</v>
      </c>
      <c r="P57" t="n">
        <v>3</v>
      </c>
      <c r="Q57" t="n">
        <v>9</v>
      </c>
      <c r="R57" s="2" t="inlineStr">
        <is>
          <t>Gul lammticka
Lammticka
Tvillingspindling
Mjölsvärting
Odörspindling
Svart taggsvamp
Blå slemspindling
Fransig jordstjärna
Skarp dropptaggsvamp</t>
        </is>
      </c>
      <c r="S57">
        <f>HYPERLINK("https://klasma.github.io/Logging_0980/artfynd/A 8915-2023 artfynd.xlsx", "A 8915-2023")</f>
        <v/>
      </c>
      <c r="T57">
        <f>HYPERLINK("https://klasma.github.io/Logging_0980/kartor/A 8915-2023 karta.png", "A 8915-2023")</f>
        <v/>
      </c>
      <c r="V57">
        <f>HYPERLINK("https://klasma.github.io/Logging_0980/klagomål/A 8915-2023 FSC-klagomål.docx", "A 8915-2023")</f>
        <v/>
      </c>
      <c r="W57">
        <f>HYPERLINK("https://klasma.github.io/Logging_0980/klagomålsmail/A 8915-2023 FSC-klagomål mail.docx", "A 8915-2023")</f>
        <v/>
      </c>
      <c r="X57">
        <f>HYPERLINK("https://klasma.github.io/Logging_0980/tillsyn/A 8915-2023 tillsynsbegäran.docx", "A 8915-2023")</f>
        <v/>
      </c>
      <c r="Y57">
        <f>HYPERLINK("https://klasma.github.io/Logging_0980/tillsynsmail/A 8915-2023 tillsynsbegäran mail.docx", "A 8915-2023")</f>
        <v/>
      </c>
    </row>
    <row r="58" ht="15" customHeight="1">
      <c r="A58" t="inlineStr">
        <is>
          <t>A 39376-2023</t>
        </is>
      </c>
      <c r="B58" s="1" t="n">
        <v>45166</v>
      </c>
      <c r="C58" s="1" t="n">
        <v>45828</v>
      </c>
      <c r="D58" t="inlineStr">
        <is>
          <t>GOTLANDS LÄN</t>
        </is>
      </c>
      <c r="E58" t="inlineStr">
        <is>
          <t>GOTLAND</t>
        </is>
      </c>
      <c r="G58" t="n">
        <v>9.199999999999999</v>
      </c>
      <c r="H58" t="n">
        <v>1</v>
      </c>
      <c r="I58" t="n">
        <v>5</v>
      </c>
      <c r="J58" t="n">
        <v>4</v>
      </c>
      <c r="K58" t="n">
        <v>0</v>
      </c>
      <c r="L58" t="n">
        <v>0</v>
      </c>
      <c r="M58" t="n">
        <v>0</v>
      </c>
      <c r="N58" t="n">
        <v>0</v>
      </c>
      <c r="O58" t="n">
        <v>4</v>
      </c>
      <c r="P58" t="n">
        <v>0</v>
      </c>
      <c r="Q58" t="n">
        <v>9</v>
      </c>
      <c r="R58" s="2" t="inlineStr">
        <is>
          <t>Denisespindling
Flattoppad klubbsvamp
Odörspindling
Äggspindling
Anisspindling
Blå slemspindling
Kattfotslav
Rödgul trumpetsvamp
Skogsknipprot</t>
        </is>
      </c>
      <c r="S58">
        <f>HYPERLINK("https://klasma.github.io/Logging_0980/artfynd/A 39376-2023 artfynd.xlsx", "A 39376-2023")</f>
        <v/>
      </c>
      <c r="T58">
        <f>HYPERLINK("https://klasma.github.io/Logging_0980/kartor/A 39376-2023 karta.png", "A 39376-2023")</f>
        <v/>
      </c>
      <c r="V58">
        <f>HYPERLINK("https://klasma.github.io/Logging_0980/klagomål/A 39376-2023 FSC-klagomål.docx", "A 39376-2023")</f>
        <v/>
      </c>
      <c r="W58">
        <f>HYPERLINK("https://klasma.github.io/Logging_0980/klagomålsmail/A 39376-2023 FSC-klagomål mail.docx", "A 39376-2023")</f>
        <v/>
      </c>
      <c r="X58">
        <f>HYPERLINK("https://klasma.github.io/Logging_0980/tillsyn/A 39376-2023 tillsynsbegäran.docx", "A 39376-2023")</f>
        <v/>
      </c>
      <c r="Y58">
        <f>HYPERLINK("https://klasma.github.io/Logging_0980/tillsynsmail/A 39376-2023 tillsynsbegäran mail.docx", "A 39376-2023")</f>
        <v/>
      </c>
    </row>
    <row r="59" ht="15" customHeight="1">
      <c r="A59" t="inlineStr">
        <is>
          <t>A 32876-2024</t>
        </is>
      </c>
      <c r="B59" s="1" t="n">
        <v>45516</v>
      </c>
      <c r="C59" s="1" t="n">
        <v>45828</v>
      </c>
      <c r="D59" t="inlineStr">
        <is>
          <t>GOTLANDS LÄN</t>
        </is>
      </c>
      <c r="E59" t="inlineStr">
        <is>
          <t>GOTLAND</t>
        </is>
      </c>
      <c r="G59" t="n">
        <v>1.8</v>
      </c>
      <c r="H59" t="n">
        <v>0</v>
      </c>
      <c r="I59" t="n">
        <v>4</v>
      </c>
      <c r="J59" t="n">
        <v>3</v>
      </c>
      <c r="K59" t="n">
        <v>2</v>
      </c>
      <c r="L59" t="n">
        <v>0</v>
      </c>
      <c r="M59" t="n">
        <v>0</v>
      </c>
      <c r="N59" t="n">
        <v>0</v>
      </c>
      <c r="O59" t="n">
        <v>5</v>
      </c>
      <c r="P59" t="n">
        <v>2</v>
      </c>
      <c r="Q59" t="n">
        <v>9</v>
      </c>
      <c r="R59" s="2" t="inlineStr">
        <is>
          <t>Gulsträngad fagerspindling
Svartgrön spindling
Denisespindling
Odörspindling
Svinrot
Anisspindling
Kattfotslav
Rödgul trumpetsvamp
Svavelriska</t>
        </is>
      </c>
      <c r="S59">
        <f>HYPERLINK("https://klasma.github.io/Logging_0980/artfynd/A 32876-2024 artfynd.xlsx", "A 32876-2024")</f>
        <v/>
      </c>
      <c r="T59">
        <f>HYPERLINK("https://klasma.github.io/Logging_0980/kartor/A 32876-2024 karta.png", "A 32876-2024")</f>
        <v/>
      </c>
      <c r="V59">
        <f>HYPERLINK("https://klasma.github.io/Logging_0980/klagomål/A 32876-2024 FSC-klagomål.docx", "A 32876-2024")</f>
        <v/>
      </c>
      <c r="W59">
        <f>HYPERLINK("https://klasma.github.io/Logging_0980/klagomålsmail/A 32876-2024 FSC-klagomål mail.docx", "A 32876-2024")</f>
        <v/>
      </c>
      <c r="X59">
        <f>HYPERLINK("https://klasma.github.io/Logging_0980/tillsyn/A 32876-2024 tillsynsbegäran.docx", "A 32876-2024")</f>
        <v/>
      </c>
      <c r="Y59">
        <f>HYPERLINK("https://klasma.github.io/Logging_0980/tillsynsmail/A 32876-2024 tillsynsbegäran mail.docx", "A 32876-2024")</f>
        <v/>
      </c>
    </row>
    <row r="60" ht="15" customHeight="1">
      <c r="A60" t="inlineStr">
        <is>
          <t>A 59132-2024</t>
        </is>
      </c>
      <c r="B60" s="1" t="n">
        <v>45637</v>
      </c>
      <c r="C60" s="1" t="n">
        <v>45828</v>
      </c>
      <c r="D60" t="inlineStr">
        <is>
          <t>GOTLANDS LÄN</t>
        </is>
      </c>
      <c r="E60" t="inlineStr">
        <is>
          <t>GOTLAND</t>
        </is>
      </c>
      <c r="G60" t="n">
        <v>3.5</v>
      </c>
      <c r="H60" t="n">
        <v>0</v>
      </c>
      <c r="I60" t="n">
        <v>1</v>
      </c>
      <c r="J60" t="n">
        <v>4</v>
      </c>
      <c r="K60" t="n">
        <v>3</v>
      </c>
      <c r="L60" t="n">
        <v>0</v>
      </c>
      <c r="M60" t="n">
        <v>0</v>
      </c>
      <c r="N60" t="n">
        <v>0</v>
      </c>
      <c r="O60" t="n">
        <v>8</v>
      </c>
      <c r="P60" t="n">
        <v>3</v>
      </c>
      <c r="Q60" t="n">
        <v>9</v>
      </c>
      <c r="R60" s="2" t="inlineStr">
        <is>
          <t>Almlav
Mörk kraterlav
Pälsticka
Korskovall
Slåtterfibbla
Solvända
Vippärt
Amphisphaeria umbrina
Underviol</t>
        </is>
      </c>
      <c r="S60">
        <f>HYPERLINK("https://klasma.github.io/Logging_0980/artfynd/A 59132-2024 artfynd.xlsx", "A 59132-2024")</f>
        <v/>
      </c>
      <c r="T60">
        <f>HYPERLINK("https://klasma.github.io/Logging_0980/kartor/A 59132-2024 karta.png", "A 59132-2024")</f>
        <v/>
      </c>
      <c r="V60">
        <f>HYPERLINK("https://klasma.github.io/Logging_0980/klagomål/A 59132-2024 FSC-klagomål.docx", "A 59132-2024")</f>
        <v/>
      </c>
      <c r="W60">
        <f>HYPERLINK("https://klasma.github.io/Logging_0980/klagomålsmail/A 59132-2024 FSC-klagomål mail.docx", "A 59132-2024")</f>
        <v/>
      </c>
      <c r="X60">
        <f>HYPERLINK("https://klasma.github.io/Logging_0980/tillsyn/A 59132-2024 tillsynsbegäran.docx", "A 59132-2024")</f>
        <v/>
      </c>
      <c r="Y60">
        <f>HYPERLINK("https://klasma.github.io/Logging_0980/tillsynsmail/A 59132-2024 tillsynsbegäran mail.docx", "A 59132-2024")</f>
        <v/>
      </c>
    </row>
    <row r="61" ht="15" customHeight="1">
      <c r="A61" t="inlineStr">
        <is>
          <t>A 32960-2019</t>
        </is>
      </c>
      <c r="B61" s="1" t="n">
        <v>43648</v>
      </c>
      <c r="C61" s="1" t="n">
        <v>45828</v>
      </c>
      <c r="D61" t="inlineStr">
        <is>
          <t>GOTLANDS LÄN</t>
        </is>
      </c>
      <c r="E61" t="inlineStr">
        <is>
          <t>GOTLAND</t>
        </is>
      </c>
      <c r="G61" t="n">
        <v>10.9</v>
      </c>
      <c r="H61" t="n">
        <v>6</v>
      </c>
      <c r="I61" t="n">
        <v>4</v>
      </c>
      <c r="J61" t="n">
        <v>2</v>
      </c>
      <c r="K61" t="n">
        <v>0</v>
      </c>
      <c r="L61" t="n">
        <v>0</v>
      </c>
      <c r="M61" t="n">
        <v>0</v>
      </c>
      <c r="N61" t="n">
        <v>0</v>
      </c>
      <c r="O61" t="n">
        <v>2</v>
      </c>
      <c r="P61" t="n">
        <v>0</v>
      </c>
      <c r="Q61" t="n">
        <v>8</v>
      </c>
      <c r="R61" s="2" t="inlineStr">
        <is>
          <t>Grönsångare
Ängsstarr
Kalktallört
Nästrot
Purpurknipprot
Vit skogslilja
Fläcknycklar
Nattviol</t>
        </is>
      </c>
      <c r="S61">
        <f>HYPERLINK("https://klasma.github.io/Logging_0980/artfynd/A 32960-2019 artfynd.xlsx", "A 32960-2019")</f>
        <v/>
      </c>
      <c r="T61">
        <f>HYPERLINK("https://klasma.github.io/Logging_0980/kartor/A 32960-2019 karta.png", "A 32960-2019")</f>
        <v/>
      </c>
      <c r="V61">
        <f>HYPERLINK("https://klasma.github.io/Logging_0980/klagomål/A 32960-2019 FSC-klagomål.docx", "A 32960-2019")</f>
        <v/>
      </c>
      <c r="W61">
        <f>HYPERLINK("https://klasma.github.io/Logging_0980/klagomålsmail/A 32960-2019 FSC-klagomål mail.docx", "A 32960-2019")</f>
        <v/>
      </c>
      <c r="X61">
        <f>HYPERLINK("https://klasma.github.io/Logging_0980/tillsyn/A 32960-2019 tillsynsbegäran.docx", "A 32960-2019")</f>
        <v/>
      </c>
      <c r="Y61">
        <f>HYPERLINK("https://klasma.github.io/Logging_0980/tillsynsmail/A 32960-2019 tillsynsbegäran mail.docx", "A 32960-2019")</f>
        <v/>
      </c>
      <c r="Z61">
        <f>HYPERLINK("https://klasma.github.io/Logging_0980/fåglar/A 32960-2019 prioriterade fågelarter.docx", "A 32960-2019")</f>
        <v/>
      </c>
    </row>
    <row r="62" ht="15" customHeight="1">
      <c r="A62" t="inlineStr">
        <is>
          <t>A 10699-2020</t>
        </is>
      </c>
      <c r="B62" s="1" t="n">
        <v>43888</v>
      </c>
      <c r="C62" s="1" t="n">
        <v>45828</v>
      </c>
      <c r="D62" t="inlineStr">
        <is>
          <t>GOTLANDS LÄN</t>
        </is>
      </c>
      <c r="E62" t="inlineStr">
        <is>
          <t>GOTLAND</t>
        </is>
      </c>
      <c r="F62" t="inlineStr">
        <is>
          <t>Övriga statliga verk och myndigheter</t>
        </is>
      </c>
      <c r="G62" t="n">
        <v>51.4</v>
      </c>
      <c r="H62" t="n">
        <v>6</v>
      </c>
      <c r="I62" t="n">
        <v>3</v>
      </c>
      <c r="J62" t="n">
        <v>3</v>
      </c>
      <c r="K62" t="n">
        <v>0</v>
      </c>
      <c r="L62" t="n">
        <v>0</v>
      </c>
      <c r="M62" t="n">
        <v>0</v>
      </c>
      <c r="N62" t="n">
        <v>0</v>
      </c>
      <c r="O62" t="n">
        <v>3</v>
      </c>
      <c r="P62" t="n">
        <v>0</v>
      </c>
      <c r="Q62" t="n">
        <v>8</v>
      </c>
      <c r="R62" s="2" t="inlineStr">
        <is>
          <t>Luktsporre
Röd skogslilja
Småtörel
Anisspindling
Nästrot
Purpurknipprot
Fläcknycklar
Kärrknipprot</t>
        </is>
      </c>
      <c r="S62">
        <f>HYPERLINK("https://klasma.github.io/Logging_0980/artfynd/A 10699-2020 artfynd.xlsx", "A 10699-2020")</f>
        <v/>
      </c>
      <c r="T62">
        <f>HYPERLINK("https://klasma.github.io/Logging_0980/kartor/A 10699-2020 karta.png", "A 10699-2020")</f>
        <v/>
      </c>
      <c r="V62">
        <f>HYPERLINK("https://klasma.github.io/Logging_0980/klagomål/A 10699-2020 FSC-klagomål.docx", "A 10699-2020")</f>
        <v/>
      </c>
      <c r="W62">
        <f>HYPERLINK("https://klasma.github.io/Logging_0980/klagomålsmail/A 10699-2020 FSC-klagomål mail.docx", "A 10699-2020")</f>
        <v/>
      </c>
      <c r="X62">
        <f>HYPERLINK("https://klasma.github.io/Logging_0980/tillsyn/A 10699-2020 tillsynsbegäran.docx", "A 10699-2020")</f>
        <v/>
      </c>
      <c r="Y62">
        <f>HYPERLINK("https://klasma.github.io/Logging_0980/tillsynsmail/A 10699-2020 tillsynsbegäran mail.docx", "A 10699-2020")</f>
        <v/>
      </c>
    </row>
    <row r="63" ht="15" customHeight="1">
      <c r="A63" t="inlineStr">
        <is>
          <t>A 13990-2020</t>
        </is>
      </c>
      <c r="B63" s="1" t="n">
        <v>43906</v>
      </c>
      <c r="C63" s="1" t="n">
        <v>45828</v>
      </c>
      <c r="D63" t="inlineStr">
        <is>
          <t>GOTLANDS LÄN</t>
        </is>
      </c>
      <c r="E63" t="inlineStr">
        <is>
          <t>GOTLAND</t>
        </is>
      </c>
      <c r="F63" t="inlineStr">
        <is>
          <t>Övriga Aktiebolag</t>
        </is>
      </c>
      <c r="G63" t="n">
        <v>2.3</v>
      </c>
      <c r="H63" t="n">
        <v>2</v>
      </c>
      <c r="I63" t="n">
        <v>3</v>
      </c>
      <c r="J63" t="n">
        <v>1</v>
      </c>
      <c r="K63" t="n">
        <v>1</v>
      </c>
      <c r="L63" t="n">
        <v>2</v>
      </c>
      <c r="M63" t="n">
        <v>0</v>
      </c>
      <c r="N63" t="n">
        <v>0</v>
      </c>
      <c r="O63" t="n">
        <v>4</v>
      </c>
      <c r="P63" t="n">
        <v>3</v>
      </c>
      <c r="Q63" t="n">
        <v>8</v>
      </c>
      <c r="R63" s="2" t="inlineStr">
        <is>
          <t>Norsk belonia
Ädellav
Gulbrunt nejlikfly
Lordithon pulchellus
Dorcatoma dresdensis
Nästrot
Rikfruktig blemlav
Halsbandsflugsnappare</t>
        </is>
      </c>
      <c r="S63">
        <f>HYPERLINK("https://klasma.github.io/Logging_0980/artfynd/A 13990-2020 artfynd.xlsx", "A 13990-2020")</f>
        <v/>
      </c>
      <c r="T63">
        <f>HYPERLINK("https://klasma.github.io/Logging_0980/kartor/A 13990-2020 karta.png", "A 13990-2020")</f>
        <v/>
      </c>
      <c r="V63">
        <f>HYPERLINK("https://klasma.github.io/Logging_0980/klagomål/A 13990-2020 FSC-klagomål.docx", "A 13990-2020")</f>
        <v/>
      </c>
      <c r="W63">
        <f>HYPERLINK("https://klasma.github.io/Logging_0980/klagomålsmail/A 13990-2020 FSC-klagomål mail.docx", "A 13990-2020")</f>
        <v/>
      </c>
      <c r="X63">
        <f>HYPERLINK("https://klasma.github.io/Logging_0980/tillsyn/A 13990-2020 tillsynsbegäran.docx", "A 13990-2020")</f>
        <v/>
      </c>
      <c r="Y63">
        <f>HYPERLINK("https://klasma.github.io/Logging_0980/tillsynsmail/A 13990-2020 tillsynsbegäran mail.docx", "A 13990-2020")</f>
        <v/>
      </c>
      <c r="Z63">
        <f>HYPERLINK("https://klasma.github.io/Logging_0980/fåglar/A 13990-2020 prioriterade fågelarter.docx", "A 13990-2020")</f>
        <v/>
      </c>
    </row>
    <row r="64" ht="15" customHeight="1">
      <c r="A64" t="inlineStr">
        <is>
          <t>A 21371-2020</t>
        </is>
      </c>
      <c r="B64" s="1" t="n">
        <v>43955</v>
      </c>
      <c r="C64" s="1" t="n">
        <v>45828</v>
      </c>
      <c r="D64" t="inlineStr">
        <is>
          <t>GOTLANDS LÄN</t>
        </is>
      </c>
      <c r="E64" t="inlineStr">
        <is>
          <t>GOTLAND</t>
        </is>
      </c>
      <c r="G64" t="n">
        <v>2</v>
      </c>
      <c r="H64" t="n">
        <v>0</v>
      </c>
      <c r="I64" t="n">
        <v>5</v>
      </c>
      <c r="J64" t="n">
        <v>0</v>
      </c>
      <c r="K64" t="n">
        <v>3</v>
      </c>
      <c r="L64" t="n">
        <v>0</v>
      </c>
      <c r="M64" t="n">
        <v>0</v>
      </c>
      <c r="N64" t="n">
        <v>0</v>
      </c>
      <c r="O64" t="n">
        <v>3</v>
      </c>
      <c r="P64" t="n">
        <v>3</v>
      </c>
      <c r="Q64" t="n">
        <v>8</v>
      </c>
      <c r="R64" s="2" t="inlineStr">
        <is>
          <t>Gulsträngad fagerspindling
Mörkfjällig olivspindling
Violettfläckig spindling
Anisspindling
Blå slemspindling
Fjällig taggsvamp s.str.
Kryddspindling
Olivspindling</t>
        </is>
      </c>
      <c r="S64">
        <f>HYPERLINK("https://klasma.github.io/Logging_0980/artfynd/A 21371-2020 artfynd.xlsx", "A 21371-2020")</f>
        <v/>
      </c>
      <c r="T64">
        <f>HYPERLINK("https://klasma.github.io/Logging_0980/kartor/A 21371-2020 karta.png", "A 21371-2020")</f>
        <v/>
      </c>
      <c r="V64">
        <f>HYPERLINK("https://klasma.github.io/Logging_0980/klagomål/A 21371-2020 FSC-klagomål.docx", "A 21371-2020")</f>
        <v/>
      </c>
      <c r="W64">
        <f>HYPERLINK("https://klasma.github.io/Logging_0980/klagomålsmail/A 21371-2020 FSC-klagomål mail.docx", "A 21371-2020")</f>
        <v/>
      </c>
      <c r="X64">
        <f>HYPERLINK("https://klasma.github.io/Logging_0980/tillsyn/A 21371-2020 tillsynsbegäran.docx", "A 21371-2020")</f>
        <v/>
      </c>
      <c r="Y64">
        <f>HYPERLINK("https://klasma.github.io/Logging_0980/tillsynsmail/A 21371-2020 tillsynsbegäran mail.docx", "A 21371-2020")</f>
        <v/>
      </c>
    </row>
    <row r="65" ht="15" customHeight="1">
      <c r="A65" t="inlineStr">
        <is>
          <t>A 1769-2022</t>
        </is>
      </c>
      <c r="B65" s="1" t="n">
        <v>44574</v>
      </c>
      <c r="C65" s="1" t="n">
        <v>45828</v>
      </c>
      <c r="D65" t="inlineStr">
        <is>
          <t>GOTLANDS LÄN</t>
        </is>
      </c>
      <c r="E65" t="inlineStr">
        <is>
          <t>GOTLAND</t>
        </is>
      </c>
      <c r="G65" t="n">
        <v>31.3</v>
      </c>
      <c r="H65" t="n">
        <v>5</v>
      </c>
      <c r="I65" t="n">
        <v>1</v>
      </c>
      <c r="J65" t="n">
        <v>3</v>
      </c>
      <c r="K65" t="n">
        <v>0</v>
      </c>
      <c r="L65" t="n">
        <v>0</v>
      </c>
      <c r="M65" t="n">
        <v>0</v>
      </c>
      <c r="N65" t="n">
        <v>0</v>
      </c>
      <c r="O65" t="n">
        <v>3</v>
      </c>
      <c r="P65" t="n">
        <v>0</v>
      </c>
      <c r="Q65" t="n">
        <v>8</v>
      </c>
      <c r="R65" s="2" t="inlineStr">
        <is>
          <t>Loppstarr
Majviva
Ängsstarr
Flugblomster
Brudsporre
Dactylorhiza incarnata subsp. incarnata
Grönvit nattviol
Kärrknipprot</t>
        </is>
      </c>
      <c r="S65">
        <f>HYPERLINK("https://klasma.github.io/Logging_0980/artfynd/A 1769-2022 artfynd.xlsx", "A 1769-2022")</f>
        <v/>
      </c>
      <c r="T65">
        <f>HYPERLINK("https://klasma.github.io/Logging_0980/kartor/A 1769-2022 karta.png", "A 1769-2022")</f>
        <v/>
      </c>
      <c r="V65">
        <f>HYPERLINK("https://klasma.github.io/Logging_0980/klagomål/A 1769-2022 FSC-klagomål.docx", "A 1769-2022")</f>
        <v/>
      </c>
      <c r="W65">
        <f>HYPERLINK("https://klasma.github.io/Logging_0980/klagomålsmail/A 1769-2022 FSC-klagomål mail.docx", "A 1769-2022")</f>
        <v/>
      </c>
      <c r="X65">
        <f>HYPERLINK("https://klasma.github.io/Logging_0980/tillsyn/A 1769-2022 tillsynsbegäran.docx", "A 1769-2022")</f>
        <v/>
      </c>
      <c r="Y65">
        <f>HYPERLINK("https://klasma.github.io/Logging_0980/tillsynsmail/A 1769-2022 tillsynsbegäran mail.docx", "A 1769-2022")</f>
        <v/>
      </c>
    </row>
    <row r="66" ht="15" customHeight="1">
      <c r="A66" t="inlineStr">
        <is>
          <t>A 22318-2022</t>
        </is>
      </c>
      <c r="B66" s="1" t="n">
        <v>44712</v>
      </c>
      <c r="C66" s="1" t="n">
        <v>45828</v>
      </c>
      <c r="D66" t="inlineStr">
        <is>
          <t>GOTLANDS LÄN</t>
        </is>
      </c>
      <c r="E66" t="inlineStr">
        <is>
          <t>GOTLAND</t>
        </is>
      </c>
      <c r="G66" t="n">
        <v>3</v>
      </c>
      <c r="H66" t="n">
        <v>0</v>
      </c>
      <c r="I66" t="n">
        <v>4</v>
      </c>
      <c r="J66" t="n">
        <v>2</v>
      </c>
      <c r="K66" t="n">
        <v>2</v>
      </c>
      <c r="L66" t="n">
        <v>0</v>
      </c>
      <c r="M66" t="n">
        <v>0</v>
      </c>
      <c r="N66" t="n">
        <v>0</v>
      </c>
      <c r="O66" t="n">
        <v>4</v>
      </c>
      <c r="P66" t="n">
        <v>2</v>
      </c>
      <c r="Q66" t="n">
        <v>8</v>
      </c>
      <c r="R66" s="2" t="inlineStr">
        <is>
          <t>Duvspindling
Mörk kraterlav
Odörspindling
Svinrot
Anisspindling
Blå slemspindling
Rödgul trumpetsvamp
Svavelriska</t>
        </is>
      </c>
      <c r="S66">
        <f>HYPERLINK("https://klasma.github.io/Logging_0980/artfynd/A 22318-2022 artfynd.xlsx", "A 22318-2022")</f>
        <v/>
      </c>
      <c r="T66">
        <f>HYPERLINK("https://klasma.github.io/Logging_0980/kartor/A 22318-2022 karta.png", "A 22318-2022")</f>
        <v/>
      </c>
      <c r="V66">
        <f>HYPERLINK("https://klasma.github.io/Logging_0980/klagomål/A 22318-2022 FSC-klagomål.docx", "A 22318-2022")</f>
        <v/>
      </c>
      <c r="W66">
        <f>HYPERLINK("https://klasma.github.io/Logging_0980/klagomålsmail/A 22318-2022 FSC-klagomål mail.docx", "A 22318-2022")</f>
        <v/>
      </c>
      <c r="X66">
        <f>HYPERLINK("https://klasma.github.io/Logging_0980/tillsyn/A 22318-2022 tillsynsbegäran.docx", "A 22318-2022")</f>
        <v/>
      </c>
      <c r="Y66">
        <f>HYPERLINK("https://klasma.github.io/Logging_0980/tillsynsmail/A 22318-2022 tillsynsbegäran mail.docx", "A 22318-2022")</f>
        <v/>
      </c>
    </row>
    <row r="67" ht="15" customHeight="1">
      <c r="A67" t="inlineStr">
        <is>
          <t>A 2649-2023</t>
        </is>
      </c>
      <c r="B67" s="1" t="n">
        <v>44943</v>
      </c>
      <c r="C67" s="1" t="n">
        <v>45828</v>
      </c>
      <c r="D67" t="inlineStr">
        <is>
          <t>GOTLANDS LÄN</t>
        </is>
      </c>
      <c r="E67" t="inlineStr">
        <is>
          <t>GOTLAND</t>
        </is>
      </c>
      <c r="G67" t="n">
        <v>2.6</v>
      </c>
      <c r="H67" t="n">
        <v>1</v>
      </c>
      <c r="I67" t="n">
        <v>1</v>
      </c>
      <c r="J67" t="n">
        <v>1</v>
      </c>
      <c r="K67" t="n">
        <v>6</v>
      </c>
      <c r="L67" t="n">
        <v>0</v>
      </c>
      <c r="M67" t="n">
        <v>0</v>
      </c>
      <c r="N67" t="n">
        <v>0</v>
      </c>
      <c r="O67" t="n">
        <v>7</v>
      </c>
      <c r="P67" t="n">
        <v>6</v>
      </c>
      <c r="Q67" t="n">
        <v>8</v>
      </c>
      <c r="R67" s="2" t="inlineStr">
        <is>
          <t>Duvspindling
Garderönn
Granrotsspindling
Gul lammticka
Gulsträngad fagerspindling
Violettfläckig spindling
Svinrot
Anisspindling</t>
        </is>
      </c>
      <c r="S67">
        <f>HYPERLINK("https://klasma.github.io/Logging_0980/artfynd/A 2649-2023 artfynd.xlsx", "A 2649-2023")</f>
        <v/>
      </c>
      <c r="T67">
        <f>HYPERLINK("https://klasma.github.io/Logging_0980/kartor/A 2649-2023 karta.png", "A 2649-2023")</f>
        <v/>
      </c>
      <c r="V67">
        <f>HYPERLINK("https://klasma.github.io/Logging_0980/klagomål/A 2649-2023 FSC-klagomål.docx", "A 2649-2023")</f>
        <v/>
      </c>
      <c r="W67">
        <f>HYPERLINK("https://klasma.github.io/Logging_0980/klagomålsmail/A 2649-2023 FSC-klagomål mail.docx", "A 2649-2023")</f>
        <v/>
      </c>
      <c r="X67">
        <f>HYPERLINK("https://klasma.github.io/Logging_0980/tillsyn/A 2649-2023 tillsynsbegäran.docx", "A 2649-2023")</f>
        <v/>
      </c>
      <c r="Y67">
        <f>HYPERLINK("https://klasma.github.io/Logging_0980/tillsynsmail/A 2649-2023 tillsynsbegäran mail.docx", "A 2649-2023")</f>
        <v/>
      </c>
    </row>
    <row r="68" ht="15" customHeight="1">
      <c r="A68" t="inlineStr">
        <is>
          <t>A 7039-2023</t>
        </is>
      </c>
      <c r="B68" s="1" t="n">
        <v>44968</v>
      </c>
      <c r="C68" s="1" t="n">
        <v>45828</v>
      </c>
      <c r="D68" t="inlineStr">
        <is>
          <t>GOTLANDS LÄN</t>
        </is>
      </c>
      <c r="E68" t="inlineStr">
        <is>
          <t>GOTLAND</t>
        </is>
      </c>
      <c r="G68" t="n">
        <v>2.9</v>
      </c>
      <c r="H68" t="n">
        <v>1</v>
      </c>
      <c r="I68" t="n">
        <v>3</v>
      </c>
      <c r="J68" t="n">
        <v>1</v>
      </c>
      <c r="K68" t="n">
        <v>1</v>
      </c>
      <c r="L68" t="n">
        <v>1</v>
      </c>
      <c r="M68" t="n">
        <v>1</v>
      </c>
      <c r="N68" t="n">
        <v>0</v>
      </c>
      <c r="O68" t="n">
        <v>5</v>
      </c>
      <c r="P68" t="n">
        <v>3</v>
      </c>
      <c r="Q68" t="n">
        <v>8</v>
      </c>
      <c r="R68" s="2" t="inlineStr">
        <is>
          <t>Stor blanklav
Ädellav
Mörk kraterlav
Dårgräsfjäril
Frostig asplav
Havstulpanlav
Klippfrullania
Stubbspretmossa</t>
        </is>
      </c>
      <c r="S68">
        <f>HYPERLINK("https://klasma.github.io/Logging_0980/artfynd/A 7039-2023 artfynd.xlsx", "A 7039-2023")</f>
        <v/>
      </c>
      <c r="T68">
        <f>HYPERLINK("https://klasma.github.io/Logging_0980/kartor/A 7039-2023 karta.png", "A 7039-2023")</f>
        <v/>
      </c>
      <c r="V68">
        <f>HYPERLINK("https://klasma.github.io/Logging_0980/klagomål/A 7039-2023 FSC-klagomål.docx", "A 7039-2023")</f>
        <v/>
      </c>
      <c r="W68">
        <f>HYPERLINK("https://klasma.github.io/Logging_0980/klagomålsmail/A 7039-2023 FSC-klagomål mail.docx", "A 7039-2023")</f>
        <v/>
      </c>
      <c r="X68">
        <f>HYPERLINK("https://klasma.github.io/Logging_0980/tillsyn/A 7039-2023 tillsynsbegäran.docx", "A 7039-2023")</f>
        <v/>
      </c>
      <c r="Y68">
        <f>HYPERLINK("https://klasma.github.io/Logging_0980/tillsynsmail/A 7039-2023 tillsynsbegäran mail.docx", "A 7039-2023")</f>
        <v/>
      </c>
    </row>
    <row r="69" ht="15" customHeight="1">
      <c r="A69" t="inlineStr">
        <is>
          <t>A 3588-2024</t>
        </is>
      </c>
      <c r="B69" s="1" t="n">
        <v>45320</v>
      </c>
      <c r="C69" s="1" t="n">
        <v>45828</v>
      </c>
      <c r="D69" t="inlineStr">
        <is>
          <t>GOTLANDS LÄN</t>
        </is>
      </c>
      <c r="E69" t="inlineStr">
        <is>
          <t>GOTLAND</t>
        </is>
      </c>
      <c r="G69" t="n">
        <v>7.3</v>
      </c>
      <c r="H69" t="n">
        <v>2</v>
      </c>
      <c r="I69" t="n">
        <v>5</v>
      </c>
      <c r="J69" t="n">
        <v>1</v>
      </c>
      <c r="K69" t="n">
        <v>1</v>
      </c>
      <c r="L69" t="n">
        <v>0</v>
      </c>
      <c r="M69" t="n">
        <v>0</v>
      </c>
      <c r="N69" t="n">
        <v>0</v>
      </c>
      <c r="O69" t="n">
        <v>2</v>
      </c>
      <c r="P69" t="n">
        <v>1</v>
      </c>
      <c r="Q69" t="n">
        <v>8</v>
      </c>
      <c r="R69" s="2" t="inlineStr">
        <is>
          <t>Kopparspindling
Bittermusseron
Anisspindling
Besk kastanjemusseron
Granbarkgnagare
Grovticka
Skogsknipprot
Revlummer</t>
        </is>
      </c>
      <c r="S69">
        <f>HYPERLINK("https://klasma.github.io/Logging_0980/artfynd/A 3588-2024 artfynd.xlsx", "A 3588-2024")</f>
        <v/>
      </c>
      <c r="T69">
        <f>HYPERLINK("https://klasma.github.io/Logging_0980/kartor/A 3588-2024 karta.png", "A 3588-2024")</f>
        <v/>
      </c>
      <c r="V69">
        <f>HYPERLINK("https://klasma.github.io/Logging_0980/klagomål/A 3588-2024 FSC-klagomål.docx", "A 3588-2024")</f>
        <v/>
      </c>
      <c r="W69">
        <f>HYPERLINK("https://klasma.github.io/Logging_0980/klagomålsmail/A 3588-2024 FSC-klagomål mail.docx", "A 3588-2024")</f>
        <v/>
      </c>
      <c r="X69">
        <f>HYPERLINK("https://klasma.github.io/Logging_0980/tillsyn/A 3588-2024 tillsynsbegäran.docx", "A 3588-2024")</f>
        <v/>
      </c>
      <c r="Y69">
        <f>HYPERLINK("https://klasma.github.io/Logging_0980/tillsynsmail/A 3588-2024 tillsynsbegäran mail.docx", "A 3588-2024")</f>
        <v/>
      </c>
    </row>
    <row r="70" ht="15" customHeight="1">
      <c r="A70" t="inlineStr">
        <is>
          <t>A 21467-2024</t>
        </is>
      </c>
      <c r="B70" s="1" t="n">
        <v>45441</v>
      </c>
      <c r="C70" s="1" t="n">
        <v>45828</v>
      </c>
      <c r="D70" t="inlineStr">
        <is>
          <t>GOTLANDS LÄN</t>
        </is>
      </c>
      <c r="E70" t="inlineStr">
        <is>
          <t>GOTLAND</t>
        </is>
      </c>
      <c r="G70" t="n">
        <v>8.800000000000001</v>
      </c>
      <c r="H70" t="n">
        <v>5</v>
      </c>
      <c r="I70" t="n">
        <v>0</v>
      </c>
      <c r="J70" t="n">
        <v>6</v>
      </c>
      <c r="K70" t="n">
        <v>1</v>
      </c>
      <c r="L70" t="n">
        <v>0</v>
      </c>
      <c r="M70" t="n">
        <v>0</v>
      </c>
      <c r="N70" t="n">
        <v>0</v>
      </c>
      <c r="O70" t="n">
        <v>7</v>
      </c>
      <c r="P70" t="n">
        <v>1</v>
      </c>
      <c r="Q70" t="n">
        <v>8</v>
      </c>
      <c r="R70" s="2" t="inlineStr">
        <is>
          <t>Garderönn
Backtimjan
Dårgräsfjäril
Gulsparv
Jordtistel
Spillkråka
Svinrot
Blåsippa</t>
        </is>
      </c>
      <c r="S70">
        <f>HYPERLINK("https://klasma.github.io/Logging_0980/artfynd/A 21467-2024 artfynd.xlsx", "A 21467-2024")</f>
        <v/>
      </c>
      <c r="T70">
        <f>HYPERLINK("https://klasma.github.io/Logging_0980/kartor/A 21467-2024 karta.png", "A 21467-2024")</f>
        <v/>
      </c>
      <c r="V70">
        <f>HYPERLINK("https://klasma.github.io/Logging_0980/klagomål/A 21467-2024 FSC-klagomål.docx", "A 21467-2024")</f>
        <v/>
      </c>
      <c r="W70">
        <f>HYPERLINK("https://klasma.github.io/Logging_0980/klagomålsmail/A 21467-2024 FSC-klagomål mail.docx", "A 21467-2024")</f>
        <v/>
      </c>
      <c r="X70">
        <f>HYPERLINK("https://klasma.github.io/Logging_0980/tillsyn/A 21467-2024 tillsynsbegäran.docx", "A 21467-2024")</f>
        <v/>
      </c>
      <c r="Y70">
        <f>HYPERLINK("https://klasma.github.io/Logging_0980/tillsynsmail/A 21467-2024 tillsynsbegäran mail.docx", "A 21467-2024")</f>
        <v/>
      </c>
      <c r="Z70">
        <f>HYPERLINK("https://klasma.github.io/Logging_0980/fåglar/A 21467-2024 prioriterade fågelarter.docx", "A 21467-2024")</f>
        <v/>
      </c>
    </row>
    <row r="71" ht="15" customHeight="1">
      <c r="A71" t="inlineStr">
        <is>
          <t>A 34600-2019</t>
        </is>
      </c>
      <c r="B71" s="1" t="n">
        <v>43647</v>
      </c>
      <c r="C71" s="1" t="n">
        <v>45828</v>
      </c>
      <c r="D71" t="inlineStr">
        <is>
          <t>GOTLANDS LÄN</t>
        </is>
      </c>
      <c r="E71" t="inlineStr">
        <is>
          <t>GOTLAND</t>
        </is>
      </c>
      <c r="F71" t="inlineStr">
        <is>
          <t>Övriga statliga verk och myndigheter</t>
        </is>
      </c>
      <c r="G71" t="n">
        <v>2.3</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34600-2019 artfynd.xlsx", "A 34600-2019")</f>
        <v/>
      </c>
      <c r="T71">
        <f>HYPERLINK("https://klasma.github.io/Logging_0980/kartor/A 34600-2019 karta.png", "A 34600-2019")</f>
        <v/>
      </c>
      <c r="V71">
        <f>HYPERLINK("https://klasma.github.io/Logging_0980/klagomål/A 34600-2019 FSC-klagomål.docx", "A 34600-2019")</f>
        <v/>
      </c>
      <c r="W71">
        <f>HYPERLINK("https://klasma.github.io/Logging_0980/klagomålsmail/A 34600-2019 FSC-klagomål mail.docx", "A 34600-2019")</f>
        <v/>
      </c>
      <c r="X71">
        <f>HYPERLINK("https://klasma.github.io/Logging_0980/tillsyn/A 34600-2019 tillsynsbegäran.docx", "A 34600-2019")</f>
        <v/>
      </c>
      <c r="Y71">
        <f>HYPERLINK("https://klasma.github.io/Logging_0980/tillsynsmail/A 34600-2019 tillsynsbegäran mail.docx", "A 34600-2019")</f>
        <v/>
      </c>
      <c r="Z71">
        <f>HYPERLINK("https://klasma.github.io/Logging_0980/fåglar/A 34600-2019 prioriterade fågelarter.docx", "A 34600-2019")</f>
        <v/>
      </c>
    </row>
    <row r="72" ht="15" customHeight="1">
      <c r="A72" t="inlineStr">
        <is>
          <t>A 16786-2020</t>
        </is>
      </c>
      <c r="B72" s="1" t="n">
        <v>43913</v>
      </c>
      <c r="C72" s="1" t="n">
        <v>45828</v>
      </c>
      <c r="D72" t="inlineStr">
        <is>
          <t>GOTLANDS LÄN</t>
        </is>
      </c>
      <c r="E72" t="inlineStr">
        <is>
          <t>GOTLAND</t>
        </is>
      </c>
      <c r="G72" t="n">
        <v>5.9</v>
      </c>
      <c r="H72" t="n">
        <v>1</v>
      </c>
      <c r="I72" t="n">
        <v>5</v>
      </c>
      <c r="J72" t="n">
        <v>1</v>
      </c>
      <c r="K72" t="n">
        <v>1</v>
      </c>
      <c r="L72" t="n">
        <v>0</v>
      </c>
      <c r="M72" t="n">
        <v>0</v>
      </c>
      <c r="N72" t="n">
        <v>0</v>
      </c>
      <c r="O72" t="n">
        <v>2</v>
      </c>
      <c r="P72" t="n">
        <v>1</v>
      </c>
      <c r="Q72" t="n">
        <v>7</v>
      </c>
      <c r="R72" s="2" t="inlineStr">
        <is>
          <t>Gulsträngad fagerspindling
Odörspindling
Anisspindling
Fjällig taggsvamp s.str.
Nästrot
Rödfläckig zontaggsvamp
Skarp dropptaggsvamp</t>
        </is>
      </c>
      <c r="S72">
        <f>HYPERLINK("https://klasma.github.io/Logging_0980/artfynd/A 16786-2020 artfynd.xlsx", "A 16786-2020")</f>
        <v/>
      </c>
      <c r="T72">
        <f>HYPERLINK("https://klasma.github.io/Logging_0980/kartor/A 16786-2020 karta.png", "A 16786-2020")</f>
        <v/>
      </c>
      <c r="V72">
        <f>HYPERLINK("https://klasma.github.io/Logging_0980/klagomål/A 16786-2020 FSC-klagomål.docx", "A 16786-2020")</f>
        <v/>
      </c>
      <c r="W72">
        <f>HYPERLINK("https://klasma.github.io/Logging_0980/klagomålsmail/A 16786-2020 FSC-klagomål mail.docx", "A 16786-2020")</f>
        <v/>
      </c>
      <c r="X72">
        <f>HYPERLINK("https://klasma.github.io/Logging_0980/tillsyn/A 16786-2020 tillsynsbegäran.docx", "A 16786-2020")</f>
        <v/>
      </c>
      <c r="Y72">
        <f>HYPERLINK("https://klasma.github.io/Logging_0980/tillsynsmail/A 16786-2020 tillsynsbegäran mail.docx", "A 16786-2020")</f>
        <v/>
      </c>
    </row>
    <row r="73" ht="15" customHeight="1">
      <c r="A73" t="inlineStr">
        <is>
          <t>A 25887-2020</t>
        </is>
      </c>
      <c r="B73" s="1" t="n">
        <v>43984</v>
      </c>
      <c r="C73" s="1" t="n">
        <v>45828</v>
      </c>
      <c r="D73" t="inlineStr">
        <is>
          <t>GOTLANDS LÄN</t>
        </is>
      </c>
      <c r="E73" t="inlineStr">
        <is>
          <t>GOTLAND</t>
        </is>
      </c>
      <c r="G73" t="n">
        <v>4.7</v>
      </c>
      <c r="H73" t="n">
        <v>1</v>
      </c>
      <c r="I73" t="n">
        <v>4</v>
      </c>
      <c r="J73" t="n">
        <v>1</v>
      </c>
      <c r="K73" t="n">
        <v>2</v>
      </c>
      <c r="L73" t="n">
        <v>0</v>
      </c>
      <c r="M73" t="n">
        <v>0</v>
      </c>
      <c r="N73" t="n">
        <v>0</v>
      </c>
      <c r="O73" t="n">
        <v>3</v>
      </c>
      <c r="P73" t="n">
        <v>2</v>
      </c>
      <c r="Q73" t="n">
        <v>7</v>
      </c>
      <c r="R73" s="2" t="inlineStr">
        <is>
          <t>Pluggtrattskivling
Svartgrön spindling
Odörspindling
Anisspindling
Blå slemspindling
Fjällig taggsvamp s.str.
Nästrot</t>
        </is>
      </c>
      <c r="S73">
        <f>HYPERLINK("https://klasma.github.io/Logging_0980/artfynd/A 25887-2020 artfynd.xlsx", "A 25887-2020")</f>
        <v/>
      </c>
      <c r="T73">
        <f>HYPERLINK("https://klasma.github.io/Logging_0980/kartor/A 25887-2020 karta.png", "A 25887-2020")</f>
        <v/>
      </c>
      <c r="V73">
        <f>HYPERLINK("https://klasma.github.io/Logging_0980/klagomål/A 25887-2020 FSC-klagomål.docx", "A 25887-2020")</f>
        <v/>
      </c>
      <c r="W73">
        <f>HYPERLINK("https://klasma.github.io/Logging_0980/klagomålsmail/A 25887-2020 FSC-klagomål mail.docx", "A 25887-2020")</f>
        <v/>
      </c>
      <c r="X73">
        <f>HYPERLINK("https://klasma.github.io/Logging_0980/tillsyn/A 25887-2020 tillsynsbegäran.docx", "A 25887-2020")</f>
        <v/>
      </c>
      <c r="Y73">
        <f>HYPERLINK("https://klasma.github.io/Logging_0980/tillsynsmail/A 25887-2020 tillsynsbegäran mail.docx", "A 25887-2020")</f>
        <v/>
      </c>
    </row>
    <row r="74" ht="15" customHeight="1">
      <c r="A74" t="inlineStr">
        <is>
          <t>A 18541-2024</t>
        </is>
      </c>
      <c r="B74" s="1" t="n">
        <v>45425</v>
      </c>
      <c r="C74" s="1" t="n">
        <v>45828</v>
      </c>
      <c r="D74" t="inlineStr">
        <is>
          <t>GOTLANDS LÄN</t>
        </is>
      </c>
      <c r="E74" t="inlineStr">
        <is>
          <t>GOTLAND</t>
        </is>
      </c>
      <c r="F74" t="inlineStr">
        <is>
          <t>Övriga statliga verk och myndigheter</t>
        </is>
      </c>
      <c r="G74" t="n">
        <v>2.2</v>
      </c>
      <c r="H74" t="n">
        <v>6</v>
      </c>
      <c r="I74" t="n">
        <v>1</v>
      </c>
      <c r="J74" t="n">
        <v>2</v>
      </c>
      <c r="K74" t="n">
        <v>1</v>
      </c>
      <c r="L74" t="n">
        <v>0</v>
      </c>
      <c r="M74" t="n">
        <v>0</v>
      </c>
      <c r="N74" t="n">
        <v>0</v>
      </c>
      <c r="O74" t="n">
        <v>3</v>
      </c>
      <c r="P74" t="n">
        <v>1</v>
      </c>
      <c r="Q74" t="n">
        <v>7</v>
      </c>
      <c r="R74" s="2" t="inlineStr">
        <is>
          <t>Garderönn
Dårgräsfjäril
Svinrot
Nästrot
Kungsfågel
Skogsduva
Fläcknycklar</t>
        </is>
      </c>
      <c r="S74">
        <f>HYPERLINK("https://klasma.github.io/Logging_0980/artfynd/A 18541-2024 artfynd.xlsx", "A 18541-2024")</f>
        <v/>
      </c>
      <c r="T74">
        <f>HYPERLINK("https://klasma.github.io/Logging_0980/kartor/A 18541-2024 karta.png", "A 18541-2024")</f>
        <v/>
      </c>
      <c r="V74">
        <f>HYPERLINK("https://klasma.github.io/Logging_0980/klagomål/A 18541-2024 FSC-klagomål.docx", "A 18541-2024")</f>
        <v/>
      </c>
      <c r="W74">
        <f>HYPERLINK("https://klasma.github.io/Logging_0980/klagomålsmail/A 18541-2024 FSC-klagomål mail.docx", "A 18541-2024")</f>
        <v/>
      </c>
      <c r="X74">
        <f>HYPERLINK("https://klasma.github.io/Logging_0980/tillsyn/A 18541-2024 tillsynsbegäran.docx", "A 18541-2024")</f>
        <v/>
      </c>
      <c r="Y74">
        <f>HYPERLINK("https://klasma.github.io/Logging_0980/tillsynsmail/A 18541-2024 tillsynsbegäran mail.docx", "A 18541-2024")</f>
        <v/>
      </c>
      <c r="Z74">
        <f>HYPERLINK("https://klasma.github.io/Logging_0980/fåglar/A 18541-2024 prioriterade fågelarter.docx", "A 18541-2024")</f>
        <v/>
      </c>
    </row>
    <row r="75" ht="15" customHeight="1">
      <c r="A75" t="inlineStr">
        <is>
          <t>A 4572-2025</t>
        </is>
      </c>
      <c r="B75" s="1" t="n">
        <v>45687</v>
      </c>
      <c r="C75" s="1" t="n">
        <v>45828</v>
      </c>
      <c r="D75" t="inlineStr">
        <is>
          <t>GOTLANDS LÄN</t>
        </is>
      </c>
      <c r="E75" t="inlineStr">
        <is>
          <t>GOTLAND</t>
        </is>
      </c>
      <c r="G75" t="n">
        <v>6.2</v>
      </c>
      <c r="H75" t="n">
        <v>5</v>
      </c>
      <c r="I75" t="n">
        <v>1</v>
      </c>
      <c r="J75" t="n">
        <v>3</v>
      </c>
      <c r="K75" t="n">
        <v>0</v>
      </c>
      <c r="L75" t="n">
        <v>1</v>
      </c>
      <c r="M75" t="n">
        <v>0</v>
      </c>
      <c r="N75" t="n">
        <v>0</v>
      </c>
      <c r="O75" t="n">
        <v>4</v>
      </c>
      <c r="P75" t="n">
        <v>1</v>
      </c>
      <c r="Q75" t="n">
        <v>7</v>
      </c>
      <c r="R75" s="2" t="inlineStr">
        <is>
          <t>Brun glada
Axveronika
Solvända
Spillkråka
Skogsknipprot
Sankt pers nycklar
Blåsippa</t>
        </is>
      </c>
      <c r="S75">
        <f>HYPERLINK("https://klasma.github.io/Logging_0980/artfynd/A 4572-2025 artfynd.xlsx", "A 4572-2025")</f>
        <v/>
      </c>
      <c r="T75">
        <f>HYPERLINK("https://klasma.github.io/Logging_0980/kartor/A 4572-2025 karta.png", "A 4572-2025")</f>
        <v/>
      </c>
      <c r="V75">
        <f>HYPERLINK("https://klasma.github.io/Logging_0980/klagomål/A 4572-2025 FSC-klagomål.docx", "A 4572-2025")</f>
        <v/>
      </c>
      <c r="W75">
        <f>HYPERLINK("https://klasma.github.io/Logging_0980/klagomålsmail/A 4572-2025 FSC-klagomål mail.docx", "A 4572-2025")</f>
        <v/>
      </c>
      <c r="X75">
        <f>HYPERLINK("https://klasma.github.io/Logging_0980/tillsyn/A 4572-2025 tillsynsbegäran.docx", "A 4572-2025")</f>
        <v/>
      </c>
      <c r="Y75">
        <f>HYPERLINK("https://klasma.github.io/Logging_0980/tillsynsmail/A 4572-2025 tillsynsbegäran mail.docx", "A 4572-2025")</f>
        <v/>
      </c>
      <c r="Z75">
        <f>HYPERLINK("https://klasma.github.io/Logging_0980/fåglar/A 4572-2025 prioriterade fågelarter.docx", "A 4572-2025")</f>
        <v/>
      </c>
    </row>
    <row r="76" ht="15" customHeight="1">
      <c r="A76" t="inlineStr">
        <is>
          <t>A 10419-2025</t>
        </is>
      </c>
      <c r="B76" s="1" t="n">
        <v>45720</v>
      </c>
      <c r="C76" s="1" t="n">
        <v>45828</v>
      </c>
      <c r="D76" t="inlineStr">
        <is>
          <t>GOTLANDS LÄN</t>
        </is>
      </c>
      <c r="E76" t="inlineStr">
        <is>
          <t>GOTLAND</t>
        </is>
      </c>
      <c r="G76" t="n">
        <v>1.2</v>
      </c>
      <c r="H76" t="n">
        <v>0</v>
      </c>
      <c r="I76" t="n">
        <v>5</v>
      </c>
      <c r="J76" t="n">
        <v>0</v>
      </c>
      <c r="K76" t="n">
        <v>2</v>
      </c>
      <c r="L76" t="n">
        <v>0</v>
      </c>
      <c r="M76" t="n">
        <v>0</v>
      </c>
      <c r="N76" t="n">
        <v>0</v>
      </c>
      <c r="O76" t="n">
        <v>2</v>
      </c>
      <c r="P76" t="n">
        <v>2</v>
      </c>
      <c r="Q76" t="n">
        <v>7</v>
      </c>
      <c r="R76" s="2" t="inlineStr">
        <is>
          <t>Mörkfjällig olivspindling
Violettfläckig spindling
Anisspindling
Blå slemspindling
Fjällig taggsvamp s.str.
Kryddspindling
Olivspindling</t>
        </is>
      </c>
      <c r="S76">
        <f>HYPERLINK("https://klasma.github.io/Logging_090980/artfynd/A 10419-2025 artfynd.xlsx", "A 10419-2025")</f>
        <v/>
      </c>
      <c r="T76">
        <f>HYPERLINK("https://klasma.github.io/Logging_090980/kartor/A 10419-2025 karta.png", "A 10419-2025")</f>
        <v/>
      </c>
      <c r="V76">
        <f>HYPERLINK("https://klasma.github.io/Logging_090980/klagomål/A 10419-2025 FSC-klagomål.docx", "A 10419-2025")</f>
        <v/>
      </c>
      <c r="W76">
        <f>HYPERLINK("https://klasma.github.io/Logging_090980/klagomålsmail/A 10419-2025 FSC-klagomål mail.docx", "A 10419-2025")</f>
        <v/>
      </c>
      <c r="X76">
        <f>HYPERLINK("https://klasma.github.io/Logging_090980/tillsyn/A 10419-2025 tillsynsbegäran.docx", "A 10419-2025")</f>
        <v/>
      </c>
      <c r="Y76">
        <f>HYPERLINK("https://klasma.github.io/Logging_090980/tillsynsmail/A 10419-2025 tillsynsbegäran mail.docx", "A 10419-2025")</f>
        <v/>
      </c>
    </row>
    <row r="77" ht="15" customHeight="1">
      <c r="A77" t="inlineStr">
        <is>
          <t>A 16353-2025</t>
        </is>
      </c>
      <c r="B77" s="1" t="n">
        <v>45751</v>
      </c>
      <c r="C77" s="1" t="n">
        <v>45828</v>
      </c>
      <c r="D77" t="inlineStr">
        <is>
          <t>GOTLANDS LÄN</t>
        </is>
      </c>
      <c r="E77" t="inlineStr">
        <is>
          <t>GOTLAND</t>
        </is>
      </c>
      <c r="G77" t="n">
        <v>8.800000000000001</v>
      </c>
      <c r="H77" t="n">
        <v>0</v>
      </c>
      <c r="I77" t="n">
        <v>6</v>
      </c>
      <c r="J77" t="n">
        <v>1</v>
      </c>
      <c r="K77" t="n">
        <v>0</v>
      </c>
      <c r="L77" t="n">
        <v>0</v>
      </c>
      <c r="M77" t="n">
        <v>0</v>
      </c>
      <c r="N77" t="n">
        <v>0</v>
      </c>
      <c r="O77" t="n">
        <v>1</v>
      </c>
      <c r="P77" t="n">
        <v>0</v>
      </c>
      <c r="Q77" t="n">
        <v>7</v>
      </c>
      <c r="R77" s="2" t="inlineStr">
        <is>
          <t>Flattoppad klubbsvamp
Anisspindling
Fjällig taggsvamp s.str.
Guldkremla
Kryddspindling
Rödgul trumpetsvamp
Svavelriska</t>
        </is>
      </c>
      <c r="S77">
        <f>HYPERLINK("https://klasma.github.io/Logging_090980/artfynd/A 16353-2025 artfynd.xlsx", "A 16353-2025")</f>
        <v/>
      </c>
      <c r="T77">
        <f>HYPERLINK("https://klasma.github.io/Logging_090980/kartor/A 16353-2025 karta.png", "A 16353-2025")</f>
        <v/>
      </c>
      <c r="V77">
        <f>HYPERLINK("https://klasma.github.io/Logging_090980/klagomål/A 16353-2025 FSC-klagomål.docx", "A 16353-2025")</f>
        <v/>
      </c>
      <c r="W77">
        <f>HYPERLINK("https://klasma.github.io/Logging_090980/klagomålsmail/A 16353-2025 FSC-klagomål mail.docx", "A 16353-2025")</f>
        <v/>
      </c>
      <c r="X77">
        <f>HYPERLINK("https://klasma.github.io/Logging_090980/tillsyn/A 16353-2025 tillsynsbegäran.docx", "A 16353-2025")</f>
        <v/>
      </c>
      <c r="Y77">
        <f>HYPERLINK("https://klasma.github.io/Logging_090980/tillsynsmail/A 16353-2025 tillsynsbegäran mail.docx", "A 16353-2025")</f>
        <v/>
      </c>
    </row>
    <row r="78" ht="15" customHeight="1">
      <c r="A78" t="inlineStr">
        <is>
          <t>A 65819-2020</t>
        </is>
      </c>
      <c r="B78" s="1" t="n">
        <v>44174</v>
      </c>
      <c r="C78" s="1" t="n">
        <v>45828</v>
      </c>
      <c r="D78" t="inlineStr">
        <is>
          <t>GOTLANDS LÄN</t>
        </is>
      </c>
      <c r="E78" t="inlineStr">
        <is>
          <t>GOTLAND</t>
        </is>
      </c>
      <c r="G78" t="n">
        <v>4.3</v>
      </c>
      <c r="H78" t="n">
        <v>1</v>
      </c>
      <c r="I78" t="n">
        <v>3</v>
      </c>
      <c r="J78" t="n">
        <v>1</v>
      </c>
      <c r="K78" t="n">
        <v>2</v>
      </c>
      <c r="L78" t="n">
        <v>0</v>
      </c>
      <c r="M78" t="n">
        <v>0</v>
      </c>
      <c r="N78" t="n">
        <v>0</v>
      </c>
      <c r="O78" t="n">
        <v>3</v>
      </c>
      <c r="P78" t="n">
        <v>2</v>
      </c>
      <c r="Q78" t="n">
        <v>6</v>
      </c>
      <c r="R78" s="2" t="inlineStr">
        <is>
          <t>Tallvaxskivling
Vit taggsvamp
Skugglosta
Blå slemspindling
Kattfotslav
Nästrot</t>
        </is>
      </c>
      <c r="S78">
        <f>HYPERLINK("https://klasma.github.io/Logging_0980/artfynd/A 65819-2020 artfynd.xlsx", "A 65819-2020")</f>
        <v/>
      </c>
      <c r="T78">
        <f>HYPERLINK("https://klasma.github.io/Logging_0980/kartor/A 65819-2020 karta.png", "A 65819-2020")</f>
        <v/>
      </c>
      <c r="V78">
        <f>HYPERLINK("https://klasma.github.io/Logging_0980/klagomål/A 65819-2020 FSC-klagomål.docx", "A 65819-2020")</f>
        <v/>
      </c>
      <c r="W78">
        <f>HYPERLINK("https://klasma.github.io/Logging_0980/klagomålsmail/A 65819-2020 FSC-klagomål mail.docx", "A 65819-2020")</f>
        <v/>
      </c>
      <c r="X78">
        <f>HYPERLINK("https://klasma.github.io/Logging_0980/tillsyn/A 65819-2020 tillsynsbegäran.docx", "A 65819-2020")</f>
        <v/>
      </c>
      <c r="Y78">
        <f>HYPERLINK("https://klasma.github.io/Logging_0980/tillsynsmail/A 65819-2020 tillsynsbegäran mail.docx", "A 65819-2020")</f>
        <v/>
      </c>
    </row>
    <row r="79" ht="15" customHeight="1">
      <c r="A79" t="inlineStr">
        <is>
          <t>A 25205-2021</t>
        </is>
      </c>
      <c r="B79" s="1" t="n">
        <v>44342</v>
      </c>
      <c r="C79" s="1" t="n">
        <v>45828</v>
      </c>
      <c r="D79" t="inlineStr">
        <is>
          <t>GOTLANDS LÄN</t>
        </is>
      </c>
      <c r="E79" t="inlineStr">
        <is>
          <t>GOTLAND</t>
        </is>
      </c>
      <c r="G79" t="n">
        <v>2.8</v>
      </c>
      <c r="H79" t="n">
        <v>0</v>
      </c>
      <c r="I79" t="n">
        <v>4</v>
      </c>
      <c r="J79" t="n">
        <v>0</v>
      </c>
      <c r="K79" t="n">
        <v>1</v>
      </c>
      <c r="L79" t="n">
        <v>1</v>
      </c>
      <c r="M79" t="n">
        <v>0</v>
      </c>
      <c r="N79" t="n">
        <v>0</v>
      </c>
      <c r="O79" t="n">
        <v>2</v>
      </c>
      <c r="P79" t="n">
        <v>2</v>
      </c>
      <c r="Q79" t="n">
        <v>6</v>
      </c>
      <c r="R79" s="2" t="inlineStr">
        <is>
          <t>Ädellav
Mörk kraterlav
Hasselticka
Lönnlav
Rikfruktig blemlav
Slät lönnlav</t>
        </is>
      </c>
      <c r="S79">
        <f>HYPERLINK("https://klasma.github.io/Logging_0980/artfynd/A 25205-2021 artfynd.xlsx", "A 25205-2021")</f>
        <v/>
      </c>
      <c r="T79">
        <f>HYPERLINK("https://klasma.github.io/Logging_0980/kartor/A 25205-2021 karta.png", "A 25205-2021")</f>
        <v/>
      </c>
      <c r="V79">
        <f>HYPERLINK("https://klasma.github.io/Logging_0980/klagomål/A 25205-2021 FSC-klagomål.docx", "A 25205-2021")</f>
        <v/>
      </c>
      <c r="W79">
        <f>HYPERLINK("https://klasma.github.io/Logging_0980/klagomålsmail/A 25205-2021 FSC-klagomål mail.docx", "A 25205-2021")</f>
        <v/>
      </c>
      <c r="X79">
        <f>HYPERLINK("https://klasma.github.io/Logging_0980/tillsyn/A 25205-2021 tillsynsbegäran.docx", "A 25205-2021")</f>
        <v/>
      </c>
      <c r="Y79">
        <f>HYPERLINK("https://klasma.github.io/Logging_0980/tillsynsmail/A 25205-2021 tillsynsbegäran mail.docx", "A 25205-2021")</f>
        <v/>
      </c>
    </row>
    <row r="80" ht="15" customHeight="1">
      <c r="A80" t="inlineStr">
        <is>
          <t>A 59865-2022</t>
        </is>
      </c>
      <c r="B80" s="1" t="n">
        <v>44908</v>
      </c>
      <c r="C80" s="1" t="n">
        <v>45828</v>
      </c>
      <c r="D80" t="inlineStr">
        <is>
          <t>GOTLANDS LÄN</t>
        </is>
      </c>
      <c r="E80" t="inlineStr">
        <is>
          <t>GOTLAND</t>
        </is>
      </c>
      <c r="G80" t="n">
        <v>2.7</v>
      </c>
      <c r="H80" t="n">
        <v>0</v>
      </c>
      <c r="I80" t="n">
        <v>2</v>
      </c>
      <c r="J80" t="n">
        <v>2</v>
      </c>
      <c r="K80" t="n">
        <v>2</v>
      </c>
      <c r="L80" t="n">
        <v>0</v>
      </c>
      <c r="M80" t="n">
        <v>0</v>
      </c>
      <c r="N80" t="n">
        <v>0</v>
      </c>
      <c r="O80" t="n">
        <v>4</v>
      </c>
      <c r="P80" t="n">
        <v>2</v>
      </c>
      <c r="Q80" t="n">
        <v>6</v>
      </c>
      <c r="R80" s="2" t="inlineStr">
        <is>
          <t>Granrotsspindling
Svartgrön spindling
Denisespindling
Doftskinn
Blå slemspindling
Svavelriska</t>
        </is>
      </c>
      <c r="S80">
        <f>HYPERLINK("https://klasma.github.io/Logging_0980/artfynd/A 59865-2022 artfynd.xlsx", "A 59865-2022")</f>
        <v/>
      </c>
      <c r="T80">
        <f>HYPERLINK("https://klasma.github.io/Logging_0980/kartor/A 59865-2022 karta.png", "A 59865-2022")</f>
        <v/>
      </c>
      <c r="V80">
        <f>HYPERLINK("https://klasma.github.io/Logging_0980/klagomål/A 59865-2022 FSC-klagomål.docx", "A 59865-2022")</f>
        <v/>
      </c>
      <c r="W80">
        <f>HYPERLINK("https://klasma.github.io/Logging_0980/klagomålsmail/A 59865-2022 FSC-klagomål mail.docx", "A 59865-2022")</f>
        <v/>
      </c>
      <c r="X80">
        <f>HYPERLINK("https://klasma.github.io/Logging_0980/tillsyn/A 59865-2022 tillsynsbegäran.docx", "A 59865-2022")</f>
        <v/>
      </c>
      <c r="Y80">
        <f>HYPERLINK("https://klasma.github.io/Logging_0980/tillsynsmail/A 59865-2022 tillsynsbegäran mail.docx", "A 59865-2022")</f>
        <v/>
      </c>
    </row>
    <row r="81" ht="15" customHeight="1">
      <c r="A81" t="inlineStr">
        <is>
          <t>A 446-2023</t>
        </is>
      </c>
      <c r="B81" s="1" t="n">
        <v>44929</v>
      </c>
      <c r="C81" s="1" t="n">
        <v>45828</v>
      </c>
      <c r="D81" t="inlineStr">
        <is>
          <t>GOTLANDS LÄN</t>
        </is>
      </c>
      <c r="E81" t="inlineStr">
        <is>
          <t>GOTLAND</t>
        </is>
      </c>
      <c r="G81" t="n">
        <v>7.1</v>
      </c>
      <c r="H81" t="n">
        <v>2</v>
      </c>
      <c r="I81" t="n">
        <v>3</v>
      </c>
      <c r="J81" t="n">
        <v>2</v>
      </c>
      <c r="K81" t="n">
        <v>1</v>
      </c>
      <c r="L81" t="n">
        <v>0</v>
      </c>
      <c r="M81" t="n">
        <v>0</v>
      </c>
      <c r="N81" t="n">
        <v>0</v>
      </c>
      <c r="O81" t="n">
        <v>3</v>
      </c>
      <c r="P81" t="n">
        <v>1</v>
      </c>
      <c r="Q81" t="n">
        <v>6</v>
      </c>
      <c r="R81" s="2" t="inlineStr">
        <is>
          <t>Svartgrön spindling
Spillkråka
Äggspindling
Kastanjefjällskivling
Skogsknipprot
Svavelriska</t>
        </is>
      </c>
      <c r="S81">
        <f>HYPERLINK("https://klasma.github.io/Logging_0980/artfynd/A 446-2023 artfynd.xlsx", "A 446-2023")</f>
        <v/>
      </c>
      <c r="T81">
        <f>HYPERLINK("https://klasma.github.io/Logging_0980/kartor/A 446-2023 karta.png", "A 446-2023")</f>
        <v/>
      </c>
      <c r="V81">
        <f>HYPERLINK("https://klasma.github.io/Logging_0980/klagomål/A 446-2023 FSC-klagomål.docx", "A 446-2023")</f>
        <v/>
      </c>
      <c r="W81">
        <f>HYPERLINK("https://klasma.github.io/Logging_0980/klagomålsmail/A 446-2023 FSC-klagomål mail.docx", "A 446-2023")</f>
        <v/>
      </c>
      <c r="X81">
        <f>HYPERLINK("https://klasma.github.io/Logging_0980/tillsyn/A 446-2023 tillsynsbegäran.docx", "A 446-2023")</f>
        <v/>
      </c>
      <c r="Y81">
        <f>HYPERLINK("https://klasma.github.io/Logging_0980/tillsynsmail/A 446-2023 tillsynsbegäran mail.docx", "A 446-2023")</f>
        <v/>
      </c>
      <c r="Z81">
        <f>HYPERLINK("https://klasma.github.io/Logging_0980/fåglar/A 446-2023 prioriterade fågelarter.docx", "A 446-2023")</f>
        <v/>
      </c>
    </row>
    <row r="82" ht="15" customHeight="1">
      <c r="A82" t="inlineStr">
        <is>
          <t>A 2085-2023</t>
        </is>
      </c>
      <c r="B82" s="1" t="n">
        <v>44939</v>
      </c>
      <c r="C82" s="1" t="n">
        <v>45828</v>
      </c>
      <c r="D82" t="inlineStr">
        <is>
          <t>GOTLANDS LÄN</t>
        </is>
      </c>
      <c r="E82" t="inlineStr">
        <is>
          <t>GOTLAND</t>
        </is>
      </c>
      <c r="G82" t="n">
        <v>0.9</v>
      </c>
      <c r="H82" t="n">
        <v>2</v>
      </c>
      <c r="I82" t="n">
        <v>5</v>
      </c>
      <c r="J82" t="n">
        <v>0</v>
      </c>
      <c r="K82" t="n">
        <v>0</v>
      </c>
      <c r="L82" t="n">
        <v>0</v>
      </c>
      <c r="M82" t="n">
        <v>0</v>
      </c>
      <c r="N82" t="n">
        <v>0</v>
      </c>
      <c r="O82" t="n">
        <v>0</v>
      </c>
      <c r="P82" t="n">
        <v>0</v>
      </c>
      <c r="Q82" t="n">
        <v>6</v>
      </c>
      <c r="R82" s="2" t="inlineStr">
        <is>
          <t>Blå slemspindling
Blåmossa
Kattfotslav
Skogsknipprot
Vågbandad barkbock
Skogsduva</t>
        </is>
      </c>
      <c r="S82">
        <f>HYPERLINK("https://klasma.github.io/Logging_0980/artfynd/A 2085-2023 artfynd.xlsx", "A 2085-2023")</f>
        <v/>
      </c>
      <c r="T82">
        <f>HYPERLINK("https://klasma.github.io/Logging_0980/kartor/A 2085-2023 karta.png", "A 2085-2023")</f>
        <v/>
      </c>
      <c r="V82">
        <f>HYPERLINK("https://klasma.github.io/Logging_0980/klagomål/A 2085-2023 FSC-klagomål.docx", "A 2085-2023")</f>
        <v/>
      </c>
      <c r="W82">
        <f>HYPERLINK("https://klasma.github.io/Logging_0980/klagomålsmail/A 2085-2023 FSC-klagomål mail.docx", "A 2085-2023")</f>
        <v/>
      </c>
      <c r="X82">
        <f>HYPERLINK("https://klasma.github.io/Logging_0980/tillsyn/A 2085-2023 tillsynsbegäran.docx", "A 2085-2023")</f>
        <v/>
      </c>
      <c r="Y82">
        <f>HYPERLINK("https://klasma.github.io/Logging_0980/tillsynsmail/A 2085-2023 tillsynsbegäran mail.docx", "A 2085-2023")</f>
        <v/>
      </c>
      <c r="Z82">
        <f>HYPERLINK("https://klasma.github.io/Logging_0980/fåglar/A 2085-2023 prioriterade fågelarter.docx", "A 2085-2023")</f>
        <v/>
      </c>
    </row>
    <row r="83" ht="15" customHeight="1">
      <c r="A83" t="inlineStr">
        <is>
          <t>A 7038-2023</t>
        </is>
      </c>
      <c r="B83" s="1" t="n">
        <v>44968</v>
      </c>
      <c r="C83" s="1" t="n">
        <v>45828</v>
      </c>
      <c r="D83" t="inlineStr">
        <is>
          <t>GOTLANDS LÄN</t>
        </is>
      </c>
      <c r="E83" t="inlineStr">
        <is>
          <t>GOTLAND</t>
        </is>
      </c>
      <c r="G83" t="n">
        <v>5.2</v>
      </c>
      <c r="H83" t="n">
        <v>1</v>
      </c>
      <c r="I83" t="n">
        <v>1</v>
      </c>
      <c r="J83" t="n">
        <v>1</v>
      </c>
      <c r="K83" t="n">
        <v>0</v>
      </c>
      <c r="L83" t="n">
        <v>2</v>
      </c>
      <c r="M83" t="n">
        <v>0</v>
      </c>
      <c r="N83" t="n">
        <v>0</v>
      </c>
      <c r="O83" t="n">
        <v>5</v>
      </c>
      <c r="P83" t="n">
        <v>2</v>
      </c>
      <c r="Q83" t="n">
        <v>6</v>
      </c>
      <c r="R83" s="2" t="inlineStr">
        <is>
          <t>Liten ädellav
Ädellav
Dårgräsfjäril
Blemlavsklotter
Frostig asplav
Havstulpanlav</t>
        </is>
      </c>
      <c r="S83">
        <f>HYPERLINK("https://klasma.github.io/Logging_0980/artfynd/A 7038-2023 artfynd.xlsx", "A 7038-2023")</f>
        <v/>
      </c>
      <c r="T83">
        <f>HYPERLINK("https://klasma.github.io/Logging_0980/kartor/A 7038-2023 karta.png", "A 7038-2023")</f>
        <v/>
      </c>
      <c r="V83">
        <f>HYPERLINK("https://klasma.github.io/Logging_0980/klagomål/A 7038-2023 FSC-klagomål.docx", "A 7038-2023")</f>
        <v/>
      </c>
      <c r="W83">
        <f>HYPERLINK("https://klasma.github.io/Logging_0980/klagomålsmail/A 7038-2023 FSC-klagomål mail.docx", "A 7038-2023")</f>
        <v/>
      </c>
      <c r="X83">
        <f>HYPERLINK("https://klasma.github.io/Logging_0980/tillsyn/A 7038-2023 tillsynsbegäran.docx", "A 7038-2023")</f>
        <v/>
      </c>
      <c r="Y83">
        <f>HYPERLINK("https://klasma.github.io/Logging_0980/tillsynsmail/A 7038-2023 tillsynsbegäran mail.docx", "A 7038-2023")</f>
        <v/>
      </c>
    </row>
    <row r="84" ht="15" customHeight="1">
      <c r="A84" t="inlineStr">
        <is>
          <t>A 43199-2023</t>
        </is>
      </c>
      <c r="B84" s="1" t="n">
        <v>45183</v>
      </c>
      <c r="C84" s="1" t="n">
        <v>45828</v>
      </c>
      <c r="D84" t="inlineStr">
        <is>
          <t>GOTLANDS LÄN</t>
        </is>
      </c>
      <c r="E84" t="inlineStr">
        <is>
          <t>GOTLAND</t>
        </is>
      </c>
      <c r="G84" t="n">
        <v>3.8</v>
      </c>
      <c r="H84" t="n">
        <v>2</v>
      </c>
      <c r="I84" t="n">
        <v>4</v>
      </c>
      <c r="J84" t="n">
        <v>0</v>
      </c>
      <c r="K84" t="n">
        <v>1</v>
      </c>
      <c r="L84" t="n">
        <v>1</v>
      </c>
      <c r="M84" t="n">
        <v>0</v>
      </c>
      <c r="N84" t="n">
        <v>0</v>
      </c>
      <c r="O84" t="n">
        <v>2</v>
      </c>
      <c r="P84" t="n">
        <v>2</v>
      </c>
      <c r="Q84" t="n">
        <v>6</v>
      </c>
      <c r="R84" s="2" t="inlineStr">
        <is>
          <t>Ask
Gotlandsmåra
Nästrot
Skogsknipprot
Sårläka
Underviol</t>
        </is>
      </c>
      <c r="S84">
        <f>HYPERLINK("https://klasma.github.io/Logging_0980/artfynd/A 43199-2023 artfynd.xlsx", "A 43199-2023")</f>
        <v/>
      </c>
      <c r="T84">
        <f>HYPERLINK("https://klasma.github.io/Logging_0980/kartor/A 43199-2023 karta.png", "A 43199-2023")</f>
        <v/>
      </c>
      <c r="V84">
        <f>HYPERLINK("https://klasma.github.io/Logging_0980/klagomål/A 43199-2023 FSC-klagomål.docx", "A 43199-2023")</f>
        <v/>
      </c>
      <c r="W84">
        <f>HYPERLINK("https://klasma.github.io/Logging_0980/klagomålsmail/A 43199-2023 FSC-klagomål mail.docx", "A 43199-2023")</f>
        <v/>
      </c>
      <c r="X84">
        <f>HYPERLINK("https://klasma.github.io/Logging_0980/tillsyn/A 43199-2023 tillsynsbegäran.docx", "A 43199-2023")</f>
        <v/>
      </c>
      <c r="Y84">
        <f>HYPERLINK("https://klasma.github.io/Logging_0980/tillsynsmail/A 43199-2023 tillsynsbegäran mail.docx", "A 43199-2023")</f>
        <v/>
      </c>
    </row>
    <row r="85" ht="15" customHeight="1">
      <c r="A85" t="inlineStr">
        <is>
          <t>A 45695-2023</t>
        </is>
      </c>
      <c r="B85" s="1" t="n">
        <v>45195</v>
      </c>
      <c r="C85" s="1" t="n">
        <v>45828</v>
      </c>
      <c r="D85" t="inlineStr">
        <is>
          <t>GOTLANDS LÄN</t>
        </is>
      </c>
      <c r="E85" t="inlineStr">
        <is>
          <t>GOTLAND</t>
        </is>
      </c>
      <c r="G85" t="n">
        <v>20.3</v>
      </c>
      <c r="H85" t="n">
        <v>2</v>
      </c>
      <c r="I85" t="n">
        <v>1</v>
      </c>
      <c r="J85" t="n">
        <v>3</v>
      </c>
      <c r="K85" t="n">
        <v>0</v>
      </c>
      <c r="L85" t="n">
        <v>0</v>
      </c>
      <c r="M85" t="n">
        <v>0</v>
      </c>
      <c r="N85" t="n">
        <v>0</v>
      </c>
      <c r="O85" t="n">
        <v>3</v>
      </c>
      <c r="P85" t="n">
        <v>0</v>
      </c>
      <c r="Q85" t="n">
        <v>6</v>
      </c>
      <c r="R85" s="2" t="inlineStr">
        <is>
          <t>Loppstarr
Majviva
Svinrot
Axag
Brudsporre
Kärrknipprot</t>
        </is>
      </c>
      <c r="S85">
        <f>HYPERLINK("https://klasma.github.io/Logging_0980/artfynd/A 45695-2023 artfynd.xlsx", "A 45695-2023")</f>
        <v/>
      </c>
      <c r="T85">
        <f>HYPERLINK("https://klasma.github.io/Logging_0980/kartor/A 45695-2023 karta.png", "A 45695-2023")</f>
        <v/>
      </c>
      <c r="V85">
        <f>HYPERLINK("https://klasma.github.io/Logging_0980/klagomål/A 45695-2023 FSC-klagomål.docx", "A 45695-2023")</f>
        <v/>
      </c>
      <c r="W85">
        <f>HYPERLINK("https://klasma.github.io/Logging_0980/klagomålsmail/A 45695-2023 FSC-klagomål mail.docx", "A 45695-2023")</f>
        <v/>
      </c>
      <c r="X85">
        <f>HYPERLINK("https://klasma.github.io/Logging_0980/tillsyn/A 45695-2023 tillsynsbegäran.docx", "A 45695-2023")</f>
        <v/>
      </c>
      <c r="Y85">
        <f>HYPERLINK("https://klasma.github.io/Logging_0980/tillsynsmail/A 45695-2023 tillsynsbegäran mail.docx", "A 45695-2023")</f>
        <v/>
      </c>
    </row>
    <row r="86" ht="15" customHeight="1">
      <c r="A86" t="inlineStr">
        <is>
          <t>A 54527-2023</t>
        </is>
      </c>
      <c r="B86" s="1" t="n">
        <v>45233</v>
      </c>
      <c r="C86" s="1" t="n">
        <v>45828</v>
      </c>
      <c r="D86" t="inlineStr">
        <is>
          <t>GOTLANDS LÄN</t>
        </is>
      </c>
      <c r="E86" t="inlineStr">
        <is>
          <t>GOTLAND</t>
        </is>
      </c>
      <c r="G86" t="n">
        <v>28.5</v>
      </c>
      <c r="H86" t="n">
        <v>1</v>
      </c>
      <c r="I86" t="n">
        <v>0</v>
      </c>
      <c r="J86" t="n">
        <v>5</v>
      </c>
      <c r="K86" t="n">
        <v>0</v>
      </c>
      <c r="L86" t="n">
        <v>0</v>
      </c>
      <c r="M86" t="n">
        <v>0</v>
      </c>
      <c r="N86" t="n">
        <v>0</v>
      </c>
      <c r="O86" t="n">
        <v>5</v>
      </c>
      <c r="P86" t="n">
        <v>0</v>
      </c>
      <c r="Q86" t="n">
        <v>6</v>
      </c>
      <c r="R86" s="2" t="inlineStr">
        <is>
          <t>Backstarr
Backtimjan
Jordtistel
Sexfläckig bastardsvärmare
Solvända
Brudsporre</t>
        </is>
      </c>
      <c r="S86">
        <f>HYPERLINK("https://klasma.github.io/Logging_0980/artfynd/A 54527-2023 artfynd.xlsx", "A 54527-2023")</f>
        <v/>
      </c>
      <c r="T86">
        <f>HYPERLINK("https://klasma.github.io/Logging_0980/kartor/A 54527-2023 karta.png", "A 54527-2023")</f>
        <v/>
      </c>
      <c r="V86">
        <f>HYPERLINK("https://klasma.github.io/Logging_0980/klagomål/A 54527-2023 FSC-klagomål.docx", "A 54527-2023")</f>
        <v/>
      </c>
      <c r="W86">
        <f>HYPERLINK("https://klasma.github.io/Logging_0980/klagomålsmail/A 54527-2023 FSC-klagomål mail.docx", "A 54527-2023")</f>
        <v/>
      </c>
      <c r="X86">
        <f>HYPERLINK("https://klasma.github.io/Logging_0980/tillsyn/A 54527-2023 tillsynsbegäran.docx", "A 54527-2023")</f>
        <v/>
      </c>
      <c r="Y86">
        <f>HYPERLINK("https://klasma.github.io/Logging_0980/tillsynsmail/A 54527-2023 tillsynsbegäran mail.docx", "A 54527-2023")</f>
        <v/>
      </c>
    </row>
    <row r="87" ht="15" customHeight="1">
      <c r="A87" t="inlineStr">
        <is>
          <t>A 64658-2023</t>
        </is>
      </c>
      <c r="B87" s="1" t="n">
        <v>45281</v>
      </c>
      <c r="C87" s="1" t="n">
        <v>45828</v>
      </c>
      <c r="D87" t="inlineStr">
        <is>
          <t>GOTLANDS LÄN</t>
        </is>
      </c>
      <c r="E87" t="inlineStr">
        <is>
          <t>GOTLAND</t>
        </is>
      </c>
      <c r="G87" t="n">
        <v>9.699999999999999</v>
      </c>
      <c r="H87" t="n">
        <v>1</v>
      </c>
      <c r="I87" t="n">
        <v>2</v>
      </c>
      <c r="J87" t="n">
        <v>0</v>
      </c>
      <c r="K87" t="n">
        <v>3</v>
      </c>
      <c r="L87" t="n">
        <v>1</v>
      </c>
      <c r="M87" t="n">
        <v>0</v>
      </c>
      <c r="N87" t="n">
        <v>0</v>
      </c>
      <c r="O87" t="n">
        <v>4</v>
      </c>
      <c r="P87" t="n">
        <v>4</v>
      </c>
      <c r="Q87" t="n">
        <v>6</v>
      </c>
      <c r="R87" s="2" t="inlineStr">
        <is>
          <t>Ädellav
Blek kraterlav
Garderönn
Västlig njurlav
Strävlosta
Underviol</t>
        </is>
      </c>
      <c r="S87">
        <f>HYPERLINK("https://klasma.github.io/Logging_0980/artfynd/A 64658-2023 artfynd.xlsx", "A 64658-2023")</f>
        <v/>
      </c>
      <c r="T87">
        <f>HYPERLINK("https://klasma.github.io/Logging_0980/kartor/A 64658-2023 karta.png", "A 64658-2023")</f>
        <v/>
      </c>
      <c r="V87">
        <f>HYPERLINK("https://klasma.github.io/Logging_0980/klagomål/A 64658-2023 FSC-klagomål.docx", "A 64658-2023")</f>
        <v/>
      </c>
      <c r="W87">
        <f>HYPERLINK("https://klasma.github.io/Logging_0980/klagomålsmail/A 64658-2023 FSC-klagomål mail.docx", "A 64658-2023")</f>
        <v/>
      </c>
      <c r="X87">
        <f>HYPERLINK("https://klasma.github.io/Logging_0980/tillsyn/A 64658-2023 tillsynsbegäran.docx", "A 64658-2023")</f>
        <v/>
      </c>
      <c r="Y87">
        <f>HYPERLINK("https://klasma.github.io/Logging_0980/tillsynsmail/A 64658-2023 tillsynsbegäran mail.docx", "A 64658-2023")</f>
        <v/>
      </c>
    </row>
    <row r="88" ht="15" customHeight="1">
      <c r="A88" t="inlineStr">
        <is>
          <t>A 6050-2024</t>
        </is>
      </c>
      <c r="B88" s="1" t="n">
        <v>45336</v>
      </c>
      <c r="C88" s="1" t="n">
        <v>45828</v>
      </c>
      <c r="D88" t="inlineStr">
        <is>
          <t>GOTLANDS LÄN</t>
        </is>
      </c>
      <c r="E88" t="inlineStr">
        <is>
          <t>GOTLAND</t>
        </is>
      </c>
      <c r="G88" t="n">
        <v>5.1</v>
      </c>
      <c r="H88" t="n">
        <v>0</v>
      </c>
      <c r="I88" t="n">
        <v>4</v>
      </c>
      <c r="J88" t="n">
        <v>2</v>
      </c>
      <c r="K88" t="n">
        <v>0</v>
      </c>
      <c r="L88" t="n">
        <v>0</v>
      </c>
      <c r="M88" t="n">
        <v>0</v>
      </c>
      <c r="N88" t="n">
        <v>0</v>
      </c>
      <c r="O88" t="n">
        <v>2</v>
      </c>
      <c r="P88" t="n">
        <v>0</v>
      </c>
      <c r="Q88" t="n">
        <v>6</v>
      </c>
      <c r="R88" s="2" t="inlineStr">
        <is>
          <t>Blek fingersvamp
Vippärt
Anisspindling
Kryddspindling
Olivspindling
Strimspindling</t>
        </is>
      </c>
      <c r="S88">
        <f>HYPERLINK("https://klasma.github.io/Logging_0980/artfynd/A 6050-2024 artfynd.xlsx", "A 6050-2024")</f>
        <v/>
      </c>
      <c r="T88">
        <f>HYPERLINK("https://klasma.github.io/Logging_0980/kartor/A 6050-2024 karta.png", "A 6050-2024")</f>
        <v/>
      </c>
      <c r="V88">
        <f>HYPERLINK("https://klasma.github.io/Logging_0980/klagomål/A 6050-2024 FSC-klagomål.docx", "A 6050-2024")</f>
        <v/>
      </c>
      <c r="W88">
        <f>HYPERLINK("https://klasma.github.io/Logging_0980/klagomålsmail/A 6050-2024 FSC-klagomål mail.docx", "A 6050-2024")</f>
        <v/>
      </c>
      <c r="X88">
        <f>HYPERLINK("https://klasma.github.io/Logging_0980/tillsyn/A 6050-2024 tillsynsbegäran.docx", "A 6050-2024")</f>
        <v/>
      </c>
      <c r="Y88">
        <f>HYPERLINK("https://klasma.github.io/Logging_0980/tillsynsmail/A 6050-2024 tillsynsbegäran mail.docx", "A 6050-2024")</f>
        <v/>
      </c>
    </row>
    <row r="89" ht="15" customHeight="1">
      <c r="A89" t="inlineStr">
        <is>
          <t>A 16823-2024</t>
        </is>
      </c>
      <c r="B89" s="1" t="n">
        <v>45411</v>
      </c>
      <c r="C89" s="1" t="n">
        <v>45828</v>
      </c>
      <c r="D89" t="inlineStr">
        <is>
          <t>GOTLANDS LÄN</t>
        </is>
      </c>
      <c r="E89" t="inlineStr">
        <is>
          <t>GOTLAND</t>
        </is>
      </c>
      <c r="G89" t="n">
        <v>25.4</v>
      </c>
      <c r="H89" t="n">
        <v>5</v>
      </c>
      <c r="I89" t="n">
        <v>1</v>
      </c>
      <c r="J89" t="n">
        <v>2</v>
      </c>
      <c r="K89" t="n">
        <v>0</v>
      </c>
      <c r="L89" t="n">
        <v>0</v>
      </c>
      <c r="M89" t="n">
        <v>0</v>
      </c>
      <c r="N89" t="n">
        <v>0</v>
      </c>
      <c r="O89" t="n">
        <v>2</v>
      </c>
      <c r="P89" t="n">
        <v>0</v>
      </c>
      <c r="Q89" t="n">
        <v>6</v>
      </c>
      <c r="R89" s="2" t="inlineStr">
        <is>
          <t>Gulsparv
Jordtistel
Flugblomster
Brudsporre
Johannesnycklar
Sankt pers nycklar</t>
        </is>
      </c>
      <c r="S89">
        <f>HYPERLINK("https://klasma.github.io/Logging_0980/artfynd/A 16823-2024 artfynd.xlsx", "A 16823-2024")</f>
        <v/>
      </c>
      <c r="T89">
        <f>HYPERLINK("https://klasma.github.io/Logging_0980/kartor/A 16823-2024 karta.png", "A 16823-2024")</f>
        <v/>
      </c>
      <c r="V89">
        <f>HYPERLINK("https://klasma.github.io/Logging_0980/klagomål/A 16823-2024 FSC-klagomål.docx", "A 16823-2024")</f>
        <v/>
      </c>
      <c r="W89">
        <f>HYPERLINK("https://klasma.github.io/Logging_0980/klagomålsmail/A 16823-2024 FSC-klagomål mail.docx", "A 16823-2024")</f>
        <v/>
      </c>
      <c r="X89">
        <f>HYPERLINK("https://klasma.github.io/Logging_0980/tillsyn/A 16823-2024 tillsynsbegäran.docx", "A 16823-2024")</f>
        <v/>
      </c>
      <c r="Y89">
        <f>HYPERLINK("https://klasma.github.io/Logging_0980/tillsynsmail/A 16823-2024 tillsynsbegäran mail.docx", "A 16823-2024")</f>
        <v/>
      </c>
      <c r="Z89">
        <f>HYPERLINK("https://klasma.github.io/Logging_0980/fåglar/A 16823-2024 prioriterade fågelarter.docx", "A 16823-2024")</f>
        <v/>
      </c>
    </row>
    <row r="90" ht="15" customHeight="1">
      <c r="A90" t="inlineStr">
        <is>
          <t>A 45248-2024</t>
        </is>
      </c>
      <c r="B90" s="1" t="n">
        <v>45576</v>
      </c>
      <c r="C90" s="1" t="n">
        <v>45828</v>
      </c>
      <c r="D90" t="inlineStr">
        <is>
          <t>GOTLANDS LÄN</t>
        </is>
      </c>
      <c r="E90" t="inlineStr">
        <is>
          <t>GOTLAND</t>
        </is>
      </c>
      <c r="G90" t="n">
        <v>9.4</v>
      </c>
      <c r="H90" t="n">
        <v>0</v>
      </c>
      <c r="I90" t="n">
        <v>3</v>
      </c>
      <c r="J90" t="n">
        <v>1</v>
      </c>
      <c r="K90" t="n">
        <v>0</v>
      </c>
      <c r="L90" t="n">
        <v>1</v>
      </c>
      <c r="M90" t="n">
        <v>1</v>
      </c>
      <c r="N90" t="n">
        <v>0</v>
      </c>
      <c r="O90" t="n">
        <v>3</v>
      </c>
      <c r="P90" t="n">
        <v>2</v>
      </c>
      <c r="Q90" t="n">
        <v>6</v>
      </c>
      <c r="R90" s="2" t="inlineStr">
        <is>
          <t>Lundalm
Ask
Oxtungssvamp
Myskmadra
Stinkbrosking
Underviol</t>
        </is>
      </c>
      <c r="S90">
        <f>HYPERLINK("https://klasma.github.io/Logging_0980/artfynd/A 45248-2024 artfynd.xlsx", "A 45248-2024")</f>
        <v/>
      </c>
      <c r="T90">
        <f>HYPERLINK("https://klasma.github.io/Logging_0980/kartor/A 45248-2024 karta.png", "A 45248-2024")</f>
        <v/>
      </c>
      <c r="V90">
        <f>HYPERLINK("https://klasma.github.io/Logging_0980/klagomål/A 45248-2024 FSC-klagomål.docx", "A 45248-2024")</f>
        <v/>
      </c>
      <c r="W90">
        <f>HYPERLINK("https://klasma.github.io/Logging_0980/klagomålsmail/A 45248-2024 FSC-klagomål mail.docx", "A 45248-2024")</f>
        <v/>
      </c>
      <c r="X90">
        <f>HYPERLINK("https://klasma.github.io/Logging_0980/tillsyn/A 45248-2024 tillsynsbegäran.docx", "A 45248-2024")</f>
        <v/>
      </c>
      <c r="Y90">
        <f>HYPERLINK("https://klasma.github.io/Logging_0980/tillsynsmail/A 45248-2024 tillsynsbegäran mail.docx", "A 45248-2024")</f>
        <v/>
      </c>
    </row>
    <row r="91" ht="15" customHeight="1">
      <c r="A91" t="inlineStr">
        <is>
          <t>A 6960-2025</t>
        </is>
      </c>
      <c r="B91" s="1" t="n">
        <v>45701</v>
      </c>
      <c r="C91" s="1" t="n">
        <v>45828</v>
      </c>
      <c r="D91" t="inlineStr">
        <is>
          <t>GOTLANDS LÄN</t>
        </is>
      </c>
      <c r="E91" t="inlineStr">
        <is>
          <t>GOTLAND</t>
        </is>
      </c>
      <c r="G91" t="n">
        <v>4</v>
      </c>
      <c r="H91" t="n">
        <v>3</v>
      </c>
      <c r="I91" t="n">
        <v>1</v>
      </c>
      <c r="J91" t="n">
        <v>4</v>
      </c>
      <c r="K91" t="n">
        <v>0</v>
      </c>
      <c r="L91" t="n">
        <v>0</v>
      </c>
      <c r="M91" t="n">
        <v>0</v>
      </c>
      <c r="N91" t="n">
        <v>0</v>
      </c>
      <c r="O91" t="n">
        <v>4</v>
      </c>
      <c r="P91" t="n">
        <v>0</v>
      </c>
      <c r="Q91" t="n">
        <v>6</v>
      </c>
      <c r="R91" s="2" t="inlineStr">
        <is>
          <t>Majviva
Spillkråka
Svinrot
Ängsstarr
Skogsknipprot
Dactylorhiza incarnata subsp. incarnata</t>
        </is>
      </c>
      <c r="S91">
        <f>HYPERLINK("https://klasma.github.io/Logging_0980/artfynd/A 6960-2025 artfynd.xlsx", "A 6960-2025")</f>
        <v/>
      </c>
      <c r="T91">
        <f>HYPERLINK("https://klasma.github.io/Logging_0980/kartor/A 6960-2025 karta.png", "A 6960-2025")</f>
        <v/>
      </c>
      <c r="U91">
        <f>HYPERLINK("https://klasma.github.io/Logging_0980/knärot/A 6960-2025 karta knärot.png", "A 6960-2025")</f>
        <v/>
      </c>
      <c r="V91">
        <f>HYPERLINK("https://klasma.github.io/Logging_0980/klagomål/A 6960-2025 FSC-klagomål.docx", "A 6960-2025")</f>
        <v/>
      </c>
      <c r="W91">
        <f>HYPERLINK("https://klasma.github.io/Logging_0980/klagomålsmail/A 6960-2025 FSC-klagomål mail.docx", "A 6960-2025")</f>
        <v/>
      </c>
      <c r="X91">
        <f>HYPERLINK("https://klasma.github.io/Logging_0980/tillsyn/A 6960-2025 tillsynsbegäran.docx", "A 6960-2025")</f>
        <v/>
      </c>
      <c r="Y91">
        <f>HYPERLINK("https://klasma.github.io/Logging_0980/tillsynsmail/A 6960-2025 tillsynsbegäran mail.docx", "A 6960-2025")</f>
        <v/>
      </c>
      <c r="Z91">
        <f>HYPERLINK("https://klasma.github.io/Logging_0980/fåglar/A 6960-2025 prioriterade fågelarter.docx", "A 6960-2025")</f>
        <v/>
      </c>
    </row>
    <row r="92" ht="15" customHeight="1">
      <c r="A92" t="inlineStr">
        <is>
          <t>A 8645-2025</t>
        </is>
      </c>
      <c r="B92" s="1" t="n">
        <v>45712</v>
      </c>
      <c r="C92" s="1" t="n">
        <v>45828</v>
      </c>
      <c r="D92" t="inlineStr">
        <is>
          <t>GOTLANDS LÄN</t>
        </is>
      </c>
      <c r="E92" t="inlineStr">
        <is>
          <t>GOTLAND</t>
        </is>
      </c>
      <c r="G92" t="n">
        <v>21.9</v>
      </c>
      <c r="H92" t="n">
        <v>3</v>
      </c>
      <c r="I92" t="n">
        <v>4</v>
      </c>
      <c r="J92" t="n">
        <v>1</v>
      </c>
      <c r="K92" t="n">
        <v>0</v>
      </c>
      <c r="L92" t="n">
        <v>1</v>
      </c>
      <c r="M92" t="n">
        <v>0</v>
      </c>
      <c r="N92" t="n">
        <v>0</v>
      </c>
      <c r="O92" t="n">
        <v>2</v>
      </c>
      <c r="P92" t="n">
        <v>1</v>
      </c>
      <c r="Q92" t="n">
        <v>6</v>
      </c>
      <c r="R92" s="2" t="inlineStr">
        <is>
          <t>Ask
Spillkråka
Blåmossa
Kalktallört
Nästrot
Skogsknipprot</t>
        </is>
      </c>
      <c r="S92">
        <f>HYPERLINK("https://klasma.github.io/Logging_0980/artfynd/A 8645-2025 artfynd.xlsx", "A 8645-2025")</f>
        <v/>
      </c>
      <c r="T92">
        <f>HYPERLINK("https://klasma.github.io/Logging_0980/kartor/A 8645-2025 karta.png", "A 8645-2025")</f>
        <v/>
      </c>
      <c r="V92">
        <f>HYPERLINK("https://klasma.github.io/Logging_0980/klagomål/A 8645-2025 FSC-klagomål.docx", "A 8645-2025")</f>
        <v/>
      </c>
      <c r="W92">
        <f>HYPERLINK("https://klasma.github.io/Logging_0980/klagomålsmail/A 8645-2025 FSC-klagomål mail.docx", "A 8645-2025")</f>
        <v/>
      </c>
      <c r="X92">
        <f>HYPERLINK("https://klasma.github.io/Logging_0980/tillsyn/A 8645-2025 tillsynsbegäran.docx", "A 8645-2025")</f>
        <v/>
      </c>
      <c r="Y92">
        <f>HYPERLINK("https://klasma.github.io/Logging_0980/tillsynsmail/A 8645-2025 tillsynsbegäran mail.docx", "A 8645-2025")</f>
        <v/>
      </c>
      <c r="Z92">
        <f>HYPERLINK("https://klasma.github.io/Logging_0980/fåglar/A 8645-2025 prioriterade fågelarter.docx", "A 8645-2025")</f>
        <v/>
      </c>
    </row>
    <row r="93" ht="15" customHeight="1">
      <c r="A93" t="inlineStr">
        <is>
          <t>A 38183-2019</t>
        </is>
      </c>
      <c r="B93" s="1" t="n">
        <v>43684</v>
      </c>
      <c r="C93" s="1" t="n">
        <v>45828</v>
      </c>
      <c r="D93" t="inlineStr">
        <is>
          <t>GOTLANDS LÄN</t>
        </is>
      </c>
      <c r="E93" t="inlineStr">
        <is>
          <t>GOTLAND</t>
        </is>
      </c>
      <c r="G93" t="n">
        <v>2.1</v>
      </c>
      <c r="H93" t="n">
        <v>0</v>
      </c>
      <c r="I93" t="n">
        <v>2</v>
      </c>
      <c r="J93" t="n">
        <v>0</v>
      </c>
      <c r="K93" t="n">
        <v>3</v>
      </c>
      <c r="L93" t="n">
        <v>0</v>
      </c>
      <c r="M93" t="n">
        <v>0</v>
      </c>
      <c r="N93" t="n">
        <v>0</v>
      </c>
      <c r="O93" t="n">
        <v>3</v>
      </c>
      <c r="P93" t="n">
        <v>3</v>
      </c>
      <c r="Q93" t="n">
        <v>5</v>
      </c>
      <c r="R93" s="2" t="inlineStr">
        <is>
          <t>Bullspindling
Gulsträngad fagerspindling
Skogskorn
Anisspindling
Myskmadra</t>
        </is>
      </c>
      <c r="S93">
        <f>HYPERLINK("https://klasma.github.io/Logging_0980/artfynd/A 38183-2019 artfynd.xlsx", "A 38183-2019")</f>
        <v/>
      </c>
      <c r="T93">
        <f>HYPERLINK("https://klasma.github.io/Logging_0980/kartor/A 38183-2019 karta.png", "A 38183-2019")</f>
        <v/>
      </c>
      <c r="V93">
        <f>HYPERLINK("https://klasma.github.io/Logging_0980/klagomål/A 38183-2019 FSC-klagomål.docx", "A 38183-2019")</f>
        <v/>
      </c>
      <c r="W93">
        <f>HYPERLINK("https://klasma.github.io/Logging_0980/klagomålsmail/A 38183-2019 FSC-klagomål mail.docx", "A 38183-2019")</f>
        <v/>
      </c>
      <c r="X93">
        <f>HYPERLINK("https://klasma.github.io/Logging_0980/tillsyn/A 38183-2019 tillsynsbegäran.docx", "A 38183-2019")</f>
        <v/>
      </c>
      <c r="Y93">
        <f>HYPERLINK("https://klasma.github.io/Logging_0980/tillsynsmail/A 38183-2019 tillsynsbegäran mail.docx", "A 38183-2019")</f>
        <v/>
      </c>
    </row>
    <row r="94" ht="15" customHeight="1">
      <c r="A94" t="inlineStr">
        <is>
          <t>A 62991-2019</t>
        </is>
      </c>
      <c r="B94" s="1" t="n">
        <v>43790</v>
      </c>
      <c r="C94" s="1" t="n">
        <v>45828</v>
      </c>
      <c r="D94" t="inlineStr">
        <is>
          <t>GOTLANDS LÄN</t>
        </is>
      </c>
      <c r="E94" t="inlineStr">
        <is>
          <t>GOTLAND</t>
        </is>
      </c>
      <c r="G94" t="n">
        <v>3.9</v>
      </c>
      <c r="H94" t="n">
        <v>0</v>
      </c>
      <c r="I94" t="n">
        <v>2</v>
      </c>
      <c r="J94" t="n">
        <v>3</v>
      </c>
      <c r="K94" t="n">
        <v>0</v>
      </c>
      <c r="L94" t="n">
        <v>0</v>
      </c>
      <c r="M94" t="n">
        <v>0</v>
      </c>
      <c r="N94" t="n">
        <v>0</v>
      </c>
      <c r="O94" t="n">
        <v>3</v>
      </c>
      <c r="P94" t="n">
        <v>0</v>
      </c>
      <c r="Q94" t="n">
        <v>5</v>
      </c>
      <c r="R94" s="2" t="inlineStr">
        <is>
          <t>Reliktbock
Smedbock
Tallticka
Blodticka
Mindre märgborre</t>
        </is>
      </c>
      <c r="S94">
        <f>HYPERLINK("https://klasma.github.io/Logging_0980/artfynd/A 62991-2019 artfynd.xlsx", "A 62991-2019")</f>
        <v/>
      </c>
      <c r="T94">
        <f>HYPERLINK("https://klasma.github.io/Logging_0980/kartor/A 62991-2019 karta.png", "A 62991-2019")</f>
        <v/>
      </c>
      <c r="V94">
        <f>HYPERLINK("https://klasma.github.io/Logging_0980/klagomål/A 62991-2019 FSC-klagomål.docx", "A 62991-2019")</f>
        <v/>
      </c>
      <c r="W94">
        <f>HYPERLINK("https://klasma.github.io/Logging_0980/klagomålsmail/A 62991-2019 FSC-klagomål mail.docx", "A 62991-2019")</f>
        <v/>
      </c>
      <c r="X94">
        <f>HYPERLINK("https://klasma.github.io/Logging_0980/tillsyn/A 62991-2019 tillsynsbegäran.docx", "A 62991-2019")</f>
        <v/>
      </c>
      <c r="Y94">
        <f>HYPERLINK("https://klasma.github.io/Logging_0980/tillsynsmail/A 62991-2019 tillsynsbegäran mail.docx", "A 62991-2019")</f>
        <v/>
      </c>
    </row>
    <row r="95" ht="15" customHeight="1">
      <c r="A95" t="inlineStr">
        <is>
          <t>A 7648-2020</t>
        </is>
      </c>
      <c r="B95" s="1" t="n">
        <v>43872</v>
      </c>
      <c r="C95" s="1" t="n">
        <v>45828</v>
      </c>
      <c r="D95" t="inlineStr">
        <is>
          <t>GOTLANDS LÄN</t>
        </is>
      </c>
      <c r="E95" t="inlineStr">
        <is>
          <t>GOTLAND</t>
        </is>
      </c>
      <c r="F95" t="inlineStr">
        <is>
          <t>Kyrkan</t>
        </is>
      </c>
      <c r="G95" t="n">
        <v>4.2</v>
      </c>
      <c r="H95" t="n">
        <v>0</v>
      </c>
      <c r="I95" t="n">
        <v>3</v>
      </c>
      <c r="J95" t="n">
        <v>1</v>
      </c>
      <c r="K95" t="n">
        <v>0</v>
      </c>
      <c r="L95" t="n">
        <v>1</v>
      </c>
      <c r="M95" t="n">
        <v>0</v>
      </c>
      <c r="N95" t="n">
        <v>0</v>
      </c>
      <c r="O95" t="n">
        <v>2</v>
      </c>
      <c r="P95" t="n">
        <v>1</v>
      </c>
      <c r="Q95" t="n">
        <v>5</v>
      </c>
      <c r="R95" s="2" t="inlineStr">
        <is>
          <t>Ädellav
Orangepudrad klotterlav
Kornig nållav
Rikfruktig blemlav
Slät lönnlav</t>
        </is>
      </c>
      <c r="S95">
        <f>HYPERLINK("https://klasma.github.io/Logging_0980/artfynd/A 7648-2020 artfynd.xlsx", "A 7648-2020")</f>
        <v/>
      </c>
      <c r="T95">
        <f>HYPERLINK("https://klasma.github.io/Logging_0980/kartor/A 7648-2020 karta.png", "A 7648-2020")</f>
        <v/>
      </c>
      <c r="V95">
        <f>HYPERLINK("https://klasma.github.io/Logging_0980/klagomål/A 7648-2020 FSC-klagomål.docx", "A 7648-2020")</f>
        <v/>
      </c>
      <c r="W95">
        <f>HYPERLINK("https://klasma.github.io/Logging_0980/klagomålsmail/A 7648-2020 FSC-klagomål mail.docx", "A 7648-2020")</f>
        <v/>
      </c>
      <c r="X95">
        <f>HYPERLINK("https://klasma.github.io/Logging_0980/tillsyn/A 7648-2020 tillsynsbegäran.docx", "A 7648-2020")</f>
        <v/>
      </c>
      <c r="Y95">
        <f>HYPERLINK("https://klasma.github.io/Logging_0980/tillsynsmail/A 7648-2020 tillsynsbegäran mail.docx", "A 7648-2020")</f>
        <v/>
      </c>
    </row>
    <row r="96" ht="15" customHeight="1">
      <c r="A96" t="inlineStr">
        <is>
          <t>A 22317-2022</t>
        </is>
      </c>
      <c r="B96" s="1" t="n">
        <v>44712</v>
      </c>
      <c r="C96" s="1" t="n">
        <v>45828</v>
      </c>
      <c r="D96" t="inlineStr">
        <is>
          <t>GOTLANDS LÄN</t>
        </is>
      </c>
      <c r="E96" t="inlineStr">
        <is>
          <t>GOTLAND</t>
        </is>
      </c>
      <c r="G96" t="n">
        <v>2</v>
      </c>
      <c r="H96" t="n">
        <v>0</v>
      </c>
      <c r="I96" t="n">
        <v>4</v>
      </c>
      <c r="J96" t="n">
        <v>1</v>
      </c>
      <c r="K96" t="n">
        <v>0</v>
      </c>
      <c r="L96" t="n">
        <v>0</v>
      </c>
      <c r="M96" t="n">
        <v>0</v>
      </c>
      <c r="N96" t="n">
        <v>0</v>
      </c>
      <c r="O96" t="n">
        <v>1</v>
      </c>
      <c r="P96" t="n">
        <v>0</v>
      </c>
      <c r="Q96" t="n">
        <v>5</v>
      </c>
      <c r="R96" s="2" t="inlineStr">
        <is>
          <t>Odörspindling
Anisspindling
Blå slemspindling
Kattfotslav
Svavelriska</t>
        </is>
      </c>
      <c r="S96">
        <f>HYPERLINK("https://klasma.github.io/Logging_0980/artfynd/A 22317-2022 artfynd.xlsx", "A 22317-2022")</f>
        <v/>
      </c>
      <c r="T96">
        <f>HYPERLINK("https://klasma.github.io/Logging_0980/kartor/A 22317-2022 karta.png", "A 22317-2022")</f>
        <v/>
      </c>
      <c r="V96">
        <f>HYPERLINK("https://klasma.github.io/Logging_0980/klagomål/A 22317-2022 FSC-klagomål.docx", "A 22317-2022")</f>
        <v/>
      </c>
      <c r="W96">
        <f>HYPERLINK("https://klasma.github.io/Logging_0980/klagomålsmail/A 22317-2022 FSC-klagomål mail.docx", "A 22317-2022")</f>
        <v/>
      </c>
      <c r="X96">
        <f>HYPERLINK("https://klasma.github.io/Logging_0980/tillsyn/A 22317-2022 tillsynsbegäran.docx", "A 22317-2022")</f>
        <v/>
      </c>
      <c r="Y96">
        <f>HYPERLINK("https://klasma.github.io/Logging_0980/tillsynsmail/A 22317-2022 tillsynsbegäran mail.docx", "A 22317-2022")</f>
        <v/>
      </c>
    </row>
    <row r="97" ht="15" customHeight="1">
      <c r="A97" t="inlineStr">
        <is>
          <t>A 39471-2022</t>
        </is>
      </c>
      <c r="B97" s="1" t="n">
        <v>44818</v>
      </c>
      <c r="C97" s="1" t="n">
        <v>45828</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Anisspindling
Blå slemspindling
Svavelriska</t>
        </is>
      </c>
      <c r="S97">
        <f>HYPERLINK("https://klasma.github.io/Logging_0980/artfynd/A 39471-2022 artfynd.xlsx", "A 39471-2022")</f>
        <v/>
      </c>
      <c r="T97">
        <f>HYPERLINK("https://klasma.github.io/Logging_0980/kartor/A 39471-2022 karta.png", "A 39471-2022")</f>
        <v/>
      </c>
      <c r="V97">
        <f>HYPERLINK("https://klasma.github.io/Logging_0980/klagomål/A 39471-2022 FSC-klagomål.docx", "A 39471-2022")</f>
        <v/>
      </c>
      <c r="W97">
        <f>HYPERLINK("https://klasma.github.io/Logging_0980/klagomålsmail/A 39471-2022 FSC-klagomål mail.docx", "A 39471-2022")</f>
        <v/>
      </c>
      <c r="X97">
        <f>HYPERLINK("https://klasma.github.io/Logging_0980/tillsyn/A 39471-2022 tillsynsbegäran.docx", "A 39471-2022")</f>
        <v/>
      </c>
      <c r="Y97">
        <f>HYPERLINK("https://klasma.github.io/Logging_0980/tillsynsmail/A 39471-2022 tillsynsbegäran mail.docx", "A 39471-2022")</f>
        <v/>
      </c>
    </row>
    <row r="98" ht="15" customHeight="1">
      <c r="A98" t="inlineStr">
        <is>
          <t>A 43074-2022</t>
        </is>
      </c>
      <c r="B98" s="1" t="n">
        <v>44833</v>
      </c>
      <c r="C98" s="1" t="n">
        <v>45828</v>
      </c>
      <c r="D98" t="inlineStr">
        <is>
          <t>GOTLANDS LÄN</t>
        </is>
      </c>
      <c r="E98" t="inlineStr">
        <is>
          <t>GOTLAND</t>
        </is>
      </c>
      <c r="G98" t="n">
        <v>10.6</v>
      </c>
      <c r="H98" t="n">
        <v>3</v>
      </c>
      <c r="I98" t="n">
        <v>1</v>
      </c>
      <c r="J98" t="n">
        <v>3</v>
      </c>
      <c r="K98" t="n">
        <v>1</v>
      </c>
      <c r="L98" t="n">
        <v>0</v>
      </c>
      <c r="M98" t="n">
        <v>0</v>
      </c>
      <c r="N98" t="n">
        <v>0</v>
      </c>
      <c r="O98" t="n">
        <v>4</v>
      </c>
      <c r="P98" t="n">
        <v>1</v>
      </c>
      <c r="Q98" t="n">
        <v>5</v>
      </c>
      <c r="R98" s="2" t="inlineStr">
        <is>
          <t>Väddnätfjäril
Gulsparv
Rödvingetrast
Skugglosta
Strävlosta</t>
        </is>
      </c>
      <c r="S98">
        <f>HYPERLINK("https://klasma.github.io/Logging_0980/artfynd/A 43074-2022 artfynd.xlsx", "A 43074-2022")</f>
        <v/>
      </c>
      <c r="T98">
        <f>HYPERLINK("https://klasma.github.io/Logging_0980/kartor/A 43074-2022 karta.png", "A 43074-2022")</f>
        <v/>
      </c>
      <c r="V98">
        <f>HYPERLINK("https://klasma.github.io/Logging_0980/klagomål/A 43074-2022 FSC-klagomål.docx", "A 43074-2022")</f>
        <v/>
      </c>
      <c r="W98">
        <f>HYPERLINK("https://klasma.github.io/Logging_0980/klagomålsmail/A 43074-2022 FSC-klagomål mail.docx", "A 43074-2022")</f>
        <v/>
      </c>
      <c r="X98">
        <f>HYPERLINK("https://klasma.github.io/Logging_0980/tillsyn/A 43074-2022 tillsynsbegäran.docx", "A 43074-2022")</f>
        <v/>
      </c>
      <c r="Y98">
        <f>HYPERLINK("https://klasma.github.io/Logging_0980/tillsynsmail/A 43074-2022 tillsynsbegäran mail.docx", "A 43074-2022")</f>
        <v/>
      </c>
      <c r="Z98">
        <f>HYPERLINK("https://klasma.github.io/Logging_0980/fåglar/A 43074-2022 prioriterade fågelarter.docx", "A 43074-2022")</f>
        <v/>
      </c>
    </row>
    <row r="99" ht="15" customHeight="1">
      <c r="A99" t="inlineStr">
        <is>
          <t>A 44944-2022</t>
        </is>
      </c>
      <c r="B99" s="1" t="n">
        <v>44841</v>
      </c>
      <c r="C99" s="1" t="n">
        <v>45828</v>
      </c>
      <c r="D99" t="inlineStr">
        <is>
          <t>GOTLANDS LÄN</t>
        </is>
      </c>
      <c r="E99" t="inlineStr">
        <is>
          <t>GOTLAND</t>
        </is>
      </c>
      <c r="G99" t="n">
        <v>2.8</v>
      </c>
      <c r="H99" t="n">
        <v>0</v>
      </c>
      <c r="I99" t="n">
        <v>3</v>
      </c>
      <c r="J99" t="n">
        <v>2</v>
      </c>
      <c r="K99" t="n">
        <v>0</v>
      </c>
      <c r="L99" t="n">
        <v>0</v>
      </c>
      <c r="M99" t="n">
        <v>0</v>
      </c>
      <c r="N99" t="n">
        <v>0</v>
      </c>
      <c r="O99" t="n">
        <v>2</v>
      </c>
      <c r="P99" t="n">
        <v>0</v>
      </c>
      <c r="Q99" t="n">
        <v>5</v>
      </c>
      <c r="R99" s="2" t="inlineStr">
        <is>
          <t>Denisespindling
Odörspindling
Anisspindling
Fjällig taggsvamp s.str.
Rödgul trumpetsvamp</t>
        </is>
      </c>
      <c r="S99">
        <f>HYPERLINK("https://klasma.github.io/Logging_0980/artfynd/A 44944-2022 artfynd.xlsx", "A 44944-2022")</f>
        <v/>
      </c>
      <c r="T99">
        <f>HYPERLINK("https://klasma.github.io/Logging_0980/kartor/A 44944-2022 karta.png", "A 44944-2022")</f>
        <v/>
      </c>
      <c r="V99">
        <f>HYPERLINK("https://klasma.github.io/Logging_0980/klagomål/A 44944-2022 FSC-klagomål.docx", "A 44944-2022")</f>
        <v/>
      </c>
      <c r="W99">
        <f>HYPERLINK("https://klasma.github.io/Logging_0980/klagomålsmail/A 44944-2022 FSC-klagomål mail.docx", "A 44944-2022")</f>
        <v/>
      </c>
      <c r="X99">
        <f>HYPERLINK("https://klasma.github.io/Logging_0980/tillsyn/A 44944-2022 tillsynsbegäran.docx", "A 44944-2022")</f>
        <v/>
      </c>
      <c r="Y99">
        <f>HYPERLINK("https://klasma.github.io/Logging_0980/tillsynsmail/A 44944-2022 tillsynsbegäran mail.docx", "A 44944-2022")</f>
        <v/>
      </c>
    </row>
    <row r="100" ht="15" customHeight="1">
      <c r="A100" t="inlineStr">
        <is>
          <t>A 54055-2022</t>
        </is>
      </c>
      <c r="B100" s="1" t="n">
        <v>44881</v>
      </c>
      <c r="C100" s="1" t="n">
        <v>45828</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Diskvaxskivling
Kryddspindling
Olivspindling</t>
        </is>
      </c>
      <c r="S100">
        <f>HYPERLINK("https://klasma.github.io/Logging_0980/artfynd/A 54055-2022 artfynd.xlsx", "A 54055-2022")</f>
        <v/>
      </c>
      <c r="T100">
        <f>HYPERLINK("https://klasma.github.io/Logging_0980/kartor/A 54055-2022 karta.png", "A 54055-2022")</f>
        <v/>
      </c>
      <c r="V100">
        <f>HYPERLINK("https://klasma.github.io/Logging_0980/klagomål/A 54055-2022 FSC-klagomål.docx", "A 54055-2022")</f>
        <v/>
      </c>
      <c r="W100">
        <f>HYPERLINK("https://klasma.github.io/Logging_0980/klagomålsmail/A 54055-2022 FSC-klagomål mail.docx", "A 54055-2022")</f>
        <v/>
      </c>
      <c r="X100">
        <f>HYPERLINK("https://klasma.github.io/Logging_0980/tillsyn/A 54055-2022 tillsynsbegäran.docx", "A 54055-2022")</f>
        <v/>
      </c>
      <c r="Y100">
        <f>HYPERLINK("https://klasma.github.io/Logging_0980/tillsynsmail/A 54055-2022 tillsynsbegäran mail.docx", "A 54055-2022")</f>
        <v/>
      </c>
    </row>
    <row r="101" ht="15" customHeight="1">
      <c r="A101" t="inlineStr">
        <is>
          <t>A 39425-2023</t>
        </is>
      </c>
      <c r="B101" s="1" t="n">
        <v>45166</v>
      </c>
      <c r="C101" s="1" t="n">
        <v>45828</v>
      </c>
      <c r="D101" t="inlineStr">
        <is>
          <t>GOTLANDS LÄN</t>
        </is>
      </c>
      <c r="E101" t="inlineStr">
        <is>
          <t>GOTLAND</t>
        </is>
      </c>
      <c r="G101" t="n">
        <v>3.9</v>
      </c>
      <c r="H101" t="n">
        <v>1</v>
      </c>
      <c r="I101" t="n">
        <v>3</v>
      </c>
      <c r="J101" t="n">
        <v>0</v>
      </c>
      <c r="K101" t="n">
        <v>2</v>
      </c>
      <c r="L101" t="n">
        <v>0</v>
      </c>
      <c r="M101" t="n">
        <v>0</v>
      </c>
      <c r="N101" t="n">
        <v>0</v>
      </c>
      <c r="O101" t="n">
        <v>2</v>
      </c>
      <c r="P101" t="n">
        <v>2</v>
      </c>
      <c r="Q101" t="n">
        <v>5</v>
      </c>
      <c r="R101" s="2" t="inlineStr">
        <is>
          <t>Knärot
Violgubbe
Anisspindling
Rödgul trumpetsvamp
Svavelriska</t>
        </is>
      </c>
      <c r="S101">
        <f>HYPERLINK("https://klasma.github.io/Logging_0980/artfynd/A 39425-2023 artfynd.xlsx", "A 39425-2023")</f>
        <v/>
      </c>
      <c r="T101">
        <f>HYPERLINK("https://klasma.github.io/Logging_0980/kartor/A 39425-2023 karta.png", "A 39425-2023")</f>
        <v/>
      </c>
      <c r="U101">
        <f>HYPERLINK("https://klasma.github.io/Logging_0980/knärot/A 39425-2023 karta knärot.png", "A 39425-2023")</f>
        <v/>
      </c>
      <c r="V101">
        <f>HYPERLINK("https://klasma.github.io/Logging_0980/klagomål/A 39425-2023 FSC-klagomål.docx", "A 39425-2023")</f>
        <v/>
      </c>
      <c r="W101">
        <f>HYPERLINK("https://klasma.github.io/Logging_0980/klagomålsmail/A 39425-2023 FSC-klagomål mail.docx", "A 39425-2023")</f>
        <v/>
      </c>
      <c r="X101">
        <f>HYPERLINK("https://klasma.github.io/Logging_0980/tillsyn/A 39425-2023 tillsynsbegäran.docx", "A 39425-2023")</f>
        <v/>
      </c>
      <c r="Y101">
        <f>HYPERLINK("https://klasma.github.io/Logging_0980/tillsynsmail/A 39425-2023 tillsynsbegäran mail.docx", "A 39425-2023")</f>
        <v/>
      </c>
    </row>
    <row r="102" ht="15" customHeight="1">
      <c r="A102" t="inlineStr">
        <is>
          <t>A 48749-2023</t>
        </is>
      </c>
      <c r="B102" s="1" t="n">
        <v>45208</v>
      </c>
      <c r="C102" s="1" t="n">
        <v>45828</v>
      </c>
      <c r="D102" t="inlineStr">
        <is>
          <t>GOTLANDS LÄN</t>
        </is>
      </c>
      <c r="E102" t="inlineStr">
        <is>
          <t>GOTLAND</t>
        </is>
      </c>
      <c r="G102" t="n">
        <v>6.8</v>
      </c>
      <c r="H102" t="n">
        <v>2</v>
      </c>
      <c r="I102" t="n">
        <v>2</v>
      </c>
      <c r="J102" t="n">
        <v>2</v>
      </c>
      <c r="K102" t="n">
        <v>1</v>
      </c>
      <c r="L102" t="n">
        <v>0</v>
      </c>
      <c r="M102" t="n">
        <v>0</v>
      </c>
      <c r="N102" t="n">
        <v>0</v>
      </c>
      <c r="O102" t="n">
        <v>3</v>
      </c>
      <c r="P102" t="n">
        <v>1</v>
      </c>
      <c r="Q102" t="n">
        <v>5</v>
      </c>
      <c r="R102" s="2" t="inlineStr">
        <is>
          <t>Garderönn
Axveronika
Backtimjan
Murgröna
Skogsknipprot</t>
        </is>
      </c>
      <c r="S102">
        <f>HYPERLINK("https://klasma.github.io/Logging_0980/artfynd/A 48749-2023 artfynd.xlsx", "A 48749-2023")</f>
        <v/>
      </c>
      <c r="T102">
        <f>HYPERLINK("https://klasma.github.io/Logging_0980/kartor/A 48749-2023 karta.png", "A 48749-2023")</f>
        <v/>
      </c>
      <c r="V102">
        <f>HYPERLINK("https://klasma.github.io/Logging_0980/klagomål/A 48749-2023 FSC-klagomål.docx", "A 48749-2023")</f>
        <v/>
      </c>
      <c r="W102">
        <f>HYPERLINK("https://klasma.github.io/Logging_0980/klagomålsmail/A 48749-2023 FSC-klagomål mail.docx", "A 48749-2023")</f>
        <v/>
      </c>
      <c r="X102">
        <f>HYPERLINK("https://klasma.github.io/Logging_0980/tillsyn/A 48749-2023 tillsynsbegäran.docx", "A 48749-2023")</f>
        <v/>
      </c>
      <c r="Y102">
        <f>HYPERLINK("https://klasma.github.io/Logging_0980/tillsynsmail/A 48749-2023 tillsynsbegäran mail.docx", "A 48749-2023")</f>
        <v/>
      </c>
    </row>
    <row r="103" ht="15" customHeight="1">
      <c r="A103" t="inlineStr">
        <is>
          <t>A 32300-2024</t>
        </is>
      </c>
      <c r="B103" s="1" t="n">
        <v>45512</v>
      </c>
      <c r="C103" s="1" t="n">
        <v>45828</v>
      </c>
      <c r="D103" t="inlineStr">
        <is>
          <t>GOTLANDS LÄN</t>
        </is>
      </c>
      <c r="E103" t="inlineStr">
        <is>
          <t>GOTLAND</t>
        </is>
      </c>
      <c r="G103" t="n">
        <v>5.3</v>
      </c>
      <c r="H103" t="n">
        <v>3</v>
      </c>
      <c r="I103" t="n">
        <v>4</v>
      </c>
      <c r="J103" t="n">
        <v>0</v>
      </c>
      <c r="K103" t="n">
        <v>1</v>
      </c>
      <c r="L103" t="n">
        <v>0</v>
      </c>
      <c r="M103" t="n">
        <v>0</v>
      </c>
      <c r="N103" t="n">
        <v>0</v>
      </c>
      <c r="O103" t="n">
        <v>1</v>
      </c>
      <c r="P103" t="n">
        <v>1</v>
      </c>
      <c r="Q103" t="n">
        <v>5</v>
      </c>
      <c r="R103" s="2" t="inlineStr">
        <is>
          <t>Vit taggsvamp
Blå slemspindling
Flugblomster
Purpurknipprot
Tvåblad</t>
        </is>
      </c>
      <c r="S103">
        <f>HYPERLINK("https://klasma.github.io/Logging_0980/artfynd/A 32300-2024 artfynd.xlsx", "A 32300-2024")</f>
        <v/>
      </c>
      <c r="T103">
        <f>HYPERLINK("https://klasma.github.io/Logging_0980/kartor/A 32300-2024 karta.png", "A 32300-2024")</f>
        <v/>
      </c>
      <c r="V103">
        <f>HYPERLINK("https://klasma.github.io/Logging_0980/klagomål/A 32300-2024 FSC-klagomål.docx", "A 32300-2024")</f>
        <v/>
      </c>
      <c r="W103">
        <f>HYPERLINK("https://klasma.github.io/Logging_0980/klagomålsmail/A 32300-2024 FSC-klagomål mail.docx", "A 32300-2024")</f>
        <v/>
      </c>
      <c r="X103">
        <f>HYPERLINK("https://klasma.github.io/Logging_0980/tillsyn/A 32300-2024 tillsynsbegäran.docx", "A 32300-2024")</f>
        <v/>
      </c>
      <c r="Y103">
        <f>HYPERLINK("https://klasma.github.io/Logging_0980/tillsynsmail/A 32300-2024 tillsynsbegäran mail.docx", "A 32300-2024")</f>
        <v/>
      </c>
    </row>
    <row r="104" ht="15" customHeight="1">
      <c r="A104" t="inlineStr">
        <is>
          <t>A 32326-2024</t>
        </is>
      </c>
      <c r="B104" s="1" t="n">
        <v>45512</v>
      </c>
      <c r="C104" s="1" t="n">
        <v>45828</v>
      </c>
      <c r="D104" t="inlineStr">
        <is>
          <t>GOTLANDS LÄN</t>
        </is>
      </c>
      <c r="E104" t="inlineStr">
        <is>
          <t>GOTLAND</t>
        </is>
      </c>
      <c r="G104" t="n">
        <v>9.199999999999999</v>
      </c>
      <c r="H104" t="n">
        <v>3</v>
      </c>
      <c r="I104" t="n">
        <v>2</v>
      </c>
      <c r="J104" t="n">
        <v>2</v>
      </c>
      <c r="K104" t="n">
        <v>0</v>
      </c>
      <c r="L104" t="n">
        <v>0</v>
      </c>
      <c r="M104" t="n">
        <v>0</v>
      </c>
      <c r="N104" t="n">
        <v>0</v>
      </c>
      <c r="O104" t="n">
        <v>2</v>
      </c>
      <c r="P104" t="n">
        <v>0</v>
      </c>
      <c r="Q104" t="n">
        <v>5</v>
      </c>
      <c r="R104" s="2" t="inlineStr">
        <is>
          <t>Jordtistel
Svinrot
Purpurknipprot
Skogsknipprot
Brudsporre</t>
        </is>
      </c>
      <c r="S104">
        <f>HYPERLINK("https://klasma.github.io/Logging_0980/artfynd/A 32326-2024 artfynd.xlsx", "A 32326-2024")</f>
        <v/>
      </c>
      <c r="T104">
        <f>HYPERLINK("https://klasma.github.io/Logging_0980/kartor/A 32326-2024 karta.png", "A 32326-2024")</f>
        <v/>
      </c>
      <c r="V104">
        <f>HYPERLINK("https://klasma.github.io/Logging_0980/klagomål/A 32326-2024 FSC-klagomål.docx", "A 32326-2024")</f>
        <v/>
      </c>
      <c r="W104">
        <f>HYPERLINK("https://klasma.github.io/Logging_0980/klagomålsmail/A 32326-2024 FSC-klagomål mail.docx", "A 32326-2024")</f>
        <v/>
      </c>
      <c r="X104">
        <f>HYPERLINK("https://klasma.github.io/Logging_0980/tillsyn/A 32326-2024 tillsynsbegäran.docx", "A 32326-2024")</f>
        <v/>
      </c>
      <c r="Y104">
        <f>HYPERLINK("https://klasma.github.io/Logging_0980/tillsynsmail/A 32326-2024 tillsynsbegäran mail.docx", "A 32326-2024")</f>
        <v/>
      </c>
    </row>
    <row r="105" ht="15" customHeight="1">
      <c r="A105" t="inlineStr">
        <is>
          <t>A 34584-2024</t>
        </is>
      </c>
      <c r="B105" s="1" t="n">
        <v>45526</v>
      </c>
      <c r="C105" s="1" t="n">
        <v>45828</v>
      </c>
      <c r="D105" t="inlineStr">
        <is>
          <t>GOTLANDS LÄN</t>
        </is>
      </c>
      <c r="E105" t="inlineStr">
        <is>
          <t>GOTLAND</t>
        </is>
      </c>
      <c r="G105" t="n">
        <v>3.4</v>
      </c>
      <c r="H105" t="n">
        <v>3</v>
      </c>
      <c r="I105" t="n">
        <v>1</v>
      </c>
      <c r="J105" t="n">
        <v>3</v>
      </c>
      <c r="K105" t="n">
        <v>1</v>
      </c>
      <c r="L105" t="n">
        <v>0</v>
      </c>
      <c r="M105" t="n">
        <v>0</v>
      </c>
      <c r="N105" t="n">
        <v>0</v>
      </c>
      <c r="O105" t="n">
        <v>4</v>
      </c>
      <c r="P105" t="n">
        <v>1</v>
      </c>
      <c r="Q105" t="n">
        <v>5</v>
      </c>
      <c r="R105" s="2" t="inlineStr">
        <is>
          <t>Garderönn
Dårgräsfjäril
Spillkråka
Svinrot
Blåmossa</t>
        </is>
      </c>
      <c r="S105">
        <f>HYPERLINK("https://klasma.github.io/Logging_0980/artfynd/A 34584-2024 artfynd.xlsx", "A 34584-2024")</f>
        <v/>
      </c>
      <c r="T105">
        <f>HYPERLINK("https://klasma.github.io/Logging_0980/kartor/A 34584-2024 karta.png", "A 34584-2024")</f>
        <v/>
      </c>
      <c r="V105">
        <f>HYPERLINK("https://klasma.github.io/Logging_0980/klagomål/A 34584-2024 FSC-klagomål.docx", "A 34584-2024")</f>
        <v/>
      </c>
      <c r="W105">
        <f>HYPERLINK("https://klasma.github.io/Logging_0980/klagomålsmail/A 34584-2024 FSC-klagomål mail.docx", "A 34584-2024")</f>
        <v/>
      </c>
      <c r="X105">
        <f>HYPERLINK("https://klasma.github.io/Logging_0980/tillsyn/A 34584-2024 tillsynsbegäran.docx", "A 34584-2024")</f>
        <v/>
      </c>
      <c r="Y105">
        <f>HYPERLINK("https://klasma.github.io/Logging_0980/tillsynsmail/A 34584-2024 tillsynsbegäran mail.docx", "A 34584-2024")</f>
        <v/>
      </c>
      <c r="Z105">
        <f>HYPERLINK("https://klasma.github.io/Logging_0980/fåglar/A 34584-2024 prioriterade fågelarter.docx", "A 34584-2024")</f>
        <v/>
      </c>
    </row>
    <row r="106" ht="15" customHeight="1">
      <c r="A106" t="inlineStr">
        <is>
          <t>A 42936-2024</t>
        </is>
      </c>
      <c r="B106" s="1" t="n">
        <v>45567</v>
      </c>
      <c r="C106" s="1" t="n">
        <v>45828</v>
      </c>
      <c r="D106" t="inlineStr">
        <is>
          <t>GOTLANDS LÄN</t>
        </is>
      </c>
      <c r="E106" t="inlineStr">
        <is>
          <t>GOTLAND</t>
        </is>
      </c>
      <c r="G106" t="n">
        <v>3.4</v>
      </c>
      <c r="H106" t="n">
        <v>0</v>
      </c>
      <c r="I106" t="n">
        <v>3</v>
      </c>
      <c r="J106" t="n">
        <v>1</v>
      </c>
      <c r="K106" t="n">
        <v>1</v>
      </c>
      <c r="L106" t="n">
        <v>0</v>
      </c>
      <c r="M106" t="n">
        <v>0</v>
      </c>
      <c r="N106" t="n">
        <v>0</v>
      </c>
      <c r="O106" t="n">
        <v>2</v>
      </c>
      <c r="P106" t="n">
        <v>1</v>
      </c>
      <c r="Q106" t="n">
        <v>5</v>
      </c>
      <c r="R106" s="2" t="inlineStr">
        <is>
          <t>Vit taggsvamp
Äggspindling
Barrfagerspindling
Blå slemspindling
Svavelriska</t>
        </is>
      </c>
      <c r="S106">
        <f>HYPERLINK("https://klasma.github.io/Logging_0980/artfynd/A 42936-2024 artfynd.xlsx", "A 42936-2024")</f>
        <v/>
      </c>
      <c r="T106">
        <f>HYPERLINK("https://klasma.github.io/Logging_0980/kartor/A 42936-2024 karta.png", "A 42936-2024")</f>
        <v/>
      </c>
      <c r="V106">
        <f>HYPERLINK("https://klasma.github.io/Logging_0980/klagomål/A 42936-2024 FSC-klagomål.docx", "A 42936-2024")</f>
        <v/>
      </c>
      <c r="W106">
        <f>HYPERLINK("https://klasma.github.io/Logging_0980/klagomålsmail/A 42936-2024 FSC-klagomål mail.docx", "A 42936-2024")</f>
        <v/>
      </c>
      <c r="X106">
        <f>HYPERLINK("https://klasma.github.io/Logging_0980/tillsyn/A 42936-2024 tillsynsbegäran.docx", "A 42936-2024")</f>
        <v/>
      </c>
      <c r="Y106">
        <f>HYPERLINK("https://klasma.github.io/Logging_0980/tillsynsmail/A 42936-2024 tillsynsbegäran mail.docx", "A 42936-2024")</f>
        <v/>
      </c>
    </row>
    <row r="107" ht="15" customHeight="1">
      <c r="A107" t="inlineStr">
        <is>
          <t>A 45071-2024</t>
        </is>
      </c>
      <c r="B107" s="1" t="n">
        <v>45575</v>
      </c>
      <c r="C107" s="1" t="n">
        <v>45828</v>
      </c>
      <c r="D107" t="inlineStr">
        <is>
          <t>GOTLANDS LÄN</t>
        </is>
      </c>
      <c r="E107" t="inlineStr">
        <is>
          <t>GOTLAND</t>
        </is>
      </c>
      <c r="G107" t="n">
        <v>7.9</v>
      </c>
      <c r="H107" t="n">
        <v>0</v>
      </c>
      <c r="I107" t="n">
        <v>2</v>
      </c>
      <c r="J107" t="n">
        <v>1</v>
      </c>
      <c r="K107" t="n">
        <v>1</v>
      </c>
      <c r="L107" t="n">
        <v>0</v>
      </c>
      <c r="M107" t="n">
        <v>0</v>
      </c>
      <c r="N107" t="n">
        <v>0</v>
      </c>
      <c r="O107" t="n">
        <v>3</v>
      </c>
      <c r="P107" t="n">
        <v>1</v>
      </c>
      <c r="Q107" t="n">
        <v>5</v>
      </c>
      <c r="R107" s="2" t="inlineStr">
        <is>
          <t>Granrotsspindling
Odörspindling
Trollspindling
Besk kastanjemusseron
Blå slemspindling</t>
        </is>
      </c>
      <c r="S107">
        <f>HYPERLINK("https://klasma.github.io/Logging_0980/artfynd/A 45071-2024 artfynd.xlsx", "A 45071-2024")</f>
        <v/>
      </c>
      <c r="T107">
        <f>HYPERLINK("https://klasma.github.io/Logging_0980/kartor/A 45071-2024 karta.png", "A 45071-2024")</f>
        <v/>
      </c>
      <c r="V107">
        <f>HYPERLINK("https://klasma.github.io/Logging_0980/klagomål/A 45071-2024 FSC-klagomål.docx", "A 45071-2024")</f>
        <v/>
      </c>
      <c r="W107">
        <f>HYPERLINK("https://klasma.github.io/Logging_0980/klagomålsmail/A 45071-2024 FSC-klagomål mail.docx", "A 45071-2024")</f>
        <v/>
      </c>
      <c r="X107">
        <f>HYPERLINK("https://klasma.github.io/Logging_0980/tillsyn/A 45071-2024 tillsynsbegäran.docx", "A 45071-2024")</f>
        <v/>
      </c>
      <c r="Y107">
        <f>HYPERLINK("https://klasma.github.io/Logging_0980/tillsynsmail/A 45071-2024 tillsynsbegäran mail.docx", "A 45071-2024")</f>
        <v/>
      </c>
    </row>
    <row r="108" ht="15" customHeight="1">
      <c r="A108" t="inlineStr">
        <is>
          <t>A 16375-2025</t>
        </is>
      </c>
      <c r="B108" s="1" t="n">
        <v>45751</v>
      </c>
      <c r="C108" s="1" t="n">
        <v>45828</v>
      </c>
      <c r="D108" t="inlineStr">
        <is>
          <t>GOTLANDS LÄN</t>
        </is>
      </c>
      <c r="E108" t="inlineStr">
        <is>
          <t>GOTLAND</t>
        </is>
      </c>
      <c r="G108" t="n">
        <v>1.9</v>
      </c>
      <c r="H108" t="n">
        <v>3</v>
      </c>
      <c r="I108" t="n">
        <v>3</v>
      </c>
      <c r="J108" t="n">
        <v>1</v>
      </c>
      <c r="K108" t="n">
        <v>0</v>
      </c>
      <c r="L108" t="n">
        <v>1</v>
      </c>
      <c r="M108" t="n">
        <v>0</v>
      </c>
      <c r="N108" t="n">
        <v>0</v>
      </c>
      <c r="O108" t="n">
        <v>2</v>
      </c>
      <c r="P108" t="n">
        <v>1</v>
      </c>
      <c r="Q108" t="n">
        <v>5</v>
      </c>
      <c r="R108" s="2" t="inlineStr">
        <is>
          <t>Ask
Spillkråka
Blåmossa
Nästrot
Tvåblad</t>
        </is>
      </c>
      <c r="S108">
        <f>HYPERLINK("https://klasma.github.io/Logging_090980/artfynd/A 16375-2025 artfynd.xlsx", "A 16375-2025")</f>
        <v/>
      </c>
      <c r="T108">
        <f>HYPERLINK("https://klasma.github.io/Logging_090980/kartor/A 16375-2025 karta.png", "A 16375-2025")</f>
        <v/>
      </c>
      <c r="V108">
        <f>HYPERLINK("https://klasma.github.io/Logging_090980/klagomål/A 16375-2025 FSC-klagomål.docx", "A 16375-2025")</f>
        <v/>
      </c>
      <c r="W108">
        <f>HYPERLINK("https://klasma.github.io/Logging_090980/klagomålsmail/A 16375-2025 FSC-klagomål mail.docx", "A 16375-2025")</f>
        <v/>
      </c>
      <c r="X108">
        <f>HYPERLINK("https://klasma.github.io/Logging_090980/tillsyn/A 16375-2025 tillsynsbegäran.docx", "A 16375-2025")</f>
        <v/>
      </c>
      <c r="Y108">
        <f>HYPERLINK("https://klasma.github.io/Logging_090980/tillsynsmail/A 16375-2025 tillsynsbegäran mail.docx", "A 16375-2025")</f>
        <v/>
      </c>
      <c r="Z108">
        <f>HYPERLINK("https://klasma.github.io/Logging_090980/fåglar/A 16375-2025 prioriterade fågelarter.docx", "A 16375-2025")</f>
        <v/>
      </c>
    </row>
    <row r="109" ht="15" customHeight="1">
      <c r="A109" t="inlineStr">
        <is>
          <t>A 21537-2019</t>
        </is>
      </c>
      <c r="B109" s="1" t="n">
        <v>43580</v>
      </c>
      <c r="C109" s="1" t="n">
        <v>45828</v>
      </c>
      <c r="D109" t="inlineStr">
        <is>
          <t>GOTLANDS LÄN</t>
        </is>
      </c>
      <c r="E109" t="inlineStr">
        <is>
          <t>GOTLAND</t>
        </is>
      </c>
      <c r="G109" t="n">
        <v>5.3</v>
      </c>
      <c r="H109" t="n">
        <v>1</v>
      </c>
      <c r="I109" t="n">
        <v>4</v>
      </c>
      <c r="J109" t="n">
        <v>0</v>
      </c>
      <c r="K109" t="n">
        <v>0</v>
      </c>
      <c r="L109" t="n">
        <v>0</v>
      </c>
      <c r="M109" t="n">
        <v>0</v>
      </c>
      <c r="N109" t="n">
        <v>0</v>
      </c>
      <c r="O109" t="n">
        <v>0</v>
      </c>
      <c r="P109" t="n">
        <v>0</v>
      </c>
      <c r="Q109" t="n">
        <v>4</v>
      </c>
      <c r="R109" s="2" t="inlineStr">
        <is>
          <t>Blåmossa
Granbarkgnagare
Kattfotslav
Tvåblad</t>
        </is>
      </c>
      <c r="S109">
        <f>HYPERLINK("https://klasma.github.io/Logging_0980/artfynd/A 21537-2019 artfynd.xlsx", "A 21537-2019")</f>
        <v/>
      </c>
      <c r="T109">
        <f>HYPERLINK("https://klasma.github.io/Logging_0980/kartor/A 21537-2019 karta.png", "A 21537-2019")</f>
        <v/>
      </c>
      <c r="V109">
        <f>HYPERLINK("https://klasma.github.io/Logging_0980/klagomål/A 21537-2019 FSC-klagomål.docx", "A 21537-2019")</f>
        <v/>
      </c>
      <c r="W109">
        <f>HYPERLINK("https://klasma.github.io/Logging_0980/klagomålsmail/A 21537-2019 FSC-klagomål mail.docx", "A 21537-2019")</f>
        <v/>
      </c>
      <c r="X109">
        <f>HYPERLINK("https://klasma.github.io/Logging_0980/tillsyn/A 21537-2019 tillsynsbegäran.docx", "A 21537-2019")</f>
        <v/>
      </c>
      <c r="Y109">
        <f>HYPERLINK("https://klasma.github.io/Logging_0980/tillsynsmail/A 21537-2019 tillsynsbegäran mail.docx", "A 21537-2019")</f>
        <v/>
      </c>
    </row>
    <row r="110" ht="15" customHeight="1">
      <c r="A110" t="inlineStr">
        <is>
          <t>A 39839-2019</t>
        </is>
      </c>
      <c r="B110" s="1" t="n">
        <v>43689</v>
      </c>
      <c r="C110" s="1" t="n">
        <v>45828</v>
      </c>
      <c r="D110" t="inlineStr">
        <is>
          <t>GOTLANDS LÄN</t>
        </is>
      </c>
      <c r="E110" t="inlineStr">
        <is>
          <t>GOTLAND</t>
        </is>
      </c>
      <c r="G110" t="n">
        <v>18.9</v>
      </c>
      <c r="H110" t="n">
        <v>1</v>
      </c>
      <c r="I110" t="n">
        <v>1</v>
      </c>
      <c r="J110" t="n">
        <v>3</v>
      </c>
      <c r="K110" t="n">
        <v>0</v>
      </c>
      <c r="L110" t="n">
        <v>0</v>
      </c>
      <c r="M110" t="n">
        <v>0</v>
      </c>
      <c r="N110" t="n">
        <v>0</v>
      </c>
      <c r="O110" t="n">
        <v>3</v>
      </c>
      <c r="P110" t="n">
        <v>0</v>
      </c>
      <c r="Q110" t="n">
        <v>4</v>
      </c>
      <c r="R110" s="2" t="inlineStr">
        <is>
          <t>Apollofjäril
Hårig blombock
Sexfläckig bastardsvärmare
Åttafläckig praktbagge</t>
        </is>
      </c>
      <c r="S110">
        <f>HYPERLINK("https://klasma.github.io/Logging_0980/artfynd/A 39839-2019 artfynd.xlsx", "A 39839-2019")</f>
        <v/>
      </c>
      <c r="T110">
        <f>HYPERLINK("https://klasma.github.io/Logging_0980/kartor/A 39839-2019 karta.png", "A 39839-2019")</f>
        <v/>
      </c>
      <c r="V110">
        <f>HYPERLINK("https://klasma.github.io/Logging_0980/klagomål/A 39839-2019 FSC-klagomål.docx", "A 39839-2019")</f>
        <v/>
      </c>
      <c r="W110">
        <f>HYPERLINK("https://klasma.github.io/Logging_0980/klagomålsmail/A 39839-2019 FSC-klagomål mail.docx", "A 39839-2019")</f>
        <v/>
      </c>
      <c r="X110">
        <f>HYPERLINK("https://klasma.github.io/Logging_0980/tillsyn/A 39839-2019 tillsynsbegäran.docx", "A 39839-2019")</f>
        <v/>
      </c>
      <c r="Y110">
        <f>HYPERLINK("https://klasma.github.io/Logging_0980/tillsynsmail/A 39839-2019 tillsynsbegäran mail.docx", "A 39839-2019")</f>
        <v/>
      </c>
    </row>
    <row r="111" ht="15" customHeight="1">
      <c r="A111" t="inlineStr">
        <is>
          <t>A 64378-2020</t>
        </is>
      </c>
      <c r="B111" s="1" t="n">
        <v>44168</v>
      </c>
      <c r="C111" s="1" t="n">
        <v>45828</v>
      </c>
      <c r="D111" t="inlineStr">
        <is>
          <t>GOTLANDS LÄN</t>
        </is>
      </c>
      <c r="E111" t="inlineStr">
        <is>
          <t>GOTLAND</t>
        </is>
      </c>
      <c r="G111" t="n">
        <v>2.1</v>
      </c>
      <c r="H111" t="n">
        <v>0</v>
      </c>
      <c r="I111" t="n">
        <v>1</v>
      </c>
      <c r="J111" t="n">
        <v>0</v>
      </c>
      <c r="K111" t="n">
        <v>2</v>
      </c>
      <c r="L111" t="n">
        <v>1</v>
      </c>
      <c r="M111" t="n">
        <v>0</v>
      </c>
      <c r="N111" t="n">
        <v>0</v>
      </c>
      <c r="O111" t="n">
        <v>3</v>
      </c>
      <c r="P111" t="n">
        <v>3</v>
      </c>
      <c r="Q111" t="n">
        <v>4</v>
      </c>
      <c r="R111" s="2" t="inlineStr">
        <is>
          <t>Sienamusseron
Bitter taggsvamp
Duvspindling
Fjällig taggsvamp s.str.</t>
        </is>
      </c>
      <c r="S111">
        <f>HYPERLINK("https://klasma.github.io/Logging_0980/artfynd/A 64378-2020 artfynd.xlsx", "A 64378-2020")</f>
        <v/>
      </c>
      <c r="T111">
        <f>HYPERLINK("https://klasma.github.io/Logging_0980/kartor/A 64378-2020 karta.png", "A 64378-2020")</f>
        <v/>
      </c>
      <c r="V111">
        <f>HYPERLINK("https://klasma.github.io/Logging_0980/klagomål/A 64378-2020 FSC-klagomål.docx", "A 64378-2020")</f>
        <v/>
      </c>
      <c r="W111">
        <f>HYPERLINK("https://klasma.github.io/Logging_0980/klagomålsmail/A 64378-2020 FSC-klagomål mail.docx", "A 64378-2020")</f>
        <v/>
      </c>
      <c r="X111">
        <f>HYPERLINK("https://klasma.github.io/Logging_0980/tillsyn/A 64378-2020 tillsynsbegäran.docx", "A 64378-2020")</f>
        <v/>
      </c>
      <c r="Y111">
        <f>HYPERLINK("https://klasma.github.io/Logging_0980/tillsynsmail/A 64378-2020 tillsynsbegäran mail.docx", "A 64378-2020")</f>
        <v/>
      </c>
    </row>
    <row r="112" ht="15" customHeight="1">
      <c r="A112" t="inlineStr">
        <is>
          <t>A 2223-2021</t>
        </is>
      </c>
      <c r="B112" s="1" t="n">
        <v>44211</v>
      </c>
      <c r="C112" s="1" t="n">
        <v>45828</v>
      </c>
      <c r="D112" t="inlineStr">
        <is>
          <t>GOTLANDS LÄN</t>
        </is>
      </c>
      <c r="E112" t="inlineStr">
        <is>
          <t>GOTLAND</t>
        </is>
      </c>
      <c r="G112" t="n">
        <v>2.2</v>
      </c>
      <c r="H112" t="n">
        <v>2</v>
      </c>
      <c r="I112" t="n">
        <v>4</v>
      </c>
      <c r="J112" t="n">
        <v>0</v>
      </c>
      <c r="K112" t="n">
        <v>0</v>
      </c>
      <c r="L112" t="n">
        <v>0</v>
      </c>
      <c r="M112" t="n">
        <v>0</v>
      </c>
      <c r="N112" t="n">
        <v>0</v>
      </c>
      <c r="O112" t="n">
        <v>0</v>
      </c>
      <c r="P112" t="n">
        <v>0</v>
      </c>
      <c r="Q112" t="n">
        <v>4</v>
      </c>
      <c r="R112" s="2" t="inlineStr">
        <is>
          <t>Blåmossa
Granbarkgnagare
Nästrot
Tvåblad</t>
        </is>
      </c>
      <c r="S112">
        <f>HYPERLINK("https://klasma.github.io/Logging_0980/artfynd/A 2223-2021 artfynd.xlsx", "A 2223-2021")</f>
        <v/>
      </c>
      <c r="T112">
        <f>HYPERLINK("https://klasma.github.io/Logging_0980/kartor/A 2223-2021 karta.png", "A 2223-2021")</f>
        <v/>
      </c>
      <c r="V112">
        <f>HYPERLINK("https://klasma.github.io/Logging_0980/klagomål/A 2223-2021 FSC-klagomål.docx", "A 2223-2021")</f>
        <v/>
      </c>
      <c r="W112">
        <f>HYPERLINK("https://klasma.github.io/Logging_0980/klagomålsmail/A 2223-2021 FSC-klagomål mail.docx", "A 2223-2021")</f>
        <v/>
      </c>
      <c r="X112">
        <f>HYPERLINK("https://klasma.github.io/Logging_0980/tillsyn/A 2223-2021 tillsynsbegäran.docx", "A 2223-2021")</f>
        <v/>
      </c>
      <c r="Y112">
        <f>HYPERLINK("https://klasma.github.io/Logging_0980/tillsynsmail/A 2223-2021 tillsynsbegäran mail.docx", "A 2223-2021")</f>
        <v/>
      </c>
    </row>
    <row r="113" ht="15" customHeight="1">
      <c r="A113" t="inlineStr">
        <is>
          <t>A 29331-2021</t>
        </is>
      </c>
      <c r="B113" s="1" t="n">
        <v>44361</v>
      </c>
      <c r="C113" s="1" t="n">
        <v>45828</v>
      </c>
      <c r="D113" t="inlineStr">
        <is>
          <t>GOTLANDS LÄN</t>
        </is>
      </c>
      <c r="E113" t="inlineStr">
        <is>
          <t>GOTLAND</t>
        </is>
      </c>
      <c r="G113" t="n">
        <v>3.7</v>
      </c>
      <c r="H113" t="n">
        <v>1</v>
      </c>
      <c r="I113" t="n">
        <v>4</v>
      </c>
      <c r="J113" t="n">
        <v>0</v>
      </c>
      <c r="K113" t="n">
        <v>0</v>
      </c>
      <c r="L113" t="n">
        <v>0</v>
      </c>
      <c r="M113" t="n">
        <v>0</v>
      </c>
      <c r="N113" t="n">
        <v>0</v>
      </c>
      <c r="O113" t="n">
        <v>0</v>
      </c>
      <c r="P113" t="n">
        <v>0</v>
      </c>
      <c r="Q113" t="n">
        <v>4</v>
      </c>
      <c r="R113" s="2" t="inlineStr">
        <is>
          <t>Blåmossa
Granbarkgnagare
Kattfotslav
Tvåblad</t>
        </is>
      </c>
      <c r="S113">
        <f>HYPERLINK("https://klasma.github.io/Logging_0980/artfynd/A 29331-2021 artfynd.xlsx", "A 29331-2021")</f>
        <v/>
      </c>
      <c r="T113">
        <f>HYPERLINK("https://klasma.github.io/Logging_0980/kartor/A 29331-2021 karta.png", "A 29331-2021")</f>
        <v/>
      </c>
      <c r="V113">
        <f>HYPERLINK("https://klasma.github.io/Logging_0980/klagomål/A 29331-2021 FSC-klagomål.docx", "A 29331-2021")</f>
        <v/>
      </c>
      <c r="W113">
        <f>HYPERLINK("https://klasma.github.io/Logging_0980/klagomålsmail/A 29331-2021 FSC-klagomål mail.docx", "A 29331-2021")</f>
        <v/>
      </c>
      <c r="X113">
        <f>HYPERLINK("https://klasma.github.io/Logging_0980/tillsyn/A 29331-2021 tillsynsbegäran.docx", "A 29331-2021")</f>
        <v/>
      </c>
      <c r="Y113">
        <f>HYPERLINK("https://klasma.github.io/Logging_0980/tillsynsmail/A 29331-2021 tillsynsbegäran mail.docx", "A 29331-2021")</f>
        <v/>
      </c>
    </row>
    <row r="114" ht="15" customHeight="1">
      <c r="A114" t="inlineStr">
        <is>
          <t>A 44933-2022</t>
        </is>
      </c>
      <c r="B114" s="1" t="n">
        <v>44841</v>
      </c>
      <c r="C114" s="1" t="n">
        <v>45828</v>
      </c>
      <c r="D114" t="inlineStr">
        <is>
          <t>GOTLANDS LÄN</t>
        </is>
      </c>
      <c r="E114" t="inlineStr">
        <is>
          <t>GOTLAND</t>
        </is>
      </c>
      <c r="G114" t="n">
        <v>4.5</v>
      </c>
      <c r="H114" t="n">
        <v>1</v>
      </c>
      <c r="I114" t="n">
        <v>2</v>
      </c>
      <c r="J114" t="n">
        <v>2</v>
      </c>
      <c r="K114" t="n">
        <v>0</v>
      </c>
      <c r="L114" t="n">
        <v>0</v>
      </c>
      <c r="M114" t="n">
        <v>0</v>
      </c>
      <c r="N114" t="n">
        <v>0</v>
      </c>
      <c r="O114" t="n">
        <v>2</v>
      </c>
      <c r="P114" t="n">
        <v>0</v>
      </c>
      <c r="Q114" t="n">
        <v>4</v>
      </c>
      <c r="R114" s="2" t="inlineStr">
        <is>
          <t>Ekvaxskivling
Odörspindling
Skarp dropptaggsvamp
Skogsknipprot</t>
        </is>
      </c>
      <c r="S114">
        <f>HYPERLINK("https://klasma.github.io/Logging_0980/artfynd/A 44933-2022 artfynd.xlsx", "A 44933-2022")</f>
        <v/>
      </c>
      <c r="T114">
        <f>HYPERLINK("https://klasma.github.io/Logging_0980/kartor/A 44933-2022 karta.png", "A 44933-2022")</f>
        <v/>
      </c>
      <c r="V114">
        <f>HYPERLINK("https://klasma.github.io/Logging_0980/klagomål/A 44933-2022 FSC-klagomål.docx", "A 44933-2022")</f>
        <v/>
      </c>
      <c r="W114">
        <f>HYPERLINK("https://klasma.github.io/Logging_0980/klagomålsmail/A 44933-2022 FSC-klagomål mail.docx", "A 44933-2022")</f>
        <v/>
      </c>
      <c r="X114">
        <f>HYPERLINK("https://klasma.github.io/Logging_0980/tillsyn/A 44933-2022 tillsynsbegäran.docx", "A 44933-2022")</f>
        <v/>
      </c>
      <c r="Y114">
        <f>HYPERLINK("https://klasma.github.io/Logging_0980/tillsynsmail/A 44933-2022 tillsynsbegäran mail.docx", "A 44933-2022")</f>
        <v/>
      </c>
    </row>
    <row r="115" ht="15" customHeight="1">
      <c r="A115" t="inlineStr">
        <is>
          <t>A 47526-2022</t>
        </is>
      </c>
      <c r="B115" s="1" t="n">
        <v>44853</v>
      </c>
      <c r="C115" s="1" t="n">
        <v>45828</v>
      </c>
      <c r="D115" t="inlineStr">
        <is>
          <t>GOTLANDS LÄN</t>
        </is>
      </c>
      <c r="E115" t="inlineStr">
        <is>
          <t>GOTLAND</t>
        </is>
      </c>
      <c r="G115" t="n">
        <v>9.800000000000001</v>
      </c>
      <c r="H115" t="n">
        <v>3</v>
      </c>
      <c r="I115" t="n">
        <v>0</v>
      </c>
      <c r="J115" t="n">
        <v>2</v>
      </c>
      <c r="K115" t="n">
        <v>0</v>
      </c>
      <c r="L115" t="n">
        <v>0</v>
      </c>
      <c r="M115" t="n">
        <v>0</v>
      </c>
      <c r="N115" t="n">
        <v>0</v>
      </c>
      <c r="O115" t="n">
        <v>2</v>
      </c>
      <c r="P115" t="n">
        <v>0</v>
      </c>
      <c r="Q115" t="n">
        <v>4</v>
      </c>
      <c r="R115" s="2" t="inlineStr">
        <is>
          <t>Dårgräsfjäril
Svinrot
Sankt pers nycklar
Blåsippa</t>
        </is>
      </c>
      <c r="S115">
        <f>HYPERLINK("https://klasma.github.io/Logging_0980/artfynd/A 47526-2022 artfynd.xlsx", "A 47526-2022")</f>
        <v/>
      </c>
      <c r="T115">
        <f>HYPERLINK("https://klasma.github.io/Logging_0980/kartor/A 47526-2022 karta.png", "A 47526-2022")</f>
        <v/>
      </c>
      <c r="V115">
        <f>HYPERLINK("https://klasma.github.io/Logging_0980/klagomål/A 47526-2022 FSC-klagomål.docx", "A 47526-2022")</f>
        <v/>
      </c>
      <c r="W115">
        <f>HYPERLINK("https://klasma.github.io/Logging_0980/klagomålsmail/A 47526-2022 FSC-klagomål mail.docx", "A 47526-2022")</f>
        <v/>
      </c>
      <c r="X115">
        <f>HYPERLINK("https://klasma.github.io/Logging_0980/tillsyn/A 47526-2022 tillsynsbegäran.docx", "A 47526-2022")</f>
        <v/>
      </c>
      <c r="Y115">
        <f>HYPERLINK("https://klasma.github.io/Logging_0980/tillsynsmail/A 47526-2022 tillsynsbegäran mail.docx", "A 47526-2022")</f>
        <v/>
      </c>
    </row>
    <row r="116" ht="15" customHeight="1">
      <c r="A116" t="inlineStr">
        <is>
          <t>A 186-2023</t>
        </is>
      </c>
      <c r="B116" s="1" t="n">
        <v>44928</v>
      </c>
      <c r="C116" s="1" t="n">
        <v>45828</v>
      </c>
      <c r="D116" t="inlineStr">
        <is>
          <t>GOTLANDS LÄN</t>
        </is>
      </c>
      <c r="E116" t="inlineStr">
        <is>
          <t>GOTLAND</t>
        </is>
      </c>
      <c r="G116" t="n">
        <v>2.2</v>
      </c>
      <c r="H116" t="n">
        <v>2</v>
      </c>
      <c r="I116" t="n">
        <v>2</v>
      </c>
      <c r="J116" t="n">
        <v>0</v>
      </c>
      <c r="K116" t="n">
        <v>2</v>
      </c>
      <c r="L116" t="n">
        <v>0</v>
      </c>
      <c r="M116" t="n">
        <v>0</v>
      </c>
      <c r="N116" t="n">
        <v>0</v>
      </c>
      <c r="O116" t="n">
        <v>2</v>
      </c>
      <c r="P116" t="n">
        <v>2</v>
      </c>
      <c r="Q116" t="n">
        <v>4</v>
      </c>
      <c r="R116" s="2" t="inlineStr">
        <is>
          <t>Svartgrön spindling
Vit taggsvamp
Nästrot
Skogsknipprot</t>
        </is>
      </c>
      <c r="S116">
        <f>HYPERLINK("https://klasma.github.io/Logging_0980/artfynd/A 186-2023 artfynd.xlsx", "A 186-2023")</f>
        <v/>
      </c>
      <c r="T116">
        <f>HYPERLINK("https://klasma.github.io/Logging_0980/kartor/A 186-2023 karta.png", "A 186-2023")</f>
        <v/>
      </c>
      <c r="V116">
        <f>HYPERLINK("https://klasma.github.io/Logging_0980/klagomål/A 186-2023 FSC-klagomål.docx", "A 186-2023")</f>
        <v/>
      </c>
      <c r="W116">
        <f>HYPERLINK("https://klasma.github.io/Logging_0980/klagomålsmail/A 186-2023 FSC-klagomål mail.docx", "A 186-2023")</f>
        <v/>
      </c>
      <c r="X116">
        <f>HYPERLINK("https://klasma.github.io/Logging_0980/tillsyn/A 186-2023 tillsynsbegäran.docx", "A 186-2023")</f>
        <v/>
      </c>
      <c r="Y116">
        <f>HYPERLINK("https://klasma.github.io/Logging_0980/tillsynsmail/A 186-2023 tillsynsbegäran mail.docx", "A 186-2023")</f>
        <v/>
      </c>
    </row>
    <row r="117" ht="15" customHeight="1">
      <c r="A117" t="inlineStr">
        <is>
          <t>A 584-2023</t>
        </is>
      </c>
      <c r="B117" s="1" t="n">
        <v>44930</v>
      </c>
      <c r="C117" s="1" t="n">
        <v>45828</v>
      </c>
      <c r="D117" t="inlineStr">
        <is>
          <t>GOTLANDS LÄN</t>
        </is>
      </c>
      <c r="E117" t="inlineStr">
        <is>
          <t>GOTLAND</t>
        </is>
      </c>
      <c r="G117" t="n">
        <v>27.2</v>
      </c>
      <c r="H117" t="n">
        <v>0</v>
      </c>
      <c r="I117" t="n">
        <v>2</v>
      </c>
      <c r="J117" t="n">
        <v>1</v>
      </c>
      <c r="K117" t="n">
        <v>1</v>
      </c>
      <c r="L117" t="n">
        <v>0</v>
      </c>
      <c r="M117" t="n">
        <v>0</v>
      </c>
      <c r="N117" t="n">
        <v>0</v>
      </c>
      <c r="O117" t="n">
        <v>2</v>
      </c>
      <c r="P117" t="n">
        <v>1</v>
      </c>
      <c r="Q117" t="n">
        <v>4</v>
      </c>
      <c r="R117" s="2" t="inlineStr">
        <is>
          <t>Granrotsspindling
Denisespindling
Rödgul trumpetsvamp
Vågbandad barkbock</t>
        </is>
      </c>
      <c r="S117">
        <f>HYPERLINK("https://klasma.github.io/Logging_0980/artfynd/A 584-2023 artfynd.xlsx", "A 584-2023")</f>
        <v/>
      </c>
      <c r="T117">
        <f>HYPERLINK("https://klasma.github.io/Logging_0980/kartor/A 584-2023 karta.png", "A 584-2023")</f>
        <v/>
      </c>
      <c r="V117">
        <f>HYPERLINK("https://klasma.github.io/Logging_0980/klagomål/A 584-2023 FSC-klagomål.docx", "A 584-2023")</f>
        <v/>
      </c>
      <c r="W117">
        <f>HYPERLINK("https://klasma.github.io/Logging_0980/klagomålsmail/A 584-2023 FSC-klagomål mail.docx", "A 584-2023")</f>
        <v/>
      </c>
      <c r="X117">
        <f>HYPERLINK("https://klasma.github.io/Logging_0980/tillsyn/A 584-2023 tillsynsbegäran.docx", "A 584-2023")</f>
        <v/>
      </c>
      <c r="Y117">
        <f>HYPERLINK("https://klasma.github.io/Logging_0980/tillsynsmail/A 584-2023 tillsynsbegäran mail.docx", "A 584-2023")</f>
        <v/>
      </c>
    </row>
    <row r="118" ht="15" customHeight="1">
      <c r="A118" t="inlineStr">
        <is>
          <t>A 1971-2023</t>
        </is>
      </c>
      <c r="B118" s="1" t="n">
        <v>44939</v>
      </c>
      <c r="C118" s="1" t="n">
        <v>45828</v>
      </c>
      <c r="D118" t="inlineStr">
        <is>
          <t>GOTLANDS LÄN</t>
        </is>
      </c>
      <c r="E118" t="inlineStr">
        <is>
          <t>GOTLAND</t>
        </is>
      </c>
      <c r="G118" t="n">
        <v>5.5</v>
      </c>
      <c r="H118" t="n">
        <v>0</v>
      </c>
      <c r="I118" t="n">
        <v>2</v>
      </c>
      <c r="J118" t="n">
        <v>1</v>
      </c>
      <c r="K118" t="n">
        <v>1</v>
      </c>
      <c r="L118" t="n">
        <v>0</v>
      </c>
      <c r="M118" t="n">
        <v>0</v>
      </c>
      <c r="N118" t="n">
        <v>0</v>
      </c>
      <c r="O118" t="n">
        <v>2</v>
      </c>
      <c r="P118" t="n">
        <v>1</v>
      </c>
      <c r="Q118" t="n">
        <v>4</v>
      </c>
      <c r="R118" s="2" t="inlineStr">
        <is>
          <t>Gulsträngad fagerspindling
Svinrot
Fjällig taggsvamp s.str.
Olivspindling</t>
        </is>
      </c>
      <c r="S118">
        <f>HYPERLINK("https://klasma.github.io/Logging_0980/artfynd/A 1971-2023 artfynd.xlsx", "A 1971-2023")</f>
        <v/>
      </c>
      <c r="T118">
        <f>HYPERLINK("https://klasma.github.io/Logging_0980/kartor/A 1971-2023 karta.png", "A 1971-2023")</f>
        <v/>
      </c>
      <c r="V118">
        <f>HYPERLINK("https://klasma.github.io/Logging_0980/klagomål/A 1971-2023 FSC-klagomål.docx", "A 1971-2023")</f>
        <v/>
      </c>
      <c r="W118">
        <f>HYPERLINK("https://klasma.github.io/Logging_0980/klagomålsmail/A 1971-2023 FSC-klagomål mail.docx", "A 1971-2023")</f>
        <v/>
      </c>
      <c r="X118">
        <f>HYPERLINK("https://klasma.github.io/Logging_0980/tillsyn/A 1971-2023 tillsynsbegäran.docx", "A 1971-2023")</f>
        <v/>
      </c>
      <c r="Y118">
        <f>HYPERLINK("https://klasma.github.io/Logging_0980/tillsynsmail/A 1971-2023 tillsynsbegäran mail.docx", "A 1971-2023")</f>
        <v/>
      </c>
    </row>
    <row r="119" ht="15" customHeight="1">
      <c r="A119" t="inlineStr">
        <is>
          <t>A 6159-2023</t>
        </is>
      </c>
      <c r="B119" s="1" t="n">
        <v>44964</v>
      </c>
      <c r="C119" s="1" t="n">
        <v>45828</v>
      </c>
      <c r="D119" t="inlineStr">
        <is>
          <t>GOTLANDS LÄN</t>
        </is>
      </c>
      <c r="E119" t="inlineStr">
        <is>
          <t>GOTLAND</t>
        </is>
      </c>
      <c r="G119" t="n">
        <v>2</v>
      </c>
      <c r="H119" t="n">
        <v>0</v>
      </c>
      <c r="I119" t="n">
        <v>2</v>
      </c>
      <c r="J119" t="n">
        <v>2</v>
      </c>
      <c r="K119" t="n">
        <v>0</v>
      </c>
      <c r="L119" t="n">
        <v>0</v>
      </c>
      <c r="M119" t="n">
        <v>0</v>
      </c>
      <c r="N119" t="n">
        <v>0</v>
      </c>
      <c r="O119" t="n">
        <v>2</v>
      </c>
      <c r="P119" t="n">
        <v>0</v>
      </c>
      <c r="Q119" t="n">
        <v>4</v>
      </c>
      <c r="R119" s="2" t="inlineStr">
        <is>
          <t>Dofttaggsvamp
Odörspindling
Anisspindling
Olivspindling</t>
        </is>
      </c>
      <c r="S119">
        <f>HYPERLINK("https://klasma.github.io/Logging_0980/artfynd/A 6159-2023 artfynd.xlsx", "A 6159-2023")</f>
        <v/>
      </c>
      <c r="T119">
        <f>HYPERLINK("https://klasma.github.io/Logging_0980/kartor/A 6159-2023 karta.png", "A 6159-2023")</f>
        <v/>
      </c>
      <c r="V119">
        <f>HYPERLINK("https://klasma.github.io/Logging_0980/klagomål/A 6159-2023 FSC-klagomål.docx", "A 6159-2023")</f>
        <v/>
      </c>
      <c r="W119">
        <f>HYPERLINK("https://klasma.github.io/Logging_0980/klagomålsmail/A 6159-2023 FSC-klagomål mail.docx", "A 6159-2023")</f>
        <v/>
      </c>
      <c r="X119">
        <f>HYPERLINK("https://klasma.github.io/Logging_0980/tillsyn/A 6159-2023 tillsynsbegäran.docx", "A 6159-2023")</f>
        <v/>
      </c>
      <c r="Y119">
        <f>HYPERLINK("https://klasma.github.io/Logging_0980/tillsynsmail/A 6159-2023 tillsynsbegäran mail.docx", "A 6159-2023")</f>
        <v/>
      </c>
    </row>
    <row r="120" ht="15" customHeight="1">
      <c r="A120" t="inlineStr">
        <is>
          <t>A 8265-2023</t>
        </is>
      </c>
      <c r="B120" s="1" t="n">
        <v>44974</v>
      </c>
      <c r="C120" s="1" t="n">
        <v>45828</v>
      </c>
      <c r="D120" t="inlineStr">
        <is>
          <t>GOTLANDS LÄN</t>
        </is>
      </c>
      <c r="E120" t="inlineStr">
        <is>
          <t>GOTLAND</t>
        </is>
      </c>
      <c r="G120" t="n">
        <v>3.3</v>
      </c>
      <c r="H120" t="n">
        <v>4</v>
      </c>
      <c r="I120" t="n">
        <v>3</v>
      </c>
      <c r="J120" t="n">
        <v>0</v>
      </c>
      <c r="K120" t="n">
        <v>0</v>
      </c>
      <c r="L120" t="n">
        <v>0</v>
      </c>
      <c r="M120" t="n">
        <v>0</v>
      </c>
      <c r="N120" t="n">
        <v>0</v>
      </c>
      <c r="O120" t="n">
        <v>0</v>
      </c>
      <c r="P120" t="n">
        <v>0</v>
      </c>
      <c r="Q120" t="n">
        <v>4</v>
      </c>
      <c r="R120" s="2" t="inlineStr">
        <is>
          <t>Flugblomster
Purpurknipprot
Tvåblad
Salepsrot</t>
        </is>
      </c>
      <c r="S120">
        <f>HYPERLINK("https://klasma.github.io/Logging_0980/artfynd/A 8265-2023 artfynd.xlsx", "A 8265-2023")</f>
        <v/>
      </c>
      <c r="T120">
        <f>HYPERLINK("https://klasma.github.io/Logging_0980/kartor/A 8265-2023 karta.png", "A 8265-2023")</f>
        <v/>
      </c>
      <c r="V120">
        <f>HYPERLINK("https://klasma.github.io/Logging_0980/klagomål/A 8265-2023 FSC-klagomål.docx", "A 8265-2023")</f>
        <v/>
      </c>
      <c r="W120">
        <f>HYPERLINK("https://klasma.github.io/Logging_0980/klagomålsmail/A 8265-2023 FSC-klagomål mail.docx", "A 8265-2023")</f>
        <v/>
      </c>
      <c r="X120">
        <f>HYPERLINK("https://klasma.github.io/Logging_0980/tillsyn/A 8265-2023 tillsynsbegäran.docx", "A 8265-2023")</f>
        <v/>
      </c>
      <c r="Y120">
        <f>HYPERLINK("https://klasma.github.io/Logging_0980/tillsynsmail/A 8265-2023 tillsynsbegäran mail.docx", "A 8265-2023")</f>
        <v/>
      </c>
    </row>
    <row r="121" ht="15" customHeight="1">
      <c r="A121" t="inlineStr">
        <is>
          <t>A 43197-2023</t>
        </is>
      </c>
      <c r="B121" s="1" t="n">
        <v>45183</v>
      </c>
      <c r="C121" s="1" t="n">
        <v>45828</v>
      </c>
      <c r="D121" t="inlineStr">
        <is>
          <t>GOTLANDS LÄN</t>
        </is>
      </c>
      <c r="E121" t="inlineStr">
        <is>
          <t>GOTLAND</t>
        </is>
      </c>
      <c r="G121" t="n">
        <v>3.7</v>
      </c>
      <c r="H121" t="n">
        <v>2</v>
      </c>
      <c r="I121" t="n">
        <v>1</v>
      </c>
      <c r="J121" t="n">
        <v>1</v>
      </c>
      <c r="K121" t="n">
        <v>1</v>
      </c>
      <c r="L121" t="n">
        <v>0</v>
      </c>
      <c r="M121" t="n">
        <v>0</v>
      </c>
      <c r="N121" t="n">
        <v>0</v>
      </c>
      <c r="O121" t="n">
        <v>2</v>
      </c>
      <c r="P121" t="n">
        <v>1</v>
      </c>
      <c r="Q121" t="n">
        <v>4</v>
      </c>
      <c r="R121" s="2" t="inlineStr">
        <is>
          <t>Allékantlav
Svinrot
Skogsknipprot
Revlummer</t>
        </is>
      </c>
      <c r="S121">
        <f>HYPERLINK("https://klasma.github.io/Logging_0980/artfynd/A 43197-2023 artfynd.xlsx", "A 43197-2023")</f>
        <v/>
      </c>
      <c r="T121">
        <f>HYPERLINK("https://klasma.github.io/Logging_0980/kartor/A 43197-2023 karta.png", "A 43197-2023")</f>
        <v/>
      </c>
      <c r="V121">
        <f>HYPERLINK("https://klasma.github.io/Logging_0980/klagomål/A 43197-2023 FSC-klagomål.docx", "A 43197-2023")</f>
        <v/>
      </c>
      <c r="W121">
        <f>HYPERLINK("https://klasma.github.io/Logging_0980/klagomålsmail/A 43197-2023 FSC-klagomål mail.docx", "A 43197-2023")</f>
        <v/>
      </c>
      <c r="X121">
        <f>HYPERLINK("https://klasma.github.io/Logging_0980/tillsyn/A 43197-2023 tillsynsbegäran.docx", "A 43197-2023")</f>
        <v/>
      </c>
      <c r="Y121">
        <f>HYPERLINK("https://klasma.github.io/Logging_0980/tillsynsmail/A 43197-2023 tillsynsbegäran mail.docx", "A 43197-2023")</f>
        <v/>
      </c>
    </row>
    <row r="122" ht="15" customHeight="1">
      <c r="A122" t="inlineStr">
        <is>
          <t>A 46969-2023</t>
        </is>
      </c>
      <c r="B122" s="1" t="n">
        <v>45195</v>
      </c>
      <c r="C122" s="1" t="n">
        <v>45828</v>
      </c>
      <c r="D122" t="inlineStr">
        <is>
          <t>GOTLANDS LÄN</t>
        </is>
      </c>
      <c r="E122" t="inlineStr">
        <is>
          <t>GOTLAND</t>
        </is>
      </c>
      <c r="G122" t="n">
        <v>7.3</v>
      </c>
      <c r="H122" t="n">
        <v>1</v>
      </c>
      <c r="I122" t="n">
        <v>1</v>
      </c>
      <c r="J122" t="n">
        <v>2</v>
      </c>
      <c r="K122" t="n">
        <v>0</v>
      </c>
      <c r="L122" t="n">
        <v>0</v>
      </c>
      <c r="M122" t="n">
        <v>0</v>
      </c>
      <c r="N122" t="n">
        <v>0</v>
      </c>
      <c r="O122" t="n">
        <v>2</v>
      </c>
      <c r="P122" t="n">
        <v>0</v>
      </c>
      <c r="Q122" t="n">
        <v>4</v>
      </c>
      <c r="R122" s="2" t="inlineStr">
        <is>
          <t>Backtimjan
Solvända
Svavelriska
Nattviol</t>
        </is>
      </c>
      <c r="S122">
        <f>HYPERLINK("https://klasma.github.io/Logging_0980/artfynd/A 46969-2023 artfynd.xlsx", "A 46969-2023")</f>
        <v/>
      </c>
      <c r="T122">
        <f>HYPERLINK("https://klasma.github.io/Logging_0980/kartor/A 46969-2023 karta.png", "A 46969-2023")</f>
        <v/>
      </c>
      <c r="V122">
        <f>HYPERLINK("https://klasma.github.io/Logging_0980/klagomål/A 46969-2023 FSC-klagomål.docx", "A 46969-2023")</f>
        <v/>
      </c>
      <c r="W122">
        <f>HYPERLINK("https://klasma.github.io/Logging_0980/klagomålsmail/A 46969-2023 FSC-klagomål mail.docx", "A 46969-2023")</f>
        <v/>
      </c>
      <c r="X122">
        <f>HYPERLINK("https://klasma.github.io/Logging_0980/tillsyn/A 46969-2023 tillsynsbegäran.docx", "A 46969-2023")</f>
        <v/>
      </c>
      <c r="Y122">
        <f>HYPERLINK("https://klasma.github.io/Logging_0980/tillsynsmail/A 46969-2023 tillsynsbegäran mail.docx", "A 46969-2023")</f>
        <v/>
      </c>
    </row>
    <row r="123" ht="15" customHeight="1">
      <c r="A123" t="inlineStr">
        <is>
          <t>A 45682-2023</t>
        </is>
      </c>
      <c r="B123" s="1" t="n">
        <v>45195</v>
      </c>
      <c r="C123" s="1" t="n">
        <v>45828</v>
      </c>
      <c r="D123" t="inlineStr">
        <is>
          <t>GOTLANDS LÄN</t>
        </is>
      </c>
      <c r="E123" t="inlineStr">
        <is>
          <t>GOTLAND</t>
        </is>
      </c>
      <c r="G123" t="n">
        <v>13.9</v>
      </c>
      <c r="H123" t="n">
        <v>2</v>
      </c>
      <c r="I123" t="n">
        <v>2</v>
      </c>
      <c r="J123" t="n">
        <v>1</v>
      </c>
      <c r="K123" t="n">
        <v>0</v>
      </c>
      <c r="L123" t="n">
        <v>0</v>
      </c>
      <c r="M123" t="n">
        <v>0</v>
      </c>
      <c r="N123" t="n">
        <v>0</v>
      </c>
      <c r="O123" t="n">
        <v>1</v>
      </c>
      <c r="P123" t="n">
        <v>0</v>
      </c>
      <c r="Q123" t="n">
        <v>4</v>
      </c>
      <c r="R123" s="2" t="inlineStr">
        <is>
          <t>Loppstarr
Flugblomster
Kalktallört
Dactylorhiza incarnata subsp. incarnata</t>
        </is>
      </c>
      <c r="S123">
        <f>HYPERLINK("https://klasma.github.io/Logging_0980/artfynd/A 45682-2023 artfynd.xlsx", "A 45682-2023")</f>
        <v/>
      </c>
      <c r="T123">
        <f>HYPERLINK("https://klasma.github.io/Logging_0980/kartor/A 45682-2023 karta.png", "A 45682-2023")</f>
        <v/>
      </c>
      <c r="V123">
        <f>HYPERLINK("https://klasma.github.io/Logging_0980/klagomål/A 45682-2023 FSC-klagomål.docx", "A 45682-2023")</f>
        <v/>
      </c>
      <c r="W123">
        <f>HYPERLINK("https://klasma.github.io/Logging_0980/klagomålsmail/A 45682-2023 FSC-klagomål mail.docx", "A 45682-2023")</f>
        <v/>
      </c>
      <c r="X123">
        <f>HYPERLINK("https://klasma.github.io/Logging_0980/tillsyn/A 45682-2023 tillsynsbegäran.docx", "A 45682-2023")</f>
        <v/>
      </c>
      <c r="Y123">
        <f>HYPERLINK("https://klasma.github.io/Logging_0980/tillsynsmail/A 45682-2023 tillsynsbegäran mail.docx", "A 45682-2023")</f>
        <v/>
      </c>
    </row>
    <row r="124" ht="15" customHeight="1">
      <c r="A124" t="inlineStr">
        <is>
          <t>A 54523-2023</t>
        </is>
      </c>
      <c r="B124" s="1" t="n">
        <v>45233</v>
      </c>
      <c r="C124" s="1" t="n">
        <v>45828</v>
      </c>
      <c r="D124" t="inlineStr">
        <is>
          <t>GOTLANDS LÄN</t>
        </is>
      </c>
      <c r="E124" t="inlineStr">
        <is>
          <t>GOTLAND</t>
        </is>
      </c>
      <c r="G124" t="n">
        <v>3.7</v>
      </c>
      <c r="H124" t="n">
        <v>2</v>
      </c>
      <c r="I124" t="n">
        <v>0</v>
      </c>
      <c r="J124" t="n">
        <v>1</v>
      </c>
      <c r="K124" t="n">
        <v>1</v>
      </c>
      <c r="L124" t="n">
        <v>0</v>
      </c>
      <c r="M124" t="n">
        <v>0</v>
      </c>
      <c r="N124" t="n">
        <v>0</v>
      </c>
      <c r="O124" t="n">
        <v>2</v>
      </c>
      <c r="P124" t="n">
        <v>1</v>
      </c>
      <c r="Q124" t="n">
        <v>4</v>
      </c>
      <c r="R124" s="2" t="inlineStr">
        <is>
          <t>Sommarklynne
Åkerkulla
Brudsporre
Kärrknipprot</t>
        </is>
      </c>
      <c r="S124">
        <f>HYPERLINK("https://klasma.github.io/Logging_0980/artfynd/A 54523-2023 artfynd.xlsx", "A 54523-2023")</f>
        <v/>
      </c>
      <c r="T124">
        <f>HYPERLINK("https://klasma.github.io/Logging_0980/kartor/A 54523-2023 karta.png", "A 54523-2023")</f>
        <v/>
      </c>
      <c r="V124">
        <f>HYPERLINK("https://klasma.github.io/Logging_0980/klagomål/A 54523-2023 FSC-klagomål.docx", "A 54523-2023")</f>
        <v/>
      </c>
      <c r="W124">
        <f>HYPERLINK("https://klasma.github.io/Logging_0980/klagomålsmail/A 54523-2023 FSC-klagomål mail.docx", "A 54523-2023")</f>
        <v/>
      </c>
      <c r="X124">
        <f>HYPERLINK("https://klasma.github.io/Logging_0980/tillsyn/A 54523-2023 tillsynsbegäran.docx", "A 54523-2023")</f>
        <v/>
      </c>
      <c r="Y124">
        <f>HYPERLINK("https://klasma.github.io/Logging_0980/tillsynsmail/A 54523-2023 tillsynsbegäran mail.docx", "A 54523-2023")</f>
        <v/>
      </c>
    </row>
    <row r="125" ht="15" customHeight="1">
      <c r="A125" t="inlineStr">
        <is>
          <t>A 5904-2024</t>
        </is>
      </c>
      <c r="B125" s="1" t="n">
        <v>45335</v>
      </c>
      <c r="C125" s="1" t="n">
        <v>45828</v>
      </c>
      <c r="D125" t="inlineStr">
        <is>
          <t>GOTLANDS LÄN</t>
        </is>
      </c>
      <c r="E125" t="inlineStr">
        <is>
          <t>GOTLAND</t>
        </is>
      </c>
      <c r="G125" t="n">
        <v>6.4</v>
      </c>
      <c r="H125" t="n">
        <v>1</v>
      </c>
      <c r="I125" t="n">
        <v>2</v>
      </c>
      <c r="J125" t="n">
        <v>1</v>
      </c>
      <c r="K125" t="n">
        <v>0</v>
      </c>
      <c r="L125" t="n">
        <v>0</v>
      </c>
      <c r="M125" t="n">
        <v>0</v>
      </c>
      <c r="N125" t="n">
        <v>0</v>
      </c>
      <c r="O125" t="n">
        <v>1</v>
      </c>
      <c r="P125" t="n">
        <v>0</v>
      </c>
      <c r="Q125" t="n">
        <v>4</v>
      </c>
      <c r="R125" s="2" t="inlineStr">
        <is>
          <t>Backstarr
Blåmossa
Kattfotslav
Sankt pers nycklar</t>
        </is>
      </c>
      <c r="S125">
        <f>HYPERLINK("https://klasma.github.io/Logging_0980/artfynd/A 5904-2024 artfynd.xlsx", "A 5904-2024")</f>
        <v/>
      </c>
      <c r="T125">
        <f>HYPERLINK("https://klasma.github.io/Logging_0980/kartor/A 5904-2024 karta.png", "A 5904-2024")</f>
        <v/>
      </c>
      <c r="V125">
        <f>HYPERLINK("https://klasma.github.io/Logging_0980/klagomål/A 5904-2024 FSC-klagomål.docx", "A 5904-2024")</f>
        <v/>
      </c>
      <c r="W125">
        <f>HYPERLINK("https://klasma.github.io/Logging_0980/klagomålsmail/A 5904-2024 FSC-klagomål mail.docx", "A 5904-2024")</f>
        <v/>
      </c>
      <c r="X125">
        <f>HYPERLINK("https://klasma.github.io/Logging_0980/tillsyn/A 5904-2024 tillsynsbegäran.docx", "A 5904-2024")</f>
        <v/>
      </c>
      <c r="Y125">
        <f>HYPERLINK("https://klasma.github.io/Logging_0980/tillsynsmail/A 5904-2024 tillsynsbegäran mail.docx", "A 5904-2024")</f>
        <v/>
      </c>
    </row>
    <row r="126" ht="15" customHeight="1">
      <c r="A126" t="inlineStr">
        <is>
          <t>A 14354-2024</t>
        </is>
      </c>
      <c r="B126" s="1" t="n">
        <v>45393</v>
      </c>
      <c r="C126" s="1" t="n">
        <v>45828</v>
      </c>
      <c r="D126" t="inlineStr">
        <is>
          <t>GOTLANDS LÄN</t>
        </is>
      </c>
      <c r="E126" t="inlineStr">
        <is>
          <t>GOTLAND</t>
        </is>
      </c>
      <c r="G126" t="n">
        <v>2.4</v>
      </c>
      <c r="H126" t="n">
        <v>1</v>
      </c>
      <c r="I126" t="n">
        <v>0</v>
      </c>
      <c r="J126" t="n">
        <v>4</v>
      </c>
      <c r="K126" t="n">
        <v>0</v>
      </c>
      <c r="L126" t="n">
        <v>0</v>
      </c>
      <c r="M126" t="n">
        <v>0</v>
      </c>
      <c r="N126" t="n">
        <v>0</v>
      </c>
      <c r="O126" t="n">
        <v>4</v>
      </c>
      <c r="P126" t="n">
        <v>0</v>
      </c>
      <c r="Q126" t="n">
        <v>4</v>
      </c>
      <c r="R126" s="2" t="inlineStr">
        <is>
          <t>Dårgräsfjäril
Smedbock
Svinrot
Ängsskära</t>
        </is>
      </c>
      <c r="S126">
        <f>HYPERLINK("https://klasma.github.io/Logging_0980/artfynd/A 14354-2024 artfynd.xlsx", "A 14354-2024")</f>
        <v/>
      </c>
      <c r="T126">
        <f>HYPERLINK("https://klasma.github.io/Logging_0980/kartor/A 14354-2024 karta.png", "A 14354-2024")</f>
        <v/>
      </c>
      <c r="V126">
        <f>HYPERLINK("https://klasma.github.io/Logging_0980/klagomål/A 14354-2024 FSC-klagomål.docx", "A 14354-2024")</f>
        <v/>
      </c>
      <c r="W126">
        <f>HYPERLINK("https://klasma.github.io/Logging_0980/klagomålsmail/A 14354-2024 FSC-klagomål mail.docx", "A 14354-2024")</f>
        <v/>
      </c>
      <c r="X126">
        <f>HYPERLINK("https://klasma.github.io/Logging_0980/tillsyn/A 14354-2024 tillsynsbegäran.docx", "A 14354-2024")</f>
        <v/>
      </c>
      <c r="Y126">
        <f>HYPERLINK("https://klasma.github.io/Logging_0980/tillsynsmail/A 14354-2024 tillsynsbegäran mail.docx", "A 14354-2024")</f>
        <v/>
      </c>
    </row>
    <row r="127" ht="15" customHeight="1">
      <c r="A127" t="inlineStr">
        <is>
          <t>A 25768-2024</t>
        </is>
      </c>
      <c r="B127" s="1" t="n">
        <v>45466</v>
      </c>
      <c r="C127" s="1" t="n">
        <v>45828</v>
      </c>
      <c r="D127" t="inlineStr">
        <is>
          <t>GOTLANDS LÄN</t>
        </is>
      </c>
      <c r="E127" t="inlineStr">
        <is>
          <t>GOTLAND</t>
        </is>
      </c>
      <c r="G127" t="n">
        <v>4.6</v>
      </c>
      <c r="H127" t="n">
        <v>4</v>
      </c>
      <c r="I127" t="n">
        <v>2</v>
      </c>
      <c r="J127" t="n">
        <v>0</v>
      </c>
      <c r="K127" t="n">
        <v>0</v>
      </c>
      <c r="L127" t="n">
        <v>0</v>
      </c>
      <c r="M127" t="n">
        <v>0</v>
      </c>
      <c r="N127" t="n">
        <v>0</v>
      </c>
      <c r="O127" t="n">
        <v>0</v>
      </c>
      <c r="P127" t="n">
        <v>0</v>
      </c>
      <c r="Q127" t="n">
        <v>4</v>
      </c>
      <c r="R127" s="2" t="inlineStr">
        <is>
          <t>Nästrot
Tvåblad
Fläcknycklar
Nattviol</t>
        </is>
      </c>
      <c r="S127">
        <f>HYPERLINK("https://klasma.github.io/Logging_0980/artfynd/A 25768-2024 artfynd.xlsx", "A 25768-2024")</f>
        <v/>
      </c>
      <c r="T127">
        <f>HYPERLINK("https://klasma.github.io/Logging_0980/kartor/A 25768-2024 karta.png", "A 25768-2024")</f>
        <v/>
      </c>
      <c r="V127">
        <f>HYPERLINK("https://klasma.github.io/Logging_0980/klagomål/A 25768-2024 FSC-klagomål.docx", "A 25768-2024")</f>
        <v/>
      </c>
      <c r="W127">
        <f>HYPERLINK("https://klasma.github.io/Logging_0980/klagomålsmail/A 25768-2024 FSC-klagomål mail.docx", "A 25768-2024")</f>
        <v/>
      </c>
      <c r="X127">
        <f>HYPERLINK("https://klasma.github.io/Logging_0980/tillsyn/A 25768-2024 tillsynsbegäran.docx", "A 25768-2024")</f>
        <v/>
      </c>
      <c r="Y127">
        <f>HYPERLINK("https://klasma.github.io/Logging_0980/tillsynsmail/A 25768-2024 tillsynsbegäran mail.docx", "A 25768-2024")</f>
        <v/>
      </c>
    </row>
    <row r="128" ht="15" customHeight="1">
      <c r="A128" t="inlineStr">
        <is>
          <t>A 34171-2024</t>
        </is>
      </c>
      <c r="B128" s="1" t="n">
        <v>45524</v>
      </c>
      <c r="C128" s="1" t="n">
        <v>45828</v>
      </c>
      <c r="D128" t="inlineStr">
        <is>
          <t>GOTLANDS LÄN</t>
        </is>
      </c>
      <c r="E128" t="inlineStr">
        <is>
          <t>GOTLAND</t>
        </is>
      </c>
      <c r="G128" t="n">
        <v>6.6</v>
      </c>
      <c r="H128" t="n">
        <v>0</v>
      </c>
      <c r="I128" t="n">
        <v>1</v>
      </c>
      <c r="J128" t="n">
        <v>1</v>
      </c>
      <c r="K128" t="n">
        <v>1</v>
      </c>
      <c r="L128" t="n">
        <v>1</v>
      </c>
      <c r="M128" t="n">
        <v>0</v>
      </c>
      <c r="N128" t="n">
        <v>0</v>
      </c>
      <c r="O128" t="n">
        <v>3</v>
      </c>
      <c r="P128" t="n">
        <v>2</v>
      </c>
      <c r="Q128" t="n">
        <v>4</v>
      </c>
      <c r="R128" s="2" t="inlineStr">
        <is>
          <t>Ädellav
Mörk kraterlav
Orangepudrad klotterlav
Strävlosta</t>
        </is>
      </c>
      <c r="S128">
        <f>HYPERLINK("https://klasma.github.io/Logging_0980/artfynd/A 34171-2024 artfynd.xlsx", "A 34171-2024")</f>
        <v/>
      </c>
      <c r="T128">
        <f>HYPERLINK("https://klasma.github.io/Logging_0980/kartor/A 34171-2024 karta.png", "A 34171-2024")</f>
        <v/>
      </c>
      <c r="V128">
        <f>HYPERLINK("https://klasma.github.io/Logging_0980/klagomål/A 34171-2024 FSC-klagomål.docx", "A 34171-2024")</f>
        <v/>
      </c>
      <c r="W128">
        <f>HYPERLINK("https://klasma.github.io/Logging_0980/klagomålsmail/A 34171-2024 FSC-klagomål mail.docx", "A 34171-2024")</f>
        <v/>
      </c>
      <c r="X128">
        <f>HYPERLINK("https://klasma.github.io/Logging_0980/tillsyn/A 34171-2024 tillsynsbegäran.docx", "A 34171-2024")</f>
        <v/>
      </c>
      <c r="Y128">
        <f>HYPERLINK("https://klasma.github.io/Logging_0980/tillsynsmail/A 34171-2024 tillsynsbegäran mail.docx", "A 34171-2024")</f>
        <v/>
      </c>
    </row>
    <row r="129" ht="15" customHeight="1">
      <c r="A129" t="inlineStr">
        <is>
          <t>A 48025-2024</t>
        </is>
      </c>
      <c r="B129" s="1" t="n">
        <v>45589</v>
      </c>
      <c r="C129" s="1" t="n">
        <v>45828</v>
      </c>
      <c r="D129" t="inlineStr">
        <is>
          <t>GOTLANDS LÄN</t>
        </is>
      </c>
      <c r="E129" t="inlineStr">
        <is>
          <t>GOTLAND</t>
        </is>
      </c>
      <c r="G129" t="n">
        <v>7.8</v>
      </c>
      <c r="H129" t="n">
        <v>0</v>
      </c>
      <c r="I129" t="n">
        <v>1</v>
      </c>
      <c r="J129" t="n">
        <v>0</v>
      </c>
      <c r="K129" t="n">
        <v>2</v>
      </c>
      <c r="L129" t="n">
        <v>1</v>
      </c>
      <c r="M129" t="n">
        <v>0</v>
      </c>
      <c r="N129" t="n">
        <v>0</v>
      </c>
      <c r="O129" t="n">
        <v>3</v>
      </c>
      <c r="P129" t="n">
        <v>3</v>
      </c>
      <c r="Q129" t="n">
        <v>4</v>
      </c>
      <c r="R129" s="2" t="inlineStr">
        <is>
          <t>Ädellav
Mörk kraterlav
Violettfläckig spindling
Kattfotslav</t>
        </is>
      </c>
      <c r="S129">
        <f>HYPERLINK("https://klasma.github.io/Logging_0980/artfynd/A 48025-2024 artfynd.xlsx", "A 48025-2024")</f>
        <v/>
      </c>
      <c r="T129">
        <f>HYPERLINK("https://klasma.github.io/Logging_0980/kartor/A 48025-2024 karta.png", "A 48025-2024")</f>
        <v/>
      </c>
      <c r="V129">
        <f>HYPERLINK("https://klasma.github.io/Logging_0980/klagomål/A 48025-2024 FSC-klagomål.docx", "A 48025-2024")</f>
        <v/>
      </c>
      <c r="W129">
        <f>HYPERLINK("https://klasma.github.io/Logging_0980/klagomålsmail/A 48025-2024 FSC-klagomål mail.docx", "A 48025-2024")</f>
        <v/>
      </c>
      <c r="X129">
        <f>HYPERLINK("https://klasma.github.io/Logging_0980/tillsyn/A 48025-2024 tillsynsbegäran.docx", "A 48025-2024")</f>
        <v/>
      </c>
      <c r="Y129">
        <f>HYPERLINK("https://klasma.github.io/Logging_0980/tillsynsmail/A 48025-2024 tillsynsbegäran mail.docx", "A 48025-2024")</f>
        <v/>
      </c>
    </row>
    <row r="130" ht="15" customHeight="1">
      <c r="A130" t="inlineStr">
        <is>
          <t>A 56717-2024</t>
        </is>
      </c>
      <c r="B130" s="1" t="n">
        <v>45628</v>
      </c>
      <c r="C130" s="1" t="n">
        <v>45828</v>
      </c>
      <c r="D130" t="inlineStr">
        <is>
          <t>GOTLANDS LÄN</t>
        </is>
      </c>
      <c r="E130" t="inlineStr">
        <is>
          <t>GOTLAND</t>
        </is>
      </c>
      <c r="G130" t="n">
        <v>9.699999999999999</v>
      </c>
      <c r="H130" t="n">
        <v>0</v>
      </c>
      <c r="I130" t="n">
        <v>2</v>
      </c>
      <c r="J130" t="n">
        <v>2</v>
      </c>
      <c r="K130" t="n">
        <v>0</v>
      </c>
      <c r="L130" t="n">
        <v>0</v>
      </c>
      <c r="M130" t="n">
        <v>0</v>
      </c>
      <c r="N130" t="n">
        <v>0</v>
      </c>
      <c r="O130" t="n">
        <v>2</v>
      </c>
      <c r="P130" t="n">
        <v>0</v>
      </c>
      <c r="Q130" t="n">
        <v>4</v>
      </c>
      <c r="R130" s="2" t="inlineStr">
        <is>
          <t>Ekvaxskivling
Odörspindling
Fjällig taggsvamp s.str.
Kattfotslav</t>
        </is>
      </c>
      <c r="S130">
        <f>HYPERLINK("https://klasma.github.io/Logging_0980/artfynd/A 56717-2024 artfynd.xlsx", "A 56717-2024")</f>
        <v/>
      </c>
      <c r="T130">
        <f>HYPERLINK("https://klasma.github.io/Logging_0980/kartor/A 56717-2024 karta.png", "A 56717-2024")</f>
        <v/>
      </c>
      <c r="V130">
        <f>HYPERLINK("https://klasma.github.io/Logging_0980/klagomål/A 56717-2024 FSC-klagomål.docx", "A 56717-2024")</f>
        <v/>
      </c>
      <c r="W130">
        <f>HYPERLINK("https://klasma.github.io/Logging_0980/klagomålsmail/A 56717-2024 FSC-klagomål mail.docx", "A 56717-2024")</f>
        <v/>
      </c>
      <c r="X130">
        <f>HYPERLINK("https://klasma.github.io/Logging_0980/tillsyn/A 56717-2024 tillsynsbegäran.docx", "A 56717-2024")</f>
        <v/>
      </c>
      <c r="Y130">
        <f>HYPERLINK("https://klasma.github.io/Logging_0980/tillsynsmail/A 56717-2024 tillsynsbegäran mail.docx", "A 56717-2024")</f>
        <v/>
      </c>
    </row>
    <row r="131" ht="15" customHeight="1">
      <c r="A131" t="inlineStr">
        <is>
          <t>A 58191-2024</t>
        </is>
      </c>
      <c r="B131" s="1" t="n">
        <v>45632</v>
      </c>
      <c r="C131" s="1" t="n">
        <v>45828</v>
      </c>
      <c r="D131" t="inlineStr">
        <is>
          <t>GOTLANDS LÄN</t>
        </is>
      </c>
      <c r="E131" t="inlineStr">
        <is>
          <t>GOTLAND</t>
        </is>
      </c>
      <c r="G131" t="n">
        <v>14.2</v>
      </c>
      <c r="H131" t="n">
        <v>3</v>
      </c>
      <c r="I131" t="n">
        <v>0</v>
      </c>
      <c r="J131" t="n">
        <v>4</v>
      </c>
      <c r="K131" t="n">
        <v>0</v>
      </c>
      <c r="L131" t="n">
        <v>0</v>
      </c>
      <c r="M131" t="n">
        <v>0</v>
      </c>
      <c r="N131" t="n">
        <v>0</v>
      </c>
      <c r="O131" t="n">
        <v>4</v>
      </c>
      <c r="P131" t="n">
        <v>0</v>
      </c>
      <c r="Q131" t="n">
        <v>4</v>
      </c>
      <c r="R131" s="2" t="inlineStr">
        <is>
          <t>Björktrast
Crepis tectorum subsp. tectorum
Duvhök
Spillkråka</t>
        </is>
      </c>
      <c r="S131">
        <f>HYPERLINK("https://klasma.github.io/Logging_0980/artfynd/A 58191-2024 artfynd.xlsx", "A 58191-2024")</f>
        <v/>
      </c>
      <c r="T131">
        <f>HYPERLINK("https://klasma.github.io/Logging_0980/kartor/A 58191-2024 karta.png", "A 58191-2024")</f>
        <v/>
      </c>
      <c r="V131">
        <f>HYPERLINK("https://klasma.github.io/Logging_0980/klagomål/A 58191-2024 FSC-klagomål.docx", "A 58191-2024")</f>
        <v/>
      </c>
      <c r="W131">
        <f>HYPERLINK("https://klasma.github.io/Logging_0980/klagomålsmail/A 58191-2024 FSC-klagomål mail.docx", "A 58191-2024")</f>
        <v/>
      </c>
      <c r="X131">
        <f>HYPERLINK("https://klasma.github.io/Logging_0980/tillsyn/A 58191-2024 tillsynsbegäran.docx", "A 58191-2024")</f>
        <v/>
      </c>
      <c r="Y131">
        <f>HYPERLINK("https://klasma.github.io/Logging_0980/tillsynsmail/A 58191-2024 tillsynsbegäran mail.docx", "A 58191-2024")</f>
        <v/>
      </c>
      <c r="Z131">
        <f>HYPERLINK("https://klasma.github.io/Logging_0980/fåglar/A 58191-2024 prioriterade fågelarter.docx", "A 58191-2024")</f>
        <v/>
      </c>
    </row>
    <row r="132" ht="15" customHeight="1">
      <c r="A132" t="inlineStr">
        <is>
          <t>A 2485-2025</t>
        </is>
      </c>
      <c r="B132" s="1" t="n">
        <v>45673</v>
      </c>
      <c r="C132" s="1" t="n">
        <v>45828</v>
      </c>
      <c r="D132" t="inlineStr">
        <is>
          <t>GOTLANDS LÄN</t>
        </is>
      </c>
      <c r="E132" t="inlineStr">
        <is>
          <t>GOTLAND</t>
        </is>
      </c>
      <c r="G132" t="n">
        <v>5</v>
      </c>
      <c r="H132" t="n">
        <v>2</v>
      </c>
      <c r="I132" t="n">
        <v>2</v>
      </c>
      <c r="J132" t="n">
        <v>0</v>
      </c>
      <c r="K132" t="n">
        <v>2</v>
      </c>
      <c r="L132" t="n">
        <v>0</v>
      </c>
      <c r="M132" t="n">
        <v>0</v>
      </c>
      <c r="N132" t="n">
        <v>0</v>
      </c>
      <c r="O132" t="n">
        <v>2</v>
      </c>
      <c r="P132" t="n">
        <v>2</v>
      </c>
      <c r="Q132" t="n">
        <v>4</v>
      </c>
      <c r="R132" s="2" t="inlineStr">
        <is>
          <t>Gotlandsmåra
Skogskorn
Nästrot
Skogsknipprot</t>
        </is>
      </c>
      <c r="S132">
        <f>HYPERLINK("https://klasma.github.io/Logging_0980/artfynd/A 2485-2025 artfynd.xlsx", "A 2485-2025")</f>
        <v/>
      </c>
      <c r="T132">
        <f>HYPERLINK("https://klasma.github.io/Logging_0980/kartor/A 2485-2025 karta.png", "A 2485-2025")</f>
        <v/>
      </c>
      <c r="V132">
        <f>HYPERLINK("https://klasma.github.io/Logging_0980/klagomål/A 2485-2025 FSC-klagomål.docx", "A 2485-2025")</f>
        <v/>
      </c>
      <c r="W132">
        <f>HYPERLINK("https://klasma.github.io/Logging_0980/klagomålsmail/A 2485-2025 FSC-klagomål mail.docx", "A 2485-2025")</f>
        <v/>
      </c>
      <c r="X132">
        <f>HYPERLINK("https://klasma.github.io/Logging_0980/tillsyn/A 2485-2025 tillsynsbegäran.docx", "A 2485-2025")</f>
        <v/>
      </c>
      <c r="Y132">
        <f>HYPERLINK("https://klasma.github.io/Logging_0980/tillsynsmail/A 2485-2025 tillsynsbegäran mail.docx", "A 2485-2025")</f>
        <v/>
      </c>
    </row>
    <row r="133" ht="15" customHeight="1">
      <c r="A133" t="inlineStr">
        <is>
          <t>A 60700-2019</t>
        </is>
      </c>
      <c r="B133" s="1" t="n">
        <v>43781</v>
      </c>
      <c r="C133" s="1" t="n">
        <v>45828</v>
      </c>
      <c r="D133" t="inlineStr">
        <is>
          <t>GOTLANDS LÄN</t>
        </is>
      </c>
      <c r="E133" t="inlineStr">
        <is>
          <t>GOTLAND</t>
        </is>
      </c>
      <c r="G133" t="n">
        <v>4.3</v>
      </c>
      <c r="H133" t="n">
        <v>0</v>
      </c>
      <c r="I133" t="n">
        <v>2</v>
      </c>
      <c r="J133" t="n">
        <v>1</v>
      </c>
      <c r="K133" t="n">
        <v>0</v>
      </c>
      <c r="L133" t="n">
        <v>0</v>
      </c>
      <c r="M133" t="n">
        <v>0</v>
      </c>
      <c r="N133" t="n">
        <v>0</v>
      </c>
      <c r="O133" t="n">
        <v>1</v>
      </c>
      <c r="P133" t="n">
        <v>0</v>
      </c>
      <c r="Q133" t="n">
        <v>3</v>
      </c>
      <c r="R133" s="2" t="inlineStr">
        <is>
          <t>Tallticka
Blåmossa
Kattfotslav</t>
        </is>
      </c>
      <c r="S133">
        <f>HYPERLINK("https://klasma.github.io/Logging_0980/artfynd/A 60700-2019 artfynd.xlsx", "A 60700-2019")</f>
        <v/>
      </c>
      <c r="T133">
        <f>HYPERLINK("https://klasma.github.io/Logging_0980/kartor/A 60700-2019 karta.png", "A 60700-2019")</f>
        <v/>
      </c>
      <c r="V133">
        <f>HYPERLINK("https://klasma.github.io/Logging_0980/klagomål/A 60700-2019 FSC-klagomål.docx", "A 60700-2019")</f>
        <v/>
      </c>
      <c r="W133">
        <f>HYPERLINK("https://klasma.github.io/Logging_0980/klagomålsmail/A 60700-2019 FSC-klagomål mail.docx", "A 60700-2019")</f>
        <v/>
      </c>
      <c r="X133">
        <f>HYPERLINK("https://klasma.github.io/Logging_0980/tillsyn/A 60700-2019 tillsynsbegäran.docx", "A 60700-2019")</f>
        <v/>
      </c>
      <c r="Y133">
        <f>HYPERLINK("https://klasma.github.io/Logging_0980/tillsynsmail/A 60700-2019 tillsynsbegäran mail.docx", "A 60700-2019")</f>
        <v/>
      </c>
    </row>
    <row r="134" ht="15" customHeight="1">
      <c r="A134" t="inlineStr">
        <is>
          <t>A 66053-2019</t>
        </is>
      </c>
      <c r="B134" s="1" t="n">
        <v>43806</v>
      </c>
      <c r="C134" s="1" t="n">
        <v>45828</v>
      </c>
      <c r="D134" t="inlineStr">
        <is>
          <t>GOTLANDS LÄN</t>
        </is>
      </c>
      <c r="E134" t="inlineStr">
        <is>
          <t>GOTLAND</t>
        </is>
      </c>
      <c r="G134" t="n">
        <v>58.6</v>
      </c>
      <c r="H134" t="n">
        <v>2</v>
      </c>
      <c r="I134" t="n">
        <v>0</v>
      </c>
      <c r="J134" t="n">
        <v>1</v>
      </c>
      <c r="K134" t="n">
        <v>2</v>
      </c>
      <c r="L134" t="n">
        <v>0</v>
      </c>
      <c r="M134" t="n">
        <v>0</v>
      </c>
      <c r="N134" t="n">
        <v>0</v>
      </c>
      <c r="O134" t="n">
        <v>3</v>
      </c>
      <c r="P134" t="n">
        <v>2</v>
      </c>
      <c r="Q134" t="n">
        <v>3</v>
      </c>
      <c r="R134" s="2" t="inlineStr">
        <is>
          <t>Falsk guldskivlav
Garderönn
Apollofjäril</t>
        </is>
      </c>
      <c r="S134">
        <f>HYPERLINK("https://klasma.github.io/Logging_0980/artfynd/A 66053-2019 artfynd.xlsx", "A 66053-2019")</f>
        <v/>
      </c>
      <c r="T134">
        <f>HYPERLINK("https://klasma.github.io/Logging_0980/kartor/A 66053-2019 karta.png", "A 66053-2019")</f>
        <v/>
      </c>
      <c r="V134">
        <f>HYPERLINK("https://klasma.github.io/Logging_0980/klagomål/A 66053-2019 FSC-klagomål.docx", "A 66053-2019")</f>
        <v/>
      </c>
      <c r="W134">
        <f>HYPERLINK("https://klasma.github.io/Logging_0980/klagomålsmail/A 66053-2019 FSC-klagomål mail.docx", "A 66053-2019")</f>
        <v/>
      </c>
      <c r="X134">
        <f>HYPERLINK("https://klasma.github.io/Logging_0980/tillsyn/A 66053-2019 tillsynsbegäran.docx", "A 66053-2019")</f>
        <v/>
      </c>
      <c r="Y134">
        <f>HYPERLINK("https://klasma.github.io/Logging_0980/tillsynsmail/A 66053-2019 tillsynsbegäran mail.docx", "A 66053-2019")</f>
        <v/>
      </c>
    </row>
    <row r="135" ht="15" customHeight="1">
      <c r="A135" t="inlineStr">
        <is>
          <t>A 2536-2020</t>
        </is>
      </c>
      <c r="B135" s="1" t="n">
        <v>43847</v>
      </c>
      <c r="C135" s="1" t="n">
        <v>45828</v>
      </c>
      <c r="D135" t="inlineStr">
        <is>
          <t>GOTLANDS LÄN</t>
        </is>
      </c>
      <c r="E135" t="inlineStr">
        <is>
          <t>GOTLAND</t>
        </is>
      </c>
      <c r="G135" t="n">
        <v>4.2</v>
      </c>
      <c r="H135" t="n">
        <v>1</v>
      </c>
      <c r="I135" t="n">
        <v>0</v>
      </c>
      <c r="J135" t="n">
        <v>2</v>
      </c>
      <c r="K135" t="n">
        <v>0</v>
      </c>
      <c r="L135" t="n">
        <v>0</v>
      </c>
      <c r="M135" t="n">
        <v>0</v>
      </c>
      <c r="N135" t="n">
        <v>0</v>
      </c>
      <c r="O135" t="n">
        <v>2</v>
      </c>
      <c r="P135" t="n">
        <v>0</v>
      </c>
      <c r="Q135" t="n">
        <v>3</v>
      </c>
      <c r="R135" s="2" t="inlineStr">
        <is>
          <t>Backklöver
Svinrot
Blåsippa</t>
        </is>
      </c>
      <c r="S135">
        <f>HYPERLINK("https://klasma.github.io/Logging_0980/artfynd/A 2536-2020 artfynd.xlsx", "A 2536-2020")</f>
        <v/>
      </c>
      <c r="T135">
        <f>HYPERLINK("https://klasma.github.io/Logging_0980/kartor/A 2536-2020 karta.png", "A 2536-2020")</f>
        <v/>
      </c>
      <c r="V135">
        <f>HYPERLINK("https://klasma.github.io/Logging_0980/klagomål/A 2536-2020 FSC-klagomål.docx", "A 2536-2020")</f>
        <v/>
      </c>
      <c r="W135">
        <f>HYPERLINK("https://klasma.github.io/Logging_0980/klagomålsmail/A 2536-2020 FSC-klagomål mail.docx", "A 2536-2020")</f>
        <v/>
      </c>
      <c r="X135">
        <f>HYPERLINK("https://klasma.github.io/Logging_0980/tillsyn/A 2536-2020 tillsynsbegäran.docx", "A 2536-2020")</f>
        <v/>
      </c>
      <c r="Y135">
        <f>HYPERLINK("https://klasma.github.io/Logging_0980/tillsynsmail/A 2536-2020 tillsynsbegäran mail.docx", "A 2536-2020")</f>
        <v/>
      </c>
    </row>
    <row r="136" ht="15" customHeight="1">
      <c r="A136" t="inlineStr">
        <is>
          <t>A 3218-2020</t>
        </is>
      </c>
      <c r="B136" s="1" t="n">
        <v>43851</v>
      </c>
      <c r="C136" s="1" t="n">
        <v>45828</v>
      </c>
      <c r="D136" t="inlineStr">
        <is>
          <t>GOTLANDS LÄN</t>
        </is>
      </c>
      <c r="E136" t="inlineStr">
        <is>
          <t>GOTLAND</t>
        </is>
      </c>
      <c r="G136" t="n">
        <v>7.8</v>
      </c>
      <c r="H136" t="n">
        <v>3</v>
      </c>
      <c r="I136" t="n">
        <v>0</v>
      </c>
      <c r="J136" t="n">
        <v>0</v>
      </c>
      <c r="K136" t="n">
        <v>0</v>
      </c>
      <c r="L136" t="n">
        <v>0</v>
      </c>
      <c r="M136" t="n">
        <v>0</v>
      </c>
      <c r="N136" t="n">
        <v>0</v>
      </c>
      <c r="O136" t="n">
        <v>0</v>
      </c>
      <c r="P136" t="n">
        <v>0</v>
      </c>
      <c r="Q136" t="n">
        <v>3</v>
      </c>
      <c r="R136" s="2" t="inlineStr">
        <is>
          <t>Åkergroda
Mindre vattensalamander
Vanlig padda</t>
        </is>
      </c>
      <c r="S136">
        <f>HYPERLINK("https://klasma.github.io/Logging_0980/artfynd/A 3218-2020 artfynd.xlsx", "A 3218-2020")</f>
        <v/>
      </c>
      <c r="T136">
        <f>HYPERLINK("https://klasma.github.io/Logging_0980/kartor/A 3218-2020 karta.png", "A 3218-2020")</f>
        <v/>
      </c>
      <c r="V136">
        <f>HYPERLINK("https://klasma.github.io/Logging_0980/klagomål/A 3218-2020 FSC-klagomål.docx", "A 3218-2020")</f>
        <v/>
      </c>
      <c r="W136">
        <f>HYPERLINK("https://klasma.github.io/Logging_0980/klagomålsmail/A 3218-2020 FSC-klagomål mail.docx", "A 3218-2020")</f>
        <v/>
      </c>
      <c r="X136">
        <f>HYPERLINK("https://klasma.github.io/Logging_0980/tillsyn/A 3218-2020 tillsynsbegäran.docx", "A 3218-2020")</f>
        <v/>
      </c>
      <c r="Y136">
        <f>HYPERLINK("https://klasma.github.io/Logging_0980/tillsynsmail/A 3218-2020 tillsynsbegäran mail.docx", "A 3218-2020")</f>
        <v/>
      </c>
    </row>
    <row r="137" ht="15" customHeight="1">
      <c r="A137" t="inlineStr">
        <is>
          <t>A 7156-2020</t>
        </is>
      </c>
      <c r="B137" s="1" t="n">
        <v>43870</v>
      </c>
      <c r="C137" s="1" t="n">
        <v>45828</v>
      </c>
      <c r="D137" t="inlineStr">
        <is>
          <t>GOTLANDS LÄN</t>
        </is>
      </c>
      <c r="E137" t="inlineStr">
        <is>
          <t>GOTLAND</t>
        </is>
      </c>
      <c r="G137" t="n">
        <v>1.5</v>
      </c>
      <c r="H137" t="n">
        <v>1</v>
      </c>
      <c r="I137" t="n">
        <v>0</v>
      </c>
      <c r="J137" t="n">
        <v>2</v>
      </c>
      <c r="K137" t="n">
        <v>0</v>
      </c>
      <c r="L137" t="n">
        <v>0</v>
      </c>
      <c r="M137" t="n">
        <v>0</v>
      </c>
      <c r="N137" t="n">
        <v>0</v>
      </c>
      <c r="O137" t="n">
        <v>2</v>
      </c>
      <c r="P137" t="n">
        <v>0</v>
      </c>
      <c r="Q137" t="n">
        <v>3</v>
      </c>
      <c r="R137" s="2" t="inlineStr">
        <is>
          <t>Bolmört
Solvända
Sankt pers nycklar</t>
        </is>
      </c>
      <c r="S137">
        <f>HYPERLINK("https://klasma.github.io/Logging_0980/artfynd/A 7156-2020 artfynd.xlsx", "A 7156-2020")</f>
        <v/>
      </c>
      <c r="T137">
        <f>HYPERLINK("https://klasma.github.io/Logging_0980/kartor/A 7156-2020 karta.png", "A 7156-2020")</f>
        <v/>
      </c>
      <c r="V137">
        <f>HYPERLINK("https://klasma.github.io/Logging_0980/klagomål/A 7156-2020 FSC-klagomål.docx", "A 7156-2020")</f>
        <v/>
      </c>
      <c r="W137">
        <f>HYPERLINK("https://klasma.github.io/Logging_0980/klagomålsmail/A 7156-2020 FSC-klagomål mail.docx", "A 7156-2020")</f>
        <v/>
      </c>
      <c r="X137">
        <f>HYPERLINK("https://klasma.github.io/Logging_0980/tillsyn/A 7156-2020 tillsynsbegäran.docx", "A 7156-2020")</f>
        <v/>
      </c>
      <c r="Y137">
        <f>HYPERLINK("https://klasma.github.io/Logging_0980/tillsynsmail/A 7156-2020 tillsynsbegäran mail.docx", "A 7156-2020")</f>
        <v/>
      </c>
    </row>
    <row r="138" ht="15" customHeight="1">
      <c r="A138" t="inlineStr">
        <is>
          <t>A 10707-2020</t>
        </is>
      </c>
      <c r="B138" s="1" t="n">
        <v>43888</v>
      </c>
      <c r="C138" s="1" t="n">
        <v>45828</v>
      </c>
      <c r="D138" t="inlineStr">
        <is>
          <t>GOTLANDS LÄN</t>
        </is>
      </c>
      <c r="E138" t="inlineStr">
        <is>
          <t>GOTLAND</t>
        </is>
      </c>
      <c r="F138" t="inlineStr">
        <is>
          <t>Övriga statliga verk och myndigheter</t>
        </is>
      </c>
      <c r="G138" t="n">
        <v>27.7</v>
      </c>
      <c r="H138" t="n">
        <v>0</v>
      </c>
      <c r="I138" t="n">
        <v>0</v>
      </c>
      <c r="J138" t="n">
        <v>3</v>
      </c>
      <c r="K138" t="n">
        <v>0</v>
      </c>
      <c r="L138" t="n">
        <v>0</v>
      </c>
      <c r="M138" t="n">
        <v>0</v>
      </c>
      <c r="N138" t="n">
        <v>0</v>
      </c>
      <c r="O138" t="n">
        <v>3</v>
      </c>
      <c r="P138" t="n">
        <v>0</v>
      </c>
      <c r="Q138" t="n">
        <v>3</v>
      </c>
      <c r="R138" s="2" t="inlineStr">
        <is>
          <t>Grådådra
Mindre blåvinge
Ängsnätfjäril</t>
        </is>
      </c>
      <c r="S138">
        <f>HYPERLINK("https://klasma.github.io/Logging_0980/artfynd/A 10707-2020 artfynd.xlsx", "A 10707-2020")</f>
        <v/>
      </c>
      <c r="T138">
        <f>HYPERLINK("https://klasma.github.io/Logging_0980/kartor/A 10707-2020 karta.png", "A 10707-2020")</f>
        <v/>
      </c>
      <c r="V138">
        <f>HYPERLINK("https://klasma.github.io/Logging_0980/klagomål/A 10707-2020 FSC-klagomål.docx", "A 10707-2020")</f>
        <v/>
      </c>
      <c r="W138">
        <f>HYPERLINK("https://klasma.github.io/Logging_0980/klagomålsmail/A 10707-2020 FSC-klagomål mail.docx", "A 10707-2020")</f>
        <v/>
      </c>
      <c r="X138">
        <f>HYPERLINK("https://klasma.github.io/Logging_0980/tillsyn/A 10707-2020 tillsynsbegäran.docx", "A 10707-2020")</f>
        <v/>
      </c>
      <c r="Y138">
        <f>HYPERLINK("https://klasma.github.io/Logging_0980/tillsynsmail/A 10707-2020 tillsynsbegäran mail.docx", "A 10707-2020")</f>
        <v/>
      </c>
    </row>
    <row r="139" ht="15" customHeight="1">
      <c r="A139" t="inlineStr">
        <is>
          <t>A 55029-2020</t>
        </is>
      </c>
      <c r="B139" s="1" t="n">
        <v>44130</v>
      </c>
      <c r="C139" s="1" t="n">
        <v>45828</v>
      </c>
      <c r="D139" t="inlineStr">
        <is>
          <t>GOTLANDS LÄN</t>
        </is>
      </c>
      <c r="E139" t="inlineStr">
        <is>
          <t>GOTLAND</t>
        </is>
      </c>
      <c r="G139" t="n">
        <v>6.9</v>
      </c>
      <c r="H139" t="n">
        <v>1</v>
      </c>
      <c r="I139" t="n">
        <v>2</v>
      </c>
      <c r="J139" t="n">
        <v>1</v>
      </c>
      <c r="K139" t="n">
        <v>0</v>
      </c>
      <c r="L139" t="n">
        <v>0</v>
      </c>
      <c r="M139" t="n">
        <v>0</v>
      </c>
      <c r="N139" t="n">
        <v>0</v>
      </c>
      <c r="O139" t="n">
        <v>1</v>
      </c>
      <c r="P139" t="n">
        <v>0</v>
      </c>
      <c r="Q139" t="n">
        <v>3</v>
      </c>
      <c r="R139" s="2" t="inlineStr">
        <is>
          <t>Dårgräsfjäril
Anisspindling
Granbarkgnagare</t>
        </is>
      </c>
      <c r="S139">
        <f>HYPERLINK("https://klasma.github.io/Logging_0980/artfynd/A 55029-2020 artfynd.xlsx", "A 55029-2020")</f>
        <v/>
      </c>
      <c r="T139">
        <f>HYPERLINK("https://klasma.github.io/Logging_0980/kartor/A 55029-2020 karta.png", "A 55029-2020")</f>
        <v/>
      </c>
      <c r="V139">
        <f>HYPERLINK("https://klasma.github.io/Logging_0980/klagomål/A 55029-2020 FSC-klagomål.docx", "A 55029-2020")</f>
        <v/>
      </c>
      <c r="W139">
        <f>HYPERLINK("https://klasma.github.io/Logging_0980/klagomålsmail/A 55029-2020 FSC-klagomål mail.docx", "A 55029-2020")</f>
        <v/>
      </c>
      <c r="X139">
        <f>HYPERLINK("https://klasma.github.io/Logging_0980/tillsyn/A 55029-2020 tillsynsbegäran.docx", "A 55029-2020")</f>
        <v/>
      </c>
      <c r="Y139">
        <f>HYPERLINK("https://klasma.github.io/Logging_0980/tillsynsmail/A 55029-2020 tillsynsbegäran mail.docx", "A 55029-2020")</f>
        <v/>
      </c>
    </row>
    <row r="140" ht="15" customHeight="1">
      <c r="A140" t="inlineStr">
        <is>
          <t>A 62326-2020</t>
        </is>
      </c>
      <c r="B140" s="1" t="n">
        <v>44160</v>
      </c>
      <c r="C140" s="1" t="n">
        <v>45828</v>
      </c>
      <c r="D140" t="inlineStr">
        <is>
          <t>GOTLANDS LÄN</t>
        </is>
      </c>
      <c r="E140" t="inlineStr">
        <is>
          <t>GOTLAND</t>
        </is>
      </c>
      <c r="G140" t="n">
        <v>7.4</v>
      </c>
      <c r="H140" t="n">
        <v>1</v>
      </c>
      <c r="I140" t="n">
        <v>3</v>
      </c>
      <c r="J140" t="n">
        <v>0</v>
      </c>
      <c r="K140" t="n">
        <v>0</v>
      </c>
      <c r="L140" t="n">
        <v>0</v>
      </c>
      <c r="M140" t="n">
        <v>0</v>
      </c>
      <c r="N140" t="n">
        <v>0</v>
      </c>
      <c r="O140" t="n">
        <v>0</v>
      </c>
      <c r="P140" t="n">
        <v>0</v>
      </c>
      <c r="Q140" t="n">
        <v>3</v>
      </c>
      <c r="R140" s="2" t="inlineStr">
        <is>
          <t>Anisspindling
Blåmossa
Skogsknipprot</t>
        </is>
      </c>
      <c r="S140">
        <f>HYPERLINK("https://klasma.github.io/Logging_0980/artfynd/A 62326-2020 artfynd.xlsx", "A 62326-2020")</f>
        <v/>
      </c>
      <c r="T140">
        <f>HYPERLINK("https://klasma.github.io/Logging_0980/kartor/A 62326-2020 karta.png", "A 62326-2020")</f>
        <v/>
      </c>
      <c r="V140">
        <f>HYPERLINK("https://klasma.github.io/Logging_0980/klagomål/A 62326-2020 FSC-klagomål.docx", "A 62326-2020")</f>
        <v/>
      </c>
      <c r="W140">
        <f>HYPERLINK("https://klasma.github.io/Logging_0980/klagomålsmail/A 62326-2020 FSC-klagomål mail.docx", "A 62326-2020")</f>
        <v/>
      </c>
      <c r="X140">
        <f>HYPERLINK("https://klasma.github.io/Logging_0980/tillsyn/A 62326-2020 tillsynsbegäran.docx", "A 62326-2020")</f>
        <v/>
      </c>
      <c r="Y140">
        <f>HYPERLINK("https://klasma.github.io/Logging_0980/tillsynsmail/A 62326-2020 tillsynsbegäran mail.docx", "A 62326-2020")</f>
        <v/>
      </c>
    </row>
    <row r="141" ht="15" customHeight="1">
      <c r="A141" t="inlineStr">
        <is>
          <t>A 2332-2021</t>
        </is>
      </c>
      <c r="B141" s="1" t="n">
        <v>44214</v>
      </c>
      <c r="C141" s="1" t="n">
        <v>45828</v>
      </c>
      <c r="D141" t="inlineStr">
        <is>
          <t>GOTLANDS LÄN</t>
        </is>
      </c>
      <c r="E141" t="inlineStr">
        <is>
          <t>GOTLAND</t>
        </is>
      </c>
      <c r="G141" t="n">
        <v>2.3</v>
      </c>
      <c r="H141" t="n">
        <v>2</v>
      </c>
      <c r="I141" t="n">
        <v>0</v>
      </c>
      <c r="J141" t="n">
        <v>1</v>
      </c>
      <c r="K141" t="n">
        <v>0</v>
      </c>
      <c r="L141" t="n">
        <v>0</v>
      </c>
      <c r="M141" t="n">
        <v>0</v>
      </c>
      <c r="N141" t="n">
        <v>0</v>
      </c>
      <c r="O141" t="n">
        <v>1</v>
      </c>
      <c r="P141" t="n">
        <v>0</v>
      </c>
      <c r="Q141" t="n">
        <v>3</v>
      </c>
      <c r="R141" s="2" t="inlineStr">
        <is>
          <t>Korpnopping
Sankt pers nycklar
Blåsippa</t>
        </is>
      </c>
      <c r="S141">
        <f>HYPERLINK("https://klasma.github.io/Logging_0980/artfynd/A 2332-2021 artfynd.xlsx", "A 2332-2021")</f>
        <v/>
      </c>
      <c r="T141">
        <f>HYPERLINK("https://klasma.github.io/Logging_0980/kartor/A 2332-2021 karta.png", "A 2332-2021")</f>
        <v/>
      </c>
      <c r="V141">
        <f>HYPERLINK("https://klasma.github.io/Logging_0980/klagomål/A 2332-2021 FSC-klagomål.docx", "A 2332-2021")</f>
        <v/>
      </c>
      <c r="W141">
        <f>HYPERLINK("https://klasma.github.io/Logging_0980/klagomålsmail/A 2332-2021 FSC-klagomål mail.docx", "A 2332-2021")</f>
        <v/>
      </c>
      <c r="X141">
        <f>HYPERLINK("https://klasma.github.io/Logging_0980/tillsyn/A 2332-2021 tillsynsbegäran.docx", "A 2332-2021")</f>
        <v/>
      </c>
      <c r="Y141">
        <f>HYPERLINK("https://klasma.github.io/Logging_0980/tillsynsmail/A 2332-2021 tillsynsbegäran mail.docx", "A 2332-2021")</f>
        <v/>
      </c>
    </row>
    <row r="142" ht="15" customHeight="1">
      <c r="A142" t="inlineStr">
        <is>
          <t>A 12519-2021</t>
        </is>
      </c>
      <c r="B142" s="1" t="n">
        <v>44269</v>
      </c>
      <c r="C142" s="1" t="n">
        <v>45828</v>
      </c>
      <c r="D142" t="inlineStr">
        <is>
          <t>GOTLANDS LÄN</t>
        </is>
      </c>
      <c r="E142" t="inlineStr">
        <is>
          <t>GOTLAND</t>
        </is>
      </c>
      <c r="F142" t="inlineStr">
        <is>
          <t>Kyrkan</t>
        </is>
      </c>
      <c r="G142" t="n">
        <v>3.4</v>
      </c>
      <c r="H142" t="n">
        <v>0</v>
      </c>
      <c r="I142" t="n">
        <v>2</v>
      </c>
      <c r="J142" t="n">
        <v>1</v>
      </c>
      <c r="K142" t="n">
        <v>0</v>
      </c>
      <c r="L142" t="n">
        <v>0</v>
      </c>
      <c r="M142" t="n">
        <v>0</v>
      </c>
      <c r="N142" t="n">
        <v>0</v>
      </c>
      <c r="O142" t="n">
        <v>1</v>
      </c>
      <c r="P142" t="n">
        <v>0</v>
      </c>
      <c r="Q142" t="n">
        <v>3</v>
      </c>
      <c r="R142" s="2" t="inlineStr">
        <is>
          <t>Loppstarr
Rödgul trumpetsvamp
Vågbandad barkbock</t>
        </is>
      </c>
      <c r="S142">
        <f>HYPERLINK("https://klasma.github.io/Logging_0980/artfynd/A 12519-2021 artfynd.xlsx", "A 12519-2021")</f>
        <v/>
      </c>
      <c r="T142">
        <f>HYPERLINK("https://klasma.github.io/Logging_0980/kartor/A 12519-2021 karta.png", "A 12519-2021")</f>
        <v/>
      </c>
      <c r="V142">
        <f>HYPERLINK("https://klasma.github.io/Logging_0980/klagomål/A 12519-2021 FSC-klagomål.docx", "A 12519-2021")</f>
        <v/>
      </c>
      <c r="W142">
        <f>HYPERLINK("https://klasma.github.io/Logging_0980/klagomålsmail/A 12519-2021 FSC-klagomål mail.docx", "A 12519-2021")</f>
        <v/>
      </c>
      <c r="X142">
        <f>HYPERLINK("https://klasma.github.io/Logging_0980/tillsyn/A 12519-2021 tillsynsbegäran.docx", "A 12519-2021")</f>
        <v/>
      </c>
      <c r="Y142">
        <f>HYPERLINK("https://klasma.github.io/Logging_0980/tillsynsmail/A 12519-2021 tillsynsbegäran mail.docx", "A 12519-2021")</f>
        <v/>
      </c>
    </row>
    <row r="143" ht="15" customHeight="1">
      <c r="A143" t="inlineStr">
        <is>
          <t>A 32666-2021</t>
        </is>
      </c>
      <c r="B143" s="1" t="n">
        <v>44375</v>
      </c>
      <c r="C143" s="1" t="n">
        <v>45828</v>
      </c>
      <c r="D143" t="inlineStr">
        <is>
          <t>GOTLANDS LÄN</t>
        </is>
      </c>
      <c r="E143" t="inlineStr">
        <is>
          <t>GOTLAND</t>
        </is>
      </c>
      <c r="G143" t="n">
        <v>0.9</v>
      </c>
      <c r="H143" t="n">
        <v>1</v>
      </c>
      <c r="I143" t="n">
        <v>2</v>
      </c>
      <c r="J143" t="n">
        <v>0</v>
      </c>
      <c r="K143" t="n">
        <v>1</v>
      </c>
      <c r="L143" t="n">
        <v>0</v>
      </c>
      <c r="M143" t="n">
        <v>0</v>
      </c>
      <c r="N143" t="n">
        <v>0</v>
      </c>
      <c r="O143" t="n">
        <v>1</v>
      </c>
      <c r="P143" t="n">
        <v>1</v>
      </c>
      <c r="Q143" t="n">
        <v>3</v>
      </c>
      <c r="R143" s="2" t="inlineStr">
        <is>
          <t>Skogskorn
Myskmadra
Vit skogslilja</t>
        </is>
      </c>
      <c r="S143">
        <f>HYPERLINK("https://klasma.github.io/Logging_0980/artfynd/A 32666-2021 artfynd.xlsx", "A 32666-2021")</f>
        <v/>
      </c>
      <c r="T143">
        <f>HYPERLINK("https://klasma.github.io/Logging_0980/kartor/A 32666-2021 karta.png", "A 32666-2021")</f>
        <v/>
      </c>
      <c r="V143">
        <f>HYPERLINK("https://klasma.github.io/Logging_0980/klagomål/A 32666-2021 FSC-klagomål.docx", "A 32666-2021")</f>
        <v/>
      </c>
      <c r="W143">
        <f>HYPERLINK("https://klasma.github.io/Logging_0980/klagomålsmail/A 32666-2021 FSC-klagomål mail.docx", "A 32666-2021")</f>
        <v/>
      </c>
      <c r="X143">
        <f>HYPERLINK("https://klasma.github.io/Logging_0980/tillsyn/A 32666-2021 tillsynsbegäran.docx", "A 32666-2021")</f>
        <v/>
      </c>
      <c r="Y143">
        <f>HYPERLINK("https://klasma.github.io/Logging_0980/tillsynsmail/A 32666-2021 tillsynsbegäran mail.docx", "A 32666-2021")</f>
        <v/>
      </c>
    </row>
    <row r="144" ht="15" customHeight="1">
      <c r="A144" t="inlineStr">
        <is>
          <t>A 32718-2021</t>
        </is>
      </c>
      <c r="B144" s="1" t="n">
        <v>44375</v>
      </c>
      <c r="C144" s="1" t="n">
        <v>45828</v>
      </c>
      <c r="D144" t="inlineStr">
        <is>
          <t>GOTLANDS LÄN</t>
        </is>
      </c>
      <c r="E144" t="inlineStr">
        <is>
          <t>GOTLAND</t>
        </is>
      </c>
      <c r="G144" t="n">
        <v>2.1</v>
      </c>
      <c r="H144" t="n">
        <v>0</v>
      </c>
      <c r="I144" t="n">
        <v>1</v>
      </c>
      <c r="J144" t="n">
        <v>1</v>
      </c>
      <c r="K144" t="n">
        <v>1</v>
      </c>
      <c r="L144" t="n">
        <v>0</v>
      </c>
      <c r="M144" t="n">
        <v>0</v>
      </c>
      <c r="N144" t="n">
        <v>0</v>
      </c>
      <c r="O144" t="n">
        <v>2</v>
      </c>
      <c r="P144" t="n">
        <v>1</v>
      </c>
      <c r="Q144" t="n">
        <v>3</v>
      </c>
      <c r="R144" s="2" t="inlineStr">
        <is>
          <t>Skogskorn
Skugglosta
Strävlosta</t>
        </is>
      </c>
      <c r="S144">
        <f>HYPERLINK("https://klasma.github.io/Logging_0980/artfynd/A 32718-2021 artfynd.xlsx", "A 32718-2021")</f>
        <v/>
      </c>
      <c r="T144">
        <f>HYPERLINK("https://klasma.github.io/Logging_0980/kartor/A 32718-2021 karta.png", "A 32718-2021")</f>
        <v/>
      </c>
      <c r="V144">
        <f>HYPERLINK("https://klasma.github.io/Logging_0980/klagomål/A 32718-2021 FSC-klagomål.docx", "A 32718-2021")</f>
        <v/>
      </c>
      <c r="W144">
        <f>HYPERLINK("https://klasma.github.io/Logging_0980/klagomålsmail/A 32718-2021 FSC-klagomål mail.docx", "A 32718-2021")</f>
        <v/>
      </c>
      <c r="X144">
        <f>HYPERLINK("https://klasma.github.io/Logging_0980/tillsyn/A 32718-2021 tillsynsbegäran.docx", "A 32718-2021")</f>
        <v/>
      </c>
      <c r="Y144">
        <f>HYPERLINK("https://klasma.github.io/Logging_0980/tillsynsmail/A 32718-2021 tillsynsbegäran mail.docx", "A 32718-2021")</f>
        <v/>
      </c>
    </row>
    <row r="145" ht="15" customHeight="1">
      <c r="A145" t="inlineStr">
        <is>
          <t>A 44323-2021</t>
        </is>
      </c>
      <c r="B145" s="1" t="n">
        <v>44434</v>
      </c>
      <c r="C145" s="1" t="n">
        <v>45828</v>
      </c>
      <c r="D145" t="inlineStr">
        <is>
          <t>GOTLANDS LÄN</t>
        </is>
      </c>
      <c r="E145" t="inlineStr">
        <is>
          <t>GOTLAND</t>
        </is>
      </c>
      <c r="G145" t="n">
        <v>7.5</v>
      </c>
      <c r="H145" t="n">
        <v>1</v>
      </c>
      <c r="I145" t="n">
        <v>3</v>
      </c>
      <c r="J145" t="n">
        <v>0</v>
      </c>
      <c r="K145" t="n">
        <v>0</v>
      </c>
      <c r="L145" t="n">
        <v>0</v>
      </c>
      <c r="M145" t="n">
        <v>0</v>
      </c>
      <c r="N145" t="n">
        <v>0</v>
      </c>
      <c r="O145" t="n">
        <v>0</v>
      </c>
      <c r="P145" t="n">
        <v>0</v>
      </c>
      <c r="Q145" t="n">
        <v>3</v>
      </c>
      <c r="R145" s="2" t="inlineStr">
        <is>
          <t>Anisspindling
Barrfagerspindling
Skogsknipprot</t>
        </is>
      </c>
      <c r="S145">
        <f>HYPERLINK("https://klasma.github.io/Logging_0980/artfynd/A 44323-2021 artfynd.xlsx", "A 44323-2021")</f>
        <v/>
      </c>
      <c r="T145">
        <f>HYPERLINK("https://klasma.github.io/Logging_0980/kartor/A 44323-2021 karta.png", "A 44323-2021")</f>
        <v/>
      </c>
      <c r="V145">
        <f>HYPERLINK("https://klasma.github.io/Logging_0980/klagomål/A 44323-2021 FSC-klagomål.docx", "A 44323-2021")</f>
        <v/>
      </c>
      <c r="W145">
        <f>HYPERLINK("https://klasma.github.io/Logging_0980/klagomålsmail/A 44323-2021 FSC-klagomål mail.docx", "A 44323-2021")</f>
        <v/>
      </c>
      <c r="X145">
        <f>HYPERLINK("https://klasma.github.io/Logging_0980/tillsyn/A 44323-2021 tillsynsbegäran.docx", "A 44323-2021")</f>
        <v/>
      </c>
      <c r="Y145">
        <f>HYPERLINK("https://klasma.github.io/Logging_0980/tillsynsmail/A 44323-2021 tillsynsbegäran mail.docx", "A 44323-2021")</f>
        <v/>
      </c>
    </row>
    <row r="146" ht="15" customHeight="1">
      <c r="A146" t="inlineStr">
        <is>
          <t>A 53552-2021</t>
        </is>
      </c>
      <c r="B146" s="1" t="n">
        <v>44468</v>
      </c>
      <c r="C146" s="1" t="n">
        <v>45828</v>
      </c>
      <c r="D146" t="inlineStr">
        <is>
          <t>GOTLANDS LÄN</t>
        </is>
      </c>
      <c r="E146" t="inlineStr">
        <is>
          <t>GOTLAND</t>
        </is>
      </c>
      <c r="G146" t="n">
        <v>6.2</v>
      </c>
      <c r="H146" t="n">
        <v>2</v>
      </c>
      <c r="I146" t="n">
        <v>0</v>
      </c>
      <c r="J146" t="n">
        <v>1</v>
      </c>
      <c r="K146" t="n">
        <v>0</v>
      </c>
      <c r="L146" t="n">
        <v>0</v>
      </c>
      <c r="M146" t="n">
        <v>0</v>
      </c>
      <c r="N146" t="n">
        <v>0</v>
      </c>
      <c r="O146" t="n">
        <v>1</v>
      </c>
      <c r="P146" t="n">
        <v>0</v>
      </c>
      <c r="Q146" t="n">
        <v>3</v>
      </c>
      <c r="R146" s="2" t="inlineStr">
        <is>
          <t>Bredbrämad bastardsvärmare
Grönvit nattviol
Gullviva</t>
        </is>
      </c>
      <c r="S146">
        <f>HYPERLINK("https://klasma.github.io/Logging_0980/artfynd/A 53552-2021 artfynd.xlsx", "A 53552-2021")</f>
        <v/>
      </c>
      <c r="T146">
        <f>HYPERLINK("https://klasma.github.io/Logging_0980/kartor/A 53552-2021 karta.png", "A 53552-2021")</f>
        <v/>
      </c>
      <c r="V146">
        <f>HYPERLINK("https://klasma.github.io/Logging_0980/klagomål/A 53552-2021 FSC-klagomål.docx", "A 53552-2021")</f>
        <v/>
      </c>
      <c r="W146">
        <f>HYPERLINK("https://klasma.github.io/Logging_0980/klagomålsmail/A 53552-2021 FSC-klagomål mail.docx", "A 53552-2021")</f>
        <v/>
      </c>
      <c r="X146">
        <f>HYPERLINK("https://klasma.github.io/Logging_0980/tillsyn/A 53552-2021 tillsynsbegäran.docx", "A 53552-2021")</f>
        <v/>
      </c>
      <c r="Y146">
        <f>HYPERLINK("https://klasma.github.io/Logging_0980/tillsynsmail/A 53552-2021 tillsynsbegäran mail.docx", "A 53552-2021")</f>
        <v/>
      </c>
    </row>
    <row r="147" ht="15" customHeight="1">
      <c r="A147" t="inlineStr">
        <is>
          <t>A 58821-2021</t>
        </is>
      </c>
      <c r="B147" s="1" t="n">
        <v>44489</v>
      </c>
      <c r="C147" s="1" t="n">
        <v>45828</v>
      </c>
      <c r="D147" t="inlineStr">
        <is>
          <t>GOTLANDS LÄN</t>
        </is>
      </c>
      <c r="E147" t="inlineStr">
        <is>
          <t>GOTLAND</t>
        </is>
      </c>
      <c r="G147" t="n">
        <v>2.5</v>
      </c>
      <c r="H147" t="n">
        <v>3</v>
      </c>
      <c r="I147" t="n">
        <v>1</v>
      </c>
      <c r="J147" t="n">
        <v>2</v>
      </c>
      <c r="K147" t="n">
        <v>0</v>
      </c>
      <c r="L147" t="n">
        <v>0</v>
      </c>
      <c r="M147" t="n">
        <v>0</v>
      </c>
      <c r="N147" t="n">
        <v>0</v>
      </c>
      <c r="O147" t="n">
        <v>2</v>
      </c>
      <c r="P147" t="n">
        <v>0</v>
      </c>
      <c r="Q147" t="n">
        <v>3</v>
      </c>
      <c r="R147" s="2" t="inlineStr">
        <is>
          <t>Apollofjäril
Svartfläckig blåvinge
Nästrot</t>
        </is>
      </c>
      <c r="S147">
        <f>HYPERLINK("https://klasma.github.io/Logging_0980/artfynd/A 58821-2021 artfynd.xlsx", "A 58821-2021")</f>
        <v/>
      </c>
      <c r="T147">
        <f>HYPERLINK("https://klasma.github.io/Logging_0980/kartor/A 58821-2021 karta.png", "A 58821-2021")</f>
        <v/>
      </c>
      <c r="V147">
        <f>HYPERLINK("https://klasma.github.io/Logging_0980/klagomål/A 58821-2021 FSC-klagomål.docx", "A 58821-2021")</f>
        <v/>
      </c>
      <c r="W147">
        <f>HYPERLINK("https://klasma.github.io/Logging_0980/klagomålsmail/A 58821-2021 FSC-klagomål mail.docx", "A 58821-2021")</f>
        <v/>
      </c>
      <c r="X147">
        <f>HYPERLINK("https://klasma.github.io/Logging_0980/tillsyn/A 58821-2021 tillsynsbegäran.docx", "A 58821-2021")</f>
        <v/>
      </c>
      <c r="Y147">
        <f>HYPERLINK("https://klasma.github.io/Logging_0980/tillsynsmail/A 58821-2021 tillsynsbegäran mail.docx", "A 58821-2021")</f>
        <v/>
      </c>
    </row>
    <row r="148" ht="15" customHeight="1">
      <c r="A148" t="inlineStr">
        <is>
          <t>A 13499-2022</t>
        </is>
      </c>
      <c r="B148" s="1" t="n">
        <v>44647</v>
      </c>
      <c r="C148" s="1" t="n">
        <v>45828</v>
      </c>
      <c r="D148" t="inlineStr">
        <is>
          <t>GOTLANDS LÄN</t>
        </is>
      </c>
      <c r="E148" t="inlineStr">
        <is>
          <t>GOTLAND</t>
        </is>
      </c>
      <c r="G148" t="n">
        <v>6.8</v>
      </c>
      <c r="H148" t="n">
        <v>3</v>
      </c>
      <c r="I148" t="n">
        <v>0</v>
      </c>
      <c r="J148" t="n">
        <v>1</v>
      </c>
      <c r="K148" t="n">
        <v>0</v>
      </c>
      <c r="L148" t="n">
        <v>0</v>
      </c>
      <c r="M148" t="n">
        <v>0</v>
      </c>
      <c r="N148" t="n">
        <v>0</v>
      </c>
      <c r="O148" t="n">
        <v>1</v>
      </c>
      <c r="P148" t="n">
        <v>0</v>
      </c>
      <c r="Q148" t="n">
        <v>3</v>
      </c>
      <c r="R148" s="2" t="inlineStr">
        <is>
          <t>Spillkråka
Sankt pers nycklar
Blåsippa</t>
        </is>
      </c>
      <c r="S148">
        <f>HYPERLINK("https://klasma.github.io/Logging_0980/artfynd/A 13499-2022 artfynd.xlsx", "A 13499-2022")</f>
        <v/>
      </c>
      <c r="T148">
        <f>HYPERLINK("https://klasma.github.io/Logging_0980/kartor/A 13499-2022 karta.png", "A 13499-2022")</f>
        <v/>
      </c>
      <c r="V148">
        <f>HYPERLINK("https://klasma.github.io/Logging_0980/klagomål/A 13499-2022 FSC-klagomål.docx", "A 13499-2022")</f>
        <v/>
      </c>
      <c r="W148">
        <f>HYPERLINK("https://klasma.github.io/Logging_0980/klagomålsmail/A 13499-2022 FSC-klagomål mail.docx", "A 13499-2022")</f>
        <v/>
      </c>
      <c r="X148">
        <f>HYPERLINK("https://klasma.github.io/Logging_0980/tillsyn/A 13499-2022 tillsynsbegäran.docx", "A 13499-2022")</f>
        <v/>
      </c>
      <c r="Y148">
        <f>HYPERLINK("https://klasma.github.io/Logging_0980/tillsynsmail/A 13499-2022 tillsynsbegäran mail.docx", "A 13499-2022")</f>
        <v/>
      </c>
      <c r="Z148">
        <f>HYPERLINK("https://klasma.github.io/Logging_0980/fåglar/A 13499-2022 prioriterade fågelarter.docx", "A 13499-2022")</f>
        <v/>
      </c>
    </row>
    <row r="149" ht="15" customHeight="1">
      <c r="A149" t="inlineStr">
        <is>
          <t>A 43013-2022</t>
        </is>
      </c>
      <c r="B149" s="1" t="n">
        <v>44833</v>
      </c>
      <c r="C149" s="1" t="n">
        <v>45828</v>
      </c>
      <c r="D149" t="inlineStr">
        <is>
          <t>GOTLANDS LÄN</t>
        </is>
      </c>
      <c r="E149" t="inlineStr">
        <is>
          <t>GOTLAND</t>
        </is>
      </c>
      <c r="G149" t="n">
        <v>9.300000000000001</v>
      </c>
      <c r="H149" t="n">
        <v>0</v>
      </c>
      <c r="I149" t="n">
        <v>2</v>
      </c>
      <c r="J149" t="n">
        <v>0</v>
      </c>
      <c r="K149" t="n">
        <v>1</v>
      </c>
      <c r="L149" t="n">
        <v>0</v>
      </c>
      <c r="M149" t="n">
        <v>0</v>
      </c>
      <c r="N149" t="n">
        <v>0</v>
      </c>
      <c r="O149" t="n">
        <v>1</v>
      </c>
      <c r="P149" t="n">
        <v>1</v>
      </c>
      <c r="Q149" t="n">
        <v>3</v>
      </c>
      <c r="R149" s="2" t="inlineStr">
        <is>
          <t>Violettfläckig spindling
Anisspindling
Blå slemspindling</t>
        </is>
      </c>
      <c r="S149">
        <f>HYPERLINK("https://klasma.github.io/Logging_0980/artfynd/A 43013-2022 artfynd.xlsx", "A 43013-2022")</f>
        <v/>
      </c>
      <c r="T149">
        <f>HYPERLINK("https://klasma.github.io/Logging_0980/kartor/A 43013-2022 karta.png", "A 43013-2022")</f>
        <v/>
      </c>
      <c r="V149">
        <f>HYPERLINK("https://klasma.github.io/Logging_0980/klagomål/A 43013-2022 FSC-klagomål.docx", "A 43013-2022")</f>
        <v/>
      </c>
      <c r="W149">
        <f>HYPERLINK("https://klasma.github.io/Logging_0980/klagomålsmail/A 43013-2022 FSC-klagomål mail.docx", "A 43013-2022")</f>
        <v/>
      </c>
      <c r="X149">
        <f>HYPERLINK("https://klasma.github.io/Logging_0980/tillsyn/A 43013-2022 tillsynsbegäran.docx", "A 43013-2022")</f>
        <v/>
      </c>
      <c r="Y149">
        <f>HYPERLINK("https://klasma.github.io/Logging_0980/tillsynsmail/A 43013-2022 tillsynsbegäran mail.docx", "A 43013-2022")</f>
        <v/>
      </c>
    </row>
    <row r="150" ht="15" customHeight="1">
      <c r="A150" t="inlineStr">
        <is>
          <t>A 44913-2022</t>
        </is>
      </c>
      <c r="B150" s="1" t="n">
        <v>44841</v>
      </c>
      <c r="C150" s="1" t="n">
        <v>45828</v>
      </c>
      <c r="D150" t="inlineStr">
        <is>
          <t>GOTLANDS LÄN</t>
        </is>
      </c>
      <c r="E150" t="inlineStr">
        <is>
          <t>GOTLAND</t>
        </is>
      </c>
      <c r="G150" t="n">
        <v>8.800000000000001</v>
      </c>
      <c r="H150" t="n">
        <v>1</v>
      </c>
      <c r="I150" t="n">
        <v>1</v>
      </c>
      <c r="J150" t="n">
        <v>1</v>
      </c>
      <c r="K150" t="n">
        <v>0</v>
      </c>
      <c r="L150" t="n">
        <v>0</v>
      </c>
      <c r="M150" t="n">
        <v>0</v>
      </c>
      <c r="N150" t="n">
        <v>0</v>
      </c>
      <c r="O150" t="n">
        <v>1</v>
      </c>
      <c r="P150" t="n">
        <v>0</v>
      </c>
      <c r="Q150" t="n">
        <v>3</v>
      </c>
      <c r="R150" s="2" t="inlineStr">
        <is>
          <t>Odörspindling
Granbarkgnagare
Kärrknipprot</t>
        </is>
      </c>
      <c r="S150">
        <f>HYPERLINK("https://klasma.github.io/Logging_0980/artfynd/A 44913-2022 artfynd.xlsx", "A 44913-2022")</f>
        <v/>
      </c>
      <c r="T150">
        <f>HYPERLINK("https://klasma.github.io/Logging_0980/kartor/A 44913-2022 karta.png", "A 44913-2022")</f>
        <v/>
      </c>
      <c r="V150">
        <f>HYPERLINK("https://klasma.github.io/Logging_0980/klagomål/A 44913-2022 FSC-klagomål.docx", "A 44913-2022")</f>
        <v/>
      </c>
      <c r="W150">
        <f>HYPERLINK("https://klasma.github.io/Logging_0980/klagomålsmail/A 44913-2022 FSC-klagomål mail.docx", "A 44913-2022")</f>
        <v/>
      </c>
      <c r="X150">
        <f>HYPERLINK("https://klasma.github.io/Logging_0980/tillsyn/A 44913-2022 tillsynsbegäran.docx", "A 44913-2022")</f>
        <v/>
      </c>
      <c r="Y150">
        <f>HYPERLINK("https://klasma.github.io/Logging_0980/tillsynsmail/A 44913-2022 tillsynsbegäran mail.docx", "A 44913-2022")</f>
        <v/>
      </c>
    </row>
    <row r="151" ht="15" customHeight="1">
      <c r="A151" t="inlineStr">
        <is>
          <t>A 17982-2023</t>
        </is>
      </c>
      <c r="B151" s="1" t="n">
        <v>45040</v>
      </c>
      <c r="C151" s="1" t="n">
        <v>45828</v>
      </c>
      <c r="D151" t="inlineStr">
        <is>
          <t>GOTLANDS LÄN</t>
        </is>
      </c>
      <c r="E151" t="inlineStr">
        <is>
          <t>GOTLAND</t>
        </is>
      </c>
      <c r="G151" t="n">
        <v>2.2</v>
      </c>
      <c r="H151" t="n">
        <v>0</v>
      </c>
      <c r="I151" t="n">
        <v>0</v>
      </c>
      <c r="J151" t="n">
        <v>2</v>
      </c>
      <c r="K151" t="n">
        <v>0</v>
      </c>
      <c r="L151" t="n">
        <v>0</v>
      </c>
      <c r="M151" t="n">
        <v>1</v>
      </c>
      <c r="N151" t="n">
        <v>0</v>
      </c>
      <c r="O151" t="n">
        <v>3</v>
      </c>
      <c r="P151" t="n">
        <v>1</v>
      </c>
      <c r="Q151" t="n">
        <v>3</v>
      </c>
      <c r="R151" s="2" t="inlineStr">
        <is>
          <t>Lundalm
Krusfrö
Ängsskära</t>
        </is>
      </c>
      <c r="S151">
        <f>HYPERLINK("https://klasma.github.io/Logging_0980/artfynd/A 17982-2023 artfynd.xlsx", "A 17982-2023")</f>
        <v/>
      </c>
      <c r="T151">
        <f>HYPERLINK("https://klasma.github.io/Logging_0980/kartor/A 17982-2023 karta.png", "A 17982-2023")</f>
        <v/>
      </c>
      <c r="V151">
        <f>HYPERLINK("https://klasma.github.io/Logging_0980/klagomål/A 17982-2023 FSC-klagomål.docx", "A 17982-2023")</f>
        <v/>
      </c>
      <c r="W151">
        <f>HYPERLINK("https://klasma.github.io/Logging_0980/klagomålsmail/A 17982-2023 FSC-klagomål mail.docx", "A 17982-2023")</f>
        <v/>
      </c>
      <c r="X151">
        <f>HYPERLINK("https://klasma.github.io/Logging_0980/tillsyn/A 17982-2023 tillsynsbegäran.docx", "A 17982-2023")</f>
        <v/>
      </c>
      <c r="Y151">
        <f>HYPERLINK("https://klasma.github.io/Logging_0980/tillsynsmail/A 17982-2023 tillsynsbegäran mail.docx", "A 17982-2023")</f>
        <v/>
      </c>
    </row>
    <row r="152" ht="15" customHeight="1">
      <c r="A152" t="inlineStr">
        <is>
          <t>A 27041-2023</t>
        </is>
      </c>
      <c r="B152" s="1" t="n">
        <v>45095</v>
      </c>
      <c r="C152" s="1" t="n">
        <v>45828</v>
      </c>
      <c r="D152" t="inlineStr">
        <is>
          <t>GOTLANDS LÄN</t>
        </is>
      </c>
      <c r="E152" t="inlineStr">
        <is>
          <t>GOTLAND</t>
        </is>
      </c>
      <c r="G152" t="n">
        <v>5.3</v>
      </c>
      <c r="H152" t="n">
        <v>0</v>
      </c>
      <c r="I152" t="n">
        <v>2</v>
      </c>
      <c r="J152" t="n">
        <v>1</v>
      </c>
      <c r="K152" t="n">
        <v>0</v>
      </c>
      <c r="L152" t="n">
        <v>0</v>
      </c>
      <c r="M152" t="n">
        <v>0</v>
      </c>
      <c r="N152" t="n">
        <v>0</v>
      </c>
      <c r="O152" t="n">
        <v>1</v>
      </c>
      <c r="P152" t="n">
        <v>0</v>
      </c>
      <c r="Q152" t="n">
        <v>3</v>
      </c>
      <c r="R152" s="2" t="inlineStr">
        <is>
          <t>Odörspindling
Anisspindling
Besk kastanjemusseron</t>
        </is>
      </c>
      <c r="S152">
        <f>HYPERLINK("https://klasma.github.io/Logging_0980/artfynd/A 27041-2023 artfynd.xlsx", "A 27041-2023")</f>
        <v/>
      </c>
      <c r="T152">
        <f>HYPERLINK("https://klasma.github.io/Logging_0980/kartor/A 27041-2023 karta.png", "A 27041-2023")</f>
        <v/>
      </c>
      <c r="V152">
        <f>HYPERLINK("https://klasma.github.io/Logging_0980/klagomål/A 27041-2023 FSC-klagomål.docx", "A 27041-2023")</f>
        <v/>
      </c>
      <c r="W152">
        <f>HYPERLINK("https://klasma.github.io/Logging_0980/klagomålsmail/A 27041-2023 FSC-klagomål mail.docx", "A 27041-2023")</f>
        <v/>
      </c>
      <c r="X152">
        <f>HYPERLINK("https://klasma.github.io/Logging_0980/tillsyn/A 27041-2023 tillsynsbegäran.docx", "A 27041-2023")</f>
        <v/>
      </c>
      <c r="Y152">
        <f>HYPERLINK("https://klasma.github.io/Logging_0980/tillsynsmail/A 27041-2023 tillsynsbegäran mail.docx", "A 27041-2023")</f>
        <v/>
      </c>
    </row>
    <row r="153" ht="15" customHeight="1">
      <c r="A153" t="inlineStr">
        <is>
          <t>A 27280-2023</t>
        </is>
      </c>
      <c r="B153" s="1" t="n">
        <v>45096</v>
      </c>
      <c r="C153" s="1" t="n">
        <v>45828</v>
      </c>
      <c r="D153" t="inlineStr">
        <is>
          <t>GOTLANDS LÄN</t>
        </is>
      </c>
      <c r="E153" t="inlineStr">
        <is>
          <t>GOTLAND</t>
        </is>
      </c>
      <c r="G153" t="n">
        <v>2.7</v>
      </c>
      <c r="H153" t="n">
        <v>3</v>
      </c>
      <c r="I153" t="n">
        <v>0</v>
      </c>
      <c r="J153" t="n">
        <v>1</v>
      </c>
      <c r="K153" t="n">
        <v>0</v>
      </c>
      <c r="L153" t="n">
        <v>0</v>
      </c>
      <c r="M153" t="n">
        <v>0</v>
      </c>
      <c r="N153" t="n">
        <v>0</v>
      </c>
      <c r="O153" t="n">
        <v>1</v>
      </c>
      <c r="P153" t="n">
        <v>0</v>
      </c>
      <c r="Q153" t="n">
        <v>3</v>
      </c>
      <c r="R153" s="2" t="inlineStr">
        <is>
          <t>Mindre hackspett
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c r="Z153">
        <f>HYPERLINK("https://klasma.github.io/Logging_0980/fåglar/A 27280-2023 prioriterade fågelarter.docx", "A 27280-2023")</f>
        <v/>
      </c>
    </row>
    <row r="154" ht="15" customHeight="1">
      <c r="A154" t="inlineStr">
        <is>
          <t>A 12315-2024</t>
        </is>
      </c>
      <c r="B154" s="1" t="n">
        <v>45378</v>
      </c>
      <c r="C154" s="1" t="n">
        <v>45828</v>
      </c>
      <c r="D154" t="inlineStr">
        <is>
          <t>GOTLANDS LÄN</t>
        </is>
      </c>
      <c r="E154" t="inlineStr">
        <is>
          <t>GOTLAND</t>
        </is>
      </c>
      <c r="G154" t="n">
        <v>6</v>
      </c>
      <c r="H154" t="n">
        <v>3</v>
      </c>
      <c r="I154" t="n">
        <v>1</v>
      </c>
      <c r="J154" t="n">
        <v>1</v>
      </c>
      <c r="K154" t="n">
        <v>0</v>
      </c>
      <c r="L154" t="n">
        <v>0</v>
      </c>
      <c r="M154" t="n">
        <v>0</v>
      </c>
      <c r="N154" t="n">
        <v>0</v>
      </c>
      <c r="O154" t="n">
        <v>1</v>
      </c>
      <c r="P154" t="n">
        <v>0</v>
      </c>
      <c r="Q154" t="n">
        <v>3</v>
      </c>
      <c r="R154" s="2" t="inlineStr">
        <is>
          <t>Buskskvätta
Tvåblad
Fläcknycklar</t>
        </is>
      </c>
      <c r="S154">
        <f>HYPERLINK("https://klasma.github.io/Logging_0980/artfynd/A 12315-2024 artfynd.xlsx", "A 12315-2024")</f>
        <v/>
      </c>
      <c r="T154">
        <f>HYPERLINK("https://klasma.github.io/Logging_0980/kartor/A 12315-2024 karta.png", "A 12315-2024")</f>
        <v/>
      </c>
      <c r="V154">
        <f>HYPERLINK("https://klasma.github.io/Logging_0980/klagomål/A 12315-2024 FSC-klagomål.docx", "A 12315-2024")</f>
        <v/>
      </c>
      <c r="W154">
        <f>HYPERLINK("https://klasma.github.io/Logging_0980/klagomålsmail/A 12315-2024 FSC-klagomål mail.docx", "A 12315-2024")</f>
        <v/>
      </c>
      <c r="X154">
        <f>HYPERLINK("https://klasma.github.io/Logging_0980/tillsyn/A 12315-2024 tillsynsbegäran.docx", "A 12315-2024")</f>
        <v/>
      </c>
      <c r="Y154">
        <f>HYPERLINK("https://klasma.github.io/Logging_0980/tillsynsmail/A 12315-2024 tillsynsbegäran mail.docx", "A 12315-2024")</f>
        <v/>
      </c>
      <c r="Z154">
        <f>HYPERLINK("https://klasma.github.io/Logging_0980/fåglar/A 12315-2024 prioriterade fågelarter.docx", "A 12315-2024")</f>
        <v/>
      </c>
    </row>
    <row r="155" ht="15" customHeight="1">
      <c r="A155" t="inlineStr">
        <is>
          <t>A 16542-2024</t>
        </is>
      </c>
      <c r="B155" s="1" t="n">
        <v>45408</v>
      </c>
      <c r="C155" s="1" t="n">
        <v>45828</v>
      </c>
      <c r="D155" t="inlineStr">
        <is>
          <t>GOTLANDS LÄN</t>
        </is>
      </c>
      <c r="E155" t="inlineStr">
        <is>
          <t>GOTLAND</t>
        </is>
      </c>
      <c r="G155" t="n">
        <v>1.6</v>
      </c>
      <c r="H155" t="n">
        <v>2</v>
      </c>
      <c r="I155" t="n">
        <v>2</v>
      </c>
      <c r="J155" t="n">
        <v>1</v>
      </c>
      <c r="K155" t="n">
        <v>0</v>
      </c>
      <c r="L155" t="n">
        <v>0</v>
      </c>
      <c r="M155" t="n">
        <v>0</v>
      </c>
      <c r="N155" t="n">
        <v>0</v>
      </c>
      <c r="O155" t="n">
        <v>1</v>
      </c>
      <c r="P155" t="n">
        <v>0</v>
      </c>
      <c r="Q155" t="n">
        <v>3</v>
      </c>
      <c r="R155" s="2" t="inlineStr">
        <is>
          <t>Tallticka
Nästrot
Tvåblad</t>
        </is>
      </c>
      <c r="S155">
        <f>HYPERLINK("https://klasma.github.io/Logging_0980/artfynd/A 16542-2024 artfynd.xlsx", "A 16542-2024")</f>
        <v/>
      </c>
      <c r="T155">
        <f>HYPERLINK("https://klasma.github.io/Logging_0980/kartor/A 16542-2024 karta.png", "A 16542-2024")</f>
        <v/>
      </c>
      <c r="V155">
        <f>HYPERLINK("https://klasma.github.io/Logging_0980/klagomål/A 16542-2024 FSC-klagomål.docx", "A 16542-2024")</f>
        <v/>
      </c>
      <c r="W155">
        <f>HYPERLINK("https://klasma.github.io/Logging_0980/klagomålsmail/A 16542-2024 FSC-klagomål mail.docx", "A 16542-2024")</f>
        <v/>
      </c>
      <c r="X155">
        <f>HYPERLINK("https://klasma.github.io/Logging_0980/tillsyn/A 16542-2024 tillsynsbegäran.docx", "A 16542-2024")</f>
        <v/>
      </c>
      <c r="Y155">
        <f>HYPERLINK("https://klasma.github.io/Logging_0980/tillsynsmail/A 16542-2024 tillsynsbegäran mail.docx", "A 16542-2024")</f>
        <v/>
      </c>
    </row>
    <row r="156" ht="15" customHeight="1">
      <c r="A156" t="inlineStr">
        <is>
          <t>A 17975-2024</t>
        </is>
      </c>
      <c r="B156" s="1" t="n">
        <v>45419</v>
      </c>
      <c r="C156" s="1" t="n">
        <v>45828</v>
      </c>
      <c r="D156" t="inlineStr">
        <is>
          <t>GOTLANDS LÄN</t>
        </is>
      </c>
      <c r="E156" t="inlineStr">
        <is>
          <t>GOTLAND</t>
        </is>
      </c>
      <c r="G156" t="n">
        <v>7.9</v>
      </c>
      <c r="H156" t="n">
        <v>0</v>
      </c>
      <c r="I156" t="n">
        <v>1</v>
      </c>
      <c r="J156" t="n">
        <v>1</v>
      </c>
      <c r="K156" t="n">
        <v>0</v>
      </c>
      <c r="L156" t="n">
        <v>1</v>
      </c>
      <c r="M156" t="n">
        <v>0</v>
      </c>
      <c r="N156" t="n">
        <v>0</v>
      </c>
      <c r="O156" t="n">
        <v>2</v>
      </c>
      <c r="P156" t="n">
        <v>1</v>
      </c>
      <c r="Q156" t="n">
        <v>3</v>
      </c>
      <c r="R156" s="2" t="inlineStr">
        <is>
          <t>Ask
Skugglosta
Strävlosta</t>
        </is>
      </c>
      <c r="S156">
        <f>HYPERLINK("https://klasma.github.io/Logging_0980/artfynd/A 17975-2024 artfynd.xlsx", "A 17975-2024")</f>
        <v/>
      </c>
      <c r="T156">
        <f>HYPERLINK("https://klasma.github.io/Logging_0980/kartor/A 17975-2024 karta.png", "A 17975-2024")</f>
        <v/>
      </c>
      <c r="V156">
        <f>HYPERLINK("https://klasma.github.io/Logging_0980/klagomål/A 17975-2024 FSC-klagomål.docx", "A 17975-2024")</f>
        <v/>
      </c>
      <c r="W156">
        <f>HYPERLINK("https://klasma.github.io/Logging_0980/klagomålsmail/A 17975-2024 FSC-klagomål mail.docx", "A 17975-2024")</f>
        <v/>
      </c>
      <c r="X156">
        <f>HYPERLINK("https://klasma.github.io/Logging_0980/tillsyn/A 17975-2024 tillsynsbegäran.docx", "A 17975-2024")</f>
        <v/>
      </c>
      <c r="Y156">
        <f>HYPERLINK("https://klasma.github.io/Logging_0980/tillsynsmail/A 17975-2024 tillsynsbegäran mail.docx", "A 17975-2024")</f>
        <v/>
      </c>
    </row>
    <row r="157" ht="15" customHeight="1">
      <c r="A157" t="inlineStr">
        <is>
          <t>A 24345-2024</t>
        </is>
      </c>
      <c r="B157" s="1" t="n">
        <v>45457</v>
      </c>
      <c r="C157" s="1" t="n">
        <v>45828</v>
      </c>
      <c r="D157" t="inlineStr">
        <is>
          <t>GOTLANDS LÄN</t>
        </is>
      </c>
      <c r="E157" t="inlineStr">
        <is>
          <t>GOTLAND</t>
        </is>
      </c>
      <c r="G157" t="n">
        <v>5.2</v>
      </c>
      <c r="H157" t="n">
        <v>1</v>
      </c>
      <c r="I157" t="n">
        <v>1</v>
      </c>
      <c r="J157" t="n">
        <v>2</v>
      </c>
      <c r="K157" t="n">
        <v>0</v>
      </c>
      <c r="L157" t="n">
        <v>0</v>
      </c>
      <c r="M157" t="n">
        <v>0</v>
      </c>
      <c r="N157" t="n">
        <v>0</v>
      </c>
      <c r="O157" t="n">
        <v>2</v>
      </c>
      <c r="P157" t="n">
        <v>0</v>
      </c>
      <c r="Q157" t="n">
        <v>3</v>
      </c>
      <c r="R157" s="2" t="inlineStr">
        <is>
          <t>Backtimjan
Dårgräsfjäril
Rödgul trumpetsvamp</t>
        </is>
      </c>
      <c r="S157">
        <f>HYPERLINK("https://klasma.github.io/Logging_0980/artfynd/A 24345-2024 artfynd.xlsx", "A 24345-2024")</f>
        <v/>
      </c>
      <c r="T157">
        <f>HYPERLINK("https://klasma.github.io/Logging_0980/kartor/A 24345-2024 karta.png", "A 24345-2024")</f>
        <v/>
      </c>
      <c r="V157">
        <f>HYPERLINK("https://klasma.github.io/Logging_0980/klagomål/A 24345-2024 FSC-klagomål.docx", "A 24345-2024")</f>
        <v/>
      </c>
      <c r="W157">
        <f>HYPERLINK("https://klasma.github.io/Logging_0980/klagomålsmail/A 24345-2024 FSC-klagomål mail.docx", "A 24345-2024")</f>
        <v/>
      </c>
      <c r="X157">
        <f>HYPERLINK("https://klasma.github.io/Logging_0980/tillsyn/A 24345-2024 tillsynsbegäran.docx", "A 24345-2024")</f>
        <v/>
      </c>
      <c r="Y157">
        <f>HYPERLINK("https://klasma.github.io/Logging_0980/tillsynsmail/A 24345-2024 tillsynsbegäran mail.docx", "A 24345-2024")</f>
        <v/>
      </c>
    </row>
    <row r="158" ht="15" customHeight="1">
      <c r="A158" t="inlineStr">
        <is>
          <t>A 25981-2024</t>
        </is>
      </c>
      <c r="B158" s="1" t="n">
        <v>45467</v>
      </c>
      <c r="C158" s="1" t="n">
        <v>45828</v>
      </c>
      <c r="D158" t="inlineStr">
        <is>
          <t>GOTLANDS LÄN</t>
        </is>
      </c>
      <c r="E158" t="inlineStr">
        <is>
          <t>GOTLAND</t>
        </is>
      </c>
      <c r="G158" t="n">
        <v>5.9</v>
      </c>
      <c r="H158" t="n">
        <v>3</v>
      </c>
      <c r="I158" t="n">
        <v>2</v>
      </c>
      <c r="J158" t="n">
        <v>0</v>
      </c>
      <c r="K158" t="n">
        <v>0</v>
      </c>
      <c r="L158" t="n">
        <v>0</v>
      </c>
      <c r="M158" t="n">
        <v>0</v>
      </c>
      <c r="N158" t="n">
        <v>0</v>
      </c>
      <c r="O158" t="n">
        <v>0</v>
      </c>
      <c r="P158" t="n">
        <v>0</v>
      </c>
      <c r="Q158" t="n">
        <v>3</v>
      </c>
      <c r="R158" s="2" t="inlineStr">
        <is>
          <t>Purpurknipprot
Skogsknipprot
Fläcknycklar</t>
        </is>
      </c>
      <c r="S158">
        <f>HYPERLINK("https://klasma.github.io/Logging_0980/artfynd/A 25981-2024 artfynd.xlsx", "A 25981-2024")</f>
        <v/>
      </c>
      <c r="T158">
        <f>HYPERLINK("https://klasma.github.io/Logging_0980/kartor/A 25981-2024 karta.png", "A 25981-2024")</f>
        <v/>
      </c>
      <c r="V158">
        <f>HYPERLINK("https://klasma.github.io/Logging_0980/klagomål/A 25981-2024 FSC-klagomål.docx", "A 25981-2024")</f>
        <v/>
      </c>
      <c r="W158">
        <f>HYPERLINK("https://klasma.github.io/Logging_0980/klagomålsmail/A 25981-2024 FSC-klagomål mail.docx", "A 25981-2024")</f>
        <v/>
      </c>
      <c r="X158">
        <f>HYPERLINK("https://klasma.github.io/Logging_0980/tillsyn/A 25981-2024 tillsynsbegäran.docx", "A 25981-2024")</f>
        <v/>
      </c>
      <c r="Y158">
        <f>HYPERLINK("https://klasma.github.io/Logging_0980/tillsynsmail/A 25981-2024 tillsynsbegäran mail.docx", "A 25981-2024")</f>
        <v/>
      </c>
    </row>
    <row r="159" ht="15" customHeight="1">
      <c r="A159" t="inlineStr">
        <is>
          <t>A 54940-2024</t>
        </is>
      </c>
      <c r="B159" s="1" t="n">
        <v>45618</v>
      </c>
      <c r="C159" s="1" t="n">
        <v>45828</v>
      </c>
      <c r="D159" t="inlineStr">
        <is>
          <t>GOTLANDS LÄN</t>
        </is>
      </c>
      <c r="E159" t="inlineStr">
        <is>
          <t>GOTLAND</t>
        </is>
      </c>
      <c r="G159" t="n">
        <v>1.2</v>
      </c>
      <c r="H159" t="n">
        <v>2</v>
      </c>
      <c r="I159" t="n">
        <v>0</v>
      </c>
      <c r="J159" t="n">
        <v>1</v>
      </c>
      <c r="K159" t="n">
        <v>0</v>
      </c>
      <c r="L159" t="n">
        <v>0</v>
      </c>
      <c r="M159" t="n">
        <v>0</v>
      </c>
      <c r="N159" t="n">
        <v>0</v>
      </c>
      <c r="O159" t="n">
        <v>1</v>
      </c>
      <c r="P159" t="n">
        <v>0</v>
      </c>
      <c r="Q159" t="n">
        <v>3</v>
      </c>
      <c r="R159" s="2" t="inlineStr">
        <is>
          <t>Ängsstarr
Brudsporre
Dactylorhiza incarnata subsp. incarnata</t>
        </is>
      </c>
      <c r="S159">
        <f>HYPERLINK("https://klasma.github.io/Logging_0980/artfynd/A 54940-2024 artfynd.xlsx", "A 54940-2024")</f>
        <v/>
      </c>
      <c r="T159">
        <f>HYPERLINK("https://klasma.github.io/Logging_0980/kartor/A 54940-2024 karta.png", "A 54940-2024")</f>
        <v/>
      </c>
      <c r="V159">
        <f>HYPERLINK("https://klasma.github.io/Logging_0980/klagomål/A 54940-2024 FSC-klagomål.docx", "A 54940-2024")</f>
        <v/>
      </c>
      <c r="W159">
        <f>HYPERLINK("https://klasma.github.io/Logging_0980/klagomålsmail/A 54940-2024 FSC-klagomål mail.docx", "A 54940-2024")</f>
        <v/>
      </c>
      <c r="X159">
        <f>HYPERLINK("https://klasma.github.io/Logging_0980/tillsyn/A 54940-2024 tillsynsbegäran.docx", "A 54940-2024")</f>
        <v/>
      </c>
      <c r="Y159">
        <f>HYPERLINK("https://klasma.github.io/Logging_0980/tillsynsmail/A 54940-2024 tillsynsbegäran mail.docx", "A 54940-2024")</f>
        <v/>
      </c>
    </row>
    <row r="160" ht="15" customHeight="1">
      <c r="A160" t="inlineStr">
        <is>
          <t>A 2318-2025</t>
        </is>
      </c>
      <c r="B160" s="1" t="n">
        <v>45673</v>
      </c>
      <c r="C160" s="1" t="n">
        <v>45828</v>
      </c>
      <c r="D160" t="inlineStr">
        <is>
          <t>GOTLANDS LÄN</t>
        </is>
      </c>
      <c r="E160" t="inlineStr">
        <is>
          <t>GOTLAND</t>
        </is>
      </c>
      <c r="G160" t="n">
        <v>26.3</v>
      </c>
      <c r="H160" t="n">
        <v>0</v>
      </c>
      <c r="I160" t="n">
        <v>1</v>
      </c>
      <c r="J160" t="n">
        <v>1</v>
      </c>
      <c r="K160" t="n">
        <v>1</v>
      </c>
      <c r="L160" t="n">
        <v>0</v>
      </c>
      <c r="M160" t="n">
        <v>0</v>
      </c>
      <c r="N160" t="n">
        <v>0</v>
      </c>
      <c r="O160" t="n">
        <v>2</v>
      </c>
      <c r="P160" t="n">
        <v>1</v>
      </c>
      <c r="Q160" t="n">
        <v>3</v>
      </c>
      <c r="R160" s="2" t="inlineStr">
        <is>
          <t>Strandviol
Lunglav
Strävlosta</t>
        </is>
      </c>
      <c r="S160">
        <f>HYPERLINK("https://klasma.github.io/Logging_0980/artfynd/A 2318-2025 artfynd.xlsx", "A 2318-2025")</f>
        <v/>
      </c>
      <c r="T160">
        <f>HYPERLINK("https://klasma.github.io/Logging_0980/kartor/A 2318-2025 karta.png", "A 2318-2025")</f>
        <v/>
      </c>
      <c r="V160">
        <f>HYPERLINK("https://klasma.github.io/Logging_0980/klagomål/A 2318-2025 FSC-klagomål.docx", "A 2318-2025")</f>
        <v/>
      </c>
      <c r="W160">
        <f>HYPERLINK("https://klasma.github.io/Logging_0980/klagomålsmail/A 2318-2025 FSC-klagomål mail.docx", "A 2318-2025")</f>
        <v/>
      </c>
      <c r="X160">
        <f>HYPERLINK("https://klasma.github.io/Logging_0980/tillsyn/A 2318-2025 tillsynsbegäran.docx", "A 2318-2025")</f>
        <v/>
      </c>
      <c r="Y160">
        <f>HYPERLINK("https://klasma.github.io/Logging_0980/tillsynsmail/A 2318-2025 tillsynsbegäran mail.docx", "A 2318-2025")</f>
        <v/>
      </c>
    </row>
    <row r="161" ht="15" customHeight="1">
      <c r="A161" t="inlineStr">
        <is>
          <t>A 21897-2019</t>
        </is>
      </c>
      <c r="B161" s="1" t="n">
        <v>43584</v>
      </c>
      <c r="C161" s="1" t="n">
        <v>45828</v>
      </c>
      <c r="D161" t="inlineStr">
        <is>
          <t>GOTLANDS LÄN</t>
        </is>
      </c>
      <c r="E161" t="inlineStr">
        <is>
          <t>GOTLAND</t>
        </is>
      </c>
      <c r="G161" t="n">
        <v>7.4</v>
      </c>
      <c r="H161" t="n">
        <v>2</v>
      </c>
      <c r="I161" t="n">
        <v>1</v>
      </c>
      <c r="J161" t="n">
        <v>0</v>
      </c>
      <c r="K161" t="n">
        <v>0</v>
      </c>
      <c r="L161" t="n">
        <v>0</v>
      </c>
      <c r="M161" t="n">
        <v>0</v>
      </c>
      <c r="N161" t="n">
        <v>0</v>
      </c>
      <c r="O161" t="n">
        <v>0</v>
      </c>
      <c r="P161" t="n">
        <v>0</v>
      </c>
      <c r="Q161" t="n">
        <v>2</v>
      </c>
      <c r="R161" s="2" t="inlineStr">
        <is>
          <t>Korallrot
Nattviol</t>
        </is>
      </c>
      <c r="S161">
        <f>HYPERLINK("https://klasma.github.io/Logging_0980/artfynd/A 21897-2019 artfynd.xlsx", "A 21897-2019")</f>
        <v/>
      </c>
      <c r="T161">
        <f>HYPERLINK("https://klasma.github.io/Logging_0980/kartor/A 21897-2019 karta.png", "A 21897-2019")</f>
        <v/>
      </c>
      <c r="V161">
        <f>HYPERLINK("https://klasma.github.io/Logging_0980/klagomål/A 21897-2019 FSC-klagomål.docx", "A 21897-2019")</f>
        <v/>
      </c>
      <c r="W161">
        <f>HYPERLINK("https://klasma.github.io/Logging_0980/klagomålsmail/A 21897-2019 FSC-klagomål mail.docx", "A 21897-2019")</f>
        <v/>
      </c>
      <c r="X161">
        <f>HYPERLINK("https://klasma.github.io/Logging_0980/tillsyn/A 21897-2019 tillsynsbegäran.docx", "A 21897-2019")</f>
        <v/>
      </c>
      <c r="Y161">
        <f>HYPERLINK("https://klasma.github.io/Logging_0980/tillsynsmail/A 21897-2019 tillsynsbegäran mail.docx", "A 21897-2019")</f>
        <v/>
      </c>
    </row>
    <row r="162" ht="15" customHeight="1">
      <c r="A162" t="inlineStr">
        <is>
          <t>A 32969-2019</t>
        </is>
      </c>
      <c r="B162" s="1" t="n">
        <v>43648</v>
      </c>
      <c r="C162" s="1" t="n">
        <v>45828</v>
      </c>
      <c r="D162" t="inlineStr">
        <is>
          <t>GOTLANDS LÄN</t>
        </is>
      </c>
      <c r="E162" t="inlineStr">
        <is>
          <t>GOTLAND</t>
        </is>
      </c>
      <c r="G162" t="n">
        <v>5.1</v>
      </c>
      <c r="H162" t="n">
        <v>0</v>
      </c>
      <c r="I162" t="n">
        <v>1</v>
      </c>
      <c r="J162" t="n">
        <v>1</v>
      </c>
      <c r="K162" t="n">
        <v>0</v>
      </c>
      <c r="L162" t="n">
        <v>0</v>
      </c>
      <c r="M162" t="n">
        <v>0</v>
      </c>
      <c r="N162" t="n">
        <v>0</v>
      </c>
      <c r="O162" t="n">
        <v>1</v>
      </c>
      <c r="P162" t="n">
        <v>0</v>
      </c>
      <c r="Q162" t="n">
        <v>2</v>
      </c>
      <c r="R162" s="2" t="inlineStr">
        <is>
          <t>Odörspindling
Anisspindling</t>
        </is>
      </c>
      <c r="S162">
        <f>HYPERLINK("https://klasma.github.io/Logging_0980/artfynd/A 32969-2019 artfynd.xlsx", "A 32969-2019")</f>
        <v/>
      </c>
      <c r="T162">
        <f>HYPERLINK("https://klasma.github.io/Logging_0980/kartor/A 32969-2019 karta.png", "A 32969-2019")</f>
        <v/>
      </c>
      <c r="V162">
        <f>HYPERLINK("https://klasma.github.io/Logging_0980/klagomål/A 32969-2019 FSC-klagomål.docx", "A 32969-2019")</f>
        <v/>
      </c>
      <c r="W162">
        <f>HYPERLINK("https://klasma.github.io/Logging_0980/klagomålsmail/A 32969-2019 FSC-klagomål mail.docx", "A 32969-2019")</f>
        <v/>
      </c>
      <c r="X162">
        <f>HYPERLINK("https://klasma.github.io/Logging_0980/tillsyn/A 32969-2019 tillsynsbegäran.docx", "A 32969-2019")</f>
        <v/>
      </c>
      <c r="Y162">
        <f>HYPERLINK("https://klasma.github.io/Logging_0980/tillsynsmail/A 32969-2019 tillsynsbegäran mail.docx", "A 32969-2019")</f>
        <v/>
      </c>
    </row>
    <row r="163" ht="15" customHeight="1">
      <c r="A163" t="inlineStr">
        <is>
          <t>A 32966-2019</t>
        </is>
      </c>
      <c r="B163" s="1" t="n">
        <v>43648</v>
      </c>
      <c r="C163" s="1" t="n">
        <v>45828</v>
      </c>
      <c r="D163" t="inlineStr">
        <is>
          <t>GOTLANDS LÄN</t>
        </is>
      </c>
      <c r="E163" t="inlineStr">
        <is>
          <t>GOTLAND</t>
        </is>
      </c>
      <c r="G163" t="n">
        <v>4</v>
      </c>
      <c r="H163" t="n">
        <v>1</v>
      </c>
      <c r="I163" t="n">
        <v>1</v>
      </c>
      <c r="J163" t="n">
        <v>0</v>
      </c>
      <c r="K163" t="n">
        <v>0</v>
      </c>
      <c r="L163" t="n">
        <v>0</v>
      </c>
      <c r="M163" t="n">
        <v>0</v>
      </c>
      <c r="N163" t="n">
        <v>0</v>
      </c>
      <c r="O163" t="n">
        <v>0</v>
      </c>
      <c r="P163" t="n">
        <v>0</v>
      </c>
      <c r="Q163" t="n">
        <v>2</v>
      </c>
      <c r="R163" s="2" t="inlineStr">
        <is>
          <t>Kattfotslav
Blåsippa</t>
        </is>
      </c>
      <c r="S163">
        <f>HYPERLINK("https://klasma.github.io/Logging_0980/artfynd/A 32966-2019 artfynd.xlsx", "A 32966-2019")</f>
        <v/>
      </c>
      <c r="T163">
        <f>HYPERLINK("https://klasma.github.io/Logging_0980/kartor/A 32966-2019 karta.png", "A 32966-2019")</f>
        <v/>
      </c>
      <c r="V163">
        <f>HYPERLINK("https://klasma.github.io/Logging_0980/klagomål/A 32966-2019 FSC-klagomål.docx", "A 32966-2019")</f>
        <v/>
      </c>
      <c r="W163">
        <f>HYPERLINK("https://klasma.github.io/Logging_0980/klagomålsmail/A 32966-2019 FSC-klagomål mail.docx", "A 32966-2019")</f>
        <v/>
      </c>
      <c r="X163">
        <f>HYPERLINK("https://klasma.github.io/Logging_0980/tillsyn/A 32966-2019 tillsynsbegäran.docx", "A 32966-2019")</f>
        <v/>
      </c>
      <c r="Y163">
        <f>HYPERLINK("https://klasma.github.io/Logging_0980/tillsynsmail/A 32966-2019 tillsynsbegäran mail.docx", "A 32966-2019")</f>
        <v/>
      </c>
    </row>
    <row r="164" ht="15" customHeight="1">
      <c r="A164" t="inlineStr">
        <is>
          <t>A 43304-2019</t>
        </is>
      </c>
      <c r="B164" s="1" t="n">
        <v>43706</v>
      </c>
      <c r="C164" s="1" t="n">
        <v>45828</v>
      </c>
      <c r="D164" t="inlineStr">
        <is>
          <t>GOTLANDS LÄN</t>
        </is>
      </c>
      <c r="E164" t="inlineStr">
        <is>
          <t>GOTLAND</t>
        </is>
      </c>
      <c r="G164" t="n">
        <v>3.2</v>
      </c>
      <c r="H164" t="n">
        <v>2</v>
      </c>
      <c r="I164" t="n">
        <v>1</v>
      </c>
      <c r="J164" t="n">
        <v>0</v>
      </c>
      <c r="K164" t="n">
        <v>0</v>
      </c>
      <c r="L164" t="n">
        <v>0</v>
      </c>
      <c r="M164" t="n">
        <v>0</v>
      </c>
      <c r="N164" t="n">
        <v>0</v>
      </c>
      <c r="O164" t="n">
        <v>0</v>
      </c>
      <c r="P164" t="n">
        <v>0</v>
      </c>
      <c r="Q164" t="n">
        <v>2</v>
      </c>
      <c r="R164" s="2" t="inlineStr">
        <is>
          <t>Skogsknipprot
Blåsippa</t>
        </is>
      </c>
      <c r="S164">
        <f>HYPERLINK("https://klasma.github.io/Logging_0980/artfynd/A 43304-2019 artfynd.xlsx", "A 43304-2019")</f>
        <v/>
      </c>
      <c r="T164">
        <f>HYPERLINK("https://klasma.github.io/Logging_0980/kartor/A 43304-2019 karta.png", "A 43304-2019")</f>
        <v/>
      </c>
      <c r="V164">
        <f>HYPERLINK("https://klasma.github.io/Logging_0980/klagomål/A 43304-2019 FSC-klagomål.docx", "A 43304-2019")</f>
        <v/>
      </c>
      <c r="W164">
        <f>HYPERLINK("https://klasma.github.io/Logging_0980/klagomålsmail/A 43304-2019 FSC-klagomål mail.docx", "A 43304-2019")</f>
        <v/>
      </c>
      <c r="X164">
        <f>HYPERLINK("https://klasma.github.io/Logging_0980/tillsyn/A 43304-2019 tillsynsbegäran.docx", "A 43304-2019")</f>
        <v/>
      </c>
      <c r="Y164">
        <f>HYPERLINK("https://klasma.github.io/Logging_0980/tillsynsmail/A 43304-2019 tillsynsbegäran mail.docx", "A 43304-2019")</f>
        <v/>
      </c>
    </row>
    <row r="165" ht="15" customHeight="1">
      <c r="A165" t="inlineStr">
        <is>
          <t>A 334-2020</t>
        </is>
      </c>
      <c r="B165" s="1" t="n">
        <v>43837</v>
      </c>
      <c r="C165" s="1" t="n">
        <v>45828</v>
      </c>
      <c r="D165" t="inlineStr">
        <is>
          <t>GOTLANDS LÄN</t>
        </is>
      </c>
      <c r="E165" t="inlineStr">
        <is>
          <t>GOTLAND</t>
        </is>
      </c>
      <c r="G165" t="n">
        <v>5.3</v>
      </c>
      <c r="H165" t="n">
        <v>2</v>
      </c>
      <c r="I165" t="n">
        <v>0</v>
      </c>
      <c r="J165" t="n">
        <v>1</v>
      </c>
      <c r="K165" t="n">
        <v>0</v>
      </c>
      <c r="L165" t="n">
        <v>0</v>
      </c>
      <c r="M165" t="n">
        <v>0</v>
      </c>
      <c r="N165" t="n">
        <v>0</v>
      </c>
      <c r="O165" t="n">
        <v>1</v>
      </c>
      <c r="P165" t="n">
        <v>0</v>
      </c>
      <c r="Q165" t="n">
        <v>2</v>
      </c>
      <c r="R165" s="2" t="inlineStr">
        <is>
          <t>Smådopping
Mindre vattensalamander</t>
        </is>
      </c>
      <c r="S165">
        <f>HYPERLINK("https://klasma.github.io/Logging_0980/artfynd/A 334-2020 artfynd.xlsx", "A 334-2020")</f>
        <v/>
      </c>
      <c r="T165">
        <f>HYPERLINK("https://klasma.github.io/Logging_0980/kartor/A 334-2020 karta.png", "A 334-2020")</f>
        <v/>
      </c>
      <c r="V165">
        <f>HYPERLINK("https://klasma.github.io/Logging_0980/klagomål/A 334-2020 FSC-klagomål.docx", "A 334-2020")</f>
        <v/>
      </c>
      <c r="W165">
        <f>HYPERLINK("https://klasma.github.io/Logging_0980/klagomålsmail/A 334-2020 FSC-klagomål mail.docx", "A 334-2020")</f>
        <v/>
      </c>
      <c r="X165">
        <f>HYPERLINK("https://klasma.github.io/Logging_0980/tillsyn/A 334-2020 tillsynsbegäran.docx", "A 334-2020")</f>
        <v/>
      </c>
      <c r="Y165">
        <f>HYPERLINK("https://klasma.github.io/Logging_0980/tillsynsmail/A 334-2020 tillsynsbegäran mail.docx", "A 334-2020")</f>
        <v/>
      </c>
    </row>
    <row r="166" ht="15" customHeight="1">
      <c r="A166" t="inlineStr">
        <is>
          <t>A 4812-2020</t>
        </is>
      </c>
      <c r="B166" s="1" t="n">
        <v>43852</v>
      </c>
      <c r="C166" s="1" t="n">
        <v>45828</v>
      </c>
      <c r="D166" t="inlineStr">
        <is>
          <t>GOTLANDS LÄN</t>
        </is>
      </c>
      <c r="E166" t="inlineStr">
        <is>
          <t>GOTLAND</t>
        </is>
      </c>
      <c r="G166" t="n">
        <v>3.9</v>
      </c>
      <c r="H166" t="n">
        <v>1</v>
      </c>
      <c r="I166" t="n">
        <v>1</v>
      </c>
      <c r="J166" t="n">
        <v>0</v>
      </c>
      <c r="K166" t="n">
        <v>1</v>
      </c>
      <c r="L166" t="n">
        <v>0</v>
      </c>
      <c r="M166" t="n">
        <v>0</v>
      </c>
      <c r="N166" t="n">
        <v>0</v>
      </c>
      <c r="O166" t="n">
        <v>1</v>
      </c>
      <c r="P166" t="n">
        <v>1</v>
      </c>
      <c r="Q166" t="n">
        <v>2</v>
      </c>
      <c r="R166" s="2" t="inlineStr">
        <is>
          <t>Gotlandsmåra
Nästrot</t>
        </is>
      </c>
      <c r="S166">
        <f>HYPERLINK("https://klasma.github.io/Logging_0980/artfynd/A 4812-2020 artfynd.xlsx", "A 4812-2020")</f>
        <v/>
      </c>
      <c r="T166">
        <f>HYPERLINK("https://klasma.github.io/Logging_0980/kartor/A 4812-2020 karta.png", "A 4812-2020")</f>
        <v/>
      </c>
      <c r="V166">
        <f>HYPERLINK("https://klasma.github.io/Logging_0980/klagomål/A 4812-2020 FSC-klagomål.docx", "A 4812-2020")</f>
        <v/>
      </c>
      <c r="W166">
        <f>HYPERLINK("https://klasma.github.io/Logging_0980/klagomålsmail/A 4812-2020 FSC-klagomål mail.docx", "A 4812-2020")</f>
        <v/>
      </c>
      <c r="X166">
        <f>HYPERLINK("https://klasma.github.io/Logging_0980/tillsyn/A 4812-2020 tillsynsbegäran.docx", "A 4812-2020")</f>
        <v/>
      </c>
      <c r="Y166">
        <f>HYPERLINK("https://klasma.github.io/Logging_0980/tillsynsmail/A 4812-2020 tillsynsbegäran mail.docx", "A 4812-2020")</f>
        <v/>
      </c>
    </row>
    <row r="167" ht="15" customHeight="1">
      <c r="A167" t="inlineStr">
        <is>
          <t>A 40879-2020</t>
        </is>
      </c>
      <c r="B167" s="1" t="n">
        <v>44070</v>
      </c>
      <c r="C167" s="1" t="n">
        <v>45828</v>
      </c>
      <c r="D167" t="inlineStr">
        <is>
          <t>GOTLANDS LÄN</t>
        </is>
      </c>
      <c r="E167" t="inlineStr">
        <is>
          <t>GOTLAND</t>
        </is>
      </c>
      <c r="G167" t="n">
        <v>6.4</v>
      </c>
      <c r="H167" t="n">
        <v>0</v>
      </c>
      <c r="I167" t="n">
        <v>1</v>
      </c>
      <c r="J167" t="n">
        <v>1</v>
      </c>
      <c r="K167" t="n">
        <v>0</v>
      </c>
      <c r="L167" t="n">
        <v>0</v>
      </c>
      <c r="M167" t="n">
        <v>0</v>
      </c>
      <c r="N167" t="n">
        <v>0</v>
      </c>
      <c r="O167" t="n">
        <v>1</v>
      </c>
      <c r="P167" t="n">
        <v>0</v>
      </c>
      <c r="Q167" t="n">
        <v>2</v>
      </c>
      <c r="R167" s="2" t="inlineStr">
        <is>
          <t>Odörspindling
Olivspindling</t>
        </is>
      </c>
      <c r="S167">
        <f>HYPERLINK("https://klasma.github.io/Logging_0980/artfynd/A 40879-2020 artfynd.xlsx", "A 40879-2020")</f>
        <v/>
      </c>
      <c r="T167">
        <f>HYPERLINK("https://klasma.github.io/Logging_0980/kartor/A 40879-2020 karta.png", "A 40879-2020")</f>
        <v/>
      </c>
      <c r="V167">
        <f>HYPERLINK("https://klasma.github.io/Logging_0980/klagomål/A 40879-2020 FSC-klagomål.docx", "A 40879-2020")</f>
        <v/>
      </c>
      <c r="W167">
        <f>HYPERLINK("https://klasma.github.io/Logging_0980/klagomålsmail/A 40879-2020 FSC-klagomål mail.docx", "A 40879-2020")</f>
        <v/>
      </c>
      <c r="X167">
        <f>HYPERLINK("https://klasma.github.io/Logging_0980/tillsyn/A 40879-2020 tillsynsbegäran.docx", "A 40879-2020")</f>
        <v/>
      </c>
      <c r="Y167">
        <f>HYPERLINK("https://klasma.github.io/Logging_0980/tillsynsmail/A 40879-2020 tillsynsbegäran mail.docx", "A 40879-2020")</f>
        <v/>
      </c>
    </row>
    <row r="168" ht="15" customHeight="1">
      <c r="A168" t="inlineStr">
        <is>
          <t>A 43321-2020</t>
        </is>
      </c>
      <c r="B168" s="1" t="n">
        <v>44081</v>
      </c>
      <c r="C168" s="1" t="n">
        <v>45828</v>
      </c>
      <c r="D168" t="inlineStr">
        <is>
          <t>GOTLANDS LÄN</t>
        </is>
      </c>
      <c r="E168" t="inlineStr">
        <is>
          <t>GOTLAND</t>
        </is>
      </c>
      <c r="G168" t="n">
        <v>10</v>
      </c>
      <c r="H168" t="n">
        <v>1</v>
      </c>
      <c r="I168" t="n">
        <v>0</v>
      </c>
      <c r="J168" t="n">
        <v>2</v>
      </c>
      <c r="K168" t="n">
        <v>0</v>
      </c>
      <c r="L168" t="n">
        <v>0</v>
      </c>
      <c r="M168" t="n">
        <v>0</v>
      </c>
      <c r="N168" t="n">
        <v>0</v>
      </c>
      <c r="O168" t="n">
        <v>2</v>
      </c>
      <c r="P168" t="n">
        <v>0</v>
      </c>
      <c r="Q168" t="n">
        <v>2</v>
      </c>
      <c r="R168" s="2" t="inlineStr">
        <is>
          <t>Buskskvätta
Ängsnätfjäril</t>
        </is>
      </c>
      <c r="S168">
        <f>HYPERLINK("https://klasma.github.io/Logging_0980/artfynd/A 43321-2020 artfynd.xlsx", "A 43321-2020")</f>
        <v/>
      </c>
      <c r="T168">
        <f>HYPERLINK("https://klasma.github.io/Logging_0980/kartor/A 43321-2020 karta.png", "A 43321-2020")</f>
        <v/>
      </c>
      <c r="V168">
        <f>HYPERLINK("https://klasma.github.io/Logging_0980/klagomål/A 43321-2020 FSC-klagomål.docx", "A 43321-2020")</f>
        <v/>
      </c>
      <c r="W168">
        <f>HYPERLINK("https://klasma.github.io/Logging_0980/klagomålsmail/A 43321-2020 FSC-klagomål mail.docx", "A 43321-2020")</f>
        <v/>
      </c>
      <c r="X168">
        <f>HYPERLINK("https://klasma.github.io/Logging_0980/tillsyn/A 43321-2020 tillsynsbegäran.docx", "A 43321-2020")</f>
        <v/>
      </c>
      <c r="Y168">
        <f>HYPERLINK("https://klasma.github.io/Logging_0980/tillsynsmail/A 43321-2020 tillsynsbegäran mail.docx", "A 43321-2020")</f>
        <v/>
      </c>
      <c r="Z168">
        <f>HYPERLINK("https://klasma.github.io/Logging_0980/fåglar/A 43321-2020 prioriterade fågelarter.docx", "A 43321-2020")</f>
        <v/>
      </c>
    </row>
    <row r="169" ht="15" customHeight="1">
      <c r="A169" t="inlineStr">
        <is>
          <t>A 58701-2020</t>
        </is>
      </c>
      <c r="B169" s="1" t="n">
        <v>44146</v>
      </c>
      <c r="C169" s="1" t="n">
        <v>45828</v>
      </c>
      <c r="D169" t="inlineStr">
        <is>
          <t>GOTLANDS LÄN</t>
        </is>
      </c>
      <c r="E169" t="inlineStr">
        <is>
          <t>GOTLAND</t>
        </is>
      </c>
      <c r="G169" t="n">
        <v>5.5</v>
      </c>
      <c r="H169" t="n">
        <v>0</v>
      </c>
      <c r="I169" t="n">
        <v>0</v>
      </c>
      <c r="J169" t="n">
        <v>1</v>
      </c>
      <c r="K169" t="n">
        <v>1</v>
      </c>
      <c r="L169" t="n">
        <v>0</v>
      </c>
      <c r="M169" t="n">
        <v>0</v>
      </c>
      <c r="N169" t="n">
        <v>0</v>
      </c>
      <c r="O169" t="n">
        <v>2</v>
      </c>
      <c r="P169" t="n">
        <v>1</v>
      </c>
      <c r="Q169" t="n">
        <v>2</v>
      </c>
      <c r="R169" s="2" t="inlineStr">
        <is>
          <t>Vit taggsvamp
Odörspindling</t>
        </is>
      </c>
      <c r="S169">
        <f>HYPERLINK("https://klasma.github.io/Logging_0980/artfynd/A 58701-2020 artfynd.xlsx", "A 58701-2020")</f>
        <v/>
      </c>
      <c r="T169">
        <f>HYPERLINK("https://klasma.github.io/Logging_0980/kartor/A 58701-2020 karta.png", "A 58701-2020")</f>
        <v/>
      </c>
      <c r="V169">
        <f>HYPERLINK("https://klasma.github.io/Logging_0980/klagomål/A 58701-2020 FSC-klagomål.docx", "A 58701-2020")</f>
        <v/>
      </c>
      <c r="W169">
        <f>HYPERLINK("https://klasma.github.io/Logging_0980/klagomålsmail/A 58701-2020 FSC-klagomål mail.docx", "A 58701-2020")</f>
        <v/>
      </c>
      <c r="X169">
        <f>HYPERLINK("https://klasma.github.io/Logging_0980/tillsyn/A 58701-2020 tillsynsbegäran.docx", "A 58701-2020")</f>
        <v/>
      </c>
      <c r="Y169">
        <f>HYPERLINK("https://klasma.github.io/Logging_0980/tillsynsmail/A 58701-2020 tillsynsbegäran mail.docx", "A 58701-2020")</f>
        <v/>
      </c>
    </row>
    <row r="170" ht="15" customHeight="1">
      <c r="A170" t="inlineStr">
        <is>
          <t>A 64263-2020</t>
        </is>
      </c>
      <c r="B170" s="1" t="n">
        <v>44168</v>
      </c>
      <c r="C170" s="1" t="n">
        <v>45828</v>
      </c>
      <c r="D170" t="inlineStr">
        <is>
          <t>GOTLANDS LÄN</t>
        </is>
      </c>
      <c r="E170" t="inlineStr">
        <is>
          <t>GOTLAND</t>
        </is>
      </c>
      <c r="G170" t="n">
        <v>10.9</v>
      </c>
      <c r="H170" t="n">
        <v>1</v>
      </c>
      <c r="I170" t="n">
        <v>0</v>
      </c>
      <c r="J170" t="n">
        <v>2</v>
      </c>
      <c r="K170" t="n">
        <v>0</v>
      </c>
      <c r="L170" t="n">
        <v>0</v>
      </c>
      <c r="M170" t="n">
        <v>0</v>
      </c>
      <c r="N170" t="n">
        <v>0</v>
      </c>
      <c r="O170" t="n">
        <v>2</v>
      </c>
      <c r="P170" t="n">
        <v>0</v>
      </c>
      <c r="Q170" t="n">
        <v>2</v>
      </c>
      <c r="R170" s="2" t="inlineStr">
        <is>
          <t>Mindre hackspett
Ullticka</t>
        </is>
      </c>
      <c r="S170">
        <f>HYPERLINK("https://klasma.github.io/Logging_0980/artfynd/A 64263-2020 artfynd.xlsx", "A 64263-2020")</f>
        <v/>
      </c>
      <c r="T170">
        <f>HYPERLINK("https://klasma.github.io/Logging_0980/kartor/A 64263-2020 karta.png", "A 64263-2020")</f>
        <v/>
      </c>
      <c r="V170">
        <f>HYPERLINK("https://klasma.github.io/Logging_0980/klagomål/A 64263-2020 FSC-klagomål.docx", "A 64263-2020")</f>
        <v/>
      </c>
      <c r="W170">
        <f>HYPERLINK("https://klasma.github.io/Logging_0980/klagomålsmail/A 64263-2020 FSC-klagomål mail.docx", "A 64263-2020")</f>
        <v/>
      </c>
      <c r="X170">
        <f>HYPERLINK("https://klasma.github.io/Logging_0980/tillsyn/A 64263-2020 tillsynsbegäran.docx", "A 64263-2020")</f>
        <v/>
      </c>
      <c r="Y170">
        <f>HYPERLINK("https://klasma.github.io/Logging_0980/tillsynsmail/A 64263-2020 tillsynsbegäran mail.docx", "A 64263-2020")</f>
        <v/>
      </c>
      <c r="Z170">
        <f>HYPERLINK("https://klasma.github.io/Logging_0980/fåglar/A 64263-2020 prioriterade fågelarter.docx", "A 64263-2020")</f>
        <v/>
      </c>
    </row>
    <row r="171" ht="15" customHeight="1">
      <c r="A171" t="inlineStr">
        <is>
          <t>A 9930-2021</t>
        </is>
      </c>
      <c r="B171" s="1" t="n">
        <v>44252</v>
      </c>
      <c r="C171" s="1" t="n">
        <v>45828</v>
      </c>
      <c r="D171" t="inlineStr">
        <is>
          <t>GOTLANDS LÄN</t>
        </is>
      </c>
      <c r="E171" t="inlineStr">
        <is>
          <t>GOTLAND</t>
        </is>
      </c>
      <c r="G171" t="n">
        <v>1.9</v>
      </c>
      <c r="H171" t="n">
        <v>0</v>
      </c>
      <c r="I171" t="n">
        <v>0</v>
      </c>
      <c r="J171" t="n">
        <v>0</v>
      </c>
      <c r="K171" t="n">
        <v>0</v>
      </c>
      <c r="L171" t="n">
        <v>1</v>
      </c>
      <c r="M171" t="n">
        <v>1</v>
      </c>
      <c r="N171" t="n">
        <v>0</v>
      </c>
      <c r="O171" t="n">
        <v>2</v>
      </c>
      <c r="P171" t="n">
        <v>2</v>
      </c>
      <c r="Q171" t="n">
        <v>2</v>
      </c>
      <c r="R171" s="2" t="inlineStr">
        <is>
          <t>Lundalm
Ask</t>
        </is>
      </c>
      <c r="S171">
        <f>HYPERLINK("https://klasma.github.io/Logging_0980/artfynd/A 9930-2021 artfynd.xlsx", "A 9930-2021")</f>
        <v/>
      </c>
      <c r="T171">
        <f>HYPERLINK("https://klasma.github.io/Logging_0980/kartor/A 9930-2021 karta.png", "A 9930-2021")</f>
        <v/>
      </c>
      <c r="V171">
        <f>HYPERLINK("https://klasma.github.io/Logging_0980/klagomål/A 9930-2021 FSC-klagomål.docx", "A 9930-2021")</f>
        <v/>
      </c>
      <c r="W171">
        <f>HYPERLINK("https://klasma.github.io/Logging_0980/klagomålsmail/A 9930-2021 FSC-klagomål mail.docx", "A 9930-2021")</f>
        <v/>
      </c>
      <c r="X171">
        <f>HYPERLINK("https://klasma.github.io/Logging_0980/tillsyn/A 9930-2021 tillsynsbegäran.docx", "A 9930-2021")</f>
        <v/>
      </c>
      <c r="Y171">
        <f>HYPERLINK("https://klasma.github.io/Logging_0980/tillsynsmail/A 9930-2021 tillsynsbegäran mail.docx", "A 9930-2021")</f>
        <v/>
      </c>
    </row>
    <row r="172" ht="15" customHeight="1">
      <c r="A172" t="inlineStr">
        <is>
          <t>A 16429-2021</t>
        </is>
      </c>
      <c r="B172" s="1" t="n">
        <v>44293</v>
      </c>
      <c r="C172" s="1" t="n">
        <v>45828</v>
      </c>
      <c r="D172" t="inlineStr">
        <is>
          <t>GOTLANDS LÄN</t>
        </is>
      </c>
      <c r="E172" t="inlineStr">
        <is>
          <t>GOTLAND</t>
        </is>
      </c>
      <c r="G172" t="n">
        <v>3.4</v>
      </c>
      <c r="H172" t="n">
        <v>0</v>
      </c>
      <c r="I172" t="n">
        <v>0</v>
      </c>
      <c r="J172" t="n">
        <v>1</v>
      </c>
      <c r="K172" t="n">
        <v>1</v>
      </c>
      <c r="L172" t="n">
        <v>0</v>
      </c>
      <c r="M172" t="n">
        <v>0</v>
      </c>
      <c r="N172" t="n">
        <v>0</v>
      </c>
      <c r="O172" t="n">
        <v>2</v>
      </c>
      <c r="P172" t="n">
        <v>1</v>
      </c>
      <c r="Q172" t="n">
        <v>2</v>
      </c>
      <c r="R172" s="2" t="inlineStr">
        <is>
          <t>Gotlandsmåra
Barrviolspindling</t>
        </is>
      </c>
      <c r="S172">
        <f>HYPERLINK("https://klasma.github.io/Logging_0980/artfynd/A 16429-2021 artfynd.xlsx", "A 16429-2021")</f>
        <v/>
      </c>
      <c r="T172">
        <f>HYPERLINK("https://klasma.github.io/Logging_0980/kartor/A 16429-2021 karta.png", "A 16429-2021")</f>
        <v/>
      </c>
      <c r="V172">
        <f>HYPERLINK("https://klasma.github.io/Logging_0980/klagomål/A 16429-2021 FSC-klagomål.docx", "A 16429-2021")</f>
        <v/>
      </c>
      <c r="W172">
        <f>HYPERLINK("https://klasma.github.io/Logging_0980/klagomålsmail/A 16429-2021 FSC-klagomål mail.docx", "A 16429-2021")</f>
        <v/>
      </c>
      <c r="X172">
        <f>HYPERLINK("https://klasma.github.io/Logging_0980/tillsyn/A 16429-2021 tillsynsbegäran.docx", "A 16429-2021")</f>
        <v/>
      </c>
      <c r="Y172">
        <f>HYPERLINK("https://klasma.github.io/Logging_0980/tillsynsmail/A 16429-2021 tillsynsbegäran mail.docx", "A 16429-2021")</f>
        <v/>
      </c>
    </row>
    <row r="173" ht="15" customHeight="1">
      <c r="A173" t="inlineStr">
        <is>
          <t>A 29870-2021</t>
        </is>
      </c>
      <c r="B173" s="1" t="n">
        <v>44362</v>
      </c>
      <c r="C173" s="1" t="n">
        <v>45828</v>
      </c>
      <c r="D173" t="inlineStr">
        <is>
          <t>GOTLANDS LÄN</t>
        </is>
      </c>
      <c r="E173" t="inlineStr">
        <is>
          <t>GOTLAND</t>
        </is>
      </c>
      <c r="G173" t="n">
        <v>2.4</v>
      </c>
      <c r="H173" t="n">
        <v>0</v>
      </c>
      <c r="I173" t="n">
        <v>1</v>
      </c>
      <c r="J173" t="n">
        <v>0</v>
      </c>
      <c r="K173" t="n">
        <v>1</v>
      </c>
      <c r="L173" t="n">
        <v>0</v>
      </c>
      <c r="M173" t="n">
        <v>0</v>
      </c>
      <c r="N173" t="n">
        <v>0</v>
      </c>
      <c r="O173" t="n">
        <v>1</v>
      </c>
      <c r="P173" t="n">
        <v>1</v>
      </c>
      <c r="Q173" t="n">
        <v>2</v>
      </c>
      <c r="R173" s="2" t="inlineStr">
        <is>
          <t>Blåfotad fagerspindling
Olivspindling</t>
        </is>
      </c>
      <c r="S173">
        <f>HYPERLINK("https://klasma.github.io/Logging_0980/artfynd/A 29870-2021 artfynd.xlsx", "A 29870-2021")</f>
        <v/>
      </c>
      <c r="T173">
        <f>HYPERLINK("https://klasma.github.io/Logging_0980/kartor/A 29870-2021 karta.png", "A 29870-2021")</f>
        <v/>
      </c>
      <c r="V173">
        <f>HYPERLINK("https://klasma.github.io/Logging_0980/klagomål/A 29870-2021 FSC-klagomål.docx", "A 29870-2021")</f>
        <v/>
      </c>
      <c r="W173">
        <f>HYPERLINK("https://klasma.github.io/Logging_0980/klagomålsmail/A 29870-2021 FSC-klagomål mail.docx", "A 29870-2021")</f>
        <v/>
      </c>
      <c r="X173">
        <f>HYPERLINK("https://klasma.github.io/Logging_0980/tillsyn/A 29870-2021 tillsynsbegäran.docx", "A 29870-2021")</f>
        <v/>
      </c>
      <c r="Y173">
        <f>HYPERLINK("https://klasma.github.io/Logging_0980/tillsynsmail/A 29870-2021 tillsynsbegäran mail.docx", "A 29870-2021")</f>
        <v/>
      </c>
    </row>
    <row r="174" ht="15" customHeight="1">
      <c r="A174" t="inlineStr">
        <is>
          <t>A 41346-2021</t>
        </is>
      </c>
      <c r="B174" s="1" t="n">
        <v>44424</v>
      </c>
      <c r="C174" s="1" t="n">
        <v>45828</v>
      </c>
      <c r="D174" t="inlineStr">
        <is>
          <t>GOTLANDS LÄN</t>
        </is>
      </c>
      <c r="E174" t="inlineStr">
        <is>
          <t>GOTLAND</t>
        </is>
      </c>
      <c r="G174" t="n">
        <v>0.9</v>
      </c>
      <c r="H174" t="n">
        <v>0</v>
      </c>
      <c r="I174" t="n">
        <v>1</v>
      </c>
      <c r="J174" t="n">
        <v>0</v>
      </c>
      <c r="K174" t="n">
        <v>1</v>
      </c>
      <c r="L174" t="n">
        <v>0</v>
      </c>
      <c r="M174" t="n">
        <v>0</v>
      </c>
      <c r="N174" t="n">
        <v>0</v>
      </c>
      <c r="O174" t="n">
        <v>1</v>
      </c>
      <c r="P174" t="n">
        <v>1</v>
      </c>
      <c r="Q174" t="n">
        <v>2</v>
      </c>
      <c r="R174" s="2" t="inlineStr">
        <is>
          <t>Vit taggsvamp
Fjällig taggsvamp s.str.</t>
        </is>
      </c>
      <c r="S174">
        <f>HYPERLINK("https://klasma.github.io/Logging_0980/artfynd/A 41346-2021 artfynd.xlsx", "A 41346-2021")</f>
        <v/>
      </c>
      <c r="T174">
        <f>HYPERLINK("https://klasma.github.io/Logging_0980/kartor/A 41346-2021 karta.png", "A 41346-2021")</f>
        <v/>
      </c>
      <c r="V174">
        <f>HYPERLINK("https://klasma.github.io/Logging_0980/klagomål/A 41346-2021 FSC-klagomål.docx", "A 41346-2021")</f>
        <v/>
      </c>
      <c r="W174">
        <f>HYPERLINK("https://klasma.github.io/Logging_0980/klagomålsmail/A 41346-2021 FSC-klagomål mail.docx", "A 41346-2021")</f>
        <v/>
      </c>
      <c r="X174">
        <f>HYPERLINK("https://klasma.github.io/Logging_0980/tillsyn/A 41346-2021 tillsynsbegäran.docx", "A 41346-2021")</f>
        <v/>
      </c>
      <c r="Y174">
        <f>HYPERLINK("https://klasma.github.io/Logging_0980/tillsynsmail/A 41346-2021 tillsynsbegäran mail.docx", "A 41346-2021")</f>
        <v/>
      </c>
    </row>
    <row r="175" ht="15" customHeight="1">
      <c r="A175" t="inlineStr">
        <is>
          <t>A 51737-2021</t>
        </is>
      </c>
      <c r="B175" s="1" t="n">
        <v>44462</v>
      </c>
      <c r="C175" s="1" t="n">
        <v>45828</v>
      </c>
      <c r="D175" t="inlineStr">
        <is>
          <t>GOTLANDS LÄN</t>
        </is>
      </c>
      <c r="E175" t="inlineStr">
        <is>
          <t>GOTLAND</t>
        </is>
      </c>
      <c r="G175" t="n">
        <v>8.6</v>
      </c>
      <c r="H175" t="n">
        <v>0</v>
      </c>
      <c r="I175" t="n">
        <v>1</v>
      </c>
      <c r="J175" t="n">
        <v>1</v>
      </c>
      <c r="K175" t="n">
        <v>0</v>
      </c>
      <c r="L175" t="n">
        <v>0</v>
      </c>
      <c r="M175" t="n">
        <v>0</v>
      </c>
      <c r="N175" t="n">
        <v>0</v>
      </c>
      <c r="O175" t="n">
        <v>1</v>
      </c>
      <c r="P175" t="n">
        <v>0</v>
      </c>
      <c r="Q175" t="n">
        <v>2</v>
      </c>
      <c r="R175" s="2" t="inlineStr">
        <is>
          <t>Igelkott
Kambräken</t>
        </is>
      </c>
      <c r="S175">
        <f>HYPERLINK("https://klasma.github.io/Logging_0980/artfynd/A 51737-2021 artfynd.xlsx", "A 51737-2021")</f>
        <v/>
      </c>
      <c r="T175">
        <f>HYPERLINK("https://klasma.github.io/Logging_0980/kartor/A 51737-2021 karta.png", "A 51737-2021")</f>
        <v/>
      </c>
      <c r="V175">
        <f>HYPERLINK("https://klasma.github.io/Logging_0980/klagomål/A 51737-2021 FSC-klagomål.docx", "A 51737-2021")</f>
        <v/>
      </c>
      <c r="W175">
        <f>HYPERLINK("https://klasma.github.io/Logging_0980/klagomålsmail/A 51737-2021 FSC-klagomål mail.docx", "A 51737-2021")</f>
        <v/>
      </c>
      <c r="X175">
        <f>HYPERLINK("https://klasma.github.io/Logging_0980/tillsyn/A 51737-2021 tillsynsbegäran.docx", "A 51737-2021")</f>
        <v/>
      </c>
      <c r="Y175">
        <f>HYPERLINK("https://klasma.github.io/Logging_0980/tillsynsmail/A 51737-2021 tillsynsbegäran mail.docx", "A 51737-2021")</f>
        <v/>
      </c>
    </row>
    <row r="176" ht="15" customHeight="1">
      <c r="A176" t="inlineStr">
        <is>
          <t>A 60665-2021</t>
        </is>
      </c>
      <c r="B176" s="1" t="n">
        <v>44496</v>
      </c>
      <c r="C176" s="1" t="n">
        <v>45828</v>
      </c>
      <c r="D176" t="inlineStr">
        <is>
          <t>GOTLANDS LÄN</t>
        </is>
      </c>
      <c r="E176" t="inlineStr">
        <is>
          <t>GOTLAND</t>
        </is>
      </c>
      <c r="G176" t="n">
        <v>1.6</v>
      </c>
      <c r="H176" t="n">
        <v>0</v>
      </c>
      <c r="I176" t="n">
        <v>0</v>
      </c>
      <c r="J176" t="n">
        <v>0</v>
      </c>
      <c r="K176" t="n">
        <v>1</v>
      </c>
      <c r="L176" t="n">
        <v>1</v>
      </c>
      <c r="M176" t="n">
        <v>0</v>
      </c>
      <c r="N176" t="n">
        <v>0</v>
      </c>
      <c r="O176" t="n">
        <v>2</v>
      </c>
      <c r="P176" t="n">
        <v>2</v>
      </c>
      <c r="Q176" t="n">
        <v>2</v>
      </c>
      <c r="R176" s="2" t="inlineStr">
        <is>
          <t>Ädellav
Skogskorn</t>
        </is>
      </c>
      <c r="S176">
        <f>HYPERLINK("https://klasma.github.io/Logging_0980/artfynd/A 60665-2021 artfynd.xlsx", "A 60665-2021")</f>
        <v/>
      </c>
      <c r="T176">
        <f>HYPERLINK("https://klasma.github.io/Logging_0980/kartor/A 60665-2021 karta.png", "A 60665-2021")</f>
        <v/>
      </c>
      <c r="V176">
        <f>HYPERLINK("https://klasma.github.io/Logging_0980/klagomål/A 60665-2021 FSC-klagomål.docx", "A 60665-2021")</f>
        <v/>
      </c>
      <c r="W176">
        <f>HYPERLINK("https://klasma.github.io/Logging_0980/klagomålsmail/A 60665-2021 FSC-klagomål mail.docx", "A 60665-2021")</f>
        <v/>
      </c>
      <c r="X176">
        <f>HYPERLINK("https://klasma.github.io/Logging_0980/tillsyn/A 60665-2021 tillsynsbegäran.docx", "A 60665-2021")</f>
        <v/>
      </c>
      <c r="Y176">
        <f>HYPERLINK("https://klasma.github.io/Logging_0980/tillsynsmail/A 60665-2021 tillsynsbegäran mail.docx", "A 60665-2021")</f>
        <v/>
      </c>
    </row>
    <row r="177" ht="15" customHeight="1">
      <c r="A177" t="inlineStr">
        <is>
          <t>A 73144-2021</t>
        </is>
      </c>
      <c r="B177" s="1" t="n">
        <v>44550</v>
      </c>
      <c r="C177" s="1" t="n">
        <v>45828</v>
      </c>
      <c r="D177" t="inlineStr">
        <is>
          <t>GOTLANDS LÄN</t>
        </is>
      </c>
      <c r="E177" t="inlineStr">
        <is>
          <t>GOTLAND</t>
        </is>
      </c>
      <c r="G177" t="n">
        <v>1.9</v>
      </c>
      <c r="H177" t="n">
        <v>0</v>
      </c>
      <c r="I177" t="n">
        <v>1</v>
      </c>
      <c r="J177" t="n">
        <v>0</v>
      </c>
      <c r="K177" t="n">
        <v>1</v>
      </c>
      <c r="L177" t="n">
        <v>0</v>
      </c>
      <c r="M177" t="n">
        <v>0</v>
      </c>
      <c r="N177" t="n">
        <v>0</v>
      </c>
      <c r="O177" t="n">
        <v>1</v>
      </c>
      <c r="P177" t="n">
        <v>1</v>
      </c>
      <c r="Q177" t="n">
        <v>2</v>
      </c>
      <c r="R177" s="2" t="inlineStr">
        <is>
          <t>Skogskorn
Kambräken</t>
        </is>
      </c>
      <c r="S177">
        <f>HYPERLINK("https://klasma.github.io/Logging_0980/artfynd/A 73144-2021 artfynd.xlsx", "A 73144-2021")</f>
        <v/>
      </c>
      <c r="T177">
        <f>HYPERLINK("https://klasma.github.io/Logging_0980/kartor/A 73144-2021 karta.png", "A 73144-2021")</f>
        <v/>
      </c>
      <c r="V177">
        <f>HYPERLINK("https://klasma.github.io/Logging_0980/klagomål/A 73144-2021 FSC-klagomål.docx", "A 73144-2021")</f>
        <v/>
      </c>
      <c r="W177">
        <f>HYPERLINK("https://klasma.github.io/Logging_0980/klagomålsmail/A 73144-2021 FSC-klagomål mail.docx", "A 73144-2021")</f>
        <v/>
      </c>
      <c r="X177">
        <f>HYPERLINK("https://klasma.github.io/Logging_0980/tillsyn/A 73144-2021 tillsynsbegäran.docx", "A 73144-2021")</f>
        <v/>
      </c>
      <c r="Y177">
        <f>HYPERLINK("https://klasma.github.io/Logging_0980/tillsynsmail/A 73144-2021 tillsynsbegäran mail.docx", "A 73144-2021")</f>
        <v/>
      </c>
    </row>
    <row r="178" ht="15" customHeight="1">
      <c r="A178" t="inlineStr">
        <is>
          <t>A 7070-2022</t>
        </is>
      </c>
      <c r="B178" s="1" t="n">
        <v>44603</v>
      </c>
      <c r="C178" s="1" t="n">
        <v>45828</v>
      </c>
      <c r="D178" t="inlineStr">
        <is>
          <t>GOTLANDS LÄN</t>
        </is>
      </c>
      <c r="E178" t="inlineStr">
        <is>
          <t>GOTLAND</t>
        </is>
      </c>
      <c r="G178" t="n">
        <v>2.6</v>
      </c>
      <c r="H178" t="n">
        <v>0</v>
      </c>
      <c r="I178" t="n">
        <v>2</v>
      </c>
      <c r="J178" t="n">
        <v>0</v>
      </c>
      <c r="K178" t="n">
        <v>0</v>
      </c>
      <c r="L178" t="n">
        <v>0</v>
      </c>
      <c r="M178" t="n">
        <v>0</v>
      </c>
      <c r="N178" t="n">
        <v>0</v>
      </c>
      <c r="O178" t="n">
        <v>0</v>
      </c>
      <c r="P178" t="n">
        <v>0</v>
      </c>
      <c r="Q178" t="n">
        <v>2</v>
      </c>
      <c r="R178" s="2" t="inlineStr">
        <is>
          <t>Blåmossa
Kattfotslav</t>
        </is>
      </c>
      <c r="S178">
        <f>HYPERLINK("https://klasma.github.io/Logging_0980/artfynd/A 7070-2022 artfynd.xlsx", "A 7070-2022")</f>
        <v/>
      </c>
      <c r="T178">
        <f>HYPERLINK("https://klasma.github.io/Logging_0980/kartor/A 7070-2022 karta.png", "A 7070-2022")</f>
        <v/>
      </c>
      <c r="V178">
        <f>HYPERLINK("https://klasma.github.io/Logging_0980/klagomål/A 7070-2022 FSC-klagomål.docx", "A 7070-2022")</f>
        <v/>
      </c>
      <c r="W178">
        <f>HYPERLINK("https://klasma.github.io/Logging_0980/klagomålsmail/A 7070-2022 FSC-klagomål mail.docx", "A 7070-2022")</f>
        <v/>
      </c>
      <c r="X178">
        <f>HYPERLINK("https://klasma.github.io/Logging_0980/tillsyn/A 7070-2022 tillsynsbegäran.docx", "A 7070-2022")</f>
        <v/>
      </c>
      <c r="Y178">
        <f>HYPERLINK("https://klasma.github.io/Logging_0980/tillsynsmail/A 7070-2022 tillsynsbegäran mail.docx", "A 7070-2022")</f>
        <v/>
      </c>
    </row>
    <row r="179" ht="15" customHeight="1">
      <c r="A179" t="inlineStr">
        <is>
          <t>A 19175-2022</t>
        </is>
      </c>
      <c r="B179" s="1" t="n">
        <v>44691</v>
      </c>
      <c r="C179" s="1" t="n">
        <v>45828</v>
      </c>
      <c r="D179" t="inlineStr">
        <is>
          <t>GOTLANDS LÄN</t>
        </is>
      </c>
      <c r="E179" t="inlineStr">
        <is>
          <t>GOTLAND</t>
        </is>
      </c>
      <c r="G179" t="n">
        <v>8.5</v>
      </c>
      <c r="H179" t="n">
        <v>1</v>
      </c>
      <c r="I179" t="n">
        <v>0</v>
      </c>
      <c r="J179" t="n">
        <v>2</v>
      </c>
      <c r="K179" t="n">
        <v>0</v>
      </c>
      <c r="L179" t="n">
        <v>0</v>
      </c>
      <c r="M179" t="n">
        <v>0</v>
      </c>
      <c r="N179" t="n">
        <v>0</v>
      </c>
      <c r="O179" t="n">
        <v>2</v>
      </c>
      <c r="P179" t="n">
        <v>0</v>
      </c>
      <c r="Q179" t="n">
        <v>2</v>
      </c>
      <c r="R179" s="2" t="inlineStr">
        <is>
          <t>Jordtistel
Spillkråka</t>
        </is>
      </c>
      <c r="S179">
        <f>HYPERLINK("https://klasma.github.io/Logging_0980/artfynd/A 19175-2022 artfynd.xlsx", "A 19175-2022")</f>
        <v/>
      </c>
      <c r="T179">
        <f>HYPERLINK("https://klasma.github.io/Logging_0980/kartor/A 19175-2022 karta.png", "A 19175-2022")</f>
        <v/>
      </c>
      <c r="V179">
        <f>HYPERLINK("https://klasma.github.io/Logging_0980/klagomål/A 19175-2022 FSC-klagomål.docx", "A 19175-2022")</f>
        <v/>
      </c>
      <c r="W179">
        <f>HYPERLINK("https://klasma.github.io/Logging_0980/klagomålsmail/A 19175-2022 FSC-klagomål mail.docx", "A 19175-2022")</f>
        <v/>
      </c>
      <c r="X179">
        <f>HYPERLINK("https://klasma.github.io/Logging_0980/tillsyn/A 19175-2022 tillsynsbegäran.docx", "A 19175-2022")</f>
        <v/>
      </c>
      <c r="Y179">
        <f>HYPERLINK("https://klasma.github.io/Logging_0980/tillsynsmail/A 19175-2022 tillsynsbegäran mail.docx", "A 19175-2022")</f>
        <v/>
      </c>
      <c r="Z179">
        <f>HYPERLINK("https://klasma.github.io/Logging_0980/fåglar/A 19175-2022 prioriterade fågelarter.docx", "A 19175-2022")</f>
        <v/>
      </c>
    </row>
    <row r="180" ht="15" customHeight="1">
      <c r="A180" t="inlineStr">
        <is>
          <t>A 20218-2022</t>
        </is>
      </c>
      <c r="B180" s="1" t="n">
        <v>44698</v>
      </c>
      <c r="C180" s="1" t="n">
        <v>45828</v>
      </c>
      <c r="D180" t="inlineStr">
        <is>
          <t>GOTLANDS LÄN</t>
        </is>
      </c>
      <c r="E180" t="inlineStr">
        <is>
          <t>GOTLAND</t>
        </is>
      </c>
      <c r="G180" t="n">
        <v>4.3</v>
      </c>
      <c r="H180" t="n">
        <v>0</v>
      </c>
      <c r="I180" t="n">
        <v>1</v>
      </c>
      <c r="J180" t="n">
        <v>1</v>
      </c>
      <c r="K180" t="n">
        <v>0</v>
      </c>
      <c r="L180" t="n">
        <v>0</v>
      </c>
      <c r="M180" t="n">
        <v>0</v>
      </c>
      <c r="N180" t="n">
        <v>0</v>
      </c>
      <c r="O180" t="n">
        <v>1</v>
      </c>
      <c r="P180" t="n">
        <v>0</v>
      </c>
      <c r="Q180" t="n">
        <v>2</v>
      </c>
      <c r="R180" s="2" t="inlineStr">
        <is>
          <t>Flattoppad klubbsvamp
Rödgul trumpetsvamp</t>
        </is>
      </c>
      <c r="S180">
        <f>HYPERLINK("https://klasma.github.io/Logging_0980/artfynd/A 20218-2022 artfynd.xlsx", "A 20218-2022")</f>
        <v/>
      </c>
      <c r="T180">
        <f>HYPERLINK("https://klasma.github.io/Logging_0980/kartor/A 20218-2022 karta.png", "A 20218-2022")</f>
        <v/>
      </c>
      <c r="V180">
        <f>HYPERLINK("https://klasma.github.io/Logging_0980/klagomål/A 20218-2022 FSC-klagomål.docx", "A 20218-2022")</f>
        <v/>
      </c>
      <c r="W180">
        <f>HYPERLINK("https://klasma.github.io/Logging_0980/klagomålsmail/A 20218-2022 FSC-klagomål mail.docx", "A 20218-2022")</f>
        <v/>
      </c>
      <c r="X180">
        <f>HYPERLINK("https://klasma.github.io/Logging_0980/tillsyn/A 20218-2022 tillsynsbegäran.docx", "A 20218-2022")</f>
        <v/>
      </c>
      <c r="Y180">
        <f>HYPERLINK("https://klasma.github.io/Logging_0980/tillsynsmail/A 20218-2022 tillsynsbegäran mail.docx", "A 20218-2022")</f>
        <v/>
      </c>
    </row>
    <row r="181" ht="15" customHeight="1">
      <c r="A181" t="inlineStr">
        <is>
          <t>A 48126-2022</t>
        </is>
      </c>
      <c r="B181" s="1" t="n">
        <v>44857</v>
      </c>
      <c r="C181" s="1" t="n">
        <v>45828</v>
      </c>
      <c r="D181" t="inlineStr">
        <is>
          <t>GOTLANDS LÄN</t>
        </is>
      </c>
      <c r="E181" t="inlineStr">
        <is>
          <t>GOTLAND</t>
        </is>
      </c>
      <c r="G181" t="n">
        <v>9.800000000000001</v>
      </c>
      <c r="H181" t="n">
        <v>1</v>
      </c>
      <c r="I181" t="n">
        <v>0</v>
      </c>
      <c r="J181" t="n">
        <v>2</v>
      </c>
      <c r="K181" t="n">
        <v>0</v>
      </c>
      <c r="L181" t="n">
        <v>0</v>
      </c>
      <c r="M181" t="n">
        <v>0</v>
      </c>
      <c r="N181" t="n">
        <v>0</v>
      </c>
      <c r="O181" t="n">
        <v>2</v>
      </c>
      <c r="P181" t="n">
        <v>0</v>
      </c>
      <c r="Q181" t="n">
        <v>2</v>
      </c>
      <c r="R181" s="2" t="inlineStr">
        <is>
          <t>Jordtistel
Spillkråka</t>
        </is>
      </c>
      <c r="S181">
        <f>HYPERLINK("https://klasma.github.io/Logging_0980/artfynd/A 48126-2022 artfynd.xlsx", "A 48126-2022")</f>
        <v/>
      </c>
      <c r="T181">
        <f>HYPERLINK("https://klasma.github.io/Logging_0980/kartor/A 48126-2022 karta.png", "A 48126-2022")</f>
        <v/>
      </c>
      <c r="V181">
        <f>HYPERLINK("https://klasma.github.io/Logging_0980/klagomål/A 48126-2022 FSC-klagomål.docx", "A 48126-2022")</f>
        <v/>
      </c>
      <c r="W181">
        <f>HYPERLINK("https://klasma.github.io/Logging_0980/klagomålsmail/A 48126-2022 FSC-klagomål mail.docx", "A 48126-2022")</f>
        <v/>
      </c>
      <c r="X181">
        <f>HYPERLINK("https://klasma.github.io/Logging_0980/tillsyn/A 48126-2022 tillsynsbegäran.docx", "A 48126-2022")</f>
        <v/>
      </c>
      <c r="Y181">
        <f>HYPERLINK("https://klasma.github.io/Logging_0980/tillsynsmail/A 48126-2022 tillsynsbegäran mail.docx", "A 48126-2022")</f>
        <v/>
      </c>
      <c r="Z181">
        <f>HYPERLINK("https://klasma.github.io/Logging_0980/fåglar/A 48126-2022 prioriterade fågelarter.docx", "A 48126-2022")</f>
        <v/>
      </c>
    </row>
    <row r="182" ht="15" customHeight="1">
      <c r="A182" t="inlineStr">
        <is>
          <t>A 62193-2022</t>
        </is>
      </c>
      <c r="B182" s="1" t="n">
        <v>44922</v>
      </c>
      <c r="C182" s="1" t="n">
        <v>45828</v>
      </c>
      <c r="D182" t="inlineStr">
        <is>
          <t>GOTLANDS LÄN</t>
        </is>
      </c>
      <c r="E182" t="inlineStr">
        <is>
          <t>GOTLAND</t>
        </is>
      </c>
      <c r="G182" t="n">
        <v>5.6</v>
      </c>
      <c r="H182" t="n">
        <v>2</v>
      </c>
      <c r="I182" t="n">
        <v>0</v>
      </c>
      <c r="J182" t="n">
        <v>1</v>
      </c>
      <c r="K182" t="n">
        <v>0</v>
      </c>
      <c r="L182" t="n">
        <v>0</v>
      </c>
      <c r="M182" t="n">
        <v>0</v>
      </c>
      <c r="N182" t="n">
        <v>0</v>
      </c>
      <c r="O182" t="n">
        <v>1</v>
      </c>
      <c r="P182" t="n">
        <v>0</v>
      </c>
      <c r="Q182" t="n">
        <v>2</v>
      </c>
      <c r="R182" s="2" t="inlineStr">
        <is>
          <t>Grönsångare
Gullviva</t>
        </is>
      </c>
      <c r="S182">
        <f>HYPERLINK("https://klasma.github.io/Logging_0980/artfynd/A 62193-2022 artfynd.xlsx", "A 62193-2022")</f>
        <v/>
      </c>
      <c r="T182">
        <f>HYPERLINK("https://klasma.github.io/Logging_0980/kartor/A 62193-2022 karta.png", "A 62193-2022")</f>
        <v/>
      </c>
      <c r="V182">
        <f>HYPERLINK("https://klasma.github.io/Logging_0980/klagomål/A 62193-2022 FSC-klagomål.docx", "A 62193-2022")</f>
        <v/>
      </c>
      <c r="W182">
        <f>HYPERLINK("https://klasma.github.io/Logging_0980/klagomålsmail/A 62193-2022 FSC-klagomål mail.docx", "A 62193-2022")</f>
        <v/>
      </c>
      <c r="X182">
        <f>HYPERLINK("https://klasma.github.io/Logging_0980/tillsyn/A 62193-2022 tillsynsbegäran.docx", "A 62193-2022")</f>
        <v/>
      </c>
      <c r="Y182">
        <f>HYPERLINK("https://klasma.github.io/Logging_0980/tillsynsmail/A 62193-2022 tillsynsbegäran mail.docx", "A 62193-2022")</f>
        <v/>
      </c>
      <c r="Z182">
        <f>HYPERLINK("https://klasma.github.io/Logging_0980/fåglar/A 62193-2022 prioriterade fågelarter.docx", "A 62193-2022")</f>
        <v/>
      </c>
    </row>
    <row r="183" ht="15" customHeight="1">
      <c r="A183" t="inlineStr">
        <is>
          <t>A 3779-2023</t>
        </is>
      </c>
      <c r="B183" s="1" t="n">
        <v>44951</v>
      </c>
      <c r="C183" s="1" t="n">
        <v>45828</v>
      </c>
      <c r="D183" t="inlineStr">
        <is>
          <t>GOTLANDS LÄN</t>
        </is>
      </c>
      <c r="E183" t="inlineStr">
        <is>
          <t>GOTLAND</t>
        </is>
      </c>
      <c r="G183" t="n">
        <v>5.2</v>
      </c>
      <c r="H183" t="n">
        <v>0</v>
      </c>
      <c r="I183" t="n">
        <v>2</v>
      </c>
      <c r="J183" t="n">
        <v>0</v>
      </c>
      <c r="K183" t="n">
        <v>0</v>
      </c>
      <c r="L183" t="n">
        <v>0</v>
      </c>
      <c r="M183" t="n">
        <v>0</v>
      </c>
      <c r="N183" t="n">
        <v>0</v>
      </c>
      <c r="O183" t="n">
        <v>0</v>
      </c>
      <c r="P183" t="n">
        <v>0</v>
      </c>
      <c r="Q183" t="n">
        <v>2</v>
      </c>
      <c r="R183" s="2" t="inlineStr">
        <is>
          <t>Blå slemspindling
Olivspindling</t>
        </is>
      </c>
      <c r="S183">
        <f>HYPERLINK("https://klasma.github.io/Logging_0980/artfynd/A 3779-2023 artfynd.xlsx", "A 3779-2023")</f>
        <v/>
      </c>
      <c r="T183">
        <f>HYPERLINK("https://klasma.github.io/Logging_0980/kartor/A 3779-2023 karta.png", "A 3779-2023")</f>
        <v/>
      </c>
      <c r="V183">
        <f>HYPERLINK("https://klasma.github.io/Logging_0980/klagomål/A 3779-2023 FSC-klagomål.docx", "A 3779-2023")</f>
        <v/>
      </c>
      <c r="W183">
        <f>HYPERLINK("https://klasma.github.io/Logging_0980/klagomålsmail/A 3779-2023 FSC-klagomål mail.docx", "A 3779-2023")</f>
        <v/>
      </c>
      <c r="X183">
        <f>HYPERLINK("https://klasma.github.io/Logging_0980/tillsyn/A 3779-2023 tillsynsbegäran.docx", "A 3779-2023")</f>
        <v/>
      </c>
      <c r="Y183">
        <f>HYPERLINK("https://klasma.github.io/Logging_0980/tillsynsmail/A 3779-2023 tillsynsbegäran mail.docx", "A 3779-2023")</f>
        <v/>
      </c>
    </row>
    <row r="184" ht="15" customHeight="1">
      <c r="A184" t="inlineStr">
        <is>
          <t>A 35028-2023</t>
        </is>
      </c>
      <c r="B184" s="1" t="n">
        <v>45145</v>
      </c>
      <c r="C184" s="1" t="n">
        <v>45828</v>
      </c>
      <c r="D184" t="inlineStr">
        <is>
          <t>GOTLANDS LÄN</t>
        </is>
      </c>
      <c r="E184" t="inlineStr">
        <is>
          <t>GOTLAND</t>
        </is>
      </c>
      <c r="G184" t="n">
        <v>1.1</v>
      </c>
      <c r="H184" t="n">
        <v>0</v>
      </c>
      <c r="I184" t="n">
        <v>1</v>
      </c>
      <c r="J184" t="n">
        <v>0</v>
      </c>
      <c r="K184" t="n">
        <v>1</v>
      </c>
      <c r="L184" t="n">
        <v>0</v>
      </c>
      <c r="M184" t="n">
        <v>0</v>
      </c>
      <c r="N184" t="n">
        <v>0</v>
      </c>
      <c r="O184" t="n">
        <v>1</v>
      </c>
      <c r="P184" t="n">
        <v>1</v>
      </c>
      <c r="Q184" t="n">
        <v>2</v>
      </c>
      <c r="R184" s="2" t="inlineStr">
        <is>
          <t>Tät korallorangelav
Guldlockmossa</t>
        </is>
      </c>
      <c r="S184">
        <f>HYPERLINK("https://klasma.github.io/Logging_0980/artfynd/A 35028-2023 artfynd.xlsx", "A 35028-2023")</f>
        <v/>
      </c>
      <c r="T184">
        <f>HYPERLINK("https://klasma.github.io/Logging_0980/kartor/A 35028-2023 karta.png", "A 35028-2023")</f>
        <v/>
      </c>
      <c r="V184">
        <f>HYPERLINK("https://klasma.github.io/Logging_0980/klagomål/A 35028-2023 FSC-klagomål.docx", "A 35028-2023")</f>
        <v/>
      </c>
      <c r="W184">
        <f>HYPERLINK("https://klasma.github.io/Logging_0980/klagomålsmail/A 35028-2023 FSC-klagomål mail.docx", "A 35028-2023")</f>
        <v/>
      </c>
      <c r="X184">
        <f>HYPERLINK("https://klasma.github.io/Logging_0980/tillsyn/A 35028-2023 tillsynsbegäran.docx", "A 35028-2023")</f>
        <v/>
      </c>
      <c r="Y184">
        <f>HYPERLINK("https://klasma.github.io/Logging_0980/tillsynsmail/A 35028-2023 tillsynsbegäran mail.docx", "A 35028-2023")</f>
        <v/>
      </c>
    </row>
    <row r="185" ht="15" customHeight="1">
      <c r="A185" t="inlineStr">
        <is>
          <t>A 35029-2023</t>
        </is>
      </c>
      <c r="B185" s="1" t="n">
        <v>45145</v>
      </c>
      <c r="C185" s="1" t="n">
        <v>45828</v>
      </c>
      <c r="D185" t="inlineStr">
        <is>
          <t>GOTLANDS LÄN</t>
        </is>
      </c>
      <c r="E185" t="inlineStr">
        <is>
          <t>GOTLAND</t>
        </is>
      </c>
      <c r="G185" t="n">
        <v>1.7</v>
      </c>
      <c r="H185" t="n">
        <v>0</v>
      </c>
      <c r="I185" t="n">
        <v>1</v>
      </c>
      <c r="J185" t="n">
        <v>1</v>
      </c>
      <c r="K185" t="n">
        <v>0</v>
      </c>
      <c r="L185" t="n">
        <v>0</v>
      </c>
      <c r="M185" t="n">
        <v>0</v>
      </c>
      <c r="N185" t="n">
        <v>0</v>
      </c>
      <c r="O185" t="n">
        <v>1</v>
      </c>
      <c r="P185" t="n">
        <v>0</v>
      </c>
      <c r="Q185" t="n">
        <v>2</v>
      </c>
      <c r="R185" s="2" t="inlineStr">
        <is>
          <t>Odörspindling
Anisspindling</t>
        </is>
      </c>
      <c r="S185">
        <f>HYPERLINK("https://klasma.github.io/Logging_0980/artfynd/A 35029-2023 artfynd.xlsx", "A 35029-2023")</f>
        <v/>
      </c>
      <c r="T185">
        <f>HYPERLINK("https://klasma.github.io/Logging_0980/kartor/A 35029-2023 karta.png", "A 35029-2023")</f>
        <v/>
      </c>
      <c r="V185">
        <f>HYPERLINK("https://klasma.github.io/Logging_0980/klagomål/A 35029-2023 FSC-klagomål.docx", "A 35029-2023")</f>
        <v/>
      </c>
      <c r="W185">
        <f>HYPERLINK("https://klasma.github.io/Logging_0980/klagomålsmail/A 35029-2023 FSC-klagomål mail.docx", "A 35029-2023")</f>
        <v/>
      </c>
      <c r="X185">
        <f>HYPERLINK("https://klasma.github.io/Logging_0980/tillsyn/A 35029-2023 tillsynsbegäran.docx", "A 35029-2023")</f>
        <v/>
      </c>
      <c r="Y185">
        <f>HYPERLINK("https://klasma.github.io/Logging_0980/tillsynsmail/A 35029-2023 tillsynsbegäran mail.docx", "A 35029-2023")</f>
        <v/>
      </c>
    </row>
    <row r="186" ht="15" customHeight="1">
      <c r="A186" t="inlineStr">
        <is>
          <t>A 39430-2023</t>
        </is>
      </c>
      <c r="B186" s="1" t="n">
        <v>45166</v>
      </c>
      <c r="C186" s="1" t="n">
        <v>45828</v>
      </c>
      <c r="D186" t="inlineStr">
        <is>
          <t>GOTLANDS LÄN</t>
        </is>
      </c>
      <c r="E186" t="inlineStr">
        <is>
          <t>GOTLAND</t>
        </is>
      </c>
      <c r="G186" t="n">
        <v>2.3</v>
      </c>
      <c r="H186" t="n">
        <v>0</v>
      </c>
      <c r="I186" t="n">
        <v>1</v>
      </c>
      <c r="J186" t="n">
        <v>1</v>
      </c>
      <c r="K186" t="n">
        <v>0</v>
      </c>
      <c r="L186" t="n">
        <v>0</v>
      </c>
      <c r="M186" t="n">
        <v>0</v>
      </c>
      <c r="N186" t="n">
        <v>0</v>
      </c>
      <c r="O186" t="n">
        <v>1</v>
      </c>
      <c r="P186" t="n">
        <v>0</v>
      </c>
      <c r="Q186" t="n">
        <v>2</v>
      </c>
      <c r="R186" s="2" t="inlineStr">
        <is>
          <t>Odörspindling
Anisspindling</t>
        </is>
      </c>
      <c r="S186">
        <f>HYPERLINK("https://klasma.github.io/Logging_0980/artfynd/A 39430-2023 artfynd.xlsx", "A 39430-2023")</f>
        <v/>
      </c>
      <c r="T186">
        <f>HYPERLINK("https://klasma.github.io/Logging_0980/kartor/A 39430-2023 karta.png", "A 39430-2023")</f>
        <v/>
      </c>
      <c r="V186">
        <f>HYPERLINK("https://klasma.github.io/Logging_0980/klagomål/A 39430-2023 FSC-klagomål.docx", "A 39430-2023")</f>
        <v/>
      </c>
      <c r="W186">
        <f>HYPERLINK("https://klasma.github.io/Logging_0980/klagomålsmail/A 39430-2023 FSC-klagomål mail.docx", "A 39430-2023")</f>
        <v/>
      </c>
      <c r="X186">
        <f>HYPERLINK("https://klasma.github.io/Logging_0980/tillsyn/A 39430-2023 tillsynsbegäran.docx", "A 39430-2023")</f>
        <v/>
      </c>
      <c r="Y186">
        <f>HYPERLINK("https://klasma.github.io/Logging_0980/tillsynsmail/A 39430-2023 tillsynsbegäran mail.docx", "A 39430-2023")</f>
        <v/>
      </c>
    </row>
    <row r="187" ht="15" customHeight="1">
      <c r="A187" t="inlineStr">
        <is>
          <t>A 39749-2023</t>
        </is>
      </c>
      <c r="B187" s="1" t="n">
        <v>45167</v>
      </c>
      <c r="C187" s="1" t="n">
        <v>45828</v>
      </c>
      <c r="D187" t="inlineStr">
        <is>
          <t>GOTLANDS LÄN</t>
        </is>
      </c>
      <c r="E187" t="inlineStr">
        <is>
          <t>GOTLAND</t>
        </is>
      </c>
      <c r="G187" t="n">
        <v>8.300000000000001</v>
      </c>
      <c r="H187" t="n">
        <v>0</v>
      </c>
      <c r="I187" t="n">
        <v>1</v>
      </c>
      <c r="J187" t="n">
        <v>1</v>
      </c>
      <c r="K187" t="n">
        <v>0</v>
      </c>
      <c r="L187" t="n">
        <v>0</v>
      </c>
      <c r="M187" t="n">
        <v>0</v>
      </c>
      <c r="N187" t="n">
        <v>0</v>
      </c>
      <c r="O187" t="n">
        <v>1</v>
      </c>
      <c r="P187" t="n">
        <v>0</v>
      </c>
      <c r="Q187" t="n">
        <v>2</v>
      </c>
      <c r="R187" s="2" t="inlineStr">
        <is>
          <t>Majviva
Axag</t>
        </is>
      </c>
      <c r="S187">
        <f>HYPERLINK("https://klasma.github.io/Logging_0980/artfynd/A 39749-2023 artfynd.xlsx", "A 39749-2023")</f>
        <v/>
      </c>
      <c r="T187">
        <f>HYPERLINK("https://klasma.github.io/Logging_0980/kartor/A 39749-2023 karta.png", "A 39749-2023")</f>
        <v/>
      </c>
      <c r="V187">
        <f>HYPERLINK("https://klasma.github.io/Logging_0980/klagomål/A 39749-2023 FSC-klagomål.docx", "A 39749-2023")</f>
        <v/>
      </c>
      <c r="W187">
        <f>HYPERLINK("https://klasma.github.io/Logging_0980/klagomålsmail/A 39749-2023 FSC-klagomål mail.docx", "A 39749-2023")</f>
        <v/>
      </c>
      <c r="X187">
        <f>HYPERLINK("https://klasma.github.io/Logging_0980/tillsyn/A 39749-2023 tillsynsbegäran.docx", "A 39749-2023")</f>
        <v/>
      </c>
      <c r="Y187">
        <f>HYPERLINK("https://klasma.github.io/Logging_0980/tillsynsmail/A 39749-2023 tillsynsbegäran mail.docx", "A 39749-2023")</f>
        <v/>
      </c>
    </row>
    <row r="188" ht="15" customHeight="1">
      <c r="A188" t="inlineStr">
        <is>
          <t>A 2818-2024</t>
        </is>
      </c>
      <c r="B188" s="1" t="n">
        <v>45314</v>
      </c>
      <c r="C188" s="1" t="n">
        <v>45828</v>
      </c>
      <c r="D188" t="inlineStr">
        <is>
          <t>GOTLANDS LÄN</t>
        </is>
      </c>
      <c r="E188" t="inlineStr">
        <is>
          <t>GOTLAND</t>
        </is>
      </c>
      <c r="G188" t="n">
        <v>2.4</v>
      </c>
      <c r="H188" t="n">
        <v>1</v>
      </c>
      <c r="I188" t="n">
        <v>0</v>
      </c>
      <c r="J188" t="n">
        <v>1</v>
      </c>
      <c r="K188" t="n">
        <v>0</v>
      </c>
      <c r="L188" t="n">
        <v>0</v>
      </c>
      <c r="M188" t="n">
        <v>0</v>
      </c>
      <c r="N188" t="n">
        <v>0</v>
      </c>
      <c r="O188" t="n">
        <v>1</v>
      </c>
      <c r="P188" t="n">
        <v>0</v>
      </c>
      <c r="Q188" t="n">
        <v>2</v>
      </c>
      <c r="R188" s="2" t="inlineStr">
        <is>
          <t>Solvända
Gullviva</t>
        </is>
      </c>
      <c r="S188">
        <f>HYPERLINK("https://klasma.github.io/Logging_0980/artfynd/A 2818-2024 artfynd.xlsx", "A 2818-2024")</f>
        <v/>
      </c>
      <c r="T188">
        <f>HYPERLINK("https://klasma.github.io/Logging_0980/kartor/A 2818-2024 karta.png", "A 2818-2024")</f>
        <v/>
      </c>
      <c r="V188">
        <f>HYPERLINK("https://klasma.github.io/Logging_0980/klagomål/A 2818-2024 FSC-klagomål.docx", "A 2818-2024")</f>
        <v/>
      </c>
      <c r="W188">
        <f>HYPERLINK("https://klasma.github.io/Logging_0980/klagomålsmail/A 2818-2024 FSC-klagomål mail.docx", "A 2818-2024")</f>
        <v/>
      </c>
      <c r="X188">
        <f>HYPERLINK("https://klasma.github.io/Logging_0980/tillsyn/A 2818-2024 tillsynsbegäran.docx", "A 2818-2024")</f>
        <v/>
      </c>
      <c r="Y188">
        <f>HYPERLINK("https://klasma.github.io/Logging_0980/tillsynsmail/A 2818-2024 tillsynsbegäran mail.docx", "A 2818-2024")</f>
        <v/>
      </c>
    </row>
    <row r="189" ht="15" customHeight="1">
      <c r="A189" t="inlineStr">
        <is>
          <t>A 16331-2024</t>
        </is>
      </c>
      <c r="B189" s="1" t="n">
        <v>45407</v>
      </c>
      <c r="C189" s="1" t="n">
        <v>45828</v>
      </c>
      <c r="D189" t="inlineStr">
        <is>
          <t>GOTLANDS LÄN</t>
        </is>
      </c>
      <c r="E189" t="inlineStr">
        <is>
          <t>GOTLAND</t>
        </is>
      </c>
      <c r="G189" t="n">
        <v>4.2</v>
      </c>
      <c r="H189" t="n">
        <v>0</v>
      </c>
      <c r="I189" t="n">
        <v>2</v>
      </c>
      <c r="J189" t="n">
        <v>0</v>
      </c>
      <c r="K189" t="n">
        <v>0</v>
      </c>
      <c r="L189" t="n">
        <v>0</v>
      </c>
      <c r="M189" t="n">
        <v>0</v>
      </c>
      <c r="N189" t="n">
        <v>0</v>
      </c>
      <c r="O189" t="n">
        <v>0</v>
      </c>
      <c r="P189" t="n">
        <v>0</v>
      </c>
      <c r="Q189" t="n">
        <v>2</v>
      </c>
      <c r="R189" s="2" t="inlineStr">
        <is>
          <t>Blå slemspindling
Västlig hakmossa</t>
        </is>
      </c>
      <c r="S189">
        <f>HYPERLINK("https://klasma.github.io/Logging_0980/artfynd/A 16331-2024 artfynd.xlsx", "A 16331-2024")</f>
        <v/>
      </c>
      <c r="T189">
        <f>HYPERLINK("https://klasma.github.io/Logging_0980/kartor/A 16331-2024 karta.png", "A 16331-2024")</f>
        <v/>
      </c>
      <c r="V189">
        <f>HYPERLINK("https://klasma.github.io/Logging_0980/klagomål/A 16331-2024 FSC-klagomål.docx", "A 16331-2024")</f>
        <v/>
      </c>
      <c r="W189">
        <f>HYPERLINK("https://klasma.github.io/Logging_0980/klagomålsmail/A 16331-2024 FSC-klagomål mail.docx", "A 16331-2024")</f>
        <v/>
      </c>
      <c r="X189">
        <f>HYPERLINK("https://klasma.github.io/Logging_0980/tillsyn/A 16331-2024 tillsynsbegäran.docx", "A 16331-2024")</f>
        <v/>
      </c>
      <c r="Y189">
        <f>HYPERLINK("https://klasma.github.io/Logging_0980/tillsynsmail/A 16331-2024 tillsynsbegäran mail.docx", "A 16331-2024")</f>
        <v/>
      </c>
    </row>
    <row r="190" ht="15" customHeight="1">
      <c r="A190" t="inlineStr">
        <is>
          <t>A 17533-2024</t>
        </is>
      </c>
      <c r="B190" s="1" t="n">
        <v>45415</v>
      </c>
      <c r="C190" s="1" t="n">
        <v>45828</v>
      </c>
      <c r="D190" t="inlineStr">
        <is>
          <t>GOTLANDS LÄN</t>
        </is>
      </c>
      <c r="E190" t="inlineStr">
        <is>
          <t>GOTLAND</t>
        </is>
      </c>
      <c r="G190" t="n">
        <v>2.3</v>
      </c>
      <c r="H190" t="n">
        <v>0</v>
      </c>
      <c r="I190" t="n">
        <v>1</v>
      </c>
      <c r="J190" t="n">
        <v>0</v>
      </c>
      <c r="K190" t="n">
        <v>1</v>
      </c>
      <c r="L190" t="n">
        <v>0</v>
      </c>
      <c r="M190" t="n">
        <v>0</v>
      </c>
      <c r="N190" t="n">
        <v>0</v>
      </c>
      <c r="O190" t="n">
        <v>1</v>
      </c>
      <c r="P190" t="n">
        <v>1</v>
      </c>
      <c r="Q190" t="n">
        <v>2</v>
      </c>
      <c r="R190" s="2" t="inlineStr">
        <is>
          <t>Skogskorn
Strävlosta</t>
        </is>
      </c>
      <c r="S190">
        <f>HYPERLINK("https://klasma.github.io/Logging_0980/artfynd/A 17533-2024 artfynd.xlsx", "A 17533-2024")</f>
        <v/>
      </c>
      <c r="T190">
        <f>HYPERLINK("https://klasma.github.io/Logging_0980/kartor/A 17533-2024 karta.png", "A 17533-2024")</f>
        <v/>
      </c>
      <c r="V190">
        <f>HYPERLINK("https://klasma.github.io/Logging_0980/klagomål/A 17533-2024 FSC-klagomål.docx", "A 17533-2024")</f>
        <v/>
      </c>
      <c r="W190">
        <f>HYPERLINK("https://klasma.github.io/Logging_0980/klagomålsmail/A 17533-2024 FSC-klagomål mail.docx", "A 17533-2024")</f>
        <v/>
      </c>
      <c r="X190">
        <f>HYPERLINK("https://klasma.github.io/Logging_0980/tillsyn/A 17533-2024 tillsynsbegäran.docx", "A 17533-2024")</f>
        <v/>
      </c>
      <c r="Y190">
        <f>HYPERLINK("https://klasma.github.io/Logging_0980/tillsynsmail/A 17533-2024 tillsynsbegäran mail.docx", "A 17533-2024")</f>
        <v/>
      </c>
    </row>
    <row r="191" ht="15" customHeight="1">
      <c r="A191" t="inlineStr">
        <is>
          <t>A 25973-2024</t>
        </is>
      </c>
      <c r="B191" s="1" t="n">
        <v>45467</v>
      </c>
      <c r="C191" s="1" t="n">
        <v>45828</v>
      </c>
      <c r="D191" t="inlineStr">
        <is>
          <t>GOTLANDS LÄN</t>
        </is>
      </c>
      <c r="E191" t="inlineStr">
        <is>
          <t>GOTLAND</t>
        </is>
      </c>
      <c r="G191" t="n">
        <v>2.3</v>
      </c>
      <c r="H191" t="n">
        <v>1</v>
      </c>
      <c r="I191" t="n">
        <v>0</v>
      </c>
      <c r="J191" t="n">
        <v>2</v>
      </c>
      <c r="K191" t="n">
        <v>0</v>
      </c>
      <c r="L191" t="n">
        <v>0</v>
      </c>
      <c r="M191" t="n">
        <v>0</v>
      </c>
      <c r="N191" t="n">
        <v>0</v>
      </c>
      <c r="O191" t="n">
        <v>2</v>
      </c>
      <c r="P191" t="n">
        <v>0</v>
      </c>
      <c r="Q191" t="n">
        <v>2</v>
      </c>
      <c r="R191" s="2" t="inlineStr">
        <is>
          <t>Dårgräsfjäril
Svinrot</t>
        </is>
      </c>
      <c r="S191">
        <f>HYPERLINK("https://klasma.github.io/Logging_0980/artfynd/A 25973-2024 artfynd.xlsx", "A 25973-2024")</f>
        <v/>
      </c>
      <c r="T191">
        <f>HYPERLINK("https://klasma.github.io/Logging_0980/kartor/A 25973-2024 karta.png", "A 25973-2024")</f>
        <v/>
      </c>
      <c r="V191">
        <f>HYPERLINK("https://klasma.github.io/Logging_0980/klagomål/A 25973-2024 FSC-klagomål.docx", "A 25973-2024")</f>
        <v/>
      </c>
      <c r="W191">
        <f>HYPERLINK("https://klasma.github.io/Logging_0980/klagomålsmail/A 25973-2024 FSC-klagomål mail.docx", "A 25973-2024")</f>
        <v/>
      </c>
      <c r="X191">
        <f>HYPERLINK("https://klasma.github.io/Logging_0980/tillsyn/A 25973-2024 tillsynsbegäran.docx", "A 25973-2024")</f>
        <v/>
      </c>
      <c r="Y191">
        <f>HYPERLINK("https://klasma.github.io/Logging_0980/tillsynsmail/A 25973-2024 tillsynsbegäran mail.docx", "A 25973-2024")</f>
        <v/>
      </c>
    </row>
    <row r="192" ht="15" customHeight="1">
      <c r="A192" t="inlineStr">
        <is>
          <t>A 26077-2024</t>
        </is>
      </c>
      <c r="B192" s="1" t="n">
        <v>45467</v>
      </c>
      <c r="C192" s="1" t="n">
        <v>45828</v>
      </c>
      <c r="D192" t="inlineStr">
        <is>
          <t>GOTLANDS LÄN</t>
        </is>
      </c>
      <c r="E192" t="inlineStr">
        <is>
          <t>GOTLAND</t>
        </is>
      </c>
      <c r="G192" t="n">
        <v>4.6</v>
      </c>
      <c r="H192" t="n">
        <v>0</v>
      </c>
      <c r="I192" t="n">
        <v>0</v>
      </c>
      <c r="J192" t="n">
        <v>1</v>
      </c>
      <c r="K192" t="n">
        <v>0</v>
      </c>
      <c r="L192" t="n">
        <v>1</v>
      </c>
      <c r="M192" t="n">
        <v>0</v>
      </c>
      <c r="N192" t="n">
        <v>0</v>
      </c>
      <c r="O192" t="n">
        <v>2</v>
      </c>
      <c r="P192" t="n">
        <v>1</v>
      </c>
      <c r="Q192" t="n">
        <v>2</v>
      </c>
      <c r="R192" s="2" t="inlineStr">
        <is>
          <t>Ask
Tallticka</t>
        </is>
      </c>
      <c r="S192">
        <f>HYPERLINK("https://klasma.github.io/Logging_0980/artfynd/A 26077-2024 artfynd.xlsx", "A 26077-2024")</f>
        <v/>
      </c>
      <c r="T192">
        <f>HYPERLINK("https://klasma.github.io/Logging_0980/kartor/A 26077-2024 karta.png", "A 26077-2024")</f>
        <v/>
      </c>
      <c r="V192">
        <f>HYPERLINK("https://klasma.github.io/Logging_0980/klagomål/A 26077-2024 FSC-klagomål.docx", "A 26077-2024")</f>
        <v/>
      </c>
      <c r="W192">
        <f>HYPERLINK("https://klasma.github.io/Logging_0980/klagomålsmail/A 26077-2024 FSC-klagomål mail.docx", "A 26077-2024")</f>
        <v/>
      </c>
      <c r="X192">
        <f>HYPERLINK("https://klasma.github.io/Logging_0980/tillsyn/A 26077-2024 tillsynsbegäran.docx", "A 26077-2024")</f>
        <v/>
      </c>
      <c r="Y192">
        <f>HYPERLINK("https://klasma.github.io/Logging_0980/tillsynsmail/A 26077-2024 tillsynsbegäran mail.docx", "A 26077-2024")</f>
        <v/>
      </c>
    </row>
    <row r="193" ht="15" customHeight="1">
      <c r="A193" t="inlineStr">
        <is>
          <t>A 28261-2024</t>
        </is>
      </c>
      <c r="B193" s="1" t="n">
        <v>45477</v>
      </c>
      <c r="C193" s="1" t="n">
        <v>45828</v>
      </c>
      <c r="D193" t="inlineStr">
        <is>
          <t>GOTLANDS LÄN</t>
        </is>
      </c>
      <c r="E193" t="inlineStr">
        <is>
          <t>GOTLAND</t>
        </is>
      </c>
      <c r="G193" t="n">
        <v>22.8</v>
      </c>
      <c r="H193" t="n">
        <v>0</v>
      </c>
      <c r="I193" t="n">
        <v>0</v>
      </c>
      <c r="J193" t="n">
        <v>2</v>
      </c>
      <c r="K193" t="n">
        <v>0</v>
      </c>
      <c r="L193" t="n">
        <v>0</v>
      </c>
      <c r="M193" t="n">
        <v>0</v>
      </c>
      <c r="N193" t="n">
        <v>0</v>
      </c>
      <c r="O193" t="n">
        <v>2</v>
      </c>
      <c r="P193" t="n">
        <v>0</v>
      </c>
      <c r="Q193" t="n">
        <v>2</v>
      </c>
      <c r="R193" s="2" t="inlineStr">
        <is>
          <t>Grådådra
Åkerkulla</t>
        </is>
      </c>
      <c r="S193">
        <f>HYPERLINK("https://klasma.github.io/Logging_0980/artfynd/A 28261-2024 artfynd.xlsx", "A 28261-2024")</f>
        <v/>
      </c>
      <c r="T193">
        <f>HYPERLINK("https://klasma.github.io/Logging_0980/kartor/A 28261-2024 karta.png", "A 28261-2024")</f>
        <v/>
      </c>
      <c r="V193">
        <f>HYPERLINK("https://klasma.github.io/Logging_0980/klagomål/A 28261-2024 FSC-klagomål.docx", "A 28261-2024")</f>
        <v/>
      </c>
      <c r="W193">
        <f>HYPERLINK("https://klasma.github.io/Logging_0980/klagomålsmail/A 28261-2024 FSC-klagomål mail.docx", "A 28261-2024")</f>
        <v/>
      </c>
      <c r="X193">
        <f>HYPERLINK("https://klasma.github.io/Logging_0980/tillsyn/A 28261-2024 tillsynsbegäran.docx", "A 28261-2024")</f>
        <v/>
      </c>
      <c r="Y193">
        <f>HYPERLINK("https://klasma.github.io/Logging_0980/tillsynsmail/A 28261-2024 tillsynsbegäran mail.docx", "A 28261-2024")</f>
        <v/>
      </c>
    </row>
    <row r="194" ht="15" customHeight="1">
      <c r="A194" t="inlineStr">
        <is>
          <t>A 28276-2024</t>
        </is>
      </c>
      <c r="B194" s="1" t="n">
        <v>45477</v>
      </c>
      <c r="C194" s="1" t="n">
        <v>45828</v>
      </c>
      <c r="D194" t="inlineStr">
        <is>
          <t>GOTLANDS LÄN</t>
        </is>
      </c>
      <c r="E194" t="inlineStr">
        <is>
          <t>GOTLAND</t>
        </is>
      </c>
      <c r="G194" t="n">
        <v>22.8</v>
      </c>
      <c r="H194" t="n">
        <v>0</v>
      </c>
      <c r="I194" t="n">
        <v>0</v>
      </c>
      <c r="J194" t="n">
        <v>2</v>
      </c>
      <c r="K194" t="n">
        <v>0</v>
      </c>
      <c r="L194" t="n">
        <v>0</v>
      </c>
      <c r="M194" t="n">
        <v>0</v>
      </c>
      <c r="N194" t="n">
        <v>0</v>
      </c>
      <c r="O194" t="n">
        <v>2</v>
      </c>
      <c r="P194" t="n">
        <v>0</v>
      </c>
      <c r="Q194" t="n">
        <v>2</v>
      </c>
      <c r="R194" s="2" t="inlineStr">
        <is>
          <t>Grådådra
Åkerkulla</t>
        </is>
      </c>
      <c r="S194">
        <f>HYPERLINK("https://klasma.github.io/Logging_0980/artfynd/A 28276-2024 artfynd.xlsx", "A 28276-2024")</f>
        <v/>
      </c>
      <c r="T194">
        <f>HYPERLINK("https://klasma.github.io/Logging_0980/kartor/A 28276-2024 karta.png", "A 28276-2024")</f>
        <v/>
      </c>
      <c r="V194">
        <f>HYPERLINK("https://klasma.github.io/Logging_0980/klagomål/A 28276-2024 FSC-klagomål.docx", "A 28276-2024")</f>
        <v/>
      </c>
      <c r="W194">
        <f>HYPERLINK("https://klasma.github.io/Logging_0980/klagomålsmail/A 28276-2024 FSC-klagomål mail.docx", "A 28276-2024")</f>
        <v/>
      </c>
      <c r="X194">
        <f>HYPERLINK("https://klasma.github.io/Logging_0980/tillsyn/A 28276-2024 tillsynsbegäran.docx", "A 28276-2024")</f>
        <v/>
      </c>
      <c r="Y194">
        <f>HYPERLINK("https://klasma.github.io/Logging_0980/tillsynsmail/A 28276-2024 tillsynsbegäran mail.docx", "A 28276-2024")</f>
        <v/>
      </c>
    </row>
    <row r="195" ht="15" customHeight="1">
      <c r="A195" t="inlineStr">
        <is>
          <t>A 54357-2024</t>
        </is>
      </c>
      <c r="B195" s="1" t="n">
        <v>45617</v>
      </c>
      <c r="C195" s="1" t="n">
        <v>45828</v>
      </c>
      <c r="D195" t="inlineStr">
        <is>
          <t>GOTLANDS LÄN</t>
        </is>
      </c>
      <c r="E195" t="inlineStr">
        <is>
          <t>GOTLAND</t>
        </is>
      </c>
      <c r="G195" t="n">
        <v>1.5</v>
      </c>
      <c r="H195" t="n">
        <v>1</v>
      </c>
      <c r="I195" t="n">
        <v>0</v>
      </c>
      <c r="J195" t="n">
        <v>1</v>
      </c>
      <c r="K195" t="n">
        <v>0</v>
      </c>
      <c r="L195" t="n">
        <v>0</v>
      </c>
      <c r="M195" t="n">
        <v>0</v>
      </c>
      <c r="N195" t="n">
        <v>0</v>
      </c>
      <c r="O195" t="n">
        <v>1</v>
      </c>
      <c r="P195" t="n">
        <v>0</v>
      </c>
      <c r="Q195" t="n">
        <v>2</v>
      </c>
      <c r="R195" s="2" t="inlineStr">
        <is>
          <t>Loppstarr
Fläcknycklar</t>
        </is>
      </c>
      <c r="S195">
        <f>HYPERLINK("https://klasma.github.io/Logging_0980/artfynd/A 54357-2024 artfynd.xlsx", "A 54357-2024")</f>
        <v/>
      </c>
      <c r="T195">
        <f>HYPERLINK("https://klasma.github.io/Logging_0980/kartor/A 54357-2024 karta.png", "A 54357-2024")</f>
        <v/>
      </c>
      <c r="V195">
        <f>HYPERLINK("https://klasma.github.io/Logging_0980/klagomål/A 54357-2024 FSC-klagomål.docx", "A 54357-2024")</f>
        <v/>
      </c>
      <c r="W195">
        <f>HYPERLINK("https://klasma.github.io/Logging_0980/klagomålsmail/A 54357-2024 FSC-klagomål mail.docx", "A 54357-2024")</f>
        <v/>
      </c>
      <c r="X195">
        <f>HYPERLINK("https://klasma.github.io/Logging_0980/tillsyn/A 54357-2024 tillsynsbegäran.docx", "A 54357-2024")</f>
        <v/>
      </c>
      <c r="Y195">
        <f>HYPERLINK("https://klasma.github.io/Logging_0980/tillsynsmail/A 54357-2024 tillsynsbegäran mail.docx", "A 54357-2024")</f>
        <v/>
      </c>
    </row>
    <row r="196" ht="15" customHeight="1">
      <c r="A196" t="inlineStr">
        <is>
          <t>A 54647-2024</t>
        </is>
      </c>
      <c r="B196" s="1" t="n">
        <v>45617</v>
      </c>
      <c r="C196" s="1" t="n">
        <v>45828</v>
      </c>
      <c r="D196" t="inlineStr">
        <is>
          <t>GOTLANDS LÄN</t>
        </is>
      </c>
      <c r="E196" t="inlineStr">
        <is>
          <t>GOTLAND</t>
        </is>
      </c>
      <c r="G196" t="n">
        <v>2.2</v>
      </c>
      <c r="H196" t="n">
        <v>0</v>
      </c>
      <c r="I196" t="n">
        <v>2</v>
      </c>
      <c r="J196" t="n">
        <v>0</v>
      </c>
      <c r="K196" t="n">
        <v>0</v>
      </c>
      <c r="L196" t="n">
        <v>0</v>
      </c>
      <c r="M196" t="n">
        <v>0</v>
      </c>
      <c r="N196" t="n">
        <v>0</v>
      </c>
      <c r="O196" t="n">
        <v>0</v>
      </c>
      <c r="P196" t="n">
        <v>0</v>
      </c>
      <c r="Q196" t="n">
        <v>2</v>
      </c>
      <c r="R196" s="2" t="inlineStr">
        <is>
          <t>Kattfotslav
Olivspindling</t>
        </is>
      </c>
      <c r="S196">
        <f>HYPERLINK("https://klasma.github.io/Logging_0980/artfynd/A 54647-2024 artfynd.xlsx", "A 54647-2024")</f>
        <v/>
      </c>
      <c r="T196">
        <f>HYPERLINK("https://klasma.github.io/Logging_0980/kartor/A 54647-2024 karta.png", "A 54647-2024")</f>
        <v/>
      </c>
      <c r="V196">
        <f>HYPERLINK("https://klasma.github.io/Logging_0980/klagomål/A 54647-2024 FSC-klagomål.docx", "A 54647-2024")</f>
        <v/>
      </c>
      <c r="W196">
        <f>HYPERLINK("https://klasma.github.io/Logging_0980/klagomålsmail/A 54647-2024 FSC-klagomål mail.docx", "A 54647-2024")</f>
        <v/>
      </c>
      <c r="X196">
        <f>HYPERLINK("https://klasma.github.io/Logging_0980/tillsyn/A 54647-2024 tillsynsbegäran.docx", "A 54647-2024")</f>
        <v/>
      </c>
      <c r="Y196">
        <f>HYPERLINK("https://klasma.github.io/Logging_0980/tillsynsmail/A 54647-2024 tillsynsbegäran mail.docx", "A 54647-2024")</f>
        <v/>
      </c>
    </row>
    <row r="197" ht="15" customHeight="1">
      <c r="A197" t="inlineStr">
        <is>
          <t>A 55649-2024</t>
        </is>
      </c>
      <c r="B197" s="1" t="n">
        <v>45622</v>
      </c>
      <c r="C197" s="1" t="n">
        <v>45828</v>
      </c>
      <c r="D197" t="inlineStr">
        <is>
          <t>GOTLANDS LÄN</t>
        </is>
      </c>
      <c r="E197" t="inlineStr">
        <is>
          <t>GOTLAND</t>
        </is>
      </c>
      <c r="G197" t="n">
        <v>4.6</v>
      </c>
      <c r="H197" t="n">
        <v>2</v>
      </c>
      <c r="I197" t="n">
        <v>0</v>
      </c>
      <c r="J197" t="n">
        <v>0</v>
      </c>
      <c r="K197" t="n">
        <v>0</v>
      </c>
      <c r="L197" t="n">
        <v>0</v>
      </c>
      <c r="M197" t="n">
        <v>0</v>
      </c>
      <c r="N197" t="n">
        <v>0</v>
      </c>
      <c r="O197" t="n">
        <v>0</v>
      </c>
      <c r="P197" t="n">
        <v>0</v>
      </c>
      <c r="Q197" t="n">
        <v>2</v>
      </c>
      <c r="R197" s="2" t="inlineStr">
        <is>
          <t>Sankt pers nycklar
Blåsippa</t>
        </is>
      </c>
      <c r="S197">
        <f>HYPERLINK("https://klasma.github.io/Logging_0980/artfynd/A 55649-2024 artfynd.xlsx", "A 55649-2024")</f>
        <v/>
      </c>
      <c r="T197">
        <f>HYPERLINK("https://klasma.github.io/Logging_0980/kartor/A 55649-2024 karta.png", "A 55649-2024")</f>
        <v/>
      </c>
      <c r="V197">
        <f>HYPERLINK("https://klasma.github.io/Logging_0980/klagomål/A 55649-2024 FSC-klagomål.docx", "A 55649-2024")</f>
        <v/>
      </c>
      <c r="W197">
        <f>HYPERLINK("https://klasma.github.io/Logging_0980/klagomålsmail/A 55649-2024 FSC-klagomål mail.docx", "A 55649-2024")</f>
        <v/>
      </c>
      <c r="X197">
        <f>HYPERLINK("https://klasma.github.io/Logging_0980/tillsyn/A 55649-2024 tillsynsbegäran.docx", "A 55649-2024")</f>
        <v/>
      </c>
      <c r="Y197">
        <f>HYPERLINK("https://klasma.github.io/Logging_0980/tillsynsmail/A 55649-2024 tillsynsbegäran mail.docx", "A 55649-2024")</f>
        <v/>
      </c>
    </row>
    <row r="198" ht="15" customHeight="1">
      <c r="A198" t="inlineStr">
        <is>
          <t>A 1120-2025</t>
        </is>
      </c>
      <c r="B198" s="1" t="n">
        <v>45666</v>
      </c>
      <c r="C198" s="1" t="n">
        <v>45828</v>
      </c>
      <c r="D198" t="inlineStr">
        <is>
          <t>GOTLANDS LÄN</t>
        </is>
      </c>
      <c r="E198" t="inlineStr">
        <is>
          <t>GOTLAND</t>
        </is>
      </c>
      <c r="G198" t="n">
        <v>9.300000000000001</v>
      </c>
      <c r="H198" t="n">
        <v>1</v>
      </c>
      <c r="I198" t="n">
        <v>1</v>
      </c>
      <c r="J198" t="n">
        <v>1</v>
      </c>
      <c r="K198" t="n">
        <v>0</v>
      </c>
      <c r="L198" t="n">
        <v>0</v>
      </c>
      <c r="M198" t="n">
        <v>0</v>
      </c>
      <c r="N198" t="n">
        <v>0</v>
      </c>
      <c r="O198" t="n">
        <v>1</v>
      </c>
      <c r="P198" t="n">
        <v>0</v>
      </c>
      <c r="Q198" t="n">
        <v>2</v>
      </c>
      <c r="R198" s="2" t="inlineStr">
        <is>
          <t>Röd skogslilja
Vårärt</t>
        </is>
      </c>
      <c r="S198">
        <f>HYPERLINK("https://klasma.github.io/Logging_0980/artfynd/A 1120-2025 artfynd.xlsx", "A 1120-2025")</f>
        <v/>
      </c>
      <c r="T198">
        <f>HYPERLINK("https://klasma.github.io/Logging_0980/kartor/A 1120-2025 karta.png", "A 1120-2025")</f>
        <v/>
      </c>
      <c r="V198">
        <f>HYPERLINK("https://klasma.github.io/Logging_0980/klagomål/A 1120-2025 FSC-klagomål.docx", "A 1120-2025")</f>
        <v/>
      </c>
      <c r="W198">
        <f>HYPERLINK("https://klasma.github.io/Logging_0980/klagomålsmail/A 1120-2025 FSC-klagomål mail.docx", "A 1120-2025")</f>
        <v/>
      </c>
      <c r="X198">
        <f>HYPERLINK("https://klasma.github.io/Logging_0980/tillsyn/A 1120-2025 tillsynsbegäran.docx", "A 1120-2025")</f>
        <v/>
      </c>
      <c r="Y198">
        <f>HYPERLINK("https://klasma.github.io/Logging_0980/tillsynsmail/A 1120-2025 tillsynsbegäran mail.docx", "A 1120-2025")</f>
        <v/>
      </c>
    </row>
    <row r="199" ht="15" customHeight="1">
      <c r="A199" t="inlineStr">
        <is>
          <t>A 9209-2025</t>
        </is>
      </c>
      <c r="B199" s="1" t="n">
        <v>45714</v>
      </c>
      <c r="C199" s="1" t="n">
        <v>45828</v>
      </c>
      <c r="D199" t="inlineStr">
        <is>
          <t>GOTLANDS LÄN</t>
        </is>
      </c>
      <c r="E199" t="inlineStr">
        <is>
          <t>GOTLAND</t>
        </is>
      </c>
      <c r="G199" t="n">
        <v>11.6</v>
      </c>
      <c r="H199" t="n">
        <v>0</v>
      </c>
      <c r="I199" t="n">
        <v>1</v>
      </c>
      <c r="J199" t="n">
        <v>0</v>
      </c>
      <c r="K199" t="n">
        <v>1</v>
      </c>
      <c r="L199" t="n">
        <v>0</v>
      </c>
      <c r="M199" t="n">
        <v>0</v>
      </c>
      <c r="N199" t="n">
        <v>0</v>
      </c>
      <c r="O199" t="n">
        <v>1</v>
      </c>
      <c r="P199" t="n">
        <v>1</v>
      </c>
      <c r="Q199" t="n">
        <v>2</v>
      </c>
      <c r="R199" s="2" t="inlineStr">
        <is>
          <t>Skogskorn
Myskmadra</t>
        </is>
      </c>
      <c r="S199">
        <f>HYPERLINK("https://klasma.github.io/Logging_0980/artfynd/A 9209-2025 artfynd.xlsx", "A 9209-2025")</f>
        <v/>
      </c>
      <c r="T199">
        <f>HYPERLINK("https://klasma.github.io/Logging_0980/kartor/A 9209-2025 karta.png", "A 9209-2025")</f>
        <v/>
      </c>
      <c r="V199">
        <f>HYPERLINK("https://klasma.github.io/Logging_0980/klagomål/A 9209-2025 FSC-klagomål.docx", "A 9209-2025")</f>
        <v/>
      </c>
      <c r="W199">
        <f>HYPERLINK("https://klasma.github.io/Logging_0980/klagomålsmail/A 9209-2025 FSC-klagomål mail.docx", "A 9209-2025")</f>
        <v/>
      </c>
      <c r="X199">
        <f>HYPERLINK("https://klasma.github.io/Logging_0980/tillsyn/A 9209-2025 tillsynsbegäran.docx", "A 9209-2025")</f>
        <v/>
      </c>
      <c r="Y199">
        <f>HYPERLINK("https://klasma.github.io/Logging_0980/tillsynsmail/A 9209-2025 tillsynsbegäran mail.docx", "A 9209-2025")</f>
        <v/>
      </c>
    </row>
    <row r="200" ht="15" customHeight="1">
      <c r="A200" t="inlineStr">
        <is>
          <t>A 12914-2025</t>
        </is>
      </c>
      <c r="B200" s="1" t="n">
        <v>45733</v>
      </c>
      <c r="C200" s="1" t="n">
        <v>45828</v>
      </c>
      <c r="D200" t="inlineStr">
        <is>
          <t>GOTLANDS LÄN</t>
        </is>
      </c>
      <c r="E200" t="inlineStr">
        <is>
          <t>GOTLAND</t>
        </is>
      </c>
      <c r="G200" t="n">
        <v>24.8</v>
      </c>
      <c r="H200" t="n">
        <v>2</v>
      </c>
      <c r="I200" t="n">
        <v>1</v>
      </c>
      <c r="J200" t="n">
        <v>0</v>
      </c>
      <c r="K200" t="n">
        <v>0</v>
      </c>
      <c r="L200" t="n">
        <v>0</v>
      </c>
      <c r="M200" t="n">
        <v>0</v>
      </c>
      <c r="N200" t="n">
        <v>0</v>
      </c>
      <c r="O200" t="n">
        <v>0</v>
      </c>
      <c r="P200" t="n">
        <v>0</v>
      </c>
      <c r="Q200" t="n">
        <v>2</v>
      </c>
      <c r="R200" s="2" t="inlineStr">
        <is>
          <t>Purpurknipprot
Brudsporre</t>
        </is>
      </c>
      <c r="S200">
        <f>HYPERLINK("https://klasma.github.io/Logging_090980/artfynd/A 12914-2025 artfynd.xlsx", "A 12914-2025")</f>
        <v/>
      </c>
      <c r="T200">
        <f>HYPERLINK("https://klasma.github.io/Logging_090980/kartor/A 12914-2025 karta.png", "A 12914-2025")</f>
        <v/>
      </c>
      <c r="V200">
        <f>HYPERLINK("https://klasma.github.io/Logging_090980/klagomål/A 12914-2025 FSC-klagomål.docx", "A 12914-2025")</f>
        <v/>
      </c>
      <c r="W200">
        <f>HYPERLINK("https://klasma.github.io/Logging_090980/klagomålsmail/A 12914-2025 FSC-klagomål mail.docx", "A 12914-2025")</f>
        <v/>
      </c>
      <c r="X200">
        <f>HYPERLINK("https://klasma.github.io/Logging_090980/tillsyn/A 12914-2025 tillsynsbegäran.docx", "A 12914-2025")</f>
        <v/>
      </c>
      <c r="Y200">
        <f>HYPERLINK("https://klasma.github.io/Logging_090980/tillsynsmail/A 12914-2025 tillsynsbegäran mail.docx", "A 12914-2025")</f>
        <v/>
      </c>
    </row>
    <row r="201" ht="15" customHeight="1">
      <c r="A201" t="inlineStr">
        <is>
          <t>A 21879-2025</t>
        </is>
      </c>
      <c r="B201" s="1" t="n">
        <v>45784</v>
      </c>
      <c r="C201" s="1" t="n">
        <v>45828</v>
      </c>
      <c r="D201" t="inlineStr">
        <is>
          <t>GOTLANDS LÄN</t>
        </is>
      </c>
      <c r="E201" t="inlineStr">
        <is>
          <t>GOTLAND</t>
        </is>
      </c>
      <c r="G201" t="n">
        <v>11.1</v>
      </c>
      <c r="H201" t="n">
        <v>0</v>
      </c>
      <c r="I201" t="n">
        <v>1</v>
      </c>
      <c r="J201" t="n">
        <v>0</v>
      </c>
      <c r="K201" t="n">
        <v>0</v>
      </c>
      <c r="L201" t="n">
        <v>1</v>
      </c>
      <c r="M201" t="n">
        <v>0</v>
      </c>
      <c r="N201" t="n">
        <v>0</v>
      </c>
      <c r="O201" t="n">
        <v>1</v>
      </c>
      <c r="P201" t="n">
        <v>1</v>
      </c>
      <c r="Q201" t="n">
        <v>2</v>
      </c>
      <c r="R201" s="2" t="inlineStr">
        <is>
          <t>Ask
Murgröna</t>
        </is>
      </c>
      <c r="S201">
        <f>HYPERLINK("https://klasma.github.io/Logging_090980/artfynd/A 21879-2025 artfynd.xlsx", "A 21879-2025")</f>
        <v/>
      </c>
      <c r="T201">
        <f>HYPERLINK("https://klasma.github.io/Logging_090980/kartor/A 21879-2025 karta.png", "A 21879-2025")</f>
        <v/>
      </c>
      <c r="V201">
        <f>HYPERLINK("https://klasma.github.io/Logging_090980/klagomål/A 21879-2025 FSC-klagomål.docx", "A 21879-2025")</f>
        <v/>
      </c>
      <c r="W201">
        <f>HYPERLINK("https://klasma.github.io/Logging_090980/klagomålsmail/A 21879-2025 FSC-klagomål mail.docx", "A 21879-2025")</f>
        <v/>
      </c>
      <c r="X201">
        <f>HYPERLINK("https://klasma.github.io/Logging_090980/tillsyn/A 21879-2025 tillsynsbegäran.docx", "A 21879-2025")</f>
        <v/>
      </c>
      <c r="Y201">
        <f>HYPERLINK("https://klasma.github.io/Logging_090980/tillsynsmail/A 21879-2025 tillsynsbegäran mail.docx", "A 21879-2025")</f>
        <v/>
      </c>
    </row>
    <row r="202" ht="15" customHeight="1">
      <c r="A202" t="inlineStr">
        <is>
          <t>A 18223-2019</t>
        </is>
      </c>
      <c r="B202" s="1" t="n">
        <v>43558</v>
      </c>
      <c r="C202" s="1" t="n">
        <v>45828</v>
      </c>
      <c r="D202" t="inlineStr">
        <is>
          <t>GOTLANDS LÄN</t>
        </is>
      </c>
      <c r="E202" t="inlineStr">
        <is>
          <t>GOTLAND</t>
        </is>
      </c>
      <c r="G202" t="n">
        <v>1.1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18223-2019 artfynd.xlsx", "A 18223-2019")</f>
        <v/>
      </c>
      <c r="T202">
        <f>HYPERLINK("https://klasma.github.io/Logging_0980/kartor/A 18223-2019 karta.png", "A 18223-2019")</f>
        <v/>
      </c>
      <c r="V202">
        <f>HYPERLINK("https://klasma.github.io/Logging_0980/klagomål/A 18223-2019 FSC-klagomål.docx", "A 18223-2019")</f>
        <v/>
      </c>
      <c r="W202">
        <f>HYPERLINK("https://klasma.github.io/Logging_0980/klagomålsmail/A 18223-2019 FSC-klagomål mail.docx", "A 18223-2019")</f>
        <v/>
      </c>
      <c r="X202">
        <f>HYPERLINK("https://klasma.github.io/Logging_0980/tillsyn/A 18223-2019 tillsynsbegäran.docx", "A 18223-2019")</f>
        <v/>
      </c>
      <c r="Y202">
        <f>HYPERLINK("https://klasma.github.io/Logging_0980/tillsynsmail/A 18223-2019 tillsynsbegäran mail.docx", "A 18223-2019")</f>
        <v/>
      </c>
    </row>
    <row r="203" ht="15" customHeight="1">
      <c r="A203" t="inlineStr">
        <is>
          <t>A 23016-2019</t>
        </is>
      </c>
      <c r="B203" s="1" t="n">
        <v>43591</v>
      </c>
      <c r="C203" s="1" t="n">
        <v>45828</v>
      </c>
      <c r="D203" t="inlineStr">
        <is>
          <t>GOTLANDS LÄN</t>
        </is>
      </c>
      <c r="E203" t="inlineStr">
        <is>
          <t>GOTLAND</t>
        </is>
      </c>
      <c r="G203" t="n">
        <v>7.9</v>
      </c>
      <c r="H203" t="n">
        <v>1</v>
      </c>
      <c r="I203" t="n">
        <v>0</v>
      </c>
      <c r="J203" t="n">
        <v>0</v>
      </c>
      <c r="K203" t="n">
        <v>0</v>
      </c>
      <c r="L203" t="n">
        <v>0</v>
      </c>
      <c r="M203" t="n">
        <v>0</v>
      </c>
      <c r="N203" t="n">
        <v>0</v>
      </c>
      <c r="O203" t="n">
        <v>0</v>
      </c>
      <c r="P203" t="n">
        <v>0</v>
      </c>
      <c r="Q203" t="n">
        <v>1</v>
      </c>
      <c r="R203" s="2" t="inlineStr">
        <is>
          <t>Äkta lopplummer</t>
        </is>
      </c>
      <c r="S203">
        <f>HYPERLINK("https://klasma.github.io/Logging_0980/artfynd/A 23016-2019 artfynd.xlsx", "A 23016-2019")</f>
        <v/>
      </c>
      <c r="T203">
        <f>HYPERLINK("https://klasma.github.io/Logging_0980/kartor/A 23016-2019 karta.png", "A 23016-2019")</f>
        <v/>
      </c>
      <c r="V203">
        <f>HYPERLINK("https://klasma.github.io/Logging_0980/klagomål/A 23016-2019 FSC-klagomål.docx", "A 23016-2019")</f>
        <v/>
      </c>
      <c r="W203">
        <f>HYPERLINK("https://klasma.github.io/Logging_0980/klagomålsmail/A 23016-2019 FSC-klagomål mail.docx", "A 23016-2019")</f>
        <v/>
      </c>
      <c r="X203">
        <f>HYPERLINK("https://klasma.github.io/Logging_0980/tillsyn/A 23016-2019 tillsynsbegäran.docx", "A 23016-2019")</f>
        <v/>
      </c>
      <c r="Y203">
        <f>HYPERLINK("https://klasma.github.io/Logging_0980/tillsynsmail/A 23016-2019 tillsynsbegäran mail.docx", "A 23016-2019")</f>
        <v/>
      </c>
    </row>
    <row r="204" ht="15" customHeight="1">
      <c r="A204" t="inlineStr">
        <is>
          <t>A 32061-2019</t>
        </is>
      </c>
      <c r="B204" s="1" t="n">
        <v>43643</v>
      </c>
      <c r="C204" s="1" t="n">
        <v>45828</v>
      </c>
      <c r="D204" t="inlineStr">
        <is>
          <t>GOTLANDS LÄN</t>
        </is>
      </c>
      <c r="E204" t="inlineStr">
        <is>
          <t>GOTLAND</t>
        </is>
      </c>
      <c r="G204" t="n">
        <v>7.5</v>
      </c>
      <c r="H204" t="n">
        <v>1</v>
      </c>
      <c r="I204" t="n">
        <v>0</v>
      </c>
      <c r="J204" t="n">
        <v>1</v>
      </c>
      <c r="K204" t="n">
        <v>0</v>
      </c>
      <c r="L204" t="n">
        <v>0</v>
      </c>
      <c r="M204" t="n">
        <v>0</v>
      </c>
      <c r="N204" t="n">
        <v>0</v>
      </c>
      <c r="O204" t="n">
        <v>1</v>
      </c>
      <c r="P204" t="n">
        <v>0</v>
      </c>
      <c r="Q204" t="n">
        <v>1</v>
      </c>
      <c r="R204" s="2" t="inlineStr">
        <is>
          <t>Buskskvätta</t>
        </is>
      </c>
      <c r="S204">
        <f>HYPERLINK("https://klasma.github.io/Logging_0980/artfynd/A 32061-2019 artfynd.xlsx", "A 32061-2019")</f>
        <v/>
      </c>
      <c r="T204">
        <f>HYPERLINK("https://klasma.github.io/Logging_0980/kartor/A 32061-2019 karta.png", "A 32061-2019")</f>
        <v/>
      </c>
      <c r="V204">
        <f>HYPERLINK("https://klasma.github.io/Logging_0980/klagomål/A 32061-2019 FSC-klagomål.docx", "A 32061-2019")</f>
        <v/>
      </c>
      <c r="W204">
        <f>HYPERLINK("https://klasma.github.io/Logging_0980/klagomålsmail/A 32061-2019 FSC-klagomål mail.docx", "A 32061-2019")</f>
        <v/>
      </c>
      <c r="X204">
        <f>HYPERLINK("https://klasma.github.io/Logging_0980/tillsyn/A 32061-2019 tillsynsbegäran.docx", "A 32061-2019")</f>
        <v/>
      </c>
      <c r="Y204">
        <f>HYPERLINK("https://klasma.github.io/Logging_0980/tillsynsmail/A 32061-2019 tillsynsbegäran mail.docx", "A 32061-2019")</f>
        <v/>
      </c>
      <c r="Z204">
        <f>HYPERLINK("https://klasma.github.io/Logging_0980/fåglar/A 32061-2019 prioriterade fågelarter.docx", "A 32061-2019")</f>
        <v/>
      </c>
    </row>
    <row r="205" ht="15" customHeight="1">
      <c r="A205" t="inlineStr">
        <is>
          <t>A 32963-2019</t>
        </is>
      </c>
      <c r="B205" s="1" t="n">
        <v>43648</v>
      </c>
      <c r="C205" s="1" t="n">
        <v>45828</v>
      </c>
      <c r="D205" t="inlineStr">
        <is>
          <t>GOTLANDS LÄN</t>
        </is>
      </c>
      <c r="E205" t="inlineStr">
        <is>
          <t>GOTLAND</t>
        </is>
      </c>
      <c r="G205" t="n">
        <v>5.8</v>
      </c>
      <c r="H205" t="n">
        <v>0</v>
      </c>
      <c r="I205" t="n">
        <v>0</v>
      </c>
      <c r="J205" t="n">
        <v>1</v>
      </c>
      <c r="K205" t="n">
        <v>0</v>
      </c>
      <c r="L205" t="n">
        <v>0</v>
      </c>
      <c r="M205" t="n">
        <v>0</v>
      </c>
      <c r="N205" t="n">
        <v>0</v>
      </c>
      <c r="O205" t="n">
        <v>1</v>
      </c>
      <c r="P205" t="n">
        <v>0</v>
      </c>
      <c r="Q205" t="n">
        <v>1</v>
      </c>
      <c r="R205" s="2" t="inlineStr">
        <is>
          <t>Mindre blåvinge</t>
        </is>
      </c>
      <c r="S205">
        <f>HYPERLINK("https://klasma.github.io/Logging_0980/artfynd/A 32963-2019 artfynd.xlsx", "A 32963-2019")</f>
        <v/>
      </c>
      <c r="T205">
        <f>HYPERLINK("https://klasma.github.io/Logging_0980/kartor/A 32963-2019 karta.png", "A 32963-2019")</f>
        <v/>
      </c>
      <c r="V205">
        <f>HYPERLINK("https://klasma.github.io/Logging_0980/klagomål/A 32963-2019 FSC-klagomål.docx", "A 32963-2019")</f>
        <v/>
      </c>
      <c r="W205">
        <f>HYPERLINK("https://klasma.github.io/Logging_0980/klagomålsmail/A 32963-2019 FSC-klagomål mail.docx", "A 32963-2019")</f>
        <v/>
      </c>
      <c r="X205">
        <f>HYPERLINK("https://klasma.github.io/Logging_0980/tillsyn/A 32963-2019 tillsynsbegäran.docx", "A 32963-2019")</f>
        <v/>
      </c>
      <c r="Y205">
        <f>HYPERLINK("https://klasma.github.io/Logging_0980/tillsynsmail/A 32963-2019 tillsynsbegäran mail.docx", "A 32963-2019")</f>
        <v/>
      </c>
    </row>
    <row r="206" ht="15" customHeight="1">
      <c r="A206" t="inlineStr">
        <is>
          <t>A 35282-2019</t>
        </is>
      </c>
      <c r="B206" s="1" t="n">
        <v>43656</v>
      </c>
      <c r="C206" s="1" t="n">
        <v>45828</v>
      </c>
      <c r="D206" t="inlineStr">
        <is>
          <t>GOTLANDS LÄN</t>
        </is>
      </c>
      <c r="E206" t="inlineStr">
        <is>
          <t>GOTLAND</t>
        </is>
      </c>
      <c r="G206" t="n">
        <v>5.6</v>
      </c>
      <c r="H206" t="n">
        <v>1</v>
      </c>
      <c r="I206" t="n">
        <v>0</v>
      </c>
      <c r="J206" t="n">
        <v>1</v>
      </c>
      <c r="K206" t="n">
        <v>0</v>
      </c>
      <c r="L206" t="n">
        <v>0</v>
      </c>
      <c r="M206" t="n">
        <v>0</v>
      </c>
      <c r="N206" t="n">
        <v>0</v>
      </c>
      <c r="O206" t="n">
        <v>1</v>
      </c>
      <c r="P206" t="n">
        <v>0</v>
      </c>
      <c r="Q206" t="n">
        <v>1</v>
      </c>
      <c r="R206" s="2" t="inlineStr">
        <is>
          <t>Spillkråka</t>
        </is>
      </c>
      <c r="S206">
        <f>HYPERLINK("https://klasma.github.io/Logging_0980/artfynd/A 35282-2019 artfynd.xlsx", "A 35282-2019")</f>
        <v/>
      </c>
      <c r="T206">
        <f>HYPERLINK("https://klasma.github.io/Logging_0980/kartor/A 35282-2019 karta.png", "A 35282-2019")</f>
        <v/>
      </c>
      <c r="V206">
        <f>HYPERLINK("https://klasma.github.io/Logging_0980/klagomål/A 35282-2019 FSC-klagomål.docx", "A 35282-2019")</f>
        <v/>
      </c>
      <c r="W206">
        <f>HYPERLINK("https://klasma.github.io/Logging_0980/klagomålsmail/A 35282-2019 FSC-klagomål mail.docx", "A 35282-2019")</f>
        <v/>
      </c>
      <c r="X206">
        <f>HYPERLINK("https://klasma.github.io/Logging_0980/tillsyn/A 35282-2019 tillsynsbegäran.docx", "A 35282-2019")</f>
        <v/>
      </c>
      <c r="Y206">
        <f>HYPERLINK("https://klasma.github.io/Logging_0980/tillsynsmail/A 35282-2019 tillsynsbegäran mail.docx", "A 35282-2019")</f>
        <v/>
      </c>
      <c r="Z206">
        <f>HYPERLINK("https://klasma.github.io/Logging_0980/fåglar/A 35282-2019 prioriterade fågelarter.docx", "A 35282-2019")</f>
        <v/>
      </c>
    </row>
    <row r="207" ht="15" customHeight="1">
      <c r="A207" t="inlineStr">
        <is>
          <t>A 48584-2019</t>
        </is>
      </c>
      <c r="B207" s="1" t="n">
        <v>43727</v>
      </c>
      <c r="C207" s="1" t="n">
        <v>45828</v>
      </c>
      <c r="D207" t="inlineStr">
        <is>
          <t>GOTLANDS LÄN</t>
        </is>
      </c>
      <c r="E207" t="inlineStr">
        <is>
          <t>GOTLAND</t>
        </is>
      </c>
      <c r="G207" t="n">
        <v>4.4</v>
      </c>
      <c r="H207" t="n">
        <v>0</v>
      </c>
      <c r="I207" t="n">
        <v>1</v>
      </c>
      <c r="J207" t="n">
        <v>0</v>
      </c>
      <c r="K207" t="n">
        <v>0</v>
      </c>
      <c r="L207" t="n">
        <v>0</v>
      </c>
      <c r="M207" t="n">
        <v>0</v>
      </c>
      <c r="N207" t="n">
        <v>0</v>
      </c>
      <c r="O207" t="n">
        <v>0</v>
      </c>
      <c r="P207" t="n">
        <v>0</v>
      </c>
      <c r="Q207" t="n">
        <v>1</v>
      </c>
      <c r="R207" s="2" t="inlineStr">
        <is>
          <t>Scharlakansskål</t>
        </is>
      </c>
      <c r="S207">
        <f>HYPERLINK("https://klasma.github.io/Logging_0980/artfynd/A 48584-2019 artfynd.xlsx", "A 48584-2019")</f>
        <v/>
      </c>
      <c r="T207">
        <f>HYPERLINK("https://klasma.github.io/Logging_0980/kartor/A 48584-2019 karta.png", "A 48584-2019")</f>
        <v/>
      </c>
      <c r="V207">
        <f>HYPERLINK("https://klasma.github.io/Logging_0980/klagomål/A 48584-2019 FSC-klagomål.docx", "A 48584-2019")</f>
        <v/>
      </c>
      <c r="W207">
        <f>HYPERLINK("https://klasma.github.io/Logging_0980/klagomålsmail/A 48584-2019 FSC-klagomål mail.docx", "A 48584-2019")</f>
        <v/>
      </c>
      <c r="X207">
        <f>HYPERLINK("https://klasma.github.io/Logging_0980/tillsyn/A 48584-2019 tillsynsbegäran.docx", "A 48584-2019")</f>
        <v/>
      </c>
      <c r="Y207">
        <f>HYPERLINK("https://klasma.github.io/Logging_0980/tillsynsmail/A 48584-2019 tillsynsbegäran mail.docx", "A 48584-2019")</f>
        <v/>
      </c>
    </row>
    <row r="208" ht="15" customHeight="1">
      <c r="A208" t="inlineStr">
        <is>
          <t>A 68988-2019</t>
        </is>
      </c>
      <c r="B208" s="1" t="n">
        <v>43826</v>
      </c>
      <c r="C208" s="1" t="n">
        <v>45828</v>
      </c>
      <c r="D208" t="inlineStr">
        <is>
          <t>GOTLANDS LÄN</t>
        </is>
      </c>
      <c r="E208" t="inlineStr">
        <is>
          <t>GOTLAND</t>
        </is>
      </c>
      <c r="F208" t="inlineStr">
        <is>
          <t>Kyrkan</t>
        </is>
      </c>
      <c r="G208" t="n">
        <v>4.6</v>
      </c>
      <c r="H208" t="n">
        <v>0</v>
      </c>
      <c r="I208" t="n">
        <v>1</v>
      </c>
      <c r="J208" t="n">
        <v>0</v>
      </c>
      <c r="K208" t="n">
        <v>0</v>
      </c>
      <c r="L208" t="n">
        <v>0</v>
      </c>
      <c r="M208" t="n">
        <v>0</v>
      </c>
      <c r="N208" t="n">
        <v>0</v>
      </c>
      <c r="O208" t="n">
        <v>0</v>
      </c>
      <c r="P208" t="n">
        <v>0</v>
      </c>
      <c r="Q208" t="n">
        <v>1</v>
      </c>
      <c r="R208" s="2" t="inlineStr">
        <is>
          <t>Kattfotslav</t>
        </is>
      </c>
      <c r="S208">
        <f>HYPERLINK("https://klasma.github.io/Logging_0980/artfynd/A 68988-2019 artfynd.xlsx", "A 68988-2019")</f>
        <v/>
      </c>
      <c r="T208">
        <f>HYPERLINK("https://klasma.github.io/Logging_0980/kartor/A 68988-2019 karta.png", "A 68988-2019")</f>
        <v/>
      </c>
      <c r="V208">
        <f>HYPERLINK("https://klasma.github.io/Logging_0980/klagomål/A 68988-2019 FSC-klagomål.docx", "A 68988-2019")</f>
        <v/>
      </c>
      <c r="W208">
        <f>HYPERLINK("https://klasma.github.io/Logging_0980/klagomålsmail/A 68988-2019 FSC-klagomål mail.docx", "A 68988-2019")</f>
        <v/>
      </c>
      <c r="X208">
        <f>HYPERLINK("https://klasma.github.io/Logging_0980/tillsyn/A 68988-2019 tillsynsbegäran.docx", "A 68988-2019")</f>
        <v/>
      </c>
      <c r="Y208">
        <f>HYPERLINK("https://klasma.github.io/Logging_0980/tillsynsmail/A 68988-2019 tillsynsbegäran mail.docx", "A 68988-2019")</f>
        <v/>
      </c>
    </row>
    <row r="209" ht="15" customHeight="1">
      <c r="A209" t="inlineStr">
        <is>
          <t>A 14010-2020</t>
        </is>
      </c>
      <c r="B209" s="1" t="n">
        <v>43899</v>
      </c>
      <c r="C209" s="1" t="n">
        <v>45828</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Gulsparv</t>
        </is>
      </c>
      <c r="S209">
        <f>HYPERLINK("https://klasma.github.io/Logging_0980/artfynd/A 14010-2020 artfynd.xlsx", "A 14010-2020")</f>
        <v/>
      </c>
      <c r="T209">
        <f>HYPERLINK("https://klasma.github.io/Logging_0980/kartor/A 14010-2020 karta.png", "A 14010-2020")</f>
        <v/>
      </c>
      <c r="V209">
        <f>HYPERLINK("https://klasma.github.io/Logging_0980/klagomål/A 14010-2020 FSC-klagomål.docx", "A 14010-2020")</f>
        <v/>
      </c>
      <c r="W209">
        <f>HYPERLINK("https://klasma.github.io/Logging_0980/klagomålsmail/A 14010-2020 FSC-klagomål mail.docx", "A 14010-2020")</f>
        <v/>
      </c>
      <c r="X209">
        <f>HYPERLINK("https://klasma.github.io/Logging_0980/tillsyn/A 14010-2020 tillsynsbegäran.docx", "A 14010-2020")</f>
        <v/>
      </c>
      <c r="Y209">
        <f>HYPERLINK("https://klasma.github.io/Logging_0980/tillsynsmail/A 14010-2020 tillsynsbegäran mail.docx", "A 14010-2020")</f>
        <v/>
      </c>
      <c r="Z209">
        <f>HYPERLINK("https://klasma.github.io/Logging_0980/fåglar/A 14010-2020 prioriterade fågelarter.docx", "A 14010-2020")</f>
        <v/>
      </c>
    </row>
    <row r="210" ht="15" customHeight="1">
      <c r="A210" t="inlineStr">
        <is>
          <t>A 21753-2020</t>
        </is>
      </c>
      <c r="B210" s="1" t="n">
        <v>43957</v>
      </c>
      <c r="C210" s="1" t="n">
        <v>45828</v>
      </c>
      <c r="D210" t="inlineStr">
        <is>
          <t>GOTLANDS LÄN</t>
        </is>
      </c>
      <c r="E210" t="inlineStr">
        <is>
          <t>GOTLAND</t>
        </is>
      </c>
      <c r="G210" t="n">
        <v>3.5</v>
      </c>
      <c r="H210" t="n">
        <v>0</v>
      </c>
      <c r="I210" t="n">
        <v>0</v>
      </c>
      <c r="J210" t="n">
        <v>0</v>
      </c>
      <c r="K210" t="n">
        <v>0</v>
      </c>
      <c r="L210" t="n">
        <v>0</v>
      </c>
      <c r="M210" t="n">
        <v>1</v>
      </c>
      <c r="N210" t="n">
        <v>0</v>
      </c>
      <c r="O210" t="n">
        <v>1</v>
      </c>
      <c r="P210" t="n">
        <v>1</v>
      </c>
      <c r="Q210" t="n">
        <v>1</v>
      </c>
      <c r="R210" s="2" t="inlineStr">
        <is>
          <t>Skogsalm</t>
        </is>
      </c>
      <c r="S210">
        <f>HYPERLINK("https://klasma.github.io/Logging_0980/artfynd/A 21753-2020 artfynd.xlsx", "A 21753-2020")</f>
        <v/>
      </c>
      <c r="T210">
        <f>HYPERLINK("https://klasma.github.io/Logging_0980/kartor/A 21753-2020 karta.png", "A 21753-2020")</f>
        <v/>
      </c>
      <c r="V210">
        <f>HYPERLINK("https://klasma.github.io/Logging_0980/klagomål/A 21753-2020 FSC-klagomål.docx", "A 21753-2020")</f>
        <v/>
      </c>
      <c r="W210">
        <f>HYPERLINK("https://klasma.github.io/Logging_0980/klagomålsmail/A 21753-2020 FSC-klagomål mail.docx", "A 21753-2020")</f>
        <v/>
      </c>
      <c r="X210">
        <f>HYPERLINK("https://klasma.github.io/Logging_0980/tillsyn/A 21753-2020 tillsynsbegäran.docx", "A 21753-2020")</f>
        <v/>
      </c>
      <c r="Y210">
        <f>HYPERLINK("https://klasma.github.io/Logging_0980/tillsynsmail/A 21753-2020 tillsynsbegäran mail.docx", "A 21753-2020")</f>
        <v/>
      </c>
    </row>
    <row r="211" ht="15" customHeight="1">
      <c r="A211" t="inlineStr">
        <is>
          <t>A 22203-2020</t>
        </is>
      </c>
      <c r="B211" s="1" t="n">
        <v>43962</v>
      </c>
      <c r="C211" s="1" t="n">
        <v>45828</v>
      </c>
      <c r="D211" t="inlineStr">
        <is>
          <t>GOTLANDS LÄN</t>
        </is>
      </c>
      <c r="E211" t="inlineStr">
        <is>
          <t>GOTLAND</t>
        </is>
      </c>
      <c r="G211" t="n">
        <v>3.2</v>
      </c>
      <c r="H211" t="n">
        <v>0</v>
      </c>
      <c r="I211" t="n">
        <v>0</v>
      </c>
      <c r="J211" t="n">
        <v>1</v>
      </c>
      <c r="K211" t="n">
        <v>0</v>
      </c>
      <c r="L211" t="n">
        <v>0</v>
      </c>
      <c r="M211" t="n">
        <v>0</v>
      </c>
      <c r="N211" t="n">
        <v>0</v>
      </c>
      <c r="O211" t="n">
        <v>1</v>
      </c>
      <c r="P211" t="n">
        <v>0</v>
      </c>
      <c r="Q211" t="n">
        <v>1</v>
      </c>
      <c r="R211" s="2" t="inlineStr">
        <is>
          <t>Svinrot</t>
        </is>
      </c>
      <c r="S211">
        <f>HYPERLINK("https://klasma.github.io/Logging_0980/artfynd/A 22203-2020 artfynd.xlsx", "A 22203-2020")</f>
        <v/>
      </c>
      <c r="T211">
        <f>HYPERLINK("https://klasma.github.io/Logging_0980/kartor/A 22203-2020 karta.png", "A 22203-2020")</f>
        <v/>
      </c>
      <c r="V211">
        <f>HYPERLINK("https://klasma.github.io/Logging_0980/klagomål/A 22203-2020 FSC-klagomål.docx", "A 22203-2020")</f>
        <v/>
      </c>
      <c r="W211">
        <f>HYPERLINK("https://klasma.github.io/Logging_0980/klagomålsmail/A 22203-2020 FSC-klagomål mail.docx", "A 22203-2020")</f>
        <v/>
      </c>
      <c r="X211">
        <f>HYPERLINK("https://klasma.github.io/Logging_0980/tillsyn/A 22203-2020 tillsynsbegäran.docx", "A 22203-2020")</f>
        <v/>
      </c>
      <c r="Y211">
        <f>HYPERLINK("https://klasma.github.io/Logging_0980/tillsynsmail/A 22203-2020 tillsynsbegäran mail.docx", "A 22203-2020")</f>
        <v/>
      </c>
    </row>
    <row r="212" ht="15" customHeight="1">
      <c r="A212" t="inlineStr">
        <is>
          <t>A 22628-2020</t>
        </is>
      </c>
      <c r="B212" s="1" t="n">
        <v>43963</v>
      </c>
      <c r="C212" s="1" t="n">
        <v>45828</v>
      </c>
      <c r="D212" t="inlineStr">
        <is>
          <t>GOTLANDS LÄN</t>
        </is>
      </c>
      <c r="E212" t="inlineStr">
        <is>
          <t>GOTLAND</t>
        </is>
      </c>
      <c r="G212" t="n">
        <v>4.3</v>
      </c>
      <c r="H212" t="n">
        <v>0</v>
      </c>
      <c r="I212" t="n">
        <v>0</v>
      </c>
      <c r="J212" t="n">
        <v>0</v>
      </c>
      <c r="K212" t="n">
        <v>1</v>
      </c>
      <c r="L212" t="n">
        <v>0</v>
      </c>
      <c r="M212" t="n">
        <v>0</v>
      </c>
      <c r="N212" t="n">
        <v>0</v>
      </c>
      <c r="O212" t="n">
        <v>1</v>
      </c>
      <c r="P212" t="n">
        <v>1</v>
      </c>
      <c r="Q212" t="n">
        <v>1</v>
      </c>
      <c r="R212" s="2" t="inlineStr">
        <is>
          <t>Gotlandsmåra</t>
        </is>
      </c>
      <c r="S212">
        <f>HYPERLINK("https://klasma.github.io/Logging_0980/artfynd/A 22628-2020 artfynd.xlsx", "A 22628-2020")</f>
        <v/>
      </c>
      <c r="T212">
        <f>HYPERLINK("https://klasma.github.io/Logging_0980/kartor/A 22628-2020 karta.png", "A 22628-2020")</f>
        <v/>
      </c>
      <c r="V212">
        <f>HYPERLINK("https://klasma.github.io/Logging_0980/klagomål/A 22628-2020 FSC-klagomål.docx", "A 22628-2020")</f>
        <v/>
      </c>
      <c r="W212">
        <f>HYPERLINK("https://klasma.github.io/Logging_0980/klagomålsmail/A 22628-2020 FSC-klagomål mail.docx", "A 22628-2020")</f>
        <v/>
      </c>
      <c r="X212">
        <f>HYPERLINK("https://klasma.github.io/Logging_0980/tillsyn/A 22628-2020 tillsynsbegäran.docx", "A 22628-2020")</f>
        <v/>
      </c>
      <c r="Y212">
        <f>HYPERLINK("https://klasma.github.io/Logging_0980/tillsynsmail/A 22628-2020 tillsynsbegäran mail.docx", "A 22628-2020")</f>
        <v/>
      </c>
    </row>
    <row r="213" ht="15" customHeight="1">
      <c r="A213" t="inlineStr">
        <is>
          <t>A 39999-2020</t>
        </is>
      </c>
      <c r="B213" s="1" t="n">
        <v>44067</v>
      </c>
      <c r="C213" s="1" t="n">
        <v>45828</v>
      </c>
      <c r="D213" t="inlineStr">
        <is>
          <t>GOTLANDS LÄN</t>
        </is>
      </c>
      <c r="E213" t="inlineStr">
        <is>
          <t>GOTLAND</t>
        </is>
      </c>
      <c r="G213" t="n">
        <v>1.8</v>
      </c>
      <c r="H213" t="n">
        <v>0</v>
      </c>
      <c r="I213" t="n">
        <v>1</v>
      </c>
      <c r="J213" t="n">
        <v>0</v>
      </c>
      <c r="K213" t="n">
        <v>0</v>
      </c>
      <c r="L213" t="n">
        <v>0</v>
      </c>
      <c r="M213" t="n">
        <v>0</v>
      </c>
      <c r="N213" t="n">
        <v>0</v>
      </c>
      <c r="O213" t="n">
        <v>0</v>
      </c>
      <c r="P213" t="n">
        <v>0</v>
      </c>
      <c r="Q213" t="n">
        <v>1</v>
      </c>
      <c r="R213" s="2" t="inlineStr">
        <is>
          <t>Strävlosta</t>
        </is>
      </c>
      <c r="S213">
        <f>HYPERLINK("https://klasma.github.io/Logging_0980/artfynd/A 39999-2020 artfynd.xlsx", "A 39999-2020")</f>
        <v/>
      </c>
      <c r="T213">
        <f>HYPERLINK("https://klasma.github.io/Logging_0980/kartor/A 39999-2020 karta.png", "A 39999-2020")</f>
        <v/>
      </c>
      <c r="V213">
        <f>HYPERLINK("https://klasma.github.io/Logging_0980/klagomål/A 39999-2020 FSC-klagomål.docx", "A 39999-2020")</f>
        <v/>
      </c>
      <c r="W213">
        <f>HYPERLINK("https://klasma.github.io/Logging_0980/klagomålsmail/A 39999-2020 FSC-klagomål mail.docx", "A 39999-2020")</f>
        <v/>
      </c>
      <c r="X213">
        <f>HYPERLINK("https://klasma.github.io/Logging_0980/tillsyn/A 39999-2020 tillsynsbegäran.docx", "A 39999-2020")</f>
        <v/>
      </c>
      <c r="Y213">
        <f>HYPERLINK("https://klasma.github.io/Logging_0980/tillsynsmail/A 39999-2020 tillsynsbegäran mail.docx", "A 39999-2020")</f>
        <v/>
      </c>
    </row>
    <row r="214" ht="15" customHeight="1">
      <c r="A214" t="inlineStr">
        <is>
          <t>A 40266-2020</t>
        </is>
      </c>
      <c r="B214" s="1" t="n">
        <v>44068</v>
      </c>
      <c r="C214" s="1" t="n">
        <v>45828</v>
      </c>
      <c r="D214" t="inlineStr">
        <is>
          <t>GOTLANDS LÄN</t>
        </is>
      </c>
      <c r="E214" t="inlineStr">
        <is>
          <t>GOTLAND</t>
        </is>
      </c>
      <c r="F214" t="inlineStr">
        <is>
          <t>Kyrkan</t>
        </is>
      </c>
      <c r="G214" t="n">
        <v>1.3</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40266-2020 artfynd.xlsx", "A 40266-2020")</f>
        <v/>
      </c>
      <c r="T214">
        <f>HYPERLINK("https://klasma.github.io/Logging_0980/kartor/A 40266-2020 karta.png", "A 40266-2020")</f>
        <v/>
      </c>
      <c r="V214">
        <f>HYPERLINK("https://klasma.github.io/Logging_0980/klagomål/A 40266-2020 FSC-klagomål.docx", "A 40266-2020")</f>
        <v/>
      </c>
      <c r="W214">
        <f>HYPERLINK("https://klasma.github.io/Logging_0980/klagomålsmail/A 40266-2020 FSC-klagomål mail.docx", "A 40266-2020")</f>
        <v/>
      </c>
      <c r="X214">
        <f>HYPERLINK("https://klasma.github.io/Logging_0980/tillsyn/A 40266-2020 tillsynsbegäran.docx", "A 40266-2020")</f>
        <v/>
      </c>
      <c r="Y214">
        <f>HYPERLINK("https://klasma.github.io/Logging_0980/tillsynsmail/A 40266-2020 tillsynsbegäran mail.docx", "A 40266-2020")</f>
        <v/>
      </c>
    </row>
    <row r="215" ht="15" customHeight="1">
      <c r="A215" t="inlineStr">
        <is>
          <t>A 41065-2020</t>
        </is>
      </c>
      <c r="B215" s="1" t="n">
        <v>44069</v>
      </c>
      <c r="C215" s="1" t="n">
        <v>45828</v>
      </c>
      <c r="D215" t="inlineStr">
        <is>
          <t>GOTLANDS LÄN</t>
        </is>
      </c>
      <c r="E215" t="inlineStr">
        <is>
          <t>GOTLAND</t>
        </is>
      </c>
      <c r="G215" t="n">
        <v>12</v>
      </c>
      <c r="H215" t="n">
        <v>0</v>
      </c>
      <c r="I215" t="n">
        <v>1</v>
      </c>
      <c r="J215" t="n">
        <v>0</v>
      </c>
      <c r="K215" t="n">
        <v>0</v>
      </c>
      <c r="L215" t="n">
        <v>0</v>
      </c>
      <c r="M215" t="n">
        <v>0</v>
      </c>
      <c r="N215" t="n">
        <v>0</v>
      </c>
      <c r="O215" t="n">
        <v>0</v>
      </c>
      <c r="P215" t="n">
        <v>0</v>
      </c>
      <c r="Q215" t="n">
        <v>1</v>
      </c>
      <c r="R215" s="2" t="inlineStr">
        <is>
          <t>Myskmadra</t>
        </is>
      </c>
      <c r="S215">
        <f>HYPERLINK("https://klasma.github.io/Logging_0980/artfynd/A 41065-2020 artfynd.xlsx", "A 41065-2020")</f>
        <v/>
      </c>
      <c r="T215">
        <f>HYPERLINK("https://klasma.github.io/Logging_0980/kartor/A 41065-2020 karta.png", "A 41065-2020")</f>
        <v/>
      </c>
      <c r="V215">
        <f>HYPERLINK("https://klasma.github.io/Logging_0980/klagomål/A 41065-2020 FSC-klagomål.docx", "A 41065-2020")</f>
        <v/>
      </c>
      <c r="W215">
        <f>HYPERLINK("https://klasma.github.io/Logging_0980/klagomålsmail/A 41065-2020 FSC-klagomål mail.docx", "A 41065-2020")</f>
        <v/>
      </c>
      <c r="X215">
        <f>HYPERLINK("https://klasma.github.io/Logging_0980/tillsyn/A 41065-2020 tillsynsbegäran.docx", "A 41065-2020")</f>
        <v/>
      </c>
      <c r="Y215">
        <f>HYPERLINK("https://klasma.github.io/Logging_0980/tillsynsmail/A 41065-2020 tillsynsbegäran mail.docx", "A 41065-2020")</f>
        <v/>
      </c>
    </row>
    <row r="216" ht="15" customHeight="1">
      <c r="A216" t="inlineStr">
        <is>
          <t>A 44958-2020</t>
        </is>
      </c>
      <c r="B216" s="1" t="n">
        <v>44088</v>
      </c>
      <c r="C216" s="1" t="n">
        <v>45828</v>
      </c>
      <c r="D216" t="inlineStr">
        <is>
          <t>GOTLANDS LÄN</t>
        </is>
      </c>
      <c r="E216" t="inlineStr">
        <is>
          <t>GOTLAND</t>
        </is>
      </c>
      <c r="G216" t="n">
        <v>0.6</v>
      </c>
      <c r="H216" t="n">
        <v>1</v>
      </c>
      <c r="I216" t="n">
        <v>0</v>
      </c>
      <c r="J216" t="n">
        <v>1</v>
      </c>
      <c r="K216" t="n">
        <v>0</v>
      </c>
      <c r="L216" t="n">
        <v>0</v>
      </c>
      <c r="M216" t="n">
        <v>0</v>
      </c>
      <c r="N216" t="n">
        <v>0</v>
      </c>
      <c r="O216" t="n">
        <v>1</v>
      </c>
      <c r="P216" t="n">
        <v>0</v>
      </c>
      <c r="Q216" t="n">
        <v>1</v>
      </c>
      <c r="R216" s="2" t="inlineStr">
        <is>
          <t>Hornuggla</t>
        </is>
      </c>
      <c r="S216">
        <f>HYPERLINK("https://klasma.github.io/Logging_0980/artfynd/A 44958-2020 artfynd.xlsx", "A 44958-2020")</f>
        <v/>
      </c>
      <c r="T216">
        <f>HYPERLINK("https://klasma.github.io/Logging_0980/kartor/A 44958-2020 karta.png", "A 44958-2020")</f>
        <v/>
      </c>
      <c r="V216">
        <f>HYPERLINK("https://klasma.github.io/Logging_0980/klagomål/A 44958-2020 FSC-klagomål.docx", "A 44958-2020")</f>
        <v/>
      </c>
      <c r="W216">
        <f>HYPERLINK("https://klasma.github.io/Logging_0980/klagomålsmail/A 44958-2020 FSC-klagomål mail.docx", "A 44958-2020")</f>
        <v/>
      </c>
      <c r="X216">
        <f>HYPERLINK("https://klasma.github.io/Logging_0980/tillsyn/A 44958-2020 tillsynsbegäran.docx", "A 44958-2020")</f>
        <v/>
      </c>
      <c r="Y216">
        <f>HYPERLINK("https://klasma.github.io/Logging_0980/tillsynsmail/A 44958-2020 tillsynsbegäran mail.docx", "A 44958-2020")</f>
        <v/>
      </c>
      <c r="Z216">
        <f>HYPERLINK("https://klasma.github.io/Logging_0980/fåglar/A 44958-2020 prioriterade fågelarter.docx", "A 44958-2020")</f>
        <v/>
      </c>
    </row>
    <row r="217" ht="15" customHeight="1">
      <c r="A217" t="inlineStr">
        <is>
          <t>A 45924-2020</t>
        </is>
      </c>
      <c r="B217" s="1" t="n">
        <v>44088</v>
      </c>
      <c r="C217" s="1" t="n">
        <v>45828</v>
      </c>
      <c r="D217" t="inlineStr">
        <is>
          <t>GOTLANDS LÄN</t>
        </is>
      </c>
      <c r="E217" t="inlineStr">
        <is>
          <t>GOTLAND</t>
        </is>
      </c>
      <c r="G217" t="n">
        <v>15</v>
      </c>
      <c r="H217" t="n">
        <v>0</v>
      </c>
      <c r="I217" t="n">
        <v>1</v>
      </c>
      <c r="J217" t="n">
        <v>0</v>
      </c>
      <c r="K217" t="n">
        <v>0</v>
      </c>
      <c r="L217" t="n">
        <v>0</v>
      </c>
      <c r="M217" t="n">
        <v>0</v>
      </c>
      <c r="N217" t="n">
        <v>0</v>
      </c>
      <c r="O217" t="n">
        <v>0</v>
      </c>
      <c r="P217" t="n">
        <v>0</v>
      </c>
      <c r="Q217" t="n">
        <v>1</v>
      </c>
      <c r="R217" s="2" t="inlineStr">
        <is>
          <t>Myskmadra</t>
        </is>
      </c>
      <c r="S217">
        <f>HYPERLINK("https://klasma.github.io/Logging_0980/artfynd/A 45924-2020 artfynd.xlsx", "A 45924-2020")</f>
        <v/>
      </c>
      <c r="T217">
        <f>HYPERLINK("https://klasma.github.io/Logging_0980/kartor/A 45924-2020 karta.png", "A 45924-2020")</f>
        <v/>
      </c>
      <c r="V217">
        <f>HYPERLINK("https://klasma.github.io/Logging_0980/klagomål/A 45924-2020 FSC-klagomål.docx", "A 45924-2020")</f>
        <v/>
      </c>
      <c r="W217">
        <f>HYPERLINK("https://klasma.github.io/Logging_0980/klagomålsmail/A 45924-2020 FSC-klagomål mail.docx", "A 45924-2020")</f>
        <v/>
      </c>
      <c r="X217">
        <f>HYPERLINK("https://klasma.github.io/Logging_0980/tillsyn/A 45924-2020 tillsynsbegäran.docx", "A 45924-2020")</f>
        <v/>
      </c>
      <c r="Y217">
        <f>HYPERLINK("https://klasma.github.io/Logging_0980/tillsynsmail/A 45924-2020 tillsynsbegäran mail.docx", "A 45924-2020")</f>
        <v/>
      </c>
    </row>
    <row r="218" ht="15" customHeight="1">
      <c r="A218" t="inlineStr">
        <is>
          <t>A 63299-2020</t>
        </is>
      </c>
      <c r="B218" s="1" t="n">
        <v>44165</v>
      </c>
      <c r="C218" s="1" t="n">
        <v>45828</v>
      </c>
      <c r="D218" t="inlineStr">
        <is>
          <t>GOTLANDS LÄN</t>
        </is>
      </c>
      <c r="E218" t="inlineStr">
        <is>
          <t>GOTLAND</t>
        </is>
      </c>
      <c r="G218" t="n">
        <v>12.9</v>
      </c>
      <c r="H218" t="n">
        <v>1</v>
      </c>
      <c r="I218" t="n">
        <v>0</v>
      </c>
      <c r="J218" t="n">
        <v>1</v>
      </c>
      <c r="K218" t="n">
        <v>0</v>
      </c>
      <c r="L218" t="n">
        <v>0</v>
      </c>
      <c r="M218" t="n">
        <v>0</v>
      </c>
      <c r="N218" t="n">
        <v>0</v>
      </c>
      <c r="O218" t="n">
        <v>1</v>
      </c>
      <c r="P218" t="n">
        <v>0</v>
      </c>
      <c r="Q218" t="n">
        <v>1</v>
      </c>
      <c r="R218" s="2" t="inlineStr">
        <is>
          <t>Svartfläckig blåvinge</t>
        </is>
      </c>
      <c r="S218">
        <f>HYPERLINK("https://klasma.github.io/Logging_0980/artfynd/A 63299-2020 artfynd.xlsx", "A 63299-2020")</f>
        <v/>
      </c>
      <c r="T218">
        <f>HYPERLINK("https://klasma.github.io/Logging_0980/kartor/A 63299-2020 karta.png", "A 63299-2020")</f>
        <v/>
      </c>
      <c r="V218">
        <f>HYPERLINK("https://klasma.github.io/Logging_0980/klagomål/A 63299-2020 FSC-klagomål.docx", "A 63299-2020")</f>
        <v/>
      </c>
      <c r="W218">
        <f>HYPERLINK("https://klasma.github.io/Logging_0980/klagomålsmail/A 63299-2020 FSC-klagomål mail.docx", "A 63299-2020")</f>
        <v/>
      </c>
      <c r="X218">
        <f>HYPERLINK("https://klasma.github.io/Logging_0980/tillsyn/A 63299-2020 tillsynsbegäran.docx", "A 63299-2020")</f>
        <v/>
      </c>
      <c r="Y218">
        <f>HYPERLINK("https://klasma.github.io/Logging_0980/tillsynsmail/A 63299-2020 tillsynsbegäran mail.docx", "A 63299-2020")</f>
        <v/>
      </c>
    </row>
    <row r="219" ht="15" customHeight="1">
      <c r="A219" t="inlineStr">
        <is>
          <t>A 24-2021</t>
        </is>
      </c>
      <c r="B219" s="1" t="n">
        <v>44197</v>
      </c>
      <c r="C219" s="1" t="n">
        <v>45828</v>
      </c>
      <c r="D219" t="inlineStr">
        <is>
          <t>GOTLANDS LÄN</t>
        </is>
      </c>
      <c r="E219" t="inlineStr">
        <is>
          <t>GOTLAND</t>
        </is>
      </c>
      <c r="F219" t="inlineStr">
        <is>
          <t>Kyrkan</t>
        </is>
      </c>
      <c r="G219" t="n">
        <v>1.7</v>
      </c>
      <c r="H219" t="n">
        <v>0</v>
      </c>
      <c r="I219" t="n">
        <v>1</v>
      </c>
      <c r="J219" t="n">
        <v>0</v>
      </c>
      <c r="K219" t="n">
        <v>0</v>
      </c>
      <c r="L219" t="n">
        <v>0</v>
      </c>
      <c r="M219" t="n">
        <v>0</v>
      </c>
      <c r="N219" t="n">
        <v>0</v>
      </c>
      <c r="O219" t="n">
        <v>0</v>
      </c>
      <c r="P219" t="n">
        <v>0</v>
      </c>
      <c r="Q219" t="n">
        <v>1</v>
      </c>
      <c r="R219" s="2" t="inlineStr">
        <is>
          <t>Svavelriska</t>
        </is>
      </c>
      <c r="S219">
        <f>HYPERLINK("https://klasma.github.io/Logging_0980/artfynd/A 24-2021 artfynd.xlsx", "A 24-2021")</f>
        <v/>
      </c>
      <c r="T219">
        <f>HYPERLINK("https://klasma.github.io/Logging_0980/kartor/A 24-2021 karta.png", "A 24-2021")</f>
        <v/>
      </c>
      <c r="V219">
        <f>HYPERLINK("https://klasma.github.io/Logging_0980/klagomål/A 24-2021 FSC-klagomål.docx", "A 24-2021")</f>
        <v/>
      </c>
      <c r="W219">
        <f>HYPERLINK("https://klasma.github.io/Logging_0980/klagomålsmail/A 24-2021 FSC-klagomål mail.docx", "A 24-2021")</f>
        <v/>
      </c>
      <c r="X219">
        <f>HYPERLINK("https://klasma.github.io/Logging_0980/tillsyn/A 24-2021 tillsynsbegäran.docx", "A 24-2021")</f>
        <v/>
      </c>
      <c r="Y219">
        <f>HYPERLINK("https://klasma.github.io/Logging_0980/tillsynsmail/A 24-2021 tillsynsbegäran mail.docx", "A 24-2021")</f>
        <v/>
      </c>
    </row>
    <row r="220" ht="15" customHeight="1">
      <c r="A220" t="inlineStr">
        <is>
          <t>A 7485-2021</t>
        </is>
      </c>
      <c r="B220" s="1" t="n">
        <v>44238</v>
      </c>
      <c r="C220" s="1" t="n">
        <v>45828</v>
      </c>
      <c r="D220" t="inlineStr">
        <is>
          <t>GOTLANDS LÄN</t>
        </is>
      </c>
      <c r="E220" t="inlineStr">
        <is>
          <t>GOTLAND</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HYPERLINK("https://klasma.github.io/Logging_0980/artfynd/A 7485-2021 artfynd.xlsx", "A 7485-2021")</f>
        <v/>
      </c>
      <c r="T220">
        <f>HYPERLINK("https://klasma.github.io/Logging_0980/kartor/A 7485-2021 karta.png", "A 7485-2021")</f>
        <v/>
      </c>
      <c r="V220">
        <f>HYPERLINK("https://klasma.github.io/Logging_0980/klagomål/A 7485-2021 FSC-klagomål.docx", "A 7485-2021")</f>
        <v/>
      </c>
      <c r="W220">
        <f>HYPERLINK("https://klasma.github.io/Logging_0980/klagomålsmail/A 7485-2021 FSC-klagomål mail.docx", "A 7485-2021")</f>
        <v/>
      </c>
      <c r="X220">
        <f>HYPERLINK("https://klasma.github.io/Logging_0980/tillsyn/A 7485-2021 tillsynsbegäran.docx", "A 7485-2021")</f>
        <v/>
      </c>
      <c r="Y220">
        <f>HYPERLINK("https://klasma.github.io/Logging_0980/tillsynsmail/A 7485-2021 tillsynsbegäran mail.docx", "A 7485-2021")</f>
        <v/>
      </c>
      <c r="Z220">
        <f>HYPERLINK("https://klasma.github.io/Logging_0980/fåglar/A 7485-2021 prioriterade fågelarter.docx", "A 7485-2021")</f>
        <v/>
      </c>
    </row>
    <row r="221" ht="15" customHeight="1">
      <c r="A221" t="inlineStr">
        <is>
          <t>A 13939-2021</t>
        </is>
      </c>
      <c r="B221" s="1" t="n">
        <v>44277</v>
      </c>
      <c r="C221" s="1" t="n">
        <v>45828</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Axveronika</t>
        </is>
      </c>
      <c r="S221">
        <f>HYPERLINK("https://klasma.github.io/Logging_0980/artfynd/A 13939-2021 artfynd.xlsx", "A 13939-2021")</f>
        <v/>
      </c>
      <c r="T221">
        <f>HYPERLINK("https://klasma.github.io/Logging_0980/kartor/A 13939-2021 karta.png", "A 13939-2021")</f>
        <v/>
      </c>
      <c r="V221">
        <f>HYPERLINK("https://klasma.github.io/Logging_0980/klagomål/A 13939-2021 FSC-klagomål.docx", "A 13939-2021")</f>
        <v/>
      </c>
      <c r="W221">
        <f>HYPERLINK("https://klasma.github.io/Logging_0980/klagomålsmail/A 13939-2021 FSC-klagomål mail.docx", "A 13939-2021")</f>
        <v/>
      </c>
      <c r="X221">
        <f>HYPERLINK("https://klasma.github.io/Logging_0980/tillsyn/A 13939-2021 tillsynsbegäran.docx", "A 13939-2021")</f>
        <v/>
      </c>
      <c r="Y221">
        <f>HYPERLINK("https://klasma.github.io/Logging_0980/tillsynsmail/A 13939-2021 tillsynsbegäran mail.docx", "A 13939-2021")</f>
        <v/>
      </c>
    </row>
    <row r="222" ht="15" customHeight="1">
      <c r="A222" t="inlineStr">
        <is>
          <t>A 17723-2021</t>
        </is>
      </c>
      <c r="B222" s="1" t="n">
        <v>44300</v>
      </c>
      <c r="C222" s="1" t="n">
        <v>45828</v>
      </c>
      <c r="D222" t="inlineStr">
        <is>
          <t>GOTLANDS LÄN</t>
        </is>
      </c>
      <c r="E222" t="inlineStr">
        <is>
          <t>GOTLAND</t>
        </is>
      </c>
      <c r="G222" t="n">
        <v>1.5</v>
      </c>
      <c r="H222" t="n">
        <v>1</v>
      </c>
      <c r="I222" t="n">
        <v>1</v>
      </c>
      <c r="J222" t="n">
        <v>0</v>
      </c>
      <c r="K222" t="n">
        <v>0</v>
      </c>
      <c r="L222" t="n">
        <v>0</v>
      </c>
      <c r="M222" t="n">
        <v>0</v>
      </c>
      <c r="N222" t="n">
        <v>0</v>
      </c>
      <c r="O222" t="n">
        <v>0</v>
      </c>
      <c r="P222" t="n">
        <v>0</v>
      </c>
      <c r="Q222" t="n">
        <v>1</v>
      </c>
      <c r="R222" s="2" t="inlineStr">
        <is>
          <t>Vit skogslilja</t>
        </is>
      </c>
      <c r="S222">
        <f>HYPERLINK("https://klasma.github.io/Logging_0980/artfynd/A 17723-2021 artfynd.xlsx", "A 17723-2021")</f>
        <v/>
      </c>
      <c r="T222">
        <f>HYPERLINK("https://klasma.github.io/Logging_0980/kartor/A 17723-2021 karta.png", "A 17723-2021")</f>
        <v/>
      </c>
      <c r="V222">
        <f>HYPERLINK("https://klasma.github.io/Logging_0980/klagomål/A 17723-2021 FSC-klagomål.docx", "A 17723-2021")</f>
        <v/>
      </c>
      <c r="W222">
        <f>HYPERLINK("https://klasma.github.io/Logging_0980/klagomålsmail/A 17723-2021 FSC-klagomål mail.docx", "A 17723-2021")</f>
        <v/>
      </c>
      <c r="X222">
        <f>HYPERLINK("https://klasma.github.io/Logging_0980/tillsyn/A 17723-2021 tillsynsbegäran.docx", "A 17723-2021")</f>
        <v/>
      </c>
      <c r="Y222">
        <f>HYPERLINK("https://klasma.github.io/Logging_0980/tillsynsmail/A 17723-2021 tillsynsbegäran mail.docx", "A 17723-2021")</f>
        <v/>
      </c>
    </row>
    <row r="223" ht="15" customHeight="1">
      <c r="A223" t="inlineStr">
        <is>
          <t>A 29951-2021</t>
        </is>
      </c>
      <c r="B223" s="1" t="n">
        <v>44362</v>
      </c>
      <c r="C223" s="1" t="n">
        <v>45828</v>
      </c>
      <c r="D223" t="inlineStr">
        <is>
          <t>GOTLANDS LÄN</t>
        </is>
      </c>
      <c r="E223" t="inlineStr">
        <is>
          <t>GOTLAND</t>
        </is>
      </c>
      <c r="G223" t="n">
        <v>3.4</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29951-2021 artfynd.xlsx", "A 29951-2021")</f>
        <v/>
      </c>
      <c r="T223">
        <f>HYPERLINK("https://klasma.github.io/Logging_0980/kartor/A 29951-2021 karta.png", "A 29951-2021")</f>
        <v/>
      </c>
      <c r="V223">
        <f>HYPERLINK("https://klasma.github.io/Logging_0980/klagomål/A 29951-2021 FSC-klagomål.docx", "A 29951-2021")</f>
        <v/>
      </c>
      <c r="W223">
        <f>HYPERLINK("https://klasma.github.io/Logging_0980/klagomålsmail/A 29951-2021 FSC-klagomål mail.docx", "A 29951-2021")</f>
        <v/>
      </c>
      <c r="X223">
        <f>HYPERLINK("https://klasma.github.io/Logging_0980/tillsyn/A 29951-2021 tillsynsbegäran.docx", "A 29951-2021")</f>
        <v/>
      </c>
      <c r="Y223">
        <f>HYPERLINK("https://klasma.github.io/Logging_0980/tillsynsmail/A 29951-2021 tillsynsbegäran mail.docx", "A 29951-2021")</f>
        <v/>
      </c>
    </row>
    <row r="224" ht="15" customHeight="1">
      <c r="A224" t="inlineStr">
        <is>
          <t>A 35467-2021</t>
        </is>
      </c>
      <c r="B224" s="1" t="n">
        <v>44385</v>
      </c>
      <c r="C224" s="1" t="n">
        <v>45828</v>
      </c>
      <c r="D224" t="inlineStr">
        <is>
          <t>GOTLANDS LÄN</t>
        </is>
      </c>
      <c r="E224" t="inlineStr">
        <is>
          <t>GOTLAND</t>
        </is>
      </c>
      <c r="G224" t="n">
        <v>12.7</v>
      </c>
      <c r="H224" t="n">
        <v>0</v>
      </c>
      <c r="I224" t="n">
        <v>0</v>
      </c>
      <c r="J224" t="n">
        <v>1</v>
      </c>
      <c r="K224" t="n">
        <v>0</v>
      </c>
      <c r="L224" t="n">
        <v>0</v>
      </c>
      <c r="M224" t="n">
        <v>0</v>
      </c>
      <c r="N224" t="n">
        <v>0</v>
      </c>
      <c r="O224" t="n">
        <v>1</v>
      </c>
      <c r="P224" t="n">
        <v>0</v>
      </c>
      <c r="Q224" t="n">
        <v>1</v>
      </c>
      <c r="R224" s="2" t="inlineStr">
        <is>
          <t>Loppstarr</t>
        </is>
      </c>
      <c r="S224">
        <f>HYPERLINK("https://klasma.github.io/Logging_0980/artfynd/A 35467-2021 artfynd.xlsx", "A 35467-2021")</f>
        <v/>
      </c>
      <c r="T224">
        <f>HYPERLINK("https://klasma.github.io/Logging_0980/kartor/A 35467-2021 karta.png", "A 35467-2021")</f>
        <v/>
      </c>
      <c r="V224">
        <f>HYPERLINK("https://klasma.github.io/Logging_0980/klagomål/A 35467-2021 FSC-klagomål.docx", "A 35467-2021")</f>
        <v/>
      </c>
      <c r="W224">
        <f>HYPERLINK("https://klasma.github.io/Logging_0980/klagomålsmail/A 35467-2021 FSC-klagomål mail.docx", "A 35467-2021")</f>
        <v/>
      </c>
      <c r="X224">
        <f>HYPERLINK("https://klasma.github.io/Logging_0980/tillsyn/A 35467-2021 tillsynsbegäran.docx", "A 35467-2021")</f>
        <v/>
      </c>
      <c r="Y224">
        <f>HYPERLINK("https://klasma.github.io/Logging_0980/tillsynsmail/A 35467-2021 tillsynsbegäran mail.docx", "A 35467-2021")</f>
        <v/>
      </c>
    </row>
    <row r="225" ht="15" customHeight="1">
      <c r="A225" t="inlineStr">
        <is>
          <t>A 44308-2021</t>
        </is>
      </c>
      <c r="B225" s="1" t="n">
        <v>44434</v>
      </c>
      <c r="C225" s="1" t="n">
        <v>45828</v>
      </c>
      <c r="D225" t="inlineStr">
        <is>
          <t>GOTLANDS LÄN</t>
        </is>
      </c>
      <c r="E225" t="inlineStr">
        <is>
          <t>GOTLAND</t>
        </is>
      </c>
      <c r="G225" t="n">
        <v>5.9</v>
      </c>
      <c r="H225" t="n">
        <v>0</v>
      </c>
      <c r="I225" t="n">
        <v>1</v>
      </c>
      <c r="J225" t="n">
        <v>0</v>
      </c>
      <c r="K225" t="n">
        <v>0</v>
      </c>
      <c r="L225" t="n">
        <v>0</v>
      </c>
      <c r="M225" t="n">
        <v>0</v>
      </c>
      <c r="N225" t="n">
        <v>0</v>
      </c>
      <c r="O225" t="n">
        <v>0</v>
      </c>
      <c r="P225" t="n">
        <v>0</v>
      </c>
      <c r="Q225" t="n">
        <v>1</v>
      </c>
      <c r="R225" s="2" t="inlineStr">
        <is>
          <t>Svavelriska</t>
        </is>
      </c>
      <c r="S225">
        <f>HYPERLINK("https://klasma.github.io/Logging_0980/artfynd/A 44308-2021 artfynd.xlsx", "A 44308-2021")</f>
        <v/>
      </c>
      <c r="T225">
        <f>HYPERLINK("https://klasma.github.io/Logging_0980/kartor/A 44308-2021 karta.png", "A 44308-2021")</f>
        <v/>
      </c>
      <c r="V225">
        <f>HYPERLINK("https://klasma.github.io/Logging_0980/klagomål/A 44308-2021 FSC-klagomål.docx", "A 44308-2021")</f>
        <v/>
      </c>
      <c r="W225">
        <f>HYPERLINK("https://klasma.github.io/Logging_0980/klagomålsmail/A 44308-2021 FSC-klagomål mail.docx", "A 44308-2021")</f>
        <v/>
      </c>
      <c r="X225">
        <f>HYPERLINK("https://klasma.github.io/Logging_0980/tillsyn/A 44308-2021 tillsynsbegäran.docx", "A 44308-2021")</f>
        <v/>
      </c>
      <c r="Y225">
        <f>HYPERLINK("https://klasma.github.io/Logging_0980/tillsynsmail/A 44308-2021 tillsynsbegäran mail.docx", "A 44308-2021")</f>
        <v/>
      </c>
    </row>
    <row r="226" ht="15" customHeight="1">
      <c r="A226" t="inlineStr">
        <is>
          <t>A 47411-2021</t>
        </is>
      </c>
      <c r="B226" s="1" t="n">
        <v>44447</v>
      </c>
      <c r="C226" s="1" t="n">
        <v>45828</v>
      </c>
      <c r="D226" t="inlineStr">
        <is>
          <t>GOTLANDS LÄN</t>
        </is>
      </c>
      <c r="E226" t="inlineStr">
        <is>
          <t>GOTLAND</t>
        </is>
      </c>
      <c r="G226" t="n">
        <v>2.7</v>
      </c>
      <c r="H226" t="n">
        <v>1</v>
      </c>
      <c r="I226" t="n">
        <v>0</v>
      </c>
      <c r="J226" t="n">
        <v>0</v>
      </c>
      <c r="K226" t="n">
        <v>0</v>
      </c>
      <c r="L226" t="n">
        <v>0</v>
      </c>
      <c r="M226" t="n">
        <v>0</v>
      </c>
      <c r="N226" t="n">
        <v>0</v>
      </c>
      <c r="O226" t="n">
        <v>0</v>
      </c>
      <c r="P226" t="n">
        <v>0</v>
      </c>
      <c r="Q226" t="n">
        <v>1</v>
      </c>
      <c r="R226" s="2" t="inlineStr">
        <is>
          <t>Revlummer</t>
        </is>
      </c>
      <c r="S226">
        <f>HYPERLINK("https://klasma.github.io/Logging_0980/artfynd/A 47411-2021 artfynd.xlsx", "A 47411-2021")</f>
        <v/>
      </c>
      <c r="T226">
        <f>HYPERLINK("https://klasma.github.io/Logging_0980/kartor/A 47411-2021 karta.png", "A 47411-2021")</f>
        <v/>
      </c>
      <c r="V226">
        <f>HYPERLINK("https://klasma.github.io/Logging_0980/klagomål/A 47411-2021 FSC-klagomål.docx", "A 47411-2021")</f>
        <v/>
      </c>
      <c r="W226">
        <f>HYPERLINK("https://klasma.github.io/Logging_0980/klagomålsmail/A 47411-2021 FSC-klagomål mail.docx", "A 47411-2021")</f>
        <v/>
      </c>
      <c r="X226">
        <f>HYPERLINK("https://klasma.github.io/Logging_0980/tillsyn/A 47411-2021 tillsynsbegäran.docx", "A 47411-2021")</f>
        <v/>
      </c>
      <c r="Y226">
        <f>HYPERLINK("https://klasma.github.io/Logging_0980/tillsynsmail/A 47411-2021 tillsynsbegäran mail.docx", "A 47411-2021")</f>
        <v/>
      </c>
    </row>
    <row r="227" ht="15" customHeight="1">
      <c r="A227" t="inlineStr">
        <is>
          <t>A 63576-2021</t>
        </is>
      </c>
      <c r="B227" s="1" t="n">
        <v>44508</v>
      </c>
      <c r="C227" s="1" t="n">
        <v>45828</v>
      </c>
      <c r="D227" t="inlineStr">
        <is>
          <t>GOTLANDS LÄN</t>
        </is>
      </c>
      <c r="E227" t="inlineStr">
        <is>
          <t>GOTLAND</t>
        </is>
      </c>
      <c r="F227" t="inlineStr">
        <is>
          <t>Kyrkan</t>
        </is>
      </c>
      <c r="G227" t="n">
        <v>4.1</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63576-2021 artfynd.xlsx", "A 63576-2021")</f>
        <v/>
      </c>
      <c r="T227">
        <f>HYPERLINK("https://klasma.github.io/Logging_0980/kartor/A 63576-2021 karta.png", "A 63576-2021")</f>
        <v/>
      </c>
      <c r="V227">
        <f>HYPERLINK("https://klasma.github.io/Logging_0980/klagomål/A 63576-2021 FSC-klagomål.docx", "A 63576-2021")</f>
        <v/>
      </c>
      <c r="W227">
        <f>HYPERLINK("https://klasma.github.io/Logging_0980/klagomålsmail/A 63576-2021 FSC-klagomål mail.docx", "A 63576-2021")</f>
        <v/>
      </c>
      <c r="X227">
        <f>HYPERLINK("https://klasma.github.io/Logging_0980/tillsyn/A 63576-2021 tillsynsbegäran.docx", "A 63576-2021")</f>
        <v/>
      </c>
      <c r="Y227">
        <f>HYPERLINK("https://klasma.github.io/Logging_0980/tillsynsmail/A 63576-2021 tillsynsbegäran mail.docx", "A 63576-2021")</f>
        <v/>
      </c>
    </row>
    <row r="228" ht="15" customHeight="1">
      <c r="A228" t="inlineStr">
        <is>
          <t>A 64700-2021</t>
        </is>
      </c>
      <c r="B228" s="1" t="n">
        <v>44511</v>
      </c>
      <c r="C228" s="1" t="n">
        <v>45828</v>
      </c>
      <c r="D228" t="inlineStr">
        <is>
          <t>GOTLANDS LÄN</t>
        </is>
      </c>
      <c r="E228" t="inlineStr">
        <is>
          <t>GOTLAND</t>
        </is>
      </c>
      <c r="F228" t="inlineStr">
        <is>
          <t>Naturvårdsverket</t>
        </is>
      </c>
      <c r="G228" t="n">
        <v>2.4</v>
      </c>
      <c r="H228" t="n">
        <v>1</v>
      </c>
      <c r="I228" t="n">
        <v>0</v>
      </c>
      <c r="J228" t="n">
        <v>0</v>
      </c>
      <c r="K228" t="n">
        <v>1</v>
      </c>
      <c r="L228" t="n">
        <v>0</v>
      </c>
      <c r="M228" t="n">
        <v>0</v>
      </c>
      <c r="N228" t="n">
        <v>0</v>
      </c>
      <c r="O228" t="n">
        <v>1</v>
      </c>
      <c r="P228" t="n">
        <v>1</v>
      </c>
      <c r="Q228" t="n">
        <v>1</v>
      </c>
      <c r="R228" s="2" t="inlineStr">
        <is>
          <t>Kalkdån</t>
        </is>
      </c>
      <c r="S228">
        <f>HYPERLINK("https://klasma.github.io/Logging_0980/artfynd/A 64700-2021 artfynd.xlsx", "A 64700-2021")</f>
        <v/>
      </c>
      <c r="T228">
        <f>HYPERLINK("https://klasma.github.io/Logging_0980/kartor/A 64700-2021 karta.png", "A 64700-2021")</f>
        <v/>
      </c>
      <c r="V228">
        <f>HYPERLINK("https://klasma.github.io/Logging_0980/klagomål/A 64700-2021 FSC-klagomål.docx", "A 64700-2021")</f>
        <v/>
      </c>
      <c r="W228">
        <f>HYPERLINK("https://klasma.github.io/Logging_0980/klagomålsmail/A 64700-2021 FSC-klagomål mail.docx", "A 64700-2021")</f>
        <v/>
      </c>
      <c r="X228">
        <f>HYPERLINK("https://klasma.github.io/Logging_0980/tillsyn/A 64700-2021 tillsynsbegäran.docx", "A 64700-2021")</f>
        <v/>
      </c>
      <c r="Y228">
        <f>HYPERLINK("https://klasma.github.io/Logging_0980/tillsynsmail/A 64700-2021 tillsynsbegäran mail.docx", "A 64700-2021")</f>
        <v/>
      </c>
    </row>
    <row r="229" ht="15" customHeight="1">
      <c r="A229" t="inlineStr">
        <is>
          <t>A 65927-2021</t>
        </is>
      </c>
      <c r="B229" s="1" t="n">
        <v>44516</v>
      </c>
      <c r="C229" s="1" t="n">
        <v>45828</v>
      </c>
      <c r="D229" t="inlineStr">
        <is>
          <t>GOTLANDS LÄN</t>
        </is>
      </c>
      <c r="E229" t="inlineStr">
        <is>
          <t>GOTLAND</t>
        </is>
      </c>
      <c r="G229" t="n">
        <v>3.1</v>
      </c>
      <c r="H229" t="n">
        <v>1</v>
      </c>
      <c r="I229" t="n">
        <v>0</v>
      </c>
      <c r="J229" t="n">
        <v>0</v>
      </c>
      <c r="K229" t="n">
        <v>1</v>
      </c>
      <c r="L229" t="n">
        <v>0</v>
      </c>
      <c r="M229" t="n">
        <v>0</v>
      </c>
      <c r="N229" t="n">
        <v>0</v>
      </c>
      <c r="O229" t="n">
        <v>1</v>
      </c>
      <c r="P229" t="n">
        <v>1</v>
      </c>
      <c r="Q229" t="n">
        <v>1</v>
      </c>
      <c r="R229" s="2" t="inlineStr">
        <is>
          <t>Grenigt kungsljus</t>
        </is>
      </c>
      <c r="S229">
        <f>HYPERLINK("https://klasma.github.io/Logging_0980/artfynd/A 65927-2021 artfynd.xlsx", "A 65927-2021")</f>
        <v/>
      </c>
      <c r="T229">
        <f>HYPERLINK("https://klasma.github.io/Logging_0980/kartor/A 65927-2021 karta.png", "A 65927-2021")</f>
        <v/>
      </c>
      <c r="V229">
        <f>HYPERLINK("https://klasma.github.io/Logging_0980/klagomål/A 65927-2021 FSC-klagomål.docx", "A 65927-2021")</f>
        <v/>
      </c>
      <c r="W229">
        <f>HYPERLINK("https://klasma.github.io/Logging_0980/klagomålsmail/A 65927-2021 FSC-klagomål mail.docx", "A 65927-2021")</f>
        <v/>
      </c>
      <c r="X229">
        <f>HYPERLINK("https://klasma.github.io/Logging_0980/tillsyn/A 65927-2021 tillsynsbegäran.docx", "A 65927-2021")</f>
        <v/>
      </c>
      <c r="Y229">
        <f>HYPERLINK("https://klasma.github.io/Logging_0980/tillsynsmail/A 65927-2021 tillsynsbegäran mail.docx", "A 65927-2021")</f>
        <v/>
      </c>
    </row>
    <row r="230" ht="15" customHeight="1">
      <c r="A230" t="inlineStr">
        <is>
          <t>A 66091-2021</t>
        </is>
      </c>
      <c r="B230" s="1" t="n">
        <v>44517</v>
      </c>
      <c r="C230" s="1" t="n">
        <v>45828</v>
      </c>
      <c r="D230" t="inlineStr">
        <is>
          <t>GOTLANDS LÄN</t>
        </is>
      </c>
      <c r="E230" t="inlineStr">
        <is>
          <t>GOTLAND</t>
        </is>
      </c>
      <c r="G230" t="n">
        <v>11.7</v>
      </c>
      <c r="H230" t="n">
        <v>1</v>
      </c>
      <c r="I230" t="n">
        <v>0</v>
      </c>
      <c r="J230" t="n">
        <v>0</v>
      </c>
      <c r="K230" t="n">
        <v>0</v>
      </c>
      <c r="L230" t="n">
        <v>0</v>
      </c>
      <c r="M230" t="n">
        <v>0</v>
      </c>
      <c r="N230" t="n">
        <v>0</v>
      </c>
      <c r="O230" t="n">
        <v>0</v>
      </c>
      <c r="P230" t="n">
        <v>0</v>
      </c>
      <c r="Q230" t="n">
        <v>1</v>
      </c>
      <c r="R230" s="2" t="inlineStr">
        <is>
          <t>Pärluggla</t>
        </is>
      </c>
      <c r="S230">
        <f>HYPERLINK("https://klasma.github.io/Logging_0980/artfynd/A 66091-2021 artfynd.xlsx", "A 66091-2021")</f>
        <v/>
      </c>
      <c r="T230">
        <f>HYPERLINK("https://klasma.github.io/Logging_0980/kartor/A 66091-2021 karta.png", "A 66091-2021")</f>
        <v/>
      </c>
      <c r="V230">
        <f>HYPERLINK("https://klasma.github.io/Logging_0980/klagomål/A 66091-2021 FSC-klagomål.docx", "A 66091-2021")</f>
        <v/>
      </c>
      <c r="W230">
        <f>HYPERLINK("https://klasma.github.io/Logging_0980/klagomålsmail/A 66091-2021 FSC-klagomål mail.docx", "A 66091-2021")</f>
        <v/>
      </c>
      <c r="X230">
        <f>HYPERLINK("https://klasma.github.io/Logging_0980/tillsyn/A 66091-2021 tillsynsbegäran.docx", "A 66091-2021")</f>
        <v/>
      </c>
      <c r="Y230">
        <f>HYPERLINK("https://klasma.github.io/Logging_0980/tillsynsmail/A 66091-2021 tillsynsbegäran mail.docx", "A 66091-2021")</f>
        <v/>
      </c>
      <c r="Z230">
        <f>HYPERLINK("https://klasma.github.io/Logging_0980/fåglar/A 66091-2021 prioriterade fågelarter.docx", "A 66091-2021")</f>
        <v/>
      </c>
    </row>
    <row r="231" ht="15" customHeight="1">
      <c r="A231" t="inlineStr">
        <is>
          <t>A 24245-2022</t>
        </is>
      </c>
      <c r="B231" s="1" t="n">
        <v>44725</v>
      </c>
      <c r="C231" s="1" t="n">
        <v>45828</v>
      </c>
      <c r="D231" t="inlineStr">
        <is>
          <t>GOTLANDS LÄN</t>
        </is>
      </c>
      <c r="E231" t="inlineStr">
        <is>
          <t>GOTLAND</t>
        </is>
      </c>
      <c r="G231" t="n">
        <v>4.9</v>
      </c>
      <c r="H231" t="n">
        <v>0</v>
      </c>
      <c r="I231" t="n">
        <v>0</v>
      </c>
      <c r="J231" t="n">
        <v>0</v>
      </c>
      <c r="K231" t="n">
        <v>0</v>
      </c>
      <c r="L231" t="n">
        <v>1</v>
      </c>
      <c r="M231" t="n">
        <v>0</v>
      </c>
      <c r="N231" t="n">
        <v>0</v>
      </c>
      <c r="O231" t="n">
        <v>1</v>
      </c>
      <c r="P231" t="n">
        <v>1</v>
      </c>
      <c r="Q231" t="n">
        <v>1</v>
      </c>
      <c r="R231" s="2" t="inlineStr">
        <is>
          <t>Slät taggsvamp</t>
        </is>
      </c>
      <c r="S231">
        <f>HYPERLINK("https://klasma.github.io/Logging_0980/artfynd/A 24245-2022 artfynd.xlsx", "A 24245-2022")</f>
        <v/>
      </c>
      <c r="T231">
        <f>HYPERLINK("https://klasma.github.io/Logging_0980/kartor/A 24245-2022 karta.png", "A 24245-2022")</f>
        <v/>
      </c>
      <c r="V231">
        <f>HYPERLINK("https://klasma.github.io/Logging_0980/klagomål/A 24245-2022 FSC-klagomål.docx", "A 24245-2022")</f>
        <v/>
      </c>
      <c r="W231">
        <f>HYPERLINK("https://klasma.github.io/Logging_0980/klagomålsmail/A 24245-2022 FSC-klagomål mail.docx", "A 24245-2022")</f>
        <v/>
      </c>
      <c r="X231">
        <f>HYPERLINK("https://klasma.github.io/Logging_0980/tillsyn/A 24245-2022 tillsynsbegäran.docx", "A 24245-2022")</f>
        <v/>
      </c>
      <c r="Y231">
        <f>HYPERLINK("https://klasma.github.io/Logging_0980/tillsynsmail/A 24245-2022 tillsynsbegäran mail.docx", "A 24245-2022")</f>
        <v/>
      </c>
    </row>
    <row r="232" ht="15" customHeight="1">
      <c r="A232" t="inlineStr">
        <is>
          <t>A 25783-2022</t>
        </is>
      </c>
      <c r="B232" s="1" t="n">
        <v>44733</v>
      </c>
      <c r="C232" s="1" t="n">
        <v>45828</v>
      </c>
      <c r="D232" t="inlineStr">
        <is>
          <t>GOTLANDS LÄN</t>
        </is>
      </c>
      <c r="E232" t="inlineStr">
        <is>
          <t>GOTLAND</t>
        </is>
      </c>
      <c r="G232" t="n">
        <v>1</v>
      </c>
      <c r="H232" t="n">
        <v>1</v>
      </c>
      <c r="I232" t="n">
        <v>1</v>
      </c>
      <c r="J232" t="n">
        <v>0</v>
      </c>
      <c r="K232" t="n">
        <v>0</v>
      </c>
      <c r="L232" t="n">
        <v>0</v>
      </c>
      <c r="M232" t="n">
        <v>0</v>
      </c>
      <c r="N232" t="n">
        <v>0</v>
      </c>
      <c r="O232" t="n">
        <v>0</v>
      </c>
      <c r="P232" t="n">
        <v>0</v>
      </c>
      <c r="Q232" t="n">
        <v>1</v>
      </c>
      <c r="R232" s="2" t="inlineStr">
        <is>
          <t>Vit skogslilja</t>
        </is>
      </c>
      <c r="S232">
        <f>HYPERLINK("https://klasma.github.io/Logging_0980/artfynd/A 25783-2022 artfynd.xlsx", "A 25783-2022")</f>
        <v/>
      </c>
      <c r="T232">
        <f>HYPERLINK("https://klasma.github.io/Logging_0980/kartor/A 25783-2022 karta.png", "A 25783-2022")</f>
        <v/>
      </c>
      <c r="V232">
        <f>HYPERLINK("https://klasma.github.io/Logging_0980/klagomål/A 25783-2022 FSC-klagomål.docx", "A 25783-2022")</f>
        <v/>
      </c>
      <c r="W232">
        <f>HYPERLINK("https://klasma.github.io/Logging_0980/klagomålsmail/A 25783-2022 FSC-klagomål mail.docx", "A 25783-2022")</f>
        <v/>
      </c>
      <c r="X232">
        <f>HYPERLINK("https://klasma.github.io/Logging_0980/tillsyn/A 25783-2022 tillsynsbegäran.docx", "A 25783-2022")</f>
        <v/>
      </c>
      <c r="Y232">
        <f>HYPERLINK("https://klasma.github.io/Logging_0980/tillsynsmail/A 25783-2022 tillsynsbegäran mail.docx", "A 25783-2022")</f>
        <v/>
      </c>
    </row>
    <row r="233" ht="15" customHeight="1">
      <c r="A233" t="inlineStr">
        <is>
          <t>A 27168-2022</t>
        </is>
      </c>
      <c r="B233" s="1" t="n">
        <v>44741</v>
      </c>
      <c r="C233" s="1" t="n">
        <v>45828</v>
      </c>
      <c r="D233" t="inlineStr">
        <is>
          <t>GOTLANDS LÄN</t>
        </is>
      </c>
      <c r="E233" t="inlineStr">
        <is>
          <t>GOTLAND</t>
        </is>
      </c>
      <c r="G233" t="n">
        <v>2.2</v>
      </c>
      <c r="H233" t="n">
        <v>1</v>
      </c>
      <c r="I233" t="n">
        <v>1</v>
      </c>
      <c r="J233" t="n">
        <v>0</v>
      </c>
      <c r="K233" t="n">
        <v>0</v>
      </c>
      <c r="L233" t="n">
        <v>0</v>
      </c>
      <c r="M233" t="n">
        <v>0</v>
      </c>
      <c r="N233" t="n">
        <v>0</v>
      </c>
      <c r="O233" t="n">
        <v>0</v>
      </c>
      <c r="P233" t="n">
        <v>0</v>
      </c>
      <c r="Q233" t="n">
        <v>1</v>
      </c>
      <c r="R233" s="2" t="inlineStr">
        <is>
          <t>Purpurknipprot</t>
        </is>
      </c>
      <c r="S233">
        <f>HYPERLINK("https://klasma.github.io/Logging_0980/artfynd/A 27168-2022 artfynd.xlsx", "A 27168-2022")</f>
        <v/>
      </c>
      <c r="T233">
        <f>HYPERLINK("https://klasma.github.io/Logging_0980/kartor/A 27168-2022 karta.png", "A 27168-2022")</f>
        <v/>
      </c>
      <c r="V233">
        <f>HYPERLINK("https://klasma.github.io/Logging_0980/klagomål/A 27168-2022 FSC-klagomål.docx", "A 27168-2022")</f>
        <v/>
      </c>
      <c r="W233">
        <f>HYPERLINK("https://klasma.github.io/Logging_0980/klagomålsmail/A 27168-2022 FSC-klagomål mail.docx", "A 27168-2022")</f>
        <v/>
      </c>
      <c r="X233">
        <f>HYPERLINK("https://klasma.github.io/Logging_0980/tillsyn/A 27168-2022 tillsynsbegäran.docx", "A 27168-2022")</f>
        <v/>
      </c>
      <c r="Y233">
        <f>HYPERLINK("https://klasma.github.io/Logging_0980/tillsynsmail/A 27168-2022 tillsynsbegäran mail.docx", "A 27168-2022")</f>
        <v/>
      </c>
    </row>
    <row r="234" ht="15" customHeight="1">
      <c r="A234" t="inlineStr">
        <is>
          <t>A 27814-2022</t>
        </is>
      </c>
      <c r="B234" s="1" t="n">
        <v>44743</v>
      </c>
      <c r="C234" s="1" t="n">
        <v>45828</v>
      </c>
      <c r="D234" t="inlineStr">
        <is>
          <t>GOTLANDS LÄN</t>
        </is>
      </c>
      <c r="E234" t="inlineStr">
        <is>
          <t>GOTLAND</t>
        </is>
      </c>
      <c r="G234" t="n">
        <v>25</v>
      </c>
      <c r="H234" t="n">
        <v>1</v>
      </c>
      <c r="I234" t="n">
        <v>0</v>
      </c>
      <c r="J234" t="n">
        <v>0</v>
      </c>
      <c r="K234" t="n">
        <v>0</v>
      </c>
      <c r="L234" t="n">
        <v>0</v>
      </c>
      <c r="M234" t="n">
        <v>0</v>
      </c>
      <c r="N234" t="n">
        <v>0</v>
      </c>
      <c r="O234" t="n">
        <v>0</v>
      </c>
      <c r="P234" t="n">
        <v>0</v>
      </c>
      <c r="Q234" t="n">
        <v>1</v>
      </c>
      <c r="R234" s="2" t="inlineStr">
        <is>
          <t>Mindre vattensalamander</t>
        </is>
      </c>
      <c r="S234">
        <f>HYPERLINK("https://klasma.github.io/Logging_0980/artfynd/A 27814-2022 artfynd.xlsx", "A 27814-2022")</f>
        <v/>
      </c>
      <c r="T234">
        <f>HYPERLINK("https://klasma.github.io/Logging_0980/kartor/A 27814-2022 karta.png", "A 27814-2022")</f>
        <v/>
      </c>
      <c r="V234">
        <f>HYPERLINK("https://klasma.github.io/Logging_0980/klagomål/A 27814-2022 FSC-klagomål.docx", "A 27814-2022")</f>
        <v/>
      </c>
      <c r="W234">
        <f>HYPERLINK("https://klasma.github.io/Logging_0980/klagomålsmail/A 27814-2022 FSC-klagomål mail.docx", "A 27814-2022")</f>
        <v/>
      </c>
      <c r="X234">
        <f>HYPERLINK("https://klasma.github.io/Logging_0980/tillsyn/A 27814-2022 tillsynsbegäran.docx", "A 27814-2022")</f>
        <v/>
      </c>
      <c r="Y234">
        <f>HYPERLINK("https://klasma.github.io/Logging_0980/tillsynsmail/A 27814-2022 tillsynsbegäran mail.docx", "A 27814-2022")</f>
        <v/>
      </c>
    </row>
    <row r="235" ht="15" customHeight="1">
      <c r="A235" t="inlineStr">
        <is>
          <t>A 44095-2022</t>
        </is>
      </c>
      <c r="B235" s="1" t="n">
        <v>44839</v>
      </c>
      <c r="C235" s="1" t="n">
        <v>45828</v>
      </c>
      <c r="D235" t="inlineStr">
        <is>
          <t>GOTLANDS LÄN</t>
        </is>
      </c>
      <c r="E235" t="inlineStr">
        <is>
          <t>GOTLAND</t>
        </is>
      </c>
      <c r="G235" t="n">
        <v>9</v>
      </c>
      <c r="H235" t="n">
        <v>0</v>
      </c>
      <c r="I235" t="n">
        <v>1</v>
      </c>
      <c r="J235" t="n">
        <v>0</v>
      </c>
      <c r="K235" t="n">
        <v>0</v>
      </c>
      <c r="L235" t="n">
        <v>0</v>
      </c>
      <c r="M235" t="n">
        <v>0</v>
      </c>
      <c r="N235" t="n">
        <v>0</v>
      </c>
      <c r="O235" t="n">
        <v>0</v>
      </c>
      <c r="P235" t="n">
        <v>0</v>
      </c>
      <c r="Q235" t="n">
        <v>1</v>
      </c>
      <c r="R235" s="2" t="inlineStr">
        <is>
          <t>Strävlosta</t>
        </is>
      </c>
      <c r="S235">
        <f>HYPERLINK("https://klasma.github.io/Logging_0980/artfynd/A 44095-2022 artfynd.xlsx", "A 44095-2022")</f>
        <v/>
      </c>
      <c r="T235">
        <f>HYPERLINK("https://klasma.github.io/Logging_0980/kartor/A 44095-2022 karta.png", "A 44095-2022")</f>
        <v/>
      </c>
      <c r="V235">
        <f>HYPERLINK("https://klasma.github.io/Logging_0980/klagomål/A 44095-2022 FSC-klagomål.docx", "A 44095-2022")</f>
        <v/>
      </c>
      <c r="W235">
        <f>HYPERLINK("https://klasma.github.io/Logging_0980/klagomålsmail/A 44095-2022 FSC-klagomål mail.docx", "A 44095-2022")</f>
        <v/>
      </c>
      <c r="X235">
        <f>HYPERLINK("https://klasma.github.io/Logging_0980/tillsyn/A 44095-2022 tillsynsbegäran.docx", "A 44095-2022")</f>
        <v/>
      </c>
      <c r="Y235">
        <f>HYPERLINK("https://klasma.github.io/Logging_0980/tillsynsmail/A 44095-2022 tillsynsbegäran mail.docx", "A 44095-2022")</f>
        <v/>
      </c>
    </row>
    <row r="236" ht="15" customHeight="1">
      <c r="A236" t="inlineStr">
        <is>
          <t>A 44088-2022</t>
        </is>
      </c>
      <c r="B236" s="1" t="n">
        <v>44839</v>
      </c>
      <c r="C236" s="1" t="n">
        <v>45828</v>
      </c>
      <c r="D236" t="inlineStr">
        <is>
          <t>GOTLANDS LÄN</t>
        </is>
      </c>
      <c r="E236" t="inlineStr">
        <is>
          <t>GOTLAND</t>
        </is>
      </c>
      <c r="G236" t="n">
        <v>1.5</v>
      </c>
      <c r="H236" t="n">
        <v>0</v>
      </c>
      <c r="I236" t="n">
        <v>1</v>
      </c>
      <c r="J236" t="n">
        <v>0</v>
      </c>
      <c r="K236" t="n">
        <v>0</v>
      </c>
      <c r="L236" t="n">
        <v>0</v>
      </c>
      <c r="M236" t="n">
        <v>0</v>
      </c>
      <c r="N236" t="n">
        <v>0</v>
      </c>
      <c r="O236" t="n">
        <v>0</v>
      </c>
      <c r="P236" t="n">
        <v>0</v>
      </c>
      <c r="Q236" t="n">
        <v>1</v>
      </c>
      <c r="R236" s="2" t="inlineStr">
        <is>
          <t>Strävlosta</t>
        </is>
      </c>
      <c r="S236">
        <f>HYPERLINK("https://klasma.github.io/Logging_0980/artfynd/A 44088-2022 artfynd.xlsx", "A 44088-2022")</f>
        <v/>
      </c>
      <c r="T236">
        <f>HYPERLINK("https://klasma.github.io/Logging_0980/kartor/A 44088-2022 karta.png", "A 44088-2022")</f>
        <v/>
      </c>
      <c r="V236">
        <f>HYPERLINK("https://klasma.github.io/Logging_0980/klagomål/A 44088-2022 FSC-klagomål.docx", "A 44088-2022")</f>
        <v/>
      </c>
      <c r="W236">
        <f>HYPERLINK("https://klasma.github.io/Logging_0980/klagomålsmail/A 44088-2022 FSC-klagomål mail.docx", "A 44088-2022")</f>
        <v/>
      </c>
      <c r="X236">
        <f>HYPERLINK("https://klasma.github.io/Logging_0980/tillsyn/A 44088-2022 tillsynsbegäran.docx", "A 44088-2022")</f>
        <v/>
      </c>
      <c r="Y236">
        <f>HYPERLINK("https://klasma.github.io/Logging_0980/tillsynsmail/A 44088-2022 tillsynsbegäran mail.docx", "A 44088-2022")</f>
        <v/>
      </c>
    </row>
    <row r="237" ht="15" customHeight="1">
      <c r="A237" t="inlineStr">
        <is>
          <t>A 61796-2022</t>
        </is>
      </c>
      <c r="B237" s="1" t="n">
        <v>44917</v>
      </c>
      <c r="C237" s="1" t="n">
        <v>45828</v>
      </c>
      <c r="D237" t="inlineStr">
        <is>
          <t>GOTLANDS LÄN</t>
        </is>
      </c>
      <c r="E237" t="inlineStr">
        <is>
          <t>GOTLAND</t>
        </is>
      </c>
      <c r="G237" t="n">
        <v>1.5</v>
      </c>
      <c r="H237" t="n">
        <v>1</v>
      </c>
      <c r="I237" t="n">
        <v>0</v>
      </c>
      <c r="J237" t="n">
        <v>0</v>
      </c>
      <c r="K237" t="n">
        <v>0</v>
      </c>
      <c r="L237" t="n">
        <v>0</v>
      </c>
      <c r="M237" t="n">
        <v>0</v>
      </c>
      <c r="N237" t="n">
        <v>0</v>
      </c>
      <c r="O237" t="n">
        <v>0</v>
      </c>
      <c r="P237" t="n">
        <v>0</v>
      </c>
      <c r="Q237" t="n">
        <v>1</v>
      </c>
      <c r="R237" s="2" t="inlineStr">
        <is>
          <t>Skogsduva</t>
        </is>
      </c>
      <c r="S237">
        <f>HYPERLINK("https://klasma.github.io/Logging_0980/artfynd/A 61796-2022 artfynd.xlsx", "A 61796-2022")</f>
        <v/>
      </c>
      <c r="T237">
        <f>HYPERLINK("https://klasma.github.io/Logging_0980/kartor/A 61796-2022 karta.png", "A 61796-2022")</f>
        <v/>
      </c>
      <c r="V237">
        <f>HYPERLINK("https://klasma.github.io/Logging_0980/klagomål/A 61796-2022 FSC-klagomål.docx", "A 61796-2022")</f>
        <v/>
      </c>
      <c r="W237">
        <f>HYPERLINK("https://klasma.github.io/Logging_0980/klagomålsmail/A 61796-2022 FSC-klagomål mail.docx", "A 61796-2022")</f>
        <v/>
      </c>
      <c r="X237">
        <f>HYPERLINK("https://klasma.github.io/Logging_0980/tillsyn/A 61796-2022 tillsynsbegäran.docx", "A 61796-2022")</f>
        <v/>
      </c>
      <c r="Y237">
        <f>HYPERLINK("https://klasma.github.io/Logging_0980/tillsynsmail/A 61796-2022 tillsynsbegäran mail.docx", "A 61796-2022")</f>
        <v/>
      </c>
      <c r="Z237">
        <f>HYPERLINK("https://klasma.github.io/Logging_0980/fåglar/A 61796-2022 prioriterade fågelarter.docx", "A 61796-2022")</f>
        <v/>
      </c>
    </row>
    <row r="238" ht="15" customHeight="1">
      <c r="A238" t="inlineStr">
        <is>
          <t>A 62552-2022</t>
        </is>
      </c>
      <c r="B238" s="1" t="n">
        <v>44924</v>
      </c>
      <c r="C238" s="1" t="n">
        <v>45828</v>
      </c>
      <c r="D238" t="inlineStr">
        <is>
          <t>GOTLANDS LÄN</t>
        </is>
      </c>
      <c r="E238" t="inlineStr">
        <is>
          <t>GOTLAND</t>
        </is>
      </c>
      <c r="G238" t="n">
        <v>1.6</v>
      </c>
      <c r="H238" t="n">
        <v>0</v>
      </c>
      <c r="I238" t="n">
        <v>0</v>
      </c>
      <c r="J238" t="n">
        <v>1</v>
      </c>
      <c r="K238" t="n">
        <v>0</v>
      </c>
      <c r="L238" t="n">
        <v>0</v>
      </c>
      <c r="M238" t="n">
        <v>0</v>
      </c>
      <c r="N238" t="n">
        <v>0</v>
      </c>
      <c r="O238" t="n">
        <v>1</v>
      </c>
      <c r="P238" t="n">
        <v>0</v>
      </c>
      <c r="Q238" t="n">
        <v>1</v>
      </c>
      <c r="R238" s="2" t="inlineStr">
        <is>
          <t>Äggspindling</t>
        </is>
      </c>
      <c r="S238">
        <f>HYPERLINK("https://klasma.github.io/Logging_0980/artfynd/A 62552-2022 artfynd.xlsx", "A 62552-2022")</f>
        <v/>
      </c>
      <c r="T238">
        <f>HYPERLINK("https://klasma.github.io/Logging_0980/kartor/A 62552-2022 karta.png", "A 62552-2022")</f>
        <v/>
      </c>
      <c r="V238">
        <f>HYPERLINK("https://klasma.github.io/Logging_0980/klagomål/A 62552-2022 FSC-klagomål.docx", "A 62552-2022")</f>
        <v/>
      </c>
      <c r="W238">
        <f>HYPERLINK("https://klasma.github.io/Logging_0980/klagomålsmail/A 62552-2022 FSC-klagomål mail.docx", "A 62552-2022")</f>
        <v/>
      </c>
      <c r="X238">
        <f>HYPERLINK("https://klasma.github.io/Logging_0980/tillsyn/A 62552-2022 tillsynsbegäran.docx", "A 62552-2022")</f>
        <v/>
      </c>
      <c r="Y238">
        <f>HYPERLINK("https://klasma.github.io/Logging_0980/tillsynsmail/A 62552-2022 tillsynsbegäran mail.docx", "A 62552-2022")</f>
        <v/>
      </c>
    </row>
    <row r="239" ht="15" customHeight="1">
      <c r="A239" t="inlineStr">
        <is>
          <t>A 447-2023</t>
        </is>
      </c>
      <c r="B239" s="1" t="n">
        <v>44929</v>
      </c>
      <c r="C239" s="1" t="n">
        <v>45828</v>
      </c>
      <c r="D239" t="inlineStr">
        <is>
          <t>GOTLANDS LÄN</t>
        </is>
      </c>
      <c r="E239" t="inlineStr">
        <is>
          <t>GOTLAND</t>
        </is>
      </c>
      <c r="G239" t="n">
        <v>5.1</v>
      </c>
      <c r="H239" t="n">
        <v>0</v>
      </c>
      <c r="I239" t="n">
        <v>0</v>
      </c>
      <c r="J239" t="n">
        <v>1</v>
      </c>
      <c r="K239" t="n">
        <v>0</v>
      </c>
      <c r="L239" t="n">
        <v>0</v>
      </c>
      <c r="M239" t="n">
        <v>0</v>
      </c>
      <c r="N239" t="n">
        <v>0</v>
      </c>
      <c r="O239" t="n">
        <v>1</v>
      </c>
      <c r="P239" t="n">
        <v>0</v>
      </c>
      <c r="Q239" t="n">
        <v>1</v>
      </c>
      <c r="R239" s="2" t="inlineStr">
        <is>
          <t>Äggspindling</t>
        </is>
      </c>
      <c r="S239">
        <f>HYPERLINK("https://klasma.github.io/Logging_0980/artfynd/A 447-2023 artfynd.xlsx", "A 447-2023")</f>
        <v/>
      </c>
      <c r="T239">
        <f>HYPERLINK("https://klasma.github.io/Logging_0980/kartor/A 447-2023 karta.png", "A 447-2023")</f>
        <v/>
      </c>
      <c r="V239">
        <f>HYPERLINK("https://klasma.github.io/Logging_0980/klagomål/A 447-2023 FSC-klagomål.docx", "A 447-2023")</f>
        <v/>
      </c>
      <c r="W239">
        <f>HYPERLINK("https://klasma.github.io/Logging_0980/klagomålsmail/A 447-2023 FSC-klagomål mail.docx", "A 447-2023")</f>
        <v/>
      </c>
      <c r="X239">
        <f>HYPERLINK("https://klasma.github.io/Logging_0980/tillsyn/A 447-2023 tillsynsbegäran.docx", "A 447-2023")</f>
        <v/>
      </c>
      <c r="Y239">
        <f>HYPERLINK("https://klasma.github.io/Logging_0980/tillsynsmail/A 447-2023 tillsynsbegäran mail.docx", "A 447-2023")</f>
        <v/>
      </c>
    </row>
    <row r="240" ht="15" customHeight="1">
      <c r="A240" t="inlineStr">
        <is>
          <t>A 947-2023</t>
        </is>
      </c>
      <c r="B240" s="1" t="n">
        <v>44934</v>
      </c>
      <c r="C240" s="1" t="n">
        <v>45828</v>
      </c>
      <c r="D240" t="inlineStr">
        <is>
          <t>GOTLANDS LÄN</t>
        </is>
      </c>
      <c r="E240" t="inlineStr">
        <is>
          <t>GOTLAND</t>
        </is>
      </c>
      <c r="G240" t="n">
        <v>0.7</v>
      </c>
      <c r="H240" t="n">
        <v>1</v>
      </c>
      <c r="I240" t="n">
        <v>0</v>
      </c>
      <c r="J240" t="n">
        <v>0</v>
      </c>
      <c r="K240" t="n">
        <v>1</v>
      </c>
      <c r="L240" t="n">
        <v>0</v>
      </c>
      <c r="M240" t="n">
        <v>0</v>
      </c>
      <c r="N240" t="n">
        <v>0</v>
      </c>
      <c r="O240" t="n">
        <v>1</v>
      </c>
      <c r="P240" t="n">
        <v>1</v>
      </c>
      <c r="Q240" t="n">
        <v>1</v>
      </c>
      <c r="R240" s="2" t="inlineStr">
        <is>
          <t>Garderönn</t>
        </is>
      </c>
      <c r="S240">
        <f>HYPERLINK("https://klasma.github.io/Logging_0980/artfynd/A 947-2023 artfynd.xlsx", "A 947-2023")</f>
        <v/>
      </c>
      <c r="T240">
        <f>HYPERLINK("https://klasma.github.io/Logging_0980/kartor/A 947-2023 karta.png", "A 947-2023")</f>
        <v/>
      </c>
      <c r="V240">
        <f>HYPERLINK("https://klasma.github.io/Logging_0980/klagomål/A 947-2023 FSC-klagomål.docx", "A 947-2023")</f>
        <v/>
      </c>
      <c r="W240">
        <f>HYPERLINK("https://klasma.github.io/Logging_0980/klagomålsmail/A 947-2023 FSC-klagomål mail.docx", "A 947-2023")</f>
        <v/>
      </c>
      <c r="X240">
        <f>HYPERLINK("https://klasma.github.io/Logging_0980/tillsyn/A 947-2023 tillsynsbegäran.docx", "A 947-2023")</f>
        <v/>
      </c>
      <c r="Y240">
        <f>HYPERLINK("https://klasma.github.io/Logging_0980/tillsynsmail/A 947-2023 tillsynsbegäran mail.docx", "A 947-2023")</f>
        <v/>
      </c>
    </row>
    <row r="241" ht="15" customHeight="1">
      <c r="A241" t="inlineStr">
        <is>
          <t>A 2213-2023</t>
        </is>
      </c>
      <c r="B241" s="1" t="n">
        <v>44942</v>
      </c>
      <c r="C241" s="1" t="n">
        <v>45828</v>
      </c>
      <c r="D241" t="inlineStr">
        <is>
          <t>GOTLANDS LÄN</t>
        </is>
      </c>
      <c r="E241" t="inlineStr">
        <is>
          <t>GOTLAND</t>
        </is>
      </c>
      <c r="G241" t="n">
        <v>2.7</v>
      </c>
      <c r="H241" t="n">
        <v>0</v>
      </c>
      <c r="I241" t="n">
        <v>0</v>
      </c>
      <c r="J241" t="n">
        <v>1</v>
      </c>
      <c r="K241" t="n">
        <v>0</v>
      </c>
      <c r="L241" t="n">
        <v>0</v>
      </c>
      <c r="M241" t="n">
        <v>0</v>
      </c>
      <c r="N241" t="n">
        <v>0</v>
      </c>
      <c r="O241" t="n">
        <v>1</v>
      </c>
      <c r="P241" t="n">
        <v>0</v>
      </c>
      <c r="Q241" t="n">
        <v>1</v>
      </c>
      <c r="R241" s="2" t="inlineStr">
        <is>
          <t>Odörspindling</t>
        </is>
      </c>
      <c r="S241">
        <f>HYPERLINK("https://klasma.github.io/Logging_0980/artfynd/A 2213-2023 artfynd.xlsx", "A 2213-2023")</f>
        <v/>
      </c>
      <c r="T241">
        <f>HYPERLINK("https://klasma.github.io/Logging_0980/kartor/A 2213-2023 karta.png", "A 2213-2023")</f>
        <v/>
      </c>
      <c r="V241">
        <f>HYPERLINK("https://klasma.github.io/Logging_0980/klagomål/A 2213-2023 FSC-klagomål.docx", "A 2213-2023")</f>
        <v/>
      </c>
      <c r="W241">
        <f>HYPERLINK("https://klasma.github.io/Logging_0980/klagomålsmail/A 2213-2023 FSC-klagomål mail.docx", "A 2213-2023")</f>
        <v/>
      </c>
      <c r="X241">
        <f>HYPERLINK("https://klasma.github.io/Logging_0980/tillsyn/A 2213-2023 tillsynsbegäran.docx", "A 2213-2023")</f>
        <v/>
      </c>
      <c r="Y241">
        <f>HYPERLINK("https://klasma.github.io/Logging_0980/tillsynsmail/A 2213-2023 tillsynsbegäran mail.docx", "A 2213-2023")</f>
        <v/>
      </c>
    </row>
    <row r="242" ht="15" customHeight="1">
      <c r="A242" t="inlineStr">
        <is>
          <t>A 10995-2023</t>
        </is>
      </c>
      <c r="B242" s="1" t="n">
        <v>44986</v>
      </c>
      <c r="C242" s="1" t="n">
        <v>45828</v>
      </c>
      <c r="D242" t="inlineStr">
        <is>
          <t>GOTLANDS LÄN</t>
        </is>
      </c>
      <c r="E242" t="inlineStr">
        <is>
          <t>GOTLAND</t>
        </is>
      </c>
      <c r="G242" t="n">
        <v>2.8</v>
      </c>
      <c r="H242" t="n">
        <v>0</v>
      </c>
      <c r="I242" t="n">
        <v>0</v>
      </c>
      <c r="J242" t="n">
        <v>0</v>
      </c>
      <c r="K242" t="n">
        <v>1</v>
      </c>
      <c r="L242" t="n">
        <v>0</v>
      </c>
      <c r="M242" t="n">
        <v>0</v>
      </c>
      <c r="N242" t="n">
        <v>0</v>
      </c>
      <c r="O242" t="n">
        <v>1</v>
      </c>
      <c r="P242" t="n">
        <v>1</v>
      </c>
      <c r="Q242" t="n">
        <v>1</v>
      </c>
      <c r="R242" s="2" t="inlineStr">
        <is>
          <t>Violettfläckig spindling</t>
        </is>
      </c>
      <c r="S242">
        <f>HYPERLINK("https://klasma.github.io/Logging_0980/artfynd/A 10995-2023 artfynd.xlsx", "A 10995-2023")</f>
        <v/>
      </c>
      <c r="T242">
        <f>HYPERLINK("https://klasma.github.io/Logging_0980/kartor/A 10995-2023 karta.png", "A 10995-2023")</f>
        <v/>
      </c>
      <c r="V242">
        <f>HYPERLINK("https://klasma.github.io/Logging_0980/klagomål/A 10995-2023 FSC-klagomål.docx", "A 10995-2023")</f>
        <v/>
      </c>
      <c r="W242">
        <f>HYPERLINK("https://klasma.github.io/Logging_0980/klagomålsmail/A 10995-2023 FSC-klagomål mail.docx", "A 10995-2023")</f>
        <v/>
      </c>
      <c r="X242">
        <f>HYPERLINK("https://klasma.github.io/Logging_0980/tillsyn/A 10995-2023 tillsynsbegäran.docx", "A 10995-2023")</f>
        <v/>
      </c>
      <c r="Y242">
        <f>HYPERLINK("https://klasma.github.io/Logging_0980/tillsynsmail/A 10995-2023 tillsynsbegäran mail.docx", "A 10995-2023")</f>
        <v/>
      </c>
    </row>
    <row r="243" ht="15" customHeight="1">
      <c r="A243" t="inlineStr">
        <is>
          <t>A 15212-2023</t>
        </is>
      </c>
      <c r="B243" s="1" t="n">
        <v>45019</v>
      </c>
      <c r="C243" s="1" t="n">
        <v>45828</v>
      </c>
      <c r="D243" t="inlineStr">
        <is>
          <t>GOTLANDS LÄN</t>
        </is>
      </c>
      <c r="E243" t="inlineStr">
        <is>
          <t>GOTLAND</t>
        </is>
      </c>
      <c r="G243" t="n">
        <v>3.1</v>
      </c>
      <c r="H243" t="n">
        <v>0</v>
      </c>
      <c r="I243" t="n">
        <v>0</v>
      </c>
      <c r="J243" t="n">
        <v>1</v>
      </c>
      <c r="K243" t="n">
        <v>0</v>
      </c>
      <c r="L243" t="n">
        <v>0</v>
      </c>
      <c r="M243" t="n">
        <v>0</v>
      </c>
      <c r="N243" t="n">
        <v>0</v>
      </c>
      <c r="O243" t="n">
        <v>1</v>
      </c>
      <c r="P243" t="n">
        <v>0</v>
      </c>
      <c r="Q243" t="n">
        <v>1</v>
      </c>
      <c r="R243" s="2" t="inlineStr">
        <is>
          <t>Grådådra</t>
        </is>
      </c>
      <c r="S243">
        <f>HYPERLINK("https://klasma.github.io/Logging_0980/artfynd/A 15212-2023 artfynd.xlsx", "A 15212-2023")</f>
        <v/>
      </c>
      <c r="T243">
        <f>HYPERLINK("https://klasma.github.io/Logging_0980/kartor/A 15212-2023 karta.png", "A 15212-2023")</f>
        <v/>
      </c>
      <c r="V243">
        <f>HYPERLINK("https://klasma.github.io/Logging_0980/klagomål/A 15212-2023 FSC-klagomål.docx", "A 15212-2023")</f>
        <v/>
      </c>
      <c r="W243">
        <f>HYPERLINK("https://klasma.github.io/Logging_0980/klagomålsmail/A 15212-2023 FSC-klagomål mail.docx", "A 15212-2023")</f>
        <v/>
      </c>
      <c r="X243">
        <f>HYPERLINK("https://klasma.github.io/Logging_0980/tillsyn/A 15212-2023 tillsynsbegäran.docx", "A 15212-2023")</f>
        <v/>
      </c>
      <c r="Y243">
        <f>HYPERLINK("https://klasma.github.io/Logging_0980/tillsynsmail/A 15212-2023 tillsynsbegäran mail.docx", "A 15212-2023")</f>
        <v/>
      </c>
    </row>
    <row r="244" ht="15" customHeight="1">
      <c r="A244" t="inlineStr">
        <is>
          <t>A 22782-2023</t>
        </is>
      </c>
      <c r="B244" s="1" t="n">
        <v>45072</v>
      </c>
      <c r="C244" s="1" t="n">
        <v>45828</v>
      </c>
      <c r="D244" t="inlineStr">
        <is>
          <t>GOTLANDS LÄN</t>
        </is>
      </c>
      <c r="E244" t="inlineStr">
        <is>
          <t>GOTLAND</t>
        </is>
      </c>
      <c r="F244" t="inlineStr">
        <is>
          <t>Kyrkan</t>
        </is>
      </c>
      <c r="G244" t="n">
        <v>3.1</v>
      </c>
      <c r="H244" t="n">
        <v>1</v>
      </c>
      <c r="I244" t="n">
        <v>0</v>
      </c>
      <c r="J244" t="n">
        <v>0</v>
      </c>
      <c r="K244" t="n">
        <v>0</v>
      </c>
      <c r="L244" t="n">
        <v>0</v>
      </c>
      <c r="M244" t="n">
        <v>0</v>
      </c>
      <c r="N244" t="n">
        <v>0</v>
      </c>
      <c r="O244" t="n">
        <v>0</v>
      </c>
      <c r="P244" t="n">
        <v>0</v>
      </c>
      <c r="Q244" t="n">
        <v>1</v>
      </c>
      <c r="R244" s="2" t="inlineStr">
        <is>
          <t>Ängsnycklar × skogsnycklar</t>
        </is>
      </c>
      <c r="S244">
        <f>HYPERLINK("https://klasma.github.io/Logging_0980/artfynd/A 22782-2023 artfynd.xlsx", "A 22782-2023")</f>
        <v/>
      </c>
      <c r="T244">
        <f>HYPERLINK("https://klasma.github.io/Logging_0980/kartor/A 22782-2023 karta.png", "A 22782-2023")</f>
        <v/>
      </c>
      <c r="V244">
        <f>HYPERLINK("https://klasma.github.io/Logging_0980/klagomål/A 22782-2023 FSC-klagomål.docx", "A 22782-2023")</f>
        <v/>
      </c>
      <c r="W244">
        <f>HYPERLINK("https://klasma.github.io/Logging_0980/klagomålsmail/A 22782-2023 FSC-klagomål mail.docx", "A 22782-2023")</f>
        <v/>
      </c>
      <c r="X244">
        <f>HYPERLINK("https://klasma.github.io/Logging_0980/tillsyn/A 22782-2023 tillsynsbegäran.docx", "A 22782-2023")</f>
        <v/>
      </c>
      <c r="Y244">
        <f>HYPERLINK("https://klasma.github.io/Logging_0980/tillsynsmail/A 22782-2023 tillsynsbegäran mail.docx", "A 22782-2023")</f>
        <v/>
      </c>
    </row>
    <row r="245" ht="15" customHeight="1">
      <c r="A245" t="inlineStr">
        <is>
          <t>A 24007-2023</t>
        </is>
      </c>
      <c r="B245" s="1" t="n">
        <v>45078</v>
      </c>
      <c r="C245" s="1" t="n">
        <v>45828</v>
      </c>
      <c r="D245" t="inlineStr">
        <is>
          <t>GOTLANDS LÄN</t>
        </is>
      </c>
      <c r="E245" t="inlineStr">
        <is>
          <t>GOTLAND</t>
        </is>
      </c>
      <c r="F245" t="inlineStr">
        <is>
          <t>Naturvårdsverket</t>
        </is>
      </c>
      <c r="G245" t="n">
        <v>2.5</v>
      </c>
      <c r="H245" t="n">
        <v>1</v>
      </c>
      <c r="I245" t="n">
        <v>1</v>
      </c>
      <c r="J245" t="n">
        <v>0</v>
      </c>
      <c r="K245" t="n">
        <v>0</v>
      </c>
      <c r="L245" t="n">
        <v>0</v>
      </c>
      <c r="M245" t="n">
        <v>0</v>
      </c>
      <c r="N245" t="n">
        <v>0</v>
      </c>
      <c r="O245" t="n">
        <v>0</v>
      </c>
      <c r="P245" t="n">
        <v>0</v>
      </c>
      <c r="Q245" t="n">
        <v>1</v>
      </c>
      <c r="R245" s="2" t="inlineStr">
        <is>
          <t>Nästrot</t>
        </is>
      </c>
      <c r="S245">
        <f>HYPERLINK("https://klasma.github.io/Logging_0980/artfynd/A 24007-2023 artfynd.xlsx", "A 24007-2023")</f>
        <v/>
      </c>
      <c r="T245">
        <f>HYPERLINK("https://klasma.github.io/Logging_0980/kartor/A 24007-2023 karta.png", "A 24007-2023")</f>
        <v/>
      </c>
      <c r="V245">
        <f>HYPERLINK("https://klasma.github.io/Logging_0980/klagomål/A 24007-2023 FSC-klagomål.docx", "A 24007-2023")</f>
        <v/>
      </c>
      <c r="W245">
        <f>HYPERLINK("https://klasma.github.io/Logging_0980/klagomålsmail/A 24007-2023 FSC-klagomål mail.docx", "A 24007-2023")</f>
        <v/>
      </c>
      <c r="X245">
        <f>HYPERLINK("https://klasma.github.io/Logging_0980/tillsyn/A 24007-2023 tillsynsbegäran.docx", "A 24007-2023")</f>
        <v/>
      </c>
      <c r="Y245">
        <f>HYPERLINK("https://klasma.github.io/Logging_0980/tillsynsmail/A 24007-2023 tillsynsbegäran mail.docx", "A 24007-2023")</f>
        <v/>
      </c>
    </row>
    <row r="246" ht="15" customHeight="1">
      <c r="A246" t="inlineStr">
        <is>
          <t>A 27589-2023</t>
        </is>
      </c>
      <c r="B246" s="1" t="n">
        <v>45097</v>
      </c>
      <c r="C246" s="1" t="n">
        <v>45828</v>
      </c>
      <c r="D246" t="inlineStr">
        <is>
          <t>GOTLANDS LÄN</t>
        </is>
      </c>
      <c r="E246" t="inlineStr">
        <is>
          <t>GOTLAND</t>
        </is>
      </c>
      <c r="G246" t="n">
        <v>5.4</v>
      </c>
      <c r="H246" t="n">
        <v>0</v>
      </c>
      <c r="I246" t="n">
        <v>0</v>
      </c>
      <c r="J246" t="n">
        <v>0</v>
      </c>
      <c r="K246" t="n">
        <v>0</v>
      </c>
      <c r="L246" t="n">
        <v>0</v>
      </c>
      <c r="M246" t="n">
        <v>1</v>
      </c>
      <c r="N246" t="n">
        <v>0</v>
      </c>
      <c r="O246" t="n">
        <v>1</v>
      </c>
      <c r="P246" t="n">
        <v>1</v>
      </c>
      <c r="Q246" t="n">
        <v>1</v>
      </c>
      <c r="R246" s="2" t="inlineStr">
        <is>
          <t>Skogsalm</t>
        </is>
      </c>
      <c r="S246">
        <f>HYPERLINK("https://klasma.github.io/Logging_0980/artfynd/A 27589-2023 artfynd.xlsx", "A 27589-2023")</f>
        <v/>
      </c>
      <c r="T246">
        <f>HYPERLINK("https://klasma.github.io/Logging_0980/kartor/A 27589-2023 karta.png", "A 27589-2023")</f>
        <v/>
      </c>
      <c r="V246">
        <f>HYPERLINK("https://klasma.github.io/Logging_0980/klagomål/A 27589-2023 FSC-klagomål.docx", "A 27589-2023")</f>
        <v/>
      </c>
      <c r="W246">
        <f>HYPERLINK("https://klasma.github.io/Logging_0980/klagomålsmail/A 27589-2023 FSC-klagomål mail.docx", "A 27589-2023")</f>
        <v/>
      </c>
      <c r="X246">
        <f>HYPERLINK("https://klasma.github.io/Logging_0980/tillsyn/A 27589-2023 tillsynsbegäran.docx", "A 27589-2023")</f>
        <v/>
      </c>
      <c r="Y246">
        <f>HYPERLINK("https://klasma.github.io/Logging_0980/tillsynsmail/A 27589-2023 tillsynsbegäran mail.docx", "A 27589-2023")</f>
        <v/>
      </c>
    </row>
    <row r="247" ht="15" customHeight="1">
      <c r="A247" t="inlineStr">
        <is>
          <t>A 28546-2023</t>
        </is>
      </c>
      <c r="B247" s="1" t="n">
        <v>45103</v>
      </c>
      <c r="C247" s="1" t="n">
        <v>45828</v>
      </c>
      <c r="D247" t="inlineStr">
        <is>
          <t>GOTLANDS LÄN</t>
        </is>
      </c>
      <c r="E247" t="inlineStr">
        <is>
          <t>GOTLAND</t>
        </is>
      </c>
      <c r="G247" t="n">
        <v>7.9</v>
      </c>
      <c r="H247" t="n">
        <v>1</v>
      </c>
      <c r="I247" t="n">
        <v>0</v>
      </c>
      <c r="J247" t="n">
        <v>0</v>
      </c>
      <c r="K247" t="n">
        <v>0</v>
      </c>
      <c r="L247" t="n">
        <v>0</v>
      </c>
      <c r="M247" t="n">
        <v>0</v>
      </c>
      <c r="N247" t="n">
        <v>0</v>
      </c>
      <c r="O247" t="n">
        <v>0</v>
      </c>
      <c r="P247" t="n">
        <v>0</v>
      </c>
      <c r="Q247" t="n">
        <v>1</v>
      </c>
      <c r="R247" s="2" t="inlineStr">
        <is>
          <t>Äkta lopplummer</t>
        </is>
      </c>
      <c r="S247">
        <f>HYPERLINK("https://klasma.github.io/Logging_0980/artfynd/A 28546-2023 artfynd.xlsx", "A 28546-2023")</f>
        <v/>
      </c>
      <c r="T247">
        <f>HYPERLINK("https://klasma.github.io/Logging_0980/kartor/A 28546-2023 karta.png", "A 28546-2023")</f>
        <v/>
      </c>
      <c r="V247">
        <f>HYPERLINK("https://klasma.github.io/Logging_0980/klagomål/A 28546-2023 FSC-klagomål.docx", "A 28546-2023")</f>
        <v/>
      </c>
      <c r="W247">
        <f>HYPERLINK("https://klasma.github.io/Logging_0980/klagomålsmail/A 28546-2023 FSC-klagomål mail.docx", "A 28546-2023")</f>
        <v/>
      </c>
      <c r="X247">
        <f>HYPERLINK("https://klasma.github.io/Logging_0980/tillsyn/A 28546-2023 tillsynsbegäran.docx", "A 28546-2023")</f>
        <v/>
      </c>
      <c r="Y247">
        <f>HYPERLINK("https://klasma.github.io/Logging_0980/tillsynsmail/A 28546-2023 tillsynsbegäran mail.docx", "A 28546-2023")</f>
        <v/>
      </c>
    </row>
    <row r="248" ht="15" customHeight="1">
      <c r="A248" t="inlineStr">
        <is>
          <t>A 35615-2023</t>
        </is>
      </c>
      <c r="B248" s="1" t="n">
        <v>45147</v>
      </c>
      <c r="C248" s="1" t="n">
        <v>45828</v>
      </c>
      <c r="D248" t="inlineStr">
        <is>
          <t>GOTLANDS LÄN</t>
        </is>
      </c>
      <c r="E248" t="inlineStr">
        <is>
          <t>GOTLAND</t>
        </is>
      </c>
      <c r="G248" t="n">
        <v>6.1</v>
      </c>
      <c r="H248" t="n">
        <v>0</v>
      </c>
      <c r="I248" t="n">
        <v>0</v>
      </c>
      <c r="J248" t="n">
        <v>1</v>
      </c>
      <c r="K248" t="n">
        <v>0</v>
      </c>
      <c r="L248" t="n">
        <v>0</v>
      </c>
      <c r="M248" t="n">
        <v>0</v>
      </c>
      <c r="N248" t="n">
        <v>0</v>
      </c>
      <c r="O248" t="n">
        <v>1</v>
      </c>
      <c r="P248" t="n">
        <v>0</v>
      </c>
      <c r="Q248" t="n">
        <v>1</v>
      </c>
      <c r="R248" s="2" t="inlineStr">
        <is>
          <t>Åkerranunkel</t>
        </is>
      </c>
      <c r="S248">
        <f>HYPERLINK("https://klasma.github.io/Logging_0980/artfynd/A 35615-2023 artfynd.xlsx", "A 35615-2023")</f>
        <v/>
      </c>
      <c r="T248">
        <f>HYPERLINK("https://klasma.github.io/Logging_0980/kartor/A 35615-2023 karta.png", "A 35615-2023")</f>
        <v/>
      </c>
      <c r="V248">
        <f>HYPERLINK("https://klasma.github.io/Logging_0980/klagomål/A 35615-2023 FSC-klagomål.docx", "A 35615-2023")</f>
        <v/>
      </c>
      <c r="W248">
        <f>HYPERLINK("https://klasma.github.io/Logging_0980/klagomålsmail/A 35615-2023 FSC-klagomål mail.docx", "A 35615-2023")</f>
        <v/>
      </c>
      <c r="X248">
        <f>HYPERLINK("https://klasma.github.io/Logging_0980/tillsyn/A 35615-2023 tillsynsbegäran.docx", "A 35615-2023")</f>
        <v/>
      </c>
      <c r="Y248">
        <f>HYPERLINK("https://klasma.github.io/Logging_0980/tillsynsmail/A 35615-2023 tillsynsbegäran mail.docx", "A 35615-2023")</f>
        <v/>
      </c>
    </row>
    <row r="249" ht="15" customHeight="1">
      <c r="A249" t="inlineStr">
        <is>
          <t>A 37584-2023</t>
        </is>
      </c>
      <c r="B249" s="1" t="n">
        <v>45159</v>
      </c>
      <c r="C249" s="1" t="n">
        <v>45828</v>
      </c>
      <c r="D249" t="inlineStr">
        <is>
          <t>GOTLANDS LÄN</t>
        </is>
      </c>
      <c r="E249" t="inlineStr">
        <is>
          <t>GOTLAND</t>
        </is>
      </c>
      <c r="G249" t="n">
        <v>5.4</v>
      </c>
      <c r="H249" t="n">
        <v>0</v>
      </c>
      <c r="I249" t="n">
        <v>1</v>
      </c>
      <c r="J249" t="n">
        <v>0</v>
      </c>
      <c r="K249" t="n">
        <v>0</v>
      </c>
      <c r="L249" t="n">
        <v>0</v>
      </c>
      <c r="M249" t="n">
        <v>0</v>
      </c>
      <c r="N249" t="n">
        <v>0</v>
      </c>
      <c r="O249" t="n">
        <v>0</v>
      </c>
      <c r="P249" t="n">
        <v>0</v>
      </c>
      <c r="Q249" t="n">
        <v>1</v>
      </c>
      <c r="R249" s="2" t="inlineStr">
        <is>
          <t>Myskmadra</t>
        </is>
      </c>
      <c r="S249">
        <f>HYPERLINK("https://klasma.github.io/Logging_0980/artfynd/A 37584-2023 artfynd.xlsx", "A 37584-2023")</f>
        <v/>
      </c>
      <c r="T249">
        <f>HYPERLINK("https://klasma.github.io/Logging_0980/kartor/A 37584-2023 karta.png", "A 37584-2023")</f>
        <v/>
      </c>
      <c r="V249">
        <f>HYPERLINK("https://klasma.github.io/Logging_0980/klagomål/A 37584-2023 FSC-klagomål.docx", "A 37584-2023")</f>
        <v/>
      </c>
      <c r="W249">
        <f>HYPERLINK("https://klasma.github.io/Logging_0980/klagomålsmail/A 37584-2023 FSC-klagomål mail.docx", "A 37584-2023")</f>
        <v/>
      </c>
      <c r="X249">
        <f>HYPERLINK("https://klasma.github.io/Logging_0980/tillsyn/A 37584-2023 tillsynsbegäran.docx", "A 37584-2023")</f>
        <v/>
      </c>
      <c r="Y249">
        <f>HYPERLINK("https://klasma.github.io/Logging_0980/tillsynsmail/A 37584-2023 tillsynsbegäran mail.docx", "A 37584-2023")</f>
        <v/>
      </c>
    </row>
    <row r="250" ht="15" customHeight="1">
      <c r="A250" t="inlineStr">
        <is>
          <t>A 42939-2023</t>
        </is>
      </c>
      <c r="B250" s="1" t="n">
        <v>45182</v>
      </c>
      <c r="C250" s="1" t="n">
        <v>45828</v>
      </c>
      <c r="D250" t="inlineStr">
        <is>
          <t>GOTLANDS LÄN</t>
        </is>
      </c>
      <c r="E250" t="inlineStr">
        <is>
          <t>GOTLAND</t>
        </is>
      </c>
      <c r="G250" t="n">
        <v>7.5</v>
      </c>
      <c r="H250" t="n">
        <v>0</v>
      </c>
      <c r="I250" t="n">
        <v>0</v>
      </c>
      <c r="J250" t="n">
        <v>0</v>
      </c>
      <c r="K250" t="n">
        <v>1</v>
      </c>
      <c r="L250" t="n">
        <v>0</v>
      </c>
      <c r="M250" t="n">
        <v>0</v>
      </c>
      <c r="N250" t="n">
        <v>0</v>
      </c>
      <c r="O250" t="n">
        <v>1</v>
      </c>
      <c r="P250" t="n">
        <v>1</v>
      </c>
      <c r="Q250" t="n">
        <v>1</v>
      </c>
      <c r="R250" s="2" t="inlineStr">
        <is>
          <t>Skogskorn</t>
        </is>
      </c>
      <c r="S250">
        <f>HYPERLINK("https://klasma.github.io/Logging_0980/artfynd/A 42939-2023 artfynd.xlsx", "A 42939-2023")</f>
        <v/>
      </c>
      <c r="T250">
        <f>HYPERLINK("https://klasma.github.io/Logging_0980/kartor/A 42939-2023 karta.png", "A 42939-2023")</f>
        <v/>
      </c>
      <c r="V250">
        <f>HYPERLINK("https://klasma.github.io/Logging_0980/klagomål/A 42939-2023 FSC-klagomål.docx", "A 42939-2023")</f>
        <v/>
      </c>
      <c r="W250">
        <f>HYPERLINK("https://klasma.github.io/Logging_0980/klagomålsmail/A 42939-2023 FSC-klagomål mail.docx", "A 42939-2023")</f>
        <v/>
      </c>
      <c r="X250">
        <f>HYPERLINK("https://klasma.github.io/Logging_0980/tillsyn/A 42939-2023 tillsynsbegäran.docx", "A 42939-2023")</f>
        <v/>
      </c>
      <c r="Y250">
        <f>HYPERLINK("https://klasma.github.io/Logging_0980/tillsynsmail/A 42939-2023 tillsynsbegäran mail.docx", "A 42939-2023")</f>
        <v/>
      </c>
    </row>
    <row r="251" ht="15" customHeight="1">
      <c r="A251" t="inlineStr">
        <is>
          <t>A 43219-2023</t>
        </is>
      </c>
      <c r="B251" s="1" t="n">
        <v>45183</v>
      </c>
      <c r="C251" s="1" t="n">
        <v>45828</v>
      </c>
      <c r="D251" t="inlineStr">
        <is>
          <t>GOTLANDS LÄN</t>
        </is>
      </c>
      <c r="E251" t="inlineStr">
        <is>
          <t>GOTLAND</t>
        </is>
      </c>
      <c r="G251" t="n">
        <v>3.6</v>
      </c>
      <c r="H251" t="n">
        <v>1</v>
      </c>
      <c r="I251" t="n">
        <v>0</v>
      </c>
      <c r="J251" t="n">
        <v>0</v>
      </c>
      <c r="K251" t="n">
        <v>0</v>
      </c>
      <c r="L251" t="n">
        <v>0</v>
      </c>
      <c r="M251" t="n">
        <v>0</v>
      </c>
      <c r="N251" t="n">
        <v>0</v>
      </c>
      <c r="O251" t="n">
        <v>0</v>
      </c>
      <c r="P251" t="n">
        <v>0</v>
      </c>
      <c r="Q251" t="n">
        <v>1</v>
      </c>
      <c r="R251" s="2" t="inlineStr">
        <is>
          <t>Skogsduva</t>
        </is>
      </c>
      <c r="S251">
        <f>HYPERLINK("https://klasma.github.io/Logging_0980/artfynd/A 43219-2023 artfynd.xlsx", "A 43219-2023")</f>
        <v/>
      </c>
      <c r="T251">
        <f>HYPERLINK("https://klasma.github.io/Logging_0980/kartor/A 43219-2023 karta.png", "A 43219-2023")</f>
        <v/>
      </c>
      <c r="V251">
        <f>HYPERLINK("https://klasma.github.io/Logging_0980/klagomål/A 43219-2023 FSC-klagomål.docx", "A 43219-2023")</f>
        <v/>
      </c>
      <c r="W251">
        <f>HYPERLINK("https://klasma.github.io/Logging_0980/klagomålsmail/A 43219-2023 FSC-klagomål mail.docx", "A 43219-2023")</f>
        <v/>
      </c>
      <c r="X251">
        <f>HYPERLINK("https://klasma.github.io/Logging_0980/tillsyn/A 43219-2023 tillsynsbegäran.docx", "A 43219-2023")</f>
        <v/>
      </c>
      <c r="Y251">
        <f>HYPERLINK("https://klasma.github.io/Logging_0980/tillsynsmail/A 43219-2023 tillsynsbegäran mail.docx", "A 43219-2023")</f>
        <v/>
      </c>
      <c r="Z251">
        <f>HYPERLINK("https://klasma.github.io/Logging_0980/fåglar/A 43219-2023 prioriterade fågelarter.docx", "A 43219-2023")</f>
        <v/>
      </c>
    </row>
    <row r="252" ht="15" customHeight="1">
      <c r="A252" t="inlineStr">
        <is>
          <t>A 46527-2023</t>
        </is>
      </c>
      <c r="B252" s="1" t="n">
        <v>45197</v>
      </c>
      <c r="C252" s="1" t="n">
        <v>45828</v>
      </c>
      <c r="D252" t="inlineStr">
        <is>
          <t>GOTLANDS LÄN</t>
        </is>
      </c>
      <c r="E252" t="inlineStr">
        <is>
          <t>GOTLAND</t>
        </is>
      </c>
      <c r="G252" t="n">
        <v>0.9</v>
      </c>
      <c r="H252" t="n">
        <v>0</v>
      </c>
      <c r="I252" t="n">
        <v>0</v>
      </c>
      <c r="J252" t="n">
        <v>1</v>
      </c>
      <c r="K252" t="n">
        <v>0</v>
      </c>
      <c r="L252" t="n">
        <v>0</v>
      </c>
      <c r="M252" t="n">
        <v>0</v>
      </c>
      <c r="N252" t="n">
        <v>0</v>
      </c>
      <c r="O252" t="n">
        <v>1</v>
      </c>
      <c r="P252" t="n">
        <v>0</v>
      </c>
      <c r="Q252" t="n">
        <v>1</v>
      </c>
      <c r="R252" s="2" t="inlineStr">
        <is>
          <t>Guldgräshoppa</t>
        </is>
      </c>
      <c r="S252">
        <f>HYPERLINK("https://klasma.github.io/Logging_0980/artfynd/A 46527-2023 artfynd.xlsx", "A 46527-2023")</f>
        <v/>
      </c>
      <c r="T252">
        <f>HYPERLINK("https://klasma.github.io/Logging_0980/kartor/A 46527-2023 karta.png", "A 46527-2023")</f>
        <v/>
      </c>
      <c r="V252">
        <f>HYPERLINK("https://klasma.github.io/Logging_0980/klagomål/A 46527-2023 FSC-klagomål.docx", "A 46527-2023")</f>
        <v/>
      </c>
      <c r="W252">
        <f>HYPERLINK("https://klasma.github.io/Logging_0980/klagomålsmail/A 46527-2023 FSC-klagomål mail.docx", "A 46527-2023")</f>
        <v/>
      </c>
      <c r="X252">
        <f>HYPERLINK("https://klasma.github.io/Logging_0980/tillsyn/A 46527-2023 tillsynsbegäran.docx", "A 46527-2023")</f>
        <v/>
      </c>
      <c r="Y252">
        <f>HYPERLINK("https://klasma.github.io/Logging_0980/tillsynsmail/A 46527-2023 tillsynsbegäran mail.docx", "A 46527-2023")</f>
        <v/>
      </c>
    </row>
    <row r="253" ht="15" customHeight="1">
      <c r="A253" t="inlineStr">
        <is>
          <t>A 49847-2023</t>
        </is>
      </c>
      <c r="B253" s="1" t="n">
        <v>45212</v>
      </c>
      <c r="C253" s="1" t="n">
        <v>45828</v>
      </c>
      <c r="D253" t="inlineStr">
        <is>
          <t>GOTLANDS LÄN</t>
        </is>
      </c>
      <c r="E253" t="inlineStr">
        <is>
          <t>GOTLAND</t>
        </is>
      </c>
      <c r="G253" t="n">
        <v>35.2</v>
      </c>
      <c r="H253" t="n">
        <v>0</v>
      </c>
      <c r="I253" t="n">
        <v>0</v>
      </c>
      <c r="J253" t="n">
        <v>0</v>
      </c>
      <c r="K253" t="n">
        <v>1</v>
      </c>
      <c r="L253" t="n">
        <v>0</v>
      </c>
      <c r="M253" t="n">
        <v>0</v>
      </c>
      <c r="N253" t="n">
        <v>0</v>
      </c>
      <c r="O253" t="n">
        <v>1</v>
      </c>
      <c r="P253" t="n">
        <v>1</v>
      </c>
      <c r="Q253" t="n">
        <v>1</v>
      </c>
      <c r="R253" s="2" t="inlineStr">
        <is>
          <t>Strandviol</t>
        </is>
      </c>
      <c r="S253">
        <f>HYPERLINK("https://klasma.github.io/Logging_0980/artfynd/A 49847-2023 artfynd.xlsx", "A 49847-2023")</f>
        <v/>
      </c>
      <c r="T253">
        <f>HYPERLINK("https://klasma.github.io/Logging_0980/kartor/A 49847-2023 karta.png", "A 49847-2023")</f>
        <v/>
      </c>
      <c r="V253">
        <f>HYPERLINK("https://klasma.github.io/Logging_0980/klagomål/A 49847-2023 FSC-klagomål.docx", "A 49847-2023")</f>
        <v/>
      </c>
      <c r="W253">
        <f>HYPERLINK("https://klasma.github.io/Logging_0980/klagomålsmail/A 49847-2023 FSC-klagomål mail.docx", "A 49847-2023")</f>
        <v/>
      </c>
      <c r="X253">
        <f>HYPERLINK("https://klasma.github.io/Logging_0980/tillsyn/A 49847-2023 tillsynsbegäran.docx", "A 49847-2023")</f>
        <v/>
      </c>
      <c r="Y253">
        <f>HYPERLINK("https://klasma.github.io/Logging_0980/tillsynsmail/A 49847-2023 tillsynsbegäran mail.docx", "A 49847-2023")</f>
        <v/>
      </c>
    </row>
    <row r="254" ht="15" customHeight="1">
      <c r="A254" t="inlineStr">
        <is>
          <t>A 53907-2023</t>
        </is>
      </c>
      <c r="B254" s="1" t="n">
        <v>45231</v>
      </c>
      <c r="C254" s="1" t="n">
        <v>45828</v>
      </c>
      <c r="D254" t="inlineStr">
        <is>
          <t>GOTLANDS LÄN</t>
        </is>
      </c>
      <c r="E254" t="inlineStr">
        <is>
          <t>GOTLAND</t>
        </is>
      </c>
      <c r="G254" t="n">
        <v>13.7</v>
      </c>
      <c r="H254" t="n">
        <v>0</v>
      </c>
      <c r="I254" t="n">
        <v>0</v>
      </c>
      <c r="J254" t="n">
        <v>0</v>
      </c>
      <c r="K254" t="n">
        <v>1</v>
      </c>
      <c r="L254" t="n">
        <v>0</v>
      </c>
      <c r="M254" t="n">
        <v>0</v>
      </c>
      <c r="N254" t="n">
        <v>0</v>
      </c>
      <c r="O254" t="n">
        <v>1</v>
      </c>
      <c r="P254" t="n">
        <v>1</v>
      </c>
      <c r="Q254" t="n">
        <v>1</v>
      </c>
      <c r="R254" s="2" t="inlineStr">
        <is>
          <t>Granrotsspindling</t>
        </is>
      </c>
      <c r="S254">
        <f>HYPERLINK("https://klasma.github.io/Logging_0980/artfynd/A 53907-2023 artfynd.xlsx", "A 53907-2023")</f>
        <v/>
      </c>
      <c r="T254">
        <f>HYPERLINK("https://klasma.github.io/Logging_0980/kartor/A 53907-2023 karta.png", "A 53907-2023")</f>
        <v/>
      </c>
      <c r="V254">
        <f>HYPERLINK("https://klasma.github.io/Logging_0980/klagomål/A 53907-2023 FSC-klagomål.docx", "A 53907-2023")</f>
        <v/>
      </c>
      <c r="W254">
        <f>HYPERLINK("https://klasma.github.io/Logging_0980/klagomålsmail/A 53907-2023 FSC-klagomål mail.docx", "A 53907-2023")</f>
        <v/>
      </c>
      <c r="X254">
        <f>HYPERLINK("https://klasma.github.io/Logging_0980/tillsyn/A 53907-2023 tillsynsbegäran.docx", "A 53907-2023")</f>
        <v/>
      </c>
      <c r="Y254">
        <f>HYPERLINK("https://klasma.github.io/Logging_0980/tillsynsmail/A 53907-2023 tillsynsbegäran mail.docx", "A 53907-2023")</f>
        <v/>
      </c>
    </row>
    <row r="255" ht="15" customHeight="1">
      <c r="A255" t="inlineStr">
        <is>
          <t>A 56304-2023</t>
        </is>
      </c>
      <c r="B255" s="1" t="n">
        <v>45242</v>
      </c>
      <c r="C255" s="1" t="n">
        <v>45828</v>
      </c>
      <c r="D255" t="inlineStr">
        <is>
          <t>GOTLANDS LÄN</t>
        </is>
      </c>
      <c r="E255" t="inlineStr">
        <is>
          <t>GOTLAND</t>
        </is>
      </c>
      <c r="G255" t="n">
        <v>0.9</v>
      </c>
      <c r="H255" t="n">
        <v>1</v>
      </c>
      <c r="I255" t="n">
        <v>0</v>
      </c>
      <c r="J255" t="n">
        <v>0</v>
      </c>
      <c r="K255" t="n">
        <v>1</v>
      </c>
      <c r="L255" t="n">
        <v>0</v>
      </c>
      <c r="M255" t="n">
        <v>0</v>
      </c>
      <c r="N255" t="n">
        <v>0</v>
      </c>
      <c r="O255" t="n">
        <v>1</v>
      </c>
      <c r="P255" t="n">
        <v>1</v>
      </c>
      <c r="Q255" t="n">
        <v>1</v>
      </c>
      <c r="R255" s="2" t="inlineStr">
        <is>
          <t>Garderönn</t>
        </is>
      </c>
      <c r="S255">
        <f>HYPERLINK("https://klasma.github.io/Logging_0980/artfynd/A 56304-2023 artfynd.xlsx", "A 56304-2023")</f>
        <v/>
      </c>
      <c r="T255">
        <f>HYPERLINK("https://klasma.github.io/Logging_0980/kartor/A 56304-2023 karta.png", "A 56304-2023")</f>
        <v/>
      </c>
      <c r="V255">
        <f>HYPERLINK("https://klasma.github.io/Logging_0980/klagomål/A 56304-2023 FSC-klagomål.docx", "A 56304-2023")</f>
        <v/>
      </c>
      <c r="W255">
        <f>HYPERLINK("https://klasma.github.io/Logging_0980/klagomålsmail/A 56304-2023 FSC-klagomål mail.docx", "A 56304-2023")</f>
        <v/>
      </c>
      <c r="X255">
        <f>HYPERLINK("https://klasma.github.io/Logging_0980/tillsyn/A 56304-2023 tillsynsbegäran.docx", "A 56304-2023")</f>
        <v/>
      </c>
      <c r="Y255">
        <f>HYPERLINK("https://klasma.github.io/Logging_0980/tillsynsmail/A 56304-2023 tillsynsbegäran mail.docx", "A 56304-2023")</f>
        <v/>
      </c>
    </row>
    <row r="256" ht="15" customHeight="1">
      <c r="A256" t="inlineStr">
        <is>
          <t>A 61561-2023</t>
        </is>
      </c>
      <c r="B256" s="1" t="n">
        <v>45265</v>
      </c>
      <c r="C256" s="1" t="n">
        <v>45828</v>
      </c>
      <c r="D256" t="inlineStr">
        <is>
          <t>GOTLANDS LÄN</t>
        </is>
      </c>
      <c r="E256" t="inlineStr">
        <is>
          <t>GOTLAND</t>
        </is>
      </c>
      <c r="G256" t="n">
        <v>7.4</v>
      </c>
      <c r="H256" t="n">
        <v>0</v>
      </c>
      <c r="I256" t="n">
        <v>0</v>
      </c>
      <c r="J256" t="n">
        <v>1</v>
      </c>
      <c r="K256" t="n">
        <v>0</v>
      </c>
      <c r="L256" t="n">
        <v>0</v>
      </c>
      <c r="M256" t="n">
        <v>0</v>
      </c>
      <c r="N256" t="n">
        <v>0</v>
      </c>
      <c r="O256" t="n">
        <v>1</v>
      </c>
      <c r="P256" t="n">
        <v>0</v>
      </c>
      <c r="Q256" t="n">
        <v>1</v>
      </c>
      <c r="R256" s="2" t="inlineStr">
        <is>
          <t>Loppstarr</t>
        </is>
      </c>
      <c r="S256">
        <f>HYPERLINK("https://klasma.github.io/Logging_0980/artfynd/A 61561-2023 artfynd.xlsx", "A 61561-2023")</f>
        <v/>
      </c>
      <c r="T256">
        <f>HYPERLINK("https://klasma.github.io/Logging_0980/kartor/A 61561-2023 karta.png", "A 61561-2023")</f>
        <v/>
      </c>
      <c r="V256">
        <f>HYPERLINK("https://klasma.github.io/Logging_0980/klagomål/A 61561-2023 FSC-klagomål.docx", "A 61561-2023")</f>
        <v/>
      </c>
      <c r="W256">
        <f>HYPERLINK("https://klasma.github.io/Logging_0980/klagomålsmail/A 61561-2023 FSC-klagomål mail.docx", "A 61561-2023")</f>
        <v/>
      </c>
      <c r="X256">
        <f>HYPERLINK("https://klasma.github.io/Logging_0980/tillsyn/A 61561-2023 tillsynsbegäran.docx", "A 61561-2023")</f>
        <v/>
      </c>
      <c r="Y256">
        <f>HYPERLINK("https://klasma.github.io/Logging_0980/tillsynsmail/A 61561-2023 tillsynsbegäran mail.docx", "A 61561-2023")</f>
        <v/>
      </c>
    </row>
    <row r="257" ht="15" customHeight="1">
      <c r="A257" t="inlineStr">
        <is>
          <t>A 61846-2023</t>
        </is>
      </c>
      <c r="B257" s="1" t="n">
        <v>45266</v>
      </c>
      <c r="C257" s="1" t="n">
        <v>45828</v>
      </c>
      <c r="D257" t="inlineStr">
        <is>
          <t>GOTLANDS LÄN</t>
        </is>
      </c>
      <c r="E257" t="inlineStr">
        <is>
          <t>GOTLAND</t>
        </is>
      </c>
      <c r="G257" t="n">
        <v>2.2</v>
      </c>
      <c r="H257" t="n">
        <v>1</v>
      </c>
      <c r="I257" t="n">
        <v>0</v>
      </c>
      <c r="J257" t="n">
        <v>1</v>
      </c>
      <c r="K257" t="n">
        <v>0</v>
      </c>
      <c r="L257" t="n">
        <v>0</v>
      </c>
      <c r="M257" t="n">
        <v>0</v>
      </c>
      <c r="N257" t="n">
        <v>0</v>
      </c>
      <c r="O257" t="n">
        <v>1</v>
      </c>
      <c r="P257" t="n">
        <v>0</v>
      </c>
      <c r="Q257" t="n">
        <v>1</v>
      </c>
      <c r="R257" s="2" t="inlineStr">
        <is>
          <t>Rosenfink</t>
        </is>
      </c>
      <c r="S257">
        <f>HYPERLINK("https://klasma.github.io/Logging_0980/artfynd/A 61846-2023 artfynd.xlsx", "A 61846-2023")</f>
        <v/>
      </c>
      <c r="T257">
        <f>HYPERLINK("https://klasma.github.io/Logging_0980/kartor/A 61846-2023 karta.png", "A 61846-2023")</f>
        <v/>
      </c>
      <c r="V257">
        <f>HYPERLINK("https://klasma.github.io/Logging_0980/klagomål/A 61846-2023 FSC-klagomål.docx", "A 61846-2023")</f>
        <v/>
      </c>
      <c r="W257">
        <f>HYPERLINK("https://klasma.github.io/Logging_0980/klagomålsmail/A 61846-2023 FSC-klagomål mail.docx", "A 61846-2023")</f>
        <v/>
      </c>
      <c r="X257">
        <f>HYPERLINK("https://klasma.github.io/Logging_0980/tillsyn/A 61846-2023 tillsynsbegäran.docx", "A 61846-2023")</f>
        <v/>
      </c>
      <c r="Y257">
        <f>HYPERLINK("https://klasma.github.io/Logging_0980/tillsynsmail/A 61846-2023 tillsynsbegäran mail.docx", "A 61846-2023")</f>
        <v/>
      </c>
      <c r="Z257">
        <f>HYPERLINK("https://klasma.github.io/Logging_0980/fåglar/A 61846-2023 prioriterade fågelarter.docx", "A 61846-2023")</f>
        <v/>
      </c>
    </row>
    <row r="258" ht="15" customHeight="1">
      <c r="A258" t="inlineStr">
        <is>
          <t>A 61994-2023</t>
        </is>
      </c>
      <c r="B258" s="1" t="n">
        <v>45266</v>
      </c>
      <c r="C258" s="1" t="n">
        <v>45828</v>
      </c>
      <c r="D258" t="inlineStr">
        <is>
          <t>GOTLANDS LÄN</t>
        </is>
      </c>
      <c r="E258" t="inlineStr">
        <is>
          <t>GOTLAND</t>
        </is>
      </c>
      <c r="G258" t="n">
        <v>2.9</v>
      </c>
      <c r="H258" t="n">
        <v>1</v>
      </c>
      <c r="I258" t="n">
        <v>0</v>
      </c>
      <c r="J258" t="n">
        <v>0</v>
      </c>
      <c r="K258" t="n">
        <v>0</v>
      </c>
      <c r="L258" t="n">
        <v>0</v>
      </c>
      <c r="M258" t="n">
        <v>0</v>
      </c>
      <c r="N258" t="n">
        <v>0</v>
      </c>
      <c r="O258" t="n">
        <v>0</v>
      </c>
      <c r="P258" t="n">
        <v>0</v>
      </c>
      <c r="Q258" t="n">
        <v>1</v>
      </c>
      <c r="R258" s="2" t="inlineStr">
        <is>
          <t>Revlummer</t>
        </is>
      </c>
      <c r="S258">
        <f>HYPERLINK("https://klasma.github.io/Logging_0980/artfynd/A 61994-2023 artfynd.xlsx", "A 61994-2023")</f>
        <v/>
      </c>
      <c r="T258">
        <f>HYPERLINK("https://klasma.github.io/Logging_0980/kartor/A 61994-2023 karta.png", "A 61994-2023")</f>
        <v/>
      </c>
      <c r="V258">
        <f>HYPERLINK("https://klasma.github.io/Logging_0980/klagomål/A 61994-2023 FSC-klagomål.docx", "A 61994-2023")</f>
        <v/>
      </c>
      <c r="W258">
        <f>HYPERLINK("https://klasma.github.io/Logging_0980/klagomålsmail/A 61994-2023 FSC-klagomål mail.docx", "A 61994-2023")</f>
        <v/>
      </c>
      <c r="X258">
        <f>HYPERLINK("https://klasma.github.io/Logging_0980/tillsyn/A 61994-2023 tillsynsbegäran.docx", "A 61994-2023")</f>
        <v/>
      </c>
      <c r="Y258">
        <f>HYPERLINK("https://klasma.github.io/Logging_0980/tillsynsmail/A 61994-2023 tillsynsbegäran mail.docx", "A 61994-2023")</f>
        <v/>
      </c>
    </row>
    <row r="259" ht="15" customHeight="1">
      <c r="A259" t="inlineStr">
        <is>
          <t>A 62376-2023</t>
        </is>
      </c>
      <c r="B259" s="1" t="n">
        <v>45268</v>
      </c>
      <c r="C259" s="1" t="n">
        <v>45828</v>
      </c>
      <c r="D259" t="inlineStr">
        <is>
          <t>GOTLANDS LÄN</t>
        </is>
      </c>
      <c r="E259" t="inlineStr">
        <is>
          <t>GOTLAND</t>
        </is>
      </c>
      <c r="G259" t="n">
        <v>4.2</v>
      </c>
      <c r="H259" t="n">
        <v>1</v>
      </c>
      <c r="I259" t="n">
        <v>0</v>
      </c>
      <c r="J259" t="n">
        <v>0</v>
      </c>
      <c r="K259" t="n">
        <v>0</v>
      </c>
      <c r="L259" t="n">
        <v>0</v>
      </c>
      <c r="M259" t="n">
        <v>0</v>
      </c>
      <c r="N259" t="n">
        <v>0</v>
      </c>
      <c r="O259" t="n">
        <v>0</v>
      </c>
      <c r="P259" t="n">
        <v>0</v>
      </c>
      <c r="Q259" t="n">
        <v>1</v>
      </c>
      <c r="R259" s="2" t="inlineStr">
        <is>
          <t>Fläcknycklar</t>
        </is>
      </c>
      <c r="S259">
        <f>HYPERLINK("https://klasma.github.io/Logging_0980/artfynd/A 62376-2023 artfynd.xlsx", "A 62376-2023")</f>
        <v/>
      </c>
      <c r="T259">
        <f>HYPERLINK("https://klasma.github.io/Logging_0980/kartor/A 62376-2023 karta.png", "A 62376-2023")</f>
        <v/>
      </c>
      <c r="V259">
        <f>HYPERLINK("https://klasma.github.io/Logging_0980/klagomål/A 62376-2023 FSC-klagomål.docx", "A 62376-2023")</f>
        <v/>
      </c>
      <c r="W259">
        <f>HYPERLINK("https://klasma.github.io/Logging_0980/klagomålsmail/A 62376-2023 FSC-klagomål mail.docx", "A 62376-2023")</f>
        <v/>
      </c>
      <c r="X259">
        <f>HYPERLINK("https://klasma.github.io/Logging_0980/tillsyn/A 62376-2023 tillsynsbegäran.docx", "A 62376-2023")</f>
        <v/>
      </c>
      <c r="Y259">
        <f>HYPERLINK("https://klasma.github.io/Logging_0980/tillsynsmail/A 62376-2023 tillsynsbegäran mail.docx", "A 62376-2023")</f>
        <v/>
      </c>
    </row>
    <row r="260" ht="15" customHeight="1">
      <c r="A260" t="inlineStr">
        <is>
          <t>A 63515-2023</t>
        </is>
      </c>
      <c r="B260" s="1" t="n">
        <v>45274</v>
      </c>
      <c r="C260" s="1" t="n">
        <v>45828</v>
      </c>
      <c r="D260" t="inlineStr">
        <is>
          <t>GOTLANDS LÄN</t>
        </is>
      </c>
      <c r="E260" t="inlineStr">
        <is>
          <t>GOTLAND</t>
        </is>
      </c>
      <c r="G260" t="n">
        <v>2.1</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63515-2023 artfynd.xlsx", "A 63515-2023")</f>
        <v/>
      </c>
      <c r="T260">
        <f>HYPERLINK("https://klasma.github.io/Logging_0980/kartor/A 63515-2023 karta.png", "A 63515-2023")</f>
        <v/>
      </c>
      <c r="V260">
        <f>HYPERLINK("https://klasma.github.io/Logging_0980/klagomål/A 63515-2023 FSC-klagomål.docx", "A 63515-2023")</f>
        <v/>
      </c>
      <c r="W260">
        <f>HYPERLINK("https://klasma.github.io/Logging_0980/klagomålsmail/A 63515-2023 FSC-klagomål mail.docx", "A 63515-2023")</f>
        <v/>
      </c>
      <c r="X260">
        <f>HYPERLINK("https://klasma.github.io/Logging_0980/tillsyn/A 63515-2023 tillsynsbegäran.docx", "A 63515-2023")</f>
        <v/>
      </c>
      <c r="Y260">
        <f>HYPERLINK("https://klasma.github.io/Logging_0980/tillsynsmail/A 63515-2023 tillsynsbegäran mail.docx", "A 63515-2023")</f>
        <v/>
      </c>
    </row>
    <row r="261" ht="15" customHeight="1">
      <c r="A261" t="inlineStr">
        <is>
          <t>A 63302-2023</t>
        </is>
      </c>
      <c r="B261" s="1" t="n">
        <v>45274</v>
      </c>
      <c r="C261" s="1" t="n">
        <v>45828</v>
      </c>
      <c r="D261" t="inlineStr">
        <is>
          <t>GOTLANDS LÄN</t>
        </is>
      </c>
      <c r="E261" t="inlineStr">
        <is>
          <t>GOTLAND</t>
        </is>
      </c>
      <c r="G261" t="n">
        <v>1.3</v>
      </c>
      <c r="H261" t="n">
        <v>1</v>
      </c>
      <c r="I261" t="n">
        <v>0</v>
      </c>
      <c r="J261" t="n">
        <v>0</v>
      </c>
      <c r="K261" t="n">
        <v>0</v>
      </c>
      <c r="L261" t="n">
        <v>0</v>
      </c>
      <c r="M261" t="n">
        <v>0</v>
      </c>
      <c r="N261" t="n">
        <v>0</v>
      </c>
      <c r="O261" t="n">
        <v>0</v>
      </c>
      <c r="P261" t="n">
        <v>0</v>
      </c>
      <c r="Q261" t="n">
        <v>1</v>
      </c>
      <c r="R261" s="2" t="inlineStr">
        <is>
          <t>Nattskärra</t>
        </is>
      </c>
      <c r="S261">
        <f>HYPERLINK("https://klasma.github.io/Logging_0980/artfynd/A 63302-2023 artfynd.xlsx", "A 63302-2023")</f>
        <v/>
      </c>
      <c r="T261">
        <f>HYPERLINK("https://klasma.github.io/Logging_0980/kartor/A 63302-2023 karta.png", "A 63302-2023")</f>
        <v/>
      </c>
      <c r="V261">
        <f>HYPERLINK("https://klasma.github.io/Logging_0980/klagomål/A 63302-2023 FSC-klagomål.docx", "A 63302-2023")</f>
        <v/>
      </c>
      <c r="W261">
        <f>HYPERLINK("https://klasma.github.io/Logging_0980/klagomålsmail/A 63302-2023 FSC-klagomål mail.docx", "A 63302-2023")</f>
        <v/>
      </c>
      <c r="X261">
        <f>HYPERLINK("https://klasma.github.io/Logging_0980/tillsyn/A 63302-2023 tillsynsbegäran.docx", "A 63302-2023")</f>
        <v/>
      </c>
      <c r="Y261">
        <f>HYPERLINK("https://klasma.github.io/Logging_0980/tillsynsmail/A 63302-2023 tillsynsbegäran mail.docx", "A 63302-2023")</f>
        <v/>
      </c>
      <c r="Z261">
        <f>HYPERLINK("https://klasma.github.io/Logging_0980/fåglar/A 63302-2023 prioriterade fågelarter.docx", "A 63302-2023")</f>
        <v/>
      </c>
    </row>
    <row r="262" ht="15" customHeight="1">
      <c r="A262" t="inlineStr">
        <is>
          <t>A 2534-2024</t>
        </is>
      </c>
      <c r="B262" s="1" t="n">
        <v>45313</v>
      </c>
      <c r="C262" s="1" t="n">
        <v>45828</v>
      </c>
      <c r="D262" t="inlineStr">
        <is>
          <t>GOTLANDS LÄN</t>
        </is>
      </c>
      <c r="E262" t="inlineStr">
        <is>
          <t>GOTLAND</t>
        </is>
      </c>
      <c r="G262" t="n">
        <v>1</v>
      </c>
      <c r="H262" t="n">
        <v>0</v>
      </c>
      <c r="I262" t="n">
        <v>0</v>
      </c>
      <c r="J262" t="n">
        <v>0</v>
      </c>
      <c r="K262" t="n">
        <v>0</v>
      </c>
      <c r="L262" t="n">
        <v>1</v>
      </c>
      <c r="M262" t="n">
        <v>0</v>
      </c>
      <c r="N262" t="n">
        <v>0</v>
      </c>
      <c r="O262" t="n">
        <v>1</v>
      </c>
      <c r="P262" t="n">
        <v>1</v>
      </c>
      <c r="Q262" t="n">
        <v>1</v>
      </c>
      <c r="R262" s="2" t="inlineStr">
        <is>
          <t>Ryl</t>
        </is>
      </c>
      <c r="S262">
        <f>HYPERLINK("https://klasma.github.io/Logging_0980/artfynd/A 2534-2024 artfynd.xlsx", "A 2534-2024")</f>
        <v/>
      </c>
      <c r="T262">
        <f>HYPERLINK("https://klasma.github.io/Logging_0980/kartor/A 2534-2024 karta.png", "A 2534-2024")</f>
        <v/>
      </c>
      <c r="V262">
        <f>HYPERLINK("https://klasma.github.io/Logging_0980/klagomål/A 2534-2024 FSC-klagomål.docx", "A 2534-2024")</f>
        <v/>
      </c>
      <c r="W262">
        <f>HYPERLINK("https://klasma.github.io/Logging_0980/klagomålsmail/A 2534-2024 FSC-klagomål mail.docx", "A 2534-2024")</f>
        <v/>
      </c>
      <c r="X262">
        <f>HYPERLINK("https://klasma.github.io/Logging_0980/tillsyn/A 2534-2024 tillsynsbegäran.docx", "A 2534-2024")</f>
        <v/>
      </c>
      <c r="Y262">
        <f>HYPERLINK("https://klasma.github.io/Logging_0980/tillsynsmail/A 2534-2024 tillsynsbegäran mail.docx", "A 2534-2024")</f>
        <v/>
      </c>
    </row>
    <row r="263" ht="15" customHeight="1">
      <c r="A263" t="inlineStr">
        <is>
          <t>A 6303-2024</t>
        </is>
      </c>
      <c r="B263" s="1" t="n">
        <v>45338</v>
      </c>
      <c r="C263" s="1" t="n">
        <v>45828</v>
      </c>
      <c r="D263" t="inlineStr">
        <is>
          <t>GOTLANDS LÄN</t>
        </is>
      </c>
      <c r="E263" t="inlineStr">
        <is>
          <t>GOTLAND</t>
        </is>
      </c>
      <c r="G263" t="n">
        <v>0.6</v>
      </c>
      <c r="H263" t="n">
        <v>0</v>
      </c>
      <c r="I263" t="n">
        <v>1</v>
      </c>
      <c r="J263" t="n">
        <v>0</v>
      </c>
      <c r="K263" t="n">
        <v>0</v>
      </c>
      <c r="L263" t="n">
        <v>0</v>
      </c>
      <c r="M263" t="n">
        <v>0</v>
      </c>
      <c r="N263" t="n">
        <v>0</v>
      </c>
      <c r="O263" t="n">
        <v>0</v>
      </c>
      <c r="P263" t="n">
        <v>0</v>
      </c>
      <c r="Q263" t="n">
        <v>1</v>
      </c>
      <c r="R263" s="2" t="inlineStr">
        <is>
          <t>Strävlosta</t>
        </is>
      </c>
      <c r="S263">
        <f>HYPERLINK("https://klasma.github.io/Logging_0980/artfynd/A 6303-2024 artfynd.xlsx", "A 6303-2024")</f>
        <v/>
      </c>
      <c r="T263">
        <f>HYPERLINK("https://klasma.github.io/Logging_0980/kartor/A 6303-2024 karta.png", "A 6303-2024")</f>
        <v/>
      </c>
      <c r="V263">
        <f>HYPERLINK("https://klasma.github.io/Logging_0980/klagomål/A 6303-2024 FSC-klagomål.docx", "A 6303-2024")</f>
        <v/>
      </c>
      <c r="W263">
        <f>HYPERLINK("https://klasma.github.io/Logging_0980/klagomålsmail/A 6303-2024 FSC-klagomål mail.docx", "A 6303-2024")</f>
        <v/>
      </c>
      <c r="X263">
        <f>HYPERLINK("https://klasma.github.io/Logging_0980/tillsyn/A 6303-2024 tillsynsbegäran.docx", "A 6303-2024")</f>
        <v/>
      </c>
      <c r="Y263">
        <f>HYPERLINK("https://klasma.github.io/Logging_0980/tillsynsmail/A 6303-2024 tillsynsbegäran mail.docx", "A 6303-2024")</f>
        <v/>
      </c>
    </row>
    <row r="264" ht="15" customHeight="1">
      <c r="A264" t="inlineStr">
        <is>
          <t>A 8291-2024</t>
        </is>
      </c>
      <c r="B264" s="1" t="n">
        <v>45352</v>
      </c>
      <c r="C264" s="1" t="n">
        <v>45828</v>
      </c>
      <c r="D264" t="inlineStr">
        <is>
          <t>GOTLANDS LÄN</t>
        </is>
      </c>
      <c r="E264" t="inlineStr">
        <is>
          <t>GOTLAND</t>
        </is>
      </c>
      <c r="G264" t="n">
        <v>5.4</v>
      </c>
      <c r="H264" t="n">
        <v>1</v>
      </c>
      <c r="I264" t="n">
        <v>0</v>
      </c>
      <c r="J264" t="n">
        <v>1</v>
      </c>
      <c r="K264" t="n">
        <v>0</v>
      </c>
      <c r="L264" t="n">
        <v>0</v>
      </c>
      <c r="M264" t="n">
        <v>0</v>
      </c>
      <c r="N264" t="n">
        <v>0</v>
      </c>
      <c r="O264" t="n">
        <v>1</v>
      </c>
      <c r="P264" t="n">
        <v>0</v>
      </c>
      <c r="Q264" t="n">
        <v>1</v>
      </c>
      <c r="R264" s="2" t="inlineStr">
        <is>
          <t>Ärtsångare</t>
        </is>
      </c>
      <c r="S264">
        <f>HYPERLINK("https://klasma.github.io/Logging_0980/artfynd/A 8291-2024 artfynd.xlsx", "A 8291-2024")</f>
        <v/>
      </c>
      <c r="T264">
        <f>HYPERLINK("https://klasma.github.io/Logging_0980/kartor/A 8291-2024 karta.png", "A 8291-2024")</f>
        <v/>
      </c>
      <c r="V264">
        <f>HYPERLINK("https://klasma.github.io/Logging_0980/klagomål/A 8291-2024 FSC-klagomål.docx", "A 8291-2024")</f>
        <v/>
      </c>
      <c r="W264">
        <f>HYPERLINK("https://klasma.github.io/Logging_0980/klagomålsmail/A 8291-2024 FSC-klagomål mail.docx", "A 8291-2024")</f>
        <v/>
      </c>
      <c r="X264">
        <f>HYPERLINK("https://klasma.github.io/Logging_0980/tillsyn/A 8291-2024 tillsynsbegäran.docx", "A 8291-2024")</f>
        <v/>
      </c>
      <c r="Y264">
        <f>HYPERLINK("https://klasma.github.io/Logging_0980/tillsynsmail/A 8291-2024 tillsynsbegäran mail.docx", "A 8291-2024")</f>
        <v/>
      </c>
      <c r="Z264">
        <f>HYPERLINK("https://klasma.github.io/Logging_0980/fåglar/A 8291-2024 prioriterade fågelarter.docx", "A 8291-2024")</f>
        <v/>
      </c>
    </row>
    <row r="265" ht="15" customHeight="1">
      <c r="A265" t="inlineStr">
        <is>
          <t>A 9862-2024</t>
        </is>
      </c>
      <c r="B265" s="1" t="n">
        <v>45363</v>
      </c>
      <c r="C265" s="1" t="n">
        <v>45828</v>
      </c>
      <c r="D265" t="inlineStr">
        <is>
          <t>GOTLANDS LÄN</t>
        </is>
      </c>
      <c r="E265" t="inlineStr">
        <is>
          <t>GOTLAND</t>
        </is>
      </c>
      <c r="G265" t="n">
        <v>3.5</v>
      </c>
      <c r="H265" t="n">
        <v>1</v>
      </c>
      <c r="I265" t="n">
        <v>0</v>
      </c>
      <c r="J265" t="n">
        <v>0</v>
      </c>
      <c r="K265" t="n">
        <v>0</v>
      </c>
      <c r="L265" t="n">
        <v>0</v>
      </c>
      <c r="M265" t="n">
        <v>0</v>
      </c>
      <c r="N265" t="n">
        <v>0</v>
      </c>
      <c r="O265" t="n">
        <v>0</v>
      </c>
      <c r="P265" t="n">
        <v>0</v>
      </c>
      <c r="Q265" t="n">
        <v>1</v>
      </c>
      <c r="R265" s="2" t="inlineStr">
        <is>
          <t>Nattviol</t>
        </is>
      </c>
      <c r="S265">
        <f>HYPERLINK("https://klasma.github.io/Logging_0980/artfynd/A 9862-2024 artfynd.xlsx", "A 9862-2024")</f>
        <v/>
      </c>
      <c r="T265">
        <f>HYPERLINK("https://klasma.github.io/Logging_0980/kartor/A 9862-2024 karta.png", "A 9862-2024")</f>
        <v/>
      </c>
      <c r="V265">
        <f>HYPERLINK("https://klasma.github.io/Logging_0980/klagomål/A 9862-2024 FSC-klagomål.docx", "A 9862-2024")</f>
        <v/>
      </c>
      <c r="W265">
        <f>HYPERLINK("https://klasma.github.io/Logging_0980/klagomålsmail/A 9862-2024 FSC-klagomål mail.docx", "A 9862-2024")</f>
        <v/>
      </c>
      <c r="X265">
        <f>HYPERLINK("https://klasma.github.io/Logging_0980/tillsyn/A 9862-2024 tillsynsbegäran.docx", "A 9862-2024")</f>
        <v/>
      </c>
      <c r="Y265">
        <f>HYPERLINK("https://klasma.github.io/Logging_0980/tillsynsmail/A 9862-2024 tillsynsbegäran mail.docx", "A 9862-2024")</f>
        <v/>
      </c>
    </row>
    <row r="266" ht="15" customHeight="1">
      <c r="A266" t="inlineStr">
        <is>
          <t>A 10440-2024</t>
        </is>
      </c>
      <c r="B266" s="1" t="n">
        <v>45366</v>
      </c>
      <c r="C266" s="1" t="n">
        <v>45828</v>
      </c>
      <c r="D266" t="inlineStr">
        <is>
          <t>GOTLANDS LÄN</t>
        </is>
      </c>
      <c r="E266" t="inlineStr">
        <is>
          <t>GOTLAND</t>
        </is>
      </c>
      <c r="G266" t="n">
        <v>2.5</v>
      </c>
      <c r="H266" t="n">
        <v>1</v>
      </c>
      <c r="I266" t="n">
        <v>0</v>
      </c>
      <c r="J266" t="n">
        <v>1</v>
      </c>
      <c r="K266" t="n">
        <v>0</v>
      </c>
      <c r="L266" t="n">
        <v>0</v>
      </c>
      <c r="M266" t="n">
        <v>0</v>
      </c>
      <c r="N266" t="n">
        <v>0</v>
      </c>
      <c r="O266" t="n">
        <v>1</v>
      </c>
      <c r="P266" t="n">
        <v>0</v>
      </c>
      <c r="Q266" t="n">
        <v>1</v>
      </c>
      <c r="R266" s="2" t="inlineStr">
        <is>
          <t>Mindre hackspett</t>
        </is>
      </c>
      <c r="S266">
        <f>HYPERLINK("https://klasma.github.io/Logging_0980/artfynd/A 10440-2024 artfynd.xlsx", "A 10440-2024")</f>
        <v/>
      </c>
      <c r="T266">
        <f>HYPERLINK("https://klasma.github.io/Logging_0980/kartor/A 10440-2024 karta.png", "A 10440-2024")</f>
        <v/>
      </c>
      <c r="V266">
        <f>HYPERLINK("https://klasma.github.io/Logging_0980/klagomål/A 10440-2024 FSC-klagomål.docx", "A 10440-2024")</f>
        <v/>
      </c>
      <c r="W266">
        <f>HYPERLINK("https://klasma.github.io/Logging_0980/klagomålsmail/A 10440-2024 FSC-klagomål mail.docx", "A 10440-2024")</f>
        <v/>
      </c>
      <c r="X266">
        <f>HYPERLINK("https://klasma.github.io/Logging_0980/tillsyn/A 10440-2024 tillsynsbegäran.docx", "A 10440-2024")</f>
        <v/>
      </c>
      <c r="Y266">
        <f>HYPERLINK("https://klasma.github.io/Logging_0980/tillsynsmail/A 10440-2024 tillsynsbegäran mail.docx", "A 10440-2024")</f>
        <v/>
      </c>
      <c r="Z266">
        <f>HYPERLINK("https://klasma.github.io/Logging_0980/fåglar/A 10440-2024 prioriterade fågelarter.docx", "A 10440-2024")</f>
        <v/>
      </c>
    </row>
    <row r="267" ht="15" customHeight="1">
      <c r="A267" t="inlineStr">
        <is>
          <t>A 12379-2024</t>
        </is>
      </c>
      <c r="B267" s="1" t="n">
        <v>45379</v>
      </c>
      <c r="C267" s="1" t="n">
        <v>45828</v>
      </c>
      <c r="D267" t="inlineStr">
        <is>
          <t>GOTLANDS LÄN</t>
        </is>
      </c>
      <c r="E267" t="inlineStr">
        <is>
          <t>GOTLAND</t>
        </is>
      </c>
      <c r="G267" t="n">
        <v>4.4</v>
      </c>
      <c r="H267" t="n">
        <v>0</v>
      </c>
      <c r="I267" t="n">
        <v>0</v>
      </c>
      <c r="J267" t="n">
        <v>1</v>
      </c>
      <c r="K267" t="n">
        <v>0</v>
      </c>
      <c r="L267" t="n">
        <v>0</v>
      </c>
      <c r="M267" t="n">
        <v>0</v>
      </c>
      <c r="N267" t="n">
        <v>0</v>
      </c>
      <c r="O267" t="n">
        <v>1</v>
      </c>
      <c r="P267" t="n">
        <v>0</v>
      </c>
      <c r="Q267" t="n">
        <v>1</v>
      </c>
      <c r="R267" s="2" t="inlineStr">
        <is>
          <t>Svinrot</t>
        </is>
      </c>
      <c r="S267">
        <f>HYPERLINK("https://klasma.github.io/Logging_0980/artfynd/A 12379-2024 artfynd.xlsx", "A 12379-2024")</f>
        <v/>
      </c>
      <c r="T267">
        <f>HYPERLINK("https://klasma.github.io/Logging_0980/kartor/A 12379-2024 karta.png", "A 12379-2024")</f>
        <v/>
      </c>
      <c r="V267">
        <f>HYPERLINK("https://klasma.github.io/Logging_0980/klagomål/A 12379-2024 FSC-klagomål.docx", "A 12379-2024")</f>
        <v/>
      </c>
      <c r="W267">
        <f>HYPERLINK("https://klasma.github.io/Logging_0980/klagomålsmail/A 12379-2024 FSC-klagomål mail.docx", "A 12379-2024")</f>
        <v/>
      </c>
      <c r="X267">
        <f>HYPERLINK("https://klasma.github.io/Logging_0980/tillsyn/A 12379-2024 tillsynsbegäran.docx", "A 12379-2024")</f>
        <v/>
      </c>
      <c r="Y267">
        <f>HYPERLINK("https://klasma.github.io/Logging_0980/tillsynsmail/A 12379-2024 tillsynsbegäran mail.docx", "A 12379-2024")</f>
        <v/>
      </c>
    </row>
    <row r="268" ht="15" customHeight="1">
      <c r="A268" t="inlineStr">
        <is>
          <t>A 15637-2024</t>
        </is>
      </c>
      <c r="B268" s="1" t="n">
        <v>45403</v>
      </c>
      <c r="C268" s="1" t="n">
        <v>45828</v>
      </c>
      <c r="D268" t="inlineStr">
        <is>
          <t>GOTLANDS LÄN</t>
        </is>
      </c>
      <c r="E268" t="inlineStr">
        <is>
          <t>GOTLAND</t>
        </is>
      </c>
      <c r="G268" t="n">
        <v>4.1</v>
      </c>
      <c r="H268" t="n">
        <v>1</v>
      </c>
      <c r="I268" t="n">
        <v>0</v>
      </c>
      <c r="J268" t="n">
        <v>0</v>
      </c>
      <c r="K268" t="n">
        <v>0</v>
      </c>
      <c r="L268" t="n">
        <v>0</v>
      </c>
      <c r="M268" t="n">
        <v>0</v>
      </c>
      <c r="N268" t="n">
        <v>0</v>
      </c>
      <c r="O268" t="n">
        <v>0</v>
      </c>
      <c r="P268" t="n">
        <v>0</v>
      </c>
      <c r="Q268" t="n">
        <v>1</v>
      </c>
      <c r="R268" s="2" t="inlineStr">
        <is>
          <t>Blåsippa</t>
        </is>
      </c>
      <c r="S268">
        <f>HYPERLINK("https://klasma.github.io/Logging_0980/artfynd/A 15637-2024 artfynd.xlsx", "A 15637-2024")</f>
        <v/>
      </c>
      <c r="T268">
        <f>HYPERLINK("https://klasma.github.io/Logging_0980/kartor/A 15637-2024 karta.png", "A 15637-2024")</f>
        <v/>
      </c>
      <c r="V268">
        <f>HYPERLINK("https://klasma.github.io/Logging_0980/klagomål/A 15637-2024 FSC-klagomål.docx", "A 15637-2024")</f>
        <v/>
      </c>
      <c r="W268">
        <f>HYPERLINK("https://klasma.github.io/Logging_0980/klagomålsmail/A 15637-2024 FSC-klagomål mail.docx", "A 15637-2024")</f>
        <v/>
      </c>
      <c r="X268">
        <f>HYPERLINK("https://klasma.github.io/Logging_0980/tillsyn/A 15637-2024 tillsynsbegäran.docx", "A 15637-2024")</f>
        <v/>
      </c>
      <c r="Y268">
        <f>HYPERLINK("https://klasma.github.io/Logging_0980/tillsynsmail/A 15637-2024 tillsynsbegäran mail.docx", "A 15637-2024")</f>
        <v/>
      </c>
    </row>
    <row r="269" ht="15" customHeight="1">
      <c r="A269" t="inlineStr">
        <is>
          <t>A 17681-2024</t>
        </is>
      </c>
      <c r="B269" s="1" t="n">
        <v>45418</v>
      </c>
      <c r="C269" s="1" t="n">
        <v>45828</v>
      </c>
      <c r="D269" t="inlineStr">
        <is>
          <t>GOTLANDS LÄN</t>
        </is>
      </c>
      <c r="E269" t="inlineStr">
        <is>
          <t>GOTLAND</t>
        </is>
      </c>
      <c r="G269" t="n">
        <v>1.9</v>
      </c>
      <c r="H269" t="n">
        <v>0</v>
      </c>
      <c r="I269" t="n">
        <v>0</v>
      </c>
      <c r="J269" t="n">
        <v>1</v>
      </c>
      <c r="K269" t="n">
        <v>0</v>
      </c>
      <c r="L269" t="n">
        <v>0</v>
      </c>
      <c r="M269" t="n">
        <v>0</v>
      </c>
      <c r="N269" t="n">
        <v>0</v>
      </c>
      <c r="O269" t="n">
        <v>1</v>
      </c>
      <c r="P269" t="n">
        <v>0</v>
      </c>
      <c r="Q269" t="n">
        <v>1</v>
      </c>
      <c r="R269" s="2" t="inlineStr">
        <is>
          <t>Igelkott</t>
        </is>
      </c>
      <c r="S269">
        <f>HYPERLINK("https://klasma.github.io/Logging_0980/artfynd/A 17681-2024 artfynd.xlsx", "A 17681-2024")</f>
        <v/>
      </c>
      <c r="T269">
        <f>HYPERLINK("https://klasma.github.io/Logging_0980/kartor/A 17681-2024 karta.png", "A 17681-2024")</f>
        <v/>
      </c>
      <c r="V269">
        <f>HYPERLINK("https://klasma.github.io/Logging_0980/klagomål/A 17681-2024 FSC-klagomål.docx", "A 17681-2024")</f>
        <v/>
      </c>
      <c r="W269">
        <f>HYPERLINK("https://klasma.github.io/Logging_0980/klagomålsmail/A 17681-2024 FSC-klagomål mail.docx", "A 17681-2024")</f>
        <v/>
      </c>
      <c r="X269">
        <f>HYPERLINK("https://klasma.github.io/Logging_0980/tillsyn/A 17681-2024 tillsynsbegäran.docx", "A 17681-2024")</f>
        <v/>
      </c>
      <c r="Y269">
        <f>HYPERLINK("https://klasma.github.io/Logging_0980/tillsynsmail/A 17681-2024 tillsynsbegäran mail.docx", "A 17681-2024")</f>
        <v/>
      </c>
    </row>
    <row r="270" ht="15" customHeight="1">
      <c r="A270" t="inlineStr">
        <is>
          <t>A 17727-2024</t>
        </is>
      </c>
      <c r="B270" s="1" t="n">
        <v>45418</v>
      </c>
      <c r="C270" s="1" t="n">
        <v>45828</v>
      </c>
      <c r="D270" t="inlineStr">
        <is>
          <t>GOTLANDS LÄN</t>
        </is>
      </c>
      <c r="E270" t="inlineStr">
        <is>
          <t>GOTLAND</t>
        </is>
      </c>
      <c r="G270" t="n">
        <v>1</v>
      </c>
      <c r="H270" t="n">
        <v>0</v>
      </c>
      <c r="I270" t="n">
        <v>0</v>
      </c>
      <c r="J270" t="n">
        <v>1</v>
      </c>
      <c r="K270" t="n">
        <v>0</v>
      </c>
      <c r="L270" t="n">
        <v>0</v>
      </c>
      <c r="M270" t="n">
        <v>0</v>
      </c>
      <c r="N270" t="n">
        <v>0</v>
      </c>
      <c r="O270" t="n">
        <v>1</v>
      </c>
      <c r="P270" t="n">
        <v>0</v>
      </c>
      <c r="Q270" t="n">
        <v>1</v>
      </c>
      <c r="R270" s="2" t="inlineStr">
        <is>
          <t>Åkerranunkel</t>
        </is>
      </c>
      <c r="S270">
        <f>HYPERLINK("https://klasma.github.io/Logging_0980/artfynd/A 17727-2024 artfynd.xlsx", "A 17727-2024")</f>
        <v/>
      </c>
      <c r="T270">
        <f>HYPERLINK("https://klasma.github.io/Logging_0980/kartor/A 17727-2024 karta.png", "A 17727-2024")</f>
        <v/>
      </c>
      <c r="V270">
        <f>HYPERLINK("https://klasma.github.io/Logging_0980/klagomål/A 17727-2024 FSC-klagomål.docx", "A 17727-2024")</f>
        <v/>
      </c>
      <c r="W270">
        <f>HYPERLINK("https://klasma.github.io/Logging_0980/klagomålsmail/A 17727-2024 FSC-klagomål mail.docx", "A 17727-2024")</f>
        <v/>
      </c>
      <c r="X270">
        <f>HYPERLINK("https://klasma.github.io/Logging_0980/tillsyn/A 17727-2024 tillsynsbegäran.docx", "A 17727-2024")</f>
        <v/>
      </c>
      <c r="Y270">
        <f>HYPERLINK("https://klasma.github.io/Logging_0980/tillsynsmail/A 17727-2024 tillsynsbegäran mail.docx", "A 17727-2024")</f>
        <v/>
      </c>
    </row>
    <row r="271" ht="15" customHeight="1">
      <c r="A271" t="inlineStr">
        <is>
          <t>A 20831-2024</t>
        </is>
      </c>
      <c r="B271" s="1" t="n">
        <v>45439</v>
      </c>
      <c r="C271" s="1" t="n">
        <v>45828</v>
      </c>
      <c r="D271" t="inlineStr">
        <is>
          <t>GOTLANDS LÄN</t>
        </is>
      </c>
      <c r="E271" t="inlineStr">
        <is>
          <t>GOTLAND</t>
        </is>
      </c>
      <c r="G271" t="n">
        <v>2.9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20831-2024 artfynd.xlsx", "A 20831-2024")</f>
        <v/>
      </c>
      <c r="T271">
        <f>HYPERLINK("https://klasma.github.io/Logging_0980/kartor/A 20831-2024 karta.png", "A 20831-2024")</f>
        <v/>
      </c>
      <c r="V271">
        <f>HYPERLINK("https://klasma.github.io/Logging_0980/klagomål/A 20831-2024 FSC-klagomål.docx", "A 20831-2024")</f>
        <v/>
      </c>
      <c r="W271">
        <f>HYPERLINK("https://klasma.github.io/Logging_0980/klagomålsmail/A 20831-2024 FSC-klagomål mail.docx", "A 20831-2024")</f>
        <v/>
      </c>
      <c r="X271">
        <f>HYPERLINK("https://klasma.github.io/Logging_0980/tillsyn/A 20831-2024 tillsynsbegäran.docx", "A 20831-2024")</f>
        <v/>
      </c>
      <c r="Y271">
        <f>HYPERLINK("https://klasma.github.io/Logging_0980/tillsynsmail/A 20831-2024 tillsynsbegäran mail.docx", "A 20831-2024")</f>
        <v/>
      </c>
    </row>
    <row r="272" ht="15" customHeight="1">
      <c r="A272" t="inlineStr">
        <is>
          <t>A 20838-2024</t>
        </is>
      </c>
      <c r="B272" s="1" t="n">
        <v>45439</v>
      </c>
      <c r="C272" s="1" t="n">
        <v>45828</v>
      </c>
      <c r="D272" t="inlineStr">
        <is>
          <t>GOTLANDS LÄN</t>
        </is>
      </c>
      <c r="E272" t="inlineStr">
        <is>
          <t>GOTLAND</t>
        </is>
      </c>
      <c r="G272" t="n">
        <v>0.7</v>
      </c>
      <c r="H272" t="n">
        <v>1</v>
      </c>
      <c r="I272" t="n">
        <v>1</v>
      </c>
      <c r="J272" t="n">
        <v>0</v>
      </c>
      <c r="K272" t="n">
        <v>0</v>
      </c>
      <c r="L272" t="n">
        <v>0</v>
      </c>
      <c r="M272" t="n">
        <v>0</v>
      </c>
      <c r="N272" t="n">
        <v>0</v>
      </c>
      <c r="O272" t="n">
        <v>0</v>
      </c>
      <c r="P272" t="n">
        <v>0</v>
      </c>
      <c r="Q272" t="n">
        <v>1</v>
      </c>
      <c r="R272" s="2" t="inlineStr">
        <is>
          <t>Skogsknipprot</t>
        </is>
      </c>
      <c r="S272">
        <f>HYPERLINK("https://klasma.github.io/Logging_0980/artfynd/A 20838-2024 artfynd.xlsx", "A 20838-2024")</f>
        <v/>
      </c>
      <c r="T272">
        <f>HYPERLINK("https://klasma.github.io/Logging_0980/kartor/A 20838-2024 karta.png", "A 20838-2024")</f>
        <v/>
      </c>
      <c r="V272">
        <f>HYPERLINK("https://klasma.github.io/Logging_0980/klagomål/A 20838-2024 FSC-klagomål.docx", "A 20838-2024")</f>
        <v/>
      </c>
      <c r="W272">
        <f>HYPERLINK("https://klasma.github.io/Logging_0980/klagomålsmail/A 20838-2024 FSC-klagomål mail.docx", "A 20838-2024")</f>
        <v/>
      </c>
      <c r="X272">
        <f>HYPERLINK("https://klasma.github.io/Logging_0980/tillsyn/A 20838-2024 tillsynsbegäran.docx", "A 20838-2024")</f>
        <v/>
      </c>
      <c r="Y272">
        <f>HYPERLINK("https://klasma.github.io/Logging_0980/tillsynsmail/A 20838-2024 tillsynsbegäran mail.docx", "A 20838-2024")</f>
        <v/>
      </c>
    </row>
    <row r="273" ht="15" customHeight="1">
      <c r="A273" t="inlineStr">
        <is>
          <t>A 20833-2024</t>
        </is>
      </c>
      <c r="B273" s="1" t="n">
        <v>45439</v>
      </c>
      <c r="C273" s="1" t="n">
        <v>45828</v>
      </c>
      <c r="D273" t="inlineStr">
        <is>
          <t>GOTLANDS LÄN</t>
        </is>
      </c>
      <c r="E273" t="inlineStr">
        <is>
          <t>GOTLAND</t>
        </is>
      </c>
      <c r="G273" t="n">
        <v>0.9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20833-2024 artfynd.xlsx", "A 20833-2024")</f>
        <v/>
      </c>
      <c r="T273">
        <f>HYPERLINK("https://klasma.github.io/Logging_0980/kartor/A 20833-2024 karta.png", "A 20833-2024")</f>
        <v/>
      </c>
      <c r="V273">
        <f>HYPERLINK("https://klasma.github.io/Logging_0980/klagomål/A 20833-2024 FSC-klagomål.docx", "A 20833-2024")</f>
        <v/>
      </c>
      <c r="W273">
        <f>HYPERLINK("https://klasma.github.io/Logging_0980/klagomålsmail/A 20833-2024 FSC-klagomål mail.docx", "A 20833-2024")</f>
        <v/>
      </c>
      <c r="X273">
        <f>HYPERLINK("https://klasma.github.io/Logging_0980/tillsyn/A 20833-2024 tillsynsbegäran.docx", "A 20833-2024")</f>
        <v/>
      </c>
      <c r="Y273">
        <f>HYPERLINK("https://klasma.github.io/Logging_0980/tillsynsmail/A 20833-2024 tillsynsbegäran mail.docx", "A 20833-2024")</f>
        <v/>
      </c>
    </row>
    <row r="274" ht="15" customHeight="1">
      <c r="A274" t="inlineStr">
        <is>
          <t>A 25977-2024</t>
        </is>
      </c>
      <c r="B274" s="1" t="n">
        <v>45467</v>
      </c>
      <c r="C274" s="1" t="n">
        <v>45828</v>
      </c>
      <c r="D274" t="inlineStr">
        <is>
          <t>GOTLANDS LÄN</t>
        </is>
      </c>
      <c r="E274" t="inlineStr">
        <is>
          <t>GOTLAND</t>
        </is>
      </c>
      <c r="G274" t="n">
        <v>3</v>
      </c>
      <c r="H274" t="n">
        <v>1</v>
      </c>
      <c r="I274" t="n">
        <v>0</v>
      </c>
      <c r="J274" t="n">
        <v>0</v>
      </c>
      <c r="K274" t="n">
        <v>0</v>
      </c>
      <c r="L274" t="n">
        <v>0</v>
      </c>
      <c r="M274" t="n">
        <v>0</v>
      </c>
      <c r="N274" t="n">
        <v>0</v>
      </c>
      <c r="O274" t="n">
        <v>0</v>
      </c>
      <c r="P274" t="n">
        <v>0</v>
      </c>
      <c r="Q274" t="n">
        <v>1</v>
      </c>
      <c r="R274" s="2" t="inlineStr">
        <is>
          <t>Nattviol</t>
        </is>
      </c>
      <c r="S274">
        <f>HYPERLINK("https://klasma.github.io/Logging_0980/artfynd/A 25977-2024 artfynd.xlsx", "A 25977-2024")</f>
        <v/>
      </c>
      <c r="T274">
        <f>HYPERLINK("https://klasma.github.io/Logging_0980/kartor/A 25977-2024 karta.png", "A 25977-2024")</f>
        <v/>
      </c>
      <c r="V274">
        <f>HYPERLINK("https://klasma.github.io/Logging_0980/klagomål/A 25977-2024 FSC-klagomål.docx", "A 25977-2024")</f>
        <v/>
      </c>
      <c r="W274">
        <f>HYPERLINK("https://klasma.github.io/Logging_0980/klagomålsmail/A 25977-2024 FSC-klagomål mail.docx", "A 25977-2024")</f>
        <v/>
      </c>
      <c r="X274">
        <f>HYPERLINK("https://klasma.github.io/Logging_0980/tillsyn/A 25977-2024 tillsynsbegäran.docx", "A 25977-2024")</f>
        <v/>
      </c>
      <c r="Y274">
        <f>HYPERLINK("https://klasma.github.io/Logging_0980/tillsynsmail/A 25977-2024 tillsynsbegäran mail.docx", "A 25977-2024")</f>
        <v/>
      </c>
    </row>
    <row r="275" ht="15" customHeight="1">
      <c r="A275" t="inlineStr">
        <is>
          <t>A 30892-2024</t>
        </is>
      </c>
      <c r="B275" s="1" t="n">
        <v>45491</v>
      </c>
      <c r="C275" s="1" t="n">
        <v>45828</v>
      </c>
      <c r="D275" t="inlineStr">
        <is>
          <t>GOTLANDS LÄN</t>
        </is>
      </c>
      <c r="E275" t="inlineStr">
        <is>
          <t>GOTLAND</t>
        </is>
      </c>
      <c r="G275" t="n">
        <v>16.3</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30892-2024 artfynd.xlsx", "A 30892-2024")</f>
        <v/>
      </c>
      <c r="T275">
        <f>HYPERLINK("https://klasma.github.io/Logging_0980/kartor/A 30892-2024 karta.png", "A 30892-2024")</f>
        <v/>
      </c>
      <c r="V275">
        <f>HYPERLINK("https://klasma.github.io/Logging_0980/klagomål/A 30892-2024 FSC-klagomål.docx", "A 30892-2024")</f>
        <v/>
      </c>
      <c r="W275">
        <f>HYPERLINK("https://klasma.github.io/Logging_0980/klagomålsmail/A 30892-2024 FSC-klagomål mail.docx", "A 30892-2024")</f>
        <v/>
      </c>
      <c r="X275">
        <f>HYPERLINK("https://klasma.github.io/Logging_0980/tillsyn/A 30892-2024 tillsynsbegäran.docx", "A 30892-2024")</f>
        <v/>
      </c>
      <c r="Y275">
        <f>HYPERLINK("https://klasma.github.io/Logging_0980/tillsynsmail/A 30892-2024 tillsynsbegäran mail.docx", "A 30892-2024")</f>
        <v/>
      </c>
    </row>
    <row r="276" ht="15" customHeight="1">
      <c r="A276" t="inlineStr">
        <is>
          <t>A 30410-2024</t>
        </is>
      </c>
      <c r="B276" s="1" t="n">
        <v>45491</v>
      </c>
      <c r="C276" s="1" t="n">
        <v>45828</v>
      </c>
      <c r="D276" t="inlineStr">
        <is>
          <t>GOTLANDS LÄN</t>
        </is>
      </c>
      <c r="E276" t="inlineStr">
        <is>
          <t>GOTLAND</t>
        </is>
      </c>
      <c r="G276" t="n">
        <v>4</v>
      </c>
      <c r="H276" t="n">
        <v>0</v>
      </c>
      <c r="I276" t="n">
        <v>0</v>
      </c>
      <c r="J276" t="n">
        <v>1</v>
      </c>
      <c r="K276" t="n">
        <v>0</v>
      </c>
      <c r="L276" t="n">
        <v>0</v>
      </c>
      <c r="M276" t="n">
        <v>0</v>
      </c>
      <c r="N276" t="n">
        <v>0</v>
      </c>
      <c r="O276" t="n">
        <v>1</v>
      </c>
      <c r="P276" t="n">
        <v>0</v>
      </c>
      <c r="Q276" t="n">
        <v>1</v>
      </c>
      <c r="R276" s="2" t="inlineStr">
        <is>
          <t>Granticka</t>
        </is>
      </c>
      <c r="S276">
        <f>HYPERLINK("https://klasma.github.io/Logging_0980/artfynd/A 30410-2024 artfynd.xlsx", "A 30410-2024")</f>
        <v/>
      </c>
      <c r="T276">
        <f>HYPERLINK("https://klasma.github.io/Logging_0980/kartor/A 30410-2024 karta.png", "A 30410-2024")</f>
        <v/>
      </c>
      <c r="V276">
        <f>HYPERLINK("https://klasma.github.io/Logging_0980/klagomål/A 30410-2024 FSC-klagomål.docx", "A 30410-2024")</f>
        <v/>
      </c>
      <c r="W276">
        <f>HYPERLINK("https://klasma.github.io/Logging_0980/klagomålsmail/A 30410-2024 FSC-klagomål mail.docx", "A 30410-2024")</f>
        <v/>
      </c>
      <c r="X276">
        <f>HYPERLINK("https://klasma.github.io/Logging_0980/tillsyn/A 30410-2024 tillsynsbegäran.docx", "A 30410-2024")</f>
        <v/>
      </c>
      <c r="Y276">
        <f>HYPERLINK("https://klasma.github.io/Logging_0980/tillsynsmail/A 30410-2024 tillsynsbegäran mail.docx", "A 30410-2024")</f>
        <v/>
      </c>
    </row>
    <row r="277" ht="15" customHeight="1">
      <c r="A277" t="inlineStr">
        <is>
          <t>A 31750-2024</t>
        </is>
      </c>
      <c r="B277" s="1" t="n">
        <v>45509</v>
      </c>
      <c r="C277" s="1" t="n">
        <v>45828</v>
      </c>
      <c r="D277" t="inlineStr">
        <is>
          <t>GOTLANDS LÄN</t>
        </is>
      </c>
      <c r="E277" t="inlineStr">
        <is>
          <t>GOTLAND</t>
        </is>
      </c>
      <c r="G277" t="n">
        <v>10.3</v>
      </c>
      <c r="H277" t="n">
        <v>1</v>
      </c>
      <c r="I277" t="n">
        <v>0</v>
      </c>
      <c r="J277" t="n">
        <v>1</v>
      </c>
      <c r="K277" t="n">
        <v>0</v>
      </c>
      <c r="L277" t="n">
        <v>0</v>
      </c>
      <c r="M277" t="n">
        <v>0</v>
      </c>
      <c r="N277" t="n">
        <v>0</v>
      </c>
      <c r="O277" t="n">
        <v>1</v>
      </c>
      <c r="P277" t="n">
        <v>0</v>
      </c>
      <c r="Q277" t="n">
        <v>1</v>
      </c>
      <c r="R277" s="2" t="inlineStr">
        <is>
          <t>Grönsångare</t>
        </is>
      </c>
      <c r="S277">
        <f>HYPERLINK("https://klasma.github.io/Logging_0980/artfynd/A 31750-2024 artfynd.xlsx", "A 31750-2024")</f>
        <v/>
      </c>
      <c r="T277">
        <f>HYPERLINK("https://klasma.github.io/Logging_0980/kartor/A 31750-2024 karta.png", "A 31750-2024")</f>
        <v/>
      </c>
      <c r="V277">
        <f>HYPERLINK("https://klasma.github.io/Logging_0980/klagomål/A 31750-2024 FSC-klagomål.docx", "A 31750-2024")</f>
        <v/>
      </c>
      <c r="W277">
        <f>HYPERLINK("https://klasma.github.io/Logging_0980/klagomålsmail/A 31750-2024 FSC-klagomål mail.docx", "A 31750-2024")</f>
        <v/>
      </c>
      <c r="X277">
        <f>HYPERLINK("https://klasma.github.io/Logging_0980/tillsyn/A 31750-2024 tillsynsbegäran.docx", "A 31750-2024")</f>
        <v/>
      </c>
      <c r="Y277">
        <f>HYPERLINK("https://klasma.github.io/Logging_0980/tillsynsmail/A 31750-2024 tillsynsbegäran mail.docx", "A 31750-2024")</f>
        <v/>
      </c>
      <c r="Z277">
        <f>HYPERLINK("https://klasma.github.io/Logging_0980/fåglar/A 31750-2024 prioriterade fågelarter.docx", "A 31750-2024")</f>
        <v/>
      </c>
    </row>
    <row r="278" ht="15" customHeight="1">
      <c r="A278" t="inlineStr">
        <is>
          <t>A 33081-2024</t>
        </is>
      </c>
      <c r="B278" s="1" t="n">
        <v>45517</v>
      </c>
      <c r="C278" s="1" t="n">
        <v>45828</v>
      </c>
      <c r="D278" t="inlineStr">
        <is>
          <t>GOTLANDS LÄN</t>
        </is>
      </c>
      <c r="E278" t="inlineStr">
        <is>
          <t>GOTLAND</t>
        </is>
      </c>
      <c r="G278" t="n">
        <v>1.4</v>
      </c>
      <c r="H278" t="n">
        <v>0</v>
      </c>
      <c r="I278" t="n">
        <v>0</v>
      </c>
      <c r="J278" t="n">
        <v>0</v>
      </c>
      <c r="K278" t="n">
        <v>1</v>
      </c>
      <c r="L278" t="n">
        <v>0</v>
      </c>
      <c r="M278" t="n">
        <v>0</v>
      </c>
      <c r="N278" t="n">
        <v>0</v>
      </c>
      <c r="O278" t="n">
        <v>1</v>
      </c>
      <c r="P278" t="n">
        <v>1</v>
      </c>
      <c r="Q278" t="n">
        <v>1</v>
      </c>
      <c r="R278" s="2" t="inlineStr">
        <is>
          <t>Gotlandsmåra</t>
        </is>
      </c>
      <c r="S278">
        <f>HYPERLINK("https://klasma.github.io/Logging_0980/artfynd/A 33081-2024 artfynd.xlsx", "A 33081-2024")</f>
        <v/>
      </c>
      <c r="T278">
        <f>HYPERLINK("https://klasma.github.io/Logging_0980/kartor/A 33081-2024 karta.png", "A 33081-2024")</f>
        <v/>
      </c>
      <c r="V278">
        <f>HYPERLINK("https://klasma.github.io/Logging_0980/klagomål/A 33081-2024 FSC-klagomål.docx", "A 33081-2024")</f>
        <v/>
      </c>
      <c r="W278">
        <f>HYPERLINK("https://klasma.github.io/Logging_0980/klagomålsmail/A 33081-2024 FSC-klagomål mail.docx", "A 33081-2024")</f>
        <v/>
      </c>
      <c r="X278">
        <f>HYPERLINK("https://klasma.github.io/Logging_0980/tillsyn/A 33081-2024 tillsynsbegäran.docx", "A 33081-2024")</f>
        <v/>
      </c>
      <c r="Y278">
        <f>HYPERLINK("https://klasma.github.io/Logging_0980/tillsynsmail/A 33081-2024 tillsynsbegäran mail.docx", "A 33081-2024")</f>
        <v/>
      </c>
    </row>
    <row r="279" ht="15" customHeight="1">
      <c r="A279" t="inlineStr">
        <is>
          <t>A 34141-2024</t>
        </is>
      </c>
      <c r="B279" s="1" t="n">
        <v>45524</v>
      </c>
      <c r="C279" s="1" t="n">
        <v>45828</v>
      </c>
      <c r="D279" t="inlineStr">
        <is>
          <t>GOTLANDS LÄN</t>
        </is>
      </c>
      <c r="E279" t="inlineStr">
        <is>
          <t>GOTLAND</t>
        </is>
      </c>
      <c r="G279" t="n">
        <v>0.9</v>
      </c>
      <c r="H279" t="n">
        <v>0</v>
      </c>
      <c r="I279" t="n">
        <v>1</v>
      </c>
      <c r="J279" t="n">
        <v>0</v>
      </c>
      <c r="K279" t="n">
        <v>0</v>
      </c>
      <c r="L279" t="n">
        <v>0</v>
      </c>
      <c r="M279" t="n">
        <v>0</v>
      </c>
      <c r="N279" t="n">
        <v>0</v>
      </c>
      <c r="O279" t="n">
        <v>0</v>
      </c>
      <c r="P279" t="n">
        <v>0</v>
      </c>
      <c r="Q279" t="n">
        <v>1</v>
      </c>
      <c r="R279" s="2" t="inlineStr">
        <is>
          <t>Strävlosta</t>
        </is>
      </c>
      <c r="S279">
        <f>HYPERLINK("https://klasma.github.io/Logging_0980/artfynd/A 34141-2024 artfynd.xlsx", "A 34141-2024")</f>
        <v/>
      </c>
      <c r="T279">
        <f>HYPERLINK("https://klasma.github.io/Logging_0980/kartor/A 34141-2024 karta.png", "A 34141-2024")</f>
        <v/>
      </c>
      <c r="V279">
        <f>HYPERLINK("https://klasma.github.io/Logging_0980/klagomål/A 34141-2024 FSC-klagomål.docx", "A 34141-2024")</f>
        <v/>
      </c>
      <c r="W279">
        <f>HYPERLINK("https://klasma.github.io/Logging_0980/klagomålsmail/A 34141-2024 FSC-klagomål mail.docx", "A 34141-2024")</f>
        <v/>
      </c>
      <c r="X279">
        <f>HYPERLINK("https://klasma.github.io/Logging_0980/tillsyn/A 34141-2024 tillsynsbegäran.docx", "A 34141-2024")</f>
        <v/>
      </c>
      <c r="Y279">
        <f>HYPERLINK("https://klasma.github.io/Logging_0980/tillsynsmail/A 34141-2024 tillsynsbegäran mail.docx", "A 34141-2024")</f>
        <v/>
      </c>
    </row>
    <row r="280" ht="15" customHeight="1">
      <c r="A280" t="inlineStr">
        <is>
          <t>A 34809-2024</t>
        </is>
      </c>
      <c r="B280" s="1" t="n">
        <v>45526</v>
      </c>
      <c r="C280" s="1" t="n">
        <v>45828</v>
      </c>
      <c r="D280" t="inlineStr">
        <is>
          <t>GOTLANDS LÄN</t>
        </is>
      </c>
      <c r="E280" t="inlineStr">
        <is>
          <t>GOTLAND</t>
        </is>
      </c>
      <c r="G280" t="n">
        <v>9.9</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34809-2024 artfynd.xlsx", "A 34809-2024")</f>
        <v/>
      </c>
      <c r="T280">
        <f>HYPERLINK("https://klasma.github.io/Logging_0980/kartor/A 34809-2024 karta.png", "A 34809-2024")</f>
        <v/>
      </c>
      <c r="V280">
        <f>HYPERLINK("https://klasma.github.io/Logging_0980/klagomål/A 34809-2024 FSC-klagomål.docx", "A 34809-2024")</f>
        <v/>
      </c>
      <c r="W280">
        <f>HYPERLINK("https://klasma.github.io/Logging_0980/klagomålsmail/A 34809-2024 FSC-klagomål mail.docx", "A 34809-2024")</f>
        <v/>
      </c>
      <c r="X280">
        <f>HYPERLINK("https://klasma.github.io/Logging_0980/tillsyn/A 34809-2024 tillsynsbegäran.docx", "A 34809-2024")</f>
        <v/>
      </c>
      <c r="Y280">
        <f>HYPERLINK("https://klasma.github.io/Logging_0980/tillsynsmail/A 34809-2024 tillsynsbegäran mail.docx", "A 34809-2024")</f>
        <v/>
      </c>
    </row>
    <row r="281" ht="15" customHeight="1">
      <c r="A281" t="inlineStr">
        <is>
          <t>A 35574-2024</t>
        </is>
      </c>
      <c r="B281" s="1" t="n">
        <v>45531</v>
      </c>
      <c r="C281" s="1" t="n">
        <v>45828</v>
      </c>
      <c r="D281" t="inlineStr">
        <is>
          <t>GOTLANDS LÄN</t>
        </is>
      </c>
      <c r="E281" t="inlineStr">
        <is>
          <t>GOTLAND</t>
        </is>
      </c>
      <c r="G281" t="n">
        <v>5.7</v>
      </c>
      <c r="H281" t="n">
        <v>0</v>
      </c>
      <c r="I281" t="n">
        <v>1</v>
      </c>
      <c r="J281" t="n">
        <v>0</v>
      </c>
      <c r="K281" t="n">
        <v>0</v>
      </c>
      <c r="L281" t="n">
        <v>0</v>
      </c>
      <c r="M281" t="n">
        <v>0</v>
      </c>
      <c r="N281" t="n">
        <v>0</v>
      </c>
      <c r="O281" t="n">
        <v>0</v>
      </c>
      <c r="P281" t="n">
        <v>0</v>
      </c>
      <c r="Q281" t="n">
        <v>1</v>
      </c>
      <c r="R281" s="2" t="inlineStr">
        <is>
          <t>Murgröna</t>
        </is>
      </c>
      <c r="S281">
        <f>HYPERLINK("https://klasma.github.io/Logging_0980/artfynd/A 35574-2024 artfynd.xlsx", "A 35574-2024")</f>
        <v/>
      </c>
      <c r="T281">
        <f>HYPERLINK("https://klasma.github.io/Logging_0980/kartor/A 35574-2024 karta.png", "A 35574-2024")</f>
        <v/>
      </c>
      <c r="V281">
        <f>HYPERLINK("https://klasma.github.io/Logging_0980/klagomål/A 35574-2024 FSC-klagomål.docx", "A 35574-2024")</f>
        <v/>
      </c>
      <c r="W281">
        <f>HYPERLINK("https://klasma.github.io/Logging_0980/klagomålsmail/A 35574-2024 FSC-klagomål mail.docx", "A 35574-2024")</f>
        <v/>
      </c>
      <c r="X281">
        <f>HYPERLINK("https://klasma.github.io/Logging_0980/tillsyn/A 35574-2024 tillsynsbegäran.docx", "A 35574-2024")</f>
        <v/>
      </c>
      <c r="Y281">
        <f>HYPERLINK("https://klasma.github.io/Logging_0980/tillsynsmail/A 35574-2024 tillsynsbegäran mail.docx", "A 35574-2024")</f>
        <v/>
      </c>
    </row>
    <row r="282" ht="15" customHeight="1">
      <c r="A282" t="inlineStr">
        <is>
          <t>A 40805-2024</t>
        </is>
      </c>
      <c r="B282" s="1" t="n">
        <v>45558</v>
      </c>
      <c r="C282" s="1" t="n">
        <v>45828</v>
      </c>
      <c r="D282" t="inlineStr">
        <is>
          <t>GOTLANDS LÄN</t>
        </is>
      </c>
      <c r="E282" t="inlineStr">
        <is>
          <t>GOTLAND</t>
        </is>
      </c>
      <c r="G282" t="n">
        <v>13.2</v>
      </c>
      <c r="H282" t="n">
        <v>1</v>
      </c>
      <c r="I282" t="n">
        <v>1</v>
      </c>
      <c r="J282" t="n">
        <v>0</v>
      </c>
      <c r="K282" t="n">
        <v>0</v>
      </c>
      <c r="L282" t="n">
        <v>0</v>
      </c>
      <c r="M282" t="n">
        <v>0</v>
      </c>
      <c r="N282" t="n">
        <v>0</v>
      </c>
      <c r="O282" t="n">
        <v>0</v>
      </c>
      <c r="P282" t="n">
        <v>0</v>
      </c>
      <c r="Q282" t="n">
        <v>1</v>
      </c>
      <c r="R282" s="2" t="inlineStr">
        <is>
          <t>Skogsknipprot</t>
        </is>
      </c>
      <c r="S282">
        <f>HYPERLINK("https://klasma.github.io/Logging_0980/artfynd/A 40805-2024 artfynd.xlsx", "A 40805-2024")</f>
        <v/>
      </c>
      <c r="T282">
        <f>HYPERLINK("https://klasma.github.io/Logging_0980/kartor/A 40805-2024 karta.png", "A 40805-2024")</f>
        <v/>
      </c>
      <c r="V282">
        <f>HYPERLINK("https://klasma.github.io/Logging_0980/klagomål/A 40805-2024 FSC-klagomål.docx", "A 40805-2024")</f>
        <v/>
      </c>
      <c r="W282">
        <f>HYPERLINK("https://klasma.github.io/Logging_0980/klagomålsmail/A 40805-2024 FSC-klagomål mail.docx", "A 40805-2024")</f>
        <v/>
      </c>
      <c r="X282">
        <f>HYPERLINK("https://klasma.github.io/Logging_0980/tillsyn/A 40805-2024 tillsynsbegäran.docx", "A 40805-2024")</f>
        <v/>
      </c>
      <c r="Y282">
        <f>HYPERLINK("https://klasma.github.io/Logging_0980/tillsynsmail/A 40805-2024 tillsynsbegäran mail.docx", "A 40805-2024")</f>
        <v/>
      </c>
    </row>
    <row r="283" ht="15" customHeight="1">
      <c r="A283" t="inlineStr">
        <is>
          <t>A 44468-2024</t>
        </is>
      </c>
      <c r="B283" s="1" t="n">
        <v>45574</v>
      </c>
      <c r="C283" s="1" t="n">
        <v>45828</v>
      </c>
      <c r="D283" t="inlineStr">
        <is>
          <t>GOTLANDS LÄN</t>
        </is>
      </c>
      <c r="E283" t="inlineStr">
        <is>
          <t>GOTLAND</t>
        </is>
      </c>
      <c r="G283" t="n">
        <v>7</v>
      </c>
      <c r="H283" t="n">
        <v>0</v>
      </c>
      <c r="I283" t="n">
        <v>0</v>
      </c>
      <c r="J283" t="n">
        <v>0</v>
      </c>
      <c r="K283" t="n">
        <v>0</v>
      </c>
      <c r="L283" t="n">
        <v>0</v>
      </c>
      <c r="M283" t="n">
        <v>1</v>
      </c>
      <c r="N283" t="n">
        <v>0</v>
      </c>
      <c r="O283" t="n">
        <v>1</v>
      </c>
      <c r="P283" t="n">
        <v>1</v>
      </c>
      <c r="Q283" t="n">
        <v>1</v>
      </c>
      <c r="R283" s="2" t="inlineStr">
        <is>
          <t>Skogsalm</t>
        </is>
      </c>
      <c r="S283">
        <f>HYPERLINK("https://klasma.github.io/Logging_0980/artfynd/A 44468-2024 artfynd.xlsx", "A 44468-2024")</f>
        <v/>
      </c>
      <c r="T283">
        <f>HYPERLINK("https://klasma.github.io/Logging_0980/kartor/A 44468-2024 karta.png", "A 44468-2024")</f>
        <v/>
      </c>
      <c r="V283">
        <f>HYPERLINK("https://klasma.github.io/Logging_0980/klagomål/A 44468-2024 FSC-klagomål.docx", "A 44468-2024")</f>
        <v/>
      </c>
      <c r="W283">
        <f>HYPERLINK("https://klasma.github.io/Logging_0980/klagomålsmail/A 44468-2024 FSC-klagomål mail.docx", "A 44468-2024")</f>
        <v/>
      </c>
      <c r="X283">
        <f>HYPERLINK("https://klasma.github.io/Logging_0980/tillsyn/A 44468-2024 tillsynsbegäran.docx", "A 44468-2024")</f>
        <v/>
      </c>
      <c r="Y283">
        <f>HYPERLINK("https://klasma.github.io/Logging_0980/tillsynsmail/A 44468-2024 tillsynsbegäran mail.docx", "A 44468-2024")</f>
        <v/>
      </c>
    </row>
    <row r="284" ht="15" customHeight="1">
      <c r="A284" t="inlineStr">
        <is>
          <t>A 48155-2024</t>
        </is>
      </c>
      <c r="B284" s="1" t="n">
        <v>45589</v>
      </c>
      <c r="C284" s="1" t="n">
        <v>45828</v>
      </c>
      <c r="D284" t="inlineStr">
        <is>
          <t>GOTLANDS LÄN</t>
        </is>
      </c>
      <c r="E284" t="inlineStr">
        <is>
          <t>GOTLAND</t>
        </is>
      </c>
      <c r="G284" t="n">
        <v>2.4</v>
      </c>
      <c r="H284" t="n">
        <v>1</v>
      </c>
      <c r="I284" t="n">
        <v>0</v>
      </c>
      <c r="J284" t="n">
        <v>0</v>
      </c>
      <c r="K284" t="n">
        <v>0</v>
      </c>
      <c r="L284" t="n">
        <v>0</v>
      </c>
      <c r="M284" t="n">
        <v>0</v>
      </c>
      <c r="N284" t="n">
        <v>0</v>
      </c>
      <c r="O284" t="n">
        <v>0</v>
      </c>
      <c r="P284" t="n">
        <v>0</v>
      </c>
      <c r="Q284" t="n">
        <v>1</v>
      </c>
      <c r="R284" s="2" t="inlineStr">
        <is>
          <t>Gröngöling</t>
        </is>
      </c>
      <c r="S284">
        <f>HYPERLINK("https://klasma.github.io/Logging_0980/artfynd/A 48155-2024 artfynd.xlsx", "A 48155-2024")</f>
        <v/>
      </c>
      <c r="T284">
        <f>HYPERLINK("https://klasma.github.io/Logging_0980/kartor/A 48155-2024 karta.png", "A 48155-2024")</f>
        <v/>
      </c>
      <c r="V284">
        <f>HYPERLINK("https://klasma.github.io/Logging_0980/klagomål/A 48155-2024 FSC-klagomål.docx", "A 48155-2024")</f>
        <v/>
      </c>
      <c r="W284">
        <f>HYPERLINK("https://klasma.github.io/Logging_0980/klagomålsmail/A 48155-2024 FSC-klagomål mail.docx", "A 48155-2024")</f>
        <v/>
      </c>
      <c r="X284">
        <f>HYPERLINK("https://klasma.github.io/Logging_0980/tillsyn/A 48155-2024 tillsynsbegäran.docx", "A 48155-2024")</f>
        <v/>
      </c>
      <c r="Y284">
        <f>HYPERLINK("https://klasma.github.io/Logging_0980/tillsynsmail/A 48155-2024 tillsynsbegäran mail.docx", "A 48155-2024")</f>
        <v/>
      </c>
      <c r="Z284">
        <f>HYPERLINK("https://klasma.github.io/Logging_0980/fåglar/A 48155-2024 prioriterade fågelarter.docx", "A 48155-2024")</f>
        <v/>
      </c>
    </row>
    <row r="285" ht="15" customHeight="1">
      <c r="A285" t="inlineStr">
        <is>
          <t>A 49304-2024</t>
        </is>
      </c>
      <c r="B285" s="1" t="n">
        <v>45595</v>
      </c>
      <c r="C285" s="1" t="n">
        <v>45828</v>
      </c>
      <c r="D285" t="inlineStr">
        <is>
          <t>GOTLANDS LÄN</t>
        </is>
      </c>
      <c r="E285" t="inlineStr">
        <is>
          <t>GOTLAND</t>
        </is>
      </c>
      <c r="G285" t="n">
        <v>10.8</v>
      </c>
      <c r="H285" t="n">
        <v>0</v>
      </c>
      <c r="I285" t="n">
        <v>0</v>
      </c>
      <c r="J285" t="n">
        <v>1</v>
      </c>
      <c r="K285" t="n">
        <v>0</v>
      </c>
      <c r="L285" t="n">
        <v>0</v>
      </c>
      <c r="M285" t="n">
        <v>0</v>
      </c>
      <c r="N285" t="n">
        <v>0</v>
      </c>
      <c r="O285" t="n">
        <v>1</v>
      </c>
      <c r="P285" t="n">
        <v>0</v>
      </c>
      <c r="Q285" t="n">
        <v>1</v>
      </c>
      <c r="R285" s="2" t="inlineStr">
        <is>
          <t>Åkerranunkel</t>
        </is>
      </c>
      <c r="S285">
        <f>HYPERLINK("https://klasma.github.io/Logging_0980/artfynd/A 49304-2024 artfynd.xlsx", "A 49304-2024")</f>
        <v/>
      </c>
      <c r="T285">
        <f>HYPERLINK("https://klasma.github.io/Logging_0980/kartor/A 49304-2024 karta.png", "A 49304-2024")</f>
        <v/>
      </c>
      <c r="V285">
        <f>HYPERLINK("https://klasma.github.io/Logging_0980/klagomål/A 49304-2024 FSC-klagomål.docx", "A 49304-2024")</f>
        <v/>
      </c>
      <c r="W285">
        <f>HYPERLINK("https://klasma.github.io/Logging_0980/klagomålsmail/A 49304-2024 FSC-klagomål mail.docx", "A 49304-2024")</f>
        <v/>
      </c>
      <c r="X285">
        <f>HYPERLINK("https://klasma.github.io/Logging_0980/tillsyn/A 49304-2024 tillsynsbegäran.docx", "A 49304-2024")</f>
        <v/>
      </c>
      <c r="Y285">
        <f>HYPERLINK("https://klasma.github.io/Logging_0980/tillsynsmail/A 49304-2024 tillsynsbegäran mail.docx", "A 49304-2024")</f>
        <v/>
      </c>
    </row>
    <row r="286" ht="15" customHeight="1">
      <c r="A286" t="inlineStr">
        <is>
          <t>A 2476-2025</t>
        </is>
      </c>
      <c r="B286" s="1" t="n">
        <v>45673</v>
      </c>
      <c r="C286" s="1" t="n">
        <v>45828</v>
      </c>
      <c r="D286" t="inlineStr">
        <is>
          <t>GOTLANDS LÄN</t>
        </is>
      </c>
      <c r="E286" t="inlineStr">
        <is>
          <t>GOTLAND</t>
        </is>
      </c>
      <c r="G286" t="n">
        <v>3.1</v>
      </c>
      <c r="H286" t="n">
        <v>0</v>
      </c>
      <c r="I286" t="n">
        <v>1</v>
      </c>
      <c r="J286" t="n">
        <v>0</v>
      </c>
      <c r="K286" t="n">
        <v>0</v>
      </c>
      <c r="L286" t="n">
        <v>0</v>
      </c>
      <c r="M286" t="n">
        <v>0</v>
      </c>
      <c r="N286" t="n">
        <v>0</v>
      </c>
      <c r="O286" t="n">
        <v>0</v>
      </c>
      <c r="P286" t="n">
        <v>0</v>
      </c>
      <c r="Q286" t="n">
        <v>1</v>
      </c>
      <c r="R286" s="2" t="inlineStr">
        <is>
          <t>Kryddspindling</t>
        </is>
      </c>
      <c r="S286">
        <f>HYPERLINK("https://klasma.github.io/Logging_0980/artfynd/A 2476-2025 artfynd.xlsx", "A 2476-2025")</f>
        <v/>
      </c>
      <c r="T286">
        <f>HYPERLINK("https://klasma.github.io/Logging_0980/kartor/A 2476-2025 karta.png", "A 2476-2025")</f>
        <v/>
      </c>
      <c r="V286">
        <f>HYPERLINK("https://klasma.github.io/Logging_0980/klagomål/A 2476-2025 FSC-klagomål.docx", "A 2476-2025")</f>
        <v/>
      </c>
      <c r="W286">
        <f>HYPERLINK("https://klasma.github.io/Logging_0980/klagomålsmail/A 2476-2025 FSC-klagomål mail.docx", "A 2476-2025")</f>
        <v/>
      </c>
      <c r="X286">
        <f>HYPERLINK("https://klasma.github.io/Logging_0980/tillsyn/A 2476-2025 tillsynsbegäran.docx", "A 2476-2025")</f>
        <v/>
      </c>
      <c r="Y286">
        <f>HYPERLINK("https://klasma.github.io/Logging_0980/tillsynsmail/A 2476-2025 tillsynsbegäran mail.docx", "A 2476-2025")</f>
        <v/>
      </c>
    </row>
    <row r="287" ht="15" customHeight="1">
      <c r="A287" t="inlineStr">
        <is>
          <t>A 4984-2025</t>
        </is>
      </c>
      <c r="B287" s="1" t="n">
        <v>45691</v>
      </c>
      <c r="C287" s="1" t="n">
        <v>45828</v>
      </c>
      <c r="D287" t="inlineStr">
        <is>
          <t>GOTLANDS LÄN</t>
        </is>
      </c>
      <c r="E287" t="inlineStr">
        <is>
          <t>GOTLAND</t>
        </is>
      </c>
      <c r="G287" t="n">
        <v>1.3</v>
      </c>
      <c r="H287" t="n">
        <v>1</v>
      </c>
      <c r="I287" t="n">
        <v>0</v>
      </c>
      <c r="J287" t="n">
        <v>0</v>
      </c>
      <c r="K287" t="n">
        <v>0</v>
      </c>
      <c r="L287" t="n">
        <v>0</v>
      </c>
      <c r="M287" t="n">
        <v>0</v>
      </c>
      <c r="N287" t="n">
        <v>0</v>
      </c>
      <c r="O287" t="n">
        <v>0</v>
      </c>
      <c r="P287" t="n">
        <v>0</v>
      </c>
      <c r="Q287" t="n">
        <v>1</v>
      </c>
      <c r="R287" s="2" t="inlineStr">
        <is>
          <t>Kärrknipprot</t>
        </is>
      </c>
      <c r="S287">
        <f>HYPERLINK("https://klasma.github.io/Logging_0980/artfynd/A 4984-2025 artfynd.xlsx", "A 4984-2025")</f>
        <v/>
      </c>
      <c r="T287">
        <f>HYPERLINK("https://klasma.github.io/Logging_0980/kartor/A 4984-2025 karta.png", "A 4984-2025")</f>
        <v/>
      </c>
      <c r="V287">
        <f>HYPERLINK("https://klasma.github.io/Logging_0980/klagomål/A 4984-2025 FSC-klagomål.docx", "A 4984-2025")</f>
        <v/>
      </c>
      <c r="W287">
        <f>HYPERLINK("https://klasma.github.io/Logging_0980/klagomålsmail/A 4984-2025 FSC-klagomål mail.docx", "A 4984-2025")</f>
        <v/>
      </c>
      <c r="X287">
        <f>HYPERLINK("https://klasma.github.io/Logging_0980/tillsyn/A 4984-2025 tillsynsbegäran.docx", "A 4984-2025")</f>
        <v/>
      </c>
      <c r="Y287">
        <f>HYPERLINK("https://klasma.github.io/Logging_0980/tillsynsmail/A 4984-2025 tillsynsbegäran mail.docx", "A 4984-2025")</f>
        <v/>
      </c>
    </row>
    <row r="288" ht="15" customHeight="1">
      <c r="A288" t="inlineStr">
        <is>
          <t>A 5235-2025</t>
        </is>
      </c>
      <c r="B288" s="1" t="n">
        <v>45692</v>
      </c>
      <c r="C288" s="1" t="n">
        <v>45828</v>
      </c>
      <c r="D288" t="inlineStr">
        <is>
          <t>GOTLANDS LÄN</t>
        </is>
      </c>
      <c r="E288" t="inlineStr">
        <is>
          <t>GOTLAND</t>
        </is>
      </c>
      <c r="G288" t="n">
        <v>7.6</v>
      </c>
      <c r="H288" t="n">
        <v>0</v>
      </c>
      <c r="I288" t="n">
        <v>1</v>
      </c>
      <c r="J288" t="n">
        <v>0</v>
      </c>
      <c r="K288" t="n">
        <v>0</v>
      </c>
      <c r="L288" t="n">
        <v>0</v>
      </c>
      <c r="M288" t="n">
        <v>0</v>
      </c>
      <c r="N288" t="n">
        <v>0</v>
      </c>
      <c r="O288" t="n">
        <v>0</v>
      </c>
      <c r="P288" t="n">
        <v>0</v>
      </c>
      <c r="Q288" t="n">
        <v>1</v>
      </c>
      <c r="R288" s="2" t="inlineStr">
        <is>
          <t>Blåmossa</t>
        </is>
      </c>
      <c r="S288">
        <f>HYPERLINK("https://klasma.github.io/Logging_0980/artfynd/A 5235-2025 artfynd.xlsx", "A 5235-2025")</f>
        <v/>
      </c>
      <c r="T288">
        <f>HYPERLINK("https://klasma.github.io/Logging_0980/kartor/A 5235-2025 karta.png", "A 5235-2025")</f>
        <v/>
      </c>
      <c r="V288">
        <f>HYPERLINK("https://klasma.github.io/Logging_0980/klagomål/A 5235-2025 FSC-klagomål.docx", "A 5235-2025")</f>
        <v/>
      </c>
      <c r="W288">
        <f>HYPERLINK("https://klasma.github.io/Logging_0980/klagomålsmail/A 5235-2025 FSC-klagomål mail.docx", "A 5235-2025")</f>
        <v/>
      </c>
      <c r="X288">
        <f>HYPERLINK("https://klasma.github.io/Logging_0980/tillsyn/A 5235-2025 tillsynsbegäran.docx", "A 5235-2025")</f>
        <v/>
      </c>
      <c r="Y288">
        <f>HYPERLINK("https://klasma.github.io/Logging_0980/tillsynsmail/A 5235-2025 tillsynsbegäran mail.docx", "A 5235-2025")</f>
        <v/>
      </c>
    </row>
    <row r="289" ht="15" customHeight="1">
      <c r="A289" t="inlineStr">
        <is>
          <t>A 7637-2025</t>
        </is>
      </c>
      <c r="B289" s="1" t="n">
        <v>45705</v>
      </c>
      <c r="C289" s="1" t="n">
        <v>45828</v>
      </c>
      <c r="D289" t="inlineStr">
        <is>
          <t>GOTLANDS LÄN</t>
        </is>
      </c>
      <c r="E289" t="inlineStr">
        <is>
          <t>GOTLAND</t>
        </is>
      </c>
      <c r="G289" t="n">
        <v>3.7</v>
      </c>
      <c r="H289" t="n">
        <v>0</v>
      </c>
      <c r="I289" t="n">
        <v>0</v>
      </c>
      <c r="J289" t="n">
        <v>0</v>
      </c>
      <c r="K289" t="n">
        <v>0</v>
      </c>
      <c r="L289" t="n">
        <v>0</v>
      </c>
      <c r="M289" t="n">
        <v>1</v>
      </c>
      <c r="N289" t="n">
        <v>0</v>
      </c>
      <c r="O289" t="n">
        <v>1</v>
      </c>
      <c r="P289" t="n">
        <v>1</v>
      </c>
      <c r="Q289" t="n">
        <v>1</v>
      </c>
      <c r="R289" s="2" t="inlineStr">
        <is>
          <t>Skogsalm</t>
        </is>
      </c>
      <c r="S289">
        <f>HYPERLINK("https://klasma.github.io/Logging_0980/artfynd/A 7637-2025 artfynd.xlsx", "A 7637-2025")</f>
        <v/>
      </c>
      <c r="T289">
        <f>HYPERLINK("https://klasma.github.io/Logging_0980/kartor/A 7637-2025 karta.png", "A 7637-2025")</f>
        <v/>
      </c>
      <c r="V289">
        <f>HYPERLINK("https://klasma.github.io/Logging_0980/klagomål/A 7637-2025 FSC-klagomål.docx", "A 7637-2025")</f>
        <v/>
      </c>
      <c r="W289">
        <f>HYPERLINK("https://klasma.github.io/Logging_0980/klagomålsmail/A 7637-2025 FSC-klagomål mail.docx", "A 7637-2025")</f>
        <v/>
      </c>
      <c r="X289">
        <f>HYPERLINK("https://klasma.github.io/Logging_0980/tillsyn/A 7637-2025 tillsynsbegäran.docx", "A 7637-2025")</f>
        <v/>
      </c>
      <c r="Y289">
        <f>HYPERLINK("https://klasma.github.io/Logging_0980/tillsynsmail/A 7637-2025 tillsynsbegäran mail.docx", "A 7637-2025")</f>
        <v/>
      </c>
    </row>
    <row r="290" ht="15" customHeight="1">
      <c r="A290" t="inlineStr">
        <is>
          <t>A 8725-2025</t>
        </is>
      </c>
      <c r="B290" s="1" t="n">
        <v>45712</v>
      </c>
      <c r="C290" s="1" t="n">
        <v>45828</v>
      </c>
      <c r="D290" t="inlineStr">
        <is>
          <t>GOTLANDS LÄN</t>
        </is>
      </c>
      <c r="E290" t="inlineStr">
        <is>
          <t>GOTLAND</t>
        </is>
      </c>
      <c r="G290" t="n">
        <v>4.4</v>
      </c>
      <c r="H290" t="n">
        <v>1</v>
      </c>
      <c r="I290" t="n">
        <v>0</v>
      </c>
      <c r="J290" t="n">
        <v>1</v>
      </c>
      <c r="K290" t="n">
        <v>0</v>
      </c>
      <c r="L290" t="n">
        <v>0</v>
      </c>
      <c r="M290" t="n">
        <v>0</v>
      </c>
      <c r="N290" t="n">
        <v>0</v>
      </c>
      <c r="O290" t="n">
        <v>1</v>
      </c>
      <c r="P290" t="n">
        <v>0</v>
      </c>
      <c r="Q290" t="n">
        <v>1</v>
      </c>
      <c r="R290" s="2" t="inlineStr">
        <is>
          <t>Spillkråka</t>
        </is>
      </c>
      <c r="S290">
        <f>HYPERLINK("https://klasma.github.io/Logging_0980/artfynd/A 8725-2025 artfynd.xlsx", "A 8725-2025")</f>
        <v/>
      </c>
      <c r="T290">
        <f>HYPERLINK("https://klasma.github.io/Logging_0980/kartor/A 8725-2025 karta.png", "A 8725-2025")</f>
        <v/>
      </c>
      <c r="V290">
        <f>HYPERLINK("https://klasma.github.io/Logging_0980/klagomål/A 8725-2025 FSC-klagomål.docx", "A 8725-2025")</f>
        <v/>
      </c>
      <c r="W290">
        <f>HYPERLINK("https://klasma.github.io/Logging_0980/klagomålsmail/A 8725-2025 FSC-klagomål mail.docx", "A 8725-2025")</f>
        <v/>
      </c>
      <c r="X290">
        <f>HYPERLINK("https://klasma.github.io/Logging_0980/tillsyn/A 8725-2025 tillsynsbegäran.docx", "A 8725-2025")</f>
        <v/>
      </c>
      <c r="Y290">
        <f>HYPERLINK("https://klasma.github.io/Logging_0980/tillsynsmail/A 8725-2025 tillsynsbegäran mail.docx", "A 8725-2025")</f>
        <v/>
      </c>
      <c r="Z290">
        <f>HYPERLINK("https://klasma.github.io/Logging_0980/fåglar/A 8725-2025 prioriterade fågelarter.docx", "A 8725-2025")</f>
        <v/>
      </c>
    </row>
    <row r="291" ht="15" customHeight="1">
      <c r="A291" t="inlineStr">
        <is>
          <t>A 10218-2025</t>
        </is>
      </c>
      <c r="B291" s="1" t="n">
        <v>45720</v>
      </c>
      <c r="C291" s="1" t="n">
        <v>45828</v>
      </c>
      <c r="D291" t="inlineStr">
        <is>
          <t>GOTLANDS LÄN</t>
        </is>
      </c>
      <c r="E291" t="inlineStr">
        <is>
          <t>GOTLAND</t>
        </is>
      </c>
      <c r="G291" t="n">
        <v>8.1</v>
      </c>
      <c r="H291" t="n">
        <v>0</v>
      </c>
      <c r="I291" t="n">
        <v>1</v>
      </c>
      <c r="J291" t="n">
        <v>0</v>
      </c>
      <c r="K291" t="n">
        <v>0</v>
      </c>
      <c r="L291" t="n">
        <v>0</v>
      </c>
      <c r="M291" t="n">
        <v>0</v>
      </c>
      <c r="N291" t="n">
        <v>0</v>
      </c>
      <c r="O291" t="n">
        <v>0</v>
      </c>
      <c r="P291" t="n">
        <v>0</v>
      </c>
      <c r="Q291" t="n">
        <v>1</v>
      </c>
      <c r="R291" s="2" t="inlineStr">
        <is>
          <t>Kalktallört</t>
        </is>
      </c>
      <c r="S291">
        <f>HYPERLINK("https://klasma.github.io/Logging_090980/artfynd/A 10218-2025 artfynd.xlsx", "A 10218-2025")</f>
        <v/>
      </c>
      <c r="T291">
        <f>HYPERLINK("https://klasma.github.io/Logging_090980/kartor/A 10218-2025 karta.png", "A 10218-2025")</f>
        <v/>
      </c>
      <c r="V291">
        <f>HYPERLINK("https://klasma.github.io/Logging_090980/klagomål/A 10218-2025 FSC-klagomål.docx", "A 10218-2025")</f>
        <v/>
      </c>
      <c r="W291">
        <f>HYPERLINK("https://klasma.github.io/Logging_090980/klagomålsmail/A 10218-2025 FSC-klagomål mail.docx", "A 10218-2025")</f>
        <v/>
      </c>
      <c r="X291">
        <f>HYPERLINK("https://klasma.github.io/Logging_090980/tillsyn/A 10218-2025 tillsynsbegäran.docx", "A 10218-2025")</f>
        <v/>
      </c>
      <c r="Y291">
        <f>HYPERLINK("https://klasma.github.io/Logging_090980/tillsynsmail/A 10218-2025 tillsynsbegäran mail.docx", "A 10218-2025")</f>
        <v/>
      </c>
    </row>
    <row r="292" ht="15" customHeight="1">
      <c r="A292" t="inlineStr">
        <is>
          <t>A 10780-2025</t>
        </is>
      </c>
      <c r="B292" s="1" t="n">
        <v>45722</v>
      </c>
      <c r="C292" s="1" t="n">
        <v>45828</v>
      </c>
      <c r="D292" t="inlineStr">
        <is>
          <t>GOTLANDS LÄN</t>
        </is>
      </c>
      <c r="E292" t="inlineStr">
        <is>
          <t>GOTLAND</t>
        </is>
      </c>
      <c r="G292" t="n">
        <v>6.1</v>
      </c>
      <c r="H292" t="n">
        <v>1</v>
      </c>
      <c r="I292" t="n">
        <v>0</v>
      </c>
      <c r="J292" t="n">
        <v>0</v>
      </c>
      <c r="K292" t="n">
        <v>1</v>
      </c>
      <c r="L292" t="n">
        <v>0</v>
      </c>
      <c r="M292" t="n">
        <v>0</v>
      </c>
      <c r="N292" t="n">
        <v>0</v>
      </c>
      <c r="O292" t="n">
        <v>1</v>
      </c>
      <c r="P292" t="n">
        <v>1</v>
      </c>
      <c r="Q292" t="n">
        <v>1</v>
      </c>
      <c r="R292" s="2" t="inlineStr">
        <is>
          <t>Knärot</t>
        </is>
      </c>
      <c r="S292">
        <f>HYPERLINK("https://klasma.github.io/Logging_090980/artfynd/A 10780-2025 artfynd.xlsx", "A 10780-2025")</f>
        <v/>
      </c>
      <c r="T292">
        <f>HYPERLINK("https://klasma.github.io/Logging_090980/kartor/A 10780-2025 karta.png", "A 10780-2025")</f>
        <v/>
      </c>
      <c r="U292">
        <f>HYPERLINK("https://klasma.github.io/Logging_090980/knärot/A 10780-2025 karta knärot.png", "A 10780-2025")</f>
        <v/>
      </c>
      <c r="V292">
        <f>HYPERLINK("https://klasma.github.io/Logging_090980/klagomål/A 10780-2025 FSC-klagomål.docx", "A 10780-2025")</f>
        <v/>
      </c>
      <c r="W292">
        <f>HYPERLINK("https://klasma.github.io/Logging_090980/klagomålsmail/A 10780-2025 FSC-klagomål mail.docx", "A 10780-2025")</f>
        <v/>
      </c>
      <c r="X292">
        <f>HYPERLINK("https://klasma.github.io/Logging_090980/tillsyn/A 10780-2025 tillsynsbegäran.docx", "A 10780-2025")</f>
        <v/>
      </c>
      <c r="Y292">
        <f>HYPERLINK("https://klasma.github.io/Logging_090980/tillsynsmail/A 10780-2025 tillsynsbegäran mail.docx", "A 10780-2025")</f>
        <v/>
      </c>
    </row>
    <row r="293" ht="15" customHeight="1">
      <c r="A293" t="inlineStr">
        <is>
          <t>A 12324-2025</t>
        </is>
      </c>
      <c r="B293" s="1" t="n">
        <v>45730</v>
      </c>
      <c r="C293" s="1" t="n">
        <v>45828</v>
      </c>
      <c r="D293" t="inlineStr">
        <is>
          <t>GOTLANDS LÄN</t>
        </is>
      </c>
      <c r="E293" t="inlineStr">
        <is>
          <t>GOTLAND</t>
        </is>
      </c>
      <c r="G293" t="n">
        <v>5</v>
      </c>
      <c r="H293" t="n">
        <v>0</v>
      </c>
      <c r="I293" t="n">
        <v>0</v>
      </c>
      <c r="J293" t="n">
        <v>0</v>
      </c>
      <c r="K293" t="n">
        <v>1</v>
      </c>
      <c r="L293" t="n">
        <v>0</v>
      </c>
      <c r="M293" t="n">
        <v>0</v>
      </c>
      <c r="N293" t="n">
        <v>0</v>
      </c>
      <c r="O293" t="n">
        <v>1</v>
      </c>
      <c r="P293" t="n">
        <v>1</v>
      </c>
      <c r="Q293" t="n">
        <v>1</v>
      </c>
      <c r="R293" s="2" t="inlineStr">
        <is>
          <t>Sommarklynne</t>
        </is>
      </c>
      <c r="S293">
        <f>HYPERLINK("https://klasma.github.io/Logging_090980/artfynd/A 12324-2025 artfynd.xlsx", "A 12324-2025")</f>
        <v/>
      </c>
      <c r="T293">
        <f>HYPERLINK("https://klasma.github.io/Logging_090980/kartor/A 12324-2025 karta.png", "A 12324-2025")</f>
        <v/>
      </c>
      <c r="V293">
        <f>HYPERLINK("https://klasma.github.io/Logging_090980/klagomål/A 12324-2025 FSC-klagomål.docx", "A 12324-2025")</f>
        <v/>
      </c>
      <c r="W293">
        <f>HYPERLINK("https://klasma.github.io/Logging_090980/klagomålsmail/A 12324-2025 FSC-klagomål mail.docx", "A 12324-2025")</f>
        <v/>
      </c>
      <c r="X293">
        <f>HYPERLINK("https://klasma.github.io/Logging_090980/tillsyn/A 12324-2025 tillsynsbegäran.docx", "A 12324-2025")</f>
        <v/>
      </c>
      <c r="Y293">
        <f>HYPERLINK("https://klasma.github.io/Logging_090980/tillsynsmail/A 12324-2025 tillsynsbegäran mail.docx", "A 12324-2025")</f>
        <v/>
      </c>
    </row>
    <row r="294" ht="15" customHeight="1">
      <c r="A294" t="inlineStr">
        <is>
          <t>A 12924-2025</t>
        </is>
      </c>
      <c r="B294" s="1" t="n">
        <v>45734</v>
      </c>
      <c r="C294" s="1" t="n">
        <v>45828</v>
      </c>
      <c r="D294" t="inlineStr">
        <is>
          <t>GOTLANDS LÄN</t>
        </is>
      </c>
      <c r="E294" t="inlineStr">
        <is>
          <t>GOTLAND</t>
        </is>
      </c>
      <c r="G294" t="n">
        <v>11.7</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12924-2025 artfynd.xlsx", "A 12924-2025")</f>
        <v/>
      </c>
      <c r="T294">
        <f>HYPERLINK("https://klasma.github.io/Logging_090980/kartor/A 12924-2025 karta.png", "A 12924-2025")</f>
        <v/>
      </c>
      <c r="V294">
        <f>HYPERLINK("https://klasma.github.io/Logging_090980/klagomål/A 12924-2025 FSC-klagomål.docx", "A 12924-2025")</f>
        <v/>
      </c>
      <c r="W294">
        <f>HYPERLINK("https://klasma.github.io/Logging_090980/klagomålsmail/A 12924-2025 FSC-klagomål mail.docx", "A 12924-2025")</f>
        <v/>
      </c>
      <c r="X294">
        <f>HYPERLINK("https://klasma.github.io/Logging_090980/tillsyn/A 12924-2025 tillsynsbegäran.docx", "A 12924-2025")</f>
        <v/>
      </c>
      <c r="Y294">
        <f>HYPERLINK("https://klasma.github.io/Logging_090980/tillsynsmail/A 12924-2025 tillsynsbegäran mail.docx", "A 12924-2025")</f>
        <v/>
      </c>
    </row>
    <row r="295" ht="15" customHeight="1">
      <c r="A295" t="inlineStr">
        <is>
          <t>A 20429-2025</t>
        </is>
      </c>
      <c r="B295" s="1" t="n">
        <v>45775</v>
      </c>
      <c r="C295" s="1" t="n">
        <v>45828</v>
      </c>
      <c r="D295" t="inlineStr">
        <is>
          <t>GOTLANDS LÄN</t>
        </is>
      </c>
      <c r="E295" t="inlineStr">
        <is>
          <t>GOTLAND</t>
        </is>
      </c>
      <c r="G295" t="n">
        <v>1.4</v>
      </c>
      <c r="H295" t="n">
        <v>1</v>
      </c>
      <c r="I295" t="n">
        <v>0</v>
      </c>
      <c r="J295" t="n">
        <v>0</v>
      </c>
      <c r="K295" t="n">
        <v>0</v>
      </c>
      <c r="L295" t="n">
        <v>0</v>
      </c>
      <c r="M295" t="n">
        <v>0</v>
      </c>
      <c r="N295" t="n">
        <v>0</v>
      </c>
      <c r="O295" t="n">
        <v>0</v>
      </c>
      <c r="P295" t="n">
        <v>0</v>
      </c>
      <c r="Q295" t="n">
        <v>1</v>
      </c>
      <c r="R295" s="2" t="inlineStr">
        <is>
          <t>Äkta lopplummer</t>
        </is>
      </c>
      <c r="S295">
        <f>HYPERLINK("https://klasma.github.io/Logging_090980/artfynd/A 20429-2025 artfynd.xlsx", "A 20429-2025")</f>
        <v/>
      </c>
      <c r="T295">
        <f>HYPERLINK("https://klasma.github.io/Logging_090980/kartor/A 20429-2025 karta.png", "A 20429-2025")</f>
        <v/>
      </c>
      <c r="V295">
        <f>HYPERLINK("https://klasma.github.io/Logging_090980/klagomål/A 20429-2025 FSC-klagomål.docx", "A 20429-2025")</f>
        <v/>
      </c>
      <c r="W295">
        <f>HYPERLINK("https://klasma.github.io/Logging_090980/klagomålsmail/A 20429-2025 FSC-klagomål mail.docx", "A 20429-2025")</f>
        <v/>
      </c>
      <c r="X295">
        <f>HYPERLINK("https://klasma.github.io/Logging_090980/tillsyn/A 20429-2025 tillsynsbegäran.docx", "A 20429-2025")</f>
        <v/>
      </c>
      <c r="Y295">
        <f>HYPERLINK("https://klasma.github.io/Logging_090980/tillsynsmail/A 20429-2025 tillsynsbegäran mail.docx", "A 20429-2025")</f>
        <v/>
      </c>
    </row>
    <row r="296" ht="15" customHeight="1">
      <c r="A296" t="inlineStr">
        <is>
          <t>A 21466-2025</t>
        </is>
      </c>
      <c r="B296" s="1" t="n">
        <v>45782</v>
      </c>
      <c r="C296" s="1" t="n">
        <v>45828</v>
      </c>
      <c r="D296" t="inlineStr">
        <is>
          <t>GOTLANDS LÄN</t>
        </is>
      </c>
      <c r="E296" t="inlineStr">
        <is>
          <t>GOTLAND</t>
        </is>
      </c>
      <c r="F296" t="inlineStr">
        <is>
          <t>Övriga statliga verk och myndigheter</t>
        </is>
      </c>
      <c r="G296" t="n">
        <v>1.7</v>
      </c>
      <c r="H296" t="n">
        <v>1</v>
      </c>
      <c r="I296" t="n">
        <v>0</v>
      </c>
      <c r="J296" t="n">
        <v>0</v>
      </c>
      <c r="K296" t="n">
        <v>0</v>
      </c>
      <c r="L296" t="n">
        <v>0</v>
      </c>
      <c r="M296" t="n">
        <v>0</v>
      </c>
      <c r="N296" t="n">
        <v>0</v>
      </c>
      <c r="O296" t="n">
        <v>0</v>
      </c>
      <c r="P296" t="n">
        <v>0</v>
      </c>
      <c r="Q296" t="n">
        <v>1</v>
      </c>
      <c r="R296" s="2" t="inlineStr">
        <is>
          <t>Blåsippa</t>
        </is>
      </c>
      <c r="S296">
        <f>HYPERLINK("https://klasma.github.io/Logging_090980/artfynd/A 21466-2025 artfynd.xlsx", "A 21466-2025")</f>
        <v/>
      </c>
      <c r="T296">
        <f>HYPERLINK("https://klasma.github.io/Logging_090980/kartor/A 21466-2025 karta.png", "A 21466-2025")</f>
        <v/>
      </c>
      <c r="V296">
        <f>HYPERLINK("https://klasma.github.io/Logging_090980/klagomål/A 21466-2025 FSC-klagomål.docx", "A 21466-2025")</f>
        <v/>
      </c>
      <c r="W296">
        <f>HYPERLINK("https://klasma.github.io/Logging_090980/klagomålsmail/A 21466-2025 FSC-klagomål mail.docx", "A 21466-2025")</f>
        <v/>
      </c>
      <c r="X296">
        <f>HYPERLINK("https://klasma.github.io/Logging_090980/tillsyn/A 21466-2025 tillsynsbegäran.docx", "A 21466-2025")</f>
        <v/>
      </c>
      <c r="Y296">
        <f>HYPERLINK("https://klasma.github.io/Logging_090980/tillsynsmail/A 21466-2025 tillsynsbegäran mail.docx", "A 21466-2025")</f>
        <v/>
      </c>
    </row>
    <row r="297" ht="15" customHeight="1">
      <c r="A297" t="inlineStr">
        <is>
          <t>A 26461-2025</t>
        </is>
      </c>
      <c r="B297" s="1" t="n">
        <v>45807</v>
      </c>
      <c r="C297" s="1" t="n">
        <v>45828</v>
      </c>
      <c r="D297" t="inlineStr">
        <is>
          <t>GOTLANDS LÄN</t>
        </is>
      </c>
      <c r="E297" t="inlineStr">
        <is>
          <t>GOTLAND</t>
        </is>
      </c>
      <c r="G297" t="n">
        <v>4.1</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26461-2025 artfynd.xlsx", "A 26461-2025")</f>
        <v/>
      </c>
      <c r="T297">
        <f>HYPERLINK("https://klasma.github.io/Logging_090980/kartor/A 26461-2025 karta.png", "A 26461-2025")</f>
        <v/>
      </c>
      <c r="V297">
        <f>HYPERLINK("https://klasma.github.io/Logging_090980/klagomål/A 26461-2025 FSC-klagomål.docx", "A 26461-2025")</f>
        <v/>
      </c>
      <c r="W297">
        <f>HYPERLINK("https://klasma.github.io/Logging_090980/klagomålsmail/A 26461-2025 FSC-klagomål mail.docx", "A 26461-2025")</f>
        <v/>
      </c>
      <c r="X297">
        <f>HYPERLINK("https://klasma.github.io/Logging_090980/tillsyn/A 26461-2025 tillsynsbegäran.docx", "A 26461-2025")</f>
        <v/>
      </c>
      <c r="Y297">
        <f>HYPERLINK("https://klasma.github.io/Logging_090980/tillsynsmail/A 26461-2025 tillsynsbegäran mail.docx", "A 26461-2025")</f>
        <v/>
      </c>
    </row>
    <row r="298" ht="15" customHeight="1">
      <c r="A298" t="inlineStr">
        <is>
          <t>A 19159-2019</t>
        </is>
      </c>
      <c r="B298" s="1" t="n">
        <v>43564</v>
      </c>
      <c r="C298" s="1" t="n">
        <v>45828</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21380-2019</t>
        </is>
      </c>
      <c r="B299" s="1" t="n">
        <v>43579</v>
      </c>
      <c r="C299" s="1" t="n">
        <v>45828</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21894-2019</t>
        </is>
      </c>
      <c r="B300" s="1" t="n">
        <v>43584</v>
      </c>
      <c r="C300" s="1" t="n">
        <v>45828</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21925-2019</t>
        </is>
      </c>
      <c r="B301" s="1" t="n">
        <v>43584</v>
      </c>
      <c r="C301" s="1" t="n">
        <v>45828</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22457-2019</t>
        </is>
      </c>
      <c r="B302" s="1" t="n">
        <v>43587</v>
      </c>
      <c r="C302" s="1" t="n">
        <v>45828</v>
      </c>
      <c r="D302" t="inlineStr">
        <is>
          <t>GOTLANDS LÄN</t>
        </is>
      </c>
      <c r="E302" t="inlineStr">
        <is>
          <t>GOTLAND</t>
        </is>
      </c>
      <c r="G302" t="n">
        <v>0.3</v>
      </c>
      <c r="H302" t="n">
        <v>0</v>
      </c>
      <c r="I302" t="n">
        <v>0</v>
      </c>
      <c r="J302" t="n">
        <v>0</v>
      </c>
      <c r="K302" t="n">
        <v>0</v>
      </c>
      <c r="L302" t="n">
        <v>0</v>
      </c>
      <c r="M302" t="n">
        <v>0</v>
      </c>
      <c r="N302" t="n">
        <v>0</v>
      </c>
      <c r="O302" t="n">
        <v>0</v>
      </c>
      <c r="P302" t="n">
        <v>0</v>
      </c>
      <c r="Q302" t="n">
        <v>0</v>
      </c>
      <c r="R302" s="2" t="inlineStr"/>
    </row>
    <row r="303" ht="15" customHeight="1">
      <c r="A303" t="inlineStr">
        <is>
          <t>A 23044-2019</t>
        </is>
      </c>
      <c r="B303" s="1" t="n">
        <v>43591</v>
      </c>
      <c r="C303" s="1" t="n">
        <v>45828</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26595-2019</t>
        </is>
      </c>
      <c r="B304" s="1" t="n">
        <v>43612</v>
      </c>
      <c r="C304" s="1" t="n">
        <v>45828</v>
      </c>
      <c r="D304" t="inlineStr">
        <is>
          <t>GOTLANDS LÄN</t>
        </is>
      </c>
      <c r="E304" t="inlineStr">
        <is>
          <t>GOTLAND</t>
        </is>
      </c>
      <c r="G304" t="n">
        <v>0.2</v>
      </c>
      <c r="H304" t="n">
        <v>0</v>
      </c>
      <c r="I304" t="n">
        <v>0</v>
      </c>
      <c r="J304" t="n">
        <v>0</v>
      </c>
      <c r="K304" t="n">
        <v>0</v>
      </c>
      <c r="L304" t="n">
        <v>0</v>
      </c>
      <c r="M304" t="n">
        <v>0</v>
      </c>
      <c r="N304" t="n">
        <v>0</v>
      </c>
      <c r="O304" t="n">
        <v>0</v>
      </c>
      <c r="P304" t="n">
        <v>0</v>
      </c>
      <c r="Q304" t="n">
        <v>0</v>
      </c>
      <c r="R304" s="2" t="inlineStr"/>
    </row>
    <row r="305" ht="15" customHeight="1">
      <c r="A305" t="inlineStr">
        <is>
          <t>A 27795-2019</t>
        </is>
      </c>
      <c r="B305" s="1" t="n">
        <v>43612</v>
      </c>
      <c r="C305" s="1" t="n">
        <v>45828</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28977-2019</t>
        </is>
      </c>
      <c r="B306" s="1" t="n">
        <v>43628</v>
      </c>
      <c r="C306" s="1" t="n">
        <v>45828</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29470-2019</t>
        </is>
      </c>
      <c r="B307" s="1" t="n">
        <v>43629</v>
      </c>
      <c r="C307" s="1" t="n">
        <v>45828</v>
      </c>
      <c r="D307" t="inlineStr">
        <is>
          <t>GOTLANDS LÄN</t>
        </is>
      </c>
      <c r="E307" t="inlineStr">
        <is>
          <t>GOTLAND</t>
        </is>
      </c>
      <c r="G307" t="n">
        <v>2.7</v>
      </c>
      <c r="H307" t="n">
        <v>0</v>
      </c>
      <c r="I307" t="n">
        <v>0</v>
      </c>
      <c r="J307" t="n">
        <v>0</v>
      </c>
      <c r="K307" t="n">
        <v>0</v>
      </c>
      <c r="L307" t="n">
        <v>0</v>
      </c>
      <c r="M307" t="n">
        <v>0</v>
      </c>
      <c r="N307" t="n">
        <v>0</v>
      </c>
      <c r="O307" t="n">
        <v>0</v>
      </c>
      <c r="P307" t="n">
        <v>0</v>
      </c>
      <c r="Q307" t="n">
        <v>0</v>
      </c>
      <c r="R307" s="2" t="inlineStr"/>
    </row>
    <row r="308" ht="15" customHeight="1">
      <c r="A308" t="inlineStr">
        <is>
          <t>A 29469-2019</t>
        </is>
      </c>
      <c r="B308" s="1" t="n">
        <v>43629</v>
      </c>
      <c r="C308" s="1" t="n">
        <v>45828</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30033-2019</t>
        </is>
      </c>
      <c r="B309" s="1" t="n">
        <v>43630</v>
      </c>
      <c r="C309" s="1" t="n">
        <v>45828</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31396-2019</t>
        </is>
      </c>
      <c r="B310" s="1" t="n">
        <v>43636</v>
      </c>
      <c r="C310" s="1" t="n">
        <v>45828</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32949-2019</t>
        </is>
      </c>
      <c r="B311" s="1" t="n">
        <v>43648</v>
      </c>
      <c r="C311" s="1" t="n">
        <v>45828</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32964-2019</t>
        </is>
      </c>
      <c r="B312" s="1" t="n">
        <v>43648</v>
      </c>
      <c r="C312" s="1" t="n">
        <v>45828</v>
      </c>
      <c r="D312" t="inlineStr">
        <is>
          <t>GOTLANDS LÄN</t>
        </is>
      </c>
      <c r="E312" t="inlineStr">
        <is>
          <t>GOTLAND</t>
        </is>
      </c>
      <c r="G312" t="n">
        <v>8.9</v>
      </c>
      <c r="H312" t="n">
        <v>0</v>
      </c>
      <c r="I312" t="n">
        <v>0</v>
      </c>
      <c r="J312" t="n">
        <v>0</v>
      </c>
      <c r="K312" t="n">
        <v>0</v>
      </c>
      <c r="L312" t="n">
        <v>0</v>
      </c>
      <c r="M312" t="n">
        <v>0</v>
      </c>
      <c r="N312" t="n">
        <v>0</v>
      </c>
      <c r="O312" t="n">
        <v>0</v>
      </c>
      <c r="P312" t="n">
        <v>0</v>
      </c>
      <c r="Q312" t="n">
        <v>0</v>
      </c>
      <c r="R312" s="2" t="inlineStr"/>
    </row>
    <row r="313" ht="15" customHeight="1">
      <c r="A313" t="inlineStr">
        <is>
          <t>A 32970-2019</t>
        </is>
      </c>
      <c r="B313" s="1" t="n">
        <v>43648</v>
      </c>
      <c r="C313" s="1" t="n">
        <v>45828</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33673-2019</t>
        </is>
      </c>
      <c r="B314" s="1" t="n">
        <v>43651</v>
      </c>
      <c r="C314" s="1" t="n">
        <v>45828</v>
      </c>
      <c r="D314" t="inlineStr">
        <is>
          <t>GOTLANDS LÄN</t>
        </is>
      </c>
      <c r="E314" t="inlineStr">
        <is>
          <t>GOTLAND</t>
        </is>
      </c>
      <c r="G314" t="n">
        <v>3.8</v>
      </c>
      <c r="H314" t="n">
        <v>0</v>
      </c>
      <c r="I314" t="n">
        <v>0</v>
      </c>
      <c r="J314" t="n">
        <v>0</v>
      </c>
      <c r="K314" t="n">
        <v>0</v>
      </c>
      <c r="L314" t="n">
        <v>0</v>
      </c>
      <c r="M314" t="n">
        <v>0</v>
      </c>
      <c r="N314" t="n">
        <v>0</v>
      </c>
      <c r="O314" t="n">
        <v>0</v>
      </c>
      <c r="P314" t="n">
        <v>0</v>
      </c>
      <c r="Q314" t="n">
        <v>0</v>
      </c>
      <c r="R314" s="2" t="inlineStr"/>
    </row>
    <row r="315" ht="15" customHeight="1">
      <c r="A315" t="inlineStr">
        <is>
          <t>A 33668-2019</t>
        </is>
      </c>
      <c r="B315" s="1" t="n">
        <v>43651</v>
      </c>
      <c r="C315" s="1" t="n">
        <v>45828</v>
      </c>
      <c r="D315" t="inlineStr">
        <is>
          <t>GOTLANDS LÄN</t>
        </is>
      </c>
      <c r="E315" t="inlineStr">
        <is>
          <t>GOTLAND</t>
        </is>
      </c>
      <c r="G315" t="n">
        <v>9.4</v>
      </c>
      <c r="H315" t="n">
        <v>0</v>
      </c>
      <c r="I315" t="n">
        <v>0</v>
      </c>
      <c r="J315" t="n">
        <v>0</v>
      </c>
      <c r="K315" t="n">
        <v>0</v>
      </c>
      <c r="L315" t="n">
        <v>0</v>
      </c>
      <c r="M315" t="n">
        <v>0</v>
      </c>
      <c r="N315" t="n">
        <v>0</v>
      </c>
      <c r="O315" t="n">
        <v>0</v>
      </c>
      <c r="P315" t="n">
        <v>0</v>
      </c>
      <c r="Q315" t="n">
        <v>0</v>
      </c>
      <c r="R315" s="2" t="inlineStr"/>
    </row>
    <row r="316" ht="15" customHeight="1">
      <c r="A316" t="inlineStr">
        <is>
          <t>A 33674-2019</t>
        </is>
      </c>
      <c r="B316" s="1" t="n">
        <v>43651</v>
      </c>
      <c r="C316" s="1" t="n">
        <v>45828</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33646-2019</t>
        </is>
      </c>
      <c r="B317" s="1" t="n">
        <v>43651</v>
      </c>
      <c r="C317" s="1" t="n">
        <v>45828</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34790-2019</t>
        </is>
      </c>
      <c r="B318" s="1" t="n">
        <v>43658</v>
      </c>
      <c r="C318" s="1" t="n">
        <v>45828</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36344-2019</t>
        </is>
      </c>
      <c r="B319" s="1" t="n">
        <v>43661</v>
      </c>
      <c r="C319" s="1" t="n">
        <v>45828</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36072-2019</t>
        </is>
      </c>
      <c r="B320" s="1" t="n">
        <v>43668</v>
      </c>
      <c r="C320" s="1" t="n">
        <v>45828</v>
      </c>
      <c r="D320" t="inlineStr">
        <is>
          <t>GOTLANDS LÄN</t>
        </is>
      </c>
      <c r="E320" t="inlineStr">
        <is>
          <t>GOTLAND</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37028-2019</t>
        </is>
      </c>
      <c r="B321" s="1" t="n">
        <v>43675</v>
      </c>
      <c r="C321" s="1" t="n">
        <v>45828</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40205-2019</t>
        </is>
      </c>
      <c r="B322" s="1" t="n">
        <v>43693</v>
      </c>
      <c r="C322" s="1" t="n">
        <v>45828</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46423-2019</t>
        </is>
      </c>
      <c r="B323" s="1" t="n">
        <v>43719</v>
      </c>
      <c r="C323" s="1" t="n">
        <v>45828</v>
      </c>
      <c r="D323" t="inlineStr">
        <is>
          <t>GOTLANDS LÄN</t>
        </is>
      </c>
      <c r="E323" t="inlineStr">
        <is>
          <t>GOTLAND</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47141-2019</t>
        </is>
      </c>
      <c r="B324" s="1" t="n">
        <v>43721</v>
      </c>
      <c r="C324" s="1" t="n">
        <v>45828</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48459-2019</t>
        </is>
      </c>
      <c r="B325" s="1" t="n">
        <v>43727</v>
      </c>
      <c r="C325" s="1" t="n">
        <v>45828</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49769-2019</t>
        </is>
      </c>
      <c r="B326" s="1" t="n">
        <v>43733</v>
      </c>
      <c r="C326" s="1" t="n">
        <v>45828</v>
      </c>
      <c r="D326" t="inlineStr">
        <is>
          <t>GOTLANDS LÄN</t>
        </is>
      </c>
      <c r="E326" t="inlineStr">
        <is>
          <t>GOTLAND</t>
        </is>
      </c>
      <c r="G326" t="n">
        <v>22.3</v>
      </c>
      <c r="H326" t="n">
        <v>0</v>
      </c>
      <c r="I326" t="n">
        <v>0</v>
      </c>
      <c r="J326" t="n">
        <v>0</v>
      </c>
      <c r="K326" t="n">
        <v>0</v>
      </c>
      <c r="L326" t="n">
        <v>0</v>
      </c>
      <c r="M326" t="n">
        <v>0</v>
      </c>
      <c r="N326" t="n">
        <v>0</v>
      </c>
      <c r="O326" t="n">
        <v>0</v>
      </c>
      <c r="P326" t="n">
        <v>0</v>
      </c>
      <c r="Q326" t="n">
        <v>0</v>
      </c>
      <c r="R326" s="2" t="inlineStr"/>
    </row>
    <row r="327" ht="15" customHeight="1">
      <c r="A327" t="inlineStr">
        <is>
          <t>A 50463-2019</t>
        </is>
      </c>
      <c r="B327" s="1" t="n">
        <v>43735</v>
      </c>
      <c r="C327" s="1" t="n">
        <v>45828</v>
      </c>
      <c r="D327" t="inlineStr">
        <is>
          <t>GOTLANDS LÄN</t>
        </is>
      </c>
      <c r="E327" t="inlineStr">
        <is>
          <t>GOTLAND</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50632-2019</t>
        </is>
      </c>
      <c r="B328" s="1" t="n">
        <v>43737</v>
      </c>
      <c r="C328" s="1" t="n">
        <v>45828</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51577-2019</t>
        </is>
      </c>
      <c r="B329" s="1" t="n">
        <v>43740</v>
      </c>
      <c r="C329" s="1" t="n">
        <v>45828</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53783-2019</t>
        </is>
      </c>
      <c r="B330" s="1" t="n">
        <v>43750</v>
      </c>
      <c r="C330" s="1" t="n">
        <v>45828</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56238-2019</t>
        </is>
      </c>
      <c r="B331" s="1" t="n">
        <v>43762</v>
      </c>
      <c r="C331" s="1" t="n">
        <v>45828</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56845-2019</t>
        </is>
      </c>
      <c r="B332" s="1" t="n">
        <v>43765</v>
      </c>
      <c r="C332" s="1" t="n">
        <v>45828</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62212-2019</t>
        </is>
      </c>
      <c r="B333" s="1" t="n">
        <v>43788</v>
      </c>
      <c r="C333" s="1" t="n">
        <v>45828</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62209-2019</t>
        </is>
      </c>
      <c r="B334" s="1" t="n">
        <v>43788</v>
      </c>
      <c r="C334" s="1" t="n">
        <v>45828</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62218-2019</t>
        </is>
      </c>
      <c r="B335" s="1" t="n">
        <v>43788</v>
      </c>
      <c r="C335" s="1" t="n">
        <v>45828</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63366-2019</t>
        </is>
      </c>
      <c r="B336" s="1" t="n">
        <v>43794</v>
      </c>
      <c r="C336" s="1" t="n">
        <v>45828</v>
      </c>
      <c r="D336" t="inlineStr">
        <is>
          <t>GOTLANDS LÄN</t>
        </is>
      </c>
      <c r="E336" t="inlineStr">
        <is>
          <t>GOTLAND</t>
        </is>
      </c>
      <c r="G336" t="n">
        <v>16.4</v>
      </c>
      <c r="H336" t="n">
        <v>0</v>
      </c>
      <c r="I336" t="n">
        <v>0</v>
      </c>
      <c r="J336" t="n">
        <v>0</v>
      </c>
      <c r="K336" t="n">
        <v>0</v>
      </c>
      <c r="L336" t="n">
        <v>0</v>
      </c>
      <c r="M336" t="n">
        <v>0</v>
      </c>
      <c r="N336" t="n">
        <v>0</v>
      </c>
      <c r="O336" t="n">
        <v>0</v>
      </c>
      <c r="P336" t="n">
        <v>0</v>
      </c>
      <c r="Q336" t="n">
        <v>0</v>
      </c>
      <c r="R336" s="2" t="inlineStr"/>
    </row>
    <row r="337" ht="15" customHeight="1">
      <c r="A337" t="inlineStr">
        <is>
          <t>A 63747-2019</t>
        </is>
      </c>
      <c r="B337" s="1" t="n">
        <v>43795</v>
      </c>
      <c r="C337" s="1" t="n">
        <v>45828</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63751-2019</t>
        </is>
      </c>
      <c r="B338" s="1" t="n">
        <v>43795</v>
      </c>
      <c r="C338" s="1" t="n">
        <v>45828</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66960-2019</t>
        </is>
      </c>
      <c r="B339" s="1" t="n">
        <v>43810</v>
      </c>
      <c r="C339" s="1" t="n">
        <v>45828</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67079-2019</t>
        </is>
      </c>
      <c r="B340" s="1" t="n">
        <v>43811</v>
      </c>
      <c r="C340" s="1" t="n">
        <v>45828</v>
      </c>
      <c r="D340" t="inlineStr">
        <is>
          <t>GOTLANDS LÄN</t>
        </is>
      </c>
      <c r="E340" t="inlineStr">
        <is>
          <t>GOTLAND</t>
        </is>
      </c>
      <c r="G340" t="n">
        <v>18.7</v>
      </c>
      <c r="H340" t="n">
        <v>0</v>
      </c>
      <c r="I340" t="n">
        <v>0</v>
      </c>
      <c r="J340" t="n">
        <v>0</v>
      </c>
      <c r="K340" t="n">
        <v>0</v>
      </c>
      <c r="L340" t="n">
        <v>0</v>
      </c>
      <c r="M340" t="n">
        <v>0</v>
      </c>
      <c r="N340" t="n">
        <v>0</v>
      </c>
      <c r="O340" t="n">
        <v>0</v>
      </c>
      <c r="P340" t="n">
        <v>0</v>
      </c>
      <c r="Q340" t="n">
        <v>0</v>
      </c>
      <c r="R340" s="2" t="inlineStr"/>
    </row>
    <row r="341" ht="15" customHeight="1">
      <c r="A341" t="inlineStr">
        <is>
          <t>A 67737-2019</t>
        </is>
      </c>
      <c r="B341" s="1" t="n">
        <v>43815</v>
      </c>
      <c r="C341" s="1" t="n">
        <v>45828</v>
      </c>
      <c r="D341" t="inlineStr">
        <is>
          <t>GOTLANDS LÄN</t>
        </is>
      </c>
      <c r="E341" t="inlineStr">
        <is>
          <t>GOTLAND</t>
        </is>
      </c>
      <c r="G341" t="n">
        <v>22.1</v>
      </c>
      <c r="H341" t="n">
        <v>0</v>
      </c>
      <c r="I341" t="n">
        <v>0</v>
      </c>
      <c r="J341" t="n">
        <v>0</v>
      </c>
      <c r="K341" t="n">
        <v>0</v>
      </c>
      <c r="L341" t="n">
        <v>0</v>
      </c>
      <c r="M341" t="n">
        <v>0</v>
      </c>
      <c r="N341" t="n">
        <v>0</v>
      </c>
      <c r="O341" t="n">
        <v>0</v>
      </c>
      <c r="P341" t="n">
        <v>0</v>
      </c>
      <c r="Q341" t="n">
        <v>0</v>
      </c>
      <c r="R341" s="2" t="inlineStr"/>
    </row>
    <row r="342" ht="15" customHeight="1">
      <c r="A342" t="inlineStr">
        <is>
          <t>A 67791-2019</t>
        </is>
      </c>
      <c r="B342" s="1" t="n">
        <v>43815</v>
      </c>
      <c r="C342" s="1" t="n">
        <v>45828</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67743-2019</t>
        </is>
      </c>
      <c r="B343" s="1" t="n">
        <v>43815</v>
      </c>
      <c r="C343" s="1" t="n">
        <v>45828</v>
      </c>
      <c r="D343" t="inlineStr">
        <is>
          <t>GOTLANDS LÄN</t>
        </is>
      </c>
      <c r="E343" t="inlineStr">
        <is>
          <t>GOTLAND</t>
        </is>
      </c>
      <c r="G343" t="n">
        <v>1.5</v>
      </c>
      <c r="H343" t="n">
        <v>0</v>
      </c>
      <c r="I343" t="n">
        <v>0</v>
      </c>
      <c r="J343" t="n">
        <v>0</v>
      </c>
      <c r="K343" t="n">
        <v>0</v>
      </c>
      <c r="L343" t="n">
        <v>0</v>
      </c>
      <c r="M343" t="n">
        <v>0</v>
      </c>
      <c r="N343" t="n">
        <v>0</v>
      </c>
      <c r="O343" t="n">
        <v>0</v>
      </c>
      <c r="P343" t="n">
        <v>0</v>
      </c>
      <c r="Q343" t="n">
        <v>0</v>
      </c>
      <c r="R343" s="2" t="inlineStr"/>
    </row>
    <row r="344" ht="15" customHeight="1">
      <c r="A344" t="inlineStr">
        <is>
          <t>A 972-2020</t>
        </is>
      </c>
      <c r="B344" s="1" t="n">
        <v>43819</v>
      </c>
      <c r="C344" s="1" t="n">
        <v>45828</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68750-2019</t>
        </is>
      </c>
      <c r="B345" s="1" t="n">
        <v>43819</v>
      </c>
      <c r="C345" s="1" t="n">
        <v>45828</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164-2020</t>
        </is>
      </c>
      <c r="B346" s="1" t="n">
        <v>43833</v>
      </c>
      <c r="C346" s="1" t="n">
        <v>45828</v>
      </c>
      <c r="D346" t="inlineStr">
        <is>
          <t>GOTLANDS LÄN</t>
        </is>
      </c>
      <c r="E346" t="inlineStr">
        <is>
          <t>GOTLAND</t>
        </is>
      </c>
      <c r="F346" t="inlineStr">
        <is>
          <t>Kyrkan</t>
        </is>
      </c>
      <c r="G346" t="n">
        <v>6.2</v>
      </c>
      <c r="H346" t="n">
        <v>0</v>
      </c>
      <c r="I346" t="n">
        <v>0</v>
      </c>
      <c r="J346" t="n">
        <v>0</v>
      </c>
      <c r="K346" t="n">
        <v>0</v>
      </c>
      <c r="L346" t="n">
        <v>0</v>
      </c>
      <c r="M346" t="n">
        <v>0</v>
      </c>
      <c r="N346" t="n">
        <v>0</v>
      </c>
      <c r="O346" t="n">
        <v>0</v>
      </c>
      <c r="P346" t="n">
        <v>0</v>
      </c>
      <c r="Q346" t="n">
        <v>0</v>
      </c>
      <c r="R346" s="2" t="inlineStr"/>
    </row>
    <row r="347" ht="15" customHeight="1">
      <c r="A347" t="inlineStr">
        <is>
          <t>A 768-2020</t>
        </is>
      </c>
      <c r="B347" s="1" t="n">
        <v>43838</v>
      </c>
      <c r="C347" s="1" t="n">
        <v>45828</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1384-2020</t>
        </is>
      </c>
      <c r="B348" s="1" t="n">
        <v>43843</v>
      </c>
      <c r="C348" s="1" t="n">
        <v>45828</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1541-2020</t>
        </is>
      </c>
      <c r="B349" s="1" t="n">
        <v>43843</v>
      </c>
      <c r="C349" s="1" t="n">
        <v>45828</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2675-2020</t>
        </is>
      </c>
      <c r="B350" s="1" t="n">
        <v>43849</v>
      </c>
      <c r="C350" s="1" t="n">
        <v>45828</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4409-2020</t>
        </is>
      </c>
      <c r="B351" s="1" t="n">
        <v>43850</v>
      </c>
      <c r="C351" s="1" t="n">
        <v>45828</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5724-2020</t>
        </is>
      </c>
      <c r="B352" s="1" t="n">
        <v>43862</v>
      </c>
      <c r="C352" s="1" t="n">
        <v>45828</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5731-2020</t>
        </is>
      </c>
      <c r="B353" s="1" t="n">
        <v>43862</v>
      </c>
      <c r="C353" s="1" t="n">
        <v>45828</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5723-2020</t>
        </is>
      </c>
      <c r="B354" s="1" t="n">
        <v>43862</v>
      </c>
      <c r="C354" s="1" t="n">
        <v>45828</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5727-2020</t>
        </is>
      </c>
      <c r="B355" s="1" t="n">
        <v>43862</v>
      </c>
      <c r="C355" s="1" t="n">
        <v>45828</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6226-2020</t>
        </is>
      </c>
      <c r="B356" s="1" t="n">
        <v>43865</v>
      </c>
      <c r="C356" s="1" t="n">
        <v>45828</v>
      </c>
      <c r="D356" t="inlineStr">
        <is>
          <t>GOTLANDS LÄN</t>
        </is>
      </c>
      <c r="E356" t="inlineStr">
        <is>
          <t>GOTLAND</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6611-2020</t>
        </is>
      </c>
      <c r="B357" s="1" t="n">
        <v>43867</v>
      </c>
      <c r="C357" s="1" t="n">
        <v>45828</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8217-2020</t>
        </is>
      </c>
      <c r="B358" s="1" t="n">
        <v>43874</v>
      </c>
      <c r="C358" s="1" t="n">
        <v>45828</v>
      </c>
      <c r="D358" t="inlineStr">
        <is>
          <t>GOTLANDS LÄN</t>
        </is>
      </c>
      <c r="E358" t="inlineStr">
        <is>
          <t>GOTLAND</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8872-2020</t>
        </is>
      </c>
      <c r="B359" s="1" t="n">
        <v>43878</v>
      </c>
      <c r="C359" s="1" t="n">
        <v>45828</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9502-2020</t>
        </is>
      </c>
      <c r="B360" s="1" t="n">
        <v>43880</v>
      </c>
      <c r="C360" s="1" t="n">
        <v>45828</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10932-2020</t>
        </is>
      </c>
      <c r="B361" s="1" t="n">
        <v>43889</v>
      </c>
      <c r="C361" s="1" t="n">
        <v>45828</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10931-2020</t>
        </is>
      </c>
      <c r="B362" s="1" t="n">
        <v>43889</v>
      </c>
      <c r="C362" s="1" t="n">
        <v>45828</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12309-2020</t>
        </is>
      </c>
      <c r="B363" s="1" t="n">
        <v>43895</v>
      </c>
      <c r="C363" s="1" t="n">
        <v>45828</v>
      </c>
      <c r="D363" t="inlineStr">
        <is>
          <t>GOTLANDS LÄN</t>
        </is>
      </c>
      <c r="E363" t="inlineStr">
        <is>
          <t>GOTLAND</t>
        </is>
      </c>
      <c r="G363" t="n">
        <v>0.9</v>
      </c>
      <c r="H363" t="n">
        <v>0</v>
      </c>
      <c r="I363" t="n">
        <v>0</v>
      </c>
      <c r="J363" t="n">
        <v>0</v>
      </c>
      <c r="K363" t="n">
        <v>0</v>
      </c>
      <c r="L363" t="n">
        <v>0</v>
      </c>
      <c r="M363" t="n">
        <v>0</v>
      </c>
      <c r="N363" t="n">
        <v>0</v>
      </c>
      <c r="O363" t="n">
        <v>0</v>
      </c>
      <c r="P363" t="n">
        <v>0</v>
      </c>
      <c r="Q363" t="n">
        <v>0</v>
      </c>
      <c r="R363" s="2" t="inlineStr"/>
    </row>
    <row r="364" ht="15" customHeight="1">
      <c r="A364" t="inlineStr">
        <is>
          <t>A 13940-2020</t>
        </is>
      </c>
      <c r="B364" s="1" t="n">
        <v>43903</v>
      </c>
      <c r="C364" s="1" t="n">
        <v>45828</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13930-2020</t>
        </is>
      </c>
      <c r="B365" s="1" t="n">
        <v>43906</v>
      </c>
      <c r="C365" s="1" t="n">
        <v>45828</v>
      </c>
      <c r="D365" t="inlineStr">
        <is>
          <t>GOTLANDS LÄN</t>
        </is>
      </c>
      <c r="E365" t="inlineStr">
        <is>
          <t>GOTLAND</t>
        </is>
      </c>
      <c r="G365" t="n">
        <v>4</v>
      </c>
      <c r="H365" t="n">
        <v>0</v>
      </c>
      <c r="I365" t="n">
        <v>0</v>
      </c>
      <c r="J365" t="n">
        <v>0</v>
      </c>
      <c r="K365" t="n">
        <v>0</v>
      </c>
      <c r="L365" t="n">
        <v>0</v>
      </c>
      <c r="M365" t="n">
        <v>0</v>
      </c>
      <c r="N365" t="n">
        <v>0</v>
      </c>
      <c r="O365" t="n">
        <v>0</v>
      </c>
      <c r="P365" t="n">
        <v>0</v>
      </c>
      <c r="Q365" t="n">
        <v>0</v>
      </c>
      <c r="R365" s="2" t="inlineStr"/>
    </row>
    <row r="366" ht="15" customHeight="1">
      <c r="A366" t="inlineStr">
        <is>
          <t>A 13995-2020</t>
        </is>
      </c>
      <c r="B366" s="1" t="n">
        <v>43906</v>
      </c>
      <c r="C366" s="1" t="n">
        <v>45828</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13987-2020</t>
        </is>
      </c>
      <c r="B367" s="1" t="n">
        <v>43906</v>
      </c>
      <c r="C367" s="1" t="n">
        <v>45828</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14073-2020</t>
        </is>
      </c>
      <c r="B368" s="1" t="n">
        <v>43907</v>
      </c>
      <c r="C368" s="1" t="n">
        <v>45828</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14074-2020</t>
        </is>
      </c>
      <c r="B369" s="1" t="n">
        <v>43907</v>
      </c>
      <c r="C369" s="1" t="n">
        <v>45828</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16452-2020</t>
        </is>
      </c>
      <c r="B370" s="1" t="n">
        <v>43909</v>
      </c>
      <c r="C370" s="1" t="n">
        <v>45828</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14995-2020</t>
        </is>
      </c>
      <c r="B371" s="1" t="n">
        <v>43910</v>
      </c>
      <c r="C371" s="1" t="n">
        <v>45828</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15202-2020</t>
        </is>
      </c>
      <c r="B372" s="1" t="n">
        <v>43913</v>
      </c>
      <c r="C372" s="1" t="n">
        <v>45828</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15197-2020</t>
        </is>
      </c>
      <c r="B373" s="1" t="n">
        <v>43913</v>
      </c>
      <c r="C373" s="1" t="n">
        <v>45828</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15888-2020</t>
        </is>
      </c>
      <c r="B374" s="1" t="n">
        <v>43915</v>
      </c>
      <c r="C374" s="1" t="n">
        <v>45828</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16133-2020</t>
        </is>
      </c>
      <c r="B375" s="1" t="n">
        <v>43916</v>
      </c>
      <c r="C375" s="1" t="n">
        <v>45828</v>
      </c>
      <c r="D375" t="inlineStr">
        <is>
          <t>GOTLANDS LÄN</t>
        </is>
      </c>
      <c r="E375" t="inlineStr">
        <is>
          <t>GOTLAND</t>
        </is>
      </c>
      <c r="G375" t="n">
        <v>6.7</v>
      </c>
      <c r="H375" t="n">
        <v>0</v>
      </c>
      <c r="I375" t="n">
        <v>0</v>
      </c>
      <c r="J375" t="n">
        <v>0</v>
      </c>
      <c r="K375" t="n">
        <v>0</v>
      </c>
      <c r="L375" t="n">
        <v>0</v>
      </c>
      <c r="M375" t="n">
        <v>0</v>
      </c>
      <c r="N375" t="n">
        <v>0</v>
      </c>
      <c r="O375" t="n">
        <v>0</v>
      </c>
      <c r="P375" t="n">
        <v>0</v>
      </c>
      <c r="Q375" t="n">
        <v>0</v>
      </c>
      <c r="R375" s="2" t="inlineStr"/>
    </row>
    <row r="376" ht="15" customHeight="1">
      <c r="A376" t="inlineStr">
        <is>
          <t>A 17403-2020</t>
        </is>
      </c>
      <c r="B376" s="1" t="n">
        <v>43917</v>
      </c>
      <c r="C376" s="1" t="n">
        <v>45828</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17869-2020</t>
        </is>
      </c>
      <c r="B377" s="1" t="n">
        <v>43924</v>
      </c>
      <c r="C377" s="1" t="n">
        <v>45828</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19900-2020</t>
        </is>
      </c>
      <c r="B378" s="1" t="n">
        <v>43942</v>
      </c>
      <c r="C378" s="1" t="n">
        <v>45828</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21568-2020</t>
        </is>
      </c>
      <c r="B379" s="1" t="n">
        <v>43956</v>
      </c>
      <c r="C379" s="1" t="n">
        <v>45828</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22093-2020</t>
        </is>
      </c>
      <c r="B380" s="1" t="n">
        <v>43959</v>
      </c>
      <c r="C380" s="1" t="n">
        <v>45828</v>
      </c>
      <c r="D380" t="inlineStr">
        <is>
          <t>GOTLANDS LÄN</t>
        </is>
      </c>
      <c r="E380" t="inlineStr">
        <is>
          <t>GOTLAND</t>
        </is>
      </c>
      <c r="F380" t="inlineStr">
        <is>
          <t>Kommuner</t>
        </is>
      </c>
      <c r="G380" t="n">
        <v>0.6</v>
      </c>
      <c r="H380" t="n">
        <v>0</v>
      </c>
      <c r="I380" t="n">
        <v>0</v>
      </c>
      <c r="J380" t="n">
        <v>0</v>
      </c>
      <c r="K380" t="n">
        <v>0</v>
      </c>
      <c r="L380" t="n">
        <v>0</v>
      </c>
      <c r="M380" t="n">
        <v>0</v>
      </c>
      <c r="N380" t="n">
        <v>0</v>
      </c>
      <c r="O380" t="n">
        <v>0</v>
      </c>
      <c r="P380" t="n">
        <v>0</v>
      </c>
      <c r="Q380" t="n">
        <v>0</v>
      </c>
      <c r="R380" s="2" t="inlineStr"/>
    </row>
    <row r="381" ht="15" customHeight="1">
      <c r="A381" t="inlineStr">
        <is>
          <t>A 22329-2020</t>
        </is>
      </c>
      <c r="B381" s="1" t="n">
        <v>43962</v>
      </c>
      <c r="C381" s="1" t="n">
        <v>45828</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22333-2020</t>
        </is>
      </c>
      <c r="B382" s="1" t="n">
        <v>43962</v>
      </c>
      <c r="C382" s="1" t="n">
        <v>45828</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23498-2020</t>
        </is>
      </c>
      <c r="B383" s="1" t="n">
        <v>43969</v>
      </c>
      <c r="C383" s="1" t="n">
        <v>45828</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23728-2020</t>
        </is>
      </c>
      <c r="B384" s="1" t="n">
        <v>43970</v>
      </c>
      <c r="C384" s="1" t="n">
        <v>45828</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24537-2020</t>
        </is>
      </c>
      <c r="B385" s="1" t="n">
        <v>43977</v>
      </c>
      <c r="C385" s="1" t="n">
        <v>45828</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25039-2020</t>
        </is>
      </c>
      <c r="B386" s="1" t="n">
        <v>43979</v>
      </c>
      <c r="C386" s="1" t="n">
        <v>45828</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26117-2020</t>
        </is>
      </c>
      <c r="B387" s="1" t="n">
        <v>43985</v>
      </c>
      <c r="C387" s="1" t="n">
        <v>45828</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27322-2020</t>
        </is>
      </c>
      <c r="B388" s="1" t="n">
        <v>43992</v>
      </c>
      <c r="C388" s="1" t="n">
        <v>45828</v>
      </c>
      <c r="D388" t="inlineStr">
        <is>
          <t>GOTLANDS LÄN</t>
        </is>
      </c>
      <c r="E388" t="inlineStr">
        <is>
          <t>GOTLAND</t>
        </is>
      </c>
      <c r="F388" t="inlineStr">
        <is>
          <t>Övriga statliga verk och myndigheter</t>
        </is>
      </c>
      <c r="G388" t="n">
        <v>7.4</v>
      </c>
      <c r="H388" t="n">
        <v>0</v>
      </c>
      <c r="I388" t="n">
        <v>0</v>
      </c>
      <c r="J388" t="n">
        <v>0</v>
      </c>
      <c r="K388" t="n">
        <v>0</v>
      </c>
      <c r="L388" t="n">
        <v>0</v>
      </c>
      <c r="M388" t="n">
        <v>0</v>
      </c>
      <c r="N388" t="n">
        <v>0</v>
      </c>
      <c r="O388" t="n">
        <v>0</v>
      </c>
      <c r="P388" t="n">
        <v>0</v>
      </c>
      <c r="Q388" t="n">
        <v>0</v>
      </c>
      <c r="R388" s="2" t="inlineStr"/>
    </row>
    <row r="389" ht="15" customHeight="1">
      <c r="A389" t="inlineStr">
        <is>
          <t>A 27334-2020</t>
        </is>
      </c>
      <c r="B389" s="1" t="n">
        <v>43992</v>
      </c>
      <c r="C389" s="1" t="n">
        <v>45828</v>
      </c>
      <c r="D389" t="inlineStr">
        <is>
          <t>GOTLANDS LÄN</t>
        </is>
      </c>
      <c r="E389" t="inlineStr">
        <is>
          <t>GOTLAND</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27723-2020</t>
        </is>
      </c>
      <c r="B390" s="1" t="n">
        <v>43994</v>
      </c>
      <c r="C390" s="1" t="n">
        <v>45828</v>
      </c>
      <c r="D390" t="inlineStr">
        <is>
          <t>GOTLANDS LÄN</t>
        </is>
      </c>
      <c r="E390" t="inlineStr">
        <is>
          <t>GOTLAND</t>
        </is>
      </c>
      <c r="F390" t="inlineStr">
        <is>
          <t>Övriga statliga verk och myndigheter</t>
        </is>
      </c>
      <c r="G390" t="n">
        <v>0.5</v>
      </c>
      <c r="H390" t="n">
        <v>0</v>
      </c>
      <c r="I390" t="n">
        <v>0</v>
      </c>
      <c r="J390" t="n">
        <v>0</v>
      </c>
      <c r="K390" t="n">
        <v>0</v>
      </c>
      <c r="L390" t="n">
        <v>0</v>
      </c>
      <c r="M390" t="n">
        <v>0</v>
      </c>
      <c r="N390" t="n">
        <v>0</v>
      </c>
      <c r="O390" t="n">
        <v>0</v>
      </c>
      <c r="P390" t="n">
        <v>0</v>
      </c>
      <c r="Q390" t="n">
        <v>0</v>
      </c>
      <c r="R390" s="2" t="inlineStr"/>
    </row>
    <row r="391" ht="15" customHeight="1">
      <c r="A391" t="inlineStr">
        <is>
          <t>A 27719-2020</t>
        </is>
      </c>
      <c r="B391" s="1" t="n">
        <v>43994</v>
      </c>
      <c r="C391" s="1" t="n">
        <v>45828</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27713-2020</t>
        </is>
      </c>
      <c r="B392" s="1" t="n">
        <v>43994</v>
      </c>
      <c r="C392" s="1" t="n">
        <v>45828</v>
      </c>
      <c r="D392" t="inlineStr">
        <is>
          <t>GOTLANDS LÄN</t>
        </is>
      </c>
      <c r="E392" t="inlineStr">
        <is>
          <t>GOTLAND</t>
        </is>
      </c>
      <c r="F392" t="inlineStr">
        <is>
          <t>Övriga statliga verk och myndigheter</t>
        </is>
      </c>
      <c r="G392" t="n">
        <v>0.8</v>
      </c>
      <c r="H392" t="n">
        <v>0</v>
      </c>
      <c r="I392" t="n">
        <v>0</v>
      </c>
      <c r="J392" t="n">
        <v>0</v>
      </c>
      <c r="K392" t="n">
        <v>0</v>
      </c>
      <c r="L392" t="n">
        <v>0</v>
      </c>
      <c r="M392" t="n">
        <v>0</v>
      </c>
      <c r="N392" t="n">
        <v>0</v>
      </c>
      <c r="O392" t="n">
        <v>0</v>
      </c>
      <c r="P392" t="n">
        <v>0</v>
      </c>
      <c r="Q392" t="n">
        <v>0</v>
      </c>
      <c r="R392" s="2" t="inlineStr"/>
    </row>
    <row r="393" ht="15" customHeight="1">
      <c r="A393" t="inlineStr">
        <is>
          <t>A 29529-2020</t>
        </is>
      </c>
      <c r="B393" s="1" t="n">
        <v>44005</v>
      </c>
      <c r="C393" s="1" t="n">
        <v>45828</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29915-2020</t>
        </is>
      </c>
      <c r="B394" s="1" t="n">
        <v>44006</v>
      </c>
      <c r="C394" s="1" t="n">
        <v>45828</v>
      </c>
      <c r="D394" t="inlineStr">
        <is>
          <t>GOTLANDS LÄN</t>
        </is>
      </c>
      <c r="E394" t="inlineStr">
        <is>
          <t>GOTLAND</t>
        </is>
      </c>
      <c r="F394" t="inlineStr">
        <is>
          <t>Kommuner</t>
        </is>
      </c>
      <c r="G394" t="n">
        <v>5.8</v>
      </c>
      <c r="H394" t="n">
        <v>0</v>
      </c>
      <c r="I394" t="n">
        <v>0</v>
      </c>
      <c r="J394" t="n">
        <v>0</v>
      </c>
      <c r="K394" t="n">
        <v>0</v>
      </c>
      <c r="L394" t="n">
        <v>0</v>
      </c>
      <c r="M394" t="n">
        <v>0</v>
      </c>
      <c r="N394" t="n">
        <v>0</v>
      </c>
      <c r="O394" t="n">
        <v>0</v>
      </c>
      <c r="P394" t="n">
        <v>0</v>
      </c>
      <c r="Q394" t="n">
        <v>0</v>
      </c>
      <c r="R394" s="2" t="inlineStr"/>
    </row>
    <row r="395" ht="15" customHeight="1">
      <c r="A395" t="inlineStr">
        <is>
          <t>A 30980-2020</t>
        </is>
      </c>
      <c r="B395" s="1" t="n">
        <v>44011</v>
      </c>
      <c r="C395" s="1" t="n">
        <v>45828</v>
      </c>
      <c r="D395" t="inlineStr">
        <is>
          <t>GOTLANDS LÄN</t>
        </is>
      </c>
      <c r="E395" t="inlineStr">
        <is>
          <t>GOTLAND</t>
        </is>
      </c>
      <c r="G395" t="n">
        <v>17.9</v>
      </c>
      <c r="H395" t="n">
        <v>0</v>
      </c>
      <c r="I395" t="n">
        <v>0</v>
      </c>
      <c r="J395" t="n">
        <v>0</v>
      </c>
      <c r="K395" t="n">
        <v>0</v>
      </c>
      <c r="L395" t="n">
        <v>0</v>
      </c>
      <c r="M395" t="n">
        <v>0</v>
      </c>
      <c r="N395" t="n">
        <v>0</v>
      </c>
      <c r="O395" t="n">
        <v>0</v>
      </c>
      <c r="P395" t="n">
        <v>0</v>
      </c>
      <c r="Q395" t="n">
        <v>0</v>
      </c>
      <c r="R395" s="2" t="inlineStr"/>
    </row>
    <row r="396" ht="15" customHeight="1">
      <c r="A396" t="inlineStr">
        <is>
          <t>A 32804-2020</t>
        </is>
      </c>
      <c r="B396" s="1" t="n">
        <v>44018</v>
      </c>
      <c r="C396" s="1" t="n">
        <v>45828</v>
      </c>
      <c r="D396" t="inlineStr">
        <is>
          <t>GOTLANDS LÄN</t>
        </is>
      </c>
      <c r="E396" t="inlineStr">
        <is>
          <t>GOTLAND</t>
        </is>
      </c>
      <c r="G396" t="n">
        <v>19.3</v>
      </c>
      <c r="H396" t="n">
        <v>0</v>
      </c>
      <c r="I396" t="n">
        <v>0</v>
      </c>
      <c r="J396" t="n">
        <v>0</v>
      </c>
      <c r="K396" t="n">
        <v>0</v>
      </c>
      <c r="L396" t="n">
        <v>0</v>
      </c>
      <c r="M396" t="n">
        <v>0</v>
      </c>
      <c r="N396" t="n">
        <v>0</v>
      </c>
      <c r="O396" t="n">
        <v>0</v>
      </c>
      <c r="P396" t="n">
        <v>0</v>
      </c>
      <c r="Q396" t="n">
        <v>0</v>
      </c>
      <c r="R396" s="2" t="inlineStr"/>
    </row>
    <row r="397" ht="15" customHeight="1">
      <c r="A397" t="inlineStr">
        <is>
          <t>A 32974-2020</t>
        </is>
      </c>
      <c r="B397" s="1" t="n">
        <v>44020</v>
      </c>
      <c r="C397" s="1" t="n">
        <v>45828</v>
      </c>
      <c r="D397" t="inlineStr">
        <is>
          <t>GOTLANDS LÄN</t>
        </is>
      </c>
      <c r="E397" t="inlineStr">
        <is>
          <t>GOTLAND</t>
        </is>
      </c>
      <c r="F397" t="inlineStr">
        <is>
          <t>Kyrkan</t>
        </is>
      </c>
      <c r="G397" t="n">
        <v>0.7</v>
      </c>
      <c r="H397" t="n">
        <v>0</v>
      </c>
      <c r="I397" t="n">
        <v>0</v>
      </c>
      <c r="J397" t="n">
        <v>0</v>
      </c>
      <c r="K397" t="n">
        <v>0</v>
      </c>
      <c r="L397" t="n">
        <v>0</v>
      </c>
      <c r="M397" t="n">
        <v>0</v>
      </c>
      <c r="N397" t="n">
        <v>0</v>
      </c>
      <c r="O397" t="n">
        <v>0</v>
      </c>
      <c r="P397" t="n">
        <v>0</v>
      </c>
      <c r="Q397" t="n">
        <v>0</v>
      </c>
      <c r="R397" s="2" t="inlineStr"/>
    </row>
    <row r="398" ht="15" customHeight="1">
      <c r="A398" t="inlineStr">
        <is>
          <t>A 35074-2020</t>
        </is>
      </c>
      <c r="B398" s="1" t="n">
        <v>44039</v>
      </c>
      <c r="C398" s="1" t="n">
        <v>45828</v>
      </c>
      <c r="D398" t="inlineStr">
        <is>
          <t>GOTLANDS LÄN</t>
        </is>
      </c>
      <c r="E398" t="inlineStr">
        <is>
          <t>GOTLAND</t>
        </is>
      </c>
      <c r="G398" t="n">
        <v>5.4</v>
      </c>
      <c r="H398" t="n">
        <v>0</v>
      </c>
      <c r="I398" t="n">
        <v>0</v>
      </c>
      <c r="J398" t="n">
        <v>0</v>
      </c>
      <c r="K398" t="n">
        <v>0</v>
      </c>
      <c r="L398" t="n">
        <v>0</v>
      </c>
      <c r="M398" t="n">
        <v>0</v>
      </c>
      <c r="N398" t="n">
        <v>0</v>
      </c>
      <c r="O398" t="n">
        <v>0</v>
      </c>
      <c r="P398" t="n">
        <v>0</v>
      </c>
      <c r="Q398" t="n">
        <v>0</v>
      </c>
      <c r="R398" s="2" t="inlineStr"/>
    </row>
    <row r="399" ht="15" customHeight="1">
      <c r="A399" t="inlineStr">
        <is>
          <t>A 36073-2020</t>
        </is>
      </c>
      <c r="B399" s="1" t="n">
        <v>44048</v>
      </c>
      <c r="C399" s="1" t="n">
        <v>45828</v>
      </c>
      <c r="D399" t="inlineStr">
        <is>
          <t>GOTLANDS LÄN</t>
        </is>
      </c>
      <c r="E399" t="inlineStr">
        <is>
          <t>GOTLAND</t>
        </is>
      </c>
      <c r="G399" t="n">
        <v>10.1</v>
      </c>
      <c r="H399" t="n">
        <v>0</v>
      </c>
      <c r="I399" t="n">
        <v>0</v>
      </c>
      <c r="J399" t="n">
        <v>0</v>
      </c>
      <c r="K399" t="n">
        <v>0</v>
      </c>
      <c r="L399" t="n">
        <v>0</v>
      </c>
      <c r="M399" t="n">
        <v>0</v>
      </c>
      <c r="N399" t="n">
        <v>0</v>
      </c>
      <c r="O399" t="n">
        <v>0</v>
      </c>
      <c r="P399" t="n">
        <v>0</v>
      </c>
      <c r="Q399" t="n">
        <v>0</v>
      </c>
      <c r="R399" s="2" t="inlineStr"/>
    </row>
    <row r="400" ht="15" customHeight="1">
      <c r="A400" t="inlineStr">
        <is>
          <t>A 36076-2020</t>
        </is>
      </c>
      <c r="B400" s="1" t="n">
        <v>44048</v>
      </c>
      <c r="C400" s="1" t="n">
        <v>45828</v>
      </c>
      <c r="D400" t="inlineStr">
        <is>
          <t>GOTLANDS LÄN</t>
        </is>
      </c>
      <c r="E400" t="inlineStr">
        <is>
          <t>GOTLAND</t>
        </is>
      </c>
      <c r="G400" t="n">
        <v>0.8</v>
      </c>
      <c r="H400" t="n">
        <v>0</v>
      </c>
      <c r="I400" t="n">
        <v>0</v>
      </c>
      <c r="J400" t="n">
        <v>0</v>
      </c>
      <c r="K400" t="n">
        <v>0</v>
      </c>
      <c r="L400" t="n">
        <v>0</v>
      </c>
      <c r="M400" t="n">
        <v>0</v>
      </c>
      <c r="N400" t="n">
        <v>0</v>
      </c>
      <c r="O400" t="n">
        <v>0</v>
      </c>
      <c r="P400" t="n">
        <v>0</v>
      </c>
      <c r="Q400" t="n">
        <v>0</v>
      </c>
      <c r="R400" s="2" t="inlineStr"/>
    </row>
    <row r="401" ht="15" customHeight="1">
      <c r="A401" t="inlineStr">
        <is>
          <t>A 36284-2020</t>
        </is>
      </c>
      <c r="B401" s="1" t="n">
        <v>44049</v>
      </c>
      <c r="C401" s="1" t="n">
        <v>45828</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37204-2020</t>
        </is>
      </c>
      <c r="B402" s="1" t="n">
        <v>44054</v>
      </c>
      <c r="C402" s="1" t="n">
        <v>45828</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38709-2020</t>
        </is>
      </c>
      <c r="B403" s="1" t="n">
        <v>44061</v>
      </c>
      <c r="C403" s="1" t="n">
        <v>45828</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39477-2020</t>
        </is>
      </c>
      <c r="B404" s="1" t="n">
        <v>44064</v>
      </c>
      <c r="C404" s="1" t="n">
        <v>45828</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41109-2020</t>
        </is>
      </c>
      <c r="B405" s="1" t="n">
        <v>44069</v>
      </c>
      <c r="C405" s="1" t="n">
        <v>45828</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41576-2020</t>
        </is>
      </c>
      <c r="B406" s="1" t="n">
        <v>44074</v>
      </c>
      <c r="C406" s="1" t="n">
        <v>45828</v>
      </c>
      <c r="D406" t="inlineStr">
        <is>
          <t>GOTLANDS LÄN</t>
        </is>
      </c>
      <c r="E406" t="inlineStr">
        <is>
          <t>GOTLAND</t>
        </is>
      </c>
      <c r="G406" t="n">
        <v>8.4</v>
      </c>
      <c r="H406" t="n">
        <v>0</v>
      </c>
      <c r="I406" t="n">
        <v>0</v>
      </c>
      <c r="J406" t="n">
        <v>0</v>
      </c>
      <c r="K406" t="n">
        <v>0</v>
      </c>
      <c r="L406" t="n">
        <v>0</v>
      </c>
      <c r="M406" t="n">
        <v>0</v>
      </c>
      <c r="N406" t="n">
        <v>0</v>
      </c>
      <c r="O406" t="n">
        <v>0</v>
      </c>
      <c r="P406" t="n">
        <v>0</v>
      </c>
      <c r="Q406" t="n">
        <v>0</v>
      </c>
      <c r="R406" s="2" t="inlineStr"/>
    </row>
    <row r="407" ht="15" customHeight="1">
      <c r="A407" t="inlineStr">
        <is>
          <t>A 45921-2020</t>
        </is>
      </c>
      <c r="B407" s="1" t="n">
        <v>44088</v>
      </c>
      <c r="C407" s="1" t="n">
        <v>45828</v>
      </c>
      <c r="D407" t="inlineStr">
        <is>
          <t>GOTLANDS LÄN</t>
        </is>
      </c>
      <c r="E407" t="inlineStr">
        <is>
          <t>GOTLAND</t>
        </is>
      </c>
      <c r="G407" t="n">
        <v>6.5</v>
      </c>
      <c r="H407" t="n">
        <v>0</v>
      </c>
      <c r="I407" t="n">
        <v>0</v>
      </c>
      <c r="J407" t="n">
        <v>0</v>
      </c>
      <c r="K407" t="n">
        <v>0</v>
      </c>
      <c r="L407" t="n">
        <v>0</v>
      </c>
      <c r="M407" t="n">
        <v>0</v>
      </c>
      <c r="N407" t="n">
        <v>0</v>
      </c>
      <c r="O407" t="n">
        <v>0</v>
      </c>
      <c r="P407" t="n">
        <v>0</v>
      </c>
      <c r="Q407" t="n">
        <v>0</v>
      </c>
      <c r="R407" s="2" t="inlineStr"/>
    </row>
    <row r="408" ht="15" customHeight="1">
      <c r="A408" t="inlineStr">
        <is>
          <t>A 46019-2020</t>
        </is>
      </c>
      <c r="B408" s="1" t="n">
        <v>44091</v>
      </c>
      <c r="C408" s="1" t="n">
        <v>45828</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46778-2020</t>
        </is>
      </c>
      <c r="B409" s="1" t="n">
        <v>44096</v>
      </c>
      <c r="C409" s="1" t="n">
        <v>45828</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53641-2020</t>
        </is>
      </c>
      <c r="B410" s="1" t="n">
        <v>44124</v>
      </c>
      <c r="C410" s="1" t="n">
        <v>45828</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53665-2020</t>
        </is>
      </c>
      <c r="B411" s="1" t="n">
        <v>44124</v>
      </c>
      <c r="C411" s="1" t="n">
        <v>45828</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59052-2020</t>
        </is>
      </c>
      <c r="B412" s="1" t="n">
        <v>44147</v>
      </c>
      <c r="C412" s="1" t="n">
        <v>45828</v>
      </c>
      <c r="D412" t="inlineStr">
        <is>
          <t>GOTLANDS LÄN</t>
        </is>
      </c>
      <c r="E412" t="inlineStr">
        <is>
          <t>GOTLAND</t>
        </is>
      </c>
      <c r="G412" t="n">
        <v>3.4</v>
      </c>
      <c r="H412" t="n">
        <v>0</v>
      </c>
      <c r="I412" t="n">
        <v>0</v>
      </c>
      <c r="J412" t="n">
        <v>0</v>
      </c>
      <c r="K412" t="n">
        <v>0</v>
      </c>
      <c r="L412" t="n">
        <v>0</v>
      </c>
      <c r="M412" t="n">
        <v>0</v>
      </c>
      <c r="N412" t="n">
        <v>0</v>
      </c>
      <c r="O412" t="n">
        <v>0</v>
      </c>
      <c r="P412" t="n">
        <v>0</v>
      </c>
      <c r="Q412" t="n">
        <v>0</v>
      </c>
      <c r="R412" s="2" t="inlineStr"/>
    </row>
    <row r="413" ht="15" customHeight="1">
      <c r="A413" t="inlineStr">
        <is>
          <t>A 59630-2020</t>
        </is>
      </c>
      <c r="B413" s="1" t="n">
        <v>44150</v>
      </c>
      <c r="C413" s="1" t="n">
        <v>45828</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60356-2020</t>
        </is>
      </c>
      <c r="B414" s="1" t="n">
        <v>44152</v>
      </c>
      <c r="C414" s="1" t="n">
        <v>45828</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62120-2020</t>
        </is>
      </c>
      <c r="B415" s="1" t="n">
        <v>44158</v>
      </c>
      <c r="C415" s="1" t="n">
        <v>45828</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64380-2020</t>
        </is>
      </c>
      <c r="B416" s="1" t="n">
        <v>44168</v>
      </c>
      <c r="C416" s="1" t="n">
        <v>45828</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65126-2020</t>
        </is>
      </c>
      <c r="B417" s="1" t="n">
        <v>44168</v>
      </c>
      <c r="C417" s="1" t="n">
        <v>45828</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65537-2020</t>
        </is>
      </c>
      <c r="B418" s="1" t="n">
        <v>44173</v>
      </c>
      <c r="C418" s="1" t="n">
        <v>45828</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69643-2020</t>
        </is>
      </c>
      <c r="B419" s="1" t="n">
        <v>44195</v>
      </c>
      <c r="C419" s="1" t="n">
        <v>45828</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14-2021</t>
        </is>
      </c>
      <c r="B420" s="1" t="n">
        <v>44197</v>
      </c>
      <c r="C420" s="1" t="n">
        <v>45828</v>
      </c>
      <c r="D420" t="inlineStr">
        <is>
          <t>GOTLANDS LÄN</t>
        </is>
      </c>
      <c r="E420" t="inlineStr">
        <is>
          <t>GOTLAND</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1229-2021</t>
        </is>
      </c>
      <c r="B421" s="1" t="n">
        <v>44208</v>
      </c>
      <c r="C421" s="1" t="n">
        <v>45828</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2292-2021</t>
        </is>
      </c>
      <c r="B422" s="1" t="n">
        <v>44212</v>
      </c>
      <c r="C422" s="1" t="n">
        <v>45828</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2608-2021</t>
        </is>
      </c>
      <c r="B423" s="1" t="n">
        <v>44214</v>
      </c>
      <c r="C423" s="1" t="n">
        <v>45828</v>
      </c>
      <c r="D423" t="inlineStr">
        <is>
          <t>GOTLANDS LÄN</t>
        </is>
      </c>
      <c r="E423" t="inlineStr">
        <is>
          <t>GOTLAND</t>
        </is>
      </c>
      <c r="G423" t="n">
        <v>3.9</v>
      </c>
      <c r="H423" t="n">
        <v>0</v>
      </c>
      <c r="I423" t="n">
        <v>0</v>
      </c>
      <c r="J423" t="n">
        <v>0</v>
      </c>
      <c r="K423" t="n">
        <v>0</v>
      </c>
      <c r="L423" t="n">
        <v>0</v>
      </c>
      <c r="M423" t="n">
        <v>0</v>
      </c>
      <c r="N423" t="n">
        <v>0</v>
      </c>
      <c r="O423" t="n">
        <v>0</v>
      </c>
      <c r="P423" t="n">
        <v>0</v>
      </c>
      <c r="Q423" t="n">
        <v>0</v>
      </c>
      <c r="R423" s="2" t="inlineStr"/>
    </row>
    <row r="424" ht="15" customHeight="1">
      <c r="A424" t="inlineStr">
        <is>
          <t>A 3319-2021</t>
        </is>
      </c>
      <c r="B424" s="1" t="n">
        <v>44216</v>
      </c>
      <c r="C424" s="1" t="n">
        <v>45828</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3172-2021</t>
        </is>
      </c>
      <c r="B425" s="1" t="n">
        <v>44217</v>
      </c>
      <c r="C425" s="1" t="n">
        <v>45828</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3271-2021</t>
        </is>
      </c>
      <c r="B426" s="1" t="n">
        <v>44217</v>
      </c>
      <c r="C426" s="1" t="n">
        <v>45828</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8329-2021</t>
        </is>
      </c>
      <c r="B427" s="1" t="n">
        <v>44244</v>
      </c>
      <c r="C427" s="1" t="n">
        <v>45828</v>
      </c>
      <c r="D427" t="inlineStr">
        <is>
          <t>GOTLANDS LÄN</t>
        </is>
      </c>
      <c r="E427" t="inlineStr">
        <is>
          <t>GOTLAND</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8700-2021</t>
        </is>
      </c>
      <c r="B428" s="1" t="n">
        <v>44246</v>
      </c>
      <c r="C428" s="1" t="n">
        <v>45828</v>
      </c>
      <c r="D428" t="inlineStr">
        <is>
          <t>GOTLANDS LÄN</t>
        </is>
      </c>
      <c r="E428" t="inlineStr">
        <is>
          <t>GOTLAND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11400-2021</t>
        </is>
      </c>
      <c r="B429" s="1" t="n">
        <v>44263</v>
      </c>
      <c r="C429" s="1" t="n">
        <v>45828</v>
      </c>
      <c r="D429" t="inlineStr">
        <is>
          <t>GOTLANDS LÄN</t>
        </is>
      </c>
      <c r="E429" t="inlineStr">
        <is>
          <t>GOTLAND</t>
        </is>
      </c>
      <c r="G429" t="n">
        <v>5.6</v>
      </c>
      <c r="H429" t="n">
        <v>0</v>
      </c>
      <c r="I429" t="n">
        <v>0</v>
      </c>
      <c r="J429" t="n">
        <v>0</v>
      </c>
      <c r="K429" t="n">
        <v>0</v>
      </c>
      <c r="L429" t="n">
        <v>0</v>
      </c>
      <c r="M429" t="n">
        <v>0</v>
      </c>
      <c r="N429" t="n">
        <v>0</v>
      </c>
      <c r="O429" t="n">
        <v>0</v>
      </c>
      <c r="P429" t="n">
        <v>0</v>
      </c>
      <c r="Q429" t="n">
        <v>0</v>
      </c>
      <c r="R429" s="2" t="inlineStr"/>
    </row>
    <row r="430" ht="15" customHeight="1">
      <c r="A430" t="inlineStr">
        <is>
          <t>A 11402-2021</t>
        </is>
      </c>
      <c r="B430" s="1" t="n">
        <v>44263</v>
      </c>
      <c r="C430" s="1" t="n">
        <v>45828</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12318-2021</t>
        </is>
      </c>
      <c r="B431" s="1" t="n">
        <v>44266</v>
      </c>
      <c r="C431" s="1" t="n">
        <v>45828</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13274-2021</t>
        </is>
      </c>
      <c r="B432" s="1" t="n">
        <v>44272</v>
      </c>
      <c r="C432" s="1" t="n">
        <v>45828</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14536-2021</t>
        </is>
      </c>
      <c r="B433" s="1" t="n">
        <v>44279</v>
      </c>
      <c r="C433" s="1" t="n">
        <v>45828</v>
      </c>
      <c r="D433" t="inlineStr">
        <is>
          <t>GOTLANDS LÄN</t>
        </is>
      </c>
      <c r="E433" t="inlineStr">
        <is>
          <t>GOTLAND</t>
        </is>
      </c>
      <c r="G433" t="n">
        <v>8.5</v>
      </c>
      <c r="H433" t="n">
        <v>0</v>
      </c>
      <c r="I433" t="n">
        <v>0</v>
      </c>
      <c r="J433" t="n">
        <v>0</v>
      </c>
      <c r="K433" t="n">
        <v>0</v>
      </c>
      <c r="L433" t="n">
        <v>0</v>
      </c>
      <c r="M433" t="n">
        <v>0</v>
      </c>
      <c r="N433" t="n">
        <v>0</v>
      </c>
      <c r="O433" t="n">
        <v>0</v>
      </c>
      <c r="P433" t="n">
        <v>0</v>
      </c>
      <c r="Q433" t="n">
        <v>0</v>
      </c>
      <c r="R433" s="2" t="inlineStr"/>
    </row>
    <row r="434" ht="15" customHeight="1">
      <c r="A434" t="inlineStr">
        <is>
          <t>A 14804-2021</t>
        </is>
      </c>
      <c r="B434" s="1" t="n">
        <v>44280</v>
      </c>
      <c r="C434" s="1" t="n">
        <v>45828</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15127-2021</t>
        </is>
      </c>
      <c r="B435" s="1" t="n">
        <v>44283</v>
      </c>
      <c r="C435" s="1" t="n">
        <v>45828</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16435-2021</t>
        </is>
      </c>
      <c r="B436" s="1" t="n">
        <v>44293</v>
      </c>
      <c r="C436" s="1" t="n">
        <v>45828</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17254-2021</t>
        </is>
      </c>
      <c r="B437" s="1" t="n">
        <v>44298</v>
      </c>
      <c r="C437" s="1" t="n">
        <v>45828</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17227-2021</t>
        </is>
      </c>
      <c r="B438" s="1" t="n">
        <v>44298</v>
      </c>
      <c r="C438" s="1" t="n">
        <v>45828</v>
      </c>
      <c r="D438" t="inlineStr">
        <is>
          <t>GOTLANDS LÄN</t>
        </is>
      </c>
      <c r="E438" t="inlineStr">
        <is>
          <t>GOTLAND</t>
        </is>
      </c>
      <c r="G438" t="n">
        <v>6.2</v>
      </c>
      <c r="H438" t="n">
        <v>0</v>
      </c>
      <c r="I438" t="n">
        <v>0</v>
      </c>
      <c r="J438" t="n">
        <v>0</v>
      </c>
      <c r="K438" t="n">
        <v>0</v>
      </c>
      <c r="L438" t="n">
        <v>0</v>
      </c>
      <c r="M438" t="n">
        <v>0</v>
      </c>
      <c r="N438" t="n">
        <v>0</v>
      </c>
      <c r="O438" t="n">
        <v>0</v>
      </c>
      <c r="P438" t="n">
        <v>0</v>
      </c>
      <c r="Q438" t="n">
        <v>0</v>
      </c>
      <c r="R438" s="2" t="inlineStr"/>
    </row>
    <row r="439" ht="15" customHeight="1">
      <c r="A439" t="inlineStr">
        <is>
          <t>A 17199-2021</t>
        </is>
      </c>
      <c r="B439" s="1" t="n">
        <v>44298</v>
      </c>
      <c r="C439" s="1" t="n">
        <v>45828</v>
      </c>
      <c r="D439" t="inlineStr">
        <is>
          <t>GOTLANDS LÄN</t>
        </is>
      </c>
      <c r="E439" t="inlineStr">
        <is>
          <t>GOTLAND</t>
        </is>
      </c>
      <c r="G439" t="n">
        <v>9.6</v>
      </c>
      <c r="H439" t="n">
        <v>0</v>
      </c>
      <c r="I439" t="n">
        <v>0</v>
      </c>
      <c r="J439" t="n">
        <v>0</v>
      </c>
      <c r="K439" t="n">
        <v>0</v>
      </c>
      <c r="L439" t="n">
        <v>0</v>
      </c>
      <c r="M439" t="n">
        <v>0</v>
      </c>
      <c r="N439" t="n">
        <v>0</v>
      </c>
      <c r="O439" t="n">
        <v>0</v>
      </c>
      <c r="P439" t="n">
        <v>0</v>
      </c>
      <c r="Q439" t="n">
        <v>0</v>
      </c>
      <c r="R439" s="2" t="inlineStr"/>
    </row>
    <row r="440" ht="15" customHeight="1">
      <c r="A440" t="inlineStr">
        <is>
          <t>A 17585-2021</t>
        </is>
      </c>
      <c r="B440" s="1" t="n">
        <v>44299</v>
      </c>
      <c r="C440" s="1" t="n">
        <v>45828</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17920-2021</t>
        </is>
      </c>
      <c r="B441" s="1" t="n">
        <v>44301</v>
      </c>
      <c r="C441" s="1" t="n">
        <v>45828</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18038-2021</t>
        </is>
      </c>
      <c r="B442" s="1" t="n">
        <v>44302</v>
      </c>
      <c r="C442" s="1" t="n">
        <v>45828</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19447-2021</t>
        </is>
      </c>
      <c r="B443" s="1" t="n">
        <v>44310</v>
      </c>
      <c r="C443" s="1" t="n">
        <v>45828</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19448-2021</t>
        </is>
      </c>
      <c r="B444" s="1" t="n">
        <v>44310</v>
      </c>
      <c r="C444" s="1" t="n">
        <v>45828</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19892-2021</t>
        </is>
      </c>
      <c r="B445" s="1" t="n">
        <v>44312</v>
      </c>
      <c r="C445" s="1" t="n">
        <v>45828</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19901-2021</t>
        </is>
      </c>
      <c r="B446" s="1" t="n">
        <v>44312</v>
      </c>
      <c r="C446" s="1" t="n">
        <v>45828</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19939-2021</t>
        </is>
      </c>
      <c r="B447" s="1" t="n">
        <v>44313</v>
      </c>
      <c r="C447" s="1" t="n">
        <v>45828</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20111-2021</t>
        </is>
      </c>
      <c r="B448" s="1" t="n">
        <v>44314</v>
      </c>
      <c r="C448" s="1" t="n">
        <v>45828</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21507-2021</t>
        </is>
      </c>
      <c r="B449" s="1" t="n">
        <v>44321</v>
      </c>
      <c r="C449" s="1" t="n">
        <v>45828</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22155-2021</t>
        </is>
      </c>
      <c r="B450" s="1" t="n">
        <v>44325</v>
      </c>
      <c r="C450" s="1" t="n">
        <v>45828</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23910-2021</t>
        </is>
      </c>
      <c r="B451" s="1" t="n">
        <v>44335</v>
      </c>
      <c r="C451" s="1" t="n">
        <v>45828</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24001-2021</t>
        </is>
      </c>
      <c r="B452" s="1" t="n">
        <v>44335</v>
      </c>
      <c r="C452" s="1" t="n">
        <v>45828</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v>
      </c>
      <c r="C453" s="1" t="n">
        <v>45828</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26857-2021</t>
        </is>
      </c>
      <c r="B454" s="1" t="n">
        <v>44349</v>
      </c>
      <c r="C454" s="1" t="n">
        <v>45828</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26867-2021</t>
        </is>
      </c>
      <c r="B455" s="1" t="n">
        <v>44349</v>
      </c>
      <c r="C455" s="1" t="n">
        <v>45828</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45828</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30055-2021</t>
        </is>
      </c>
      <c r="B457" s="1" t="n">
        <v>44363</v>
      </c>
      <c r="C457" s="1" t="n">
        <v>45828</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31264-2021</t>
        </is>
      </c>
      <c r="B458" s="1" t="n">
        <v>44368</v>
      </c>
      <c r="C458" s="1" t="n">
        <v>45828</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31981-2021</t>
        </is>
      </c>
      <c r="B459" s="1" t="n">
        <v>44370</v>
      </c>
      <c r="C459" s="1" t="n">
        <v>45828</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32647-2021</t>
        </is>
      </c>
      <c r="B460" s="1" t="n">
        <v>44375</v>
      </c>
      <c r="C460" s="1" t="n">
        <v>45828</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32691-2021</t>
        </is>
      </c>
      <c r="B461" s="1" t="n">
        <v>44375</v>
      </c>
      <c r="C461" s="1" t="n">
        <v>45828</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45828</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36313-2021</t>
        </is>
      </c>
      <c r="B463" s="1" t="n">
        <v>44390</v>
      </c>
      <c r="C463" s="1" t="n">
        <v>45828</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37037-2021</t>
        </is>
      </c>
      <c r="B464" s="1" t="n">
        <v>44393</v>
      </c>
      <c r="C464" s="1" t="n">
        <v>45828</v>
      </c>
      <c r="D464" t="inlineStr">
        <is>
          <t>GOTLANDS LÄN</t>
        </is>
      </c>
      <c r="E464" t="inlineStr">
        <is>
          <t>GOTLAND</t>
        </is>
      </c>
      <c r="G464" t="n">
        <v>10.2</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45828</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42688-2021</t>
        </is>
      </c>
      <c r="B466" s="1" t="n">
        <v>44428</v>
      </c>
      <c r="C466" s="1" t="n">
        <v>45828</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45828</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44649-2021</t>
        </is>
      </c>
      <c r="B468" s="1" t="n">
        <v>44437</v>
      </c>
      <c r="C468" s="1" t="n">
        <v>45828</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46362-2021</t>
        </is>
      </c>
      <c r="B469" s="1" t="n">
        <v>44442</v>
      </c>
      <c r="C469" s="1" t="n">
        <v>45828</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46389-2021</t>
        </is>
      </c>
      <c r="B470" s="1" t="n">
        <v>44443</v>
      </c>
      <c r="C470" s="1" t="n">
        <v>45828</v>
      </c>
      <c r="D470" t="inlineStr">
        <is>
          <t>GOTLANDS LÄN</t>
        </is>
      </c>
      <c r="E470" t="inlineStr">
        <is>
          <t>GOTLAND</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47369-2021</t>
        </is>
      </c>
      <c r="B471" s="1" t="n">
        <v>44447</v>
      </c>
      <c r="C471" s="1" t="n">
        <v>45828</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50892-2021</t>
        </is>
      </c>
      <c r="B472" s="1" t="n">
        <v>44459</v>
      </c>
      <c r="C472" s="1" t="n">
        <v>45828</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52892-2021</t>
        </is>
      </c>
      <c r="B473" s="1" t="n">
        <v>44467</v>
      </c>
      <c r="C473" s="1" t="n">
        <v>45828</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53479-2021</t>
        </is>
      </c>
      <c r="B474" s="1" t="n">
        <v>44468</v>
      </c>
      <c r="C474" s="1" t="n">
        <v>45828</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56951-2021</t>
        </is>
      </c>
      <c r="B475" s="1" t="n">
        <v>44482</v>
      </c>
      <c r="C475" s="1" t="n">
        <v>45828</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57219-2021</t>
        </is>
      </c>
      <c r="B476" s="1" t="n">
        <v>44483</v>
      </c>
      <c r="C476" s="1" t="n">
        <v>45828</v>
      </c>
      <c r="D476" t="inlineStr">
        <is>
          <t>GOTLANDS LÄN</t>
        </is>
      </c>
      <c r="E476" t="inlineStr">
        <is>
          <t>GOTLAND</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58224-2021</t>
        </is>
      </c>
      <c r="B477" s="1" t="n">
        <v>44487</v>
      </c>
      <c r="C477" s="1" t="n">
        <v>45828</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58600-2021</t>
        </is>
      </c>
      <c r="B478" s="1" t="n">
        <v>44488</v>
      </c>
      <c r="C478" s="1" t="n">
        <v>45828</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58815-2021</t>
        </is>
      </c>
      <c r="B479" s="1" t="n">
        <v>44489</v>
      </c>
      <c r="C479" s="1" t="n">
        <v>45828</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60607-2021</t>
        </is>
      </c>
      <c r="B480" s="1" t="n">
        <v>44496</v>
      </c>
      <c r="C480" s="1" t="n">
        <v>45828</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v>
      </c>
      <c r="C481" s="1" t="n">
        <v>45828</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45828</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63229-2021</t>
        </is>
      </c>
      <c r="B483" s="1" t="n">
        <v>44508</v>
      </c>
      <c r="C483" s="1" t="n">
        <v>45828</v>
      </c>
      <c r="D483" t="inlineStr">
        <is>
          <t>GOTLANDS LÄN</t>
        </is>
      </c>
      <c r="E483" t="inlineStr">
        <is>
          <t>GOTLAND</t>
        </is>
      </c>
      <c r="F483" t="inlineStr">
        <is>
          <t>Kyrkan</t>
        </is>
      </c>
      <c r="G483" t="n">
        <v>3.8</v>
      </c>
      <c r="H483" t="n">
        <v>0</v>
      </c>
      <c r="I483" t="n">
        <v>0</v>
      </c>
      <c r="J483" t="n">
        <v>0</v>
      </c>
      <c r="K483" t="n">
        <v>0</v>
      </c>
      <c r="L483" t="n">
        <v>0</v>
      </c>
      <c r="M483" t="n">
        <v>0</v>
      </c>
      <c r="N483" t="n">
        <v>0</v>
      </c>
      <c r="O483" t="n">
        <v>0</v>
      </c>
      <c r="P483" t="n">
        <v>0</v>
      </c>
      <c r="Q483" t="n">
        <v>0</v>
      </c>
      <c r="R483" s="2" t="inlineStr"/>
    </row>
    <row r="484" ht="15" customHeight="1">
      <c r="A484" t="inlineStr">
        <is>
          <t>A 64208-2021</t>
        </is>
      </c>
      <c r="B484" s="1" t="n">
        <v>44510</v>
      </c>
      <c r="C484" s="1" t="n">
        <v>45828</v>
      </c>
      <c r="D484" t="inlineStr">
        <is>
          <t>GOTLANDS LÄN</t>
        </is>
      </c>
      <c r="E484" t="inlineStr">
        <is>
          <t>GOTLAND</t>
        </is>
      </c>
      <c r="G484" t="n">
        <v>4.7</v>
      </c>
      <c r="H484" t="n">
        <v>0</v>
      </c>
      <c r="I484" t="n">
        <v>0</v>
      </c>
      <c r="J484" t="n">
        <v>0</v>
      </c>
      <c r="K484" t="n">
        <v>0</v>
      </c>
      <c r="L484" t="n">
        <v>0</v>
      </c>
      <c r="M484" t="n">
        <v>0</v>
      </c>
      <c r="N484" t="n">
        <v>0</v>
      </c>
      <c r="O484" t="n">
        <v>0</v>
      </c>
      <c r="P484" t="n">
        <v>0</v>
      </c>
      <c r="Q484" t="n">
        <v>0</v>
      </c>
      <c r="R484" s="2" t="inlineStr"/>
    </row>
    <row r="485" ht="15" customHeight="1">
      <c r="A485" t="inlineStr">
        <is>
          <t>A 65393-2021</t>
        </is>
      </c>
      <c r="B485" s="1" t="n">
        <v>44515</v>
      </c>
      <c r="C485" s="1" t="n">
        <v>45828</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65901-2021</t>
        </is>
      </c>
      <c r="B486" s="1" t="n">
        <v>44516</v>
      </c>
      <c r="C486" s="1" t="n">
        <v>45828</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69112-2021</t>
        </is>
      </c>
      <c r="B487" s="1" t="n">
        <v>44530</v>
      </c>
      <c r="C487" s="1" t="n">
        <v>45828</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70997-2021</t>
        </is>
      </c>
      <c r="B488" s="1" t="n">
        <v>44538</v>
      </c>
      <c r="C488" s="1" t="n">
        <v>45828</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71010-2021</t>
        </is>
      </c>
      <c r="B489" s="1" t="n">
        <v>44538</v>
      </c>
      <c r="C489" s="1" t="n">
        <v>45828</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71620-2021</t>
        </is>
      </c>
      <c r="B490" s="1" t="n">
        <v>44542</v>
      </c>
      <c r="C490" s="1" t="n">
        <v>45828</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72626-2021</t>
        </is>
      </c>
      <c r="B491" s="1" t="n">
        <v>44546</v>
      </c>
      <c r="C491" s="1" t="n">
        <v>45828</v>
      </c>
      <c r="D491" t="inlineStr">
        <is>
          <t>GOTLANDS LÄN</t>
        </is>
      </c>
      <c r="E491" t="inlineStr">
        <is>
          <t>GOTLAND</t>
        </is>
      </c>
      <c r="G491" t="n">
        <v>7.3</v>
      </c>
      <c r="H491" t="n">
        <v>0</v>
      </c>
      <c r="I491" t="n">
        <v>0</v>
      </c>
      <c r="J491" t="n">
        <v>0</v>
      </c>
      <c r="K491" t="n">
        <v>0</v>
      </c>
      <c r="L491" t="n">
        <v>0</v>
      </c>
      <c r="M491" t="n">
        <v>0</v>
      </c>
      <c r="N491" t="n">
        <v>0</v>
      </c>
      <c r="O491" t="n">
        <v>0</v>
      </c>
      <c r="P491" t="n">
        <v>0</v>
      </c>
      <c r="Q491" t="n">
        <v>0</v>
      </c>
      <c r="R491" s="2" t="inlineStr"/>
    </row>
    <row r="492" ht="15" customHeight="1">
      <c r="A492" t="inlineStr">
        <is>
          <t>A 411-2022</t>
        </is>
      </c>
      <c r="B492" s="1" t="n">
        <v>44565</v>
      </c>
      <c r="C492" s="1" t="n">
        <v>45828</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4262-2022</t>
        </is>
      </c>
      <c r="B493" s="1" t="n">
        <v>44588</v>
      </c>
      <c r="C493" s="1" t="n">
        <v>45828</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8055-2022</t>
        </is>
      </c>
      <c r="B494" s="1" t="n">
        <v>44609</v>
      </c>
      <c r="C494" s="1" t="n">
        <v>45828</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v>
      </c>
      <c r="C495" s="1" t="n">
        <v>45828</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8045-2022</t>
        </is>
      </c>
      <c r="B496" s="1" t="n">
        <v>44609</v>
      </c>
      <c r="C496" s="1" t="n">
        <v>45828</v>
      </c>
      <c r="D496" t="inlineStr">
        <is>
          <t>GOTLANDS LÄN</t>
        </is>
      </c>
      <c r="E496" t="inlineStr">
        <is>
          <t>GOTLAND</t>
        </is>
      </c>
      <c r="G496" t="n">
        <v>7</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v>
      </c>
      <c r="C497" s="1" t="n">
        <v>45828</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11029-2022</t>
        </is>
      </c>
      <c r="B498" s="1" t="n">
        <v>44628</v>
      </c>
      <c r="C498" s="1" t="n">
        <v>45828</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13498-2022</t>
        </is>
      </c>
      <c r="B499" s="1" t="n">
        <v>44647</v>
      </c>
      <c r="C499" s="1" t="n">
        <v>45828</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13500-2022</t>
        </is>
      </c>
      <c r="B500" s="1" t="n">
        <v>44647</v>
      </c>
      <c r="C500" s="1" t="n">
        <v>45828</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13643-2022</t>
        </is>
      </c>
      <c r="B501" s="1" t="n">
        <v>44648</v>
      </c>
      <c r="C501" s="1" t="n">
        <v>45828</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14413-2022</t>
        </is>
      </c>
      <c r="B502" s="1" t="n">
        <v>44652</v>
      </c>
      <c r="C502" s="1" t="n">
        <v>45828</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15713-2022</t>
        </is>
      </c>
      <c r="B503" s="1" t="n">
        <v>44663</v>
      </c>
      <c r="C503" s="1" t="n">
        <v>45828</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15710-2022</t>
        </is>
      </c>
      <c r="B504" s="1" t="n">
        <v>44663</v>
      </c>
      <c r="C504" s="1" t="n">
        <v>45828</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16858-2022</t>
        </is>
      </c>
      <c r="B505" s="1" t="n">
        <v>44674</v>
      </c>
      <c r="C505" s="1" t="n">
        <v>45828</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17147-2022</t>
        </is>
      </c>
      <c r="B506" s="1" t="n">
        <v>44677</v>
      </c>
      <c r="C506" s="1" t="n">
        <v>45828</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17354-2022</t>
        </is>
      </c>
      <c r="B507" s="1" t="n">
        <v>44678</v>
      </c>
      <c r="C507" s="1" t="n">
        <v>45828</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17381-2022</t>
        </is>
      </c>
      <c r="B508" s="1" t="n">
        <v>44678</v>
      </c>
      <c r="C508" s="1" t="n">
        <v>45828</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45828</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20165-2022</t>
        </is>
      </c>
      <c r="B510" s="1" t="n">
        <v>44698</v>
      </c>
      <c r="C510" s="1" t="n">
        <v>45828</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45828</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20990-2022</t>
        </is>
      </c>
      <c r="B512" s="1" t="n">
        <v>44703</v>
      </c>
      <c r="C512" s="1" t="n">
        <v>45828</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20993-2022</t>
        </is>
      </c>
      <c r="B513" s="1" t="n">
        <v>44703</v>
      </c>
      <c r="C513" s="1" t="n">
        <v>45828</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v>
      </c>
      <c r="C514" s="1" t="n">
        <v>45828</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45828</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22498-2022</t>
        </is>
      </c>
      <c r="B516" s="1" t="n">
        <v>44713</v>
      </c>
      <c r="C516" s="1" t="n">
        <v>45828</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22495-2022</t>
        </is>
      </c>
      <c r="B517" s="1" t="n">
        <v>44713</v>
      </c>
      <c r="C517" s="1" t="n">
        <v>45828</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24123-2022</t>
        </is>
      </c>
      <c r="B518" s="1" t="n">
        <v>44725</v>
      </c>
      <c r="C518" s="1" t="n">
        <v>45828</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24235-2022</t>
        </is>
      </c>
      <c r="B519" s="1" t="n">
        <v>44725</v>
      </c>
      <c r="C519" s="1" t="n">
        <v>45828</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45828</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27095-2022</t>
        </is>
      </c>
      <c r="B521" s="1" t="n">
        <v>44741</v>
      </c>
      <c r="C521" s="1" t="n">
        <v>45828</v>
      </c>
      <c r="D521" t="inlineStr">
        <is>
          <t>GOTLANDS LÄN</t>
        </is>
      </c>
      <c r="E521" t="inlineStr">
        <is>
          <t>GOTLAND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29809-2022</t>
        </is>
      </c>
      <c r="B522" s="1" t="n">
        <v>44755</v>
      </c>
      <c r="C522" s="1" t="n">
        <v>45828</v>
      </c>
      <c r="D522" t="inlineStr">
        <is>
          <t>GOTLANDS LÄN</t>
        </is>
      </c>
      <c r="E522" t="inlineStr">
        <is>
          <t>GOTLAND</t>
        </is>
      </c>
      <c r="G522" t="n">
        <v>11.5</v>
      </c>
      <c r="H522" t="n">
        <v>0</v>
      </c>
      <c r="I522" t="n">
        <v>0</v>
      </c>
      <c r="J522" t="n">
        <v>0</v>
      </c>
      <c r="K522" t="n">
        <v>0</v>
      </c>
      <c r="L522" t="n">
        <v>0</v>
      </c>
      <c r="M522" t="n">
        <v>0</v>
      </c>
      <c r="N522" t="n">
        <v>0</v>
      </c>
      <c r="O522" t="n">
        <v>0</v>
      </c>
      <c r="P522" t="n">
        <v>0</v>
      </c>
      <c r="Q522" t="n">
        <v>0</v>
      </c>
      <c r="R522" s="2" t="inlineStr"/>
    </row>
    <row r="523" ht="15" customHeight="1">
      <c r="A523" t="inlineStr">
        <is>
          <t>A 30282-2022</t>
        </is>
      </c>
      <c r="B523" s="1" t="n">
        <v>44760</v>
      </c>
      <c r="C523" s="1" t="n">
        <v>45828</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31239-2022</t>
        </is>
      </c>
      <c r="B524" s="1" t="n">
        <v>44771</v>
      </c>
      <c r="C524" s="1" t="n">
        <v>45828</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37569-2022</t>
        </is>
      </c>
      <c r="B525" s="1" t="n">
        <v>44809</v>
      </c>
      <c r="C525" s="1" t="n">
        <v>45828</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39302-2022</t>
        </is>
      </c>
      <c r="B526" s="1" t="n">
        <v>44817</v>
      </c>
      <c r="C526" s="1" t="n">
        <v>45828</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39496-2022</t>
        </is>
      </c>
      <c r="B527" s="1" t="n">
        <v>44818</v>
      </c>
      <c r="C527" s="1" t="n">
        <v>45828</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39479-2022</t>
        </is>
      </c>
      <c r="B528" s="1" t="n">
        <v>44818</v>
      </c>
      <c r="C528" s="1" t="n">
        <v>45828</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39764-2022</t>
        </is>
      </c>
      <c r="B529" s="1" t="n">
        <v>44819</v>
      </c>
      <c r="C529" s="1" t="n">
        <v>45828</v>
      </c>
      <c r="D529" t="inlineStr">
        <is>
          <t>GOTLANDS LÄN</t>
        </is>
      </c>
      <c r="E529" t="inlineStr">
        <is>
          <t>GOTLAND</t>
        </is>
      </c>
      <c r="F529" t="inlineStr">
        <is>
          <t>Kyrkan</t>
        </is>
      </c>
      <c r="G529" t="n">
        <v>3.7</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45828</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40478-2022</t>
        </is>
      </c>
      <c r="B531" s="1" t="n">
        <v>44823</v>
      </c>
      <c r="C531" s="1" t="n">
        <v>45828</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43081-2022</t>
        </is>
      </c>
      <c r="B532" s="1" t="n">
        <v>44833</v>
      </c>
      <c r="C532" s="1" t="n">
        <v>45828</v>
      </c>
      <c r="D532" t="inlineStr">
        <is>
          <t>GOTLANDS LÄN</t>
        </is>
      </c>
      <c r="E532" t="inlineStr">
        <is>
          <t>GOTLAND</t>
        </is>
      </c>
      <c r="G532" t="n">
        <v>6.8</v>
      </c>
      <c r="H532" t="n">
        <v>0</v>
      </c>
      <c r="I532" t="n">
        <v>0</v>
      </c>
      <c r="J532" t="n">
        <v>0</v>
      </c>
      <c r="K532" t="n">
        <v>0</v>
      </c>
      <c r="L532" t="n">
        <v>0</v>
      </c>
      <c r="M532" t="n">
        <v>0</v>
      </c>
      <c r="N532" t="n">
        <v>0</v>
      </c>
      <c r="O532" t="n">
        <v>0</v>
      </c>
      <c r="P532" t="n">
        <v>0</v>
      </c>
      <c r="Q532" t="n">
        <v>0</v>
      </c>
      <c r="R532" s="2" t="inlineStr"/>
    </row>
    <row r="533" ht="15" customHeight="1">
      <c r="A533" t="inlineStr">
        <is>
          <t>A 44102-2022</t>
        </is>
      </c>
      <c r="B533" s="1" t="n">
        <v>44839</v>
      </c>
      <c r="C533" s="1" t="n">
        <v>45828</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44108-2022</t>
        </is>
      </c>
      <c r="B534" s="1" t="n">
        <v>44839</v>
      </c>
      <c r="C534" s="1" t="n">
        <v>45828</v>
      </c>
      <c r="D534" t="inlineStr">
        <is>
          <t>GOTLANDS LÄN</t>
        </is>
      </c>
      <c r="E534" t="inlineStr">
        <is>
          <t>GOTLAND</t>
        </is>
      </c>
      <c r="G534" t="n">
        <v>12.9</v>
      </c>
      <c r="H534" t="n">
        <v>0</v>
      </c>
      <c r="I534" t="n">
        <v>0</v>
      </c>
      <c r="J534" t="n">
        <v>0</v>
      </c>
      <c r="K534" t="n">
        <v>0</v>
      </c>
      <c r="L534" t="n">
        <v>0</v>
      </c>
      <c r="M534" t="n">
        <v>0</v>
      </c>
      <c r="N534" t="n">
        <v>0</v>
      </c>
      <c r="O534" t="n">
        <v>0</v>
      </c>
      <c r="P534" t="n">
        <v>0</v>
      </c>
      <c r="Q534" t="n">
        <v>0</v>
      </c>
      <c r="R534" s="2" t="inlineStr"/>
    </row>
    <row r="535" ht="15" customHeight="1">
      <c r="A535" t="inlineStr">
        <is>
          <t>A 44207-2022</t>
        </is>
      </c>
      <c r="B535" s="1" t="n">
        <v>44839</v>
      </c>
      <c r="C535" s="1" t="n">
        <v>45828</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44204-2022</t>
        </is>
      </c>
      <c r="B536" s="1" t="n">
        <v>44839</v>
      </c>
      <c r="C536" s="1" t="n">
        <v>45828</v>
      </c>
      <c r="D536" t="inlineStr">
        <is>
          <t>GOTLANDS LÄN</t>
        </is>
      </c>
      <c r="E536" t="inlineStr">
        <is>
          <t>GOTLAND</t>
        </is>
      </c>
      <c r="G536" t="n">
        <v>2.3</v>
      </c>
      <c r="H536" t="n">
        <v>0</v>
      </c>
      <c r="I536" t="n">
        <v>0</v>
      </c>
      <c r="J536" t="n">
        <v>0</v>
      </c>
      <c r="K536" t="n">
        <v>0</v>
      </c>
      <c r="L536" t="n">
        <v>0</v>
      </c>
      <c r="M536" t="n">
        <v>0</v>
      </c>
      <c r="N536" t="n">
        <v>0</v>
      </c>
      <c r="O536" t="n">
        <v>0</v>
      </c>
      <c r="P536" t="n">
        <v>0</v>
      </c>
      <c r="Q536" t="n">
        <v>0</v>
      </c>
      <c r="R536" s="2" t="inlineStr"/>
    </row>
    <row r="537" ht="15" customHeight="1">
      <c r="A537" t="inlineStr">
        <is>
          <t>A 44228-2022</t>
        </is>
      </c>
      <c r="B537" s="1" t="n">
        <v>44839</v>
      </c>
      <c r="C537" s="1" t="n">
        <v>45828</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44878-2022</t>
        </is>
      </c>
      <c r="B538" s="1" t="n">
        <v>44839</v>
      </c>
      <c r="C538" s="1" t="n">
        <v>45828</v>
      </c>
      <c r="D538" t="inlineStr">
        <is>
          <t>GOTLANDS LÄN</t>
        </is>
      </c>
      <c r="E538" t="inlineStr">
        <is>
          <t>GOTLAND</t>
        </is>
      </c>
      <c r="G538" t="n">
        <v>4</v>
      </c>
      <c r="H538" t="n">
        <v>0</v>
      </c>
      <c r="I538" t="n">
        <v>0</v>
      </c>
      <c r="J538" t="n">
        <v>0</v>
      </c>
      <c r="K538" t="n">
        <v>0</v>
      </c>
      <c r="L538" t="n">
        <v>0</v>
      </c>
      <c r="M538" t="n">
        <v>0</v>
      </c>
      <c r="N538" t="n">
        <v>0</v>
      </c>
      <c r="O538" t="n">
        <v>0</v>
      </c>
      <c r="P538" t="n">
        <v>0</v>
      </c>
      <c r="Q538" t="n">
        <v>0</v>
      </c>
      <c r="R538" s="2" t="inlineStr"/>
    </row>
    <row r="539" ht="15" customHeight="1">
      <c r="A539" t="inlineStr">
        <is>
          <t>A 44919-2022</t>
        </is>
      </c>
      <c r="B539" s="1" t="n">
        <v>44841</v>
      </c>
      <c r="C539" s="1" t="n">
        <v>45828</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44942-2022</t>
        </is>
      </c>
      <c r="B540" s="1" t="n">
        <v>44841</v>
      </c>
      <c r="C540" s="1" t="n">
        <v>45828</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46189-2022</t>
        </is>
      </c>
      <c r="B541" s="1" t="n">
        <v>44847</v>
      </c>
      <c r="C541" s="1" t="n">
        <v>45828</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47231-2022</t>
        </is>
      </c>
      <c r="B542" s="1" t="n">
        <v>44852</v>
      </c>
      <c r="C542" s="1" t="n">
        <v>45828</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48734-2022</t>
        </is>
      </c>
      <c r="B543" s="1" t="n">
        <v>44855</v>
      </c>
      <c r="C543" s="1" t="n">
        <v>45828</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49812-2022</t>
        </is>
      </c>
      <c r="B544" s="1" t="n">
        <v>44862</v>
      </c>
      <c r="C544" s="1" t="n">
        <v>45828</v>
      </c>
      <c r="D544" t="inlineStr">
        <is>
          <t>GOTLANDS LÄN</t>
        </is>
      </c>
      <c r="E544" t="inlineStr">
        <is>
          <t>GOTLAND</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50810-2022</t>
        </is>
      </c>
      <c r="B545" s="1" t="n">
        <v>44867</v>
      </c>
      <c r="C545" s="1" t="n">
        <v>45828</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51591-2022</t>
        </is>
      </c>
      <c r="B546" s="1" t="n">
        <v>44871</v>
      </c>
      <c r="C546" s="1" t="n">
        <v>45828</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53725-2022</t>
        </is>
      </c>
      <c r="B547" s="1" t="n">
        <v>44875</v>
      </c>
      <c r="C547" s="1" t="n">
        <v>45828</v>
      </c>
      <c r="D547" t="inlineStr">
        <is>
          <t>GOTLANDS LÄN</t>
        </is>
      </c>
      <c r="E547" t="inlineStr">
        <is>
          <t>GOTLAND</t>
        </is>
      </c>
      <c r="F547" t="inlineStr">
        <is>
          <t>Övriga statliga verk och myndigheter</t>
        </is>
      </c>
      <c r="G547" t="n">
        <v>6.2</v>
      </c>
      <c r="H547" t="n">
        <v>0</v>
      </c>
      <c r="I547" t="n">
        <v>0</v>
      </c>
      <c r="J547" t="n">
        <v>0</v>
      </c>
      <c r="K547" t="n">
        <v>0</v>
      </c>
      <c r="L547" t="n">
        <v>0</v>
      </c>
      <c r="M547" t="n">
        <v>0</v>
      </c>
      <c r="N547" t="n">
        <v>0</v>
      </c>
      <c r="O547" t="n">
        <v>0</v>
      </c>
      <c r="P547" t="n">
        <v>0</v>
      </c>
      <c r="Q547" t="n">
        <v>0</v>
      </c>
      <c r="R547" s="2" t="inlineStr"/>
    </row>
    <row r="548" ht="15" customHeight="1">
      <c r="A548" t="inlineStr">
        <is>
          <t>A 53722-2022</t>
        </is>
      </c>
      <c r="B548" s="1" t="n">
        <v>44875</v>
      </c>
      <c r="C548" s="1" t="n">
        <v>45828</v>
      </c>
      <c r="D548" t="inlineStr">
        <is>
          <t>GOTLANDS LÄN</t>
        </is>
      </c>
      <c r="E548" t="inlineStr">
        <is>
          <t>GOTLAND</t>
        </is>
      </c>
      <c r="F548" t="inlineStr">
        <is>
          <t>Övriga statliga verk och myndigheter</t>
        </is>
      </c>
      <c r="G548" t="n">
        <v>8</v>
      </c>
      <c r="H548" t="n">
        <v>0</v>
      </c>
      <c r="I548" t="n">
        <v>0</v>
      </c>
      <c r="J548" t="n">
        <v>0</v>
      </c>
      <c r="K548" t="n">
        <v>0</v>
      </c>
      <c r="L548" t="n">
        <v>0</v>
      </c>
      <c r="M548" t="n">
        <v>0</v>
      </c>
      <c r="N548" t="n">
        <v>0</v>
      </c>
      <c r="O548" t="n">
        <v>0</v>
      </c>
      <c r="P548" t="n">
        <v>0</v>
      </c>
      <c r="Q548" t="n">
        <v>0</v>
      </c>
      <c r="R548" s="2" t="inlineStr"/>
    </row>
    <row r="549" ht="15" customHeight="1">
      <c r="A549" t="inlineStr">
        <is>
          <t>A 53727-2022</t>
        </is>
      </c>
      <c r="B549" s="1" t="n">
        <v>44875</v>
      </c>
      <c r="C549" s="1" t="n">
        <v>45828</v>
      </c>
      <c r="D549" t="inlineStr">
        <is>
          <t>GOTLANDS LÄN</t>
        </is>
      </c>
      <c r="E549" t="inlineStr">
        <is>
          <t>GOTLAND</t>
        </is>
      </c>
      <c r="F549" t="inlineStr">
        <is>
          <t>Övriga statliga verk och myndigheter</t>
        </is>
      </c>
      <c r="G549" t="n">
        <v>3.6</v>
      </c>
      <c r="H549" t="n">
        <v>0</v>
      </c>
      <c r="I549" t="n">
        <v>0</v>
      </c>
      <c r="J549" t="n">
        <v>0</v>
      </c>
      <c r="K549" t="n">
        <v>0</v>
      </c>
      <c r="L549" t="n">
        <v>0</v>
      </c>
      <c r="M549" t="n">
        <v>0</v>
      </c>
      <c r="N549" t="n">
        <v>0</v>
      </c>
      <c r="O549" t="n">
        <v>0</v>
      </c>
      <c r="P549" t="n">
        <v>0</v>
      </c>
      <c r="Q549" t="n">
        <v>0</v>
      </c>
      <c r="R549" s="2" t="inlineStr"/>
    </row>
    <row r="550" ht="15" customHeight="1">
      <c r="A550" t="inlineStr">
        <is>
          <t>A 53225-2022</t>
        </is>
      </c>
      <c r="B550" s="1" t="n">
        <v>44876</v>
      </c>
      <c r="C550" s="1" t="n">
        <v>45828</v>
      </c>
      <c r="D550" t="inlineStr">
        <is>
          <t>GOTLANDS LÄN</t>
        </is>
      </c>
      <c r="E550" t="inlineStr">
        <is>
          <t>GOTLAND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45828</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54073-2022</t>
        </is>
      </c>
      <c r="B552" s="1" t="n">
        <v>44881</v>
      </c>
      <c r="C552" s="1" t="n">
        <v>45828</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45828</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55866-2022</t>
        </is>
      </c>
      <c r="B554" s="1" t="n">
        <v>44888</v>
      </c>
      <c r="C554" s="1" t="n">
        <v>45828</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56928-2022</t>
        </is>
      </c>
      <c r="B555" s="1" t="n">
        <v>44894</v>
      </c>
      <c r="C555" s="1" t="n">
        <v>45828</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45828</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45828</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57522-2022</t>
        </is>
      </c>
      <c r="B558" s="1" t="n">
        <v>44896</v>
      </c>
      <c r="C558" s="1" t="n">
        <v>45828</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57685-2022</t>
        </is>
      </c>
      <c r="B559" s="1" t="n">
        <v>44897</v>
      </c>
      <c r="C559" s="1" t="n">
        <v>45828</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57947-2022</t>
        </is>
      </c>
      <c r="B560" s="1" t="n">
        <v>44900</v>
      </c>
      <c r="C560" s="1" t="n">
        <v>45828</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58479-2022</t>
        </is>
      </c>
      <c r="B561" s="1" t="n">
        <v>44902</v>
      </c>
      <c r="C561" s="1" t="n">
        <v>45828</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45828</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59874-2022</t>
        </is>
      </c>
      <c r="B563" s="1" t="n">
        <v>44908</v>
      </c>
      <c r="C563" s="1" t="n">
        <v>45828</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45828</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59986-2022</t>
        </is>
      </c>
      <c r="B565" s="1" t="n">
        <v>44909</v>
      </c>
      <c r="C565" s="1" t="n">
        <v>45828</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60372-2022</t>
        </is>
      </c>
      <c r="B566" s="1" t="n">
        <v>44910</v>
      </c>
      <c r="C566" s="1" t="n">
        <v>45828</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61100-2022</t>
        </is>
      </c>
      <c r="B567" s="1" t="n">
        <v>44915</v>
      </c>
      <c r="C567" s="1" t="n">
        <v>45828</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61570-2022</t>
        </is>
      </c>
      <c r="B568" s="1" t="n">
        <v>44916</v>
      </c>
      <c r="C568" s="1" t="n">
        <v>45828</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61563-2022</t>
        </is>
      </c>
      <c r="B569" s="1" t="n">
        <v>44916</v>
      </c>
      <c r="C569" s="1" t="n">
        <v>45828</v>
      </c>
      <c r="D569" t="inlineStr">
        <is>
          <t>GOTLANDS LÄN</t>
        </is>
      </c>
      <c r="E569" t="inlineStr">
        <is>
          <t>GOTLAND</t>
        </is>
      </c>
      <c r="G569" t="n">
        <v>3.4</v>
      </c>
      <c r="H569" t="n">
        <v>0</v>
      </c>
      <c r="I569" t="n">
        <v>0</v>
      </c>
      <c r="J569" t="n">
        <v>0</v>
      </c>
      <c r="K569" t="n">
        <v>0</v>
      </c>
      <c r="L569" t="n">
        <v>0</v>
      </c>
      <c r="M569" t="n">
        <v>0</v>
      </c>
      <c r="N569" t="n">
        <v>0</v>
      </c>
      <c r="O569" t="n">
        <v>0</v>
      </c>
      <c r="P569" t="n">
        <v>0</v>
      </c>
      <c r="Q569" t="n">
        <v>0</v>
      </c>
      <c r="R569" s="2" t="inlineStr"/>
    </row>
    <row r="570" ht="15" customHeight="1">
      <c r="A570" t="inlineStr">
        <is>
          <t>A 62155-2022</t>
        </is>
      </c>
      <c r="B570" s="1" t="n">
        <v>44922</v>
      </c>
      <c r="C570" s="1" t="n">
        <v>45828</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62164-2022</t>
        </is>
      </c>
      <c r="B571" s="1" t="n">
        <v>44922</v>
      </c>
      <c r="C571" s="1" t="n">
        <v>45828</v>
      </c>
      <c r="D571" t="inlineStr">
        <is>
          <t>GOTLANDS LÄN</t>
        </is>
      </c>
      <c r="E571" t="inlineStr">
        <is>
          <t>GOTLAND</t>
        </is>
      </c>
      <c r="G571" t="n">
        <v>3.8</v>
      </c>
      <c r="H571" t="n">
        <v>0</v>
      </c>
      <c r="I571" t="n">
        <v>0</v>
      </c>
      <c r="J571" t="n">
        <v>0</v>
      </c>
      <c r="K571" t="n">
        <v>0</v>
      </c>
      <c r="L571" t="n">
        <v>0</v>
      </c>
      <c r="M571" t="n">
        <v>0</v>
      </c>
      <c r="N571" t="n">
        <v>0</v>
      </c>
      <c r="O571" t="n">
        <v>0</v>
      </c>
      <c r="P571" t="n">
        <v>0</v>
      </c>
      <c r="Q571" t="n">
        <v>0</v>
      </c>
      <c r="R571" s="2" t="inlineStr"/>
    </row>
    <row r="572" ht="15" customHeight="1">
      <c r="A572" t="inlineStr">
        <is>
          <t>A 62182-2022</t>
        </is>
      </c>
      <c r="B572" s="1" t="n">
        <v>44922</v>
      </c>
      <c r="C572" s="1" t="n">
        <v>45828</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62151-2022</t>
        </is>
      </c>
      <c r="B573" s="1" t="n">
        <v>44922</v>
      </c>
      <c r="C573" s="1" t="n">
        <v>45828</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62186-2022</t>
        </is>
      </c>
      <c r="B574" s="1" t="n">
        <v>44922</v>
      </c>
      <c r="C574" s="1" t="n">
        <v>45828</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62184-2022</t>
        </is>
      </c>
      <c r="B575" s="1" t="n">
        <v>44922</v>
      </c>
      <c r="C575" s="1" t="n">
        <v>45828</v>
      </c>
      <c r="D575" t="inlineStr">
        <is>
          <t>GOTLANDS LÄN</t>
        </is>
      </c>
      <c r="E575" t="inlineStr">
        <is>
          <t>GOTLAND</t>
        </is>
      </c>
      <c r="G575" t="n">
        <v>4.9</v>
      </c>
      <c r="H575" t="n">
        <v>0</v>
      </c>
      <c r="I575" t="n">
        <v>0</v>
      </c>
      <c r="J575" t="n">
        <v>0</v>
      </c>
      <c r="K575" t="n">
        <v>0</v>
      </c>
      <c r="L575" t="n">
        <v>0</v>
      </c>
      <c r="M575" t="n">
        <v>0</v>
      </c>
      <c r="N575" t="n">
        <v>0</v>
      </c>
      <c r="O575" t="n">
        <v>0</v>
      </c>
      <c r="P575" t="n">
        <v>0</v>
      </c>
      <c r="Q575" t="n">
        <v>0</v>
      </c>
      <c r="R575" s="2" t="inlineStr"/>
    </row>
    <row r="576" ht="15" customHeight="1">
      <c r="A576" t="inlineStr">
        <is>
          <t>A 163-2023</t>
        </is>
      </c>
      <c r="B576" s="1" t="n">
        <v>44928</v>
      </c>
      <c r="C576" s="1" t="n">
        <v>45828</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45828</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457-2023</t>
        </is>
      </c>
      <c r="B578" s="1" t="n">
        <v>44929</v>
      </c>
      <c r="C578" s="1" t="n">
        <v>45828</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v>
      </c>
      <c r="C579" s="1" t="n">
        <v>45828</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459-2023</t>
        </is>
      </c>
      <c r="B580" s="1" t="n">
        <v>44929</v>
      </c>
      <c r="C580" s="1" t="n">
        <v>45828</v>
      </c>
      <c r="D580" t="inlineStr">
        <is>
          <t>GOTLANDS LÄN</t>
        </is>
      </c>
      <c r="E580" t="inlineStr">
        <is>
          <t>GOTLAND</t>
        </is>
      </c>
      <c r="G580" t="n">
        <v>4.2</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45828</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811-2023</t>
        </is>
      </c>
      <c r="B582" s="1" t="n">
        <v>44931</v>
      </c>
      <c r="C582" s="1" t="n">
        <v>45828</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999-2023</t>
        </is>
      </c>
      <c r="B583" s="1" t="n">
        <v>44935</v>
      </c>
      <c r="C583" s="1" t="n">
        <v>45828</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1284-2023</t>
        </is>
      </c>
      <c r="B584" s="1" t="n">
        <v>44936</v>
      </c>
      <c r="C584" s="1" t="n">
        <v>45828</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1273-2023</t>
        </is>
      </c>
      <c r="B585" s="1" t="n">
        <v>44936</v>
      </c>
      <c r="C585" s="1" t="n">
        <v>45828</v>
      </c>
      <c r="D585" t="inlineStr">
        <is>
          <t>GOTLANDS LÄN</t>
        </is>
      </c>
      <c r="E585" t="inlineStr">
        <is>
          <t>GOTLAND</t>
        </is>
      </c>
      <c r="G585" t="n">
        <v>4.5</v>
      </c>
      <c r="H585" t="n">
        <v>0</v>
      </c>
      <c r="I585" t="n">
        <v>0</v>
      </c>
      <c r="J585" t="n">
        <v>0</v>
      </c>
      <c r="K585" t="n">
        <v>0</v>
      </c>
      <c r="L585" t="n">
        <v>0</v>
      </c>
      <c r="M585" t="n">
        <v>0</v>
      </c>
      <c r="N585" t="n">
        <v>0</v>
      </c>
      <c r="O585" t="n">
        <v>0</v>
      </c>
      <c r="P585" t="n">
        <v>0</v>
      </c>
      <c r="Q585" t="n">
        <v>0</v>
      </c>
      <c r="R585" s="2" t="inlineStr"/>
    </row>
    <row r="586" ht="15" customHeight="1">
      <c r="A586" t="inlineStr">
        <is>
          <t>A 1291-2023</t>
        </is>
      </c>
      <c r="B586" s="1" t="n">
        <v>44936</v>
      </c>
      <c r="C586" s="1" t="n">
        <v>45828</v>
      </c>
      <c r="D586" t="inlineStr">
        <is>
          <t>GOTLANDS LÄN</t>
        </is>
      </c>
      <c r="E586" t="inlineStr">
        <is>
          <t>GOTLAND</t>
        </is>
      </c>
      <c r="G586" t="n">
        <v>7.4</v>
      </c>
      <c r="H586" t="n">
        <v>0</v>
      </c>
      <c r="I586" t="n">
        <v>0</v>
      </c>
      <c r="J586" t="n">
        <v>0</v>
      </c>
      <c r="K586" t="n">
        <v>0</v>
      </c>
      <c r="L586" t="n">
        <v>0</v>
      </c>
      <c r="M586" t="n">
        <v>0</v>
      </c>
      <c r="N586" t="n">
        <v>0</v>
      </c>
      <c r="O586" t="n">
        <v>0</v>
      </c>
      <c r="P586" t="n">
        <v>0</v>
      </c>
      <c r="Q586" t="n">
        <v>0</v>
      </c>
      <c r="R586" s="2" t="inlineStr"/>
    </row>
    <row r="587" ht="15" customHeight="1">
      <c r="A587" t="inlineStr">
        <is>
          <t>A 1394-2023</t>
        </is>
      </c>
      <c r="B587" s="1" t="n">
        <v>44936</v>
      </c>
      <c r="C587" s="1" t="n">
        <v>45828</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45828</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v>
      </c>
      <c r="C589" s="1" t="n">
        <v>45828</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45828</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2676-2023</t>
        </is>
      </c>
      <c r="B591" s="1" t="n">
        <v>44944</v>
      </c>
      <c r="C591" s="1" t="n">
        <v>45828</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v>
      </c>
      <c r="C592" s="1" t="n">
        <v>45828</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2727-2023</t>
        </is>
      </c>
      <c r="B593" s="1" t="n">
        <v>44944</v>
      </c>
      <c r="C593" s="1" t="n">
        <v>45828</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v>
      </c>
      <c r="C594" s="1" t="n">
        <v>45828</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2805-2023</t>
        </is>
      </c>
      <c r="B595" s="1" t="n">
        <v>44944</v>
      </c>
      <c r="C595" s="1" t="n">
        <v>45828</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2815-2023</t>
        </is>
      </c>
      <c r="B596" s="1" t="n">
        <v>44944</v>
      </c>
      <c r="C596" s="1" t="n">
        <v>45828</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3230-2023</t>
        </is>
      </c>
      <c r="B597" s="1" t="n">
        <v>44946</v>
      </c>
      <c r="C597" s="1" t="n">
        <v>45828</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4378-2023</t>
        </is>
      </c>
      <c r="B598" s="1" t="n">
        <v>44955</v>
      </c>
      <c r="C598" s="1" t="n">
        <v>45828</v>
      </c>
      <c r="D598" t="inlineStr">
        <is>
          <t>GOTLANDS LÄN</t>
        </is>
      </c>
      <c r="E598" t="inlineStr">
        <is>
          <t>GOTLAND</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4377-2023</t>
        </is>
      </c>
      <c r="B599" s="1" t="n">
        <v>44955</v>
      </c>
      <c r="C599" s="1" t="n">
        <v>45828</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4387-2023</t>
        </is>
      </c>
      <c r="B600" s="1" t="n">
        <v>44955</v>
      </c>
      <c r="C600" s="1" t="n">
        <v>45828</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4565-2023</t>
        </is>
      </c>
      <c r="B601" s="1" t="n">
        <v>44956</v>
      </c>
      <c r="C601" s="1" t="n">
        <v>45828</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5217-2023</t>
        </is>
      </c>
      <c r="B602" s="1" t="n">
        <v>44959</v>
      </c>
      <c r="C602" s="1" t="n">
        <v>45828</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5379-2023</t>
        </is>
      </c>
      <c r="B603" s="1" t="n">
        <v>44959</v>
      </c>
      <c r="C603" s="1" t="n">
        <v>45828</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45828</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5923-2023</t>
        </is>
      </c>
      <c r="B605" s="1" t="n">
        <v>44963</v>
      </c>
      <c r="C605" s="1" t="n">
        <v>45828</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6721-2023</t>
        </is>
      </c>
      <c r="B606" s="1" t="n">
        <v>44966</v>
      </c>
      <c r="C606" s="1" t="n">
        <v>45828</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6717-2023</t>
        </is>
      </c>
      <c r="B607" s="1" t="n">
        <v>44966</v>
      </c>
      <c r="C607" s="1" t="n">
        <v>45828</v>
      </c>
      <c r="D607" t="inlineStr">
        <is>
          <t>GOTLANDS LÄN</t>
        </is>
      </c>
      <c r="E607" t="inlineStr">
        <is>
          <t>GOTLAND</t>
        </is>
      </c>
      <c r="F607" t="inlineStr">
        <is>
          <t>Naturvårdsverket</t>
        </is>
      </c>
      <c r="G607" t="n">
        <v>1.4</v>
      </c>
      <c r="H607" t="n">
        <v>0</v>
      </c>
      <c r="I607" t="n">
        <v>0</v>
      </c>
      <c r="J607" t="n">
        <v>0</v>
      </c>
      <c r="K607" t="n">
        <v>0</v>
      </c>
      <c r="L607" t="n">
        <v>0</v>
      </c>
      <c r="M607" t="n">
        <v>0</v>
      </c>
      <c r="N607" t="n">
        <v>0</v>
      </c>
      <c r="O607" t="n">
        <v>0</v>
      </c>
      <c r="P607" t="n">
        <v>0</v>
      </c>
      <c r="Q607" t="n">
        <v>0</v>
      </c>
      <c r="R607" s="2" t="inlineStr"/>
    </row>
    <row r="608" ht="15" customHeight="1">
      <c r="A608" t="inlineStr">
        <is>
          <t>A 7041-2023</t>
        </is>
      </c>
      <c r="B608" s="1" t="n">
        <v>44968</v>
      </c>
      <c r="C608" s="1" t="n">
        <v>45828</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7026-2023</t>
        </is>
      </c>
      <c r="B609" s="1" t="n">
        <v>44968</v>
      </c>
      <c r="C609" s="1" t="n">
        <v>45828</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7034-2023</t>
        </is>
      </c>
      <c r="B610" s="1" t="n">
        <v>44968</v>
      </c>
      <c r="C610" s="1" t="n">
        <v>45828</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7040-2023</t>
        </is>
      </c>
      <c r="B611" s="1" t="n">
        <v>44968</v>
      </c>
      <c r="C611" s="1" t="n">
        <v>45828</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7042-2023</t>
        </is>
      </c>
      <c r="B612" s="1" t="n">
        <v>44968</v>
      </c>
      <c r="C612" s="1" t="n">
        <v>45828</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8260-2023</t>
        </is>
      </c>
      <c r="B613" s="1" t="n">
        <v>44974</v>
      </c>
      <c r="C613" s="1" t="n">
        <v>45828</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8962-2023</t>
        </is>
      </c>
      <c r="B614" s="1" t="n">
        <v>44979</v>
      </c>
      <c r="C614" s="1" t="n">
        <v>45828</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10492-2023</t>
        </is>
      </c>
      <c r="B615" s="1" t="n">
        <v>44987</v>
      </c>
      <c r="C615" s="1" t="n">
        <v>45828</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10655-2023</t>
        </is>
      </c>
      <c r="B616" s="1" t="n">
        <v>44988</v>
      </c>
      <c r="C616" s="1" t="n">
        <v>45828</v>
      </c>
      <c r="D616" t="inlineStr">
        <is>
          <t>GOTLANDS LÄN</t>
        </is>
      </c>
      <c r="E616" t="inlineStr">
        <is>
          <t>GOTLAND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10657-2023</t>
        </is>
      </c>
      <c r="B617" s="1" t="n">
        <v>44988</v>
      </c>
      <c r="C617" s="1" t="n">
        <v>45828</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10653-2023</t>
        </is>
      </c>
      <c r="B618" s="1" t="n">
        <v>44988</v>
      </c>
      <c r="C618" s="1" t="n">
        <v>45828</v>
      </c>
      <c r="D618" t="inlineStr">
        <is>
          <t>GOTLANDS LÄN</t>
        </is>
      </c>
      <c r="E618" t="inlineStr">
        <is>
          <t>GOTLAND</t>
        </is>
      </c>
      <c r="F618" t="inlineStr">
        <is>
          <t>Kyrkan</t>
        </is>
      </c>
      <c r="G618" t="n">
        <v>3</v>
      </c>
      <c r="H618" t="n">
        <v>0</v>
      </c>
      <c r="I618" t="n">
        <v>0</v>
      </c>
      <c r="J618" t="n">
        <v>0</v>
      </c>
      <c r="K618" t="n">
        <v>0</v>
      </c>
      <c r="L618" t="n">
        <v>0</v>
      </c>
      <c r="M618" t="n">
        <v>0</v>
      </c>
      <c r="N618" t="n">
        <v>0</v>
      </c>
      <c r="O618" t="n">
        <v>0</v>
      </c>
      <c r="P618" t="n">
        <v>0</v>
      </c>
      <c r="Q618" t="n">
        <v>0</v>
      </c>
      <c r="R618" s="2" t="inlineStr"/>
    </row>
    <row r="619" ht="15" customHeight="1">
      <c r="A619" t="inlineStr">
        <is>
          <t>A 11115-2023</t>
        </is>
      </c>
      <c r="B619" s="1" t="n">
        <v>44992</v>
      </c>
      <c r="C619" s="1" t="n">
        <v>45828</v>
      </c>
      <c r="D619" t="inlineStr">
        <is>
          <t>GOTLANDS LÄN</t>
        </is>
      </c>
      <c r="E619" t="inlineStr">
        <is>
          <t>GOTLAND</t>
        </is>
      </c>
      <c r="G619" t="n">
        <v>3.5</v>
      </c>
      <c r="H619" t="n">
        <v>0</v>
      </c>
      <c r="I619" t="n">
        <v>0</v>
      </c>
      <c r="J619" t="n">
        <v>0</v>
      </c>
      <c r="K619" t="n">
        <v>0</v>
      </c>
      <c r="L619" t="n">
        <v>0</v>
      </c>
      <c r="M619" t="n">
        <v>0</v>
      </c>
      <c r="N619" t="n">
        <v>0</v>
      </c>
      <c r="O619" t="n">
        <v>0</v>
      </c>
      <c r="P619" t="n">
        <v>0</v>
      </c>
      <c r="Q619" t="n">
        <v>0</v>
      </c>
      <c r="R619" s="2" t="inlineStr"/>
    </row>
    <row r="620" ht="15" customHeight="1">
      <c r="A620" t="inlineStr">
        <is>
          <t>A 12161-2023</t>
        </is>
      </c>
      <c r="B620" s="1" t="n">
        <v>44998</v>
      </c>
      <c r="C620" s="1" t="n">
        <v>45828</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12155-2023</t>
        </is>
      </c>
      <c r="B621" s="1" t="n">
        <v>44998</v>
      </c>
      <c r="C621" s="1" t="n">
        <v>45828</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12596-2023</t>
        </is>
      </c>
      <c r="B622" s="1" t="n">
        <v>45000</v>
      </c>
      <c r="C622" s="1" t="n">
        <v>45828</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13627-2023</t>
        </is>
      </c>
      <c r="B623" s="1" t="n">
        <v>45006</v>
      </c>
      <c r="C623" s="1" t="n">
        <v>45828</v>
      </c>
      <c r="D623" t="inlineStr">
        <is>
          <t>GOTLANDS LÄN</t>
        </is>
      </c>
      <c r="E623" t="inlineStr">
        <is>
          <t>GOTLAND</t>
        </is>
      </c>
      <c r="G623" t="n">
        <v>10.7</v>
      </c>
      <c r="H623" t="n">
        <v>0</v>
      </c>
      <c r="I623" t="n">
        <v>0</v>
      </c>
      <c r="J623" t="n">
        <v>0</v>
      </c>
      <c r="K623" t="n">
        <v>0</v>
      </c>
      <c r="L623" t="n">
        <v>0</v>
      </c>
      <c r="M623" t="n">
        <v>0</v>
      </c>
      <c r="N623" t="n">
        <v>0</v>
      </c>
      <c r="O623" t="n">
        <v>0</v>
      </c>
      <c r="P623" t="n">
        <v>0</v>
      </c>
      <c r="Q623" t="n">
        <v>0</v>
      </c>
      <c r="R623" s="2" t="inlineStr"/>
    </row>
    <row r="624" ht="15" customHeight="1">
      <c r="A624" t="inlineStr">
        <is>
          <t>A 13910-2023</t>
        </is>
      </c>
      <c r="B624" s="1" t="n">
        <v>45008</v>
      </c>
      <c r="C624" s="1" t="n">
        <v>45828</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14635-2023</t>
        </is>
      </c>
      <c r="B625" s="1" t="n">
        <v>45013</v>
      </c>
      <c r="C625" s="1" t="n">
        <v>45828</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14704-2023</t>
        </is>
      </c>
      <c r="B626" s="1" t="n">
        <v>45014</v>
      </c>
      <c r="C626" s="1" t="n">
        <v>45828</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15182-2023</t>
        </is>
      </c>
      <c r="B627" s="1" t="n">
        <v>45016</v>
      </c>
      <c r="C627" s="1" t="n">
        <v>45828</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15216-2023</t>
        </is>
      </c>
      <c r="B628" s="1" t="n">
        <v>45019</v>
      </c>
      <c r="C628" s="1" t="n">
        <v>45828</v>
      </c>
      <c r="D628" t="inlineStr">
        <is>
          <t>GOTLANDS LÄN</t>
        </is>
      </c>
      <c r="E628" t="inlineStr">
        <is>
          <t>GOTLAND</t>
        </is>
      </c>
      <c r="G628" t="n">
        <v>5</v>
      </c>
      <c r="H628" t="n">
        <v>0</v>
      </c>
      <c r="I628" t="n">
        <v>0</v>
      </c>
      <c r="J628" t="n">
        <v>0</v>
      </c>
      <c r="K628" t="n">
        <v>0</v>
      </c>
      <c r="L628" t="n">
        <v>0</v>
      </c>
      <c r="M628" t="n">
        <v>0</v>
      </c>
      <c r="N628" t="n">
        <v>0</v>
      </c>
      <c r="O628" t="n">
        <v>0</v>
      </c>
      <c r="P628" t="n">
        <v>0</v>
      </c>
      <c r="Q628" t="n">
        <v>0</v>
      </c>
      <c r="R628" s="2" t="inlineStr"/>
    </row>
    <row r="629" ht="15" customHeight="1">
      <c r="A629" t="inlineStr">
        <is>
          <t>A 15617-2023</t>
        </is>
      </c>
      <c r="B629" s="1" t="n">
        <v>45020</v>
      </c>
      <c r="C629" s="1" t="n">
        <v>45828</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16501-2023</t>
        </is>
      </c>
      <c r="B630" s="1" t="n">
        <v>45029</v>
      </c>
      <c r="C630" s="1" t="n">
        <v>45828</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17080-2023</t>
        </is>
      </c>
      <c r="B631" s="1" t="n">
        <v>45033</v>
      </c>
      <c r="C631" s="1" t="n">
        <v>45828</v>
      </c>
      <c r="D631" t="inlineStr">
        <is>
          <t>GOTLANDS LÄN</t>
        </is>
      </c>
      <c r="E631" t="inlineStr">
        <is>
          <t>GOTLAND</t>
        </is>
      </c>
      <c r="G631" t="n">
        <v>2</v>
      </c>
      <c r="H631" t="n">
        <v>0</v>
      </c>
      <c r="I631" t="n">
        <v>0</v>
      </c>
      <c r="J631" t="n">
        <v>0</v>
      </c>
      <c r="K631" t="n">
        <v>0</v>
      </c>
      <c r="L631" t="n">
        <v>0</v>
      </c>
      <c r="M631" t="n">
        <v>0</v>
      </c>
      <c r="N631" t="n">
        <v>0</v>
      </c>
      <c r="O631" t="n">
        <v>0</v>
      </c>
      <c r="P631" t="n">
        <v>0</v>
      </c>
      <c r="Q631" t="n">
        <v>0</v>
      </c>
      <c r="R631" s="2" t="inlineStr"/>
    </row>
    <row r="632" ht="15" customHeight="1">
      <c r="A632" t="inlineStr">
        <is>
          <t>A 17901-2023</t>
        </is>
      </c>
      <c r="B632" s="1" t="n">
        <v>45039</v>
      </c>
      <c r="C632" s="1" t="n">
        <v>45828</v>
      </c>
      <c r="D632" t="inlineStr">
        <is>
          <t>GOTLANDS LÄN</t>
        </is>
      </c>
      <c r="E632" t="inlineStr">
        <is>
          <t>GOTLAND</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18889-2023</t>
        </is>
      </c>
      <c r="B633" s="1" t="n">
        <v>45044</v>
      </c>
      <c r="C633" s="1" t="n">
        <v>45828</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20993-2023</t>
        </is>
      </c>
      <c r="B634" s="1" t="n">
        <v>45056</v>
      </c>
      <c r="C634" s="1" t="n">
        <v>45828</v>
      </c>
      <c r="D634" t="inlineStr">
        <is>
          <t>GOTLANDS LÄN</t>
        </is>
      </c>
      <c r="E634" t="inlineStr">
        <is>
          <t>GOTLAND</t>
        </is>
      </c>
      <c r="G634" t="n">
        <v>7.1</v>
      </c>
      <c r="H634" t="n">
        <v>0</v>
      </c>
      <c r="I634" t="n">
        <v>0</v>
      </c>
      <c r="J634" t="n">
        <v>0</v>
      </c>
      <c r="K634" t="n">
        <v>0</v>
      </c>
      <c r="L634" t="n">
        <v>0</v>
      </c>
      <c r="M634" t="n">
        <v>0</v>
      </c>
      <c r="N634" t="n">
        <v>0</v>
      </c>
      <c r="O634" t="n">
        <v>0</v>
      </c>
      <c r="P634" t="n">
        <v>0</v>
      </c>
      <c r="Q634" t="n">
        <v>0</v>
      </c>
      <c r="R634" s="2" t="inlineStr"/>
    </row>
    <row r="635" ht="15" customHeight="1">
      <c r="A635" t="inlineStr">
        <is>
          <t>A 20855-2023</t>
        </is>
      </c>
      <c r="B635" s="1" t="n">
        <v>45058</v>
      </c>
      <c r="C635" s="1" t="n">
        <v>45828</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20856-2023</t>
        </is>
      </c>
      <c r="B636" s="1" t="n">
        <v>45058</v>
      </c>
      <c r="C636" s="1" t="n">
        <v>45828</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20857-2023</t>
        </is>
      </c>
      <c r="B637" s="1" t="n">
        <v>45058</v>
      </c>
      <c r="C637" s="1" t="n">
        <v>45828</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20854-2023</t>
        </is>
      </c>
      <c r="B638" s="1" t="n">
        <v>45058</v>
      </c>
      <c r="C638" s="1" t="n">
        <v>45828</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22275-2023</t>
        </is>
      </c>
      <c r="B639" s="1" t="n">
        <v>45070</v>
      </c>
      <c r="C639" s="1" t="n">
        <v>45828</v>
      </c>
      <c r="D639" t="inlineStr">
        <is>
          <t>GOTLANDS LÄN</t>
        </is>
      </c>
      <c r="E639" t="inlineStr">
        <is>
          <t>GOTLAND</t>
        </is>
      </c>
      <c r="G639" t="n">
        <v>7.2</v>
      </c>
      <c r="H639" t="n">
        <v>0</v>
      </c>
      <c r="I639" t="n">
        <v>0</v>
      </c>
      <c r="J639" t="n">
        <v>0</v>
      </c>
      <c r="K639" t="n">
        <v>0</v>
      </c>
      <c r="L639" t="n">
        <v>0</v>
      </c>
      <c r="M639" t="n">
        <v>0</v>
      </c>
      <c r="N639" t="n">
        <v>0</v>
      </c>
      <c r="O639" t="n">
        <v>0</v>
      </c>
      <c r="P639" t="n">
        <v>0</v>
      </c>
      <c r="Q639" t="n">
        <v>0</v>
      </c>
      <c r="R639" s="2" t="inlineStr"/>
    </row>
    <row r="640" ht="15" customHeight="1">
      <c r="A640" t="inlineStr">
        <is>
          <t>A 22412-2023</t>
        </is>
      </c>
      <c r="B640" s="1" t="n">
        <v>45070</v>
      </c>
      <c r="C640" s="1" t="n">
        <v>45828</v>
      </c>
      <c r="D640" t="inlineStr">
        <is>
          <t>GOTLANDS LÄN</t>
        </is>
      </c>
      <c r="E640" t="inlineStr">
        <is>
          <t>GOTLAND</t>
        </is>
      </c>
      <c r="G640" t="n">
        <v>7.3</v>
      </c>
      <c r="H640" t="n">
        <v>0</v>
      </c>
      <c r="I640" t="n">
        <v>0</v>
      </c>
      <c r="J640" t="n">
        <v>0</v>
      </c>
      <c r="K640" t="n">
        <v>0</v>
      </c>
      <c r="L640" t="n">
        <v>0</v>
      </c>
      <c r="M640" t="n">
        <v>0</v>
      </c>
      <c r="N640" t="n">
        <v>0</v>
      </c>
      <c r="O640" t="n">
        <v>0</v>
      </c>
      <c r="P640" t="n">
        <v>0</v>
      </c>
      <c r="Q640" t="n">
        <v>0</v>
      </c>
      <c r="R640" s="2" t="inlineStr"/>
    </row>
    <row r="641" ht="15" customHeight="1">
      <c r="A641" t="inlineStr">
        <is>
          <t>A 22709-2023</t>
        </is>
      </c>
      <c r="B641" s="1" t="n">
        <v>45071</v>
      </c>
      <c r="C641" s="1" t="n">
        <v>45828</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22704-2023</t>
        </is>
      </c>
      <c r="B642" s="1" t="n">
        <v>45071</v>
      </c>
      <c r="C642" s="1" t="n">
        <v>45828</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22708-2023</t>
        </is>
      </c>
      <c r="B643" s="1" t="n">
        <v>45071</v>
      </c>
      <c r="C643" s="1" t="n">
        <v>45828</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22707-2023</t>
        </is>
      </c>
      <c r="B644" s="1" t="n">
        <v>45071</v>
      </c>
      <c r="C644" s="1" t="n">
        <v>45828</v>
      </c>
      <c r="D644" t="inlineStr">
        <is>
          <t>GOTLANDS LÄN</t>
        </is>
      </c>
      <c r="E644" t="inlineStr">
        <is>
          <t>GOTLAND</t>
        </is>
      </c>
      <c r="G644" t="n">
        <v>2.2</v>
      </c>
      <c r="H644" t="n">
        <v>0</v>
      </c>
      <c r="I644" t="n">
        <v>0</v>
      </c>
      <c r="J644" t="n">
        <v>0</v>
      </c>
      <c r="K644" t="n">
        <v>0</v>
      </c>
      <c r="L644" t="n">
        <v>0</v>
      </c>
      <c r="M644" t="n">
        <v>0</v>
      </c>
      <c r="N644" t="n">
        <v>0</v>
      </c>
      <c r="O644" t="n">
        <v>0</v>
      </c>
      <c r="P644" t="n">
        <v>0</v>
      </c>
      <c r="Q644" t="n">
        <v>0</v>
      </c>
      <c r="R644" s="2" t="inlineStr"/>
    </row>
    <row r="645" ht="15" customHeight="1">
      <c r="A645" t="inlineStr">
        <is>
          <t>A 22723-2023</t>
        </is>
      </c>
      <c r="B645" s="1" t="n">
        <v>45071</v>
      </c>
      <c r="C645" s="1" t="n">
        <v>45828</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22706-2023</t>
        </is>
      </c>
      <c r="B646" s="1" t="n">
        <v>45071</v>
      </c>
      <c r="C646" s="1" t="n">
        <v>45828</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22890-2023</t>
        </is>
      </c>
      <c r="B647" s="1" t="n">
        <v>45072</v>
      </c>
      <c r="C647" s="1" t="n">
        <v>45828</v>
      </c>
      <c r="D647" t="inlineStr">
        <is>
          <t>GOTLANDS LÄN</t>
        </is>
      </c>
      <c r="E647" t="inlineStr">
        <is>
          <t>GOTLAND</t>
        </is>
      </c>
      <c r="G647" t="n">
        <v>7.5</v>
      </c>
      <c r="H647" t="n">
        <v>0</v>
      </c>
      <c r="I647" t="n">
        <v>0</v>
      </c>
      <c r="J647" t="n">
        <v>0</v>
      </c>
      <c r="K647" t="n">
        <v>0</v>
      </c>
      <c r="L647" t="n">
        <v>0</v>
      </c>
      <c r="M647" t="n">
        <v>0</v>
      </c>
      <c r="N647" t="n">
        <v>0</v>
      </c>
      <c r="O647" t="n">
        <v>0</v>
      </c>
      <c r="P647" t="n">
        <v>0</v>
      </c>
      <c r="Q647" t="n">
        <v>0</v>
      </c>
      <c r="R647" s="2" t="inlineStr"/>
    </row>
    <row r="648" ht="15" customHeight="1">
      <c r="A648" t="inlineStr">
        <is>
          <t>A 22899-2023</t>
        </is>
      </c>
      <c r="B648" s="1" t="n">
        <v>45072</v>
      </c>
      <c r="C648" s="1" t="n">
        <v>45828</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row r="649" ht="15" customHeight="1">
      <c r="A649" t="inlineStr">
        <is>
          <t>A 22903-2023</t>
        </is>
      </c>
      <c r="B649" s="1" t="n">
        <v>45072</v>
      </c>
      <c r="C649" s="1" t="n">
        <v>45828</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22897-2023</t>
        </is>
      </c>
      <c r="B650" s="1" t="n">
        <v>45072</v>
      </c>
      <c r="C650" s="1" t="n">
        <v>45828</v>
      </c>
      <c r="D650" t="inlineStr">
        <is>
          <t>GOTLANDS LÄN</t>
        </is>
      </c>
      <c r="E650" t="inlineStr">
        <is>
          <t>GOTLAND</t>
        </is>
      </c>
      <c r="G650" t="n">
        <v>1.1</v>
      </c>
      <c r="H650" t="n">
        <v>0</v>
      </c>
      <c r="I650" t="n">
        <v>0</v>
      </c>
      <c r="J650" t="n">
        <v>0</v>
      </c>
      <c r="K650" t="n">
        <v>0</v>
      </c>
      <c r="L650" t="n">
        <v>0</v>
      </c>
      <c r="M650" t="n">
        <v>0</v>
      </c>
      <c r="N650" t="n">
        <v>0</v>
      </c>
      <c r="O650" t="n">
        <v>0</v>
      </c>
      <c r="P650" t="n">
        <v>0</v>
      </c>
      <c r="Q650" t="n">
        <v>0</v>
      </c>
      <c r="R650" s="2" t="inlineStr"/>
    </row>
    <row r="651" ht="15" customHeight="1">
      <c r="A651" t="inlineStr">
        <is>
          <t>A 23511-2023</t>
        </is>
      </c>
      <c r="B651" s="1" t="n">
        <v>45077</v>
      </c>
      <c r="C651" s="1" t="n">
        <v>45828</v>
      </c>
      <c r="D651" t="inlineStr">
        <is>
          <t>GOTLANDS LÄN</t>
        </is>
      </c>
      <c r="E651" t="inlineStr">
        <is>
          <t>GOTLAND</t>
        </is>
      </c>
      <c r="G651" t="n">
        <v>11.2</v>
      </c>
      <c r="H651" t="n">
        <v>0</v>
      </c>
      <c r="I651" t="n">
        <v>0</v>
      </c>
      <c r="J651" t="n">
        <v>0</v>
      </c>
      <c r="K651" t="n">
        <v>0</v>
      </c>
      <c r="L651" t="n">
        <v>0</v>
      </c>
      <c r="M651" t="n">
        <v>0</v>
      </c>
      <c r="N651" t="n">
        <v>0</v>
      </c>
      <c r="O651" t="n">
        <v>0</v>
      </c>
      <c r="P651" t="n">
        <v>0</v>
      </c>
      <c r="Q651" t="n">
        <v>0</v>
      </c>
      <c r="R651" s="2" t="inlineStr"/>
    </row>
    <row r="652" ht="15" customHeight="1">
      <c r="A652" t="inlineStr">
        <is>
          <t>A 23516-2023</t>
        </is>
      </c>
      <c r="B652" s="1" t="n">
        <v>45077</v>
      </c>
      <c r="C652" s="1" t="n">
        <v>45828</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23858-2023</t>
        </is>
      </c>
      <c r="B653" s="1" t="n">
        <v>45078</v>
      </c>
      <c r="C653" s="1" t="n">
        <v>45828</v>
      </c>
      <c r="D653" t="inlineStr">
        <is>
          <t>GOTLANDS LÄN</t>
        </is>
      </c>
      <c r="E653" t="inlineStr">
        <is>
          <t>GOTLAND</t>
        </is>
      </c>
      <c r="F653" t="inlineStr">
        <is>
          <t>Naturvårdsverket</t>
        </is>
      </c>
      <c r="G653" t="n">
        <v>4.2</v>
      </c>
      <c r="H653" t="n">
        <v>0</v>
      </c>
      <c r="I653" t="n">
        <v>0</v>
      </c>
      <c r="J653" t="n">
        <v>0</v>
      </c>
      <c r="K653" t="n">
        <v>0</v>
      </c>
      <c r="L653" t="n">
        <v>0</v>
      </c>
      <c r="M653" t="n">
        <v>0</v>
      </c>
      <c r="N653" t="n">
        <v>0</v>
      </c>
      <c r="O653" t="n">
        <v>0</v>
      </c>
      <c r="P653" t="n">
        <v>0</v>
      </c>
      <c r="Q653" t="n">
        <v>0</v>
      </c>
      <c r="R653" s="2" t="inlineStr"/>
    </row>
    <row r="654" ht="15" customHeight="1">
      <c r="A654" t="inlineStr">
        <is>
          <t>A 23966-2023</t>
        </is>
      </c>
      <c r="B654" s="1" t="n">
        <v>45078</v>
      </c>
      <c r="C654" s="1" t="n">
        <v>45828</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23978-2023</t>
        </is>
      </c>
      <c r="B655" s="1" t="n">
        <v>45078</v>
      </c>
      <c r="C655" s="1" t="n">
        <v>45828</v>
      </c>
      <c r="D655" t="inlineStr">
        <is>
          <t>GOTLANDS LÄN</t>
        </is>
      </c>
      <c r="E655" t="inlineStr">
        <is>
          <t>GOTLAND</t>
        </is>
      </c>
      <c r="F655" t="inlineStr">
        <is>
          <t>Naturvårdsverket</t>
        </is>
      </c>
      <c r="G655" t="n">
        <v>1.7</v>
      </c>
      <c r="H655" t="n">
        <v>0</v>
      </c>
      <c r="I655" t="n">
        <v>0</v>
      </c>
      <c r="J655" t="n">
        <v>0</v>
      </c>
      <c r="K655" t="n">
        <v>0</v>
      </c>
      <c r="L655" t="n">
        <v>0</v>
      </c>
      <c r="M655" t="n">
        <v>0</v>
      </c>
      <c r="N655" t="n">
        <v>0</v>
      </c>
      <c r="O655" t="n">
        <v>0</v>
      </c>
      <c r="P655" t="n">
        <v>0</v>
      </c>
      <c r="Q655" t="n">
        <v>0</v>
      </c>
      <c r="R655" s="2" t="inlineStr"/>
    </row>
    <row r="656" ht="15" customHeight="1">
      <c r="A656" t="inlineStr">
        <is>
          <t>A 24192-2023</t>
        </is>
      </c>
      <c r="B656" s="1" t="n">
        <v>45079</v>
      </c>
      <c r="C656" s="1" t="n">
        <v>45828</v>
      </c>
      <c r="D656" t="inlineStr">
        <is>
          <t>GOTLANDS LÄN</t>
        </is>
      </c>
      <c r="E656" t="inlineStr">
        <is>
          <t>GOTLAND</t>
        </is>
      </c>
      <c r="G656" t="n">
        <v>2.1</v>
      </c>
      <c r="H656" t="n">
        <v>0</v>
      </c>
      <c r="I656" t="n">
        <v>0</v>
      </c>
      <c r="J656" t="n">
        <v>0</v>
      </c>
      <c r="K656" t="n">
        <v>0</v>
      </c>
      <c r="L656" t="n">
        <v>0</v>
      </c>
      <c r="M656" t="n">
        <v>0</v>
      </c>
      <c r="N656" t="n">
        <v>0</v>
      </c>
      <c r="O656" t="n">
        <v>0</v>
      </c>
      <c r="P656" t="n">
        <v>0</v>
      </c>
      <c r="Q656" t="n">
        <v>0</v>
      </c>
      <c r="R656" s="2" t="inlineStr"/>
    </row>
    <row r="657" ht="15" customHeight="1">
      <c r="A657" t="inlineStr">
        <is>
          <t>A 24719-2023</t>
        </is>
      </c>
      <c r="B657" s="1" t="n">
        <v>45084</v>
      </c>
      <c r="C657" s="1" t="n">
        <v>45828</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24966-2023</t>
        </is>
      </c>
      <c r="B658" s="1" t="n">
        <v>45085</v>
      </c>
      <c r="C658" s="1" t="n">
        <v>45828</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25129-2023</t>
        </is>
      </c>
      <c r="B659" s="1" t="n">
        <v>45086</v>
      </c>
      <c r="C659" s="1" t="n">
        <v>45828</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45828</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45828</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45828</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45828</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45828</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45828</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45828</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45828</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45828</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45828</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45828</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45828</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45828</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45828</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45828</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45828</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45828</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45828</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45828</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45828</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45828</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45828</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45828</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45828</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45828</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45828</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45828</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45828</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45828</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45828</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45828</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45828</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45828</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45828</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45828</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45828</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45828</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45828</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45828</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45828</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45828</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45828</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45828</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45828</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45828</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45828</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45828</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45828</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45828</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45828</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45828</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45828</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45828</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45828</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45828</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45828</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45828</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45828</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45828</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45828</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45828</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45828</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45828</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45828</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45828</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45828</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45828</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45828</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45828</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45828</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45828</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45828</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45828</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45828</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45828</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45828</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45828</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45828</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45828</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45828</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45828</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45828</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45828</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45828</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45828</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45828</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45828</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45828</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45828</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45828</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45828</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45828</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45828</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45828</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45828</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61386-2023</t>
        </is>
      </c>
      <c r="B755" s="1" t="n">
        <v>45264</v>
      </c>
      <c r="C755" s="1" t="n">
        <v>45828</v>
      </c>
      <c r="D755" t="inlineStr">
        <is>
          <t>GOTLANDS LÄN</t>
        </is>
      </c>
      <c r="E755" t="inlineStr">
        <is>
          <t>GOTLAND</t>
        </is>
      </c>
      <c r="G755" t="n">
        <v>0.7</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45828</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45828</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45828</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63246-2023</t>
        </is>
      </c>
      <c r="B759" s="1" t="n">
        <v>45273</v>
      </c>
      <c r="C759" s="1" t="n">
        <v>45828</v>
      </c>
      <c r="D759" t="inlineStr">
        <is>
          <t>GOTLANDS LÄN</t>
        </is>
      </c>
      <c r="E759" t="inlineStr">
        <is>
          <t>GOTLAND</t>
        </is>
      </c>
      <c r="G759" t="n">
        <v>1.1</v>
      </c>
      <c r="H759" t="n">
        <v>0</v>
      </c>
      <c r="I759" t="n">
        <v>0</v>
      </c>
      <c r="J759" t="n">
        <v>0</v>
      </c>
      <c r="K759" t="n">
        <v>0</v>
      </c>
      <c r="L759" t="n">
        <v>0</v>
      </c>
      <c r="M759" t="n">
        <v>0</v>
      </c>
      <c r="N759" t="n">
        <v>0</v>
      </c>
      <c r="O759" t="n">
        <v>0</v>
      </c>
      <c r="P759" t="n">
        <v>0</v>
      </c>
      <c r="Q759" t="n">
        <v>0</v>
      </c>
      <c r="R759" s="2" t="inlineStr"/>
    </row>
    <row r="760" ht="15" customHeight="1">
      <c r="A760" t="inlineStr">
        <is>
          <t>A 63303-2023</t>
        </is>
      </c>
      <c r="B760" s="1" t="n">
        <v>45274</v>
      </c>
      <c r="C760" s="1" t="n">
        <v>45828</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63516-2023</t>
        </is>
      </c>
      <c r="B761" s="1" t="n">
        <v>45274</v>
      </c>
      <c r="C761" s="1" t="n">
        <v>45828</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63773-2023</t>
        </is>
      </c>
      <c r="B762" s="1" t="n">
        <v>45278</v>
      </c>
      <c r="C762" s="1" t="n">
        <v>45828</v>
      </c>
      <c r="D762" t="inlineStr">
        <is>
          <t>GOTLANDS LÄN</t>
        </is>
      </c>
      <c r="E762" t="inlineStr">
        <is>
          <t>GOTLAND</t>
        </is>
      </c>
      <c r="G762" t="n">
        <v>8.5</v>
      </c>
      <c r="H762" t="n">
        <v>0</v>
      </c>
      <c r="I762" t="n">
        <v>0</v>
      </c>
      <c r="J762" t="n">
        <v>0</v>
      </c>
      <c r="K762" t="n">
        <v>0</v>
      </c>
      <c r="L762" t="n">
        <v>0</v>
      </c>
      <c r="M762" t="n">
        <v>0</v>
      </c>
      <c r="N762" t="n">
        <v>0</v>
      </c>
      <c r="O762" t="n">
        <v>0</v>
      </c>
      <c r="P762" t="n">
        <v>0</v>
      </c>
      <c r="Q762" t="n">
        <v>0</v>
      </c>
      <c r="R762" s="2" t="inlineStr"/>
    </row>
    <row r="763" ht="15" customHeight="1">
      <c r="A763" t="inlineStr">
        <is>
          <t>A 63763-2023</t>
        </is>
      </c>
      <c r="B763" s="1" t="n">
        <v>45278</v>
      </c>
      <c r="C763" s="1" t="n">
        <v>45828</v>
      </c>
      <c r="D763" t="inlineStr">
        <is>
          <t>GOTLANDS LÄN</t>
        </is>
      </c>
      <c r="E763" t="inlineStr">
        <is>
          <t>GOTLAND</t>
        </is>
      </c>
      <c r="G763" t="n">
        <v>0.5</v>
      </c>
      <c r="H763" t="n">
        <v>0</v>
      </c>
      <c r="I763" t="n">
        <v>0</v>
      </c>
      <c r="J763" t="n">
        <v>0</v>
      </c>
      <c r="K763" t="n">
        <v>0</v>
      </c>
      <c r="L763" t="n">
        <v>0</v>
      </c>
      <c r="M763" t="n">
        <v>0</v>
      </c>
      <c r="N763" t="n">
        <v>0</v>
      </c>
      <c r="O763" t="n">
        <v>0</v>
      </c>
      <c r="P763" t="n">
        <v>0</v>
      </c>
      <c r="Q763" t="n">
        <v>0</v>
      </c>
      <c r="R763" s="2" t="inlineStr"/>
    </row>
    <row r="764" ht="15" customHeight="1">
      <c r="A764" t="inlineStr">
        <is>
          <t>A 63996-2023</t>
        </is>
      </c>
      <c r="B764" s="1" t="n">
        <v>45278</v>
      </c>
      <c r="C764" s="1" t="n">
        <v>45828</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64555-2023</t>
        </is>
      </c>
      <c r="B765" s="1" t="n">
        <v>45281</v>
      </c>
      <c r="C765" s="1" t="n">
        <v>45828</v>
      </c>
      <c r="D765" t="inlineStr">
        <is>
          <t>GOTLANDS LÄN</t>
        </is>
      </c>
      <c r="E765" t="inlineStr">
        <is>
          <t>GOTLAND</t>
        </is>
      </c>
      <c r="G765" t="n">
        <v>3.5</v>
      </c>
      <c r="H765" t="n">
        <v>0</v>
      </c>
      <c r="I765" t="n">
        <v>0</v>
      </c>
      <c r="J765" t="n">
        <v>0</v>
      </c>
      <c r="K765" t="n">
        <v>0</v>
      </c>
      <c r="L765" t="n">
        <v>0</v>
      </c>
      <c r="M765" t="n">
        <v>0</v>
      </c>
      <c r="N765" t="n">
        <v>0</v>
      </c>
      <c r="O765" t="n">
        <v>0</v>
      </c>
      <c r="P765" t="n">
        <v>0</v>
      </c>
      <c r="Q765" t="n">
        <v>0</v>
      </c>
      <c r="R765" s="2" t="inlineStr"/>
    </row>
    <row r="766" ht="15" customHeight="1">
      <c r="A766" t="inlineStr">
        <is>
          <t>A 64660-2023</t>
        </is>
      </c>
      <c r="B766" s="1" t="n">
        <v>45281</v>
      </c>
      <c r="C766" s="1" t="n">
        <v>45828</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64831-2023</t>
        </is>
      </c>
      <c r="B767" s="1" t="n">
        <v>45282</v>
      </c>
      <c r="C767" s="1" t="n">
        <v>45828</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64838-2023</t>
        </is>
      </c>
      <c r="B768" s="1" t="n">
        <v>45282</v>
      </c>
      <c r="C768" s="1" t="n">
        <v>45828</v>
      </c>
      <c r="D768" t="inlineStr">
        <is>
          <t>GOTLANDS LÄN</t>
        </is>
      </c>
      <c r="E768" t="inlineStr">
        <is>
          <t>GOTLAND</t>
        </is>
      </c>
      <c r="G768" t="n">
        <v>7.5</v>
      </c>
      <c r="H768" t="n">
        <v>0</v>
      </c>
      <c r="I768" t="n">
        <v>0</v>
      </c>
      <c r="J768" t="n">
        <v>0</v>
      </c>
      <c r="K768" t="n">
        <v>0</v>
      </c>
      <c r="L768" t="n">
        <v>0</v>
      </c>
      <c r="M768" t="n">
        <v>0</v>
      </c>
      <c r="N768" t="n">
        <v>0</v>
      </c>
      <c r="O768" t="n">
        <v>0</v>
      </c>
      <c r="P768" t="n">
        <v>0</v>
      </c>
      <c r="Q768" t="n">
        <v>0</v>
      </c>
      <c r="R768" s="2" t="inlineStr"/>
    </row>
    <row r="769" ht="15" customHeight="1">
      <c r="A769" t="inlineStr">
        <is>
          <t>A 64969-2023</t>
        </is>
      </c>
      <c r="B769" s="1" t="n">
        <v>45284</v>
      </c>
      <c r="C769" s="1" t="n">
        <v>45828</v>
      </c>
      <c r="D769" t="inlineStr">
        <is>
          <t>GOTLANDS LÄN</t>
        </is>
      </c>
      <c r="E769" t="inlineStr">
        <is>
          <t>GOTLAND</t>
        </is>
      </c>
      <c r="G769" t="n">
        <v>1.2</v>
      </c>
      <c r="H769" t="n">
        <v>0</v>
      </c>
      <c r="I769" t="n">
        <v>0</v>
      </c>
      <c r="J769" t="n">
        <v>0</v>
      </c>
      <c r="K769" t="n">
        <v>0</v>
      </c>
      <c r="L769" t="n">
        <v>0</v>
      </c>
      <c r="M769" t="n">
        <v>0</v>
      </c>
      <c r="N769" t="n">
        <v>0</v>
      </c>
      <c r="O769" t="n">
        <v>0</v>
      </c>
      <c r="P769" t="n">
        <v>0</v>
      </c>
      <c r="Q769" t="n">
        <v>0</v>
      </c>
      <c r="R769" s="2" t="inlineStr"/>
    </row>
    <row r="770" ht="15" customHeight="1">
      <c r="A770" t="inlineStr">
        <is>
          <t>A 65088-2023</t>
        </is>
      </c>
      <c r="B770" s="1" t="n">
        <v>45287</v>
      </c>
      <c r="C770" s="1" t="n">
        <v>45828</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65097-2023</t>
        </is>
      </c>
      <c r="B771" s="1" t="n">
        <v>45287</v>
      </c>
      <c r="C771" s="1" t="n">
        <v>45828</v>
      </c>
      <c r="D771" t="inlineStr">
        <is>
          <t>GOTLANDS LÄN</t>
        </is>
      </c>
      <c r="E771" t="inlineStr">
        <is>
          <t>GOTLAND</t>
        </is>
      </c>
      <c r="G771" t="n">
        <v>15.4</v>
      </c>
      <c r="H771" t="n">
        <v>0</v>
      </c>
      <c r="I771" t="n">
        <v>0</v>
      </c>
      <c r="J771" t="n">
        <v>0</v>
      </c>
      <c r="K771" t="n">
        <v>0</v>
      </c>
      <c r="L771" t="n">
        <v>0</v>
      </c>
      <c r="M771" t="n">
        <v>0</v>
      </c>
      <c r="N771" t="n">
        <v>0</v>
      </c>
      <c r="O771" t="n">
        <v>0</v>
      </c>
      <c r="P771" t="n">
        <v>0</v>
      </c>
      <c r="Q771" t="n">
        <v>0</v>
      </c>
      <c r="R771" s="2" t="inlineStr"/>
    </row>
    <row r="772" ht="15" customHeight="1">
      <c r="A772" t="inlineStr">
        <is>
          <t>A 65249-2023</t>
        </is>
      </c>
      <c r="B772" s="1" t="n">
        <v>45290</v>
      </c>
      <c r="C772" s="1" t="n">
        <v>45828</v>
      </c>
      <c r="D772" t="inlineStr">
        <is>
          <t>GOTLANDS LÄN</t>
        </is>
      </c>
      <c r="E772" t="inlineStr">
        <is>
          <t>GOTLAND</t>
        </is>
      </c>
      <c r="G772" t="n">
        <v>2.4</v>
      </c>
      <c r="H772" t="n">
        <v>0</v>
      </c>
      <c r="I772" t="n">
        <v>0</v>
      </c>
      <c r="J772" t="n">
        <v>0</v>
      </c>
      <c r="K772" t="n">
        <v>0</v>
      </c>
      <c r="L772" t="n">
        <v>0</v>
      </c>
      <c r="M772" t="n">
        <v>0</v>
      </c>
      <c r="N772" t="n">
        <v>0</v>
      </c>
      <c r="O772" t="n">
        <v>0</v>
      </c>
      <c r="P772" t="n">
        <v>0</v>
      </c>
      <c r="Q772" t="n">
        <v>0</v>
      </c>
      <c r="R772" s="2" t="inlineStr"/>
    </row>
    <row r="773" ht="15" customHeight="1">
      <c r="A773" t="inlineStr">
        <is>
          <t>A 98-2024</t>
        </is>
      </c>
      <c r="B773" s="1" t="n">
        <v>45293</v>
      </c>
      <c r="C773" s="1" t="n">
        <v>45828</v>
      </c>
      <c r="D773" t="inlineStr">
        <is>
          <t>GOTLANDS LÄN</t>
        </is>
      </c>
      <c r="E773" t="inlineStr">
        <is>
          <t>GOTLAND</t>
        </is>
      </c>
      <c r="G773" t="n">
        <v>2</v>
      </c>
      <c r="H773" t="n">
        <v>0</v>
      </c>
      <c r="I773" t="n">
        <v>0</v>
      </c>
      <c r="J773" t="n">
        <v>0</v>
      </c>
      <c r="K773" t="n">
        <v>0</v>
      </c>
      <c r="L773" t="n">
        <v>0</v>
      </c>
      <c r="M773" t="n">
        <v>0</v>
      </c>
      <c r="N773" t="n">
        <v>0</v>
      </c>
      <c r="O773" t="n">
        <v>0</v>
      </c>
      <c r="P773" t="n">
        <v>0</v>
      </c>
      <c r="Q773" t="n">
        <v>0</v>
      </c>
      <c r="R773" s="2" t="inlineStr"/>
    </row>
    <row r="774" ht="15" customHeight="1">
      <c r="A774" t="inlineStr">
        <is>
          <t>A 450-2024</t>
        </is>
      </c>
      <c r="B774" s="1" t="n">
        <v>45296</v>
      </c>
      <c r="C774" s="1" t="n">
        <v>45828</v>
      </c>
      <c r="D774" t="inlineStr">
        <is>
          <t>GOTLANDS LÄN</t>
        </is>
      </c>
      <c r="E774" t="inlineStr">
        <is>
          <t>GOTLAND</t>
        </is>
      </c>
      <c r="G774" t="n">
        <v>10.1</v>
      </c>
      <c r="H774" t="n">
        <v>0</v>
      </c>
      <c r="I774" t="n">
        <v>0</v>
      </c>
      <c r="J774" t="n">
        <v>0</v>
      </c>
      <c r="K774" t="n">
        <v>0</v>
      </c>
      <c r="L774" t="n">
        <v>0</v>
      </c>
      <c r="M774" t="n">
        <v>0</v>
      </c>
      <c r="N774" t="n">
        <v>0</v>
      </c>
      <c r="O774" t="n">
        <v>0</v>
      </c>
      <c r="P774" t="n">
        <v>0</v>
      </c>
      <c r="Q774" t="n">
        <v>0</v>
      </c>
      <c r="R774" s="2" t="inlineStr"/>
    </row>
    <row r="775" ht="15" customHeight="1">
      <c r="A775" t="inlineStr">
        <is>
          <t>A 533-2024</t>
        </is>
      </c>
      <c r="B775" s="1" t="n">
        <v>45299</v>
      </c>
      <c r="C775" s="1" t="n">
        <v>45828</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796-2024</t>
        </is>
      </c>
      <c r="B776" s="1" t="n">
        <v>45300</v>
      </c>
      <c r="C776" s="1" t="n">
        <v>45828</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873-2024</t>
        </is>
      </c>
      <c r="B777" s="1" t="n">
        <v>45301</v>
      </c>
      <c r="C777" s="1" t="n">
        <v>45828</v>
      </c>
      <c r="D777" t="inlineStr">
        <is>
          <t>GOTLANDS LÄN</t>
        </is>
      </c>
      <c r="E777" t="inlineStr">
        <is>
          <t>GOTLAND</t>
        </is>
      </c>
      <c r="G777" t="n">
        <v>2.7</v>
      </c>
      <c r="H777" t="n">
        <v>0</v>
      </c>
      <c r="I777" t="n">
        <v>0</v>
      </c>
      <c r="J777" t="n">
        <v>0</v>
      </c>
      <c r="K777" t="n">
        <v>0</v>
      </c>
      <c r="L777" t="n">
        <v>0</v>
      </c>
      <c r="M777" t="n">
        <v>0</v>
      </c>
      <c r="N777" t="n">
        <v>0</v>
      </c>
      <c r="O777" t="n">
        <v>0</v>
      </c>
      <c r="P777" t="n">
        <v>0</v>
      </c>
      <c r="Q777" t="n">
        <v>0</v>
      </c>
      <c r="R777" s="2" t="inlineStr"/>
    </row>
    <row r="778" ht="15" customHeight="1">
      <c r="A778" t="inlineStr">
        <is>
          <t>A 876-2024</t>
        </is>
      </c>
      <c r="B778" s="1" t="n">
        <v>45301</v>
      </c>
      <c r="C778" s="1" t="n">
        <v>45828</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999-2024</t>
        </is>
      </c>
      <c r="B779" s="1" t="n">
        <v>45301</v>
      </c>
      <c r="C779" s="1" t="n">
        <v>45828</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1010-2024</t>
        </is>
      </c>
      <c r="B780" s="1" t="n">
        <v>45301</v>
      </c>
      <c r="C780" s="1" t="n">
        <v>45828</v>
      </c>
      <c r="D780" t="inlineStr">
        <is>
          <t>GOTLANDS LÄN</t>
        </is>
      </c>
      <c r="E780" t="inlineStr">
        <is>
          <t>GOTLAND</t>
        </is>
      </c>
      <c r="G780" t="n">
        <v>2.4</v>
      </c>
      <c r="H780" t="n">
        <v>0</v>
      </c>
      <c r="I780" t="n">
        <v>0</v>
      </c>
      <c r="J780" t="n">
        <v>0</v>
      </c>
      <c r="K780" t="n">
        <v>0</v>
      </c>
      <c r="L780" t="n">
        <v>0</v>
      </c>
      <c r="M780" t="n">
        <v>0</v>
      </c>
      <c r="N780" t="n">
        <v>0</v>
      </c>
      <c r="O780" t="n">
        <v>0</v>
      </c>
      <c r="P780" t="n">
        <v>0</v>
      </c>
      <c r="Q780" t="n">
        <v>0</v>
      </c>
      <c r="R780" s="2" t="inlineStr"/>
    </row>
    <row r="781" ht="15" customHeight="1">
      <c r="A781" t="inlineStr">
        <is>
          <t>A 1000-2024</t>
        </is>
      </c>
      <c r="B781" s="1" t="n">
        <v>45301</v>
      </c>
      <c r="C781" s="1" t="n">
        <v>45828</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1008-2024</t>
        </is>
      </c>
      <c r="B782" s="1" t="n">
        <v>45301</v>
      </c>
      <c r="C782" s="1" t="n">
        <v>45828</v>
      </c>
      <c r="D782" t="inlineStr">
        <is>
          <t>GOTLANDS LÄN</t>
        </is>
      </c>
      <c r="E782" t="inlineStr">
        <is>
          <t>GOTLAND</t>
        </is>
      </c>
      <c r="G782" t="n">
        <v>2.3</v>
      </c>
      <c r="H782" t="n">
        <v>0</v>
      </c>
      <c r="I782" t="n">
        <v>0</v>
      </c>
      <c r="J782" t="n">
        <v>0</v>
      </c>
      <c r="K782" t="n">
        <v>0</v>
      </c>
      <c r="L782" t="n">
        <v>0</v>
      </c>
      <c r="M782" t="n">
        <v>0</v>
      </c>
      <c r="N782" t="n">
        <v>0</v>
      </c>
      <c r="O782" t="n">
        <v>0</v>
      </c>
      <c r="P782" t="n">
        <v>0</v>
      </c>
      <c r="Q782" t="n">
        <v>0</v>
      </c>
      <c r="R782" s="2" t="inlineStr"/>
    </row>
    <row r="783" ht="15" customHeight="1">
      <c r="A783" t="inlineStr">
        <is>
          <t>A 1066-2024</t>
        </is>
      </c>
      <c r="B783" s="1" t="n">
        <v>45302</v>
      </c>
      <c r="C783" s="1" t="n">
        <v>45828</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1321-2024</t>
        </is>
      </c>
      <c r="B784" s="1" t="n">
        <v>45303</v>
      </c>
      <c r="C784" s="1" t="n">
        <v>45828</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1477-2024</t>
        </is>
      </c>
      <c r="B785" s="1" t="n">
        <v>45305</v>
      </c>
      <c r="C785" s="1" t="n">
        <v>45828</v>
      </c>
      <c r="D785" t="inlineStr">
        <is>
          <t>GOTLANDS LÄN</t>
        </is>
      </c>
      <c r="E785" t="inlineStr">
        <is>
          <t>GOTLAND</t>
        </is>
      </c>
      <c r="G785" t="n">
        <v>6.9</v>
      </c>
      <c r="H785" t="n">
        <v>0</v>
      </c>
      <c r="I785" t="n">
        <v>0</v>
      </c>
      <c r="J785" t="n">
        <v>0</v>
      </c>
      <c r="K785" t="n">
        <v>0</v>
      </c>
      <c r="L785" t="n">
        <v>0</v>
      </c>
      <c r="M785" t="n">
        <v>0</v>
      </c>
      <c r="N785" t="n">
        <v>0</v>
      </c>
      <c r="O785" t="n">
        <v>0</v>
      </c>
      <c r="P785" t="n">
        <v>0</v>
      </c>
      <c r="Q785" t="n">
        <v>0</v>
      </c>
      <c r="R785" s="2" t="inlineStr"/>
    </row>
    <row r="786" ht="15" customHeight="1">
      <c r="A786" t="inlineStr">
        <is>
          <t>A 2010-2024</t>
        </is>
      </c>
      <c r="B786" s="1" t="n">
        <v>45308</v>
      </c>
      <c r="C786" s="1" t="n">
        <v>45828</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2774-2024</t>
        </is>
      </c>
      <c r="B787" s="1" t="n">
        <v>45314</v>
      </c>
      <c r="C787" s="1" t="n">
        <v>45828</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2821-2024</t>
        </is>
      </c>
      <c r="B788" s="1" t="n">
        <v>45314</v>
      </c>
      <c r="C788" s="1" t="n">
        <v>45828</v>
      </c>
      <c r="D788" t="inlineStr">
        <is>
          <t>GOTLANDS LÄN</t>
        </is>
      </c>
      <c r="E788" t="inlineStr">
        <is>
          <t>GOTLAND</t>
        </is>
      </c>
      <c r="G788" t="n">
        <v>1.9</v>
      </c>
      <c r="H788" t="n">
        <v>0</v>
      </c>
      <c r="I788" t="n">
        <v>0</v>
      </c>
      <c r="J788" t="n">
        <v>0</v>
      </c>
      <c r="K788" t="n">
        <v>0</v>
      </c>
      <c r="L788" t="n">
        <v>0</v>
      </c>
      <c r="M788" t="n">
        <v>0</v>
      </c>
      <c r="N788" t="n">
        <v>0</v>
      </c>
      <c r="O788" t="n">
        <v>0</v>
      </c>
      <c r="P788" t="n">
        <v>0</v>
      </c>
      <c r="Q788" t="n">
        <v>0</v>
      </c>
      <c r="R788" s="2" t="inlineStr"/>
    </row>
    <row r="789" ht="15" customHeight="1">
      <c r="A789" t="inlineStr">
        <is>
          <t>A 2825-2024</t>
        </is>
      </c>
      <c r="B789" s="1" t="n">
        <v>45314</v>
      </c>
      <c r="C789" s="1" t="n">
        <v>45828</v>
      </c>
      <c r="D789" t="inlineStr">
        <is>
          <t>GOTLANDS LÄN</t>
        </is>
      </c>
      <c r="E789" t="inlineStr">
        <is>
          <t>GOTLAND</t>
        </is>
      </c>
      <c r="G789" t="n">
        <v>4.8</v>
      </c>
      <c r="H789" t="n">
        <v>0</v>
      </c>
      <c r="I789" t="n">
        <v>0</v>
      </c>
      <c r="J789" t="n">
        <v>0</v>
      </c>
      <c r="K789" t="n">
        <v>0</v>
      </c>
      <c r="L789" t="n">
        <v>0</v>
      </c>
      <c r="M789" t="n">
        <v>0</v>
      </c>
      <c r="N789" t="n">
        <v>0</v>
      </c>
      <c r="O789" t="n">
        <v>0</v>
      </c>
      <c r="P789" t="n">
        <v>0</v>
      </c>
      <c r="Q789" t="n">
        <v>0</v>
      </c>
      <c r="R789" s="2" t="inlineStr"/>
    </row>
    <row r="790" ht="15" customHeight="1">
      <c r="A790" t="inlineStr">
        <is>
          <t>A 2819-2024</t>
        </is>
      </c>
      <c r="B790" s="1" t="n">
        <v>45314</v>
      </c>
      <c r="C790" s="1" t="n">
        <v>45828</v>
      </c>
      <c r="D790" t="inlineStr">
        <is>
          <t>GOTLANDS LÄN</t>
        </is>
      </c>
      <c r="E790" t="inlineStr">
        <is>
          <t>GOTLAND</t>
        </is>
      </c>
      <c r="G790" t="n">
        <v>6.3</v>
      </c>
      <c r="H790" t="n">
        <v>0</v>
      </c>
      <c r="I790" t="n">
        <v>0</v>
      </c>
      <c r="J790" t="n">
        <v>0</v>
      </c>
      <c r="K790" t="n">
        <v>0</v>
      </c>
      <c r="L790" t="n">
        <v>0</v>
      </c>
      <c r="M790" t="n">
        <v>0</v>
      </c>
      <c r="N790" t="n">
        <v>0</v>
      </c>
      <c r="O790" t="n">
        <v>0</v>
      </c>
      <c r="P790" t="n">
        <v>0</v>
      </c>
      <c r="Q790" t="n">
        <v>0</v>
      </c>
      <c r="R790" s="2" t="inlineStr"/>
    </row>
    <row r="791" ht="15" customHeight="1">
      <c r="A791" t="inlineStr">
        <is>
          <t>A 3004-2024</t>
        </is>
      </c>
      <c r="B791" s="1" t="n">
        <v>45315</v>
      </c>
      <c r="C791" s="1" t="n">
        <v>45828</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3689-2024</t>
        </is>
      </c>
      <c r="B792" s="1" t="n">
        <v>45321</v>
      </c>
      <c r="C792" s="1" t="n">
        <v>45828</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3707-2024</t>
        </is>
      </c>
      <c r="B793" s="1" t="n">
        <v>45321</v>
      </c>
      <c r="C793" s="1" t="n">
        <v>45828</v>
      </c>
      <c r="D793" t="inlineStr">
        <is>
          <t>GOTLANDS LÄN</t>
        </is>
      </c>
      <c r="E793" t="inlineStr">
        <is>
          <t>GOTLAND</t>
        </is>
      </c>
      <c r="G793" t="n">
        <v>12.2</v>
      </c>
      <c r="H793" t="n">
        <v>0</v>
      </c>
      <c r="I793" t="n">
        <v>0</v>
      </c>
      <c r="J793" t="n">
        <v>0</v>
      </c>
      <c r="K793" t="n">
        <v>0</v>
      </c>
      <c r="L793" t="n">
        <v>0</v>
      </c>
      <c r="M793" t="n">
        <v>0</v>
      </c>
      <c r="N793" t="n">
        <v>0</v>
      </c>
      <c r="O793" t="n">
        <v>0</v>
      </c>
      <c r="P793" t="n">
        <v>0</v>
      </c>
      <c r="Q793" t="n">
        <v>0</v>
      </c>
      <c r="R793" s="2" t="inlineStr"/>
    </row>
    <row r="794" ht="15" customHeight="1">
      <c r="A794" t="inlineStr">
        <is>
          <t>A 3964-2024</t>
        </is>
      </c>
      <c r="B794" s="1" t="n">
        <v>45322</v>
      </c>
      <c r="C794" s="1" t="n">
        <v>45828</v>
      </c>
      <c r="D794" t="inlineStr">
        <is>
          <t>GOTLANDS LÄN</t>
        </is>
      </c>
      <c r="E794" t="inlineStr">
        <is>
          <t>GOTLAND</t>
        </is>
      </c>
      <c r="G794" t="n">
        <v>1.4</v>
      </c>
      <c r="H794" t="n">
        <v>0</v>
      </c>
      <c r="I794" t="n">
        <v>0</v>
      </c>
      <c r="J794" t="n">
        <v>0</v>
      </c>
      <c r="K794" t="n">
        <v>0</v>
      </c>
      <c r="L794" t="n">
        <v>0</v>
      </c>
      <c r="M794" t="n">
        <v>0</v>
      </c>
      <c r="N794" t="n">
        <v>0</v>
      </c>
      <c r="O794" t="n">
        <v>0</v>
      </c>
      <c r="P794" t="n">
        <v>0</v>
      </c>
      <c r="Q794" t="n">
        <v>0</v>
      </c>
      <c r="R794" s="2" t="inlineStr"/>
    </row>
    <row r="795" ht="15" customHeight="1">
      <c r="A795" t="inlineStr">
        <is>
          <t>A 4259-2024</t>
        </is>
      </c>
      <c r="B795" s="1" t="n">
        <v>45324</v>
      </c>
      <c r="C795" s="1" t="n">
        <v>45828</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4421-2024</t>
        </is>
      </c>
      <c r="B796" s="1" t="n">
        <v>45327</v>
      </c>
      <c r="C796" s="1" t="n">
        <v>45828</v>
      </c>
      <c r="D796" t="inlineStr">
        <is>
          <t>GOTLANDS LÄN</t>
        </is>
      </c>
      <c r="E796" t="inlineStr">
        <is>
          <t>GOTLAND</t>
        </is>
      </c>
      <c r="G796" t="n">
        <v>5.1</v>
      </c>
      <c r="H796" t="n">
        <v>0</v>
      </c>
      <c r="I796" t="n">
        <v>0</v>
      </c>
      <c r="J796" t="n">
        <v>0</v>
      </c>
      <c r="K796" t="n">
        <v>0</v>
      </c>
      <c r="L796" t="n">
        <v>0</v>
      </c>
      <c r="M796" t="n">
        <v>0</v>
      </c>
      <c r="N796" t="n">
        <v>0</v>
      </c>
      <c r="O796" t="n">
        <v>0</v>
      </c>
      <c r="P796" t="n">
        <v>0</v>
      </c>
      <c r="Q796" t="n">
        <v>0</v>
      </c>
      <c r="R796" s="2" t="inlineStr"/>
    </row>
    <row r="797" ht="15" customHeight="1">
      <c r="A797" t="inlineStr">
        <is>
          <t>A 4483-2024</t>
        </is>
      </c>
      <c r="B797" s="1" t="n">
        <v>45327</v>
      </c>
      <c r="C797" s="1" t="n">
        <v>45828</v>
      </c>
      <c r="D797" t="inlineStr">
        <is>
          <t>GOTLANDS LÄN</t>
        </is>
      </c>
      <c r="E797" t="inlineStr">
        <is>
          <t>GOTLAND</t>
        </is>
      </c>
      <c r="G797" t="n">
        <v>4.6</v>
      </c>
      <c r="H797" t="n">
        <v>0</v>
      </c>
      <c r="I797" t="n">
        <v>0</v>
      </c>
      <c r="J797" t="n">
        <v>0</v>
      </c>
      <c r="K797" t="n">
        <v>0</v>
      </c>
      <c r="L797" t="n">
        <v>0</v>
      </c>
      <c r="M797" t="n">
        <v>0</v>
      </c>
      <c r="N797" t="n">
        <v>0</v>
      </c>
      <c r="O797" t="n">
        <v>0</v>
      </c>
      <c r="P797" t="n">
        <v>0</v>
      </c>
      <c r="Q797" t="n">
        <v>0</v>
      </c>
      <c r="R797" s="2" t="inlineStr"/>
    </row>
    <row r="798" ht="15" customHeight="1">
      <c r="A798" t="inlineStr">
        <is>
          <t>A 4689-2024</t>
        </is>
      </c>
      <c r="B798" s="1" t="n">
        <v>45328</v>
      </c>
      <c r="C798" s="1" t="n">
        <v>45828</v>
      </c>
      <c r="D798" t="inlineStr">
        <is>
          <t>GOTLANDS LÄN</t>
        </is>
      </c>
      <c r="E798" t="inlineStr">
        <is>
          <t>GOTLAND</t>
        </is>
      </c>
      <c r="G798" t="n">
        <v>1.3</v>
      </c>
      <c r="H798" t="n">
        <v>0</v>
      </c>
      <c r="I798" t="n">
        <v>0</v>
      </c>
      <c r="J798" t="n">
        <v>0</v>
      </c>
      <c r="K798" t="n">
        <v>0</v>
      </c>
      <c r="L798" t="n">
        <v>0</v>
      </c>
      <c r="M798" t="n">
        <v>0</v>
      </c>
      <c r="N798" t="n">
        <v>0</v>
      </c>
      <c r="O798" t="n">
        <v>0</v>
      </c>
      <c r="P798" t="n">
        <v>0</v>
      </c>
      <c r="Q798" t="n">
        <v>0</v>
      </c>
      <c r="R798" s="2" t="inlineStr"/>
    </row>
    <row r="799" ht="15" customHeight="1">
      <c r="A799" t="inlineStr">
        <is>
          <t>A 4868-2024</t>
        </is>
      </c>
      <c r="B799" s="1" t="n">
        <v>45329</v>
      </c>
      <c r="C799" s="1" t="n">
        <v>45828</v>
      </c>
      <c r="D799" t="inlineStr">
        <is>
          <t>GOTLANDS LÄN</t>
        </is>
      </c>
      <c r="E799" t="inlineStr">
        <is>
          <t>GOTLAND</t>
        </is>
      </c>
      <c r="G799" t="n">
        <v>7.1</v>
      </c>
      <c r="H799" t="n">
        <v>0</v>
      </c>
      <c r="I799" t="n">
        <v>0</v>
      </c>
      <c r="J799" t="n">
        <v>0</v>
      </c>
      <c r="K799" t="n">
        <v>0</v>
      </c>
      <c r="L799" t="n">
        <v>0</v>
      </c>
      <c r="M799" t="n">
        <v>0</v>
      </c>
      <c r="N799" t="n">
        <v>0</v>
      </c>
      <c r="O799" t="n">
        <v>0</v>
      </c>
      <c r="P799" t="n">
        <v>0</v>
      </c>
      <c r="Q799" t="n">
        <v>0</v>
      </c>
      <c r="R799" s="2" t="inlineStr"/>
    </row>
    <row r="800" ht="15" customHeight="1">
      <c r="A800" t="inlineStr">
        <is>
          <t>A 5413-2024</t>
        </is>
      </c>
      <c r="B800" s="1" t="n">
        <v>45331</v>
      </c>
      <c r="C800" s="1" t="n">
        <v>45828</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5751-2024</t>
        </is>
      </c>
      <c r="B801" s="1" t="n">
        <v>45335</v>
      </c>
      <c r="C801" s="1" t="n">
        <v>45828</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5905-2024</t>
        </is>
      </c>
      <c r="B802" s="1" t="n">
        <v>45335</v>
      </c>
      <c r="C802" s="1" t="n">
        <v>45828</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5943-2024</t>
        </is>
      </c>
      <c r="B803" s="1" t="n">
        <v>45336</v>
      </c>
      <c r="C803" s="1" t="n">
        <v>45828</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6099-2024</t>
        </is>
      </c>
      <c r="B804" s="1" t="n">
        <v>45337</v>
      </c>
      <c r="C804" s="1" t="n">
        <v>45828</v>
      </c>
      <c r="D804" t="inlineStr">
        <is>
          <t>GOTLANDS LÄN</t>
        </is>
      </c>
      <c r="E804" t="inlineStr">
        <is>
          <t>GOTLAND</t>
        </is>
      </c>
      <c r="G804" t="n">
        <v>12.6</v>
      </c>
      <c r="H804" t="n">
        <v>0</v>
      </c>
      <c r="I804" t="n">
        <v>0</v>
      </c>
      <c r="J804" t="n">
        <v>0</v>
      </c>
      <c r="K804" t="n">
        <v>0</v>
      </c>
      <c r="L804" t="n">
        <v>0</v>
      </c>
      <c r="M804" t="n">
        <v>0</v>
      </c>
      <c r="N804" t="n">
        <v>0</v>
      </c>
      <c r="O804" t="n">
        <v>0</v>
      </c>
      <c r="P804" t="n">
        <v>0</v>
      </c>
      <c r="Q804" t="n">
        <v>0</v>
      </c>
      <c r="R804" s="2" t="inlineStr"/>
    </row>
    <row r="805" ht="15" customHeight="1">
      <c r="A805" t="inlineStr">
        <is>
          <t>A 6141-2024</t>
        </is>
      </c>
      <c r="B805" s="1" t="n">
        <v>45337</v>
      </c>
      <c r="C805" s="1" t="n">
        <v>45828</v>
      </c>
      <c r="D805" t="inlineStr">
        <is>
          <t>GOTLANDS LÄN</t>
        </is>
      </c>
      <c r="E805" t="inlineStr">
        <is>
          <t>GOTLAND</t>
        </is>
      </c>
      <c r="G805" t="n">
        <v>6.1</v>
      </c>
      <c r="H805" t="n">
        <v>0</v>
      </c>
      <c r="I805" t="n">
        <v>0</v>
      </c>
      <c r="J805" t="n">
        <v>0</v>
      </c>
      <c r="K805" t="n">
        <v>0</v>
      </c>
      <c r="L805" t="n">
        <v>0</v>
      </c>
      <c r="M805" t="n">
        <v>0</v>
      </c>
      <c r="N805" t="n">
        <v>0</v>
      </c>
      <c r="O805" t="n">
        <v>0</v>
      </c>
      <c r="P805" t="n">
        <v>0</v>
      </c>
      <c r="Q805" t="n">
        <v>0</v>
      </c>
      <c r="R805" s="2" t="inlineStr"/>
    </row>
    <row r="806" ht="15" customHeight="1">
      <c r="A806" t="inlineStr">
        <is>
          <t>A 6153-2024</t>
        </is>
      </c>
      <c r="B806" s="1" t="n">
        <v>45337</v>
      </c>
      <c r="C806" s="1" t="n">
        <v>45828</v>
      </c>
      <c r="D806" t="inlineStr">
        <is>
          <t>GOTLANDS LÄN</t>
        </is>
      </c>
      <c r="E806" t="inlineStr">
        <is>
          <t>GOTLAND</t>
        </is>
      </c>
      <c r="G806" t="n">
        <v>14.2</v>
      </c>
      <c r="H806" t="n">
        <v>0</v>
      </c>
      <c r="I806" t="n">
        <v>0</v>
      </c>
      <c r="J806" t="n">
        <v>0</v>
      </c>
      <c r="K806" t="n">
        <v>0</v>
      </c>
      <c r="L806" t="n">
        <v>0</v>
      </c>
      <c r="M806" t="n">
        <v>0</v>
      </c>
      <c r="N806" t="n">
        <v>0</v>
      </c>
      <c r="O806" t="n">
        <v>0</v>
      </c>
      <c r="P806" t="n">
        <v>0</v>
      </c>
      <c r="Q806" t="n">
        <v>0</v>
      </c>
      <c r="R806" s="2" t="inlineStr"/>
    </row>
    <row r="807" ht="15" customHeight="1">
      <c r="A807" t="inlineStr">
        <is>
          <t>A 6138-2024</t>
        </is>
      </c>
      <c r="B807" s="1" t="n">
        <v>45337</v>
      </c>
      <c r="C807" s="1" t="n">
        <v>45828</v>
      </c>
      <c r="D807" t="inlineStr">
        <is>
          <t>GOTLANDS LÄN</t>
        </is>
      </c>
      <c r="E807" t="inlineStr">
        <is>
          <t>GOTLAND</t>
        </is>
      </c>
      <c r="G807" t="n">
        <v>24.8</v>
      </c>
      <c r="H807" t="n">
        <v>0</v>
      </c>
      <c r="I807" t="n">
        <v>0</v>
      </c>
      <c r="J807" t="n">
        <v>0</v>
      </c>
      <c r="K807" t="n">
        <v>0</v>
      </c>
      <c r="L807" t="n">
        <v>0</v>
      </c>
      <c r="M807" t="n">
        <v>0</v>
      </c>
      <c r="N807" t="n">
        <v>0</v>
      </c>
      <c r="O807" t="n">
        <v>0</v>
      </c>
      <c r="P807" t="n">
        <v>0</v>
      </c>
      <c r="Q807" t="n">
        <v>0</v>
      </c>
      <c r="R807" s="2" t="inlineStr"/>
    </row>
    <row r="808" ht="15" customHeight="1">
      <c r="A808" t="inlineStr">
        <is>
          <t>A 7497-2024</t>
        </is>
      </c>
      <c r="B808" s="1" t="n">
        <v>45347</v>
      </c>
      <c r="C808" s="1" t="n">
        <v>45828</v>
      </c>
      <c r="D808" t="inlineStr">
        <is>
          <t>GOTLANDS LÄN</t>
        </is>
      </c>
      <c r="E808" t="inlineStr">
        <is>
          <t>GOTLAND</t>
        </is>
      </c>
      <c r="G808" t="n">
        <v>18.5</v>
      </c>
      <c r="H808" t="n">
        <v>0</v>
      </c>
      <c r="I808" t="n">
        <v>0</v>
      </c>
      <c r="J808" t="n">
        <v>0</v>
      </c>
      <c r="K808" t="n">
        <v>0</v>
      </c>
      <c r="L808" t="n">
        <v>0</v>
      </c>
      <c r="M808" t="n">
        <v>0</v>
      </c>
      <c r="N808" t="n">
        <v>0</v>
      </c>
      <c r="O808" t="n">
        <v>0</v>
      </c>
      <c r="P808" t="n">
        <v>0</v>
      </c>
      <c r="Q808" t="n">
        <v>0</v>
      </c>
      <c r="R808" s="2" t="inlineStr"/>
    </row>
    <row r="809" ht="15" customHeight="1">
      <c r="A809" t="inlineStr">
        <is>
          <t>A 7837-2024</t>
        </is>
      </c>
      <c r="B809" s="1" t="n">
        <v>45349</v>
      </c>
      <c r="C809" s="1" t="n">
        <v>45828</v>
      </c>
      <c r="D809" t="inlineStr">
        <is>
          <t>GOTLANDS LÄN</t>
        </is>
      </c>
      <c r="E809" t="inlineStr">
        <is>
          <t>GOTLAND</t>
        </is>
      </c>
      <c r="G809" t="n">
        <v>5</v>
      </c>
      <c r="H809" t="n">
        <v>0</v>
      </c>
      <c r="I809" t="n">
        <v>0</v>
      </c>
      <c r="J809" t="n">
        <v>0</v>
      </c>
      <c r="K809" t="n">
        <v>0</v>
      </c>
      <c r="L809" t="n">
        <v>0</v>
      </c>
      <c r="M809" t="n">
        <v>0</v>
      </c>
      <c r="N809" t="n">
        <v>0</v>
      </c>
      <c r="O809" t="n">
        <v>0</v>
      </c>
      <c r="P809" t="n">
        <v>0</v>
      </c>
      <c r="Q809" t="n">
        <v>0</v>
      </c>
      <c r="R809" s="2" t="inlineStr"/>
    </row>
    <row r="810" ht="15" customHeight="1">
      <c r="A810" t="inlineStr">
        <is>
          <t>A 7835-2024</t>
        </is>
      </c>
      <c r="B810" s="1" t="n">
        <v>45349</v>
      </c>
      <c r="C810" s="1" t="n">
        <v>45828</v>
      </c>
      <c r="D810" t="inlineStr">
        <is>
          <t>GOTLANDS LÄN</t>
        </is>
      </c>
      <c r="E810" t="inlineStr">
        <is>
          <t>GOTLAND</t>
        </is>
      </c>
      <c r="G810" t="n">
        <v>3.8</v>
      </c>
      <c r="H810" t="n">
        <v>0</v>
      </c>
      <c r="I810" t="n">
        <v>0</v>
      </c>
      <c r="J810" t="n">
        <v>0</v>
      </c>
      <c r="K810" t="n">
        <v>0</v>
      </c>
      <c r="L810" t="n">
        <v>0</v>
      </c>
      <c r="M810" t="n">
        <v>0</v>
      </c>
      <c r="N810" t="n">
        <v>0</v>
      </c>
      <c r="O810" t="n">
        <v>0</v>
      </c>
      <c r="P810" t="n">
        <v>0</v>
      </c>
      <c r="Q810" t="n">
        <v>0</v>
      </c>
      <c r="R810" s="2" t="inlineStr"/>
    </row>
    <row r="811" ht="15" customHeight="1">
      <c r="A811" t="inlineStr">
        <is>
          <t>A 8460-2024</t>
        </is>
      </c>
      <c r="B811" s="1" t="n">
        <v>45355</v>
      </c>
      <c r="C811" s="1" t="n">
        <v>45828</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9947-2024</t>
        </is>
      </c>
      <c r="B812" s="1" t="n">
        <v>45363</v>
      </c>
      <c r="C812" s="1" t="n">
        <v>45828</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10051-2024</t>
        </is>
      </c>
      <c r="B813" s="1" t="n">
        <v>45364</v>
      </c>
      <c r="C813" s="1" t="n">
        <v>45828</v>
      </c>
      <c r="D813" t="inlineStr">
        <is>
          <t>GOTLANDS LÄN</t>
        </is>
      </c>
      <c r="E813" t="inlineStr">
        <is>
          <t>GOTLAND</t>
        </is>
      </c>
      <c r="G813" t="n">
        <v>4.2</v>
      </c>
      <c r="H813" t="n">
        <v>0</v>
      </c>
      <c r="I813" t="n">
        <v>0</v>
      </c>
      <c r="J813" t="n">
        <v>0</v>
      </c>
      <c r="K813" t="n">
        <v>0</v>
      </c>
      <c r="L813" t="n">
        <v>0</v>
      </c>
      <c r="M813" t="n">
        <v>0</v>
      </c>
      <c r="N813" t="n">
        <v>0</v>
      </c>
      <c r="O813" t="n">
        <v>0</v>
      </c>
      <c r="P813" t="n">
        <v>0</v>
      </c>
      <c r="Q813" t="n">
        <v>0</v>
      </c>
      <c r="R813" s="2" t="inlineStr"/>
    </row>
    <row r="814" ht="15" customHeight="1">
      <c r="A814" t="inlineStr">
        <is>
          <t>A 10503-2024</t>
        </is>
      </c>
      <c r="B814" s="1" t="n">
        <v>45366</v>
      </c>
      <c r="C814" s="1" t="n">
        <v>45828</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10656-2024</t>
        </is>
      </c>
      <c r="B815" s="1" t="n">
        <v>45368</v>
      </c>
      <c r="C815" s="1" t="n">
        <v>45828</v>
      </c>
      <c r="D815" t="inlineStr">
        <is>
          <t>GOTLANDS LÄN</t>
        </is>
      </c>
      <c r="E815" t="inlineStr">
        <is>
          <t>GOTLAND</t>
        </is>
      </c>
      <c r="G815" t="n">
        <v>1.5</v>
      </c>
      <c r="H815" t="n">
        <v>0</v>
      </c>
      <c r="I815" t="n">
        <v>0</v>
      </c>
      <c r="J815" t="n">
        <v>0</v>
      </c>
      <c r="K815" t="n">
        <v>0</v>
      </c>
      <c r="L815" t="n">
        <v>0</v>
      </c>
      <c r="M815" t="n">
        <v>0</v>
      </c>
      <c r="N815" t="n">
        <v>0</v>
      </c>
      <c r="O815" t="n">
        <v>0</v>
      </c>
      <c r="P815" t="n">
        <v>0</v>
      </c>
      <c r="Q815" t="n">
        <v>0</v>
      </c>
      <c r="R815" s="2" t="inlineStr"/>
    </row>
    <row r="816" ht="15" customHeight="1">
      <c r="A816" t="inlineStr">
        <is>
          <t>A 11013-2024</t>
        </is>
      </c>
      <c r="B816" s="1" t="n">
        <v>45370</v>
      </c>
      <c r="C816" s="1" t="n">
        <v>45828</v>
      </c>
      <c r="D816" t="inlineStr">
        <is>
          <t>GOTLANDS LÄN</t>
        </is>
      </c>
      <c r="E816" t="inlineStr">
        <is>
          <t>GOTLAND</t>
        </is>
      </c>
      <c r="G816" t="n">
        <v>0.7</v>
      </c>
      <c r="H816" t="n">
        <v>0</v>
      </c>
      <c r="I816" t="n">
        <v>0</v>
      </c>
      <c r="J816" t="n">
        <v>0</v>
      </c>
      <c r="K816" t="n">
        <v>0</v>
      </c>
      <c r="L816" t="n">
        <v>0</v>
      </c>
      <c r="M816" t="n">
        <v>0</v>
      </c>
      <c r="N816" t="n">
        <v>0</v>
      </c>
      <c r="O816" t="n">
        <v>0</v>
      </c>
      <c r="P816" t="n">
        <v>0</v>
      </c>
      <c r="Q816" t="n">
        <v>0</v>
      </c>
      <c r="R816" s="2" t="inlineStr"/>
    </row>
    <row r="817" ht="15" customHeight="1">
      <c r="A817" t="inlineStr">
        <is>
          <t>A 11254-2024</t>
        </is>
      </c>
      <c r="B817" s="1" t="n">
        <v>45371</v>
      </c>
      <c r="C817" s="1" t="n">
        <v>45828</v>
      </c>
      <c r="D817" t="inlineStr">
        <is>
          <t>GOTLANDS LÄN</t>
        </is>
      </c>
      <c r="E817" t="inlineStr">
        <is>
          <t>GOTLAND</t>
        </is>
      </c>
      <c r="G817" t="n">
        <v>5.6</v>
      </c>
      <c r="H817" t="n">
        <v>0</v>
      </c>
      <c r="I817" t="n">
        <v>0</v>
      </c>
      <c r="J817" t="n">
        <v>0</v>
      </c>
      <c r="K817" t="n">
        <v>0</v>
      </c>
      <c r="L817" t="n">
        <v>0</v>
      </c>
      <c r="M817" t="n">
        <v>0</v>
      </c>
      <c r="N817" t="n">
        <v>0</v>
      </c>
      <c r="O817" t="n">
        <v>0</v>
      </c>
      <c r="P817" t="n">
        <v>0</v>
      </c>
      <c r="Q817" t="n">
        <v>0</v>
      </c>
      <c r="R817" s="2" t="inlineStr"/>
    </row>
    <row r="818" ht="15" customHeight="1">
      <c r="A818" t="inlineStr">
        <is>
          <t>A 11634-2024</t>
        </is>
      </c>
      <c r="B818" s="1" t="n">
        <v>45373</v>
      </c>
      <c r="C818" s="1" t="n">
        <v>45828</v>
      </c>
      <c r="D818" t="inlineStr">
        <is>
          <t>GOTLANDS LÄN</t>
        </is>
      </c>
      <c r="E818" t="inlineStr">
        <is>
          <t>GOTLAND</t>
        </is>
      </c>
      <c r="G818" t="n">
        <v>3</v>
      </c>
      <c r="H818" t="n">
        <v>0</v>
      </c>
      <c r="I818" t="n">
        <v>0</v>
      </c>
      <c r="J818" t="n">
        <v>0</v>
      </c>
      <c r="K818" t="n">
        <v>0</v>
      </c>
      <c r="L818" t="n">
        <v>0</v>
      </c>
      <c r="M818" t="n">
        <v>0</v>
      </c>
      <c r="N818" t="n">
        <v>0</v>
      </c>
      <c r="O818" t="n">
        <v>0</v>
      </c>
      <c r="P818" t="n">
        <v>0</v>
      </c>
      <c r="Q818" t="n">
        <v>0</v>
      </c>
      <c r="R818" s="2" t="inlineStr"/>
    </row>
    <row r="819" ht="15" customHeight="1">
      <c r="A819" t="inlineStr">
        <is>
          <t>A 11722-2024</t>
        </is>
      </c>
      <c r="B819" s="1" t="n">
        <v>45373</v>
      </c>
      <c r="C819" s="1" t="n">
        <v>45828</v>
      </c>
      <c r="D819" t="inlineStr">
        <is>
          <t>GOTLANDS LÄN</t>
        </is>
      </c>
      <c r="E819" t="inlineStr">
        <is>
          <t>GOTLAND</t>
        </is>
      </c>
      <c r="G819" t="n">
        <v>0.9</v>
      </c>
      <c r="H819" t="n">
        <v>0</v>
      </c>
      <c r="I819" t="n">
        <v>0</v>
      </c>
      <c r="J819" t="n">
        <v>0</v>
      </c>
      <c r="K819" t="n">
        <v>0</v>
      </c>
      <c r="L819" t="n">
        <v>0</v>
      </c>
      <c r="M819" t="n">
        <v>0</v>
      </c>
      <c r="N819" t="n">
        <v>0</v>
      </c>
      <c r="O819" t="n">
        <v>0</v>
      </c>
      <c r="P819" t="n">
        <v>0</v>
      </c>
      <c r="Q819" t="n">
        <v>0</v>
      </c>
      <c r="R819" s="2" t="inlineStr"/>
    </row>
    <row r="820" ht="15" customHeight="1">
      <c r="A820" t="inlineStr">
        <is>
          <t>A 11590-2024</t>
        </is>
      </c>
      <c r="B820" s="1" t="n">
        <v>45373</v>
      </c>
      <c r="C820" s="1" t="n">
        <v>45828</v>
      </c>
      <c r="D820" t="inlineStr">
        <is>
          <t>GOTLANDS LÄN</t>
        </is>
      </c>
      <c r="E820" t="inlineStr">
        <is>
          <t>GOTLAND</t>
        </is>
      </c>
      <c r="G820" t="n">
        <v>2.9</v>
      </c>
      <c r="H820" t="n">
        <v>0</v>
      </c>
      <c r="I820" t="n">
        <v>0</v>
      </c>
      <c r="J820" t="n">
        <v>0</v>
      </c>
      <c r="K820" t="n">
        <v>0</v>
      </c>
      <c r="L820" t="n">
        <v>0</v>
      </c>
      <c r="M820" t="n">
        <v>0</v>
      </c>
      <c r="N820" t="n">
        <v>0</v>
      </c>
      <c r="O820" t="n">
        <v>0</v>
      </c>
      <c r="P820" t="n">
        <v>0</v>
      </c>
      <c r="Q820" t="n">
        <v>0</v>
      </c>
      <c r="R820" s="2" t="inlineStr"/>
    </row>
    <row r="821" ht="15" customHeight="1">
      <c r="A821" t="inlineStr">
        <is>
          <t>A 11598-2024</t>
        </is>
      </c>
      <c r="B821" s="1" t="n">
        <v>45373</v>
      </c>
      <c r="C821" s="1" t="n">
        <v>45828</v>
      </c>
      <c r="D821" t="inlineStr">
        <is>
          <t>GOTLANDS LÄN</t>
        </is>
      </c>
      <c r="E821" t="inlineStr">
        <is>
          <t>GOTLAND</t>
        </is>
      </c>
      <c r="G821" t="n">
        <v>0.3</v>
      </c>
      <c r="H821" t="n">
        <v>0</v>
      </c>
      <c r="I821" t="n">
        <v>0</v>
      </c>
      <c r="J821" t="n">
        <v>0</v>
      </c>
      <c r="K821" t="n">
        <v>0</v>
      </c>
      <c r="L821" t="n">
        <v>0</v>
      </c>
      <c r="M821" t="n">
        <v>0</v>
      </c>
      <c r="N821" t="n">
        <v>0</v>
      </c>
      <c r="O821" t="n">
        <v>0</v>
      </c>
      <c r="P821" t="n">
        <v>0</v>
      </c>
      <c r="Q821" t="n">
        <v>0</v>
      </c>
      <c r="R821" s="2" t="inlineStr"/>
    </row>
    <row r="822" ht="15" customHeight="1">
      <c r="A822" t="inlineStr">
        <is>
          <t>A 11863-2024</t>
        </is>
      </c>
      <c r="B822" s="1" t="n">
        <v>45376</v>
      </c>
      <c r="C822" s="1" t="n">
        <v>45828</v>
      </c>
      <c r="D822" t="inlineStr">
        <is>
          <t>GOTLANDS LÄN</t>
        </is>
      </c>
      <c r="E822" t="inlineStr">
        <is>
          <t>GOTLAND</t>
        </is>
      </c>
      <c r="G822" t="n">
        <v>3.2</v>
      </c>
      <c r="H822" t="n">
        <v>0</v>
      </c>
      <c r="I822" t="n">
        <v>0</v>
      </c>
      <c r="J822" t="n">
        <v>0</v>
      </c>
      <c r="K822" t="n">
        <v>0</v>
      </c>
      <c r="L822" t="n">
        <v>0</v>
      </c>
      <c r="M822" t="n">
        <v>0</v>
      </c>
      <c r="N822" t="n">
        <v>0</v>
      </c>
      <c r="O822" t="n">
        <v>0</v>
      </c>
      <c r="P822" t="n">
        <v>0</v>
      </c>
      <c r="Q822" t="n">
        <v>0</v>
      </c>
      <c r="R822" s="2" t="inlineStr"/>
    </row>
    <row r="823" ht="15" customHeight="1">
      <c r="A823" t="inlineStr">
        <is>
          <t>A 11868-2024</t>
        </is>
      </c>
      <c r="B823" s="1" t="n">
        <v>45376</v>
      </c>
      <c r="C823" s="1" t="n">
        <v>45828</v>
      </c>
      <c r="D823" t="inlineStr">
        <is>
          <t>GOTLANDS LÄN</t>
        </is>
      </c>
      <c r="E823" t="inlineStr">
        <is>
          <t>GOTLAND</t>
        </is>
      </c>
      <c r="G823" t="n">
        <v>2</v>
      </c>
      <c r="H823" t="n">
        <v>0</v>
      </c>
      <c r="I823" t="n">
        <v>0</v>
      </c>
      <c r="J823" t="n">
        <v>0</v>
      </c>
      <c r="K823" t="n">
        <v>0</v>
      </c>
      <c r="L823" t="n">
        <v>0</v>
      </c>
      <c r="M823" t="n">
        <v>0</v>
      </c>
      <c r="N823" t="n">
        <v>0</v>
      </c>
      <c r="O823" t="n">
        <v>0</v>
      </c>
      <c r="P823" t="n">
        <v>0</v>
      </c>
      <c r="Q823" t="n">
        <v>0</v>
      </c>
      <c r="R823" s="2" t="inlineStr"/>
    </row>
    <row r="824" ht="15" customHeight="1">
      <c r="A824" t="inlineStr">
        <is>
          <t>A 11874-2024</t>
        </is>
      </c>
      <c r="B824" s="1" t="n">
        <v>45376</v>
      </c>
      <c r="C824" s="1" t="n">
        <v>45828</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12208-2024</t>
        </is>
      </c>
      <c r="B825" s="1" t="n">
        <v>45378</v>
      </c>
      <c r="C825" s="1" t="n">
        <v>45828</v>
      </c>
      <c r="D825" t="inlineStr">
        <is>
          <t>GOTLANDS LÄN</t>
        </is>
      </c>
      <c r="E825" t="inlineStr">
        <is>
          <t>GOTLAND</t>
        </is>
      </c>
      <c r="G825" t="n">
        <v>4.5</v>
      </c>
      <c r="H825" t="n">
        <v>0</v>
      </c>
      <c r="I825" t="n">
        <v>0</v>
      </c>
      <c r="J825" t="n">
        <v>0</v>
      </c>
      <c r="K825" t="n">
        <v>0</v>
      </c>
      <c r="L825" t="n">
        <v>0</v>
      </c>
      <c r="M825" t="n">
        <v>0</v>
      </c>
      <c r="N825" t="n">
        <v>0</v>
      </c>
      <c r="O825" t="n">
        <v>0</v>
      </c>
      <c r="P825" t="n">
        <v>0</v>
      </c>
      <c r="Q825" t="n">
        <v>0</v>
      </c>
      <c r="R825" s="2" t="inlineStr"/>
    </row>
    <row r="826" ht="15" customHeight="1">
      <c r="A826" t="inlineStr">
        <is>
          <t>A 12210-2024</t>
        </is>
      </c>
      <c r="B826" s="1" t="n">
        <v>45378</v>
      </c>
      <c r="C826" s="1" t="n">
        <v>45828</v>
      </c>
      <c r="D826" t="inlineStr">
        <is>
          <t>GOTLANDS LÄN</t>
        </is>
      </c>
      <c r="E826" t="inlineStr">
        <is>
          <t>GOTLAND</t>
        </is>
      </c>
      <c r="G826" t="n">
        <v>4.1</v>
      </c>
      <c r="H826" t="n">
        <v>0</v>
      </c>
      <c r="I826" t="n">
        <v>0</v>
      </c>
      <c r="J826" t="n">
        <v>0</v>
      </c>
      <c r="K826" t="n">
        <v>0</v>
      </c>
      <c r="L826" t="n">
        <v>0</v>
      </c>
      <c r="M826" t="n">
        <v>0</v>
      </c>
      <c r="N826" t="n">
        <v>0</v>
      </c>
      <c r="O826" t="n">
        <v>0</v>
      </c>
      <c r="P826" t="n">
        <v>0</v>
      </c>
      <c r="Q826" t="n">
        <v>0</v>
      </c>
      <c r="R826" s="2" t="inlineStr"/>
    </row>
    <row r="827" ht="15" customHeight="1">
      <c r="A827" t="inlineStr">
        <is>
          <t>A 12207-2024</t>
        </is>
      </c>
      <c r="B827" s="1" t="n">
        <v>45378</v>
      </c>
      <c r="C827" s="1" t="n">
        <v>45828</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12209-2024</t>
        </is>
      </c>
      <c r="B828" s="1" t="n">
        <v>45378</v>
      </c>
      <c r="C828" s="1" t="n">
        <v>45828</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12312-2024</t>
        </is>
      </c>
      <c r="B829" s="1" t="n">
        <v>45378</v>
      </c>
      <c r="C829" s="1" t="n">
        <v>45828</v>
      </c>
      <c r="D829" t="inlineStr">
        <is>
          <t>GOTLANDS LÄN</t>
        </is>
      </c>
      <c r="E829" t="inlineStr">
        <is>
          <t>GOTLAND</t>
        </is>
      </c>
      <c r="G829" t="n">
        <v>1.8</v>
      </c>
      <c r="H829" t="n">
        <v>0</v>
      </c>
      <c r="I829" t="n">
        <v>0</v>
      </c>
      <c r="J829" t="n">
        <v>0</v>
      </c>
      <c r="K829" t="n">
        <v>0</v>
      </c>
      <c r="L829" t="n">
        <v>0</v>
      </c>
      <c r="M829" t="n">
        <v>0</v>
      </c>
      <c r="N829" t="n">
        <v>0</v>
      </c>
      <c r="O829" t="n">
        <v>0</v>
      </c>
      <c r="P829" t="n">
        <v>0</v>
      </c>
      <c r="Q829" t="n">
        <v>0</v>
      </c>
      <c r="R829" s="2" t="inlineStr"/>
    </row>
    <row r="830" ht="15" customHeight="1">
      <c r="A830" t="inlineStr">
        <is>
          <t>A 12389-2024</t>
        </is>
      </c>
      <c r="B830" s="1" t="n">
        <v>45379</v>
      </c>
      <c r="C830" s="1" t="n">
        <v>45828</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12390-2024</t>
        </is>
      </c>
      <c r="B831" s="1" t="n">
        <v>45379</v>
      </c>
      <c r="C831" s="1" t="n">
        <v>45828</v>
      </c>
      <c r="D831" t="inlineStr">
        <is>
          <t>GOTLANDS LÄN</t>
        </is>
      </c>
      <c r="E831" t="inlineStr">
        <is>
          <t>GOTLAND</t>
        </is>
      </c>
      <c r="G831" t="n">
        <v>5.5</v>
      </c>
      <c r="H831" t="n">
        <v>0</v>
      </c>
      <c r="I831" t="n">
        <v>0</v>
      </c>
      <c r="J831" t="n">
        <v>0</v>
      </c>
      <c r="K831" t="n">
        <v>0</v>
      </c>
      <c r="L831" t="n">
        <v>0</v>
      </c>
      <c r="M831" t="n">
        <v>0</v>
      </c>
      <c r="N831" t="n">
        <v>0</v>
      </c>
      <c r="O831" t="n">
        <v>0</v>
      </c>
      <c r="P831" t="n">
        <v>0</v>
      </c>
      <c r="Q831" t="n">
        <v>0</v>
      </c>
      <c r="R831" s="2" t="inlineStr"/>
    </row>
    <row r="832" ht="15" customHeight="1">
      <c r="A832" t="inlineStr">
        <is>
          <t>A 13531-2024</t>
        </is>
      </c>
      <c r="B832" s="1" t="n">
        <v>45387</v>
      </c>
      <c r="C832" s="1" t="n">
        <v>45828</v>
      </c>
      <c r="D832" t="inlineStr">
        <is>
          <t>GOTLANDS LÄN</t>
        </is>
      </c>
      <c r="E832" t="inlineStr">
        <is>
          <t>GOTLAND</t>
        </is>
      </c>
      <c r="G832" t="n">
        <v>17.7</v>
      </c>
      <c r="H832" t="n">
        <v>0</v>
      </c>
      <c r="I832" t="n">
        <v>0</v>
      </c>
      <c r="J832" t="n">
        <v>0</v>
      </c>
      <c r="K832" t="n">
        <v>0</v>
      </c>
      <c r="L832" t="n">
        <v>0</v>
      </c>
      <c r="M832" t="n">
        <v>0</v>
      </c>
      <c r="N832" t="n">
        <v>0</v>
      </c>
      <c r="O832" t="n">
        <v>0</v>
      </c>
      <c r="P832" t="n">
        <v>0</v>
      </c>
      <c r="Q832" t="n">
        <v>0</v>
      </c>
      <c r="R832" s="2" t="inlineStr"/>
    </row>
    <row r="833" ht="15" customHeight="1">
      <c r="A833" t="inlineStr">
        <is>
          <t>A 13655-2024</t>
        </is>
      </c>
      <c r="B833" s="1" t="n">
        <v>45390</v>
      </c>
      <c r="C833" s="1" t="n">
        <v>45828</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14139-2024</t>
        </is>
      </c>
      <c r="B834" s="1" t="n">
        <v>45392</v>
      </c>
      <c r="C834" s="1" t="n">
        <v>45828</v>
      </c>
      <c r="D834" t="inlineStr">
        <is>
          <t>GOTLANDS LÄN</t>
        </is>
      </c>
      <c r="E834" t="inlineStr">
        <is>
          <t>GOTLAND</t>
        </is>
      </c>
      <c r="G834" t="n">
        <v>3.1</v>
      </c>
      <c r="H834" t="n">
        <v>0</v>
      </c>
      <c r="I834" t="n">
        <v>0</v>
      </c>
      <c r="J834" t="n">
        <v>0</v>
      </c>
      <c r="K834" t="n">
        <v>0</v>
      </c>
      <c r="L834" t="n">
        <v>0</v>
      </c>
      <c r="M834" t="n">
        <v>0</v>
      </c>
      <c r="N834" t="n">
        <v>0</v>
      </c>
      <c r="O834" t="n">
        <v>0</v>
      </c>
      <c r="P834" t="n">
        <v>0</v>
      </c>
      <c r="Q834" t="n">
        <v>0</v>
      </c>
      <c r="R834" s="2" t="inlineStr"/>
    </row>
    <row r="835" ht="15" customHeight="1">
      <c r="A835" t="inlineStr">
        <is>
          <t>A 14141-2024</t>
        </is>
      </c>
      <c r="B835" s="1" t="n">
        <v>45392</v>
      </c>
      <c r="C835" s="1" t="n">
        <v>45828</v>
      </c>
      <c r="D835" t="inlineStr">
        <is>
          <t>GOTLANDS LÄN</t>
        </is>
      </c>
      <c r="E835" t="inlineStr">
        <is>
          <t>GOTLAND</t>
        </is>
      </c>
      <c r="G835" t="n">
        <v>5.3</v>
      </c>
      <c r="H835" t="n">
        <v>0</v>
      </c>
      <c r="I835" t="n">
        <v>0</v>
      </c>
      <c r="J835" t="n">
        <v>0</v>
      </c>
      <c r="K835" t="n">
        <v>0</v>
      </c>
      <c r="L835" t="n">
        <v>0</v>
      </c>
      <c r="M835" t="n">
        <v>0</v>
      </c>
      <c r="N835" t="n">
        <v>0</v>
      </c>
      <c r="O835" t="n">
        <v>0</v>
      </c>
      <c r="P835" t="n">
        <v>0</v>
      </c>
      <c r="Q835" t="n">
        <v>0</v>
      </c>
      <c r="R835" s="2" t="inlineStr"/>
    </row>
    <row r="836" ht="15" customHeight="1">
      <c r="A836" t="inlineStr">
        <is>
          <t>A 14427-2024</t>
        </is>
      </c>
      <c r="B836" s="1" t="n">
        <v>45394</v>
      </c>
      <c r="C836" s="1" t="n">
        <v>45828</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14593-2024</t>
        </is>
      </c>
      <c r="B837" s="1" t="n">
        <v>45395</v>
      </c>
      <c r="C837" s="1" t="n">
        <v>45828</v>
      </c>
      <c r="D837" t="inlineStr">
        <is>
          <t>GOTLANDS LÄN</t>
        </is>
      </c>
      <c r="E837" t="inlineStr">
        <is>
          <t>GOTLAND</t>
        </is>
      </c>
      <c r="G837" t="n">
        <v>5.4</v>
      </c>
      <c r="H837" t="n">
        <v>0</v>
      </c>
      <c r="I837" t="n">
        <v>0</v>
      </c>
      <c r="J837" t="n">
        <v>0</v>
      </c>
      <c r="K837" t="n">
        <v>0</v>
      </c>
      <c r="L837" t="n">
        <v>0</v>
      </c>
      <c r="M837" t="n">
        <v>0</v>
      </c>
      <c r="N837" t="n">
        <v>0</v>
      </c>
      <c r="O837" t="n">
        <v>0</v>
      </c>
      <c r="P837" t="n">
        <v>0</v>
      </c>
      <c r="Q837" t="n">
        <v>0</v>
      </c>
      <c r="R837" s="2" t="inlineStr"/>
    </row>
    <row r="838" ht="15" customHeight="1">
      <c r="A838" t="inlineStr">
        <is>
          <t>A 14797-2024</t>
        </is>
      </c>
      <c r="B838" s="1" t="n">
        <v>45397</v>
      </c>
      <c r="C838" s="1" t="n">
        <v>45828</v>
      </c>
      <c r="D838" t="inlineStr">
        <is>
          <t>GOTLANDS LÄN</t>
        </is>
      </c>
      <c r="E838" t="inlineStr">
        <is>
          <t>GOTLAND</t>
        </is>
      </c>
      <c r="G838" t="n">
        <v>8.1</v>
      </c>
      <c r="H838" t="n">
        <v>0</v>
      </c>
      <c r="I838" t="n">
        <v>0</v>
      </c>
      <c r="J838" t="n">
        <v>0</v>
      </c>
      <c r="K838" t="n">
        <v>0</v>
      </c>
      <c r="L838" t="n">
        <v>0</v>
      </c>
      <c r="M838" t="n">
        <v>0</v>
      </c>
      <c r="N838" t="n">
        <v>0</v>
      </c>
      <c r="O838" t="n">
        <v>0</v>
      </c>
      <c r="P838" t="n">
        <v>0</v>
      </c>
      <c r="Q838" t="n">
        <v>0</v>
      </c>
      <c r="R838" s="2" t="inlineStr"/>
    </row>
    <row r="839" ht="15" customHeight="1">
      <c r="A839" t="inlineStr">
        <is>
          <t>A 15595-2024</t>
        </is>
      </c>
      <c r="B839" s="1" t="n">
        <v>45401</v>
      </c>
      <c r="C839" s="1" t="n">
        <v>45828</v>
      </c>
      <c r="D839" t="inlineStr">
        <is>
          <t>GOTLANDS LÄN</t>
        </is>
      </c>
      <c r="E839" t="inlineStr">
        <is>
          <t>GOTLAND</t>
        </is>
      </c>
      <c r="G839" t="n">
        <v>6.4</v>
      </c>
      <c r="H839" t="n">
        <v>0</v>
      </c>
      <c r="I839" t="n">
        <v>0</v>
      </c>
      <c r="J839" t="n">
        <v>0</v>
      </c>
      <c r="K839" t="n">
        <v>0</v>
      </c>
      <c r="L839" t="n">
        <v>0</v>
      </c>
      <c r="M839" t="n">
        <v>0</v>
      </c>
      <c r="N839" t="n">
        <v>0</v>
      </c>
      <c r="O839" t="n">
        <v>0</v>
      </c>
      <c r="P839" t="n">
        <v>0</v>
      </c>
      <c r="Q839" t="n">
        <v>0</v>
      </c>
      <c r="R839" s="2" t="inlineStr"/>
    </row>
    <row r="840" ht="15" customHeight="1">
      <c r="A840" t="inlineStr">
        <is>
          <t>A 15434-2024</t>
        </is>
      </c>
      <c r="B840" s="1" t="n">
        <v>45401</v>
      </c>
      <c r="C840" s="1" t="n">
        <v>45828</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15885-2024</t>
        </is>
      </c>
      <c r="B841" s="1" t="n">
        <v>45405</v>
      </c>
      <c r="C841" s="1" t="n">
        <v>45828</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16322-2024</t>
        </is>
      </c>
      <c r="B842" s="1" t="n">
        <v>45407</v>
      </c>
      <c r="C842" s="1" t="n">
        <v>45828</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16361-2024</t>
        </is>
      </c>
      <c r="B843" s="1" t="n">
        <v>45407</v>
      </c>
      <c r="C843" s="1" t="n">
        <v>45828</v>
      </c>
      <c r="D843" t="inlineStr">
        <is>
          <t>GOTLANDS LÄN</t>
        </is>
      </c>
      <c r="E843" t="inlineStr">
        <is>
          <t>GOTLAND</t>
        </is>
      </c>
      <c r="G843" t="n">
        <v>6</v>
      </c>
      <c r="H843" t="n">
        <v>0</v>
      </c>
      <c r="I843" t="n">
        <v>0</v>
      </c>
      <c r="J843" t="n">
        <v>0</v>
      </c>
      <c r="K843" t="n">
        <v>0</v>
      </c>
      <c r="L843" t="n">
        <v>0</v>
      </c>
      <c r="M843" t="n">
        <v>0</v>
      </c>
      <c r="N843" t="n">
        <v>0</v>
      </c>
      <c r="O843" t="n">
        <v>0</v>
      </c>
      <c r="P843" t="n">
        <v>0</v>
      </c>
      <c r="Q843" t="n">
        <v>0</v>
      </c>
      <c r="R843" s="2" t="inlineStr"/>
    </row>
    <row r="844" ht="15" customHeight="1">
      <c r="A844" t="inlineStr">
        <is>
          <t>A 16328-2024</t>
        </is>
      </c>
      <c r="B844" s="1" t="n">
        <v>45407</v>
      </c>
      <c r="C844" s="1" t="n">
        <v>45828</v>
      </c>
      <c r="D844" t="inlineStr">
        <is>
          <t>GOTLANDS LÄN</t>
        </is>
      </c>
      <c r="E844" t="inlineStr">
        <is>
          <t>GOTLAND</t>
        </is>
      </c>
      <c r="G844" t="n">
        <v>1.7</v>
      </c>
      <c r="H844" t="n">
        <v>0</v>
      </c>
      <c r="I844" t="n">
        <v>0</v>
      </c>
      <c r="J844" t="n">
        <v>0</v>
      </c>
      <c r="K844" t="n">
        <v>0</v>
      </c>
      <c r="L844" t="n">
        <v>0</v>
      </c>
      <c r="M844" t="n">
        <v>0</v>
      </c>
      <c r="N844" t="n">
        <v>0</v>
      </c>
      <c r="O844" t="n">
        <v>0</v>
      </c>
      <c r="P844" t="n">
        <v>0</v>
      </c>
      <c r="Q844" t="n">
        <v>0</v>
      </c>
      <c r="R844" s="2" t="inlineStr"/>
    </row>
    <row r="845" ht="15" customHeight="1">
      <c r="A845" t="inlineStr">
        <is>
          <t>A 17087-2024</t>
        </is>
      </c>
      <c r="B845" s="1" t="n">
        <v>45412</v>
      </c>
      <c r="C845" s="1" t="n">
        <v>45828</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17089-2024</t>
        </is>
      </c>
      <c r="B846" s="1" t="n">
        <v>45412</v>
      </c>
      <c r="C846" s="1" t="n">
        <v>45828</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17085-2024</t>
        </is>
      </c>
      <c r="B847" s="1" t="n">
        <v>45412</v>
      </c>
      <c r="C847" s="1" t="n">
        <v>45828</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17532-2024</t>
        </is>
      </c>
      <c r="B848" s="1" t="n">
        <v>45415</v>
      </c>
      <c r="C848" s="1" t="n">
        <v>45828</v>
      </c>
      <c r="D848" t="inlineStr">
        <is>
          <t>GOTLANDS LÄN</t>
        </is>
      </c>
      <c r="E848" t="inlineStr">
        <is>
          <t>GOTLAND</t>
        </is>
      </c>
      <c r="G848" t="n">
        <v>4.3</v>
      </c>
      <c r="H848" t="n">
        <v>0</v>
      </c>
      <c r="I848" t="n">
        <v>0</v>
      </c>
      <c r="J848" t="n">
        <v>0</v>
      </c>
      <c r="K848" t="n">
        <v>0</v>
      </c>
      <c r="L848" t="n">
        <v>0</v>
      </c>
      <c r="M848" t="n">
        <v>0</v>
      </c>
      <c r="N848" t="n">
        <v>0</v>
      </c>
      <c r="O848" t="n">
        <v>0</v>
      </c>
      <c r="P848" t="n">
        <v>0</v>
      </c>
      <c r="Q848" t="n">
        <v>0</v>
      </c>
      <c r="R848" s="2" t="inlineStr"/>
    </row>
    <row r="849" ht="15" customHeight="1">
      <c r="A849" t="inlineStr">
        <is>
          <t>A 17541-2024</t>
        </is>
      </c>
      <c r="B849" s="1" t="n">
        <v>45415</v>
      </c>
      <c r="C849" s="1" t="n">
        <v>45828</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17616-2024</t>
        </is>
      </c>
      <c r="B850" s="1" t="n">
        <v>45416</v>
      </c>
      <c r="C850" s="1" t="n">
        <v>45828</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17617-2024</t>
        </is>
      </c>
      <c r="B851" s="1" t="n">
        <v>45416</v>
      </c>
      <c r="C851" s="1" t="n">
        <v>45828</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17688-2024</t>
        </is>
      </c>
      <c r="B852" s="1" t="n">
        <v>45418</v>
      </c>
      <c r="C852" s="1" t="n">
        <v>45828</v>
      </c>
      <c r="D852" t="inlineStr">
        <is>
          <t>GOTLANDS LÄN</t>
        </is>
      </c>
      <c r="E852" t="inlineStr">
        <is>
          <t>GOTLAND</t>
        </is>
      </c>
      <c r="G852" t="n">
        <v>1.2</v>
      </c>
      <c r="H852" t="n">
        <v>0</v>
      </c>
      <c r="I852" t="n">
        <v>0</v>
      </c>
      <c r="J852" t="n">
        <v>0</v>
      </c>
      <c r="K852" t="n">
        <v>0</v>
      </c>
      <c r="L852" t="n">
        <v>0</v>
      </c>
      <c r="M852" t="n">
        <v>0</v>
      </c>
      <c r="N852" t="n">
        <v>0</v>
      </c>
      <c r="O852" t="n">
        <v>0</v>
      </c>
      <c r="P852" t="n">
        <v>0</v>
      </c>
      <c r="Q852" t="n">
        <v>0</v>
      </c>
      <c r="R852" s="2" t="inlineStr"/>
    </row>
    <row r="853" ht="15" customHeight="1">
      <c r="A853" t="inlineStr">
        <is>
          <t>A 17691-2024</t>
        </is>
      </c>
      <c r="B853" s="1" t="n">
        <v>45418</v>
      </c>
      <c r="C853" s="1" t="n">
        <v>45828</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17743-2024</t>
        </is>
      </c>
      <c r="B854" s="1" t="n">
        <v>45418</v>
      </c>
      <c r="C854" s="1" t="n">
        <v>45828</v>
      </c>
      <c r="D854" t="inlineStr">
        <is>
          <t>GOTLANDS LÄN</t>
        </is>
      </c>
      <c r="E854" t="inlineStr">
        <is>
          <t>GOTLAND</t>
        </is>
      </c>
      <c r="G854" t="n">
        <v>0.6</v>
      </c>
      <c r="H854" t="n">
        <v>0</v>
      </c>
      <c r="I854" t="n">
        <v>0</v>
      </c>
      <c r="J854" t="n">
        <v>0</v>
      </c>
      <c r="K854" t="n">
        <v>0</v>
      </c>
      <c r="L854" t="n">
        <v>0</v>
      </c>
      <c r="M854" t="n">
        <v>0</v>
      </c>
      <c r="N854" t="n">
        <v>0</v>
      </c>
      <c r="O854" t="n">
        <v>0</v>
      </c>
      <c r="P854" t="n">
        <v>0</v>
      </c>
      <c r="Q854" t="n">
        <v>0</v>
      </c>
      <c r="R854" s="2" t="inlineStr"/>
    </row>
    <row r="855" ht="15" customHeight="1">
      <c r="A855" t="inlineStr">
        <is>
          <t>A 17786-2024</t>
        </is>
      </c>
      <c r="B855" s="1" t="n">
        <v>45418</v>
      </c>
      <c r="C855" s="1" t="n">
        <v>45828</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17682-2024</t>
        </is>
      </c>
      <c r="B856" s="1" t="n">
        <v>45418</v>
      </c>
      <c r="C856" s="1" t="n">
        <v>45828</v>
      </c>
      <c r="D856" t="inlineStr">
        <is>
          <t>GOTLANDS LÄN</t>
        </is>
      </c>
      <c r="E856" t="inlineStr">
        <is>
          <t>GOTLAND</t>
        </is>
      </c>
      <c r="G856" t="n">
        <v>2.9</v>
      </c>
      <c r="H856" t="n">
        <v>0</v>
      </c>
      <c r="I856" t="n">
        <v>0</v>
      </c>
      <c r="J856" t="n">
        <v>0</v>
      </c>
      <c r="K856" t="n">
        <v>0</v>
      </c>
      <c r="L856" t="n">
        <v>0</v>
      </c>
      <c r="M856" t="n">
        <v>0</v>
      </c>
      <c r="N856" t="n">
        <v>0</v>
      </c>
      <c r="O856" t="n">
        <v>0</v>
      </c>
      <c r="P856" t="n">
        <v>0</v>
      </c>
      <c r="Q856" t="n">
        <v>0</v>
      </c>
      <c r="R856" s="2" t="inlineStr"/>
    </row>
    <row r="857" ht="15" customHeight="1">
      <c r="A857" t="inlineStr">
        <is>
          <t>A 17686-2024</t>
        </is>
      </c>
      <c r="B857" s="1" t="n">
        <v>45418</v>
      </c>
      <c r="C857" s="1" t="n">
        <v>45828</v>
      </c>
      <c r="D857" t="inlineStr">
        <is>
          <t>GOTLANDS LÄN</t>
        </is>
      </c>
      <c r="E857" t="inlineStr">
        <is>
          <t>GOTLAND</t>
        </is>
      </c>
      <c r="G857" t="n">
        <v>3.9</v>
      </c>
      <c r="H857" t="n">
        <v>0</v>
      </c>
      <c r="I857" t="n">
        <v>0</v>
      </c>
      <c r="J857" t="n">
        <v>0</v>
      </c>
      <c r="K857" t="n">
        <v>0</v>
      </c>
      <c r="L857" t="n">
        <v>0</v>
      </c>
      <c r="M857" t="n">
        <v>0</v>
      </c>
      <c r="N857" t="n">
        <v>0</v>
      </c>
      <c r="O857" t="n">
        <v>0</v>
      </c>
      <c r="P857" t="n">
        <v>0</v>
      </c>
      <c r="Q857" t="n">
        <v>0</v>
      </c>
      <c r="R857" s="2" t="inlineStr"/>
    </row>
    <row r="858" ht="15" customHeight="1">
      <c r="A858" t="inlineStr">
        <is>
          <t>A 17724-2024</t>
        </is>
      </c>
      <c r="B858" s="1" t="n">
        <v>45418</v>
      </c>
      <c r="C858" s="1" t="n">
        <v>45828</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17742-2024</t>
        </is>
      </c>
      <c r="B859" s="1" t="n">
        <v>45418</v>
      </c>
      <c r="C859" s="1" t="n">
        <v>45828</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18056-2024</t>
        </is>
      </c>
      <c r="B860" s="1" t="n">
        <v>45420</v>
      </c>
      <c r="C860" s="1" t="n">
        <v>45828</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18380-2024</t>
        </is>
      </c>
      <c r="B861" s="1" t="n">
        <v>45424</v>
      </c>
      <c r="C861" s="1" t="n">
        <v>45828</v>
      </c>
      <c r="D861" t="inlineStr">
        <is>
          <t>GOTLANDS LÄN</t>
        </is>
      </c>
      <c r="E861" t="inlineStr">
        <is>
          <t>GOTLAND</t>
        </is>
      </c>
      <c r="G861" t="n">
        <v>2.5</v>
      </c>
      <c r="H861" t="n">
        <v>0</v>
      </c>
      <c r="I861" t="n">
        <v>0</v>
      </c>
      <c r="J861" t="n">
        <v>0</v>
      </c>
      <c r="K861" t="n">
        <v>0</v>
      </c>
      <c r="L861" t="n">
        <v>0</v>
      </c>
      <c r="M861" t="n">
        <v>0</v>
      </c>
      <c r="N861" t="n">
        <v>0</v>
      </c>
      <c r="O861" t="n">
        <v>0</v>
      </c>
      <c r="P861" t="n">
        <v>0</v>
      </c>
      <c r="Q861" t="n">
        <v>0</v>
      </c>
      <c r="R861" s="2" t="inlineStr"/>
    </row>
    <row r="862" ht="15" customHeight="1">
      <c r="A862" t="inlineStr">
        <is>
          <t>A 18896-2024</t>
        </is>
      </c>
      <c r="B862" s="1" t="n">
        <v>45427</v>
      </c>
      <c r="C862" s="1" t="n">
        <v>45828</v>
      </c>
      <c r="D862" t="inlineStr">
        <is>
          <t>GOTLANDS LÄN</t>
        </is>
      </c>
      <c r="E862" t="inlineStr">
        <is>
          <t>GOTLAND</t>
        </is>
      </c>
      <c r="G862" t="n">
        <v>5.1</v>
      </c>
      <c r="H862" t="n">
        <v>0</v>
      </c>
      <c r="I862" t="n">
        <v>0</v>
      </c>
      <c r="J862" t="n">
        <v>0</v>
      </c>
      <c r="K862" t="n">
        <v>0</v>
      </c>
      <c r="L862" t="n">
        <v>0</v>
      </c>
      <c r="M862" t="n">
        <v>0</v>
      </c>
      <c r="N862" t="n">
        <v>0</v>
      </c>
      <c r="O862" t="n">
        <v>0</v>
      </c>
      <c r="P862" t="n">
        <v>0</v>
      </c>
      <c r="Q862" t="n">
        <v>0</v>
      </c>
      <c r="R862" s="2" t="inlineStr"/>
    </row>
    <row r="863" ht="15" customHeight="1">
      <c r="A863" t="inlineStr">
        <is>
          <t>A 20290-2024</t>
        </is>
      </c>
      <c r="B863" s="1" t="n">
        <v>45435</v>
      </c>
      <c r="C863" s="1" t="n">
        <v>45828</v>
      </c>
      <c r="D863" t="inlineStr">
        <is>
          <t>GOTLANDS LÄN</t>
        </is>
      </c>
      <c r="E863" t="inlineStr">
        <is>
          <t>GOTLAND</t>
        </is>
      </c>
      <c r="G863" t="n">
        <v>10.9</v>
      </c>
      <c r="H863" t="n">
        <v>0</v>
      </c>
      <c r="I863" t="n">
        <v>0</v>
      </c>
      <c r="J863" t="n">
        <v>0</v>
      </c>
      <c r="K863" t="n">
        <v>0</v>
      </c>
      <c r="L863" t="n">
        <v>0</v>
      </c>
      <c r="M863" t="n">
        <v>0</v>
      </c>
      <c r="N863" t="n">
        <v>0</v>
      </c>
      <c r="O863" t="n">
        <v>0</v>
      </c>
      <c r="P863" t="n">
        <v>0</v>
      </c>
      <c r="Q863" t="n">
        <v>0</v>
      </c>
      <c r="R863" s="2" t="inlineStr"/>
    </row>
    <row r="864" ht="15" customHeight="1">
      <c r="A864" t="inlineStr">
        <is>
          <t>A 20292-2024</t>
        </is>
      </c>
      <c r="B864" s="1" t="n">
        <v>45435</v>
      </c>
      <c r="C864" s="1" t="n">
        <v>45828</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21164-2024</t>
        </is>
      </c>
      <c r="B865" s="1" t="n">
        <v>45440</v>
      </c>
      <c r="C865" s="1" t="n">
        <v>45828</v>
      </c>
      <c r="D865" t="inlineStr">
        <is>
          <t>GOTLANDS LÄN</t>
        </is>
      </c>
      <c r="E865" t="inlineStr">
        <is>
          <t>GOTLAND</t>
        </is>
      </c>
      <c r="G865" t="n">
        <v>6.3</v>
      </c>
      <c r="H865" t="n">
        <v>0</v>
      </c>
      <c r="I865" t="n">
        <v>0</v>
      </c>
      <c r="J865" t="n">
        <v>0</v>
      </c>
      <c r="K865" t="n">
        <v>0</v>
      </c>
      <c r="L865" t="n">
        <v>0</v>
      </c>
      <c r="M865" t="n">
        <v>0</v>
      </c>
      <c r="N865" t="n">
        <v>0</v>
      </c>
      <c r="O865" t="n">
        <v>0</v>
      </c>
      <c r="P865" t="n">
        <v>0</v>
      </c>
      <c r="Q865" t="n">
        <v>0</v>
      </c>
      <c r="R865" s="2" t="inlineStr"/>
    </row>
    <row r="866" ht="15" customHeight="1">
      <c r="A866" t="inlineStr">
        <is>
          <t>A 21154-2024</t>
        </is>
      </c>
      <c r="B866" s="1" t="n">
        <v>45440</v>
      </c>
      <c r="C866" s="1" t="n">
        <v>45828</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21420-2024</t>
        </is>
      </c>
      <c r="B867" s="1" t="n">
        <v>45441</v>
      </c>
      <c r="C867" s="1" t="n">
        <v>45828</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21493-2024</t>
        </is>
      </c>
      <c r="B868" s="1" t="n">
        <v>45441</v>
      </c>
      <c r="C868" s="1" t="n">
        <v>45828</v>
      </c>
      <c r="D868" t="inlineStr">
        <is>
          <t>GOTLANDS LÄN</t>
        </is>
      </c>
      <c r="E868" t="inlineStr">
        <is>
          <t>GOTLAND</t>
        </is>
      </c>
      <c r="G868" t="n">
        <v>6.4</v>
      </c>
      <c r="H868" t="n">
        <v>0</v>
      </c>
      <c r="I868" t="n">
        <v>0</v>
      </c>
      <c r="J868" t="n">
        <v>0</v>
      </c>
      <c r="K868" t="n">
        <v>0</v>
      </c>
      <c r="L868" t="n">
        <v>0</v>
      </c>
      <c r="M868" t="n">
        <v>0</v>
      </c>
      <c r="N868" t="n">
        <v>0</v>
      </c>
      <c r="O868" t="n">
        <v>0</v>
      </c>
      <c r="P868" t="n">
        <v>0</v>
      </c>
      <c r="Q868" t="n">
        <v>0</v>
      </c>
      <c r="R868" s="2" t="inlineStr"/>
    </row>
    <row r="869" ht="15" customHeight="1">
      <c r="A869" t="inlineStr">
        <is>
          <t>A 21500-2024</t>
        </is>
      </c>
      <c r="B869" s="1" t="n">
        <v>45441</v>
      </c>
      <c r="C869" s="1" t="n">
        <v>45828</v>
      </c>
      <c r="D869" t="inlineStr">
        <is>
          <t>GOTLANDS LÄN</t>
        </is>
      </c>
      <c r="E869" t="inlineStr">
        <is>
          <t>GOTLAND</t>
        </is>
      </c>
      <c r="G869" t="n">
        <v>0.9</v>
      </c>
      <c r="H869" t="n">
        <v>0</v>
      </c>
      <c r="I869" t="n">
        <v>0</v>
      </c>
      <c r="J869" t="n">
        <v>0</v>
      </c>
      <c r="K869" t="n">
        <v>0</v>
      </c>
      <c r="L869" t="n">
        <v>0</v>
      </c>
      <c r="M869" t="n">
        <v>0</v>
      </c>
      <c r="N869" t="n">
        <v>0</v>
      </c>
      <c r="O869" t="n">
        <v>0</v>
      </c>
      <c r="P869" t="n">
        <v>0</v>
      </c>
      <c r="Q869" t="n">
        <v>0</v>
      </c>
      <c r="R869" s="2" t="inlineStr"/>
    </row>
    <row r="870" ht="15" customHeight="1">
      <c r="A870" t="inlineStr">
        <is>
          <t>A 21817-2024</t>
        </is>
      </c>
      <c r="B870" s="1" t="n">
        <v>45442</v>
      </c>
      <c r="C870" s="1" t="n">
        <v>45828</v>
      </c>
      <c r="D870" t="inlineStr">
        <is>
          <t>GOTLANDS LÄN</t>
        </is>
      </c>
      <c r="E870" t="inlineStr">
        <is>
          <t>GOTLAND</t>
        </is>
      </c>
      <c r="G870" t="n">
        <v>3.7</v>
      </c>
      <c r="H870" t="n">
        <v>0</v>
      </c>
      <c r="I870" t="n">
        <v>0</v>
      </c>
      <c r="J870" t="n">
        <v>0</v>
      </c>
      <c r="K870" t="n">
        <v>0</v>
      </c>
      <c r="L870" t="n">
        <v>0</v>
      </c>
      <c r="M870" t="n">
        <v>0</v>
      </c>
      <c r="N870" t="n">
        <v>0</v>
      </c>
      <c r="O870" t="n">
        <v>0</v>
      </c>
      <c r="P870" t="n">
        <v>0</v>
      </c>
      <c r="Q870" t="n">
        <v>0</v>
      </c>
      <c r="R870" s="2" t="inlineStr"/>
    </row>
    <row r="871" ht="15" customHeight="1">
      <c r="A871" t="inlineStr">
        <is>
          <t>A 21792-2024</t>
        </is>
      </c>
      <c r="B871" s="1" t="n">
        <v>45442</v>
      </c>
      <c r="C871" s="1" t="n">
        <v>45828</v>
      </c>
      <c r="D871" t="inlineStr">
        <is>
          <t>GOTLANDS LÄN</t>
        </is>
      </c>
      <c r="E871" t="inlineStr">
        <is>
          <t>GOTLAND</t>
        </is>
      </c>
      <c r="G871" t="n">
        <v>1</v>
      </c>
      <c r="H871" t="n">
        <v>0</v>
      </c>
      <c r="I871" t="n">
        <v>0</v>
      </c>
      <c r="J871" t="n">
        <v>0</v>
      </c>
      <c r="K871" t="n">
        <v>0</v>
      </c>
      <c r="L871" t="n">
        <v>0</v>
      </c>
      <c r="M871" t="n">
        <v>0</v>
      </c>
      <c r="N871" t="n">
        <v>0</v>
      </c>
      <c r="O871" t="n">
        <v>0</v>
      </c>
      <c r="P871" t="n">
        <v>0</v>
      </c>
      <c r="Q871" t="n">
        <v>0</v>
      </c>
      <c r="R871" s="2" t="inlineStr"/>
    </row>
    <row r="872" ht="15" customHeight="1">
      <c r="A872" t="inlineStr">
        <is>
          <t>A 22031-2024</t>
        </is>
      </c>
      <c r="B872" s="1" t="n">
        <v>45443</v>
      </c>
      <c r="C872" s="1" t="n">
        <v>45828</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22860-2024</t>
        </is>
      </c>
      <c r="B873" s="1" t="n">
        <v>45448</v>
      </c>
      <c r="C873" s="1" t="n">
        <v>45828</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22851-2024</t>
        </is>
      </c>
      <c r="B874" s="1" t="n">
        <v>45448</v>
      </c>
      <c r="C874" s="1" t="n">
        <v>45828</v>
      </c>
      <c r="D874" t="inlineStr">
        <is>
          <t>GOTLANDS LÄN</t>
        </is>
      </c>
      <c r="E874" t="inlineStr">
        <is>
          <t>GOTLAND</t>
        </is>
      </c>
      <c r="G874" t="n">
        <v>5.2</v>
      </c>
      <c r="H874" t="n">
        <v>0</v>
      </c>
      <c r="I874" t="n">
        <v>0</v>
      </c>
      <c r="J874" t="n">
        <v>0</v>
      </c>
      <c r="K874" t="n">
        <v>0</v>
      </c>
      <c r="L874" t="n">
        <v>0</v>
      </c>
      <c r="M874" t="n">
        <v>0</v>
      </c>
      <c r="N874" t="n">
        <v>0</v>
      </c>
      <c r="O874" t="n">
        <v>0</v>
      </c>
      <c r="P874" t="n">
        <v>0</v>
      </c>
      <c r="Q874" t="n">
        <v>0</v>
      </c>
      <c r="R874" s="2" t="inlineStr"/>
    </row>
    <row r="875" ht="15" customHeight="1">
      <c r="A875" t="inlineStr">
        <is>
          <t>A 22883-2024</t>
        </is>
      </c>
      <c r="B875" s="1" t="n">
        <v>45448</v>
      </c>
      <c r="C875" s="1" t="n">
        <v>45828</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23518-2024</t>
        </is>
      </c>
      <c r="B876" s="1" t="n">
        <v>45453</v>
      </c>
      <c r="C876" s="1" t="n">
        <v>45828</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23658-2024</t>
        </is>
      </c>
      <c r="B877" s="1" t="n">
        <v>45454</v>
      </c>
      <c r="C877" s="1" t="n">
        <v>45828</v>
      </c>
      <c r="D877" t="inlineStr">
        <is>
          <t>GOTLANDS LÄN</t>
        </is>
      </c>
      <c r="E877" t="inlineStr">
        <is>
          <t>GOTLAND</t>
        </is>
      </c>
      <c r="G877" t="n">
        <v>4.8</v>
      </c>
      <c r="H877" t="n">
        <v>0</v>
      </c>
      <c r="I877" t="n">
        <v>0</v>
      </c>
      <c r="J877" t="n">
        <v>0</v>
      </c>
      <c r="K877" t="n">
        <v>0</v>
      </c>
      <c r="L877" t="n">
        <v>0</v>
      </c>
      <c r="M877" t="n">
        <v>0</v>
      </c>
      <c r="N877" t="n">
        <v>0</v>
      </c>
      <c r="O877" t="n">
        <v>0</v>
      </c>
      <c r="P877" t="n">
        <v>0</v>
      </c>
      <c r="Q877" t="n">
        <v>0</v>
      </c>
      <c r="R877" s="2" t="inlineStr"/>
    </row>
    <row r="878" ht="15" customHeight="1">
      <c r="A878" t="inlineStr">
        <is>
          <t>A 23617-2024</t>
        </is>
      </c>
      <c r="B878" s="1" t="n">
        <v>45454</v>
      </c>
      <c r="C878" s="1" t="n">
        <v>45828</v>
      </c>
      <c r="D878" t="inlineStr">
        <is>
          <t>GOTLANDS LÄN</t>
        </is>
      </c>
      <c r="E878" t="inlineStr">
        <is>
          <t>GOTLAND</t>
        </is>
      </c>
      <c r="G878" t="n">
        <v>2</v>
      </c>
      <c r="H878" t="n">
        <v>0</v>
      </c>
      <c r="I878" t="n">
        <v>0</v>
      </c>
      <c r="J878" t="n">
        <v>0</v>
      </c>
      <c r="K878" t="n">
        <v>0</v>
      </c>
      <c r="L878" t="n">
        <v>0</v>
      </c>
      <c r="M878" t="n">
        <v>0</v>
      </c>
      <c r="N878" t="n">
        <v>0</v>
      </c>
      <c r="O878" t="n">
        <v>0</v>
      </c>
      <c r="P878" t="n">
        <v>0</v>
      </c>
      <c r="Q878" t="n">
        <v>0</v>
      </c>
      <c r="R878" s="2" t="inlineStr"/>
    </row>
    <row r="879" ht="15" customHeight="1">
      <c r="A879" t="inlineStr">
        <is>
          <t>A 24358-2024</t>
        </is>
      </c>
      <c r="B879" s="1" t="n">
        <v>45457</v>
      </c>
      <c r="C879" s="1" t="n">
        <v>45828</v>
      </c>
      <c r="D879" t="inlineStr">
        <is>
          <t>GOTLANDS LÄN</t>
        </is>
      </c>
      <c r="E879" t="inlineStr">
        <is>
          <t>GOTLAND</t>
        </is>
      </c>
      <c r="G879" t="n">
        <v>1.1</v>
      </c>
      <c r="H879" t="n">
        <v>0</v>
      </c>
      <c r="I879" t="n">
        <v>0</v>
      </c>
      <c r="J879" t="n">
        <v>0</v>
      </c>
      <c r="K879" t="n">
        <v>0</v>
      </c>
      <c r="L879" t="n">
        <v>0</v>
      </c>
      <c r="M879" t="n">
        <v>0</v>
      </c>
      <c r="N879" t="n">
        <v>0</v>
      </c>
      <c r="O879" t="n">
        <v>0</v>
      </c>
      <c r="P879" t="n">
        <v>0</v>
      </c>
      <c r="Q879" t="n">
        <v>0</v>
      </c>
      <c r="R879" s="2" t="inlineStr"/>
    </row>
    <row r="880" ht="15" customHeight="1">
      <c r="A880" t="inlineStr">
        <is>
          <t>A 24746-2024</t>
        </is>
      </c>
      <c r="B880" s="1" t="n">
        <v>45460</v>
      </c>
      <c r="C880" s="1" t="n">
        <v>45828</v>
      </c>
      <c r="D880" t="inlineStr">
        <is>
          <t>GOTLANDS LÄN</t>
        </is>
      </c>
      <c r="E880" t="inlineStr">
        <is>
          <t>GOTLAND</t>
        </is>
      </c>
      <c r="G880" t="n">
        <v>1.4</v>
      </c>
      <c r="H880" t="n">
        <v>0</v>
      </c>
      <c r="I880" t="n">
        <v>0</v>
      </c>
      <c r="J880" t="n">
        <v>0</v>
      </c>
      <c r="K880" t="n">
        <v>0</v>
      </c>
      <c r="L880" t="n">
        <v>0</v>
      </c>
      <c r="M880" t="n">
        <v>0</v>
      </c>
      <c r="N880" t="n">
        <v>0</v>
      </c>
      <c r="O880" t="n">
        <v>0</v>
      </c>
      <c r="P880" t="n">
        <v>0</v>
      </c>
      <c r="Q880" t="n">
        <v>0</v>
      </c>
      <c r="R880" s="2" t="inlineStr"/>
    </row>
    <row r="881" ht="15" customHeight="1">
      <c r="A881" t="inlineStr">
        <is>
          <t>A 24825-2024</t>
        </is>
      </c>
      <c r="B881" s="1" t="n">
        <v>45461</v>
      </c>
      <c r="C881" s="1" t="n">
        <v>45828</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25463-2024</t>
        </is>
      </c>
      <c r="B882" s="1" t="n">
        <v>45463</v>
      </c>
      <c r="C882" s="1" t="n">
        <v>45828</v>
      </c>
      <c r="D882" t="inlineStr">
        <is>
          <t>GOTLANDS LÄN</t>
        </is>
      </c>
      <c r="E882" t="inlineStr">
        <is>
          <t>GOTLAND</t>
        </is>
      </c>
      <c r="G882" t="n">
        <v>17.3</v>
      </c>
      <c r="H882" t="n">
        <v>0</v>
      </c>
      <c r="I882" t="n">
        <v>0</v>
      </c>
      <c r="J882" t="n">
        <v>0</v>
      </c>
      <c r="K882" t="n">
        <v>0</v>
      </c>
      <c r="L882" t="n">
        <v>0</v>
      </c>
      <c r="M882" t="n">
        <v>0</v>
      </c>
      <c r="N882" t="n">
        <v>0</v>
      </c>
      <c r="O882" t="n">
        <v>0</v>
      </c>
      <c r="P882" t="n">
        <v>0</v>
      </c>
      <c r="Q882" t="n">
        <v>0</v>
      </c>
      <c r="R882" s="2" t="inlineStr"/>
    </row>
    <row r="883" ht="15" customHeight="1">
      <c r="A883" t="inlineStr">
        <is>
          <t>A 25739-2024</t>
        </is>
      </c>
      <c r="B883" s="1" t="n">
        <v>45465</v>
      </c>
      <c r="C883" s="1" t="n">
        <v>45828</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25740-2024</t>
        </is>
      </c>
      <c r="B884" s="1" t="n">
        <v>45465</v>
      </c>
      <c r="C884" s="1" t="n">
        <v>45828</v>
      </c>
      <c r="D884" t="inlineStr">
        <is>
          <t>GOTLANDS LÄN</t>
        </is>
      </c>
      <c r="E884" t="inlineStr">
        <is>
          <t>GOTLAND</t>
        </is>
      </c>
      <c r="G884" t="n">
        <v>2.7</v>
      </c>
      <c r="H884" t="n">
        <v>0</v>
      </c>
      <c r="I884" t="n">
        <v>0</v>
      </c>
      <c r="J884" t="n">
        <v>0</v>
      </c>
      <c r="K884" t="n">
        <v>0</v>
      </c>
      <c r="L884" t="n">
        <v>0</v>
      </c>
      <c r="M884" t="n">
        <v>0</v>
      </c>
      <c r="N884" t="n">
        <v>0</v>
      </c>
      <c r="O884" t="n">
        <v>0</v>
      </c>
      <c r="P884" t="n">
        <v>0</v>
      </c>
      <c r="Q884" t="n">
        <v>0</v>
      </c>
      <c r="R884" s="2" t="inlineStr"/>
    </row>
    <row r="885" ht="15" customHeight="1">
      <c r="A885" t="inlineStr">
        <is>
          <t>A 26221-2024</t>
        </is>
      </c>
      <c r="B885" s="1" t="n">
        <v>45468</v>
      </c>
      <c r="C885" s="1" t="n">
        <v>45828</v>
      </c>
      <c r="D885" t="inlineStr">
        <is>
          <t>GOTLANDS LÄN</t>
        </is>
      </c>
      <c r="E885" t="inlineStr">
        <is>
          <t>GOTLAND</t>
        </is>
      </c>
      <c r="G885" t="n">
        <v>2.9</v>
      </c>
      <c r="H885" t="n">
        <v>0</v>
      </c>
      <c r="I885" t="n">
        <v>0</v>
      </c>
      <c r="J885" t="n">
        <v>0</v>
      </c>
      <c r="K885" t="n">
        <v>0</v>
      </c>
      <c r="L885" t="n">
        <v>0</v>
      </c>
      <c r="M885" t="n">
        <v>0</v>
      </c>
      <c r="N885" t="n">
        <v>0</v>
      </c>
      <c r="O885" t="n">
        <v>0</v>
      </c>
      <c r="P885" t="n">
        <v>0</v>
      </c>
      <c r="Q885" t="n">
        <v>0</v>
      </c>
      <c r="R885" s="2" t="inlineStr"/>
    </row>
    <row r="886" ht="15" customHeight="1">
      <c r="A886" t="inlineStr">
        <is>
          <t>A 26194-2024</t>
        </is>
      </c>
      <c r="B886" s="1" t="n">
        <v>45468</v>
      </c>
      <c r="C886" s="1" t="n">
        <v>45828</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26206-2024</t>
        </is>
      </c>
      <c r="B887" s="1" t="n">
        <v>45468</v>
      </c>
      <c r="C887" s="1" t="n">
        <v>45828</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26110-2024</t>
        </is>
      </c>
      <c r="B888" s="1" t="n">
        <v>45468</v>
      </c>
      <c r="C888" s="1" t="n">
        <v>45828</v>
      </c>
      <c r="D888" t="inlineStr">
        <is>
          <t>GOTLANDS LÄN</t>
        </is>
      </c>
      <c r="E888" t="inlineStr">
        <is>
          <t>GOTLAND</t>
        </is>
      </c>
      <c r="G888" t="n">
        <v>6.6</v>
      </c>
      <c r="H888" t="n">
        <v>0</v>
      </c>
      <c r="I888" t="n">
        <v>0</v>
      </c>
      <c r="J888" t="n">
        <v>0</v>
      </c>
      <c r="K888" t="n">
        <v>0</v>
      </c>
      <c r="L888" t="n">
        <v>0</v>
      </c>
      <c r="M888" t="n">
        <v>0</v>
      </c>
      <c r="N888" t="n">
        <v>0</v>
      </c>
      <c r="O888" t="n">
        <v>0</v>
      </c>
      <c r="P888" t="n">
        <v>0</v>
      </c>
      <c r="Q888" t="n">
        <v>0</v>
      </c>
      <c r="R888" s="2" t="inlineStr"/>
    </row>
    <row r="889" ht="15" customHeight="1">
      <c r="A889" t="inlineStr">
        <is>
          <t>A 26891-2024</t>
        </is>
      </c>
      <c r="B889" s="1" t="n">
        <v>45470</v>
      </c>
      <c r="C889" s="1" t="n">
        <v>45828</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27850-2024</t>
        </is>
      </c>
      <c r="B890" s="1" t="n">
        <v>45475</v>
      </c>
      <c r="C890" s="1" t="n">
        <v>45828</v>
      </c>
      <c r="D890" t="inlineStr">
        <is>
          <t>GOTLANDS LÄN</t>
        </is>
      </c>
      <c r="E890" t="inlineStr">
        <is>
          <t>GOTLAND</t>
        </is>
      </c>
      <c r="G890" t="n">
        <v>4.1</v>
      </c>
      <c r="H890" t="n">
        <v>0</v>
      </c>
      <c r="I890" t="n">
        <v>0</v>
      </c>
      <c r="J890" t="n">
        <v>0</v>
      </c>
      <c r="K890" t="n">
        <v>0</v>
      </c>
      <c r="L890" t="n">
        <v>0</v>
      </c>
      <c r="M890" t="n">
        <v>0</v>
      </c>
      <c r="N890" t="n">
        <v>0</v>
      </c>
      <c r="O890" t="n">
        <v>0</v>
      </c>
      <c r="P890" t="n">
        <v>0</v>
      </c>
      <c r="Q890" t="n">
        <v>0</v>
      </c>
      <c r="R890" s="2" t="inlineStr"/>
    </row>
    <row r="891" ht="15" customHeight="1">
      <c r="A891" t="inlineStr">
        <is>
          <t>A 27694-2024</t>
        </is>
      </c>
      <c r="B891" s="1" t="n">
        <v>45475</v>
      </c>
      <c r="C891" s="1" t="n">
        <v>45828</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27696-2024</t>
        </is>
      </c>
      <c r="B892" s="1" t="n">
        <v>45475</v>
      </c>
      <c r="C892" s="1" t="n">
        <v>45828</v>
      </c>
      <c r="D892" t="inlineStr">
        <is>
          <t>GOTLANDS LÄN</t>
        </is>
      </c>
      <c r="E892" t="inlineStr">
        <is>
          <t>GOTLAND</t>
        </is>
      </c>
      <c r="G892" t="n">
        <v>2.1</v>
      </c>
      <c r="H892" t="n">
        <v>0</v>
      </c>
      <c r="I892" t="n">
        <v>0</v>
      </c>
      <c r="J892" t="n">
        <v>0</v>
      </c>
      <c r="K892" t="n">
        <v>0</v>
      </c>
      <c r="L892" t="n">
        <v>0</v>
      </c>
      <c r="M892" t="n">
        <v>0</v>
      </c>
      <c r="N892" t="n">
        <v>0</v>
      </c>
      <c r="O892" t="n">
        <v>0</v>
      </c>
      <c r="P892" t="n">
        <v>0</v>
      </c>
      <c r="Q892" t="n">
        <v>0</v>
      </c>
      <c r="R892" s="2" t="inlineStr"/>
    </row>
    <row r="893" ht="15" customHeight="1">
      <c r="A893" t="inlineStr">
        <is>
          <t>A 28285-2024</t>
        </is>
      </c>
      <c r="B893" s="1" t="n">
        <v>45477</v>
      </c>
      <c r="C893" s="1" t="n">
        <v>45828</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28309-2024</t>
        </is>
      </c>
      <c r="B894" s="1" t="n">
        <v>45477</v>
      </c>
      <c r="C894" s="1" t="n">
        <v>45828</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28328-2024</t>
        </is>
      </c>
      <c r="B895" s="1" t="n">
        <v>45477</v>
      </c>
      <c r="C895" s="1" t="n">
        <v>45828</v>
      </c>
      <c r="D895" t="inlineStr">
        <is>
          <t>GOTLANDS LÄN</t>
        </is>
      </c>
      <c r="E895" t="inlineStr">
        <is>
          <t>GOTLAND</t>
        </is>
      </c>
      <c r="G895" t="n">
        <v>1.7</v>
      </c>
      <c r="H895" t="n">
        <v>0</v>
      </c>
      <c r="I895" t="n">
        <v>0</v>
      </c>
      <c r="J895" t="n">
        <v>0</v>
      </c>
      <c r="K895" t="n">
        <v>0</v>
      </c>
      <c r="L895" t="n">
        <v>0</v>
      </c>
      <c r="M895" t="n">
        <v>0</v>
      </c>
      <c r="N895" t="n">
        <v>0</v>
      </c>
      <c r="O895" t="n">
        <v>0</v>
      </c>
      <c r="P895" t="n">
        <v>0</v>
      </c>
      <c r="Q895" t="n">
        <v>0</v>
      </c>
      <c r="R895" s="2" t="inlineStr"/>
    </row>
    <row r="896" ht="15" customHeight="1">
      <c r="A896" t="inlineStr">
        <is>
          <t>A 30365-2024</t>
        </is>
      </c>
      <c r="B896" s="1" t="n">
        <v>45491</v>
      </c>
      <c r="C896" s="1" t="n">
        <v>45828</v>
      </c>
      <c r="D896" t="inlineStr">
        <is>
          <t>GOTLANDS LÄN</t>
        </is>
      </c>
      <c r="E896" t="inlineStr">
        <is>
          <t>GOTLAND</t>
        </is>
      </c>
      <c r="G896" t="n">
        <v>0.5</v>
      </c>
      <c r="H896" t="n">
        <v>0</v>
      </c>
      <c r="I896" t="n">
        <v>0</v>
      </c>
      <c r="J896" t="n">
        <v>0</v>
      </c>
      <c r="K896" t="n">
        <v>0</v>
      </c>
      <c r="L896" t="n">
        <v>0</v>
      </c>
      <c r="M896" t="n">
        <v>0</v>
      </c>
      <c r="N896" t="n">
        <v>0</v>
      </c>
      <c r="O896" t="n">
        <v>0</v>
      </c>
      <c r="P896" t="n">
        <v>0</v>
      </c>
      <c r="Q896" t="n">
        <v>0</v>
      </c>
      <c r="R896" s="2" t="inlineStr"/>
    </row>
    <row r="897" ht="15" customHeight="1">
      <c r="A897" t="inlineStr">
        <is>
          <t>A 30595-2024</t>
        </is>
      </c>
      <c r="B897" s="1" t="n">
        <v>45493</v>
      </c>
      <c r="C897" s="1" t="n">
        <v>45828</v>
      </c>
      <c r="D897" t="inlineStr">
        <is>
          <t>GOTLANDS LÄN</t>
        </is>
      </c>
      <c r="E897" t="inlineStr">
        <is>
          <t>GOTLAND</t>
        </is>
      </c>
      <c r="G897" t="n">
        <v>2.5</v>
      </c>
      <c r="H897" t="n">
        <v>0</v>
      </c>
      <c r="I897" t="n">
        <v>0</v>
      </c>
      <c r="J897" t="n">
        <v>0</v>
      </c>
      <c r="K897" t="n">
        <v>0</v>
      </c>
      <c r="L897" t="n">
        <v>0</v>
      </c>
      <c r="M897" t="n">
        <v>0</v>
      </c>
      <c r="N897" t="n">
        <v>0</v>
      </c>
      <c r="O897" t="n">
        <v>0</v>
      </c>
      <c r="P897" t="n">
        <v>0</v>
      </c>
      <c r="Q897" t="n">
        <v>0</v>
      </c>
      <c r="R897" s="2" t="inlineStr"/>
    </row>
    <row r="898" ht="15" customHeight="1">
      <c r="A898" t="inlineStr">
        <is>
          <t>A 30596-2024</t>
        </is>
      </c>
      <c r="B898" s="1" t="n">
        <v>45493</v>
      </c>
      <c r="C898" s="1" t="n">
        <v>45828</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30597-2024</t>
        </is>
      </c>
      <c r="B899" s="1" t="n">
        <v>45493</v>
      </c>
      <c r="C899" s="1" t="n">
        <v>45828</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30956-2024</t>
        </is>
      </c>
      <c r="B900" s="1" t="n">
        <v>45499</v>
      </c>
      <c r="C900" s="1" t="n">
        <v>45828</v>
      </c>
      <c r="D900" t="inlineStr">
        <is>
          <t>GOTLANDS LÄN</t>
        </is>
      </c>
      <c r="E900" t="inlineStr">
        <is>
          <t>GOTLAND</t>
        </is>
      </c>
      <c r="G900" t="n">
        <v>1.2</v>
      </c>
      <c r="H900" t="n">
        <v>0</v>
      </c>
      <c r="I900" t="n">
        <v>0</v>
      </c>
      <c r="J900" t="n">
        <v>0</v>
      </c>
      <c r="K900" t="n">
        <v>0</v>
      </c>
      <c r="L900" t="n">
        <v>0</v>
      </c>
      <c r="M900" t="n">
        <v>0</v>
      </c>
      <c r="N900" t="n">
        <v>0</v>
      </c>
      <c r="O900" t="n">
        <v>0</v>
      </c>
      <c r="P900" t="n">
        <v>0</v>
      </c>
      <c r="Q900" t="n">
        <v>0</v>
      </c>
      <c r="R900" s="2" t="inlineStr"/>
    </row>
    <row r="901" ht="15" customHeight="1">
      <c r="A901" t="inlineStr">
        <is>
          <t>A 30954-2024</t>
        </is>
      </c>
      <c r="B901" s="1" t="n">
        <v>45499</v>
      </c>
      <c r="C901" s="1" t="n">
        <v>45828</v>
      </c>
      <c r="D901" t="inlineStr">
        <is>
          <t>GOTLANDS LÄN</t>
        </is>
      </c>
      <c r="E901" t="inlineStr">
        <is>
          <t>GOTLAND</t>
        </is>
      </c>
      <c r="G901" t="n">
        <v>3.6</v>
      </c>
      <c r="H901" t="n">
        <v>0</v>
      </c>
      <c r="I901" t="n">
        <v>0</v>
      </c>
      <c r="J901" t="n">
        <v>0</v>
      </c>
      <c r="K901" t="n">
        <v>0</v>
      </c>
      <c r="L901" t="n">
        <v>0</v>
      </c>
      <c r="M901" t="n">
        <v>0</v>
      </c>
      <c r="N901" t="n">
        <v>0</v>
      </c>
      <c r="O901" t="n">
        <v>0</v>
      </c>
      <c r="P901" t="n">
        <v>0</v>
      </c>
      <c r="Q901" t="n">
        <v>0</v>
      </c>
      <c r="R901" s="2" t="inlineStr"/>
    </row>
    <row r="902" ht="15" customHeight="1">
      <c r="A902" t="inlineStr">
        <is>
          <t>A 31352-2024</t>
        </is>
      </c>
      <c r="B902" s="1" t="n">
        <v>45505</v>
      </c>
      <c r="C902" s="1" t="n">
        <v>45828</v>
      </c>
      <c r="D902" t="inlineStr">
        <is>
          <t>GOTLANDS LÄN</t>
        </is>
      </c>
      <c r="E902" t="inlineStr">
        <is>
          <t>GOTLAND</t>
        </is>
      </c>
      <c r="G902" t="n">
        <v>5.4</v>
      </c>
      <c r="H902" t="n">
        <v>0</v>
      </c>
      <c r="I902" t="n">
        <v>0</v>
      </c>
      <c r="J902" t="n">
        <v>0</v>
      </c>
      <c r="K902" t="n">
        <v>0</v>
      </c>
      <c r="L902" t="n">
        <v>0</v>
      </c>
      <c r="M902" t="n">
        <v>0</v>
      </c>
      <c r="N902" t="n">
        <v>0</v>
      </c>
      <c r="O902" t="n">
        <v>0</v>
      </c>
      <c r="P902" t="n">
        <v>0</v>
      </c>
      <c r="Q902" t="n">
        <v>0</v>
      </c>
      <c r="R902" s="2" t="inlineStr"/>
    </row>
    <row r="903" ht="15" customHeight="1">
      <c r="A903" t="inlineStr">
        <is>
          <t>A 31401-2024</t>
        </is>
      </c>
      <c r="B903" s="1" t="n">
        <v>45505</v>
      </c>
      <c r="C903" s="1" t="n">
        <v>45828</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31802-2024</t>
        </is>
      </c>
      <c r="B904" s="1" t="n">
        <v>45509</v>
      </c>
      <c r="C904" s="1" t="n">
        <v>45828</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32322-2024</t>
        </is>
      </c>
      <c r="B905" s="1" t="n">
        <v>45512</v>
      </c>
      <c r="C905" s="1" t="n">
        <v>45828</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32330-2024</t>
        </is>
      </c>
      <c r="B906" s="1" t="n">
        <v>45512</v>
      </c>
      <c r="C906" s="1" t="n">
        <v>45828</v>
      </c>
      <c r="D906" t="inlineStr">
        <is>
          <t>GOTLANDS LÄN</t>
        </is>
      </c>
      <c r="E906" t="inlineStr">
        <is>
          <t>GOTLAND</t>
        </is>
      </c>
      <c r="G906" t="n">
        <v>2.6</v>
      </c>
      <c r="H906" t="n">
        <v>0</v>
      </c>
      <c r="I906" t="n">
        <v>0</v>
      </c>
      <c r="J906" t="n">
        <v>0</v>
      </c>
      <c r="K906" t="n">
        <v>0</v>
      </c>
      <c r="L906" t="n">
        <v>0</v>
      </c>
      <c r="M906" t="n">
        <v>0</v>
      </c>
      <c r="N906" t="n">
        <v>0</v>
      </c>
      <c r="O906" t="n">
        <v>0</v>
      </c>
      <c r="P906" t="n">
        <v>0</v>
      </c>
      <c r="Q906" t="n">
        <v>0</v>
      </c>
      <c r="R906" s="2" t="inlineStr"/>
    </row>
    <row r="907" ht="15" customHeight="1">
      <c r="A907" t="inlineStr">
        <is>
          <t>A 32669-2024</t>
        </is>
      </c>
      <c r="B907" s="1" t="n">
        <v>45514</v>
      </c>
      <c r="C907" s="1" t="n">
        <v>45828</v>
      </c>
      <c r="D907" t="inlineStr">
        <is>
          <t>GOTLANDS LÄN</t>
        </is>
      </c>
      <c r="E907" t="inlineStr">
        <is>
          <t>GOTLAND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33518-2024</t>
        </is>
      </c>
      <c r="B908" s="1" t="n">
        <v>45519</v>
      </c>
      <c r="C908" s="1" t="n">
        <v>45828</v>
      </c>
      <c r="D908" t="inlineStr">
        <is>
          <t>GOTLANDS LÄN</t>
        </is>
      </c>
      <c r="E908" t="inlineStr">
        <is>
          <t>GOTLAND</t>
        </is>
      </c>
      <c r="G908" t="n">
        <v>7.2</v>
      </c>
      <c r="H908" t="n">
        <v>0</v>
      </c>
      <c r="I908" t="n">
        <v>0</v>
      </c>
      <c r="J908" t="n">
        <v>0</v>
      </c>
      <c r="K908" t="n">
        <v>0</v>
      </c>
      <c r="L908" t="n">
        <v>0</v>
      </c>
      <c r="M908" t="n">
        <v>0</v>
      </c>
      <c r="N908" t="n">
        <v>0</v>
      </c>
      <c r="O908" t="n">
        <v>0</v>
      </c>
      <c r="P908" t="n">
        <v>0</v>
      </c>
      <c r="Q908" t="n">
        <v>0</v>
      </c>
      <c r="R908" s="2" t="inlineStr"/>
    </row>
    <row r="909" ht="15" customHeight="1">
      <c r="A909" t="inlineStr">
        <is>
          <t>A 33853-2024</t>
        </is>
      </c>
      <c r="B909" s="1" t="n">
        <v>45520</v>
      </c>
      <c r="C909" s="1" t="n">
        <v>45828</v>
      </c>
      <c r="D909" t="inlineStr">
        <is>
          <t>GOTLANDS LÄN</t>
        </is>
      </c>
      <c r="E909" t="inlineStr">
        <is>
          <t>GOTLAND</t>
        </is>
      </c>
      <c r="G909" t="n">
        <v>3.9</v>
      </c>
      <c r="H909" t="n">
        <v>0</v>
      </c>
      <c r="I909" t="n">
        <v>0</v>
      </c>
      <c r="J909" t="n">
        <v>0</v>
      </c>
      <c r="K909" t="n">
        <v>0</v>
      </c>
      <c r="L909" t="n">
        <v>0</v>
      </c>
      <c r="M909" t="n">
        <v>0</v>
      </c>
      <c r="N909" t="n">
        <v>0</v>
      </c>
      <c r="O909" t="n">
        <v>0</v>
      </c>
      <c r="P909" t="n">
        <v>0</v>
      </c>
      <c r="Q909" t="n">
        <v>0</v>
      </c>
      <c r="R909" s="2" t="inlineStr"/>
    </row>
    <row r="910" ht="15" customHeight="1">
      <c r="A910" t="inlineStr">
        <is>
          <t>A 33876-2024</t>
        </is>
      </c>
      <c r="B910" s="1" t="n">
        <v>45521</v>
      </c>
      <c r="C910" s="1" t="n">
        <v>45828</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33928-2024</t>
        </is>
      </c>
      <c r="B911" s="1" t="n">
        <v>45523</v>
      </c>
      <c r="C911" s="1" t="n">
        <v>45828</v>
      </c>
      <c r="D911" t="inlineStr">
        <is>
          <t>GOTLANDS LÄN</t>
        </is>
      </c>
      <c r="E911" t="inlineStr">
        <is>
          <t>GOTLAND</t>
        </is>
      </c>
      <c r="G911" t="n">
        <v>0.7</v>
      </c>
      <c r="H911" t="n">
        <v>0</v>
      </c>
      <c r="I911" t="n">
        <v>0</v>
      </c>
      <c r="J911" t="n">
        <v>0</v>
      </c>
      <c r="K911" t="n">
        <v>0</v>
      </c>
      <c r="L911" t="n">
        <v>0</v>
      </c>
      <c r="M911" t="n">
        <v>0</v>
      </c>
      <c r="N911" t="n">
        <v>0</v>
      </c>
      <c r="O911" t="n">
        <v>0</v>
      </c>
      <c r="P911" t="n">
        <v>0</v>
      </c>
      <c r="Q911" t="n">
        <v>0</v>
      </c>
      <c r="R911" s="2" t="inlineStr"/>
    </row>
    <row r="912" ht="15" customHeight="1">
      <c r="A912" t="inlineStr">
        <is>
          <t>A 34167-2024</t>
        </is>
      </c>
      <c r="B912" s="1" t="n">
        <v>45524</v>
      </c>
      <c r="C912" s="1" t="n">
        <v>45828</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34157-2024</t>
        </is>
      </c>
      <c r="B913" s="1" t="n">
        <v>45524</v>
      </c>
      <c r="C913" s="1" t="n">
        <v>45828</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34142-2024</t>
        </is>
      </c>
      <c r="B914" s="1" t="n">
        <v>45524</v>
      </c>
      <c r="C914" s="1" t="n">
        <v>45828</v>
      </c>
      <c r="D914" t="inlineStr">
        <is>
          <t>GOTLANDS LÄN</t>
        </is>
      </c>
      <c r="E914" t="inlineStr">
        <is>
          <t>GOTLAND</t>
        </is>
      </c>
      <c r="G914" t="n">
        <v>6</v>
      </c>
      <c r="H914" t="n">
        <v>0</v>
      </c>
      <c r="I914" t="n">
        <v>0</v>
      </c>
      <c r="J914" t="n">
        <v>0</v>
      </c>
      <c r="K914" t="n">
        <v>0</v>
      </c>
      <c r="L914" t="n">
        <v>0</v>
      </c>
      <c r="M914" t="n">
        <v>0</v>
      </c>
      <c r="N914" t="n">
        <v>0</v>
      </c>
      <c r="O914" t="n">
        <v>0</v>
      </c>
      <c r="P914" t="n">
        <v>0</v>
      </c>
      <c r="Q914" t="n">
        <v>0</v>
      </c>
      <c r="R914" s="2" t="inlineStr"/>
    </row>
    <row r="915" ht="15" customHeight="1">
      <c r="A915" t="inlineStr">
        <is>
          <t>A 34154-2024</t>
        </is>
      </c>
      <c r="B915" s="1" t="n">
        <v>45524</v>
      </c>
      <c r="C915" s="1" t="n">
        <v>45828</v>
      </c>
      <c r="D915" t="inlineStr">
        <is>
          <t>GOTLANDS LÄN</t>
        </is>
      </c>
      <c r="E915" t="inlineStr">
        <is>
          <t>GOTLAND</t>
        </is>
      </c>
      <c r="G915" t="n">
        <v>9.9</v>
      </c>
      <c r="H915" t="n">
        <v>0</v>
      </c>
      <c r="I915" t="n">
        <v>0</v>
      </c>
      <c r="J915" t="n">
        <v>0</v>
      </c>
      <c r="K915" t="n">
        <v>0</v>
      </c>
      <c r="L915" t="n">
        <v>0</v>
      </c>
      <c r="M915" t="n">
        <v>0</v>
      </c>
      <c r="N915" t="n">
        <v>0</v>
      </c>
      <c r="O915" t="n">
        <v>0</v>
      </c>
      <c r="P915" t="n">
        <v>0</v>
      </c>
      <c r="Q915" t="n">
        <v>0</v>
      </c>
      <c r="R915" s="2" t="inlineStr"/>
    </row>
    <row r="916" ht="15" customHeight="1">
      <c r="A916" t="inlineStr">
        <is>
          <t>A 34170-2024</t>
        </is>
      </c>
      <c r="B916" s="1" t="n">
        <v>45524</v>
      </c>
      <c r="C916" s="1" t="n">
        <v>45828</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34312-2024</t>
        </is>
      </c>
      <c r="B917" s="1" t="n">
        <v>45524</v>
      </c>
      <c r="C917" s="1" t="n">
        <v>45828</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35093-2024</t>
        </is>
      </c>
      <c r="B918" s="1" t="n">
        <v>45527</v>
      </c>
      <c r="C918" s="1" t="n">
        <v>45828</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36539-2024</t>
        </is>
      </c>
      <c r="B919" s="1" t="n">
        <v>45537</v>
      </c>
      <c r="C919" s="1" t="n">
        <v>45828</v>
      </c>
      <c r="D919" t="inlineStr">
        <is>
          <t>GOTLANDS LÄN</t>
        </is>
      </c>
      <c r="E919" t="inlineStr">
        <is>
          <t>GOTLAND</t>
        </is>
      </c>
      <c r="G919" t="n">
        <v>5.9</v>
      </c>
      <c r="H919" t="n">
        <v>0</v>
      </c>
      <c r="I919" t="n">
        <v>0</v>
      </c>
      <c r="J919" t="n">
        <v>0</v>
      </c>
      <c r="K919" t="n">
        <v>0</v>
      </c>
      <c r="L919" t="n">
        <v>0</v>
      </c>
      <c r="M919" t="n">
        <v>0</v>
      </c>
      <c r="N919" t="n">
        <v>0</v>
      </c>
      <c r="O919" t="n">
        <v>0</v>
      </c>
      <c r="P919" t="n">
        <v>0</v>
      </c>
      <c r="Q919" t="n">
        <v>0</v>
      </c>
      <c r="R919" s="2" t="inlineStr"/>
    </row>
    <row r="920" ht="15" customHeight="1">
      <c r="A920" t="inlineStr">
        <is>
          <t>A 37225-2024</t>
        </is>
      </c>
      <c r="B920" s="1" t="n">
        <v>45539</v>
      </c>
      <c r="C920" s="1" t="n">
        <v>45828</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37202-2024</t>
        </is>
      </c>
      <c r="B921" s="1" t="n">
        <v>45539</v>
      </c>
      <c r="C921" s="1" t="n">
        <v>45828</v>
      </c>
      <c r="D921" t="inlineStr">
        <is>
          <t>GOTLANDS LÄN</t>
        </is>
      </c>
      <c r="E921" t="inlineStr">
        <is>
          <t>GOTLAND</t>
        </is>
      </c>
      <c r="G921" t="n">
        <v>0.3</v>
      </c>
      <c r="H921" t="n">
        <v>0</v>
      </c>
      <c r="I921" t="n">
        <v>0</v>
      </c>
      <c r="J921" t="n">
        <v>0</v>
      </c>
      <c r="K921" t="n">
        <v>0</v>
      </c>
      <c r="L921" t="n">
        <v>0</v>
      </c>
      <c r="M921" t="n">
        <v>0</v>
      </c>
      <c r="N921" t="n">
        <v>0</v>
      </c>
      <c r="O921" t="n">
        <v>0</v>
      </c>
      <c r="P921" t="n">
        <v>0</v>
      </c>
      <c r="Q921" t="n">
        <v>0</v>
      </c>
      <c r="R921" s="2" t="inlineStr"/>
    </row>
    <row r="922" ht="15" customHeight="1">
      <c r="A922" t="inlineStr">
        <is>
          <t>A 37376-2024</t>
        </is>
      </c>
      <c r="B922" s="1" t="n">
        <v>45540</v>
      </c>
      <c r="C922" s="1" t="n">
        <v>45828</v>
      </c>
      <c r="D922" t="inlineStr">
        <is>
          <t>GOTLANDS LÄN</t>
        </is>
      </c>
      <c r="E922" t="inlineStr">
        <is>
          <t>GOTLAND</t>
        </is>
      </c>
      <c r="G922" t="n">
        <v>4.9</v>
      </c>
      <c r="H922" t="n">
        <v>0</v>
      </c>
      <c r="I922" t="n">
        <v>0</v>
      </c>
      <c r="J922" t="n">
        <v>0</v>
      </c>
      <c r="K922" t="n">
        <v>0</v>
      </c>
      <c r="L922" t="n">
        <v>0</v>
      </c>
      <c r="M922" t="n">
        <v>0</v>
      </c>
      <c r="N922" t="n">
        <v>0</v>
      </c>
      <c r="O922" t="n">
        <v>0</v>
      </c>
      <c r="P922" t="n">
        <v>0</v>
      </c>
      <c r="Q922" t="n">
        <v>0</v>
      </c>
      <c r="R922" s="2" t="inlineStr"/>
    </row>
    <row r="923" ht="15" customHeight="1">
      <c r="A923" t="inlineStr">
        <is>
          <t>A 37442-2024</t>
        </is>
      </c>
      <c r="B923" s="1" t="n">
        <v>45540</v>
      </c>
      <c r="C923" s="1" t="n">
        <v>45828</v>
      </c>
      <c r="D923" t="inlineStr">
        <is>
          <t>GOTLANDS LÄN</t>
        </is>
      </c>
      <c r="E923" t="inlineStr">
        <is>
          <t>GOTLAND</t>
        </is>
      </c>
      <c r="G923" t="n">
        <v>4.3</v>
      </c>
      <c r="H923" t="n">
        <v>0</v>
      </c>
      <c r="I923" t="n">
        <v>0</v>
      </c>
      <c r="J923" t="n">
        <v>0</v>
      </c>
      <c r="K923" t="n">
        <v>0</v>
      </c>
      <c r="L923" t="n">
        <v>0</v>
      </c>
      <c r="M923" t="n">
        <v>0</v>
      </c>
      <c r="N923" t="n">
        <v>0</v>
      </c>
      <c r="O923" t="n">
        <v>0</v>
      </c>
      <c r="P923" t="n">
        <v>0</v>
      </c>
      <c r="Q923" t="n">
        <v>0</v>
      </c>
      <c r="R923" s="2" t="inlineStr"/>
    </row>
    <row r="924" ht="15" customHeight="1">
      <c r="A924" t="inlineStr">
        <is>
          <t>A 37440-2024</t>
        </is>
      </c>
      <c r="B924" s="1" t="n">
        <v>45540</v>
      </c>
      <c r="C924" s="1" t="n">
        <v>45828</v>
      </c>
      <c r="D924" t="inlineStr">
        <is>
          <t>GOTLANDS LÄN</t>
        </is>
      </c>
      <c r="E924" t="inlineStr">
        <is>
          <t>GOTLAND</t>
        </is>
      </c>
      <c r="G924" t="n">
        <v>1</v>
      </c>
      <c r="H924" t="n">
        <v>0</v>
      </c>
      <c r="I924" t="n">
        <v>0</v>
      </c>
      <c r="J924" t="n">
        <v>0</v>
      </c>
      <c r="K924" t="n">
        <v>0</v>
      </c>
      <c r="L924" t="n">
        <v>0</v>
      </c>
      <c r="M924" t="n">
        <v>0</v>
      </c>
      <c r="N924" t="n">
        <v>0</v>
      </c>
      <c r="O924" t="n">
        <v>0</v>
      </c>
      <c r="P924" t="n">
        <v>0</v>
      </c>
      <c r="Q924" t="n">
        <v>0</v>
      </c>
      <c r="R924" s="2" t="inlineStr"/>
    </row>
    <row r="925" ht="15" customHeight="1">
      <c r="A925" t="inlineStr">
        <is>
          <t>A 37728-2024</t>
        </is>
      </c>
      <c r="B925" s="1" t="n">
        <v>45541</v>
      </c>
      <c r="C925" s="1" t="n">
        <v>45828</v>
      </c>
      <c r="D925" t="inlineStr">
        <is>
          <t>GOTLANDS LÄN</t>
        </is>
      </c>
      <c r="E925" t="inlineStr">
        <is>
          <t>GOTLAND</t>
        </is>
      </c>
      <c r="G925" t="n">
        <v>0.4</v>
      </c>
      <c r="H925" t="n">
        <v>0</v>
      </c>
      <c r="I925" t="n">
        <v>0</v>
      </c>
      <c r="J925" t="n">
        <v>0</v>
      </c>
      <c r="K925" t="n">
        <v>0</v>
      </c>
      <c r="L925" t="n">
        <v>0</v>
      </c>
      <c r="M925" t="n">
        <v>0</v>
      </c>
      <c r="N925" t="n">
        <v>0</v>
      </c>
      <c r="O925" t="n">
        <v>0</v>
      </c>
      <c r="P925" t="n">
        <v>0</v>
      </c>
      <c r="Q925" t="n">
        <v>0</v>
      </c>
      <c r="R925" s="2" t="inlineStr"/>
    </row>
    <row r="926" ht="15" customHeight="1">
      <c r="A926" t="inlineStr">
        <is>
          <t>A 37808-2024</t>
        </is>
      </c>
      <c r="B926" s="1" t="n">
        <v>45543</v>
      </c>
      <c r="C926" s="1" t="n">
        <v>45828</v>
      </c>
      <c r="D926" t="inlineStr">
        <is>
          <t>GOTLANDS LÄN</t>
        </is>
      </c>
      <c r="E926" t="inlineStr">
        <is>
          <t>GOTLAND</t>
        </is>
      </c>
      <c r="G926" t="n">
        <v>2.3</v>
      </c>
      <c r="H926" t="n">
        <v>0</v>
      </c>
      <c r="I926" t="n">
        <v>0</v>
      </c>
      <c r="J926" t="n">
        <v>0</v>
      </c>
      <c r="K926" t="n">
        <v>0</v>
      </c>
      <c r="L926" t="n">
        <v>0</v>
      </c>
      <c r="M926" t="n">
        <v>0</v>
      </c>
      <c r="N926" t="n">
        <v>0</v>
      </c>
      <c r="O926" t="n">
        <v>0</v>
      </c>
      <c r="P926" t="n">
        <v>0</v>
      </c>
      <c r="Q926" t="n">
        <v>0</v>
      </c>
      <c r="R926" s="2" t="inlineStr"/>
    </row>
    <row r="927" ht="15" customHeight="1">
      <c r="A927" t="inlineStr">
        <is>
          <t>A 39311-2024</t>
        </is>
      </c>
      <c r="B927" s="1" t="n">
        <v>45551</v>
      </c>
      <c r="C927" s="1" t="n">
        <v>45828</v>
      </c>
      <c r="D927" t="inlineStr">
        <is>
          <t>GOTLANDS LÄN</t>
        </is>
      </c>
      <c r="E927" t="inlineStr">
        <is>
          <t>GOTLAND</t>
        </is>
      </c>
      <c r="G927" t="n">
        <v>2.8</v>
      </c>
      <c r="H927" t="n">
        <v>0</v>
      </c>
      <c r="I927" t="n">
        <v>0</v>
      </c>
      <c r="J927" t="n">
        <v>0</v>
      </c>
      <c r="K927" t="n">
        <v>0</v>
      </c>
      <c r="L927" t="n">
        <v>0</v>
      </c>
      <c r="M927" t="n">
        <v>0</v>
      </c>
      <c r="N927" t="n">
        <v>0</v>
      </c>
      <c r="O927" t="n">
        <v>0</v>
      </c>
      <c r="P927" t="n">
        <v>0</v>
      </c>
      <c r="Q927" t="n">
        <v>0</v>
      </c>
      <c r="R927" s="2" t="inlineStr"/>
    </row>
    <row r="928" ht="15" customHeight="1">
      <c r="A928" t="inlineStr">
        <is>
          <t>A 41373-2024</t>
        </is>
      </c>
      <c r="B928" s="1" t="n">
        <v>45559</v>
      </c>
      <c r="C928" s="1" t="n">
        <v>45828</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41372-2024</t>
        </is>
      </c>
      <c r="B929" s="1" t="n">
        <v>45559</v>
      </c>
      <c r="C929" s="1" t="n">
        <v>45828</v>
      </c>
      <c r="D929" t="inlineStr">
        <is>
          <t>GOTLANDS LÄN</t>
        </is>
      </c>
      <c r="E929" t="inlineStr">
        <is>
          <t>GOTLAND</t>
        </is>
      </c>
      <c r="G929" t="n">
        <v>3.3</v>
      </c>
      <c r="H929" t="n">
        <v>0</v>
      </c>
      <c r="I929" t="n">
        <v>0</v>
      </c>
      <c r="J929" t="n">
        <v>0</v>
      </c>
      <c r="K929" t="n">
        <v>0</v>
      </c>
      <c r="L929" t="n">
        <v>0</v>
      </c>
      <c r="M929" t="n">
        <v>0</v>
      </c>
      <c r="N929" t="n">
        <v>0</v>
      </c>
      <c r="O929" t="n">
        <v>0</v>
      </c>
      <c r="P929" t="n">
        <v>0</v>
      </c>
      <c r="Q929" t="n">
        <v>0</v>
      </c>
      <c r="R929" s="2" t="inlineStr"/>
    </row>
    <row r="930" ht="15" customHeight="1">
      <c r="A930" t="inlineStr">
        <is>
          <t>A 41467-2024</t>
        </is>
      </c>
      <c r="B930" s="1" t="n">
        <v>45560</v>
      </c>
      <c r="C930" s="1" t="n">
        <v>45828</v>
      </c>
      <c r="D930" t="inlineStr">
        <is>
          <t>GOTLANDS LÄN</t>
        </is>
      </c>
      <c r="E930" t="inlineStr">
        <is>
          <t>GOTLAND</t>
        </is>
      </c>
      <c r="G930" t="n">
        <v>9</v>
      </c>
      <c r="H930" t="n">
        <v>0</v>
      </c>
      <c r="I930" t="n">
        <v>0</v>
      </c>
      <c r="J930" t="n">
        <v>0</v>
      </c>
      <c r="K930" t="n">
        <v>0</v>
      </c>
      <c r="L930" t="n">
        <v>0</v>
      </c>
      <c r="M930" t="n">
        <v>0</v>
      </c>
      <c r="N930" t="n">
        <v>0</v>
      </c>
      <c r="O930" t="n">
        <v>0</v>
      </c>
      <c r="P930" t="n">
        <v>0</v>
      </c>
      <c r="Q930" t="n">
        <v>0</v>
      </c>
      <c r="R930" s="2" t="inlineStr"/>
    </row>
    <row r="931" ht="15" customHeight="1">
      <c r="A931" t="inlineStr">
        <is>
          <t>A 42041-2024</t>
        </is>
      </c>
      <c r="B931" s="1" t="n">
        <v>45561</v>
      </c>
      <c r="C931" s="1" t="n">
        <v>45828</v>
      </c>
      <c r="D931" t="inlineStr">
        <is>
          <t>GOTLANDS LÄN</t>
        </is>
      </c>
      <c r="E931" t="inlineStr">
        <is>
          <t>GOTLAND</t>
        </is>
      </c>
      <c r="G931" t="n">
        <v>3.2</v>
      </c>
      <c r="H931" t="n">
        <v>0</v>
      </c>
      <c r="I931" t="n">
        <v>0</v>
      </c>
      <c r="J931" t="n">
        <v>0</v>
      </c>
      <c r="K931" t="n">
        <v>0</v>
      </c>
      <c r="L931" t="n">
        <v>0</v>
      </c>
      <c r="M931" t="n">
        <v>0</v>
      </c>
      <c r="N931" t="n">
        <v>0</v>
      </c>
      <c r="O931" t="n">
        <v>0</v>
      </c>
      <c r="P931" t="n">
        <v>0</v>
      </c>
      <c r="Q931" t="n">
        <v>0</v>
      </c>
      <c r="R931" s="2" t="inlineStr"/>
    </row>
    <row r="932" ht="15" customHeight="1">
      <c r="A932" t="inlineStr">
        <is>
          <t>A 42340-2024</t>
        </is>
      </c>
      <c r="B932" s="1" t="n">
        <v>45562</v>
      </c>
      <c r="C932" s="1" t="n">
        <v>45828</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42348-2024</t>
        </is>
      </c>
      <c r="B933" s="1" t="n">
        <v>45562</v>
      </c>
      <c r="C933" s="1" t="n">
        <v>45828</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42346-2024</t>
        </is>
      </c>
      <c r="B934" s="1" t="n">
        <v>45562</v>
      </c>
      <c r="C934" s="1" t="n">
        <v>45828</v>
      </c>
      <c r="D934" t="inlineStr">
        <is>
          <t>GOTLANDS LÄN</t>
        </is>
      </c>
      <c r="E934" t="inlineStr">
        <is>
          <t>GOTLAND</t>
        </is>
      </c>
      <c r="G934" t="n">
        <v>1.3</v>
      </c>
      <c r="H934" t="n">
        <v>0</v>
      </c>
      <c r="I934" t="n">
        <v>0</v>
      </c>
      <c r="J934" t="n">
        <v>0</v>
      </c>
      <c r="K934" t="n">
        <v>0</v>
      </c>
      <c r="L934" t="n">
        <v>0</v>
      </c>
      <c r="M934" t="n">
        <v>0</v>
      </c>
      <c r="N934" t="n">
        <v>0</v>
      </c>
      <c r="O934" t="n">
        <v>0</v>
      </c>
      <c r="P934" t="n">
        <v>0</v>
      </c>
      <c r="Q934" t="n">
        <v>0</v>
      </c>
      <c r="R934" s="2" t="inlineStr"/>
    </row>
    <row r="935" ht="15" customHeight="1">
      <c r="A935" t="inlineStr">
        <is>
          <t>A 43785-2024</t>
        </is>
      </c>
      <c r="B935" s="1" t="n">
        <v>45570</v>
      </c>
      <c r="C935" s="1" t="n">
        <v>45828</v>
      </c>
      <c r="D935" t="inlineStr">
        <is>
          <t>GOTLANDS LÄN</t>
        </is>
      </c>
      <c r="E935" t="inlineStr">
        <is>
          <t>GOTLAND</t>
        </is>
      </c>
      <c r="G935" t="n">
        <v>12.6</v>
      </c>
      <c r="H935" t="n">
        <v>0</v>
      </c>
      <c r="I935" t="n">
        <v>0</v>
      </c>
      <c r="J935" t="n">
        <v>0</v>
      </c>
      <c r="K935" t="n">
        <v>0</v>
      </c>
      <c r="L935" t="n">
        <v>0</v>
      </c>
      <c r="M935" t="n">
        <v>0</v>
      </c>
      <c r="N935" t="n">
        <v>0</v>
      </c>
      <c r="O935" t="n">
        <v>0</v>
      </c>
      <c r="P935" t="n">
        <v>0</v>
      </c>
      <c r="Q935" t="n">
        <v>0</v>
      </c>
      <c r="R935" s="2" t="inlineStr"/>
    </row>
    <row r="936" ht="15" customHeight="1">
      <c r="A936" t="inlineStr">
        <is>
          <t>A 43784-2024</t>
        </is>
      </c>
      <c r="B936" s="1" t="n">
        <v>45570</v>
      </c>
      <c r="C936" s="1" t="n">
        <v>45828</v>
      </c>
      <c r="D936" t="inlineStr">
        <is>
          <t>GOTLANDS LÄN</t>
        </is>
      </c>
      <c r="E936" t="inlineStr">
        <is>
          <t>GOTLAND</t>
        </is>
      </c>
      <c r="G936" t="n">
        <v>9.1</v>
      </c>
      <c r="H936" t="n">
        <v>0</v>
      </c>
      <c r="I936" t="n">
        <v>0</v>
      </c>
      <c r="J936" t="n">
        <v>0</v>
      </c>
      <c r="K936" t="n">
        <v>0</v>
      </c>
      <c r="L936" t="n">
        <v>0</v>
      </c>
      <c r="M936" t="n">
        <v>0</v>
      </c>
      <c r="N936" t="n">
        <v>0</v>
      </c>
      <c r="O936" t="n">
        <v>0</v>
      </c>
      <c r="P936" t="n">
        <v>0</v>
      </c>
      <c r="Q936" t="n">
        <v>0</v>
      </c>
      <c r="R936" s="2" t="inlineStr"/>
    </row>
    <row r="937" ht="15" customHeight="1">
      <c r="A937" t="inlineStr">
        <is>
          <t>A 43787-2024</t>
        </is>
      </c>
      <c r="B937" s="1" t="n">
        <v>45571</v>
      </c>
      <c r="C937" s="1" t="n">
        <v>45828</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43790-2024</t>
        </is>
      </c>
      <c r="B938" s="1" t="n">
        <v>45571</v>
      </c>
      <c r="C938" s="1" t="n">
        <v>45828</v>
      </c>
      <c r="D938" t="inlineStr">
        <is>
          <t>GOTLANDS LÄN</t>
        </is>
      </c>
      <c r="E938" t="inlineStr">
        <is>
          <t>GOTLAND</t>
        </is>
      </c>
      <c r="G938" t="n">
        <v>3.5</v>
      </c>
      <c r="H938" t="n">
        <v>0</v>
      </c>
      <c r="I938" t="n">
        <v>0</v>
      </c>
      <c r="J938" t="n">
        <v>0</v>
      </c>
      <c r="K938" t="n">
        <v>0</v>
      </c>
      <c r="L938" t="n">
        <v>0</v>
      </c>
      <c r="M938" t="n">
        <v>0</v>
      </c>
      <c r="N938" t="n">
        <v>0</v>
      </c>
      <c r="O938" t="n">
        <v>0</v>
      </c>
      <c r="P938" t="n">
        <v>0</v>
      </c>
      <c r="Q938" t="n">
        <v>0</v>
      </c>
      <c r="R938" s="2" t="inlineStr"/>
    </row>
    <row r="939" ht="15" customHeight="1">
      <c r="A939" t="inlineStr">
        <is>
          <t>A 43788-2024</t>
        </is>
      </c>
      <c r="B939" s="1" t="n">
        <v>45571</v>
      </c>
      <c r="C939" s="1" t="n">
        <v>45828</v>
      </c>
      <c r="D939" t="inlineStr">
        <is>
          <t>GOTLANDS LÄN</t>
        </is>
      </c>
      <c r="E939" t="inlineStr">
        <is>
          <t>GOTLAND</t>
        </is>
      </c>
      <c r="G939" t="n">
        <v>4.1</v>
      </c>
      <c r="H939" t="n">
        <v>0</v>
      </c>
      <c r="I939" t="n">
        <v>0</v>
      </c>
      <c r="J939" t="n">
        <v>0</v>
      </c>
      <c r="K939" t="n">
        <v>0</v>
      </c>
      <c r="L939" t="n">
        <v>0</v>
      </c>
      <c r="M939" t="n">
        <v>0</v>
      </c>
      <c r="N939" t="n">
        <v>0</v>
      </c>
      <c r="O939" t="n">
        <v>0</v>
      </c>
      <c r="P939" t="n">
        <v>0</v>
      </c>
      <c r="Q939" t="n">
        <v>0</v>
      </c>
      <c r="R939" s="2" t="inlineStr"/>
    </row>
    <row r="940" ht="15" customHeight="1">
      <c r="A940" t="inlineStr">
        <is>
          <t>A 44416-2024</t>
        </is>
      </c>
      <c r="B940" s="1" t="n">
        <v>45573</v>
      </c>
      <c r="C940" s="1" t="n">
        <v>45828</v>
      </c>
      <c r="D940" t="inlineStr">
        <is>
          <t>GOTLANDS LÄN</t>
        </is>
      </c>
      <c r="E940" t="inlineStr">
        <is>
          <t>GOTLAND</t>
        </is>
      </c>
      <c r="G940" t="n">
        <v>0.8</v>
      </c>
      <c r="H940" t="n">
        <v>0</v>
      </c>
      <c r="I940" t="n">
        <v>0</v>
      </c>
      <c r="J940" t="n">
        <v>0</v>
      </c>
      <c r="K940" t="n">
        <v>0</v>
      </c>
      <c r="L940" t="n">
        <v>0</v>
      </c>
      <c r="M940" t="n">
        <v>0</v>
      </c>
      <c r="N940" t="n">
        <v>0</v>
      </c>
      <c r="O940" t="n">
        <v>0</v>
      </c>
      <c r="P940" t="n">
        <v>0</v>
      </c>
      <c r="Q940" t="n">
        <v>0</v>
      </c>
      <c r="R940" s="2" t="inlineStr"/>
    </row>
    <row r="941" ht="15" customHeight="1">
      <c r="A941" t="inlineStr">
        <is>
          <t>A 44513-2024</t>
        </is>
      </c>
      <c r="B941" s="1" t="n">
        <v>45574</v>
      </c>
      <c r="C941" s="1" t="n">
        <v>45828</v>
      </c>
      <c r="D941" t="inlineStr">
        <is>
          <t>GOTLANDS LÄN</t>
        </is>
      </c>
      <c r="E941" t="inlineStr">
        <is>
          <t>GOTLAND</t>
        </is>
      </c>
      <c r="G941" t="n">
        <v>6.1</v>
      </c>
      <c r="H941" t="n">
        <v>0</v>
      </c>
      <c r="I941" t="n">
        <v>0</v>
      </c>
      <c r="J941" t="n">
        <v>0</v>
      </c>
      <c r="K941" t="n">
        <v>0</v>
      </c>
      <c r="L941" t="n">
        <v>0</v>
      </c>
      <c r="M941" t="n">
        <v>0</v>
      </c>
      <c r="N941" t="n">
        <v>0</v>
      </c>
      <c r="O941" t="n">
        <v>0</v>
      </c>
      <c r="P941" t="n">
        <v>0</v>
      </c>
      <c r="Q941" t="n">
        <v>0</v>
      </c>
      <c r="R941" s="2" t="inlineStr"/>
    </row>
    <row r="942" ht="15" customHeight="1">
      <c r="A942" t="inlineStr">
        <is>
          <t>A 45112-2024</t>
        </is>
      </c>
      <c r="B942" s="1" t="n">
        <v>45575</v>
      </c>
      <c r="C942" s="1" t="n">
        <v>45828</v>
      </c>
      <c r="D942" t="inlineStr">
        <is>
          <t>GOTLANDS LÄN</t>
        </is>
      </c>
      <c r="E942" t="inlineStr">
        <is>
          <t>GOTLAND</t>
        </is>
      </c>
      <c r="G942" t="n">
        <v>5.1</v>
      </c>
      <c r="H942" t="n">
        <v>0</v>
      </c>
      <c r="I942" t="n">
        <v>0</v>
      </c>
      <c r="J942" t="n">
        <v>0</v>
      </c>
      <c r="K942" t="n">
        <v>0</v>
      </c>
      <c r="L942" t="n">
        <v>0</v>
      </c>
      <c r="M942" t="n">
        <v>0</v>
      </c>
      <c r="N942" t="n">
        <v>0</v>
      </c>
      <c r="O942" t="n">
        <v>0</v>
      </c>
      <c r="P942" t="n">
        <v>0</v>
      </c>
      <c r="Q942" t="n">
        <v>0</v>
      </c>
      <c r="R942" s="2" t="inlineStr"/>
    </row>
    <row r="943" ht="15" customHeight="1">
      <c r="A943" t="inlineStr">
        <is>
          <t>A 45101-2024</t>
        </is>
      </c>
      <c r="B943" s="1" t="n">
        <v>45575</v>
      </c>
      <c r="C943" s="1" t="n">
        <v>45828</v>
      </c>
      <c r="D943" t="inlineStr">
        <is>
          <t>GOTLANDS LÄN</t>
        </is>
      </c>
      <c r="E943" t="inlineStr">
        <is>
          <t>GOTLAND</t>
        </is>
      </c>
      <c r="G943" t="n">
        <v>1.6</v>
      </c>
      <c r="H943" t="n">
        <v>0</v>
      </c>
      <c r="I943" t="n">
        <v>0</v>
      </c>
      <c r="J943" t="n">
        <v>0</v>
      </c>
      <c r="K943" t="n">
        <v>0</v>
      </c>
      <c r="L943" t="n">
        <v>0</v>
      </c>
      <c r="M943" t="n">
        <v>0</v>
      </c>
      <c r="N943" t="n">
        <v>0</v>
      </c>
      <c r="O943" t="n">
        <v>0</v>
      </c>
      <c r="P943" t="n">
        <v>0</v>
      </c>
      <c r="Q943" t="n">
        <v>0</v>
      </c>
      <c r="R943" s="2" t="inlineStr"/>
    </row>
    <row r="944" ht="15" customHeight="1">
      <c r="A944" t="inlineStr">
        <is>
          <t>A 45106-2024</t>
        </is>
      </c>
      <c r="B944" s="1" t="n">
        <v>45575</v>
      </c>
      <c r="C944" s="1" t="n">
        <v>45828</v>
      </c>
      <c r="D944" t="inlineStr">
        <is>
          <t>GOTLANDS LÄN</t>
        </is>
      </c>
      <c r="E944" t="inlineStr">
        <is>
          <t>GOTLAND</t>
        </is>
      </c>
      <c r="G944" t="n">
        <v>10</v>
      </c>
      <c r="H944" t="n">
        <v>0</v>
      </c>
      <c r="I944" t="n">
        <v>0</v>
      </c>
      <c r="J944" t="n">
        <v>0</v>
      </c>
      <c r="K944" t="n">
        <v>0</v>
      </c>
      <c r="L944" t="n">
        <v>0</v>
      </c>
      <c r="M944" t="n">
        <v>0</v>
      </c>
      <c r="N944" t="n">
        <v>0</v>
      </c>
      <c r="O944" t="n">
        <v>0</v>
      </c>
      <c r="P944" t="n">
        <v>0</v>
      </c>
      <c r="Q944" t="n">
        <v>0</v>
      </c>
      <c r="R944" s="2" t="inlineStr"/>
    </row>
    <row r="945" ht="15" customHeight="1">
      <c r="A945" t="inlineStr">
        <is>
          <t>A 44892-2024</t>
        </is>
      </c>
      <c r="B945" s="1" t="n">
        <v>45575</v>
      </c>
      <c r="C945" s="1" t="n">
        <v>45828</v>
      </c>
      <c r="D945" t="inlineStr">
        <is>
          <t>GOTLANDS LÄN</t>
        </is>
      </c>
      <c r="E945" t="inlineStr">
        <is>
          <t>GOTLAND</t>
        </is>
      </c>
      <c r="G945" t="n">
        <v>2.9</v>
      </c>
      <c r="H945" t="n">
        <v>0</v>
      </c>
      <c r="I945" t="n">
        <v>0</v>
      </c>
      <c r="J945" t="n">
        <v>0</v>
      </c>
      <c r="K945" t="n">
        <v>0</v>
      </c>
      <c r="L945" t="n">
        <v>0</v>
      </c>
      <c r="M945" t="n">
        <v>0</v>
      </c>
      <c r="N945" t="n">
        <v>0</v>
      </c>
      <c r="O945" t="n">
        <v>0</v>
      </c>
      <c r="P945" t="n">
        <v>0</v>
      </c>
      <c r="Q945" t="n">
        <v>0</v>
      </c>
      <c r="R945" s="2" t="inlineStr"/>
    </row>
    <row r="946" ht="15" customHeight="1">
      <c r="A946" t="inlineStr">
        <is>
          <t>A 45079-2024</t>
        </is>
      </c>
      <c r="B946" s="1" t="n">
        <v>45575</v>
      </c>
      <c r="C946" s="1" t="n">
        <v>45828</v>
      </c>
      <c r="D946" t="inlineStr">
        <is>
          <t>GOTLANDS LÄN</t>
        </is>
      </c>
      <c r="E946" t="inlineStr">
        <is>
          <t>GOTLAND</t>
        </is>
      </c>
      <c r="G946" t="n">
        <v>3.9</v>
      </c>
      <c r="H946" t="n">
        <v>0</v>
      </c>
      <c r="I946" t="n">
        <v>0</v>
      </c>
      <c r="J946" t="n">
        <v>0</v>
      </c>
      <c r="K946" t="n">
        <v>0</v>
      </c>
      <c r="L946" t="n">
        <v>0</v>
      </c>
      <c r="M946" t="n">
        <v>0</v>
      </c>
      <c r="N946" t="n">
        <v>0</v>
      </c>
      <c r="O946" t="n">
        <v>0</v>
      </c>
      <c r="P946" t="n">
        <v>0</v>
      </c>
      <c r="Q946" t="n">
        <v>0</v>
      </c>
      <c r="R946" s="2" t="inlineStr"/>
    </row>
    <row r="947" ht="15" customHeight="1">
      <c r="A947" t="inlineStr">
        <is>
          <t>A 45084-2024</t>
        </is>
      </c>
      <c r="B947" s="1" t="n">
        <v>45575</v>
      </c>
      <c r="C947" s="1" t="n">
        <v>45828</v>
      </c>
      <c r="D947" t="inlineStr">
        <is>
          <t>GOTLANDS LÄN</t>
        </is>
      </c>
      <c r="E947" t="inlineStr">
        <is>
          <t>GOTLAND</t>
        </is>
      </c>
      <c r="G947" t="n">
        <v>6.8</v>
      </c>
      <c r="H947" t="n">
        <v>0</v>
      </c>
      <c r="I947" t="n">
        <v>0</v>
      </c>
      <c r="J947" t="n">
        <v>0</v>
      </c>
      <c r="K947" t="n">
        <v>0</v>
      </c>
      <c r="L947" t="n">
        <v>0</v>
      </c>
      <c r="M947" t="n">
        <v>0</v>
      </c>
      <c r="N947" t="n">
        <v>0</v>
      </c>
      <c r="O947" t="n">
        <v>0</v>
      </c>
      <c r="P947" t="n">
        <v>0</v>
      </c>
      <c r="Q947" t="n">
        <v>0</v>
      </c>
      <c r="R947" s="2" t="inlineStr"/>
    </row>
    <row r="948" ht="15" customHeight="1">
      <c r="A948" t="inlineStr">
        <is>
          <t>A 44879-2024</t>
        </is>
      </c>
      <c r="B948" s="1" t="n">
        <v>45575</v>
      </c>
      <c r="C948" s="1" t="n">
        <v>45828</v>
      </c>
      <c r="D948" t="inlineStr">
        <is>
          <t>GOTLANDS LÄN</t>
        </is>
      </c>
      <c r="E948" t="inlineStr">
        <is>
          <t>GOTLAND</t>
        </is>
      </c>
      <c r="G948" t="n">
        <v>18.9</v>
      </c>
      <c r="H948" t="n">
        <v>0</v>
      </c>
      <c r="I948" t="n">
        <v>0</v>
      </c>
      <c r="J948" t="n">
        <v>0</v>
      </c>
      <c r="K948" t="n">
        <v>0</v>
      </c>
      <c r="L948" t="n">
        <v>0</v>
      </c>
      <c r="M948" t="n">
        <v>0</v>
      </c>
      <c r="N948" t="n">
        <v>0</v>
      </c>
      <c r="O948" t="n">
        <v>0</v>
      </c>
      <c r="P948" t="n">
        <v>0</v>
      </c>
      <c r="Q948" t="n">
        <v>0</v>
      </c>
      <c r="R948" s="2" t="inlineStr"/>
    </row>
    <row r="949" ht="15" customHeight="1">
      <c r="A949" t="inlineStr">
        <is>
          <t>A 45244-2024</t>
        </is>
      </c>
      <c r="B949" s="1" t="n">
        <v>45576</v>
      </c>
      <c r="C949" s="1" t="n">
        <v>45828</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46540-2024</t>
        </is>
      </c>
      <c r="B950" s="1" t="n">
        <v>45582</v>
      </c>
      <c r="C950" s="1" t="n">
        <v>45828</v>
      </c>
      <c r="D950" t="inlineStr">
        <is>
          <t>GOTLANDS LÄN</t>
        </is>
      </c>
      <c r="E950" t="inlineStr">
        <is>
          <t>GOTLAND</t>
        </is>
      </c>
      <c r="G950" t="n">
        <v>2.7</v>
      </c>
      <c r="H950" t="n">
        <v>0</v>
      </c>
      <c r="I950" t="n">
        <v>0</v>
      </c>
      <c r="J950" t="n">
        <v>0</v>
      </c>
      <c r="K950" t="n">
        <v>0</v>
      </c>
      <c r="L950" t="n">
        <v>0</v>
      </c>
      <c r="M950" t="n">
        <v>0</v>
      </c>
      <c r="N950" t="n">
        <v>0</v>
      </c>
      <c r="O950" t="n">
        <v>0</v>
      </c>
      <c r="P950" t="n">
        <v>0</v>
      </c>
      <c r="Q950" t="n">
        <v>0</v>
      </c>
      <c r="R950" s="2" t="inlineStr"/>
    </row>
    <row r="951" ht="15" customHeight="1">
      <c r="A951" t="inlineStr">
        <is>
          <t>A 46548-2024</t>
        </is>
      </c>
      <c r="B951" s="1" t="n">
        <v>45582</v>
      </c>
      <c r="C951" s="1" t="n">
        <v>45828</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46560-2024</t>
        </is>
      </c>
      <c r="B952" s="1" t="n">
        <v>45582</v>
      </c>
      <c r="C952" s="1" t="n">
        <v>45828</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46555-2024</t>
        </is>
      </c>
      <c r="B953" s="1" t="n">
        <v>45582</v>
      </c>
      <c r="C953" s="1" t="n">
        <v>45828</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46375-2024</t>
        </is>
      </c>
      <c r="B954" s="1" t="n">
        <v>45582</v>
      </c>
      <c r="C954" s="1" t="n">
        <v>45828</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46545-2024</t>
        </is>
      </c>
      <c r="B955" s="1" t="n">
        <v>45582</v>
      </c>
      <c r="C955" s="1" t="n">
        <v>45828</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46929-2024</t>
        </is>
      </c>
      <c r="B956" s="1" t="n">
        <v>45584</v>
      </c>
      <c r="C956" s="1" t="n">
        <v>45828</v>
      </c>
      <c r="D956" t="inlineStr">
        <is>
          <t>GOTLANDS LÄN</t>
        </is>
      </c>
      <c r="E956" t="inlineStr">
        <is>
          <t>GOTLAND</t>
        </is>
      </c>
      <c r="G956" t="n">
        <v>2.5</v>
      </c>
      <c r="H956" t="n">
        <v>0</v>
      </c>
      <c r="I956" t="n">
        <v>0</v>
      </c>
      <c r="J956" t="n">
        <v>0</v>
      </c>
      <c r="K956" t="n">
        <v>0</v>
      </c>
      <c r="L956" t="n">
        <v>0</v>
      </c>
      <c r="M956" t="n">
        <v>0</v>
      </c>
      <c r="N956" t="n">
        <v>0</v>
      </c>
      <c r="O956" t="n">
        <v>0</v>
      </c>
      <c r="P956" t="n">
        <v>0</v>
      </c>
      <c r="Q956" t="n">
        <v>0</v>
      </c>
      <c r="R956" s="2" t="inlineStr"/>
    </row>
    <row r="957" ht="15" customHeight="1">
      <c r="A957" t="inlineStr">
        <is>
          <t>A 46928-2024</t>
        </is>
      </c>
      <c r="B957" s="1" t="n">
        <v>45584</v>
      </c>
      <c r="C957" s="1" t="n">
        <v>45828</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46930-2024</t>
        </is>
      </c>
      <c r="B958" s="1" t="n">
        <v>45584</v>
      </c>
      <c r="C958" s="1" t="n">
        <v>45828</v>
      </c>
      <c r="D958" t="inlineStr">
        <is>
          <t>GOTLANDS LÄN</t>
        </is>
      </c>
      <c r="E958" t="inlineStr">
        <is>
          <t>GOTLAND</t>
        </is>
      </c>
      <c r="G958" t="n">
        <v>1.8</v>
      </c>
      <c r="H958" t="n">
        <v>0</v>
      </c>
      <c r="I958" t="n">
        <v>0</v>
      </c>
      <c r="J958" t="n">
        <v>0</v>
      </c>
      <c r="K958" t="n">
        <v>0</v>
      </c>
      <c r="L958" t="n">
        <v>0</v>
      </c>
      <c r="M958" t="n">
        <v>0</v>
      </c>
      <c r="N958" t="n">
        <v>0</v>
      </c>
      <c r="O958" t="n">
        <v>0</v>
      </c>
      <c r="P958" t="n">
        <v>0</v>
      </c>
      <c r="Q958" t="n">
        <v>0</v>
      </c>
      <c r="R958" s="2" t="inlineStr"/>
    </row>
    <row r="959" ht="15" customHeight="1">
      <c r="A959" t="inlineStr">
        <is>
          <t>A 46949-2024</t>
        </is>
      </c>
      <c r="B959" s="1" t="n">
        <v>45585</v>
      </c>
      <c r="C959" s="1" t="n">
        <v>45828</v>
      </c>
      <c r="D959" t="inlineStr">
        <is>
          <t>GOTLANDS LÄN</t>
        </is>
      </c>
      <c r="E959" t="inlineStr">
        <is>
          <t>GOTLAND</t>
        </is>
      </c>
      <c r="G959" t="n">
        <v>0.6</v>
      </c>
      <c r="H959" t="n">
        <v>0</v>
      </c>
      <c r="I959" t="n">
        <v>0</v>
      </c>
      <c r="J959" t="n">
        <v>0</v>
      </c>
      <c r="K959" t="n">
        <v>0</v>
      </c>
      <c r="L959" t="n">
        <v>0</v>
      </c>
      <c r="M959" t="n">
        <v>0</v>
      </c>
      <c r="N959" t="n">
        <v>0</v>
      </c>
      <c r="O959" t="n">
        <v>0</v>
      </c>
      <c r="P959" t="n">
        <v>0</v>
      </c>
      <c r="Q959" t="n">
        <v>0</v>
      </c>
      <c r="R959" s="2" t="inlineStr"/>
    </row>
    <row r="960" ht="15" customHeight="1">
      <c r="A960" t="inlineStr">
        <is>
          <t>A 47292-2024</t>
        </is>
      </c>
      <c r="B960" s="1" t="n">
        <v>45586</v>
      </c>
      <c r="C960" s="1" t="n">
        <v>45828</v>
      </c>
      <c r="D960" t="inlineStr">
        <is>
          <t>GOTLANDS LÄN</t>
        </is>
      </c>
      <c r="E960" t="inlineStr">
        <is>
          <t>GOTLAND</t>
        </is>
      </c>
      <c r="G960" t="n">
        <v>5.9</v>
      </c>
      <c r="H960" t="n">
        <v>0</v>
      </c>
      <c r="I960" t="n">
        <v>0</v>
      </c>
      <c r="J960" t="n">
        <v>0</v>
      </c>
      <c r="K960" t="n">
        <v>0</v>
      </c>
      <c r="L960" t="n">
        <v>0</v>
      </c>
      <c r="M960" t="n">
        <v>0</v>
      </c>
      <c r="N960" t="n">
        <v>0</v>
      </c>
      <c r="O960" t="n">
        <v>0</v>
      </c>
      <c r="P960" t="n">
        <v>0</v>
      </c>
      <c r="Q960" t="n">
        <v>0</v>
      </c>
      <c r="R960" s="2" t="inlineStr"/>
    </row>
    <row r="961" ht="15" customHeight="1">
      <c r="A961" t="inlineStr">
        <is>
          <t>A 48032-2024</t>
        </is>
      </c>
      <c r="B961" s="1" t="n">
        <v>45589</v>
      </c>
      <c r="C961" s="1" t="n">
        <v>45828</v>
      </c>
      <c r="D961" t="inlineStr">
        <is>
          <t>GOTLANDS LÄN</t>
        </is>
      </c>
      <c r="E961" t="inlineStr">
        <is>
          <t>GOTLAND</t>
        </is>
      </c>
      <c r="G961" t="n">
        <v>11.5</v>
      </c>
      <c r="H961" t="n">
        <v>0</v>
      </c>
      <c r="I961" t="n">
        <v>0</v>
      </c>
      <c r="J961" t="n">
        <v>0</v>
      </c>
      <c r="K961" t="n">
        <v>0</v>
      </c>
      <c r="L961" t="n">
        <v>0</v>
      </c>
      <c r="M961" t="n">
        <v>0</v>
      </c>
      <c r="N961" t="n">
        <v>0</v>
      </c>
      <c r="O961" t="n">
        <v>0</v>
      </c>
      <c r="P961" t="n">
        <v>0</v>
      </c>
      <c r="Q961" t="n">
        <v>0</v>
      </c>
      <c r="R961" s="2" t="inlineStr"/>
    </row>
    <row r="962" ht="15" customHeight="1">
      <c r="A962" t="inlineStr">
        <is>
          <t>A 48843-2024</t>
        </is>
      </c>
      <c r="B962" s="1" t="n">
        <v>45593</v>
      </c>
      <c r="C962" s="1" t="n">
        <v>45828</v>
      </c>
      <c r="D962" t="inlineStr">
        <is>
          <t>GOTLANDS LÄN</t>
        </is>
      </c>
      <c r="E962" t="inlineStr">
        <is>
          <t>GOTLAND</t>
        </is>
      </c>
      <c r="G962" t="n">
        <v>0.5</v>
      </c>
      <c r="H962" t="n">
        <v>0</v>
      </c>
      <c r="I962" t="n">
        <v>0</v>
      </c>
      <c r="J962" t="n">
        <v>0</v>
      </c>
      <c r="K962" t="n">
        <v>0</v>
      </c>
      <c r="L962" t="n">
        <v>0</v>
      </c>
      <c r="M962" t="n">
        <v>0</v>
      </c>
      <c r="N962" t="n">
        <v>0</v>
      </c>
      <c r="O962" t="n">
        <v>0</v>
      </c>
      <c r="P962" t="n">
        <v>0</v>
      </c>
      <c r="Q962" t="n">
        <v>0</v>
      </c>
      <c r="R962" s="2" t="inlineStr"/>
    </row>
    <row r="963" ht="15" customHeight="1">
      <c r="A963" t="inlineStr">
        <is>
          <t>A 49201-2024</t>
        </is>
      </c>
      <c r="B963" s="1" t="n">
        <v>45595</v>
      </c>
      <c r="C963" s="1" t="n">
        <v>45828</v>
      </c>
      <c r="D963" t="inlineStr">
        <is>
          <t>GOTLANDS LÄN</t>
        </is>
      </c>
      <c r="E963" t="inlineStr">
        <is>
          <t>GOTLAND</t>
        </is>
      </c>
      <c r="G963" t="n">
        <v>5.8</v>
      </c>
      <c r="H963" t="n">
        <v>0</v>
      </c>
      <c r="I963" t="n">
        <v>0</v>
      </c>
      <c r="J963" t="n">
        <v>0</v>
      </c>
      <c r="K963" t="n">
        <v>0</v>
      </c>
      <c r="L963" t="n">
        <v>0</v>
      </c>
      <c r="M963" t="n">
        <v>0</v>
      </c>
      <c r="N963" t="n">
        <v>0</v>
      </c>
      <c r="O963" t="n">
        <v>0</v>
      </c>
      <c r="P963" t="n">
        <v>0</v>
      </c>
      <c r="Q963" t="n">
        <v>0</v>
      </c>
      <c r="R963" s="2" t="inlineStr"/>
    </row>
    <row r="964" ht="15" customHeight="1">
      <c r="A964" t="inlineStr">
        <is>
          <t>A 49314-2024</t>
        </is>
      </c>
      <c r="B964" s="1" t="n">
        <v>45595</v>
      </c>
      <c r="C964" s="1" t="n">
        <v>45828</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49167-2024</t>
        </is>
      </c>
      <c r="B965" s="1" t="n">
        <v>45595</v>
      </c>
      <c r="C965" s="1" t="n">
        <v>45828</v>
      </c>
      <c r="D965" t="inlineStr">
        <is>
          <t>GOTLANDS LÄN</t>
        </is>
      </c>
      <c r="E965" t="inlineStr">
        <is>
          <t>GOTLAND</t>
        </is>
      </c>
      <c r="G965" t="n">
        <v>3</v>
      </c>
      <c r="H965" t="n">
        <v>0</v>
      </c>
      <c r="I965" t="n">
        <v>0</v>
      </c>
      <c r="J965" t="n">
        <v>0</v>
      </c>
      <c r="K965" t="n">
        <v>0</v>
      </c>
      <c r="L965" t="n">
        <v>0</v>
      </c>
      <c r="M965" t="n">
        <v>0</v>
      </c>
      <c r="N965" t="n">
        <v>0</v>
      </c>
      <c r="O965" t="n">
        <v>0</v>
      </c>
      <c r="P965" t="n">
        <v>0</v>
      </c>
      <c r="Q965" t="n">
        <v>0</v>
      </c>
      <c r="R965" s="2" t="inlineStr"/>
    </row>
    <row r="966" ht="15" customHeight="1">
      <c r="A966" t="inlineStr">
        <is>
          <t>A 49315-2024</t>
        </is>
      </c>
      <c r="B966" s="1" t="n">
        <v>45595</v>
      </c>
      <c r="C966" s="1" t="n">
        <v>45828</v>
      </c>
      <c r="D966" t="inlineStr">
        <is>
          <t>GOTLANDS LÄN</t>
        </is>
      </c>
      <c r="E966" t="inlineStr">
        <is>
          <t>GOTLAND</t>
        </is>
      </c>
      <c r="G966" t="n">
        <v>1.5</v>
      </c>
      <c r="H966" t="n">
        <v>0</v>
      </c>
      <c r="I966" t="n">
        <v>0</v>
      </c>
      <c r="J966" t="n">
        <v>0</v>
      </c>
      <c r="K966" t="n">
        <v>0</v>
      </c>
      <c r="L966" t="n">
        <v>0</v>
      </c>
      <c r="M966" t="n">
        <v>0</v>
      </c>
      <c r="N966" t="n">
        <v>0</v>
      </c>
      <c r="O966" t="n">
        <v>0</v>
      </c>
      <c r="P966" t="n">
        <v>0</v>
      </c>
      <c r="Q966" t="n">
        <v>0</v>
      </c>
      <c r="R966" s="2" t="inlineStr"/>
    </row>
    <row r="967" ht="15" customHeight="1">
      <c r="A967" t="inlineStr">
        <is>
          <t>A 49257-2024</t>
        </is>
      </c>
      <c r="B967" s="1" t="n">
        <v>45595</v>
      </c>
      <c r="C967" s="1" t="n">
        <v>45828</v>
      </c>
      <c r="D967" t="inlineStr">
        <is>
          <t>GOTLANDS LÄN</t>
        </is>
      </c>
      <c r="E967" t="inlineStr">
        <is>
          <t>GOTLAND</t>
        </is>
      </c>
      <c r="G967" t="n">
        <v>6.3</v>
      </c>
      <c r="H967" t="n">
        <v>0</v>
      </c>
      <c r="I967" t="n">
        <v>0</v>
      </c>
      <c r="J967" t="n">
        <v>0</v>
      </c>
      <c r="K967" t="n">
        <v>0</v>
      </c>
      <c r="L967" t="n">
        <v>0</v>
      </c>
      <c r="M967" t="n">
        <v>0</v>
      </c>
      <c r="N967" t="n">
        <v>0</v>
      </c>
      <c r="O967" t="n">
        <v>0</v>
      </c>
      <c r="P967" t="n">
        <v>0</v>
      </c>
      <c r="Q967" t="n">
        <v>0</v>
      </c>
      <c r="R967" s="2" t="inlineStr"/>
    </row>
    <row r="968" ht="15" customHeight="1">
      <c r="A968" t="inlineStr">
        <is>
          <t>A 49874-2024</t>
        </is>
      </c>
      <c r="B968" s="1" t="n">
        <v>45597</v>
      </c>
      <c r="C968" s="1" t="n">
        <v>45828</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50021-2024</t>
        </is>
      </c>
      <c r="B969" s="1" t="n">
        <v>45599</v>
      </c>
      <c r="C969" s="1" t="n">
        <v>45828</v>
      </c>
      <c r="D969" t="inlineStr">
        <is>
          <t>GOTLANDS LÄN</t>
        </is>
      </c>
      <c r="E969" t="inlineStr">
        <is>
          <t>GOTLAND</t>
        </is>
      </c>
      <c r="G969" t="n">
        <v>2.1</v>
      </c>
      <c r="H969" t="n">
        <v>0</v>
      </c>
      <c r="I969" t="n">
        <v>0</v>
      </c>
      <c r="J969" t="n">
        <v>0</v>
      </c>
      <c r="K969" t="n">
        <v>0</v>
      </c>
      <c r="L969" t="n">
        <v>0</v>
      </c>
      <c r="M969" t="n">
        <v>0</v>
      </c>
      <c r="N969" t="n">
        <v>0</v>
      </c>
      <c r="O969" t="n">
        <v>0</v>
      </c>
      <c r="P969" t="n">
        <v>0</v>
      </c>
      <c r="Q969" t="n">
        <v>0</v>
      </c>
      <c r="R969" s="2" t="inlineStr"/>
    </row>
    <row r="970" ht="15" customHeight="1">
      <c r="A970" t="inlineStr">
        <is>
          <t>A 50023-2024</t>
        </is>
      </c>
      <c r="B970" s="1" t="n">
        <v>45599</v>
      </c>
      <c r="C970" s="1" t="n">
        <v>45828</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50022-2024</t>
        </is>
      </c>
      <c r="B971" s="1" t="n">
        <v>45599</v>
      </c>
      <c r="C971" s="1" t="n">
        <v>45828</v>
      </c>
      <c r="D971" t="inlineStr">
        <is>
          <t>GOTLANDS LÄN</t>
        </is>
      </c>
      <c r="E971" t="inlineStr">
        <is>
          <t>GOTLAND</t>
        </is>
      </c>
      <c r="G971" t="n">
        <v>4</v>
      </c>
      <c r="H971" t="n">
        <v>0</v>
      </c>
      <c r="I971" t="n">
        <v>0</v>
      </c>
      <c r="J971" t="n">
        <v>0</v>
      </c>
      <c r="K971" t="n">
        <v>0</v>
      </c>
      <c r="L971" t="n">
        <v>0</v>
      </c>
      <c r="M971" t="n">
        <v>0</v>
      </c>
      <c r="N971" t="n">
        <v>0</v>
      </c>
      <c r="O971" t="n">
        <v>0</v>
      </c>
      <c r="P971" t="n">
        <v>0</v>
      </c>
      <c r="Q971" t="n">
        <v>0</v>
      </c>
      <c r="R971" s="2" t="inlineStr"/>
    </row>
    <row r="972" ht="15" customHeight="1">
      <c r="A972" t="inlineStr">
        <is>
          <t>A 50482-2024</t>
        </is>
      </c>
      <c r="B972" s="1" t="n">
        <v>45601</v>
      </c>
      <c r="C972" s="1" t="n">
        <v>45828</v>
      </c>
      <c r="D972" t="inlineStr">
        <is>
          <t>GOTLANDS LÄN</t>
        </is>
      </c>
      <c r="E972" t="inlineStr">
        <is>
          <t>GOTLAND</t>
        </is>
      </c>
      <c r="G972" t="n">
        <v>2.3</v>
      </c>
      <c r="H972" t="n">
        <v>0</v>
      </c>
      <c r="I972" t="n">
        <v>0</v>
      </c>
      <c r="J972" t="n">
        <v>0</v>
      </c>
      <c r="K972" t="n">
        <v>0</v>
      </c>
      <c r="L972" t="n">
        <v>0</v>
      </c>
      <c r="M972" t="n">
        <v>0</v>
      </c>
      <c r="N972" t="n">
        <v>0</v>
      </c>
      <c r="O972" t="n">
        <v>0</v>
      </c>
      <c r="P972" t="n">
        <v>0</v>
      </c>
      <c r="Q972" t="n">
        <v>0</v>
      </c>
      <c r="R972" s="2" t="inlineStr"/>
    </row>
    <row r="973" ht="15" customHeight="1">
      <c r="A973" t="inlineStr">
        <is>
          <t>A 50470-2024</t>
        </is>
      </c>
      <c r="B973" s="1" t="n">
        <v>45601</v>
      </c>
      <c r="C973" s="1" t="n">
        <v>45828</v>
      </c>
      <c r="D973" t="inlineStr">
        <is>
          <t>GOTLANDS LÄN</t>
        </is>
      </c>
      <c r="E973" t="inlineStr">
        <is>
          <t>GOTLAND</t>
        </is>
      </c>
      <c r="G973" t="n">
        <v>3.4</v>
      </c>
      <c r="H973" t="n">
        <v>0</v>
      </c>
      <c r="I973" t="n">
        <v>0</v>
      </c>
      <c r="J973" t="n">
        <v>0</v>
      </c>
      <c r="K973" t="n">
        <v>0</v>
      </c>
      <c r="L973" t="n">
        <v>0</v>
      </c>
      <c r="M973" t="n">
        <v>0</v>
      </c>
      <c r="N973" t="n">
        <v>0</v>
      </c>
      <c r="O973" t="n">
        <v>0</v>
      </c>
      <c r="P973" t="n">
        <v>0</v>
      </c>
      <c r="Q973" t="n">
        <v>0</v>
      </c>
      <c r="R973" s="2" t="inlineStr"/>
    </row>
    <row r="974" ht="15" customHeight="1">
      <c r="A974" t="inlineStr">
        <is>
          <t>A 50744-2024</t>
        </is>
      </c>
      <c r="B974" s="1" t="n">
        <v>45602</v>
      </c>
      <c r="C974" s="1" t="n">
        <v>45828</v>
      </c>
      <c r="D974" t="inlineStr">
        <is>
          <t>GOTLANDS LÄN</t>
        </is>
      </c>
      <c r="E974" t="inlineStr">
        <is>
          <t>GOTLAND</t>
        </is>
      </c>
      <c r="G974" t="n">
        <v>3.2</v>
      </c>
      <c r="H974" t="n">
        <v>0</v>
      </c>
      <c r="I974" t="n">
        <v>0</v>
      </c>
      <c r="J974" t="n">
        <v>0</v>
      </c>
      <c r="K974" t="n">
        <v>0</v>
      </c>
      <c r="L974" t="n">
        <v>0</v>
      </c>
      <c r="M974" t="n">
        <v>0</v>
      </c>
      <c r="N974" t="n">
        <v>0</v>
      </c>
      <c r="O974" t="n">
        <v>0</v>
      </c>
      <c r="P974" t="n">
        <v>0</v>
      </c>
      <c r="Q974" t="n">
        <v>0</v>
      </c>
      <c r="R974" s="2" t="inlineStr"/>
    </row>
    <row r="975" ht="15" customHeight="1">
      <c r="A975" t="inlineStr">
        <is>
          <t>A 50958-2024</t>
        </is>
      </c>
      <c r="B975" s="1" t="n">
        <v>45603</v>
      </c>
      <c r="C975" s="1" t="n">
        <v>45828</v>
      </c>
      <c r="D975" t="inlineStr">
        <is>
          <t>GOTLANDS LÄN</t>
        </is>
      </c>
      <c r="E975" t="inlineStr">
        <is>
          <t>GOTLAND</t>
        </is>
      </c>
      <c r="G975" t="n">
        <v>1.7</v>
      </c>
      <c r="H975" t="n">
        <v>0</v>
      </c>
      <c r="I975" t="n">
        <v>0</v>
      </c>
      <c r="J975" t="n">
        <v>0</v>
      </c>
      <c r="K975" t="n">
        <v>0</v>
      </c>
      <c r="L975" t="n">
        <v>0</v>
      </c>
      <c r="M975" t="n">
        <v>0</v>
      </c>
      <c r="N975" t="n">
        <v>0</v>
      </c>
      <c r="O975" t="n">
        <v>0</v>
      </c>
      <c r="P975" t="n">
        <v>0</v>
      </c>
      <c r="Q975" t="n">
        <v>0</v>
      </c>
      <c r="R975" s="2" t="inlineStr"/>
    </row>
    <row r="976" ht="15" customHeight="1">
      <c r="A976" t="inlineStr">
        <is>
          <t>A 50962-2024</t>
        </is>
      </c>
      <c r="B976" s="1" t="n">
        <v>45603</v>
      </c>
      <c r="C976" s="1" t="n">
        <v>45828</v>
      </c>
      <c r="D976" t="inlineStr">
        <is>
          <t>GOTLANDS LÄN</t>
        </is>
      </c>
      <c r="E976" t="inlineStr">
        <is>
          <t>GOTLAND</t>
        </is>
      </c>
      <c r="G976" t="n">
        <v>1.4</v>
      </c>
      <c r="H976" t="n">
        <v>0</v>
      </c>
      <c r="I976" t="n">
        <v>0</v>
      </c>
      <c r="J976" t="n">
        <v>0</v>
      </c>
      <c r="K976" t="n">
        <v>0</v>
      </c>
      <c r="L976" t="n">
        <v>0</v>
      </c>
      <c r="M976" t="n">
        <v>0</v>
      </c>
      <c r="N976" t="n">
        <v>0</v>
      </c>
      <c r="O976" t="n">
        <v>0</v>
      </c>
      <c r="P976" t="n">
        <v>0</v>
      </c>
      <c r="Q976" t="n">
        <v>0</v>
      </c>
      <c r="R976" s="2" t="inlineStr"/>
    </row>
    <row r="977" ht="15" customHeight="1">
      <c r="A977" t="inlineStr">
        <is>
          <t>A 51321-2024</t>
        </is>
      </c>
      <c r="B977" s="1" t="n">
        <v>45604</v>
      </c>
      <c r="C977" s="1" t="n">
        <v>45828</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51963-2024</t>
        </is>
      </c>
      <c r="B978" s="1" t="n">
        <v>45607</v>
      </c>
      <c r="C978" s="1" t="n">
        <v>45828</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52831-2024</t>
        </is>
      </c>
      <c r="B979" s="1" t="n">
        <v>45610</v>
      </c>
      <c r="C979" s="1" t="n">
        <v>45828</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53129-2024</t>
        </is>
      </c>
      <c r="B980" s="1" t="n">
        <v>45611</v>
      </c>
      <c r="C980" s="1" t="n">
        <v>45828</v>
      </c>
      <c r="D980" t="inlineStr">
        <is>
          <t>GOTLANDS LÄN</t>
        </is>
      </c>
      <c r="E980" t="inlineStr">
        <is>
          <t>GOTLAND</t>
        </is>
      </c>
      <c r="G980" t="n">
        <v>4.2</v>
      </c>
      <c r="H980" t="n">
        <v>0</v>
      </c>
      <c r="I980" t="n">
        <v>0</v>
      </c>
      <c r="J980" t="n">
        <v>0</v>
      </c>
      <c r="K980" t="n">
        <v>0</v>
      </c>
      <c r="L980" t="n">
        <v>0</v>
      </c>
      <c r="M980" t="n">
        <v>0</v>
      </c>
      <c r="N980" t="n">
        <v>0</v>
      </c>
      <c r="O980" t="n">
        <v>0</v>
      </c>
      <c r="P980" t="n">
        <v>0</v>
      </c>
      <c r="Q980" t="n">
        <v>0</v>
      </c>
      <c r="R980" s="2" t="inlineStr"/>
    </row>
    <row r="981" ht="15" customHeight="1">
      <c r="A981" t="inlineStr">
        <is>
          <t>A 53935-2024</t>
        </is>
      </c>
      <c r="B981" s="1" t="n">
        <v>45615</v>
      </c>
      <c r="C981" s="1" t="n">
        <v>45828</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53934-2024</t>
        </is>
      </c>
      <c r="B982" s="1" t="n">
        <v>45615</v>
      </c>
      <c r="C982" s="1" t="n">
        <v>45828</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54081-2024</t>
        </is>
      </c>
      <c r="B983" s="1" t="n">
        <v>45616</v>
      </c>
      <c r="C983" s="1" t="n">
        <v>45828</v>
      </c>
      <c r="D983" t="inlineStr">
        <is>
          <t>GOTLANDS LÄN</t>
        </is>
      </c>
      <c r="E983" t="inlineStr">
        <is>
          <t>GOTLAND</t>
        </is>
      </c>
      <c r="G983" t="n">
        <v>3.5</v>
      </c>
      <c r="H983" t="n">
        <v>0</v>
      </c>
      <c r="I983" t="n">
        <v>0</v>
      </c>
      <c r="J983" t="n">
        <v>0</v>
      </c>
      <c r="K983" t="n">
        <v>0</v>
      </c>
      <c r="L983" t="n">
        <v>0</v>
      </c>
      <c r="M983" t="n">
        <v>0</v>
      </c>
      <c r="N983" t="n">
        <v>0</v>
      </c>
      <c r="O983" t="n">
        <v>0</v>
      </c>
      <c r="P983" t="n">
        <v>0</v>
      </c>
      <c r="Q983" t="n">
        <v>0</v>
      </c>
      <c r="R983" s="2" t="inlineStr"/>
    </row>
    <row r="984" ht="15" customHeight="1">
      <c r="A984" t="inlineStr">
        <is>
          <t>A 54438-2024</t>
        </is>
      </c>
      <c r="B984" s="1" t="n">
        <v>45617</v>
      </c>
      <c r="C984" s="1" t="n">
        <v>45828</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54355-2024</t>
        </is>
      </c>
      <c r="B985" s="1" t="n">
        <v>45617</v>
      </c>
      <c r="C985" s="1" t="n">
        <v>45828</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54645-2024</t>
        </is>
      </c>
      <c r="B986" s="1" t="n">
        <v>45617</v>
      </c>
      <c r="C986" s="1" t="n">
        <v>45828</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55102-2024</t>
        </is>
      </c>
      <c r="B987" s="1" t="n">
        <v>45621</v>
      </c>
      <c r="C987" s="1" t="n">
        <v>45828</v>
      </c>
      <c r="D987" t="inlineStr">
        <is>
          <t>GOTLANDS LÄN</t>
        </is>
      </c>
      <c r="E987" t="inlineStr">
        <is>
          <t>GOTLAND</t>
        </is>
      </c>
      <c r="G987" t="n">
        <v>0.8</v>
      </c>
      <c r="H987" t="n">
        <v>0</v>
      </c>
      <c r="I987" t="n">
        <v>0</v>
      </c>
      <c r="J987" t="n">
        <v>0</v>
      </c>
      <c r="K987" t="n">
        <v>0</v>
      </c>
      <c r="L987" t="n">
        <v>0</v>
      </c>
      <c r="M987" t="n">
        <v>0</v>
      </c>
      <c r="N987" t="n">
        <v>0</v>
      </c>
      <c r="O987" t="n">
        <v>0</v>
      </c>
      <c r="P987" t="n">
        <v>0</v>
      </c>
      <c r="Q987" t="n">
        <v>0</v>
      </c>
      <c r="R987" s="2" t="inlineStr"/>
    </row>
    <row r="988" ht="15" customHeight="1">
      <c r="A988" t="inlineStr">
        <is>
          <t>A 55334-2024</t>
        </is>
      </c>
      <c r="B988" s="1" t="n">
        <v>45621</v>
      </c>
      <c r="C988" s="1" t="n">
        <v>45828</v>
      </c>
      <c r="D988" t="inlineStr">
        <is>
          <t>GOTLANDS LÄN</t>
        </is>
      </c>
      <c r="E988" t="inlineStr">
        <is>
          <t>GOTLAND</t>
        </is>
      </c>
      <c r="G988" t="n">
        <v>21.7</v>
      </c>
      <c r="H988" t="n">
        <v>0</v>
      </c>
      <c r="I988" t="n">
        <v>0</v>
      </c>
      <c r="J988" t="n">
        <v>0</v>
      </c>
      <c r="K988" t="n">
        <v>0</v>
      </c>
      <c r="L988" t="n">
        <v>0</v>
      </c>
      <c r="M988" t="n">
        <v>0</v>
      </c>
      <c r="N988" t="n">
        <v>0</v>
      </c>
      <c r="O988" t="n">
        <v>0</v>
      </c>
      <c r="P988" t="n">
        <v>0</v>
      </c>
      <c r="Q988" t="n">
        <v>0</v>
      </c>
      <c r="R988" s="2" t="inlineStr"/>
    </row>
    <row r="989" ht="15" customHeight="1">
      <c r="A989" t="inlineStr">
        <is>
          <t>A 55438-2024</t>
        </is>
      </c>
      <c r="B989" s="1" t="n">
        <v>45621</v>
      </c>
      <c r="C989" s="1" t="n">
        <v>45828</v>
      </c>
      <c r="D989" t="inlineStr">
        <is>
          <t>GOTLANDS LÄN</t>
        </is>
      </c>
      <c r="E989" t="inlineStr">
        <is>
          <t>GOTLAND</t>
        </is>
      </c>
      <c r="G989" t="n">
        <v>1.1</v>
      </c>
      <c r="H989" t="n">
        <v>0</v>
      </c>
      <c r="I989" t="n">
        <v>0</v>
      </c>
      <c r="J989" t="n">
        <v>0</v>
      </c>
      <c r="K989" t="n">
        <v>0</v>
      </c>
      <c r="L989" t="n">
        <v>0</v>
      </c>
      <c r="M989" t="n">
        <v>0</v>
      </c>
      <c r="N989" t="n">
        <v>0</v>
      </c>
      <c r="O989" t="n">
        <v>0</v>
      </c>
      <c r="P989" t="n">
        <v>0</v>
      </c>
      <c r="Q989" t="n">
        <v>0</v>
      </c>
      <c r="R989" s="2" t="inlineStr"/>
    </row>
    <row r="990" ht="15" customHeight="1">
      <c r="A990" t="inlineStr">
        <is>
          <t>A 55435-2024</t>
        </is>
      </c>
      <c r="B990" s="1" t="n">
        <v>45621</v>
      </c>
      <c r="C990" s="1" t="n">
        <v>45828</v>
      </c>
      <c r="D990" t="inlineStr">
        <is>
          <t>GOTLANDS LÄN</t>
        </is>
      </c>
      <c r="E990" t="inlineStr">
        <is>
          <t>GOTLAND</t>
        </is>
      </c>
      <c r="G990" t="n">
        <v>3.1</v>
      </c>
      <c r="H990" t="n">
        <v>0</v>
      </c>
      <c r="I990" t="n">
        <v>0</v>
      </c>
      <c r="J990" t="n">
        <v>0</v>
      </c>
      <c r="K990" t="n">
        <v>0</v>
      </c>
      <c r="L990" t="n">
        <v>0</v>
      </c>
      <c r="M990" t="n">
        <v>0</v>
      </c>
      <c r="N990" t="n">
        <v>0</v>
      </c>
      <c r="O990" t="n">
        <v>0</v>
      </c>
      <c r="P990" t="n">
        <v>0</v>
      </c>
      <c r="Q990" t="n">
        <v>0</v>
      </c>
      <c r="R990" s="2" t="inlineStr"/>
    </row>
    <row r="991" ht="15" customHeight="1">
      <c r="A991" t="inlineStr">
        <is>
          <t>A 55653-2024</t>
        </is>
      </c>
      <c r="B991" s="1" t="n">
        <v>45622</v>
      </c>
      <c r="C991" s="1" t="n">
        <v>45828</v>
      </c>
      <c r="D991" t="inlineStr">
        <is>
          <t>GOTLANDS LÄN</t>
        </is>
      </c>
      <c r="E991" t="inlineStr">
        <is>
          <t>GOTLAND</t>
        </is>
      </c>
      <c r="G991" t="n">
        <v>2</v>
      </c>
      <c r="H991" t="n">
        <v>0</v>
      </c>
      <c r="I991" t="n">
        <v>0</v>
      </c>
      <c r="J991" t="n">
        <v>0</v>
      </c>
      <c r="K991" t="n">
        <v>0</v>
      </c>
      <c r="L991" t="n">
        <v>0</v>
      </c>
      <c r="M991" t="n">
        <v>0</v>
      </c>
      <c r="N991" t="n">
        <v>0</v>
      </c>
      <c r="O991" t="n">
        <v>0</v>
      </c>
      <c r="P991" t="n">
        <v>0</v>
      </c>
      <c r="Q991" t="n">
        <v>0</v>
      </c>
      <c r="R991" s="2" t="inlineStr"/>
    </row>
    <row r="992" ht="15" customHeight="1">
      <c r="A992" t="inlineStr">
        <is>
          <t>A 56009-2024</t>
        </is>
      </c>
      <c r="B992" s="1" t="n">
        <v>45623</v>
      </c>
      <c r="C992" s="1" t="n">
        <v>45828</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57374-2024</t>
        </is>
      </c>
      <c r="B993" s="1" t="n">
        <v>45629</v>
      </c>
      <c r="C993" s="1" t="n">
        <v>45828</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58230-2024</t>
        </is>
      </c>
      <c r="B994" s="1" t="n">
        <v>45632</v>
      </c>
      <c r="C994" s="1" t="n">
        <v>45828</v>
      </c>
      <c r="D994" t="inlineStr">
        <is>
          <t>GOTLANDS LÄN</t>
        </is>
      </c>
      <c r="E994" t="inlineStr">
        <is>
          <t>GOTLAND</t>
        </is>
      </c>
      <c r="G994" t="n">
        <v>7.3</v>
      </c>
      <c r="H994" t="n">
        <v>0</v>
      </c>
      <c r="I994" t="n">
        <v>0</v>
      </c>
      <c r="J994" t="n">
        <v>0</v>
      </c>
      <c r="K994" t="n">
        <v>0</v>
      </c>
      <c r="L994" t="n">
        <v>0</v>
      </c>
      <c r="M994" t="n">
        <v>0</v>
      </c>
      <c r="N994" t="n">
        <v>0</v>
      </c>
      <c r="O994" t="n">
        <v>0</v>
      </c>
      <c r="P994" t="n">
        <v>0</v>
      </c>
      <c r="Q994" t="n">
        <v>0</v>
      </c>
      <c r="R994" s="2" t="inlineStr"/>
    </row>
    <row r="995" ht="15" customHeight="1">
      <c r="A995" t="inlineStr">
        <is>
          <t>A 58211-2024</t>
        </is>
      </c>
      <c r="B995" s="1" t="n">
        <v>45632</v>
      </c>
      <c r="C995" s="1" t="n">
        <v>45828</v>
      </c>
      <c r="D995" t="inlineStr">
        <is>
          <t>GOTLANDS LÄN</t>
        </is>
      </c>
      <c r="E995" t="inlineStr">
        <is>
          <t>GOTLAND</t>
        </is>
      </c>
      <c r="G995" t="n">
        <v>5.4</v>
      </c>
      <c r="H995" t="n">
        <v>0</v>
      </c>
      <c r="I995" t="n">
        <v>0</v>
      </c>
      <c r="J995" t="n">
        <v>0</v>
      </c>
      <c r="K995" t="n">
        <v>0</v>
      </c>
      <c r="L995" t="n">
        <v>0</v>
      </c>
      <c r="M995" t="n">
        <v>0</v>
      </c>
      <c r="N995" t="n">
        <v>0</v>
      </c>
      <c r="O995" t="n">
        <v>0</v>
      </c>
      <c r="P995" t="n">
        <v>0</v>
      </c>
      <c r="Q995" t="n">
        <v>0</v>
      </c>
      <c r="R995" s="2" t="inlineStr"/>
    </row>
    <row r="996" ht="15" customHeight="1">
      <c r="A996" t="inlineStr">
        <is>
          <t>A 58160-2024</t>
        </is>
      </c>
      <c r="B996" s="1" t="n">
        <v>45632</v>
      </c>
      <c r="C996" s="1" t="n">
        <v>45828</v>
      </c>
      <c r="D996" t="inlineStr">
        <is>
          <t>GOTLANDS LÄN</t>
        </is>
      </c>
      <c r="E996" t="inlineStr">
        <is>
          <t>GOTLAND</t>
        </is>
      </c>
      <c r="G996" t="n">
        <v>5.6</v>
      </c>
      <c r="H996" t="n">
        <v>0</v>
      </c>
      <c r="I996" t="n">
        <v>0</v>
      </c>
      <c r="J996" t="n">
        <v>0</v>
      </c>
      <c r="K996" t="n">
        <v>0</v>
      </c>
      <c r="L996" t="n">
        <v>0</v>
      </c>
      <c r="M996" t="n">
        <v>0</v>
      </c>
      <c r="N996" t="n">
        <v>0</v>
      </c>
      <c r="O996" t="n">
        <v>0</v>
      </c>
      <c r="P996" t="n">
        <v>0</v>
      </c>
      <c r="Q996" t="n">
        <v>0</v>
      </c>
      <c r="R996" s="2" t="inlineStr"/>
    </row>
    <row r="997" ht="15" customHeight="1">
      <c r="A997" t="inlineStr">
        <is>
          <t>A 58780-2024</t>
        </is>
      </c>
      <c r="B997" s="1" t="n">
        <v>45635</v>
      </c>
      <c r="C997" s="1" t="n">
        <v>45828</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59469-2024</t>
        </is>
      </c>
      <c r="B998" s="1" t="n">
        <v>45638</v>
      </c>
      <c r="C998" s="1" t="n">
        <v>45828</v>
      </c>
      <c r="D998" t="inlineStr">
        <is>
          <t>GOTLANDS LÄN</t>
        </is>
      </c>
      <c r="E998" t="inlineStr">
        <is>
          <t>GOTLAND</t>
        </is>
      </c>
      <c r="G998" t="n">
        <v>0.4</v>
      </c>
      <c r="H998" t="n">
        <v>0</v>
      </c>
      <c r="I998" t="n">
        <v>0</v>
      </c>
      <c r="J998" t="n">
        <v>0</v>
      </c>
      <c r="K998" t="n">
        <v>0</v>
      </c>
      <c r="L998" t="n">
        <v>0</v>
      </c>
      <c r="M998" t="n">
        <v>0</v>
      </c>
      <c r="N998" t="n">
        <v>0</v>
      </c>
      <c r="O998" t="n">
        <v>0</v>
      </c>
      <c r="P998" t="n">
        <v>0</v>
      </c>
      <c r="Q998" t="n">
        <v>0</v>
      </c>
      <c r="R998" s="2" t="inlineStr"/>
    </row>
    <row r="999" ht="15" customHeight="1">
      <c r="A999" t="inlineStr">
        <is>
          <t>A 60910-2024</t>
        </is>
      </c>
      <c r="B999" s="1" t="n">
        <v>45645</v>
      </c>
      <c r="C999" s="1" t="n">
        <v>45828</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60903-2024</t>
        </is>
      </c>
      <c r="B1000" s="1" t="n">
        <v>45645</v>
      </c>
      <c r="C1000" s="1" t="n">
        <v>45828</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60908-2024</t>
        </is>
      </c>
      <c r="B1001" s="1" t="n">
        <v>45645</v>
      </c>
      <c r="C1001" s="1" t="n">
        <v>45828</v>
      </c>
      <c r="D1001" t="inlineStr">
        <is>
          <t>GOTLANDS LÄN</t>
        </is>
      </c>
      <c r="E1001" t="inlineStr">
        <is>
          <t>GOTLAND</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61664-2024</t>
        </is>
      </c>
      <c r="B1002" s="1" t="n">
        <v>45646</v>
      </c>
      <c r="C1002" s="1" t="n">
        <v>45828</v>
      </c>
      <c r="D1002" t="inlineStr">
        <is>
          <t>GOTLANDS LÄN</t>
        </is>
      </c>
      <c r="E1002" t="inlineStr">
        <is>
          <t>GOTLAND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61682-2024</t>
        </is>
      </c>
      <c r="B1003" s="1" t="n">
        <v>45647</v>
      </c>
      <c r="C1003" s="1" t="n">
        <v>45828</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61897-2024</t>
        </is>
      </c>
      <c r="B1004" s="1" t="n">
        <v>45652</v>
      </c>
      <c r="C1004" s="1" t="n">
        <v>45828</v>
      </c>
      <c r="D1004" t="inlineStr">
        <is>
          <t>GOTLANDS LÄN</t>
        </is>
      </c>
      <c r="E1004" t="inlineStr">
        <is>
          <t>GOTLAND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251-2025</t>
        </is>
      </c>
      <c r="B1005" s="1" t="n">
        <v>45653</v>
      </c>
      <c r="C1005" s="1" t="n">
        <v>45828</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61964-2024</t>
        </is>
      </c>
      <c r="B1006" s="1" t="n">
        <v>45653</v>
      </c>
      <c r="C1006" s="1" t="n">
        <v>45828</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61962-2024</t>
        </is>
      </c>
      <c r="B1007" s="1" t="n">
        <v>45653</v>
      </c>
      <c r="C1007" s="1" t="n">
        <v>45828</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62127-2024</t>
        </is>
      </c>
      <c r="B1008" s="1" t="n">
        <v>45656</v>
      </c>
      <c r="C1008" s="1" t="n">
        <v>45828</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883-2025</t>
        </is>
      </c>
      <c r="B1009" s="1" t="n">
        <v>45665</v>
      </c>
      <c r="C1009" s="1" t="n">
        <v>45828</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717-2025</t>
        </is>
      </c>
      <c r="B1010" s="1" t="n">
        <v>45665</v>
      </c>
      <c r="C1010" s="1" t="n">
        <v>45828</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1175-2025</t>
        </is>
      </c>
      <c r="B1011" s="1" t="n">
        <v>45667</v>
      </c>
      <c r="C1011" s="1" t="n">
        <v>45828</v>
      </c>
      <c r="D1011" t="inlineStr">
        <is>
          <t>GOTLANDS LÄN</t>
        </is>
      </c>
      <c r="E1011" t="inlineStr">
        <is>
          <t>GOTLAND</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1364-2025</t>
        </is>
      </c>
      <c r="B1012" s="1" t="n">
        <v>45667</v>
      </c>
      <c r="C1012" s="1" t="n">
        <v>45828</v>
      </c>
      <c r="D1012" t="inlineStr">
        <is>
          <t>GOTLANDS LÄN</t>
        </is>
      </c>
      <c r="E1012" t="inlineStr">
        <is>
          <t>GOTLAND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1351-2025</t>
        </is>
      </c>
      <c r="B1013" s="1" t="n">
        <v>45667</v>
      </c>
      <c r="C1013" s="1" t="n">
        <v>45828</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1345-2025</t>
        </is>
      </c>
      <c r="B1014" s="1" t="n">
        <v>45667</v>
      </c>
      <c r="C1014" s="1" t="n">
        <v>45828</v>
      </c>
      <c r="D1014" t="inlineStr">
        <is>
          <t>GOTLANDS LÄN</t>
        </is>
      </c>
      <c r="E1014" t="inlineStr">
        <is>
          <t>GOTLAND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1446-2025</t>
        </is>
      </c>
      <c r="B1015" s="1" t="n">
        <v>45669</v>
      </c>
      <c r="C1015" s="1" t="n">
        <v>45828</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1803-2025</t>
        </is>
      </c>
      <c r="B1016" s="1" t="n">
        <v>45670</v>
      </c>
      <c r="C1016" s="1" t="n">
        <v>45828</v>
      </c>
      <c r="D1016" t="inlineStr">
        <is>
          <t>GOTLANDS LÄN</t>
        </is>
      </c>
      <c r="E1016" t="inlineStr">
        <is>
          <t>GOTLAND</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1462-2025</t>
        </is>
      </c>
      <c r="B1017" s="1" t="n">
        <v>45670</v>
      </c>
      <c r="C1017" s="1" t="n">
        <v>45828</v>
      </c>
      <c r="D1017" t="inlineStr">
        <is>
          <t>GOTLANDS LÄN</t>
        </is>
      </c>
      <c r="E1017" t="inlineStr">
        <is>
          <t>GOTLAND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1731-2025</t>
        </is>
      </c>
      <c r="B1018" s="1" t="n">
        <v>45671</v>
      </c>
      <c r="C1018" s="1" t="n">
        <v>45828</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1734-2025</t>
        </is>
      </c>
      <c r="B1019" s="1" t="n">
        <v>45671</v>
      </c>
      <c r="C1019" s="1" t="n">
        <v>45828</v>
      </c>
      <c r="D1019" t="inlineStr">
        <is>
          <t>GOTLANDS LÄN</t>
        </is>
      </c>
      <c r="E1019" t="inlineStr">
        <is>
          <t>GOTLAND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1729-2025</t>
        </is>
      </c>
      <c r="B1020" s="1" t="n">
        <v>45671</v>
      </c>
      <c r="C1020" s="1" t="n">
        <v>45828</v>
      </c>
      <c r="D1020" t="inlineStr">
        <is>
          <t>GOTLANDS LÄN</t>
        </is>
      </c>
      <c r="E1020" t="inlineStr">
        <is>
          <t>GOTLAND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1713-2025</t>
        </is>
      </c>
      <c r="B1021" s="1" t="n">
        <v>45671</v>
      </c>
      <c r="C1021" s="1" t="n">
        <v>45828</v>
      </c>
      <c r="D1021" t="inlineStr">
        <is>
          <t>GOTLANDS LÄN</t>
        </is>
      </c>
      <c r="E1021" t="inlineStr">
        <is>
          <t>GOTLAND</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1728-2025</t>
        </is>
      </c>
      <c r="B1022" s="1" t="n">
        <v>45671</v>
      </c>
      <c r="C1022" s="1" t="n">
        <v>45828</v>
      </c>
      <c r="D1022" t="inlineStr">
        <is>
          <t>GOTLANDS LÄN</t>
        </is>
      </c>
      <c r="E1022" t="inlineStr">
        <is>
          <t>GOTLAND</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2125-2025</t>
        </is>
      </c>
      <c r="B1023" s="1" t="n">
        <v>45672</v>
      </c>
      <c r="C1023" s="1" t="n">
        <v>45828</v>
      </c>
      <c r="D1023" t="inlineStr">
        <is>
          <t>GOTLANDS LÄN</t>
        </is>
      </c>
      <c r="E1023" t="inlineStr">
        <is>
          <t>GOTLAND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2161-2025</t>
        </is>
      </c>
      <c r="B1024" s="1" t="n">
        <v>45672</v>
      </c>
      <c r="C1024" s="1" t="n">
        <v>45828</v>
      </c>
      <c r="D1024" t="inlineStr">
        <is>
          <t>GOTLANDS LÄN</t>
        </is>
      </c>
      <c r="E1024" t="inlineStr">
        <is>
          <t>GOTLAND</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2050-2025</t>
        </is>
      </c>
      <c r="B1025" s="1" t="n">
        <v>45672</v>
      </c>
      <c r="C1025" s="1" t="n">
        <v>45828</v>
      </c>
      <c r="D1025" t="inlineStr">
        <is>
          <t>GOTLANDS LÄN</t>
        </is>
      </c>
      <c r="E1025" t="inlineStr">
        <is>
          <t>GOTLAND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2052-2025</t>
        </is>
      </c>
      <c r="B1026" s="1" t="n">
        <v>45672</v>
      </c>
      <c r="C1026" s="1" t="n">
        <v>45828</v>
      </c>
      <c r="D1026" t="inlineStr">
        <is>
          <t>GOTLANDS LÄN</t>
        </is>
      </c>
      <c r="E1026" t="inlineStr">
        <is>
          <t>GOTLAND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2054-2025</t>
        </is>
      </c>
      <c r="B1027" s="1" t="n">
        <v>45672</v>
      </c>
      <c r="C1027" s="1" t="n">
        <v>45828</v>
      </c>
      <c r="D1027" t="inlineStr">
        <is>
          <t>GOTLANDS LÄN</t>
        </is>
      </c>
      <c r="E1027" t="inlineStr">
        <is>
          <t>GOTLAND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2035-2025</t>
        </is>
      </c>
      <c r="B1028" s="1" t="n">
        <v>45672</v>
      </c>
      <c r="C1028" s="1" t="n">
        <v>45828</v>
      </c>
      <c r="D1028" t="inlineStr">
        <is>
          <t>GOTLANDS LÄN</t>
        </is>
      </c>
      <c r="E1028" t="inlineStr">
        <is>
          <t>GOTLAND</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2120-2025</t>
        </is>
      </c>
      <c r="B1029" s="1" t="n">
        <v>45672</v>
      </c>
      <c r="C1029" s="1" t="n">
        <v>45828</v>
      </c>
      <c r="D1029" t="inlineStr">
        <is>
          <t>GOTLANDS LÄN</t>
        </is>
      </c>
      <c r="E1029" t="inlineStr">
        <is>
          <t>GOTLAND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2033-2025</t>
        </is>
      </c>
      <c r="B1030" s="1" t="n">
        <v>45672</v>
      </c>
      <c r="C1030" s="1" t="n">
        <v>45828</v>
      </c>
      <c r="D1030" t="inlineStr">
        <is>
          <t>GOTLANDS LÄN</t>
        </is>
      </c>
      <c r="E1030" t="inlineStr">
        <is>
          <t>GOTLAND</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2180-2025</t>
        </is>
      </c>
      <c r="B1031" s="1" t="n">
        <v>45673</v>
      </c>
      <c r="C1031" s="1" t="n">
        <v>45828</v>
      </c>
      <c r="D1031" t="inlineStr">
        <is>
          <t>GOTLANDS LÄN</t>
        </is>
      </c>
      <c r="E1031" t="inlineStr">
        <is>
          <t>GOTLAND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2241-2025</t>
        </is>
      </c>
      <c r="B1032" s="1" t="n">
        <v>45673</v>
      </c>
      <c r="C1032" s="1" t="n">
        <v>45828</v>
      </c>
      <c r="D1032" t="inlineStr">
        <is>
          <t>GOTLANDS LÄN</t>
        </is>
      </c>
      <c r="E1032" t="inlineStr">
        <is>
          <t>GOTLAND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2772-2025</t>
        </is>
      </c>
      <c r="B1033" s="1" t="n">
        <v>45677</v>
      </c>
      <c r="C1033" s="1" t="n">
        <v>45828</v>
      </c>
      <c r="D1033" t="inlineStr">
        <is>
          <t>GOTLANDS LÄN</t>
        </is>
      </c>
      <c r="E1033" t="inlineStr">
        <is>
          <t>GOTLAND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2721-2025</t>
        </is>
      </c>
      <c r="B1034" s="1" t="n">
        <v>45677</v>
      </c>
      <c r="C1034" s="1" t="n">
        <v>45828</v>
      </c>
      <c r="D1034" t="inlineStr">
        <is>
          <t>GOTLANDS LÄN</t>
        </is>
      </c>
      <c r="E1034" t="inlineStr">
        <is>
          <t>GOTLAND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3061-2025</t>
        </is>
      </c>
      <c r="B1035" s="1" t="n">
        <v>45678</v>
      </c>
      <c r="C1035" s="1" t="n">
        <v>45828</v>
      </c>
      <c r="D1035" t="inlineStr">
        <is>
          <t>GOTLANDS LÄN</t>
        </is>
      </c>
      <c r="E1035" t="inlineStr">
        <is>
          <t>GOTLAND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3274-2025</t>
        </is>
      </c>
      <c r="B1036" s="1" t="n">
        <v>45679</v>
      </c>
      <c r="C1036" s="1" t="n">
        <v>45828</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3150-2025</t>
        </is>
      </c>
      <c r="B1037" s="1" t="n">
        <v>45679</v>
      </c>
      <c r="C1037" s="1" t="n">
        <v>45828</v>
      </c>
      <c r="D1037" t="inlineStr">
        <is>
          <t>GOTLANDS LÄN</t>
        </is>
      </c>
      <c r="E1037" t="inlineStr">
        <is>
          <t>GOTLAND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3431-2025</t>
        </is>
      </c>
      <c r="B1038" s="1" t="n">
        <v>45680</v>
      </c>
      <c r="C1038" s="1" t="n">
        <v>45828</v>
      </c>
      <c r="D1038" t="inlineStr">
        <is>
          <t>GOTLANDS LÄN</t>
        </is>
      </c>
      <c r="E1038" t="inlineStr">
        <is>
          <t>GOTLAND</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3416-2025</t>
        </is>
      </c>
      <c r="B1039" s="1" t="n">
        <v>45680</v>
      </c>
      <c r="C1039" s="1" t="n">
        <v>45828</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3935-2025</t>
        </is>
      </c>
      <c r="B1040" s="1" t="n">
        <v>45684</v>
      </c>
      <c r="C1040" s="1" t="n">
        <v>45828</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3930-2025</t>
        </is>
      </c>
      <c r="B1041" s="1" t="n">
        <v>45684</v>
      </c>
      <c r="C1041" s="1" t="n">
        <v>45828</v>
      </c>
      <c r="D1041" t="inlineStr">
        <is>
          <t>GOTLANDS LÄN</t>
        </is>
      </c>
      <c r="E1041" t="inlineStr">
        <is>
          <t>GOTLAND</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4191-2025</t>
        </is>
      </c>
      <c r="B1042" s="1" t="n">
        <v>45685</v>
      </c>
      <c r="C1042" s="1" t="n">
        <v>45828</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4420-2025</t>
        </is>
      </c>
      <c r="B1043" s="1" t="n">
        <v>45686</v>
      </c>
      <c r="C1043" s="1" t="n">
        <v>45828</v>
      </c>
      <c r="D1043" t="inlineStr">
        <is>
          <t>GOTLANDS LÄN</t>
        </is>
      </c>
      <c r="E1043" t="inlineStr">
        <is>
          <t>GOTLAND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4568-2025</t>
        </is>
      </c>
      <c r="B1044" s="1" t="n">
        <v>45687</v>
      </c>
      <c r="C1044" s="1" t="n">
        <v>45828</v>
      </c>
      <c r="D1044" t="inlineStr">
        <is>
          <t>GOTLANDS LÄN</t>
        </is>
      </c>
      <c r="E1044" t="inlineStr">
        <is>
          <t>GOTLAND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4677-2025</t>
        </is>
      </c>
      <c r="B1045" s="1" t="n">
        <v>45687</v>
      </c>
      <c r="C1045" s="1" t="n">
        <v>45828</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4990-2025</t>
        </is>
      </c>
      <c r="B1046" s="1" t="n">
        <v>45691</v>
      </c>
      <c r="C1046" s="1" t="n">
        <v>45828</v>
      </c>
      <c r="D1046" t="inlineStr">
        <is>
          <t>GOTLANDS LÄN</t>
        </is>
      </c>
      <c r="E1046" t="inlineStr">
        <is>
          <t>GOTLAND</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5270-2025</t>
        </is>
      </c>
      <c r="B1047" s="1" t="n">
        <v>45692</v>
      </c>
      <c r="C1047" s="1" t="n">
        <v>45828</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5462-2025</t>
        </is>
      </c>
      <c r="B1048" s="1" t="n">
        <v>45693</v>
      </c>
      <c r="C1048" s="1" t="n">
        <v>45828</v>
      </c>
      <c r="D1048" t="inlineStr">
        <is>
          <t>GOTLANDS LÄN</t>
        </is>
      </c>
      <c r="E1048" t="inlineStr">
        <is>
          <t>GOTLAND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5676-2025</t>
        </is>
      </c>
      <c r="B1049" s="1" t="n">
        <v>45694</v>
      </c>
      <c r="C1049" s="1" t="n">
        <v>45828</v>
      </c>
      <c r="D1049" t="inlineStr">
        <is>
          <t>GOTLANDS LÄN</t>
        </is>
      </c>
      <c r="E1049" t="inlineStr">
        <is>
          <t>GOTLAND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5757-2025</t>
        </is>
      </c>
      <c r="B1050" s="1" t="n">
        <v>45694</v>
      </c>
      <c r="C1050" s="1" t="n">
        <v>45828</v>
      </c>
      <c r="D1050" t="inlineStr">
        <is>
          <t>GOTLANDS LÄN</t>
        </is>
      </c>
      <c r="E1050" t="inlineStr">
        <is>
          <t>GOTLAND</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5674-2025</t>
        </is>
      </c>
      <c r="B1051" s="1" t="n">
        <v>45694</v>
      </c>
      <c r="C1051" s="1" t="n">
        <v>45828</v>
      </c>
      <c r="D1051" t="inlineStr">
        <is>
          <t>GOTLANDS LÄN</t>
        </is>
      </c>
      <c r="E1051" t="inlineStr">
        <is>
          <t>GOTLAND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5897-2025</t>
        </is>
      </c>
      <c r="B1052" s="1" t="n">
        <v>45695</v>
      </c>
      <c r="C1052" s="1" t="n">
        <v>45828</v>
      </c>
      <c r="D1052" t="inlineStr">
        <is>
          <t>GOTLANDS LÄN</t>
        </is>
      </c>
      <c r="E1052" t="inlineStr">
        <is>
          <t>GOTLAND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5909-2025</t>
        </is>
      </c>
      <c r="B1053" s="1" t="n">
        <v>45695</v>
      </c>
      <c r="C1053" s="1" t="n">
        <v>45828</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5891-2025</t>
        </is>
      </c>
      <c r="B1054" s="1" t="n">
        <v>45695</v>
      </c>
      <c r="C1054" s="1" t="n">
        <v>45828</v>
      </c>
      <c r="D1054" t="inlineStr">
        <is>
          <t>GOTLANDS LÄN</t>
        </is>
      </c>
      <c r="E1054" t="inlineStr">
        <is>
          <t>GOTLAND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5884-2025</t>
        </is>
      </c>
      <c r="B1055" s="1" t="n">
        <v>45695</v>
      </c>
      <c r="C1055" s="1" t="n">
        <v>45828</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6108-2025</t>
        </is>
      </c>
      <c r="B1056" s="1" t="n">
        <v>45698</v>
      </c>
      <c r="C1056" s="1" t="n">
        <v>45828</v>
      </c>
      <c r="D1056" t="inlineStr">
        <is>
          <t>GOTLANDS LÄN</t>
        </is>
      </c>
      <c r="E1056" t="inlineStr">
        <is>
          <t>GOTLAND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6792-2025</t>
        </is>
      </c>
      <c r="B1057" s="1" t="n">
        <v>45700</v>
      </c>
      <c r="C1057" s="1" t="n">
        <v>45828</v>
      </c>
      <c r="D1057" t="inlineStr">
        <is>
          <t>GOTLANDS LÄN</t>
        </is>
      </c>
      <c r="E1057" t="inlineStr">
        <is>
          <t>GOTLAND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6749-2025</t>
        </is>
      </c>
      <c r="B1058" s="1" t="n">
        <v>45700</v>
      </c>
      <c r="C1058" s="1" t="n">
        <v>45828</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6688-2025</t>
        </is>
      </c>
      <c r="B1059" s="1" t="n">
        <v>45700</v>
      </c>
      <c r="C1059" s="1" t="n">
        <v>45828</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6796-2025</t>
        </is>
      </c>
      <c r="B1060" s="1" t="n">
        <v>45700</v>
      </c>
      <c r="C1060" s="1" t="n">
        <v>45828</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6739-2025</t>
        </is>
      </c>
      <c r="B1061" s="1" t="n">
        <v>45700</v>
      </c>
      <c r="C1061" s="1" t="n">
        <v>45828</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45828</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45828</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45828</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45828</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45828</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45828</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45828</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45828</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45828</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45828</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45828</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45828</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45828</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45828</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45828</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45828</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45828</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45828</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45828</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45828</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45828</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45828</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45828</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45828</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45828</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45828</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45828</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45828</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45828</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45828</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45828</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45828</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45828</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45828</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45828</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45828</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45828</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45828</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45828</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45828</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45828</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45828</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45828</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45828</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45828</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45828</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45828</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45828</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45828</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45828</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45828</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45828</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45828</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45828</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45828</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45828</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45828</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45828</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45828</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45828</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45828</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45828</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45828</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45828</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45828</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45828</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45828</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45828</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45828</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45828</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45828</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45828</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45828</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45828</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45828</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45828</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45828</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45828</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26457-2025</t>
        </is>
      </c>
      <c r="B1140" s="1" t="n">
        <v>45807</v>
      </c>
      <c r="C1140" s="1" t="n">
        <v>45828</v>
      </c>
      <c r="D1140" t="inlineStr">
        <is>
          <t>GOTLANDS LÄN</t>
        </is>
      </c>
      <c r="E1140" t="inlineStr">
        <is>
          <t>GOTLAND</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45828</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26467-2025</t>
        </is>
      </c>
      <c r="B1142" s="1" t="n">
        <v>45807</v>
      </c>
      <c r="C1142" s="1" t="n">
        <v>45828</v>
      </c>
      <c r="D1142" t="inlineStr">
        <is>
          <t>GOTLANDS LÄN</t>
        </is>
      </c>
      <c r="E1142" t="inlineStr">
        <is>
          <t>GOTLAND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45828</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45828</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27355-2025</t>
        </is>
      </c>
      <c r="B1145" s="1" t="n">
        <v>45812</v>
      </c>
      <c r="C1145" s="1" t="n">
        <v>45828</v>
      </c>
      <c r="D1145" t="inlineStr">
        <is>
          <t>GOTLANDS LÄN</t>
        </is>
      </c>
      <c r="E1145" t="inlineStr">
        <is>
          <t>GOTLAND</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27371-2025</t>
        </is>
      </c>
      <c r="B1146" s="1" t="n">
        <v>45812</v>
      </c>
      <c r="C1146" s="1" t="n">
        <v>45828</v>
      </c>
      <c r="D1146" t="inlineStr">
        <is>
          <t>GOTLANDS LÄN</t>
        </is>
      </c>
      <c r="E1146" t="inlineStr">
        <is>
          <t>GOTLAND</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45822</v>
      </c>
      <c r="C1147" s="1" t="n">
        <v>45828</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29207-2025</t>
        </is>
      </c>
      <c r="B1148" s="1" t="n">
        <v>45823</v>
      </c>
      <c r="C1148" s="1" t="n">
        <v>45828</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30135-2025</t>
        </is>
      </c>
      <c r="B1149" s="1" t="n">
        <v>45826</v>
      </c>
      <c r="C1149" s="1" t="n">
        <v>45828</v>
      </c>
      <c r="D1149" t="inlineStr">
        <is>
          <t>GOTLANDS LÄN</t>
        </is>
      </c>
      <c r="E1149" t="inlineStr">
        <is>
          <t>GOTLAND</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30157-2025</t>
        </is>
      </c>
      <c r="B1150" s="1" t="n">
        <v>45826</v>
      </c>
      <c r="C1150" s="1" t="n">
        <v>45828</v>
      </c>
      <c r="D1150" t="inlineStr">
        <is>
          <t>GOTLANDS LÄN</t>
        </is>
      </c>
      <c r="E1150" t="inlineStr">
        <is>
          <t>GOTLAND</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30104-2025</t>
        </is>
      </c>
      <c r="B1151" s="1" t="n">
        <v>45826</v>
      </c>
      <c r="C1151" s="1" t="n">
        <v>45828</v>
      </c>
      <c r="D1151" t="inlineStr">
        <is>
          <t>GOTLANDS LÄN</t>
        </is>
      </c>
      <c r="E1151" t="inlineStr">
        <is>
          <t>GOTLAND</t>
        </is>
      </c>
      <c r="G1151" t="n">
        <v>15.4</v>
      </c>
      <c r="H1151" t="n">
        <v>0</v>
      </c>
      <c r="I1151" t="n">
        <v>0</v>
      </c>
      <c r="J1151" t="n">
        <v>0</v>
      </c>
      <c r="K1151" t="n">
        <v>0</v>
      </c>
      <c r="L1151" t="n">
        <v>0</v>
      </c>
      <c r="M1151" t="n">
        <v>0</v>
      </c>
      <c r="N1151" t="n">
        <v>0</v>
      </c>
      <c r="O1151" t="n">
        <v>0</v>
      </c>
      <c r="P1151" t="n">
        <v>0</v>
      </c>
      <c r="Q1151" t="n">
        <v>0</v>
      </c>
      <c r="R1151" s="2" t="inlineStr"/>
    </row>
    <row r="1152" ht="15" customHeight="1">
      <c r="A1152" t="inlineStr">
        <is>
          <t>A 30061-2025</t>
        </is>
      </c>
      <c r="B1152" s="1" t="n">
        <v>45826</v>
      </c>
      <c r="C1152" s="1" t="n">
        <v>45828</v>
      </c>
      <c r="D1152" t="inlineStr">
        <is>
          <t>GOTLANDS LÄN</t>
        </is>
      </c>
      <c r="E1152" t="inlineStr">
        <is>
          <t>GOTLAND</t>
        </is>
      </c>
      <c r="G1152" t="n">
        <v>4.1</v>
      </c>
      <c r="H1152" t="n">
        <v>0</v>
      </c>
      <c r="I1152" t="n">
        <v>0</v>
      </c>
      <c r="J1152" t="n">
        <v>0</v>
      </c>
      <c r="K1152" t="n">
        <v>0</v>
      </c>
      <c r="L1152" t="n">
        <v>0</v>
      </c>
      <c r="M1152" t="n">
        <v>0</v>
      </c>
      <c r="N1152" t="n">
        <v>0</v>
      </c>
      <c r="O1152" t="n">
        <v>0</v>
      </c>
      <c r="P1152" t="n">
        <v>0</v>
      </c>
      <c r="Q1152" t="n">
        <v>0</v>
      </c>
      <c r="R1152" s="2" t="inlineStr"/>
    </row>
    <row r="1153">
      <c r="A1153" t="inlineStr">
        <is>
          <t>A 30236-2025</t>
        </is>
      </c>
      <c r="B1153" s="1" t="n">
        <v>45827</v>
      </c>
      <c r="C1153" s="1" t="n">
        <v>45828</v>
      </c>
      <c r="D1153" t="inlineStr">
        <is>
          <t>GOTLANDS LÄN</t>
        </is>
      </c>
      <c r="E1153" t="inlineStr">
        <is>
          <t>GOTLAND</t>
        </is>
      </c>
      <c r="G1153" t="n">
        <v>13.6</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2025-06-20T19:18:37Z</dcterms:created>
  <dcterms:modified xmlns:dcterms="http://purl.org/dc/terms/" xmlns:xsi="http://www.w3.org/2001/XMLSchema-instance" xsi:type="dcterms:W3CDTF">2025-06-20T19:18:38Z</dcterms:modified>
</cp:coreProperties>
</file>